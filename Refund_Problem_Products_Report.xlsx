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iority SKUs" sheetId="2" state="visible" r:id="rId4"/>
    <sheet name="Rankings" sheetId="3" state="visible" r:id="rId5"/>
    <sheet name="Brands" sheetId="4" state="visible" r:id="rId6"/>
    <sheet name="B-AU" sheetId="5" state="visible" r:id="rId7"/>
    <sheet name="B-AUMJ" sheetId="6" state="visible" r:id="rId8"/>
    <sheet name="B-DC" sheetId="7" state="visible" r:id="rId9"/>
    <sheet name="B-AUSGF" sheetId="8" state="visible" r:id="rId10"/>
    <sheet name="B-MJ" sheetId="9" state="visible" r:id="rId11"/>
    <sheet name="B-GF" sheetId="10" state="visible" r:id="rId12"/>
    <sheet name="B-AURP" sheetId="11" state="visible" r:id="rId13"/>
    <sheet name="B-AUSMJ" sheetId="12" state="visible" r:id="rId14"/>
    <sheet name="Anomalies" sheetId="13" state="visible" r:id="rId15"/>
    <sheet name="Review List" sheetId="14" state="visible" r:id="rId16"/>
    <sheet name="Notes" sheetId="15" state="visible" r:id="rId17"/>
    <sheet name="Settings" sheetId="16" state="visible" r:id="rId18"/>
    <sheet name="Brand Map" sheetId="17" state="visible" r:id="rId19"/>
    <sheet name="SKU Data" sheetId="18" state="visible" r:id="rId20"/>
  </sheets>
  <definedNames>
    <definedName function="false" hidden="true" localSheetId="1" name="_xlnm._FilterDatabase" vbProcedure="false">'Priority SKUs'!$A$4:$O$104</definedName>
    <definedName function="false" hidden="true" localSheetId="17" name="_xlnm._FilterDatabase" vbProcedure="false">'SKU Data'!$A$1:$AD$1780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<sst xmlns="http://schemas.openxmlformats.org/spreadsheetml/2006/main" count="6755" uniqueCount="3307">
  <si>
    <t xml:space="preserve">Refunds &amp; Returns - Problem Product Report</t>
  </si>
  <si>
    <t xml:space="preserve">All stores | 2026-01-01 to 2026-10-10 | ranked by units, revenue impact and refund rate on own sales</t>
  </si>
  <si>
    <t xml:space="preserve">Gross sales (export)</t>
  </si>
  <si>
    <t xml:space="preserve">Refunds (all lines)</t>
  </si>
  <si>
    <t xml:space="preserve">…with NO SKU</t>
  </si>
  <si>
    <t xml:space="preserve">Refund rate (units)</t>
  </si>
  <si>
    <t xml:space="preserve">SKUs flagged HIGH RATE</t>
  </si>
  <si>
    <t xml:space="preserve">Top 25 SKUs = % of SKU refund $</t>
  </si>
  <si>
    <t xml:space="preserve">Key findings (at export date)</t>
  </si>
  <si>
    <t xml:space="preserve">1. $542,320 (52%) of all refunded sales carry NO SKU / product - cannot be attributed. Investigate first (see Review List #1).</t>
  </si>
  <si>
    <t xml:space="preserve">2. AUMJ-NW-005 (Native Flowers Bouquet in Mason Jar) is the #1 refund $ and #1 units: $30,439, 335 units, 5.3% vs 3.1% baseline. The AU + AUMJ families = 51% of SKU-attributed refund $ with rates 4.3% / 4.8% (z&gt;12): a family-wide issue, not isolated SKUs.</t>
  </si>
  <si>
    <t xml:space="preserve">3. 60 SKUs have refund rates statistically above baseline; the top 25 SKUs hold 45% of SKU-attributed refund $ - fixing a short list moves the total. Worst high-ticket rate offenders: AU100-545 (11.7%), AU189-01 (11.3%), DC-02B (8.7%), AU501-05 (8.7%).</t>
  </si>
  <si>
    <t xml:space="preserve">4. Best-in-class: MDM (2.1%), DCMJ (2.5%), AUDC (2.4%) are well below baseline - benchmark candidates. MJ family sits at baseline (3.1%) while AUMJ (similar mason-jar concept) is at 4.8%.</t>
  </si>
  <si>
    <t xml:space="preserve">5. Date / month spikes could NOT be tested: the export has no date, store or brand column. Re-export with Month/Day + Store (see Anomalies tab, section A).</t>
  </si>
  <si>
    <t xml:space="preserve">Top 10 priority SKUs (full list: Priority SKUs tab)</t>
  </si>
  <si>
    <t xml:space="preserve">Rank</t>
  </si>
  <si>
    <t xml:space="preserve">SKU</t>
  </si>
  <si>
    <t xml:space="preserve">Product</t>
  </si>
  <si>
    <t xml:space="preserve">Brand</t>
  </si>
  <si>
    <t xml:space="preserve">Qty ordered</t>
  </si>
  <si>
    <t xml:space="preserve">Refunded units</t>
  </si>
  <si>
    <t xml:space="preserve">Refund rate</t>
  </si>
  <si>
    <t xml:space="preserve">Refund $</t>
  </si>
  <si>
    <t xml:space="preserve">% of total revenue</t>
  </si>
  <si>
    <t xml:space="preserve">Tier</t>
  </si>
  <si>
    <t xml:space="preserve">Charts</t>
  </si>
  <si>
    <t xml:space="preserve">Sheet guide: Priority SKUs (ranked list) | Rankings (qty / revenue / rate) | Brands + B-* tabs (brand notes) | Anomalies | Review List | Notes | Settings (editable thresholds) | Brand Map | SKU Data</t>
  </si>
  <si>
    <t xml:space="preserve">Priority SKUs - ranked by combined problem score</t>
  </si>
  <si>
    <t xml:space="preserve">Score = equal-weight blend of 3 percentile ranks: refunded units, refund $ (= % of total revenue), and refund rate on the SKU's own sales (shrunk so tiny-volume SKUs can't dominate). Weights/thresholds live in Settings. List is live: change Settings and the order/tiers update.</t>
  </si>
  <si>
    <t xml:space="preserve">Brand / family</t>
  </si>
  <si>
    <t xml:space="preserve">Refund rate ($ own gross)</t>
  </si>
  <si>
    <t xml:space="preserve">% of total refund $</t>
  </si>
  <si>
    <t xml:space="preserve">Rate vs baseline</t>
  </si>
  <si>
    <t xml:space="preserve">z-score</t>
  </si>
  <si>
    <t xml:space="preserve">Flag</t>
  </si>
  <si>
    <t xml:space="preserve">Rankings - the three lenses requested</t>
  </si>
  <si>
    <t xml:space="preserve">Top 25 each. Live formulas on SKU Data. Rate ranking only includes SKUs with at least the minimum volume in Settings.</t>
  </si>
  <si>
    <t xml:space="preserve">1) BY QUANTITY - most refunded units</t>
  </si>
  <si>
    <t xml:space="preserve">#</t>
  </si>
  <si>
    <t xml:space="preserve">% of SKU-attrib. refund $</t>
  </si>
  <si>
    <t xml:space="preserve">Cumulative % of refunds</t>
  </si>
  <si>
    <t xml:space="preserve">Baseline rate</t>
  </si>
  <si>
    <t xml:space="preserve">2) BY REVENUE IMPACT - largest refund $ (as % of total revenue)</t>
  </si>
  <si>
    <t xml:space="preserve">3) BY OWN REFUND RATE - highest rate on the SKU's own sales (min volume applies)</t>
  </si>
  <si>
    <t xml:space="preserve">Brands / SKU families - where refunds concentrate</t>
  </si>
  <si>
    <t xml:space="preserve">Sorted by refund $ at build time. Numbers are live SUMIFS on SKU Data (so Brand Map edits flow through). Comments are analyst notes written from the data at export date.</t>
  </si>
  <si>
    <t xml:space="preserve"># SKUs</t>
  </si>
  <si>
    <t xml:space="preserve">Gross sales $</t>
  </si>
  <si>
    <t xml:space="preserve">Comment 1</t>
  </si>
  <si>
    <t xml:space="preserve">Comment 2</t>
  </si>
  <si>
    <t xml:space="preserve">Comment 3</t>
  </si>
  <si>
    <t xml:space="preserve">AU</t>
  </si>
  <si>
    <t xml:space="preserve">Refund rate 4.3% vs 3.1% portfolio (1.4x); family = 28% of SKU-attributed refund $ on 26% of gross sales.</t>
  </si>
  <si>
    <t xml:space="preserve">Concentration: top 3 SKUs = 20% of family refunds (AU11-43, AU112-10, AU222-80).</t>
  </si>
  <si>
    <t xml:space="preserve">Attention: 18 SKU(s) statistically above baseline; worst = AU0511-17 (Summer Blooms) at 6.2% on 1,560 units.</t>
  </si>
  <si>
    <t xml:space="preserve">AUMJ</t>
  </si>
  <si>
    <t xml:space="preserve">Refund rate 4.8% vs 3.1% portfolio (1.5x); family = 23% of SKU-attributed refund $ on 20% of gross sales.</t>
  </si>
  <si>
    <t xml:space="preserve">Concentration: top 3 SKUs = 47% of family refunds (AUMJ-NW-005, AUMJ-NW-017, AUMJ-NW-011).</t>
  </si>
  <si>
    <t xml:space="preserve">Attention: 9 SKU(s) statistically above baseline; worst = AUMJ-NW-005 (Native Flowers Bouquet in Mason ) at 5.3% on 6,304 units.</t>
  </si>
  <si>
    <t xml:space="preserve">DC</t>
  </si>
  <si>
    <t xml:space="preserve">Refund rate 3.8% vs 3.1% portfolio (1.2x); family = 6% of SKU-attributed refund $ on 7% of gross sales.</t>
  </si>
  <si>
    <t xml:space="preserve">Concentration: top 3 SKUs = 63% of family refunds (DC-04S, DC-02S, DC-03S).</t>
  </si>
  <si>
    <t xml:space="preserve">Attention: 2 SKU(s) statistically above baseline; worst = DC-02B (Birthday Designer Collection II) at 8.7% on 322 units.</t>
  </si>
  <si>
    <t xml:space="preserve">AUSGF</t>
  </si>
  <si>
    <t xml:space="preserve">Refund rate 3.6% vs 3.1% portfolio (1.2x); family = 6% of SKU-attributed refund $ on 7% of gross sales.</t>
  </si>
  <si>
    <t xml:space="preserve">Concentration: top 3 SKUs = 100% of family refunds (AUSGF16-115, AUSGF16-110, AUSGF16-115-REG).</t>
  </si>
  <si>
    <t xml:space="preserve">Attention: 1 SKU(s) statistically above baseline; worst = AUSGF16-115 (Delicate Elegance) at 3.6% on 11,490 units.</t>
  </si>
  <si>
    <t xml:space="preserve">MJ</t>
  </si>
  <si>
    <t xml:space="preserve">Refund rate 3.1% vs 3.1% portfolio (1.0x); family = 6% of SKU-attributed refund $ on 7% of gross sales.</t>
  </si>
  <si>
    <t xml:space="preserve">Concentration: top 3 SKUs = 54% of family refunds (MJ100-17, MJ100-04, MJ100-62).</t>
  </si>
  <si>
    <t xml:space="preserve">Attention: 2 SKU(s) statistically above baseline; worst = MJ100-17 (Thirty Blooms of Alstroemeria in) at 5.0% on 2,096 units.</t>
  </si>
  <si>
    <t xml:space="preserve">GF</t>
  </si>
  <si>
    <t xml:space="preserve">Refund rate 5.2% vs 3.1% portfolio (1.7x); family = 4% of SKU-attributed refund $ on 3% of gross sales.</t>
  </si>
  <si>
    <t xml:space="preserve">Concentration: top 3 SKUs = 77% of family refunds (GF16-100, GF16-110, GF16-105).</t>
  </si>
  <si>
    <t xml:space="preserve">Attention: 4 SKU(s) statistically above baseline; worst = GF16-100 (Blushing Elegance) at 5.3% on 1,333 units.</t>
  </si>
  <si>
    <t xml:space="preserve">AURP</t>
  </si>
  <si>
    <t xml:space="preserve">Refund rate 4.2% vs 3.1% portfolio (1.3x); family = 4% of SKU-attributed refund $ on 4% of gross sales.</t>
  </si>
  <si>
    <t xml:space="preserve">Concentration: top 3 SKUs = 36% of family refunds (AURP-B29, AURP-C02, AURP05).</t>
  </si>
  <si>
    <t xml:space="preserve">Attention: 8 SKU(s) statistically above baseline; worst = AURP04 (Glass Vase (Hand blown)) at 5.2% on 1,997 units.</t>
  </si>
  <si>
    <t xml:space="preserve">AUSMJ</t>
  </si>
  <si>
    <t xml:space="preserve">Refund rate 4.1% vs 3.1% portfolio (1.3x); family = 3% of SKU-attributed refund $ on 3% of gross sales.</t>
  </si>
  <si>
    <t xml:space="preserve">Concentration: top 3 SKUs = 100% of family refunds (AUSMJ100-11, AUSMJ100-11-DEL, AUSMJ100-11-REG).</t>
  </si>
  <si>
    <t xml:space="preserve">Attention: 1 SKU(s) statistically above baseline; worst = AUSMJ100-11 (Breathtaking Blooms In Mason Jar) at 4.1% on 4,959 units.</t>
  </si>
  <si>
    <t xml:space="preserve">AUDNAT</t>
  </si>
  <si>
    <t xml:space="preserve">Refund rate 4.3% vs 3.1% portfolio (1.4x); family = 3% of SKU-attributed refund $ on 3% of gross sales.</t>
  </si>
  <si>
    <t xml:space="preserve">Concentration: top 3 SKUs = 96% of family refunds (AUDNAT-02, AUDNAT-03, AUDNAT-01).</t>
  </si>
  <si>
    <t xml:space="preserve">Attention: 1 SKU(s) statistically above baseline; worst = AUDNAT-02 (Native Flowers Bouquet Designer ) at 4.8% on 1,279 units.</t>
  </si>
  <si>
    <t xml:space="preserve">FYF</t>
  </si>
  <si>
    <t xml:space="preserve">Refund rate 4.4% vs 3.1% portfolio (1.4x); family = 2% of SKU-attributed refund $ on 2% of gross sales.</t>
  </si>
  <si>
    <t xml:space="preserve">Concentration: top 3 SKUs = 17% of family refunds (FYF-what-a-treat-in-mason-jar-mixed-bouquet-C, FYF-beautiful-in-blue-bouquet-in-mason-jar-C, FYF-lavender-love-bouquet-C).</t>
  </si>
  <si>
    <t xml:space="preserve">No SKU statistically above baseline at current thresholds - watch only if volume grows.</t>
  </si>
  <si>
    <t xml:space="preserve">AUBC</t>
  </si>
  <si>
    <t xml:space="preserve">Refund rate 5.1% vs 3.1% portfolio (1.6x); family = 2% of SKU-attributed refund $ on 1% of gross sales.</t>
  </si>
  <si>
    <t xml:space="preserve">Concentration: top 3 SKUs = 92% of family refunds (AUBC-02, AUBC-01, AUBC-04).</t>
  </si>
  <si>
    <t xml:space="preserve">Attention: 1 SKU(s) statistically above baseline; worst = AUBC-02 (Birthday Combo II) at 5.8% on 621 units.</t>
  </si>
  <si>
    <t xml:space="preserve">Other (small prefixes)</t>
  </si>
  <si>
    <t xml:space="preserve">Refund rate 2.6% vs 3.1% portfolio (0.8x); family = 2% of SKU-attributed refund $ on 3% of gross sales.</t>
  </si>
  <si>
    <t xml:space="preserve">Concentration: top 3 SKUs = 24% of family refunds (DCA-02-00, VDB-S1, AUG-12).</t>
  </si>
  <si>
    <t xml:space="preserve">Attention: 2 SKU(s) statistically above baseline; worst = DCA-02-00 (Anniversary Designer Collection ) at 21.1% on 38 units.</t>
  </si>
  <si>
    <t xml:space="preserve">AUCH</t>
  </si>
  <si>
    <t xml:space="preserve">Refund rate 4.5% vs 3.1% portfolio (1.4x); family = 1% of SKU-attributed refund $ on 1% of gross sales.</t>
  </si>
  <si>
    <t xml:space="preserve">Concentration: top 3 SKUs = 99% of family refunds (AUCH25-04, AUCH25-06, AUCH25-05).</t>
  </si>
  <si>
    <t xml:space="preserve">Attention: 1 SKU(s) statistically above baseline; worst = AUCH25-04 (Snowy Rose in Mason Jar) at 4.6% on 2,531 units.</t>
  </si>
  <si>
    <t xml:space="preserve">MDM</t>
  </si>
  <si>
    <t xml:space="preserve">Refund rate 2.1% vs 3.1% portfolio (0.7x); family = 1% of SKU-attributed refund $ on 2% of gross sales.</t>
  </si>
  <si>
    <t xml:space="preserve">Concentration: top 1 SKUs = 100% of family refunds (MDM25-13).</t>
  </si>
  <si>
    <t xml:space="preserve">Best-in-class: significantly BELOW baseline - use as the benchmark for fixes elsewhere.</t>
  </si>
  <si>
    <t xml:space="preserve">DCMJ</t>
  </si>
  <si>
    <t xml:space="preserve">Refund rate 2.5% vs 3.1% portfolio (0.8x); family = 1% of SKU-attributed refund $ on 2% of gross sales.</t>
  </si>
  <si>
    <t xml:space="preserve">Concentration: top 3 SKUs = 57% of family refunds (DCMJ-04A, DCMJ-01, DCMJ-03A).</t>
  </si>
  <si>
    <t xml:space="preserve">Attention: 1 SKU(s) statistically above baseline; worst = DCMJ-01 (Designer Collection Mason Jar I) at 8.6% on 209 units.</t>
  </si>
  <si>
    <t xml:space="preserve">AUFS</t>
  </si>
  <si>
    <t xml:space="preserve">Refund rate 4.7% vs 3.1% portfolio (1.5x); family = 1% of SKU-attributed refund $ on 1% of gross sales.</t>
  </si>
  <si>
    <t xml:space="preserve">Concentration: top 3 SKUs = 81% of family refunds (AUFS-05, AUFS-01, AUFS-03).</t>
  </si>
  <si>
    <t xml:space="preserve">SB</t>
  </si>
  <si>
    <t xml:space="preserve">Refund rate 4.8% vs 3.1% portfolio (1.6x); family = 1% of SKU-attributed refund $ on 1% of gross sales.</t>
  </si>
  <si>
    <t xml:space="preserve">Concentration: top 3 SKUs = 81% of family refunds (SB-04, SB-01, SB-03).</t>
  </si>
  <si>
    <t xml:space="preserve">LF</t>
  </si>
  <si>
    <t xml:space="preserve">Refund rate 5.9% vs 3.1% portfolio (1.9x); family = 1% of SKU-attributed refund $ on 1% of gross sales.</t>
  </si>
  <si>
    <t xml:space="preserve">Concentration: top 3 SKUs = 66% of family refunds (LF15-10D, LF15-10A, LF15-10B).</t>
  </si>
  <si>
    <t xml:space="preserve">Attention: 1 SKU(s) statistically above baseline; worst = LF15-10D (Hugs and Kisses IV) at 7.8% on 153 units.</t>
  </si>
  <si>
    <t xml:space="preserve">BLXNZ</t>
  </si>
  <si>
    <t xml:space="preserve">Refund rate 6.1% vs 3.1% portfolio (2.0x); family = 1% of SKU-attributed refund $ on 1% of gross sales.</t>
  </si>
  <si>
    <t xml:space="preserve">Concentration: top 3 SKUs = 100% of family refunds (BLXNZ-03, BLXNZ-04, BLXNZ-01).</t>
  </si>
  <si>
    <t xml:space="preserve">Attention: 1 SKU(s) statistically above baseline; worst = BLXNZ-03 (Blossom Harmony) at 6.4% on 376 units.</t>
  </si>
  <si>
    <t xml:space="preserve">DCB</t>
  </si>
  <si>
    <t xml:space="preserve">Refund rate 5.6% vs 3.1% portfolio (1.8x); family = 1% of SKU-attributed refund $ on 0% of gross sales.</t>
  </si>
  <si>
    <t xml:space="preserve">Concentration: top 3 SKUs = 87% of family refunds (DCB-02, DCB-01C, DCB-03).</t>
  </si>
  <si>
    <t xml:space="preserve">Attention: 1 SKU(s) statistically above baseline; worst = DCB-03 (Birthday Designer Collection III) at 14.3% on 35 units.</t>
  </si>
  <si>
    <t xml:space="preserve">AL</t>
  </si>
  <si>
    <t xml:space="preserve">Refund rate 4.5% vs 3.1% portfolio (1.5x); family = 1% of SKU-attributed refund $ on 1% of gross sales.</t>
  </si>
  <si>
    <t xml:space="preserve">Concentration: top 3 SKUs = 94% of family refunds (AL100-71AURP, AL100-71AURP-PRE, AL100-71AURP-REG).</t>
  </si>
  <si>
    <t xml:space="preserve">RP</t>
  </si>
  <si>
    <t xml:space="preserve">Refund rate 5.7% vs 3.1% portfolio (1.9x); family = 0% of SKU-attributed refund $ on 0% of gross sales.</t>
  </si>
  <si>
    <t xml:space="preserve">Concentration: top 3 SKUs = 93% of family refunds (RP19, RP03S, RP02-50).</t>
  </si>
  <si>
    <t xml:space="preserve">Attention: 4 SKU(s) statistically above baseline; worst = RP19 (Full Size Birthday Card) at 5.2% on 6,456 units.</t>
  </si>
  <si>
    <t xml:space="preserve">DCS</t>
  </si>
  <si>
    <t xml:space="preserve">Refund rate 6.8% vs 3.1% portfolio (2.2x); family = 0% of SKU-attributed refund $ on 0% of gross sales.</t>
  </si>
  <si>
    <t xml:space="preserve">Concentration: top 3 SKUs = 100% of family refunds (DCS-03, DCS-02, DCS-01).</t>
  </si>
  <si>
    <t xml:space="preserve">AUSTRT</t>
  </si>
  <si>
    <t xml:space="preserve">Refund rate 3.4% vs 3.1% portfolio (1.1x); family = 0% of SKU-attributed refund $ on 1% of gross sales.</t>
  </si>
  <si>
    <t xml:space="preserve">Concentration: top 3 SKUs = 100% of family refunds (AUSTRT-03, AUSTRT-02, AUSTRT-04).</t>
  </si>
  <si>
    <t xml:space="preserve">RBC</t>
  </si>
  <si>
    <t xml:space="preserve">Refund rate 4.1% vs 3.1% portfolio (1.3x); family = 0% of SKU-attributed refund $ on 0% of gross sales.</t>
  </si>
  <si>
    <t xml:space="preserve">Concentration: top 3 SKUs = 97% of family refunds (RBC-03A, RBC-03B, RBC-03D).</t>
  </si>
  <si>
    <t xml:space="preserve">AUDC</t>
  </si>
  <si>
    <t xml:space="preserve">Refund rate 2.4% vs 3.1% portfolio (0.8x); family = 0% of SKU-attributed refund $ on 1% of gross sales.</t>
  </si>
  <si>
    <t xml:space="preserve">Concentration: top 3 SKUs = 84% of family refunds (AUDC-04A, AUDC-04, AUDC-02).</t>
  </si>
  <si>
    <t xml:space="preserve">FBAU</t>
  </si>
  <si>
    <t xml:space="preserve">Refund rate 1.9% vs 3.1% portfolio (0.6x); family = 0% of SKU-attributed refund $ on 1% of gross sales.</t>
  </si>
  <si>
    <t xml:space="preserve">Concentration: top 3 SKUs = 69% of family refunds (FBAU74-90, FBAU74-61, FBAU74-62).</t>
  </si>
  <si>
    <t xml:space="preserve">WBAU</t>
  </si>
  <si>
    <t xml:space="preserve">Refund rate 3.1% vs 3.1% portfolio (1.0x); family = 0% of SKU-attributed refund $ on 0% of gross sales.</t>
  </si>
  <si>
    <t xml:space="preserve">Concentration: top 3 SKUs = 63% of family refunds (WBAU10-06, WBAU85-01, WBAU10-02-WB).</t>
  </si>
  <si>
    <t xml:space="preserve">AUSRP</t>
  </si>
  <si>
    <t xml:space="preserve">Refund rate 5.2% vs 3.1% portfolio (1.7x); family = 0% of SKU-attributed refund $ on 0% of gross sales.</t>
  </si>
  <si>
    <t xml:space="preserve">Concentration: top 3 SKUs = 100% of family refunds (AUSRP-16sp, AUSRP-16sp-REG, AUSRP-16sp-DEL).</t>
  </si>
  <si>
    <t xml:space="preserve">Attention: 1 SKU(s) statistically above baseline; worst = AUSRP-16sp (Truffles &amp; Card) at 5.2% on 2,919 units.</t>
  </si>
  <si>
    <t xml:space="preserve">SC</t>
  </si>
  <si>
    <t xml:space="preserve">Refund rate 3.9% vs 3.1% portfolio (1.3x); family = 0% of SKU-attributed refund $ on 0% of gross sales.</t>
  </si>
  <si>
    <t xml:space="preserve">Concentration: top 2 SKUs = 100% of family refunds (SC01, SC01-REG).</t>
  </si>
  <si>
    <t xml:space="preserve">Attention: 1 SKU(s) statistically above baseline; worst = SC01 (Full Size Sympathy Card) at 3.9% on 8,341 units.</t>
  </si>
  <si>
    <t xml:space="preserve">GBAU</t>
  </si>
  <si>
    <t xml:space="preserve">Refund rate 1.5% vs 3.1% portfolio (0.5x); family = 0% of SKU-attributed refund $ on 0% of gross sales.</t>
  </si>
  <si>
    <t xml:space="preserve">Concentration: top 3 SKUs = 69% of family refunds (GBAU75-31, GBAU72-80, GBAU72-61).</t>
  </si>
  <si>
    <t xml:space="preserve">GWC</t>
  </si>
  <si>
    <t xml:space="preserve">Refund rate 3.8% vs 3.1% portfolio (1.2x); family = 0% of SKU-attributed refund $ on 0% of gross sales.</t>
  </si>
  <si>
    <t xml:space="preserve">Concentration: top 3 SKUs = 100% of family refunds (GWC-02, GWC-03, GWC-04).</t>
  </si>
  <si>
    <t xml:space="preserve">OR</t>
  </si>
  <si>
    <t xml:space="preserve">Refund rate 1.1% vs 3.1% portfolio (0.3x); family = 0% of SKU-attributed refund $ on 0% of gross sales.</t>
  </si>
  <si>
    <t xml:space="preserve">Concentration: top 3 SKUs = 75% of family refunds (OR100-04, OR50-03, OR100-02).</t>
  </si>
  <si>
    <t xml:space="preserve">HF</t>
  </si>
  <si>
    <t xml:space="preserve">Refund rate 1.6% vs 3.1% portfolio (0.5x); family = 0% of SKU-attributed refund $ on 0% of gross sales.</t>
  </si>
  <si>
    <t xml:space="preserve">Concentration: top 2 SKUs = 100% of family refunds (HF-01, HF-07).</t>
  </si>
  <si>
    <t xml:space="preserve">AUV</t>
  </si>
  <si>
    <t xml:space="preserve">Refund rate 1.2% vs 3.1% portfolio (0.4x); family = 0% of SKU-attributed refund $ on 0% of gross sales.</t>
  </si>
  <si>
    <t xml:space="preserve">Concentration: top 3 SKUs = 100% of family refunds (AUV11-11-PRE, AUV11-11, AUV11-11-REG).</t>
  </si>
  <si>
    <t xml:space="preserve">GBGC</t>
  </si>
  <si>
    <t xml:space="preserve">Refund rate 1.9% vs 3.1% portfolio (0.6x); family = 0% of SKU-attributed refund $ on 0% of gross sales.</t>
  </si>
  <si>
    <t xml:space="preserve">Concentration: top 3 SKUs = 100% of family refunds (GBGC-03, GBGC-01, GBGC-02).</t>
  </si>
  <si>
    <t xml:space="preserve">MDPR</t>
  </si>
  <si>
    <t xml:space="preserve">Refund rate 0.7% vs 3.1% portfolio (0.2x); family = 0% of SKU-attributed refund $ on 0% of gross sales.</t>
  </si>
  <si>
    <t xml:space="preserve">Concentration: top 3 SKUs = 100% of family refunds (MDPR-18A, MDPR-12A, MDPR-06A).</t>
  </si>
  <si>
    <t xml:space="preserve">MDDC</t>
  </si>
  <si>
    <t xml:space="preserve">Refund rate 0.8% vs 3.1% portfolio (0.2x); family = 0% of SKU-attributed refund $ on 0% of gross sales.</t>
  </si>
  <si>
    <t xml:space="preserve">Concentration: top 3 SKUs = 100% of family refunds (MDDC-01, MDDC-02, MDDC-03).</t>
  </si>
  <si>
    <t xml:space="preserve">MDLR</t>
  </si>
  <si>
    <t xml:space="preserve">Refund rate 0.3% vs 3.1% portfolio (0.1x); family = 0% of SKU-attributed refund $ on 0% of gross sales.</t>
  </si>
  <si>
    <t xml:space="preserve">Concentration: top 3 SKUs = 100% of family refunds (MDLR-04, MDLR-01, MDLR-01-DLX).</t>
  </si>
  <si>
    <t xml:space="preserve">Free / add-on / admin items</t>
  </si>
  <si>
    <t xml:space="preserve">Refund rate 0.0% vs 3.1% portfolio (0.0x); family = 0% of SKU-attributed refund $ on 0% of gross sales.</t>
  </si>
  <si>
    <t xml:space="preserve">No refunds recorded.</t>
  </si>
  <si>
    <t xml:space="preserve">Brand / family: AU</t>
  </si>
  <si>
    <t xml:space="preserve">vs portfolio baseline</t>
  </si>
  <si>
    <t xml:space="preserve">What to pay attention to</t>
  </si>
  <si>
    <t xml:space="preserve">1. Refund rate 4.3% vs 3.1% portfolio (1.4x); family = 28% of SKU-attributed refund $ on 26% of gross sales.</t>
  </si>
  <si>
    <t xml:space="preserve">2. Concentration: top 3 SKUs = 20% of family refunds (AU11-43, AU112-10, AU222-80).</t>
  </si>
  <si>
    <t xml:space="preserve">3. Attention: 18 SKU(s) statistically above baseline; worst = AU0511-17 (Summer Blooms) at 6.2% on 1,560 units.</t>
  </si>
  <si>
    <t xml:space="preserve">Top 15 SKUs in this family by refund $</t>
  </si>
  <si>
    <t xml:space="preserve">Refund rate ($)</t>
  </si>
  <si>
    <t xml:space="preserve">AU11-43</t>
  </si>
  <si>
    <t xml:space="preserve">AU112-10</t>
  </si>
  <si>
    <t xml:space="preserve">AU222-80</t>
  </si>
  <si>
    <t xml:space="preserve">AU0511-17</t>
  </si>
  <si>
    <t xml:space="preserve">AU11-10</t>
  </si>
  <si>
    <t xml:space="preserve">AU15-50</t>
  </si>
  <si>
    <t xml:space="preserve">AU100-48</t>
  </si>
  <si>
    <t xml:space="preserve">AU200-61</t>
  </si>
  <si>
    <t xml:space="preserve">AU1111-20</t>
  </si>
  <si>
    <t xml:space="preserve">AU112-12</t>
  </si>
  <si>
    <t xml:space="preserve">AU189-01</t>
  </si>
  <si>
    <t xml:space="preserve">AU100-545</t>
  </si>
  <si>
    <t xml:space="preserve">AU501-05</t>
  </si>
  <si>
    <t xml:space="preserve">AU0611-02</t>
  </si>
  <si>
    <t xml:space="preserve">AU120-71</t>
  </si>
  <si>
    <t xml:space="preserve">Brand / family: AUMJ</t>
  </si>
  <si>
    <t xml:space="preserve">1. Refund rate 4.8% vs 3.1% portfolio (1.5x); family = 23% of SKU-attributed refund $ on 20% of gross sales.</t>
  </si>
  <si>
    <t xml:space="preserve">2. Concentration: top 3 SKUs = 47% of family refunds (AUMJ-NW-005, AUMJ-NW-017, AUMJ-NW-011).</t>
  </si>
  <si>
    <t xml:space="preserve">3. Attention: 9 SKU(s) statistically above baseline; worst = AUMJ-NW-005 (Native Flowers Bouquet in Mason ) at 5.3% on 6,304 units.</t>
  </si>
  <si>
    <t xml:space="preserve">AUMJ-NW-005</t>
  </si>
  <si>
    <t xml:space="preserve">AUMJ-NW-017</t>
  </si>
  <si>
    <t xml:space="preserve">AUMJ-NW-011</t>
  </si>
  <si>
    <t xml:space="preserve">AUMJ-NW-003</t>
  </si>
  <si>
    <t xml:space="preserve">AUMJ-NW-019</t>
  </si>
  <si>
    <t xml:space="preserve">AUMJ-NW-030</t>
  </si>
  <si>
    <t xml:space="preserve">AUMJ-NW-008</t>
  </si>
  <si>
    <t xml:space="preserve">AUMJ-NW-025</t>
  </si>
  <si>
    <t xml:space="preserve">AUMJ-NW-007</t>
  </si>
  <si>
    <t xml:space="preserve">AUMJ-NW-028</t>
  </si>
  <si>
    <t xml:space="preserve">AUMJ-NW-020</t>
  </si>
  <si>
    <t xml:space="preserve">AUMJ-NW-016</t>
  </si>
  <si>
    <t xml:space="preserve">AUMJ-NW-015</t>
  </si>
  <si>
    <t xml:space="preserve">AUMJ-NW-004</t>
  </si>
  <si>
    <t xml:space="preserve">AUMJ-NW-024</t>
  </si>
  <si>
    <t xml:space="preserve">Brand / family: DC</t>
  </si>
  <si>
    <t xml:space="preserve">1. Refund rate 3.8% vs 3.1% portfolio (1.2x); family = 6% of SKU-attributed refund $ on 7% of gross sales.</t>
  </si>
  <si>
    <t xml:space="preserve">2. Concentration: top 3 SKUs = 63% of family refunds (DC-04S, DC-02S, DC-03S).</t>
  </si>
  <si>
    <t xml:space="preserve">3. Attention: 2 SKU(s) statistically above baseline; worst = DC-02B (Birthday Designer Collection II) at 8.7% on 322 units.</t>
  </si>
  <si>
    <t xml:space="preserve">DC-04S</t>
  </si>
  <si>
    <t xml:space="preserve">DC-02S</t>
  </si>
  <si>
    <t xml:space="preserve">DC-03S</t>
  </si>
  <si>
    <t xml:space="preserve">DC-01S</t>
  </si>
  <si>
    <t xml:space="preserve">DC-02B</t>
  </si>
  <si>
    <t xml:space="preserve">DC-01B</t>
  </si>
  <si>
    <t xml:space="preserve">DC-01A</t>
  </si>
  <si>
    <t xml:space="preserve">DC-02A</t>
  </si>
  <si>
    <t xml:space="preserve">DC-04B</t>
  </si>
  <si>
    <t xml:space="preserve">DC-03B</t>
  </si>
  <si>
    <t xml:space="preserve">DC-03A</t>
  </si>
  <si>
    <t xml:space="preserve">DC-03A-DLX</t>
  </si>
  <si>
    <t xml:space="preserve">DC-03A-SS</t>
  </si>
  <si>
    <t xml:space="preserve">DC112-01</t>
  </si>
  <si>
    <t xml:space="preserve">DC112-02</t>
  </si>
  <si>
    <t xml:space="preserve">Brand / family: AUSGF</t>
  </si>
  <si>
    <t xml:space="preserve">1. Refund rate 3.6% vs 3.1% portfolio (1.2x); family = 6% of SKU-attributed refund $ on 7% of gross sales.</t>
  </si>
  <si>
    <t xml:space="preserve">2. Concentration: top 3 SKUs = 100% of family refunds (AUSGF16-115, AUSGF16-110, AUSGF16-115-REG).</t>
  </si>
  <si>
    <t xml:space="preserve">3. Attention: 1 SKU(s) statistically above baseline; worst = AUSGF16-115 (Delicate Elegance) at 3.6% on 11,490 units.</t>
  </si>
  <si>
    <t xml:space="preserve">AUSGF16-115</t>
  </si>
  <si>
    <t xml:space="preserve">AUSGF16-110</t>
  </si>
  <si>
    <t xml:space="preserve">AUSGF16-115-REG</t>
  </si>
  <si>
    <t xml:space="preserve">AUSGF16-110-DEL</t>
  </si>
  <si>
    <t xml:space="preserve">AUSGF16-110-GRA</t>
  </si>
  <si>
    <t xml:space="preserve">AUSGF16-110-PRE</t>
  </si>
  <si>
    <t xml:space="preserve">AUSGF16-110-REG</t>
  </si>
  <si>
    <t xml:space="preserve">AUSGF16-115-DEL</t>
  </si>
  <si>
    <t xml:space="preserve">AUSGF16-115-GRA</t>
  </si>
  <si>
    <t xml:space="preserve">AUSGF16-115-PRE</t>
  </si>
  <si>
    <t xml:space="preserve">Brand / family: MJ</t>
  </si>
  <si>
    <t xml:space="preserve">1. Refund rate 3.1% vs 3.1% portfolio (1.0x); family = 6% of SKU-attributed refund $ on 7% of gross sales.</t>
  </si>
  <si>
    <t xml:space="preserve">2. Concentration: top 3 SKUs = 54% of family refunds (MJ100-17, MJ100-04, MJ100-62).</t>
  </si>
  <si>
    <t xml:space="preserve">3. Attention: 2 SKU(s) statistically above baseline; worst = MJ100-17 (Thirty Blooms of Alstroemeria in) at 5.0% on 2,096 units.</t>
  </si>
  <si>
    <t xml:space="preserve">MJ100-17</t>
  </si>
  <si>
    <t xml:space="preserve">MJ100-04</t>
  </si>
  <si>
    <t xml:space="preserve">MJ100-62</t>
  </si>
  <si>
    <t xml:space="preserve">MJ100-20</t>
  </si>
  <si>
    <t xml:space="preserve">MJ100-118</t>
  </si>
  <si>
    <t xml:space="preserve">MJ100-11</t>
  </si>
  <si>
    <t xml:space="preserve">MJ100-01</t>
  </si>
  <si>
    <t xml:space="preserve">MJ100-09</t>
  </si>
  <si>
    <t xml:space="preserve">MJ22-10</t>
  </si>
  <si>
    <t xml:space="preserve">MJ102-53</t>
  </si>
  <si>
    <t xml:space="preserve">MJ11-30</t>
  </si>
  <si>
    <t xml:space="preserve">MJ100-111</t>
  </si>
  <si>
    <t xml:space="preserve">MJ100-31</t>
  </si>
  <si>
    <t xml:space="preserve">MJ100-24</t>
  </si>
  <si>
    <t xml:space="preserve">MJ99-08</t>
  </si>
  <si>
    <t xml:space="preserve">Brand / family: GF</t>
  </si>
  <si>
    <t xml:space="preserve">1. Refund rate 5.2% vs 3.1% portfolio (1.7x); family = 4% of SKU-attributed refund $ on 3% of gross sales.</t>
  </si>
  <si>
    <t xml:space="preserve">2. Concentration: top 3 SKUs = 77% of family refunds (GF16-100, GF16-110, GF16-105).</t>
  </si>
  <si>
    <t xml:space="preserve">3. Attention: 4 SKU(s) statistically above baseline; worst = GF16-100 (Blushing Elegance) at 5.3% on 1,333 units.</t>
  </si>
  <si>
    <t xml:space="preserve">GF16-100</t>
  </si>
  <si>
    <t xml:space="preserve">GF16-110</t>
  </si>
  <si>
    <t xml:space="preserve">GF16-105</t>
  </si>
  <si>
    <t xml:space="preserve">GF16-115</t>
  </si>
  <si>
    <t xml:space="preserve">GF10-15</t>
  </si>
  <si>
    <t xml:space="preserve">GF60-10</t>
  </si>
  <si>
    <t xml:space="preserve">GF10-18</t>
  </si>
  <si>
    <t xml:space="preserve">GF10-01</t>
  </si>
  <si>
    <t xml:space="preserve">GF10-17</t>
  </si>
  <si>
    <t xml:space="preserve">GF60-12</t>
  </si>
  <si>
    <t xml:space="preserve">GF16-110-DEL</t>
  </si>
  <si>
    <t xml:space="preserve">GF10-30</t>
  </si>
  <si>
    <t xml:space="preserve">GF10-04</t>
  </si>
  <si>
    <t xml:space="preserve">GF16-115-DEL</t>
  </si>
  <si>
    <t xml:space="preserve">GF10-02</t>
  </si>
  <si>
    <t xml:space="preserve">Brand / family: AURP</t>
  </si>
  <si>
    <t xml:space="preserve">1. Refund rate 4.2% vs 3.1% portfolio (1.3x); family = 4% of SKU-attributed refund $ on 4% of gross sales.</t>
  </si>
  <si>
    <t xml:space="preserve">2. Concentration: top 3 SKUs = 36% of family refunds (AURP-B29, AURP-C02, AURP05).</t>
  </si>
  <si>
    <t xml:space="preserve">3. Attention: 8 SKU(s) statistically above baseline; worst = AURP04 (Glass Vase (Hand blown)) at 5.2% on 1,997 units.</t>
  </si>
  <si>
    <t xml:space="preserve">AURP-B29</t>
  </si>
  <si>
    <t xml:space="preserve">AURP-C02</t>
  </si>
  <si>
    <t xml:space="preserve">AURP05</t>
  </si>
  <si>
    <t xml:space="preserve">AURP-13sp</t>
  </si>
  <si>
    <t xml:space="preserve">AURP03</t>
  </si>
  <si>
    <t xml:space="preserve">AURP02-30</t>
  </si>
  <si>
    <t xml:space="preserve">AURP04</t>
  </si>
  <si>
    <t xml:space="preserve">AURP-B1</t>
  </si>
  <si>
    <t xml:space="preserve">AURP-12</t>
  </si>
  <si>
    <t xml:space="preserve">AURP-C01</t>
  </si>
  <si>
    <t xml:space="preserve">AURP06</t>
  </si>
  <si>
    <t xml:space="preserve">AURP-10sp</t>
  </si>
  <si>
    <t xml:space="preserve">AURP-15sp</t>
  </si>
  <si>
    <t xml:space="preserve">AURP-W11WB</t>
  </si>
  <si>
    <t xml:space="preserve">AURP-80</t>
  </si>
  <si>
    <t xml:space="preserve">Brand / family: AUSMJ</t>
  </si>
  <si>
    <t xml:space="preserve">1. Refund rate 4.1% vs 3.1% portfolio (1.3x); family = 3% of SKU-attributed refund $ on 3% of gross sales.</t>
  </si>
  <si>
    <t xml:space="preserve">2. Concentration: top 3 SKUs = 100% of family refunds (AUSMJ100-11, AUSMJ100-11-DEL, AUSMJ100-11-REG).</t>
  </si>
  <si>
    <t xml:space="preserve">3. Attention: 1 SKU(s) statistically above baseline; worst = AUSMJ100-11 (Breathtaking Blooms In Mason Jar) at 4.1% on 4,959 units.</t>
  </si>
  <si>
    <t xml:space="preserve">AUSMJ100-11</t>
  </si>
  <si>
    <t xml:space="preserve">AUSMJ100-11-DEL</t>
  </si>
  <si>
    <t xml:space="preserve">AUSMJ100-11-REG</t>
  </si>
  <si>
    <t xml:space="preserve">AUSMJ100-11-GRA</t>
  </si>
  <si>
    <t xml:space="preserve">AUSMJ100-11-PRE</t>
  </si>
  <si>
    <t xml:space="preserve">Anomaly detection</t>
  </si>
  <si>
    <t xml:space="preserve">Method: each SKU / brand refund count is compared with what the portfolio baseline rate predicts for its volume (binomial z-score). z &gt;= 3 with min volume &amp; refunds (Settings) = HIGH RATE. Caveat: refunds can cluster by order, so true significance is somewhat weaker than z implies - treat as a prioritisation signal, not proof.</t>
  </si>
  <si>
    <t xml:space="preserve">A) TIME anomalies (sudden spikes by date / month)</t>
  </si>
  <si>
    <t xml:space="preserve">NOT TESTABLE with this file. The export is one total per SKU for 2026-01-01 to 2026-10-10 - it has no date, month, order or store column, so a sudden increase on a given day/month cannot be seen. To enable it, re-export the same report with 'Day' or 'Month' added as a dimension (and 'Store/Vendor' if available). Once provided, I will add a monthly trend and spike detection (month-over-month and vs. trailing average) per brand and per SKU.</t>
  </si>
  <si>
    <t xml:space="preserve">B) DATA anomalies</t>
  </si>
  <si>
    <t xml:space="preserve">Finding</t>
  </si>
  <si>
    <t xml:space="preserve">Why it matters / next step</t>
  </si>
  <si>
    <t xml:space="preserve">Refund line with NO SKU and NO product title: $542,320 ex-tax = 52% of all reversals in the export ($1,045,073). Gross sales and units on that line are 0.</t>
  </si>
  <si>
    <t xml:space="preserve">Biggest single item in the file; cannot be ranked by product. Likely order-level / non-line refunds (shipping, tips, adjustments, or refunds booked without line items) - to be confirmed. Ask for the refund report by order with refund reason.</t>
  </si>
  <si>
    <t xml:space="preserve">326 lines have a title but blank SKU (custom / manual orders, e.g. 'CO-...'): refunds $2,385 on 430 units - refund rate 11.4%, ~3.5x the baseline.</t>
  </si>
  <si>
    <t xml:space="preserve">Small in $, but a high rate: manual orders have no SKU control. Excluded from SKU ranking.</t>
  </si>
  <si>
    <t xml:space="preserve">424 SKUs appear on more than one row because the title at time of sale changed. Rows were merged by SKU (title = highest-sales name).</t>
  </si>
  <si>
    <t xml:space="preserve">Check whether renamed products were also repriced or re-specified - a rename plus a spec change can drive refunds.</t>
  </si>
  <si>
    <t xml:space="preserve">Several 'products' are add-ons (vase, card, balloon, teddy, chocolates: RP*, AURP*, AUSRP*, SC*, VDB*) with refund rates of 5-8%.</t>
  </si>
  <si>
    <t xml:space="preserve">Likely refunded together with the parent order rather than on their own merit - verify before blaming the add-on.</t>
  </si>
  <si>
    <t xml:space="preserve">C) SKU anomalies - refund rate significantly above baseline (top 40 by z-score, live)</t>
  </si>
  <si>
    <t xml:space="preserve">Flagged SKUs in total (live): </t>
  </si>
  <si>
    <t xml:space="preserve">D) Extreme rate but LOW volume (below min volume - watch, not yet significant)</t>
  </si>
  <si>
    <t xml:space="preserve">AU101-45</t>
  </si>
  <si>
    <t xml:space="preserve">FYF-blue-iris-bouquet-ten-stems-C</t>
  </si>
  <si>
    <t xml:space="preserve">AU115-12W</t>
  </si>
  <si>
    <t xml:space="preserve">FYF-plush-teddy-bear-D-4</t>
  </si>
  <si>
    <t xml:space="preserve">AUSGRT-04</t>
  </si>
  <si>
    <t xml:space="preserve">FYF-one-dozen-boxed-red-roses-nz-product-special-price-C</t>
  </si>
  <si>
    <t xml:space="preserve">FYF-native-flowers-designer-bouquet-G-3</t>
  </si>
  <si>
    <t xml:space="preserve">E) BRAND / family anomalies (live from Brands tab)</t>
  </si>
  <si>
    <t xml:space="preserve">Direction</t>
  </si>
  <si>
    <t xml:space="preserve">ABOVE baseline</t>
  </si>
  <si>
    <t xml:space="preserve">BELOW baseline (benchmark)</t>
  </si>
  <si>
    <t xml:space="preserve">F) Same product title, different SKU - very different refund rates (possible store / size / spec / fulfilment issue)</t>
  </si>
  <si>
    <t xml:space="preserve">Product title</t>
  </si>
  <si>
    <t xml:space="preserve">Worst SKU</t>
  </si>
  <si>
    <t xml:space="preserve">Its rate</t>
  </si>
  <si>
    <t xml:space="preserve">Its units</t>
  </si>
  <si>
    <t xml:space="preserve">Best SKU</t>
  </si>
  <si>
    <t xml:space="preserve">Gap (x)</t>
  </si>
  <si>
    <t xml:space="preserve">Native Flowers Bouquet in Mason Jar</t>
  </si>
  <si>
    <t xml:space="preserve">AUMJ-NW-005-REG</t>
  </si>
  <si>
    <t xml:space="preserve">Delicate Elegance</t>
  </si>
  <si>
    <t xml:space="preserve">Designer Collection Mason Jar I</t>
  </si>
  <si>
    <t xml:space="preserve">DCMJ-01</t>
  </si>
  <si>
    <t xml:space="preserve">DCMJ-01A</t>
  </si>
  <si>
    <t xml:space="preserve">Designer Sympathy Collection I</t>
  </si>
  <si>
    <t xml:space="preserve">DCS-01</t>
  </si>
  <si>
    <t xml:space="preserve">Things to review - ordered by priority</t>
  </si>
  <si>
    <t xml:space="preserve">P1 = act first, P2 = review next, P3 = housekeeping / watch. Owner and Status are for you to fill. Numbers are as of the export (see live tabs for current values).</t>
  </si>
  <si>
    <t xml:space="preserve">Priority</t>
  </si>
  <si>
    <t xml:space="preserve">Area</t>
  </si>
  <si>
    <t xml:space="preserve">Item</t>
  </si>
  <si>
    <t xml:space="preserve">Evidence</t>
  </si>
  <si>
    <t xml:space="preserve">Suggested next step</t>
  </si>
  <si>
    <t xml:space="preserve">Owner</t>
  </si>
  <si>
    <t xml:space="preserve">Status</t>
  </si>
  <si>
    <t xml:space="preserve">P1</t>
  </si>
  <si>
    <t xml:space="preserve">Data</t>
  </si>
  <si>
    <t xml:space="preserve">Refund line with no SKU / no product ($542,320)</t>
  </si>
  <si>
    <t xml:space="preserve">52% of all reversals in the export; no units, no gross sales attached.</t>
  </si>
  <si>
    <t xml:space="preserve">Pull the refund report by ORDER (with refund reason, shipping/tip/adjustment split) to find what these are. Until explained, product-level ranking covers only ~48% of refund $.</t>
  </si>
  <si>
    <t xml:space="preserve">Time / dates</t>
  </si>
  <si>
    <t xml:space="preserve">Months, weeks, days: NOT reviewable yet</t>
  </si>
  <si>
    <t xml:space="preserve">Export has one total per SKU for 2026-01-01 to 2026-10-10 - no date dimension.</t>
  </si>
  <si>
    <t xml:space="preserve">Re-run the report with Month (and Day) as a dimension + Store/Vendor. I will then add trend and spike detection by month, brand and SKU.</t>
  </si>
  <si>
    <t xml:space="preserve">AUMJ-NW-008 - Golden Hour Bouquet in Mason Jar</t>
  </si>
  <si>
    <t xml:space="preserve">Rank 1: 8.0% refund rate (2.6x baseline), 40 units, $3,724 refunded, z=6.3.</t>
  </si>
  <si>
    <t xml:space="preserve">Review recent quality/delivery complaints, photos vs. actual, substitutions, size/variant expectations.</t>
  </si>
  <si>
    <t xml:space="preserve">AU0511-17 - Summer Blooms</t>
  </si>
  <si>
    <t xml:space="preserve">Rank 2: 6.2% refund rate (2.0x baseline), 97 units, $5,315 refunded, z=7.1.</t>
  </si>
  <si>
    <t xml:space="preserve">AU501-05 - Half Dozen Red Roses, Card &amp; Teddy</t>
  </si>
  <si>
    <t xml:space="preserve">Rank 3: 8.7% refund rate (2.8x baseline), 34 units, $2,661 refunded, z=6.4.</t>
  </si>
  <si>
    <t xml:space="preserve">DC-02B - Birthday Designer Collection II</t>
  </si>
  <si>
    <t xml:space="preserve">Rank 4: 8.7% refund rate (2.8x baseline), 28 units, $2,889 refunded, z=5.8.</t>
  </si>
  <si>
    <t xml:space="preserve">AUMJ-NW-019 - Garden Party Bouquet in Mason Jar</t>
  </si>
  <si>
    <t xml:space="preserve">Rank 5: 5.9% refund rate (1.9x baseline), 74 units, $8,227 refunded, z=5.8.</t>
  </si>
  <si>
    <t xml:space="preserve">AU100-545 - Gentle Thoughts Spray</t>
  </si>
  <si>
    <t xml:space="preserve">Rank 6: 11.7% refund rate (3.8x baseline), 15 units, $2,729 refunded, z=5.6.</t>
  </si>
  <si>
    <t xml:space="preserve">AU11-10 - Ten Long Stemmed Red Roses</t>
  </si>
  <si>
    <t xml:space="preserve">Rank 7: 6.3% refund rate (2.0x baseline), 41 units, $3,718 refunded, z=4.7.</t>
  </si>
  <si>
    <t xml:space="preserve">AU200-61 - Country Roads</t>
  </si>
  <si>
    <t xml:space="preserve">Rank 8: 6.9% refund rate (2.2x baseline), 25 units, $3,303 refunded, z=4.2.</t>
  </si>
  <si>
    <t xml:space="preserve">AUMJ-NW-005 - Native Flowers Bouquet in Mason Jar</t>
  </si>
  <si>
    <t xml:space="preserve">Rank 9: 5.3% refund rate (1.7x baseline), 335 units, $30,439 refunded, z=10.2.</t>
  </si>
  <si>
    <t xml:space="preserve">AUMJ-NW-007 - Pick-Me-Up Bouquet in Mason Jar</t>
  </si>
  <si>
    <t xml:space="preserve">Rank 10: 6.1% refund rate (2.0x baseline), 48 units, $3,223 refunded, z=4.8.</t>
  </si>
  <si>
    <t xml:space="preserve">SKU (largest $)</t>
  </si>
  <si>
    <t xml:space="preserve">Largest refund $ and units in the file: $30,439, 335 units (6.1% of SKU-attributed refund $); rate 5.3% vs 3.1% baseline.</t>
  </si>
  <si>
    <t xml:space="preserve">Even a modest rate cut here is worth more than most other fixes. Check refund reasons for this SKU first.</t>
  </si>
  <si>
    <t xml:space="preserve">AUMJ family</t>
  </si>
  <si>
    <t xml:space="preserve">23% of SKU-attributed refund $; rate 4.75% vs 3.10% baseline (z=16).</t>
  </si>
  <si>
    <t xml:space="preserve">Family-wide pattern (not just 1-2 SKUs): look at shared factors - florists/fulfilment partners, packaging, delivery windows, product photography.</t>
  </si>
  <si>
    <t xml:space="preserve">AU family</t>
  </si>
  <si>
    <t xml:space="preserve">28% of SKU-attributed refund $; rate 4.30% vs 3.10% baseline (z=13).</t>
  </si>
  <si>
    <t xml:space="preserve">P2</t>
  </si>
  <si>
    <t xml:space="preserve">GF family</t>
  </si>
  <si>
    <t xml:space="preserve">Rate 5.2% (1.7x baseline) on 4,520 units; $21,203 refunded. Highest-rate sizeable family among the large ones.</t>
  </si>
  <si>
    <t xml:space="preserve">Review top SKUs in Brands tab; confirm with brand owner.</t>
  </si>
  <si>
    <t xml:space="preserve">LF family</t>
  </si>
  <si>
    <t xml:space="preserve">Rate 5.9% (1.9x baseline) on 819 units; $4,215 refunded. Small volume, high rate.</t>
  </si>
  <si>
    <t xml:space="preserve">BLXNZ family</t>
  </si>
  <si>
    <t xml:space="preserve">Rate 6.1% (2.0x baseline) on 652 units; $3,859 refunded. Small volume, high rate.</t>
  </si>
  <si>
    <t xml:space="preserve">AUBC family</t>
  </si>
  <si>
    <t xml:space="preserve">Rate 5.1% (1.6x baseline) on 1,395 units; $8,477 refunded. Combo products.</t>
  </si>
  <si>
    <t xml:space="preserve">DCB family</t>
  </si>
  <si>
    <t xml:space="preserve">Rate 5.6% (1.8x baseline) on 604 units; $3,221 refunded. Designer birthday collection.</t>
  </si>
  <si>
    <t xml:space="preserve">DCS family</t>
  </si>
  <si>
    <t xml:space="preserve">Rate 6.8% (2.2x baseline) on 325 units; $2,376 refunded. Designer sympathy collection.</t>
  </si>
  <si>
    <t xml:space="preserve">SKU group</t>
  </si>
  <si>
    <t xml:space="preserve">Add-ons: vases, cards, balloons, truffles (RP*, AURP*, AUSRP*)</t>
  </si>
  <si>
    <t xml:space="preserve">Rates of 5-8% (e.g. RP03S Clear Glass Vase, RP19 Full Size Birthday Card, AUSRP-16sp Truffles &amp; Card) - statistically high but small $.</t>
  </si>
  <si>
    <t xml:space="preserve">Check whether these are refunded WITH their parent order (then fix the parent) or separately (missing/damaged add-on = pick-pack issue).</t>
  </si>
  <si>
    <t xml:space="preserve">SKU (high rate, low volume)</t>
  </si>
  <si>
    <t xml:space="preserve">DCA-02-00 - Anniversary Designer Collection II</t>
  </si>
  <si>
    <t xml:space="preserve">21.1% refund rate on 38 units (8 refunded), $735.</t>
  </si>
  <si>
    <t xml:space="preserve">Small volume but very high rate and high ticket: consider pausing / fixing before the next peak.</t>
  </si>
  <si>
    <t xml:space="preserve">AU100-571 - Hope &amp; Honour Cross</t>
  </si>
  <si>
    <t xml:space="preserve">18.9% refund rate on 37 units (7 refunded), $1,720.</t>
  </si>
  <si>
    <t xml:space="preserve">AU100-582 - Rose Garden Heart</t>
  </si>
  <si>
    <t xml:space="preserve">15.0% refund rate on 40 units (6 refunded), $1,504.</t>
  </si>
  <si>
    <t xml:space="preserve">DCB-03 - Birthday Designer Collection III</t>
  </si>
  <si>
    <t xml:space="preserve">14.3% refund rate on 35 units (5 refunded), $619.</t>
  </si>
  <si>
    <t xml:space="preserve">Cross-SKU</t>
  </si>
  <si>
    <t xml:space="preserve">'Native Flowers Bouquet in Mason Jar': AUMJ-NW-005 vs AUMJ-NW-005-REG</t>
  </si>
  <si>
    <t xml:space="preserve">AUMJ-NW-005 5.3% vs AUMJ-NW-005-REG 0.7% on the same product name.</t>
  </si>
  <si>
    <t xml:space="preserve">Same name, different outcome: compare spec/recipe, store, fulfilment partner and size between the two SKUs.</t>
  </si>
  <si>
    <t xml:space="preserve">'Delicate Elegance': GF16-115 vs AUSGF16-115-REG</t>
  </si>
  <si>
    <t xml:space="preserve">GF16-115 4.5% vs AUSGF16-115-REG 1.5% on the same product name.</t>
  </si>
  <si>
    <t xml:space="preserve">'Designer Collection Mason Jar I': DCMJ-01 vs DCMJ-01A</t>
  </si>
  <si>
    <t xml:space="preserve">DCMJ-01 8.6% vs DCMJ-01A 0.6% on the same product name.</t>
  </si>
  <si>
    <t xml:space="preserve">P3</t>
  </si>
  <si>
    <t xml:space="preserve">Benchmark</t>
  </si>
  <si>
    <t xml:space="preserve">Free / add-on / admin items family is BELOW baseline</t>
  </si>
  <si>
    <t xml:space="preserve">Rate 0.0% vs 3.1% on 63,216 units.</t>
  </si>
  <si>
    <t xml:space="preserve">Use as a benchmark: what does this brand do differently (packaging, partners, descriptions)? Apply to high-rate families.</t>
  </si>
  <si>
    <t xml:space="preserve">MDM family is BELOW baseline</t>
  </si>
  <si>
    <t xml:space="preserve">Rate 2.1% vs 3.1% on 4,105 units.</t>
  </si>
  <si>
    <t xml:space="preserve">OR family is BELOW baseline</t>
  </si>
  <si>
    <t xml:space="preserve">Rate 1.1% vs 3.1% on 753 units.</t>
  </si>
  <si>
    <t xml:space="preserve">326 manual lines with no SKU</t>
  </si>
  <si>
    <t xml:space="preserve">Refund rate 11.4% on 430 units ($2,385).</t>
  </si>
  <si>
    <t xml:space="preserve">Consider requiring a SKU/reason on custom orders.</t>
  </si>
  <si>
    <t xml:space="preserve">424 SKUs sold under more than one title</t>
  </si>
  <si>
    <t xml:space="preserve">Merged by SKU in this report.</t>
  </si>
  <si>
    <t xml:space="preserve">Confirm renames did not change the product spec.</t>
  </si>
  <si>
    <t xml:space="preserve">Method</t>
  </si>
  <si>
    <t xml:space="preserve">Seasonal SKUs (Mother's Day MD*, Valentine's AUV*, Easter, Christmas)</t>
  </si>
  <si>
    <t xml:space="preserve">Refunds are dated by refund date; orders by order date, so peak-season SKUs can look artificially low/high at the period edges (see low rates on MD* families).</t>
  </si>
  <si>
    <t xml:space="preserve">Re-check these in a date-split export.</t>
  </si>
  <si>
    <t xml:space="preserve">Notes, definitions &amp; caveats</t>
  </si>
  <si>
    <t xml:space="preserve">Source</t>
  </si>
  <si>
    <t xml:space="preserve">Shopify export "Refunded - All stores - 2026-01-01 - 2026-10-10" (2,960 rows, 1,779 distinct SKUs after merging rows that share a SKU). Report date 2026-10-09.</t>
  </si>
  <si>
    <t xml:space="preserve">"Sales reversals" column (ex-tax). "Total sales reversals" is ~10% higher (tax included) and is not used. Shown as positive numbers here.</t>
  </si>
  <si>
    <t xml:space="preserve">"Reversed quantity" (sign flipped). Refund rate (units) = refunded units / quantity ordered.</t>
  </si>
  <si>
    <t xml:space="preserve">Refund $ / gross sales of the same SKU.</t>
  </si>
  <si>
    <t xml:space="preserve">Refund $ / total gross sales in the export (SKU lines + no-SKU custom lines). This is the "impact on sales" lens.</t>
  </si>
  <si>
    <t xml:space="preserve">Baseline</t>
  </si>
  <si>
    <t xml:space="preserve">Portfolio refund rate in units (Settings!B3). "Rate vs baseline" = SKU rate / baseline.</t>
  </si>
  <si>
    <t xml:space="preserve">Priority score</t>
  </si>
  <si>
    <t xml:space="preserve">Average of three percentile ranks: refunded units, refund $, and shrunk refund rate. Shrinkage (Settings k) stops tiny-volume SKUs with 1-2 refunds from topping the list. Tiers: rank &lt;=25 = Fix first; &lt;=100 = Review; others with refunds = Monitor.</t>
  </si>
  <si>
    <t xml:space="preserve">Anomaly (z-score)</t>
  </si>
  <si>
    <t xml:space="preserve">z = (refunds - volume x baseline) / sqrt(volume x baseline x (1 - baseline)). HIGH RATE = z &gt;= 3 with min volume 30 units and &gt;=3 refunds. Refunds cluster within orders, so treat as a ranking signal, not statistical proof.</t>
  </si>
  <si>
    <t xml:space="preserve">"Brand"</t>
  </si>
  <si>
    <t xml:space="preserve">There is NO brand/store column in the export. Brand = SKU prefix (letters before the first digit or dash), with prefixes under $25k gross sales grouped as "Other". Edit Brand Map to rename/regroup; brand tabs (B-*) are snapshots of the top 8 families.</t>
  </si>
  <si>
    <t xml:space="preserve">Unattributed refunds</t>
  </si>
  <si>
    <t xml:space="preserve">$542,320 of reversals have no SKU/title (first row of the export). They are excluded from SKU rankings and shown separately on the Dashboard.</t>
  </si>
  <si>
    <t xml:space="preserve">Not possible with this file</t>
  </si>
  <si>
    <t xml:space="preserve">Anything by date/month, by store, by refund reason, by order or by customer. Re-export with those dimensions to unlock time anomalies.</t>
  </si>
  <si>
    <t xml:space="preserve">Timing caveat</t>
  </si>
  <si>
    <t xml:space="preserve">Refunds are counted in the period they were refunded, orders in the period ordered; refunds on pre-2026 orders (or 2026 orders not yet refunded) skew rates, especially for seasonal SKUs.</t>
  </si>
  <si>
    <t xml:space="preserve">Live vs static</t>
  </si>
  <si>
    <t xml:space="preserve">SKU Data, Priority SKUs, Rankings, Brands, Anomalies B-F tables and Dashboard numbers are live formulas. Narrative text (comments, key findings, Review List) was written from the data at export date and does not update; brand-tab SKU lists are fixed.</t>
  </si>
  <si>
    <t xml:space="preserve">Settings &amp; control totals</t>
  </si>
  <si>
    <t xml:space="preserve">Blue = editable input. Everything in SKU Data, Priority SKUs, Rankings, Brands and the Dashboard recalculates from these.</t>
  </si>
  <si>
    <t xml:space="preserve">Portfolio baseline refund rate (units)</t>
  </si>
  <si>
    <t xml:space="preserve">Formula: total refunded units / total units ordered (SKU rows). Used as the "expected" rate for anomaly tests.</t>
  </si>
  <si>
    <t xml:space="preserve">Min units ordered to rank/flag a SKU on rate</t>
  </si>
  <si>
    <t xml:space="preserve">Assumption: below this volume a rate is mostly noise (e.g. 1 of 2 units = 50%).</t>
  </si>
  <si>
    <t xml:space="preserve">Min refunded units to flag an anomaly</t>
  </si>
  <si>
    <t xml:space="preserve">Assumption.</t>
  </si>
  <si>
    <t xml:space="preserve">Anomaly threshold (z-score)</t>
  </si>
  <si>
    <t xml:space="preserve">Assumption: SKU flagged HIGH RATE when its refunds are &gt;= this many standard deviations above what the baseline rate predicts (binomial approx.). 3 ~ 99.9% confidence per SKU.</t>
  </si>
  <si>
    <t xml:space="preserve">Shrinkage strength k (units)</t>
  </si>
  <si>
    <t xml:space="preserve">Assumption: rate used for the score = (refunds + k*baseline)/(units + k). Pulls small-volume SKUs toward the baseline so a 3-order SKU cannot top the list.</t>
  </si>
  <si>
    <t xml:space="preserve">Score weight - refunded units (qty)</t>
  </si>
  <si>
    <t xml:space="preserve">Assumption: equal thirds = the three criteria requested.</t>
  </si>
  <si>
    <t xml:space="preserve">Score weight - refund $ (impact on total revenue)</t>
  </si>
  <si>
    <t xml:space="preserve">Score weight - refund rate on own sales</t>
  </si>
  <si>
    <t xml:space="preserve">Tier 1 "Fix first" = priority rank up to</t>
  </si>
  <si>
    <t xml:space="preserve">Tier 2 "Review" = priority rank up to</t>
  </si>
  <si>
    <t xml:space="preserve">Refunds with NO product line (SKU &amp; title blank) $</t>
  </si>
  <si>
    <t xml:space="preserve">From the export: first data row, blank SKU/title, Sales reversals -542,319.62 (Total incl. tax -616,825.95).</t>
  </si>
  <si>
    <t xml:space="preserve">Refunds on manual / custom lines with no SKU $</t>
  </si>
  <si>
    <t xml:space="preserve">From the export: 326 rows with a title but blank SKU (e.g. 'CO-...' custom orders). Excluded from SKU ranking.</t>
  </si>
  <si>
    <t xml:space="preserve">Gross sales on those no-SKU custom lines $</t>
  </si>
  <si>
    <t xml:space="preserve">From the export.</t>
  </si>
  <si>
    <t xml:space="preserve">Total SKU-attributed refund $</t>
  </si>
  <si>
    <t xml:space="preserve">Formula.</t>
  </si>
  <si>
    <t xml:space="preserve">Total SKU gross sales $</t>
  </si>
  <si>
    <t xml:space="preserve">Total units ordered (SKU rows)</t>
  </si>
  <si>
    <t xml:space="preserve">Total refunded units (SKU rows)</t>
  </si>
  <si>
    <t xml:space="preserve">Total gross sales in export $ (SKU + no-SKU lines)</t>
  </si>
  <si>
    <t xml:space="preserve">Denominator for "% of total revenue".</t>
  </si>
  <si>
    <t xml:space="preserve">Total refunds in export $ (SKU + no-SKU + no-line)</t>
  </si>
  <si>
    <t xml:space="preserve">Everything the export reversed.</t>
  </si>
  <si>
    <t xml:space="preserve">Brand / SKU-family map</t>
  </si>
  <si>
    <t xml:space="preserve">The export has NO brand or store column. 'Brand' in this workbook = SKU prefix family (letters before the first digit/dash). Edit column B to regroup (e.g. rename prefixes to real brand/store names) - SKU Data, Brands and all tabs update. Brand tabs are static snapshots.</t>
  </si>
  <si>
    <t xml:space="preserve">SKU prefix</t>
  </si>
  <si>
    <t xml:space="preserve">Brand / family (editable)</t>
  </si>
  <si>
    <t xml:space="preserve">Example SKU</t>
  </si>
  <si>
    <t xml:space="preserve">Example product</t>
  </si>
  <si>
    <t xml:space="preserve">Warm Embrace</t>
  </si>
  <si>
    <t xml:space="preserve">What a Treat in Mason Jar</t>
  </si>
  <si>
    <t xml:space="preserve">Designer Sympathy Collection IV</t>
  </si>
  <si>
    <t xml:space="preserve">The Birthday Bundle</t>
  </si>
  <si>
    <t xml:space="preserve">Blushing Elegance</t>
  </si>
  <si>
    <t xml:space="preserve">Breathtaking Blooms In Mason Jar</t>
  </si>
  <si>
    <t xml:space="preserve">AUDNAT-02</t>
  </si>
  <si>
    <t xml:space="preserve">Native Flowers Bouquet Designer Collection II</t>
  </si>
  <si>
    <t xml:space="preserve">MDM25-13</t>
  </si>
  <si>
    <t xml:space="preserve">Blushing Muse Bouquet</t>
  </si>
  <si>
    <t xml:space="preserve">FYF-what-a-treat-in-mason-jar-mixed-bouquet-C</t>
  </si>
  <si>
    <t xml:space="preserve">What A Treat In Mason Jar Mixed Bouquet</t>
  </si>
  <si>
    <t xml:space="preserve">AUBC-02</t>
  </si>
  <si>
    <t xml:space="preserve">Birthday Combo II</t>
  </si>
  <si>
    <t xml:space="preserve">AUCH25-04</t>
  </si>
  <si>
    <t xml:space="preserve">Snowy Rose in Mason Jar</t>
  </si>
  <si>
    <t xml:space="preserve">FBAU74-90</t>
  </si>
  <si>
    <t xml:space="preserve">Super Deluxe Fruit Basket</t>
  </si>
  <si>
    <t xml:space="preserve">AUFS-05</t>
  </si>
  <si>
    <t xml:space="preserve">Dozen Mixed Roses Combo</t>
  </si>
  <si>
    <t xml:space="preserve">SB-04</t>
  </si>
  <si>
    <t xml:space="preserve">Sweet Blossoms Collection IV</t>
  </si>
  <si>
    <t xml:space="preserve">LF15-10A</t>
  </si>
  <si>
    <t xml:space="preserve">Hugs and Kisses I</t>
  </si>
  <si>
    <t xml:space="preserve">AL100-71AURP</t>
  </si>
  <si>
    <t xml:space="preserve">Full Heart</t>
  </si>
  <si>
    <t xml:space="preserve">AUSTRT-03</t>
  </si>
  <si>
    <t xml:space="preserve">Blushing Rose Trio</t>
  </si>
  <si>
    <t xml:space="preserve">AUDC-01</t>
  </si>
  <si>
    <t xml:space="preserve">Designer Collection I</t>
  </si>
  <si>
    <t xml:space="preserve">BLXNZ-03</t>
  </si>
  <si>
    <t xml:space="preserve">Blossom Harmony</t>
  </si>
  <si>
    <t xml:space="preserve">DCB-02</t>
  </si>
  <si>
    <t xml:space="preserve">Birthday Designer Collection II</t>
  </si>
  <si>
    <t xml:space="preserve">GBAU75-20</t>
  </si>
  <si>
    <t xml:space="preserve">Sweet Memories</t>
  </si>
  <si>
    <t xml:space="preserve">CO</t>
  </si>
  <si>
    <t xml:space="preserve">CO-1</t>
  </si>
  <si>
    <t xml:space="preserve">$1.00</t>
  </si>
  <si>
    <t xml:space="preserve">OR50-01</t>
  </si>
  <si>
    <t xml:space="preserve">50 Blooms of Orchids I</t>
  </si>
  <si>
    <t xml:space="preserve">RBC-03A</t>
  </si>
  <si>
    <t xml:space="preserve">Bunches Mixed Collection I</t>
  </si>
  <si>
    <t xml:space="preserve">AUV11-11-REG</t>
  </si>
  <si>
    <t xml:space="preserve">Valentines Super Special</t>
  </si>
  <si>
    <t xml:space="preserve">WBAU10-02</t>
  </si>
  <si>
    <t xml:space="preserve">Classic Red Wine Basket</t>
  </si>
  <si>
    <t xml:space="preserve">HF-01</t>
  </si>
  <si>
    <t xml:space="preserve">Hearts Delight</t>
  </si>
  <si>
    <t xml:space="preserve">RP19</t>
  </si>
  <si>
    <t xml:space="preserve">Full Size Birthday Card</t>
  </si>
  <si>
    <t xml:space="preserve">DCS-02</t>
  </si>
  <si>
    <t xml:space="preserve">Designer Sympathy Collection II</t>
  </si>
  <si>
    <t xml:space="preserve">MDDC-03</t>
  </si>
  <si>
    <t xml:space="preserve">Mothers Day Designers Collection III</t>
  </si>
  <si>
    <t xml:space="preserve">MDPR-06A</t>
  </si>
  <si>
    <t xml:space="preserve">Half Dozen Mothers Day Roses I</t>
  </si>
  <si>
    <t xml:space="preserve">SC01</t>
  </si>
  <si>
    <t xml:space="preserve">Full Size Sympathy Card</t>
  </si>
  <si>
    <t xml:space="preserve">AUSRP-16sp</t>
  </si>
  <si>
    <t xml:space="preserve">Truffles &amp; Card</t>
  </si>
  <si>
    <t xml:space="preserve">MDLR-02</t>
  </si>
  <si>
    <t xml:space="preserve">Mothers Day Lavender Roses II</t>
  </si>
  <si>
    <t xml:space="preserve">GBGC-04</t>
  </si>
  <si>
    <t xml:space="preserve">Gourmet Collection IV</t>
  </si>
  <si>
    <t xml:space="preserve">GWC-02</t>
  </si>
  <si>
    <t xml:space="preserve">Premium Wine Collection II</t>
  </si>
  <si>
    <t xml:space="preserve">MDAR</t>
  </si>
  <si>
    <t xml:space="preserve">MDAR-01</t>
  </si>
  <si>
    <t xml:space="preserve">Rose Special I</t>
  </si>
  <si>
    <t xml:space="preserve">FBB</t>
  </si>
  <si>
    <t xml:space="preserve">FBB-03</t>
  </si>
  <si>
    <t xml:space="preserve">Fruit Hamper III</t>
  </si>
  <si>
    <t xml:space="preserve">GBGCL</t>
  </si>
  <si>
    <t xml:space="preserve">GBGCL-05</t>
  </si>
  <si>
    <t xml:space="preserve">Gourmet Collection Luxe</t>
  </si>
  <si>
    <t xml:space="preserve">PLA</t>
  </si>
  <si>
    <t xml:space="preserve">PLA-02-REG</t>
  </si>
  <si>
    <t xml:space="preserve">12 Red Roses Flower Bouquet</t>
  </si>
  <si>
    <t xml:space="preserve">GBGCP</t>
  </si>
  <si>
    <t xml:space="preserve">GBGCP-01</t>
  </si>
  <si>
    <t xml:space="preserve">Gourmet Collection Petite</t>
  </si>
  <si>
    <t xml:space="preserve">MDMJ</t>
  </si>
  <si>
    <t xml:space="preserve">MDMJ-04</t>
  </si>
  <si>
    <t xml:space="preserve">Our Favorite in Mason Jar</t>
  </si>
  <si>
    <t xml:space="preserve">GBHT</t>
  </si>
  <si>
    <t xml:space="preserve">GBHT-02</t>
  </si>
  <si>
    <t xml:space="preserve">Holiday Tradition II</t>
  </si>
  <si>
    <t xml:space="preserve">AUG</t>
  </si>
  <si>
    <t xml:space="preserve">AUG-12</t>
  </si>
  <si>
    <t xml:space="preserve">12 Dazzling Gerberas</t>
  </si>
  <si>
    <t xml:space="preserve">VDB</t>
  </si>
  <si>
    <t xml:space="preserve">VDB-S1</t>
  </si>
  <si>
    <t xml:space="preserve">Teddy, Rose &amp; Card Special</t>
  </si>
  <si>
    <t xml:space="preserve">SHR</t>
  </si>
  <si>
    <t xml:space="preserve">SHR-04</t>
  </si>
  <si>
    <t xml:space="preserve">18 Sweetheart Roses I</t>
  </si>
  <si>
    <t xml:space="preserve">AUGF</t>
  </si>
  <si>
    <t xml:space="preserve">AUGF10-29</t>
  </si>
  <si>
    <t xml:space="preserve">Golden Romance</t>
  </si>
  <si>
    <t xml:space="preserve">DCA</t>
  </si>
  <si>
    <t xml:space="preserve">DCA-02-00</t>
  </si>
  <si>
    <t xml:space="preserve">Anniversary Designer Collection II</t>
  </si>
  <si>
    <t xml:space="preserve">WBLD</t>
  </si>
  <si>
    <t xml:space="preserve">WBLD-WW</t>
  </si>
  <si>
    <t xml:space="preserve">Lindt &amp; White</t>
  </si>
  <si>
    <t xml:space="preserve">AUSSR</t>
  </si>
  <si>
    <t xml:space="preserve">AUSSR-03</t>
  </si>
  <si>
    <t xml:space="preserve">Sunny Smile</t>
  </si>
  <si>
    <t xml:space="preserve">AUBLXNZ</t>
  </si>
  <si>
    <t xml:space="preserve">AUBLXNZ-04</t>
  </si>
  <si>
    <t xml:space="preserve">Roses &amp; Alstroemeria Medley</t>
  </si>
  <si>
    <t xml:space="preserve">AUSC</t>
  </si>
  <si>
    <t xml:space="preserve">AUSC-02</t>
  </si>
  <si>
    <t xml:space="preserve">Sweetheart Collection II</t>
  </si>
  <si>
    <t xml:space="preserve">BBAU</t>
  </si>
  <si>
    <t xml:space="preserve">BBAU20-05</t>
  </si>
  <si>
    <t xml:space="preserve">Beer Gift Basket</t>
  </si>
  <si>
    <t xml:space="preserve">GBLD</t>
  </si>
  <si>
    <t xml:space="preserve">GBLD-02</t>
  </si>
  <si>
    <t xml:space="preserve">Lindt Hamper Collection II</t>
  </si>
  <si>
    <t xml:space="preserve">MDA</t>
  </si>
  <si>
    <t xml:space="preserve">MDA-01</t>
  </si>
  <si>
    <t xml:space="preserve">50 Blooms of Peruvian Lilies Set</t>
  </si>
  <si>
    <t xml:space="preserve">PGBOX</t>
  </si>
  <si>
    <t xml:space="preserve">PGBOX03</t>
  </si>
  <si>
    <t xml:space="preserve">Sweet &amp; Salty Gift Box</t>
  </si>
  <si>
    <t xml:space="preserve">GBCA</t>
  </si>
  <si>
    <t xml:space="preserve">GBCA-10</t>
  </si>
  <si>
    <t xml:space="preserve">Gourmet, Fruit &amp; Wine Hamper</t>
  </si>
  <si>
    <t xml:space="preserve">AULF</t>
  </si>
  <si>
    <t xml:space="preserve">AULF11-53</t>
  </si>
  <si>
    <t xml:space="preserve">One Dozen Long Stem White Roses</t>
  </si>
  <si>
    <t xml:space="preserve">FRS</t>
  </si>
  <si>
    <t xml:space="preserve">FRS-29AU</t>
  </si>
  <si>
    <t xml:space="preserve">Friday Only Rose Special II</t>
  </si>
  <si>
    <t xml:space="preserve">WBA</t>
  </si>
  <si>
    <t xml:space="preserve">WBA54-01</t>
  </si>
  <si>
    <t xml:space="preserve">Wine &amp; Gourmet Gift Basket</t>
  </si>
  <si>
    <t xml:space="preserve">AUSD</t>
  </si>
  <si>
    <t xml:space="preserve">AUSD-02</t>
  </si>
  <si>
    <t xml:space="preserve">Same Day Special II</t>
  </si>
  <si>
    <t xml:space="preserve">DLX</t>
  </si>
  <si>
    <t xml:space="preserve">DLX-99</t>
  </si>
  <si>
    <t xml:space="preserve">Deluxe Gift Packaging</t>
  </si>
  <si>
    <t xml:space="preserve">GBB</t>
  </si>
  <si>
    <t xml:space="preserve">GBB75-55</t>
  </si>
  <si>
    <t xml:space="preserve">Treasures of Tuscany</t>
  </si>
  <si>
    <t xml:space="preserve">CGCA</t>
  </si>
  <si>
    <t xml:space="preserve">CGCA-08</t>
  </si>
  <si>
    <t xml:space="preserve">Big Surprises Gift Hamper</t>
  </si>
  <si>
    <t xml:space="preserve">AUSGRT</t>
  </si>
  <si>
    <t xml:space="preserve">AUSGRT-03</t>
  </si>
  <si>
    <t xml:space="preserve">Pink Pop Gerbera Trio</t>
  </si>
  <si>
    <t xml:space="preserve">AUHS</t>
  </si>
  <si>
    <t xml:space="preserve">AUHS-03</t>
  </si>
  <si>
    <t xml:space="preserve">Blooming Heart Roses</t>
  </si>
  <si>
    <t xml:space="preserve">AUWB</t>
  </si>
  <si>
    <t xml:space="preserve">AUWB10-01</t>
  </si>
  <si>
    <t xml:space="preserve">White Wine &amp; Chocolates</t>
  </si>
  <si>
    <t xml:space="preserve">MDBC</t>
  </si>
  <si>
    <t xml:space="preserve">MDBC-02</t>
  </si>
  <si>
    <t xml:space="preserve">Mothers Day Designer Collection II</t>
  </si>
  <si>
    <t xml:space="preserve">CS</t>
  </si>
  <si>
    <t xml:space="preserve">CS112-07</t>
  </si>
  <si>
    <t xml:space="preserve">One Dozen Assorted Roses, Vase &amp; Card Combo</t>
  </si>
  <si>
    <t xml:space="preserve">RDC</t>
  </si>
  <si>
    <t xml:space="preserve">RDC-02</t>
  </si>
  <si>
    <t xml:space="preserve">Rainbow Daisy Collection II</t>
  </si>
  <si>
    <t xml:space="preserve">RRB</t>
  </si>
  <si>
    <t xml:space="preserve">RRB-03-REG</t>
  </si>
  <si>
    <t xml:space="preserve">24 Red Roses, Card &amp; Chocolates</t>
  </si>
  <si>
    <t xml:space="preserve">DEL</t>
  </si>
  <si>
    <t xml:space="preserve">DEL01</t>
  </si>
  <si>
    <t xml:space="preserve">Same day delivery</t>
  </si>
  <si>
    <t xml:space="preserve">FR</t>
  </si>
  <si>
    <t xml:space="preserve">FR-200</t>
  </si>
  <si>
    <t xml:space="preserve">Ferrero Rocher</t>
  </si>
  <si>
    <t xml:space="preserve">AUMD</t>
  </si>
  <si>
    <t xml:space="preserve">AUMD-01</t>
  </si>
  <si>
    <t xml:space="preserve">Mothers Day Melody I</t>
  </si>
  <si>
    <t xml:space="preserve">CH</t>
  </si>
  <si>
    <t xml:space="preserve">CH-02</t>
  </si>
  <si>
    <t xml:space="preserve">Moet &amp; Chandon Champagne Hamper</t>
  </si>
  <si>
    <t xml:space="preserve">LDT</t>
  </si>
  <si>
    <t xml:space="preserve">LDT-25</t>
  </si>
  <si>
    <t xml:space="preserve">Lindt Assorted Chocolates</t>
  </si>
  <si>
    <t xml:space="preserve">B</t>
  </si>
  <si>
    <t xml:space="preserve">B2S-12</t>
  </si>
  <si>
    <t xml:space="preserve">One Dozen Long Stem Pink Roses</t>
  </si>
  <si>
    <t xml:space="preserve">MD</t>
  </si>
  <si>
    <t xml:space="preserve">MD15-100A</t>
  </si>
  <si>
    <t xml:space="preserve">100 Blooms of Alstroemeria I</t>
  </si>
  <si>
    <t xml:space="preserve">HL</t>
  </si>
  <si>
    <t xml:space="preserve">HL18-02-REG</t>
  </si>
  <si>
    <t xml:space="preserve">18 Hot Lady Roses Combo I</t>
  </si>
  <si>
    <t xml:space="preserve">GBCGC</t>
  </si>
  <si>
    <t xml:space="preserve">GBCGC-04</t>
  </si>
  <si>
    <t xml:space="preserve">Christmas Gourmet Collection IV</t>
  </si>
  <si>
    <t xml:space="preserve">SR</t>
  </si>
  <si>
    <t xml:space="preserve">SR-01</t>
  </si>
  <si>
    <t xml:space="preserve">Solitary Rose</t>
  </si>
  <si>
    <t xml:space="preserve">CAS</t>
  </si>
  <si>
    <t xml:space="preserve">CAS11-56</t>
  </si>
  <si>
    <t xml:space="preserve">One Dozen Long Stem Red Rose Special</t>
  </si>
  <si>
    <t xml:space="preserve">SPR</t>
  </si>
  <si>
    <t xml:space="preserve">SPR-21-REG</t>
  </si>
  <si>
    <t xml:space="preserve">Red Spray Rose Special 100 blooms</t>
  </si>
  <si>
    <t xml:space="preserve">TG</t>
  </si>
  <si>
    <t xml:space="preserve">TG99-04</t>
  </si>
  <si>
    <t xml:space="preserve">Autumn Gerberas</t>
  </si>
  <si>
    <t xml:space="preserve">FBC</t>
  </si>
  <si>
    <t xml:space="preserve">FBC-02</t>
  </si>
  <si>
    <t xml:space="preserve">Fresh Fruit Basket Collection II</t>
  </si>
  <si>
    <t xml:space="preserve">CL</t>
  </si>
  <si>
    <t xml:space="preserve">CL60-20-REG</t>
  </si>
  <si>
    <t xml:space="preserve">20 Stunning Calla Lilies &amp; Card</t>
  </si>
  <si>
    <t xml:space="preserve">SLCF</t>
  </si>
  <si>
    <t xml:space="preserve">SLCF-03-REG</t>
  </si>
  <si>
    <t xml:space="preserve">Chocolate Dreams</t>
  </si>
  <si>
    <t xml:space="preserve">MP</t>
  </si>
  <si>
    <t xml:space="preserve">MP-02</t>
  </si>
  <si>
    <t xml:space="preserve">McAllister Premium Collection II</t>
  </si>
  <si>
    <t xml:space="preserve">SOR</t>
  </si>
  <si>
    <t xml:space="preserve">SOR-01-REG</t>
  </si>
  <si>
    <t xml:space="preserve">50 Blooms of Orchids &amp; Card</t>
  </si>
  <si>
    <t xml:space="preserve">PT</t>
  </si>
  <si>
    <t xml:space="preserve">PT-03-PRE</t>
  </si>
  <si>
    <t xml:space="preserve">Classic Protea with Card &amp; Vase</t>
  </si>
  <si>
    <t xml:space="preserve">JD</t>
  </si>
  <si>
    <t xml:space="preserve">JD-02</t>
  </si>
  <si>
    <t xml:space="preserve">Jack Daniels Collection II</t>
  </si>
  <si>
    <t xml:space="preserve">GC</t>
  </si>
  <si>
    <t xml:space="preserve">GC-04-00</t>
  </si>
  <si>
    <t xml:space="preserve">VC</t>
  </si>
  <si>
    <t xml:space="preserve">VC-01</t>
  </si>
  <si>
    <t xml:space="preserve">$20 Voucher</t>
  </si>
  <si>
    <t xml:space="preserve">SW</t>
  </si>
  <si>
    <t xml:space="preserve">SW-02-PRE</t>
  </si>
  <si>
    <t xml:space="preserve">Sparkling Wine Collection II</t>
  </si>
  <si>
    <t xml:space="preserve">BOR</t>
  </si>
  <si>
    <t xml:space="preserve">BOR-03-REG</t>
  </si>
  <si>
    <t xml:space="preserve">15 Blue Orchids &amp; Card</t>
  </si>
  <si>
    <t xml:space="preserve">WC</t>
  </si>
  <si>
    <t xml:space="preserve">WC20-04-PRE</t>
  </si>
  <si>
    <t xml:space="preserve">White Chrysanthemums IV</t>
  </si>
  <si>
    <t xml:space="preserve">GBCC</t>
  </si>
  <si>
    <t xml:space="preserve">GBCC-01</t>
  </si>
  <si>
    <t xml:space="preserve">Country Christmas Gift Basket I</t>
  </si>
  <si>
    <t xml:space="preserve">WB</t>
  </si>
  <si>
    <t xml:space="preserve">WB-02</t>
  </si>
  <si>
    <t xml:space="preserve">50 Blooms Of Alstromeria &amp; Card</t>
  </si>
  <si>
    <t xml:space="preserve">NP</t>
  </si>
  <si>
    <t xml:space="preserve">NP01-REG</t>
  </si>
  <si>
    <t xml:space="preserve">New Product test</t>
  </si>
  <si>
    <t xml:space="preserve">CD</t>
  </si>
  <si>
    <t xml:space="preserve">CD-01-GRA</t>
  </si>
  <si>
    <t xml:space="preserve">Country Daisy Collection I</t>
  </si>
  <si>
    <t xml:space="preserve">JB</t>
  </si>
  <si>
    <t xml:space="preserve">JB-02</t>
  </si>
  <si>
    <t xml:space="preserve">Jim Beam Collection II</t>
  </si>
  <si>
    <t xml:space="preserve">AUXS</t>
  </si>
  <si>
    <t xml:space="preserve">AUXS-03</t>
  </si>
  <si>
    <t xml:space="preserve">Festive Special III</t>
  </si>
  <si>
    <t xml:space="preserve">SNP</t>
  </si>
  <si>
    <t xml:space="preserve">SNP-04-GRA</t>
  </si>
  <si>
    <t xml:space="preserve">Snapdragon Special IV</t>
  </si>
  <si>
    <t xml:space="preserve">EOS</t>
  </si>
  <si>
    <t xml:space="preserve">EOS-01-DEL</t>
  </si>
  <si>
    <t xml:space="preserve">Easter Orchid Special I</t>
  </si>
  <si>
    <t xml:space="preserve">DCX</t>
  </si>
  <si>
    <t xml:space="preserve">DCX-01</t>
  </si>
  <si>
    <t xml:space="preserve">Christmas Designer Collection I</t>
  </si>
  <si>
    <t xml:space="preserve">SG</t>
  </si>
  <si>
    <t xml:space="preserve">SG-01-DEL</t>
  </si>
  <si>
    <t xml:space="preserve">Super Gerbera Special I</t>
  </si>
  <si>
    <t xml:space="preserve">EGS</t>
  </si>
  <si>
    <t xml:space="preserve">EGS-01-REG</t>
  </si>
  <si>
    <t xml:space="preserve">Easter Gerbera Special I</t>
  </si>
  <si>
    <t xml:space="preserve">AC</t>
  </si>
  <si>
    <t xml:space="preserve">AC10-03-REG</t>
  </si>
  <si>
    <t xml:space="preserve">Chrysanthemum Combo III</t>
  </si>
  <si>
    <t xml:space="preserve">AUR</t>
  </si>
  <si>
    <t xml:space="preserve">AUR-10-REG</t>
  </si>
  <si>
    <t xml:space="preserve">Radiant Ranunculus I</t>
  </si>
  <si>
    <t xml:space="preserve">PRM</t>
  </si>
  <si>
    <t xml:space="preserve">PRM-02</t>
  </si>
  <si>
    <t xml:space="preserve">YOUR FREE GIFT</t>
  </si>
  <si>
    <t xml:space="preserve">FB</t>
  </si>
  <si>
    <t xml:space="preserve">FB-01</t>
  </si>
  <si>
    <t xml:space="preserve">Free Truffles &amp; Card</t>
  </si>
  <si>
    <t xml:space="preserve">DF</t>
  </si>
  <si>
    <t xml:space="preserve">df</t>
  </si>
  <si>
    <t xml:space="preserve">Delivery Fee</t>
  </si>
  <si>
    <t xml:space="preserve">BLX</t>
  </si>
  <si>
    <t xml:space="preserve">BLX-FG</t>
  </si>
  <si>
    <t xml:space="preserve">Free Gourmet Item</t>
  </si>
  <si>
    <t xml:space="preserve">CARD</t>
  </si>
  <si>
    <t xml:space="preserve">card2</t>
  </si>
  <si>
    <t xml:space="preserve">Free Corporate Card</t>
  </si>
  <si>
    <t xml:space="preserve">AB</t>
  </si>
  <si>
    <t xml:space="preserve">AB-GC-25</t>
  </si>
  <si>
    <t xml:space="preserve">Aussie Blooms Gift Card</t>
  </si>
  <si>
    <t xml:space="preserve">FCC</t>
  </si>
  <si>
    <t xml:space="preserve">FCC-01</t>
  </si>
  <si>
    <t xml:space="preserve">Free Christmas Card</t>
  </si>
  <si>
    <t xml:space="preserve">FCT</t>
  </si>
  <si>
    <t xml:space="preserve">FCT-01</t>
  </si>
  <si>
    <t xml:space="preserve">Free Card &amp; Teddy</t>
  </si>
  <si>
    <t xml:space="preserve">XX</t>
  </si>
  <si>
    <t xml:space="preserve">XX-02</t>
  </si>
  <si>
    <t xml:space="preserve">Free Teddy</t>
  </si>
  <si>
    <t xml:space="preserve">Product title (highest-sales title)</t>
  </si>
  <si>
    <t xml:space="preserve">Prefix</t>
  </si>
  <si>
    <t xml:space="preserve">Refund $ (ex-tax)</t>
  </si>
  <si>
    <t xml:space="preserve">Net sales $</t>
  </si>
  <si>
    <t xml:space="preserve">Refund rate ($ of own gross)</t>
  </si>
  <si>
    <t xml:space="preserve">Expected refunds @ baseline</t>
  </si>
  <si>
    <t xml:space="preserve">z-score vs baseline</t>
  </si>
  <si>
    <t xml:space="preserve">Excess refunded units</t>
  </si>
  <si>
    <t xml:space="preserve">Shrunk rate</t>
  </si>
  <si>
    <t xml:space="preserve">Pctile: refund $</t>
  </si>
  <si>
    <t xml:space="preserve">Pctile: shrunk rate</t>
  </si>
  <si>
    <t xml:space="preserve">Pctile: units</t>
  </si>
  <si>
    <t xml:space="preserve">Priority rank</t>
  </si>
  <si>
    <t xml:space="preserve">Anomaly flag</t>
  </si>
  <si>
    <t xml:space="preserve">Rank: units</t>
  </si>
  <si>
    <t xml:space="preserve">Rank: refund $</t>
  </si>
  <si>
    <t xml:space="preserve">Rank: own rate</t>
  </si>
  <si>
    <t xml:space="preserve">Rank: z (flagged)</t>
  </si>
  <si>
    <t xml:space="preserve">helper: rate if eligible</t>
  </si>
  <si>
    <t xml:space="preserve">helper: z if flagged</t>
  </si>
  <si>
    <t xml:space="preserve">Golden Hour Bouquet in Mason Jar</t>
  </si>
  <si>
    <t xml:space="preserve">Summer Blooms</t>
  </si>
  <si>
    <t xml:space="preserve">Half Dozen Red Roses, Card &amp; Teddy</t>
  </si>
  <si>
    <t xml:space="preserve">Garden Party Bouquet in Mason Jar</t>
  </si>
  <si>
    <t xml:space="preserve">Gentle Thoughts Spray</t>
  </si>
  <si>
    <t xml:space="preserve">Ten Long Stemmed Red Roses</t>
  </si>
  <si>
    <t xml:space="preserve">Country Roads</t>
  </si>
  <si>
    <t xml:space="preserve">Pick-Me-Up Bouquet in Mason Jar</t>
  </si>
  <si>
    <t xml:space="preserve">Walking on Sunshine Bouquet in Mason Jar</t>
  </si>
  <si>
    <t xml:space="preserve">Best Birthday Ever Bouquet in Mason Jar</t>
  </si>
  <si>
    <t xml:space="preserve">Mellow Yellow Bouquet in Mason Jar</t>
  </si>
  <si>
    <t xml:space="preserve">RP03S</t>
  </si>
  <si>
    <t xml:space="preserve">Clear Glass Vase</t>
  </si>
  <si>
    <t xml:space="preserve">Classic Sympathy Wreath</t>
  </si>
  <si>
    <t xml:space="preserve">Cherry Bomb Bouquet in Mason Jar</t>
  </si>
  <si>
    <t xml:space="preserve">Pretty in Pink</t>
  </si>
  <si>
    <t xml:space="preserve">AU11-97</t>
  </si>
  <si>
    <t xml:space="preserve">Premium White and Red Roses</t>
  </si>
  <si>
    <t xml:space="preserve">Sizzling Bouquet</t>
  </si>
  <si>
    <t xml:space="preserve">Beautiful in Blue in Mason Jar</t>
  </si>
  <si>
    <t xml:space="preserve">AU100-571</t>
  </si>
  <si>
    <t xml:space="preserve">Hope &amp; Honour Cross</t>
  </si>
  <si>
    <t xml:space="preserve">Lavender Love</t>
  </si>
  <si>
    <t xml:space="preserve">Thirty Blooms of Alstroemeria in Mason Jar</t>
  </si>
  <si>
    <t xml:space="preserve">AU112-54</t>
  </si>
  <si>
    <t xml:space="preserve">Captivating</t>
  </si>
  <si>
    <t xml:space="preserve">AU100-582</t>
  </si>
  <si>
    <t xml:space="preserve">Rose Garden Heart</t>
  </si>
  <si>
    <t xml:space="preserve">Pastel Harmony</t>
  </si>
  <si>
    <t xml:space="preserve">LF15-10D</t>
  </si>
  <si>
    <t xml:space="preserve">Hugs and Kisses IV</t>
  </si>
  <si>
    <t xml:space="preserve">Chocolates &amp; Teddy</t>
  </si>
  <si>
    <t xml:space="preserve">AUMJ-NW-014</t>
  </si>
  <si>
    <t xml:space="preserve">Peach Beach Paradise Bouquet in Mason Jar</t>
  </si>
  <si>
    <t xml:space="preserve">Sunset Serenade</t>
  </si>
  <si>
    <t xml:space="preserve">BLXNZ-04</t>
  </si>
  <si>
    <t xml:space="preserve">AUMJ-NW-027</t>
  </si>
  <si>
    <t xml:space="preserve">The Coastline</t>
  </si>
  <si>
    <t xml:space="preserve">RP02-50</t>
  </si>
  <si>
    <t xml:space="preserve">Blue Vase</t>
  </si>
  <si>
    <t xml:space="preserve">Wild Spirits</t>
  </si>
  <si>
    <t xml:space="preserve">Pastel Buttercup Bouquet in Mason Jar</t>
  </si>
  <si>
    <t xml:space="preserve">AU112-11</t>
  </si>
  <si>
    <t xml:space="preserve">Sugar and Spice</t>
  </si>
  <si>
    <t xml:space="preserve">AU1211-02</t>
  </si>
  <si>
    <t xml:space="preserve">Three Dozen White Roses</t>
  </si>
  <si>
    <t xml:space="preserve">50 Blooms of Peruvian Lilies</t>
  </si>
  <si>
    <t xml:space="preserve">AUMJ-NW-022</t>
  </si>
  <si>
    <t xml:space="preserve">Green with Envy Bouquet in Mason Jar</t>
  </si>
  <si>
    <t xml:space="preserve">Half Dozen Red Roses</t>
  </si>
  <si>
    <t xml:space="preserve">AU111-52</t>
  </si>
  <si>
    <t xml:space="preserve">Jubilee</t>
  </si>
  <si>
    <t xml:space="preserve">Glass Vase (Hand blown)</t>
  </si>
  <si>
    <t xml:space="preserve">Two Dozen Long Stem Red Roses</t>
  </si>
  <si>
    <t xml:space="preserve">AU100-26</t>
  </si>
  <si>
    <t xml:space="preserve">Gerber Brights</t>
  </si>
  <si>
    <t xml:space="preserve">Belgium Truffles</t>
  </si>
  <si>
    <t xml:space="preserve">Beautiful in Blue</t>
  </si>
  <si>
    <t xml:space="preserve">Grandeur Bouquet in Mason Jar</t>
  </si>
  <si>
    <t xml:space="preserve">Gorgeous Gerberas</t>
  </si>
  <si>
    <t xml:space="preserve">AU92-31</t>
  </si>
  <si>
    <t xml:space="preserve">Three Dozen Assorted Roses</t>
  </si>
  <si>
    <t xml:space="preserve">AU189-07</t>
  </si>
  <si>
    <t xml:space="preserve">Red &amp; White Wreath</t>
  </si>
  <si>
    <t xml:space="preserve">Glass Vase</t>
  </si>
  <si>
    <t xml:space="preserve">AUFS-01</t>
  </si>
  <si>
    <t xml:space="preserve">Dozen Mixed Roses, Vase &amp; Card</t>
  </si>
  <si>
    <t xml:space="preserve">DCS-03</t>
  </si>
  <si>
    <t xml:space="preserve">Designer Sympathy Collection III</t>
  </si>
  <si>
    <t xml:space="preserve">DCB-03</t>
  </si>
  <si>
    <t xml:space="preserve">Birthday Designer Collection III</t>
  </si>
  <si>
    <t xml:space="preserve">AURP-B3</t>
  </si>
  <si>
    <t xml:space="preserve">Baby Girl Balloon</t>
  </si>
  <si>
    <t xml:space="preserve">All the Pinks</t>
  </si>
  <si>
    <t xml:space="preserve">Big Garden Energy</t>
  </si>
  <si>
    <t xml:space="preserve">I Love You Balloon</t>
  </si>
  <si>
    <t xml:space="preserve">AU501-01</t>
  </si>
  <si>
    <t xml:space="preserve">3 Red Roses, Card &amp; Chocolates</t>
  </si>
  <si>
    <t xml:space="preserve">AU112-18</t>
  </si>
  <si>
    <t xml:space="preserve">Forever Beloved</t>
  </si>
  <si>
    <t xml:space="preserve">SB-01</t>
  </si>
  <si>
    <t xml:space="preserve">Sweet Blossoms Collection I</t>
  </si>
  <si>
    <t xml:space="preserve">DCB-01C</t>
  </si>
  <si>
    <t xml:space="preserve">Birthday Designer Collection I Combo</t>
  </si>
  <si>
    <t xml:space="preserve">Spring Fling Bouquet in Mason Jar</t>
  </si>
  <si>
    <t xml:space="preserve">50 Blooms of Surprise Bud Roses in Mason Jar</t>
  </si>
  <si>
    <t xml:space="preserve">Autumn Breeze In Mason Jar</t>
  </si>
  <si>
    <t xml:space="preserve">AUBC-01</t>
  </si>
  <si>
    <t xml:space="preserve">Birthday Combo I</t>
  </si>
  <si>
    <t xml:space="preserve">AU224-50</t>
  </si>
  <si>
    <t xml:space="preserve">Colourful Sensation</t>
  </si>
  <si>
    <t xml:space="preserve">AU101-34</t>
  </si>
  <si>
    <t xml:space="preserve">Inspiration</t>
  </si>
  <si>
    <t xml:space="preserve">Sending Solace Bouquet in Mason Jar</t>
  </si>
  <si>
    <t xml:space="preserve">AU111-22</t>
  </si>
  <si>
    <t xml:space="preserve">Enchanted Cottage</t>
  </si>
  <si>
    <t xml:space="preserve">AU11-56</t>
  </si>
  <si>
    <t xml:space="preserve">Dozen Red Roses</t>
  </si>
  <si>
    <t xml:space="preserve">AU0611-01</t>
  </si>
  <si>
    <t xml:space="preserve">Beauty Bounty</t>
  </si>
  <si>
    <t xml:space="preserve">Large Box of Premium Chocolates</t>
  </si>
  <si>
    <t xml:space="preserve">Loud and Lovely</t>
  </si>
  <si>
    <t xml:space="preserve">LF15-10B</t>
  </si>
  <si>
    <t xml:space="preserve">Hugs and Kisses II</t>
  </si>
  <si>
    <t xml:space="preserve">DCA-01-00</t>
  </si>
  <si>
    <t xml:space="preserve">Anniversary Designer Collection I</t>
  </si>
  <si>
    <t xml:space="preserve">AU501-04</t>
  </si>
  <si>
    <t xml:space="preserve">Half Dozen Red Roses, Card &amp; Chocolates Gift</t>
  </si>
  <si>
    <t xml:space="preserve">Blooms of Love in Mason Jar</t>
  </si>
  <si>
    <t xml:space="preserve">New Baby Girl Bouquet in Mason Jar</t>
  </si>
  <si>
    <t xml:space="preserve">Sunset Serenity</t>
  </si>
  <si>
    <t xml:space="preserve">Birthday Designer Collection I</t>
  </si>
  <si>
    <t xml:space="preserve">AUDNAT-03</t>
  </si>
  <si>
    <t xml:space="preserve">Native Flowers Bouquet Designer Collection III</t>
  </si>
  <si>
    <t xml:space="preserve">AU20-03</t>
  </si>
  <si>
    <t xml:space="preserve">Roses and Smiles</t>
  </si>
  <si>
    <t xml:space="preserve">Full Size Greeting Card</t>
  </si>
  <si>
    <t xml:space="preserve">AU11-90</t>
  </si>
  <si>
    <t xml:space="preserve">Three Dozen Long Stem Pink Roses</t>
  </si>
  <si>
    <t xml:space="preserve">DCMJ-03</t>
  </si>
  <si>
    <t xml:space="preserve">Designer Collection Mason Jar III</t>
  </si>
  <si>
    <t xml:space="preserve">AU111-48</t>
  </si>
  <si>
    <t xml:space="preserve">Rose Orchestra</t>
  </si>
  <si>
    <t xml:space="preserve">Teddy Bear</t>
  </si>
  <si>
    <t xml:space="preserve">Cloud Nine Bouquet in Mason Jar</t>
  </si>
  <si>
    <t xml:space="preserve">AU11-93</t>
  </si>
  <si>
    <t xml:space="preserve">Three Dozen Long Stem Red Roses</t>
  </si>
  <si>
    <t xml:space="preserve">AU100-12</t>
  </si>
  <si>
    <t xml:space="preserve">Colour Me Yours</t>
  </si>
  <si>
    <t xml:space="preserve">AU1106-01</t>
  </si>
  <si>
    <t xml:space="preserve">Half Dozen Assorted Roses, Chocolates &amp; Card</t>
  </si>
  <si>
    <t xml:space="preserve">DCMJ-04</t>
  </si>
  <si>
    <t xml:space="preserve">Designer Collection Mason Jar IV</t>
  </si>
  <si>
    <t xml:space="preserve">AUDNAT-01</t>
  </si>
  <si>
    <t xml:space="preserve">Native Flowers Bouquet Designer Collection I</t>
  </si>
  <si>
    <t xml:space="preserve">Vase &amp; Card</t>
  </si>
  <si>
    <t xml:space="preserve">AU200-41</t>
  </si>
  <si>
    <t xml:space="preserve">Wild Berry</t>
  </si>
  <si>
    <t xml:space="preserve">AU100-95</t>
  </si>
  <si>
    <t xml:space="preserve">Vivid Recollections</t>
  </si>
  <si>
    <t xml:space="preserve">AU111-78</t>
  </si>
  <si>
    <t xml:space="preserve">Lots of Love</t>
  </si>
  <si>
    <t xml:space="preserve">RBC-03B</t>
  </si>
  <si>
    <t xml:space="preserve">Bunches Mixed Collection II</t>
  </si>
  <si>
    <t xml:space="preserve">Rose and Lily Casket Arrangement</t>
  </si>
  <si>
    <t xml:space="preserve">AUDC-04A</t>
  </si>
  <si>
    <t xml:space="preserve">Designer Collection Anniversary IV</t>
  </si>
  <si>
    <t xml:space="preserve">Vase &amp; Chocolates</t>
  </si>
  <si>
    <t xml:space="preserve">Large Chocolates Special</t>
  </si>
  <si>
    <t xml:space="preserve">AU12-52</t>
  </si>
  <si>
    <t xml:space="preserve">Dozen Roses, Vase &amp; Chocolates</t>
  </si>
  <si>
    <t xml:space="preserve">AU11-09</t>
  </si>
  <si>
    <t xml:space="preserve">Half Dozen Long Stemmed Pink Roses</t>
  </si>
  <si>
    <t xml:space="preserve">AU112-90</t>
  </si>
  <si>
    <t xml:space="preserve">Simply Sweet</t>
  </si>
  <si>
    <t xml:space="preserve">AURP-W10</t>
  </si>
  <si>
    <t xml:space="preserve">Premium White Wine</t>
  </si>
  <si>
    <t xml:space="preserve">AU110-01</t>
  </si>
  <si>
    <t xml:space="preserve">Dozen Red Roses, Card &amp; Vase</t>
  </si>
  <si>
    <t xml:space="preserve">AU22-80</t>
  </si>
  <si>
    <t xml:space="preserve">Hints of Softness</t>
  </si>
  <si>
    <t xml:space="preserve">Half Dozen Long Stem Red Roses</t>
  </si>
  <si>
    <t xml:space="preserve">AUMJ-NW-018</t>
  </si>
  <si>
    <t xml:space="preserve">Summer Lovin’ Bouquet in Mason Jar</t>
  </si>
  <si>
    <t xml:space="preserve">AUMJ-NW-006</t>
  </si>
  <si>
    <t xml:space="preserve">Daisy Daze Bouquet in Mason Jar</t>
  </si>
  <si>
    <t xml:space="preserve">AU22-40</t>
  </si>
  <si>
    <t xml:space="preserve">Pink Grace</t>
  </si>
  <si>
    <t xml:space="preserve">AUMJ-NW-029</t>
  </si>
  <si>
    <t xml:space="preserve">The Sunday Market Bouquet in Mason Jar</t>
  </si>
  <si>
    <t xml:space="preserve">SB-03</t>
  </si>
  <si>
    <t xml:space="preserve">Sweet Blossoms Collection III</t>
  </si>
  <si>
    <t xml:space="preserve">AUMJ-NW-012</t>
  </si>
  <si>
    <t xml:space="preserve">Budding Romance Bouquet in Mason Jar</t>
  </si>
  <si>
    <t xml:space="preserve">AU115-12</t>
  </si>
  <si>
    <t xml:space="preserve">12 Red Roses, Chocolates, Card &amp; Wine</t>
  </si>
  <si>
    <t xml:space="preserve">AUFS-03</t>
  </si>
  <si>
    <t xml:space="preserve">Dozen Roses, Chocolates, Vase &amp; Card</t>
  </si>
  <si>
    <t xml:space="preserve">WBAU10-06</t>
  </si>
  <si>
    <t xml:space="preserve">Elegant Wine Basket</t>
  </si>
  <si>
    <t xml:space="preserve">AU111-25</t>
  </si>
  <si>
    <t xml:space="preserve">Tasteful Blooms</t>
  </si>
  <si>
    <t xml:space="preserve">AU112-56</t>
  </si>
  <si>
    <t xml:space="preserve">Rose Impression</t>
  </si>
  <si>
    <t xml:space="preserve">AU81-81</t>
  </si>
  <si>
    <t xml:space="preserve">Always and Forever</t>
  </si>
  <si>
    <t xml:space="preserve">AURP-41</t>
  </si>
  <si>
    <t xml:space="preserve">Vase &amp; Truffles</t>
  </si>
  <si>
    <t xml:space="preserve">AU115-24R</t>
  </si>
  <si>
    <t xml:space="preserve">Two Dozen Red Roses and Red Wine Combo</t>
  </si>
  <si>
    <t xml:space="preserve">AURP14</t>
  </si>
  <si>
    <t xml:space="preserve">Full Size Valentines Card</t>
  </si>
  <si>
    <t xml:space="preserve">Premium Chocolates</t>
  </si>
  <si>
    <t xml:space="preserve">AUCH25-05</t>
  </si>
  <si>
    <t xml:space="preserve">Holiday Spirit in a Mason Jar</t>
  </si>
  <si>
    <t xml:space="preserve">AUCH25-06</t>
  </si>
  <si>
    <t xml:space="preserve">Iced Rose</t>
  </si>
  <si>
    <t xml:space="preserve">AU219-40</t>
  </si>
  <si>
    <t xml:space="preserve">Pink and Lavender Bouquet</t>
  </si>
  <si>
    <t xml:space="preserve">AU24-70</t>
  </si>
  <si>
    <t xml:space="preserve">Magical Grace</t>
  </si>
  <si>
    <t xml:space="preserve">Wolf Blass Shiraz Cabernet</t>
  </si>
  <si>
    <t xml:space="preserve">AUBC-04</t>
  </si>
  <si>
    <t xml:space="preserve">Birthday Combo IV</t>
  </si>
  <si>
    <t xml:space="preserve">WBAU85-01</t>
  </si>
  <si>
    <t xml:space="preserve">Deluxe Red Wine &amp; Cheese Hamper</t>
  </si>
  <si>
    <t xml:space="preserve">AU0511-16</t>
  </si>
  <si>
    <t xml:space="preserve">Rosameria</t>
  </si>
  <si>
    <t xml:space="preserve">Gerbera Brights</t>
  </si>
  <si>
    <t xml:space="preserve">AU11-06</t>
  </si>
  <si>
    <t xml:space="preserve">Half Dozen Long Stem Assorted Roses</t>
  </si>
  <si>
    <t xml:space="preserve">Card &amp; Teddy</t>
  </si>
  <si>
    <t xml:space="preserve">AU100-557</t>
  </si>
  <si>
    <t xml:space="preserve">Pink Tribute Spray</t>
  </si>
  <si>
    <t xml:space="preserve">AU16-30</t>
  </si>
  <si>
    <t xml:space="preserve">Rainbow Gerberas</t>
  </si>
  <si>
    <t xml:space="preserve">FYF-lavender-love-bouquet-C</t>
  </si>
  <si>
    <t xml:space="preserve">Lavender Love Bouquet</t>
  </si>
  <si>
    <t xml:space="preserve">Designer Collection Anniversary II</t>
  </si>
  <si>
    <t xml:space="preserve">Dozen Red Roses and White Wine Combo</t>
  </si>
  <si>
    <t xml:space="preserve">DCMJ-04A</t>
  </si>
  <si>
    <t xml:space="preserve">LF15-10C</t>
  </si>
  <si>
    <t xml:space="preserve">Hugs and Kisses III</t>
  </si>
  <si>
    <t xml:space="preserve">AU11-14</t>
  </si>
  <si>
    <t xml:space="preserve">Two Dozen Pink Roses</t>
  </si>
  <si>
    <t xml:space="preserve">OR100-04</t>
  </si>
  <si>
    <t xml:space="preserve">100 Blooms of Orchids IV</t>
  </si>
  <si>
    <t xml:space="preserve">Blow Out the Candles Bundle</t>
  </si>
  <si>
    <t xml:space="preserve">AUFS-12</t>
  </si>
  <si>
    <t xml:space="preserve">Dozen Mixed Roses Super Combo</t>
  </si>
  <si>
    <t xml:space="preserve">AUSTRT-02</t>
  </si>
  <si>
    <t xml:space="preserve">Ivory Grace Trio</t>
  </si>
  <si>
    <t xml:space="preserve">AUMJ-NW-021</t>
  </si>
  <si>
    <t xml:space="preserve">Mum's for Mum Bouquet in Mason Jar</t>
  </si>
  <si>
    <t xml:space="preserve">GWC-03</t>
  </si>
  <si>
    <t xml:space="preserve">Premium Wine Collection III</t>
  </si>
  <si>
    <t xml:space="preserve">Native Flowers Designer Bouquet</t>
  </si>
  <si>
    <t xml:space="preserve">LF11-66</t>
  </si>
  <si>
    <t xml:space="preserve">Two Dozen Long Stem White Roses</t>
  </si>
  <si>
    <t xml:space="preserve">FYF-what-a-treat-in-mason-jar-mixed-bouquet-D</t>
  </si>
  <si>
    <t xml:space="preserve">Blue Iris Bouquet Ten Stems</t>
  </si>
  <si>
    <t xml:space="preserve">AU25-40</t>
  </si>
  <si>
    <t xml:space="preserve">Sunshine Bouquet</t>
  </si>
  <si>
    <t xml:space="preserve">AU120-90</t>
  </si>
  <si>
    <t xml:space="preserve">Always &amp; Forever</t>
  </si>
  <si>
    <t xml:space="preserve">AU12-53</t>
  </si>
  <si>
    <t xml:space="preserve">Dozen Roses, Vase, Chocolates &amp; Wine</t>
  </si>
  <si>
    <t xml:space="preserve">AURP-B2</t>
  </si>
  <si>
    <t xml:space="preserve">Baby Boy Balloon</t>
  </si>
  <si>
    <t xml:space="preserve">AUMJ-NW-001</t>
  </si>
  <si>
    <t xml:space="preserve">Purple Rain Bouquet in Mason Jar</t>
  </si>
  <si>
    <t xml:space="preserve">AU100-71</t>
  </si>
  <si>
    <t xml:space="preserve">AU120-21</t>
  </si>
  <si>
    <t xml:space="preserve">Simply Stunning</t>
  </si>
  <si>
    <t xml:space="preserve">AU11-80</t>
  </si>
  <si>
    <t xml:space="preserve">Two Dozen Red Roses</t>
  </si>
  <si>
    <t xml:space="preserve">FBAU74-62</t>
  </si>
  <si>
    <t xml:space="preserve">Fruit Splash</t>
  </si>
  <si>
    <t xml:space="preserve">AU15-100</t>
  </si>
  <si>
    <t xml:space="preserve">Assorted Peruvian Lilies</t>
  </si>
  <si>
    <t xml:space="preserve">AU215-40</t>
  </si>
  <si>
    <t xml:space="preserve">Country Classic Bouquet</t>
  </si>
  <si>
    <t xml:space="preserve">SB-02</t>
  </si>
  <si>
    <t xml:space="preserve">Sweet Blossoms Collection II</t>
  </si>
  <si>
    <t xml:space="preserve">AUMJ-NW-013</t>
  </si>
  <si>
    <t xml:space="preserve">Gentle Hues</t>
  </si>
  <si>
    <t xml:space="preserve">AUBC-03</t>
  </si>
  <si>
    <t xml:space="preserve">Birthday Combo III</t>
  </si>
  <si>
    <t xml:space="preserve">AU-RS-HT-0012-RED</t>
  </si>
  <si>
    <t xml:space="preserve">12 Red Roses</t>
  </si>
  <si>
    <t xml:space="preserve">AU11-54</t>
  </si>
  <si>
    <t xml:space="preserve">Dozen Yellow Roses</t>
  </si>
  <si>
    <t xml:space="preserve">AU112-94</t>
  </si>
  <si>
    <t xml:space="preserve">Majestic Moments</t>
  </si>
  <si>
    <t xml:space="preserve">AU11-51md</t>
  </si>
  <si>
    <t xml:space="preserve">Dozen Assorted Roses Special</t>
  </si>
  <si>
    <t xml:space="preserve">RP-10</t>
  </si>
  <si>
    <t xml:space="preserve">Vase and Card Combo</t>
  </si>
  <si>
    <t xml:space="preserve">AU-RS-HT-0012-HPK</t>
  </si>
  <si>
    <t xml:space="preserve">12 Hot Pink Roses</t>
  </si>
  <si>
    <t xml:space="preserve">AUMJ-NW-002</t>
  </si>
  <si>
    <t xml:space="preserve">Mason Jar of Joy Bouquet</t>
  </si>
  <si>
    <t xml:space="preserve">AU40-13</t>
  </si>
  <si>
    <t xml:space="preserve">Two Dozen Carnations</t>
  </si>
  <si>
    <t xml:space="preserve">AU1111-04</t>
  </si>
  <si>
    <t xml:space="preserve">24 Pink and White Roses</t>
  </si>
  <si>
    <t xml:space="preserve">AU100-52</t>
  </si>
  <si>
    <t xml:space="preserve">Steal the Show</t>
  </si>
  <si>
    <t xml:space="preserve">FYF-the-birthday-bundle-flowers-C</t>
  </si>
  <si>
    <t xml:space="preserve">The Birthday Bundle Flowers</t>
  </si>
  <si>
    <t xml:space="preserve">Sweetheart Roses in Mason Jar</t>
  </si>
  <si>
    <t xml:space="preserve">AUDNAT-MJ-02</t>
  </si>
  <si>
    <t xml:space="preserve">Native Flowers Mason Jar Florist Selection II</t>
  </si>
  <si>
    <t xml:space="preserve">AU-RS-HT-0012-PUR</t>
  </si>
  <si>
    <t xml:space="preserve">12 Purple Roses</t>
  </si>
  <si>
    <t xml:space="preserve">LF51-53</t>
  </si>
  <si>
    <t xml:space="preserve">One Dozen Candy Cane Roses</t>
  </si>
  <si>
    <t xml:space="preserve">AUDC-04</t>
  </si>
  <si>
    <t xml:space="preserve">Designer Collection IV</t>
  </si>
  <si>
    <t xml:space="preserve">AU11-70</t>
  </si>
  <si>
    <t xml:space="preserve">18 Long-Stemmed Red Roses</t>
  </si>
  <si>
    <t xml:space="preserve">AU0611-04</t>
  </si>
  <si>
    <t xml:space="preserve">Blooming Blossoms</t>
  </si>
  <si>
    <t xml:space="preserve">AU13-22</t>
  </si>
  <si>
    <t xml:space="preserve">One Dozen Boxed Red Roses</t>
  </si>
  <si>
    <t xml:space="preserve">FYF-breathtaking-blooms-in-mason-jar-mixed-brights-C</t>
  </si>
  <si>
    <t xml:space="preserve">Breathtaking Blooms In Mason Jar Mixed Brights</t>
  </si>
  <si>
    <t xml:space="preserve">AU13-33</t>
  </si>
  <si>
    <t xml:space="preserve">Rose &amp; Card Special</t>
  </si>
  <si>
    <t xml:space="preserve">AURP-W10WB</t>
  </si>
  <si>
    <t xml:space="preserve">Wolf Blass Chardonnay</t>
  </si>
  <si>
    <t xml:space="preserve">AU-RS-HT-0006-MXRW</t>
  </si>
  <si>
    <t xml:space="preserve">6 Mixed Red &amp; White Roses</t>
  </si>
  <si>
    <t xml:space="preserve">AU116-10</t>
  </si>
  <si>
    <t xml:space="preserve">Sublime Sentiments</t>
  </si>
  <si>
    <t xml:space="preserve">AUSD-01</t>
  </si>
  <si>
    <t xml:space="preserve">Same Day Special I</t>
  </si>
  <si>
    <t xml:space="preserve">AU112-61</t>
  </si>
  <si>
    <t xml:space="preserve">Sunrise Bouquet</t>
  </si>
  <si>
    <t xml:space="preserve">AUDC-02</t>
  </si>
  <si>
    <t xml:space="preserve">Designer Collection II</t>
  </si>
  <si>
    <t xml:space="preserve">AU112-22</t>
  </si>
  <si>
    <t xml:space="preserve">Romantic Getaway</t>
  </si>
  <si>
    <t xml:space="preserve">AUDNAT-MJ-03</t>
  </si>
  <si>
    <t xml:space="preserve">Native Flowers Mason Jar Florist Selection III</t>
  </si>
  <si>
    <t xml:space="preserve">AU11-15</t>
  </si>
  <si>
    <t xml:space="preserve">One Dozen Lavender Roses</t>
  </si>
  <si>
    <t xml:space="preserve">GBAU75-31</t>
  </si>
  <si>
    <t xml:space="preserve">Chocolate &amp; Cookie Lover</t>
  </si>
  <si>
    <t xml:space="preserve">RP05S</t>
  </si>
  <si>
    <t xml:space="preserve">Full Size Card</t>
  </si>
  <si>
    <t xml:space="preserve">AU1111-06</t>
  </si>
  <si>
    <t xml:space="preserve">Gerberomeria</t>
  </si>
  <si>
    <t xml:space="preserve">AU-RS-MJ-0006-PUR</t>
  </si>
  <si>
    <t xml:space="preserve">6 Purple Roses in a Mason Jar</t>
  </si>
  <si>
    <t xml:space="preserve">FYF-thirty-alstroemeria-blooms-in-mason-jar-C</t>
  </si>
  <si>
    <t xml:space="preserve">Thirty Alstroemeria Blooms In Mason Jar</t>
  </si>
  <si>
    <t xml:space="preserve">AU11-53</t>
  </si>
  <si>
    <t xml:space="preserve">Dozen White Roses</t>
  </si>
  <si>
    <t xml:space="preserve">FYF-beautiful-in-blue-bouquet-in-mason-jar-C</t>
  </si>
  <si>
    <t xml:space="preserve">Beautiful In Blue Bouquet In Mason Jar</t>
  </si>
  <si>
    <t xml:space="preserve">One Dozen Boxed Red Roses (Nz Product Special Price)</t>
  </si>
  <si>
    <t xml:space="preserve">AU112-24</t>
  </si>
  <si>
    <t xml:space="preserve">Fabulous Bouquet</t>
  </si>
  <si>
    <t xml:space="preserve">FYF-ten-long-stemmed-red-roses-special-offer-G</t>
  </si>
  <si>
    <t xml:space="preserve">Ten Long Stemmed Red Roses Special Offer</t>
  </si>
  <si>
    <t xml:space="preserve">LF11-10</t>
  </si>
  <si>
    <t xml:space="preserve">Radiant Roses</t>
  </si>
  <si>
    <t xml:space="preserve">Enchanted Cottage in Mason Jar</t>
  </si>
  <si>
    <t xml:space="preserve">FYF-peaceful-clouds-in-mason-jar-white-roses-bouquet-D</t>
  </si>
  <si>
    <t xml:space="preserve">Peaceful Clouds In Mason Jar White Roses Bouquet</t>
  </si>
  <si>
    <t xml:space="preserve">AURP-B4</t>
  </si>
  <si>
    <t xml:space="preserve">Get Well Soon Balloon</t>
  </si>
  <si>
    <t xml:space="preserve">AU11-51</t>
  </si>
  <si>
    <t xml:space="preserve">Dozen Assorted Roses</t>
  </si>
  <si>
    <t xml:space="preserve">AUMJ99-08</t>
  </si>
  <si>
    <t xml:space="preserve">100 Blooms of Holiday Alstroemeria in Mason Jar</t>
  </si>
  <si>
    <t xml:space="preserve">DCA-03-00</t>
  </si>
  <si>
    <t xml:space="preserve">Anniversary Designer Collection III</t>
  </si>
  <si>
    <t xml:space="preserve">Plush Teddy Bear</t>
  </si>
  <si>
    <t xml:space="preserve">Birthday Designer Collection IV</t>
  </si>
  <si>
    <t xml:space="preserve">DCB-01</t>
  </si>
  <si>
    <t xml:space="preserve">Sunshine Gerbera Trio</t>
  </si>
  <si>
    <t xml:space="preserve">SB-01MJ</t>
  </si>
  <si>
    <t xml:space="preserve">Sweet Blossom in Mason Jar</t>
  </si>
  <si>
    <t xml:space="preserve">AU1211-01</t>
  </si>
  <si>
    <t xml:space="preserve">Two Dozen White Roses</t>
  </si>
  <si>
    <t xml:space="preserve">AU111-72</t>
  </si>
  <si>
    <t xml:space="preserve">Joy and Harmony</t>
  </si>
  <si>
    <t xml:space="preserve">AU222-09</t>
  </si>
  <si>
    <t xml:space="preserve">Autumn Garden</t>
  </si>
  <si>
    <t xml:space="preserve">AU11-03</t>
  </si>
  <si>
    <t xml:space="preserve">Red Rose Trio</t>
  </si>
  <si>
    <t xml:space="preserve">GBAU72-80</t>
  </si>
  <si>
    <t xml:space="preserve">Chocolate Lovers</t>
  </si>
  <si>
    <t xml:space="preserve">AU200-60</t>
  </si>
  <si>
    <t xml:space="preserve">Fresh &amp; Fragrant</t>
  </si>
  <si>
    <t xml:space="preserve">AU102-11</t>
  </si>
  <si>
    <t xml:space="preserve">Festive Fragrance with Vase</t>
  </si>
  <si>
    <t xml:space="preserve">WBAU10-02-WB</t>
  </si>
  <si>
    <t xml:space="preserve">Deluxe Wine Basket</t>
  </si>
  <si>
    <t xml:space="preserve">AU112-75</t>
  </si>
  <si>
    <t xml:space="preserve">Your Light Shines</t>
  </si>
  <si>
    <t xml:space="preserve">AUMJ-NW-003-REG</t>
  </si>
  <si>
    <t xml:space="preserve">AU-ADD-BUNDLE-CTCh-2495</t>
  </si>
  <si>
    <t xml:space="preserve">Bundle: Card + Teddy + Chocolates</t>
  </si>
  <si>
    <t xml:space="preserve">AU1111-01-SS</t>
  </si>
  <si>
    <t xml:space="preserve">Two Dozen Long Stem Assorted Roses</t>
  </si>
  <si>
    <t xml:space="preserve">AU11-85</t>
  </si>
  <si>
    <t xml:space="preserve">24 Premium Red Roses</t>
  </si>
  <si>
    <t xml:space="preserve">MDMJ-03</t>
  </si>
  <si>
    <t xml:space="preserve">In Full Bloom</t>
  </si>
  <si>
    <t xml:space="preserve">AU-RS-HT-0050-WHT</t>
  </si>
  <si>
    <t xml:space="preserve">50 White Roses</t>
  </si>
  <si>
    <t xml:space="preserve">GBAU72-61</t>
  </si>
  <si>
    <t xml:space="preserve">Sinfully Delicious</t>
  </si>
  <si>
    <t xml:space="preserve">AUGF16-82</t>
  </si>
  <si>
    <t xml:space="preserve">Just Because</t>
  </si>
  <si>
    <t xml:space="preserve">FYF-rose-tribute-G</t>
  </si>
  <si>
    <t xml:space="preserve">Rose Tribute</t>
  </si>
  <si>
    <t xml:space="preserve">AU-RS-HT-0036-PNK</t>
  </si>
  <si>
    <t xml:space="preserve">36 Pink Roses</t>
  </si>
  <si>
    <t xml:space="preserve">AUFS-06</t>
  </si>
  <si>
    <t xml:space="preserve">Dozen Red Roses &amp; Chocolates</t>
  </si>
  <si>
    <t xml:space="preserve">AU11-65</t>
  </si>
  <si>
    <t xml:space="preserve">One Dozen Premium Red Roses</t>
  </si>
  <si>
    <t xml:space="preserve">FYF-blushing-elegance-bouquet-C</t>
  </si>
  <si>
    <t xml:space="preserve">Blushing Elegance Bouquet</t>
  </si>
  <si>
    <t xml:space="preserve">LF100-86</t>
  </si>
  <si>
    <t xml:space="preserve">With Distinction</t>
  </si>
  <si>
    <t xml:space="preserve">AU0611-17</t>
  </si>
  <si>
    <t xml:space="preserve">Pinky Purple</t>
  </si>
  <si>
    <t xml:space="preserve">RP02-32</t>
  </si>
  <si>
    <t xml:space="preserve">Shortbread Cookies</t>
  </si>
  <si>
    <t xml:space="preserve">AU1111-05</t>
  </si>
  <si>
    <t xml:space="preserve">Flower Fairy</t>
  </si>
  <si>
    <t xml:space="preserve">FYF-blushing-elegance-bouquet-D</t>
  </si>
  <si>
    <t xml:space="preserve">FYF-sugar-spice-G</t>
  </si>
  <si>
    <t xml:space="preserve">Sugar &amp; Spice</t>
  </si>
  <si>
    <t xml:space="preserve">Designer Collection Anniversary III</t>
  </si>
  <si>
    <t xml:space="preserve">FBB-02</t>
  </si>
  <si>
    <t xml:space="preserve">Fruit Hamper II</t>
  </si>
  <si>
    <t xml:space="preserve">Three Dozen Long Stemmed White Roses</t>
  </si>
  <si>
    <t xml:space="preserve">AU0112-02vd</t>
  </si>
  <si>
    <t xml:space="preserve">24 Assorted Roses Classic Combo</t>
  </si>
  <si>
    <t xml:space="preserve">FYF-sympathy-designer-collection-G</t>
  </si>
  <si>
    <t xml:space="preserve">Sympathy Designer Collection</t>
  </si>
  <si>
    <t xml:space="preserve">AU222-09-SS</t>
  </si>
  <si>
    <t xml:space="preserve">AU75-36</t>
  </si>
  <si>
    <t xml:space="preserve">36 Red Roses - Half Price</t>
  </si>
  <si>
    <t xml:space="preserve">AU110-02-REG</t>
  </si>
  <si>
    <t xml:space="preserve">Dozen Red Roses, Vase &amp; Chocolates</t>
  </si>
  <si>
    <t xml:space="preserve">AURP-16sp</t>
  </si>
  <si>
    <t xml:space="preserve">Single Rose &amp; Card</t>
  </si>
  <si>
    <t xml:space="preserve">AU501-02</t>
  </si>
  <si>
    <t xml:space="preserve">Red Rose Trio, Card &amp; Teddy</t>
  </si>
  <si>
    <t xml:space="preserve">AU0611-07-DLX</t>
  </si>
  <si>
    <t xml:space="preserve">Garden Colours</t>
  </si>
  <si>
    <t xml:space="preserve">AU11-65-DEL</t>
  </si>
  <si>
    <t xml:space="preserve">AUSRP-16sp-REG</t>
  </si>
  <si>
    <t xml:space="preserve">FBAU76-60</t>
  </si>
  <si>
    <t xml:space="preserve">Fruits &amp; Chocolates</t>
  </si>
  <si>
    <t xml:space="preserve">FYF-timeless-red-roses-dozen-long-stemmed-C</t>
  </si>
  <si>
    <t xml:space="preserve">Timeless Red Roses Dozen Long Stemmed</t>
  </si>
  <si>
    <t xml:space="preserve">AU-RS-HT-0050-RED</t>
  </si>
  <si>
    <t xml:space="preserve">50 Red Roses</t>
  </si>
  <si>
    <t xml:space="preserve">AU11-55-REG</t>
  </si>
  <si>
    <t xml:space="preserve">12 Mixed Colour Roses</t>
  </si>
  <si>
    <t xml:space="preserve">AU100-42</t>
  </si>
  <si>
    <t xml:space="preserve">Our Sentiments</t>
  </si>
  <si>
    <t xml:space="preserve">AU51-55-REG</t>
  </si>
  <si>
    <t xml:space="preserve">Holiday Tradition</t>
  </si>
  <si>
    <t xml:space="preserve">AU-RS-HT-0024-PNK</t>
  </si>
  <si>
    <t xml:space="preserve">24 Pink Roses</t>
  </si>
  <si>
    <t xml:space="preserve">AU112-30-DLX</t>
  </si>
  <si>
    <t xml:space="preserve">Pastel Posy</t>
  </si>
  <si>
    <t xml:space="preserve">FYF-vibrant-assorted-roses-dozen-long-stemmed-D</t>
  </si>
  <si>
    <t xml:space="preserve">Vibrant Assorted Roses Dozen Long Stemmed</t>
  </si>
  <si>
    <t xml:space="preserve">AUMJ-NW-009</t>
  </si>
  <si>
    <t xml:space="preserve">Violet Vibes Bouquet in Mason Jar</t>
  </si>
  <si>
    <t xml:space="preserve">FYF-pastel-harmony-C</t>
  </si>
  <si>
    <t xml:space="preserve">AU122-55-DEL</t>
  </si>
  <si>
    <t xml:space="preserve">Blue Horizons</t>
  </si>
  <si>
    <t xml:space="preserve">FYF-mother-s-day-designer-collection-premium-C</t>
  </si>
  <si>
    <t xml:space="preserve">Mother'S Day Designer Collection Premium</t>
  </si>
  <si>
    <t xml:space="preserve">AUMJ-NW-015-REG</t>
  </si>
  <si>
    <t xml:space="preserve">AUMJ-NW-005-DLX</t>
  </si>
  <si>
    <t xml:space="preserve">AU110-04</t>
  </si>
  <si>
    <t xml:space="preserve">Dozen Mixed Colour Roses, Vase, Card &amp; Chocolates</t>
  </si>
  <si>
    <t xml:space="preserve">AUMJ99-08-REG</t>
  </si>
  <si>
    <t xml:space="preserve">SB-01MJ-DLX</t>
  </si>
  <si>
    <t xml:space="preserve">MJ100-08</t>
  </si>
  <si>
    <t xml:space="preserve">Assorted Calla Lilies In Mason Jar</t>
  </si>
  <si>
    <t xml:space="preserve">GBGC-03</t>
  </si>
  <si>
    <t xml:space="preserve">Gourmet Collection III</t>
  </si>
  <si>
    <t xml:space="preserve">FYF-hugs-and-kisses-bouquet-flowers-D-3</t>
  </si>
  <si>
    <t xml:space="preserve">Hugs And Kisses Bouquet Flowers</t>
  </si>
  <si>
    <t xml:space="preserve">FYF-hooray-bouquet-in-mason-jar-mixed-cheerful-flowers-G</t>
  </si>
  <si>
    <t xml:space="preserve">Hooray Bouquet In Mason Jar Mixed Cheerful Flowers</t>
  </si>
  <si>
    <t xml:space="preserve">AU11-65-REG</t>
  </si>
  <si>
    <t xml:space="preserve">AURP-W10123</t>
  </si>
  <si>
    <t xml:space="preserve">Wine &amp; Vase</t>
  </si>
  <si>
    <t xml:space="preserve">FYF-sweet-blossoms-collection-flowers-D-3</t>
  </si>
  <si>
    <t xml:space="preserve">Sweet Blossoms Collection Flowers</t>
  </si>
  <si>
    <t xml:space="preserve">MDDC-01</t>
  </si>
  <si>
    <t xml:space="preserve">Mothers Day Designers Collection I</t>
  </si>
  <si>
    <t xml:space="preserve">AUMJ-NW-019-DEL</t>
  </si>
  <si>
    <t xml:space="preserve">FYF-pastel-harmony-G</t>
  </si>
  <si>
    <t xml:space="preserve">AUMJ-NW-017-REG</t>
  </si>
  <si>
    <t xml:space="preserve">AU-RS-MJ-0012-RED</t>
  </si>
  <si>
    <t xml:space="preserve">12 Red Roses in a Mason Jar</t>
  </si>
  <si>
    <t xml:space="preserve">AU0611-10</t>
  </si>
  <si>
    <t xml:space="preserve">Blooming Stars</t>
  </si>
  <si>
    <t xml:space="preserve">FYF-enchanted-cottage-bouquet-in-mason-jar-D</t>
  </si>
  <si>
    <t xml:space="preserve">Enchanted Cottage Bouquet In Mason Jar</t>
  </si>
  <si>
    <t xml:space="preserve">Harmony Blooms</t>
  </si>
  <si>
    <t xml:space="preserve">FYF-sweet-blossoms-collection-flowers-C</t>
  </si>
  <si>
    <t xml:space="preserve">AU75-24</t>
  </si>
  <si>
    <t xml:space="preserve">Two Dozen Red Roses - Half Price</t>
  </si>
  <si>
    <t xml:space="preserve">FYF-birthday-celebration-combo-C</t>
  </si>
  <si>
    <t xml:space="preserve">Birthday Celebration Combo</t>
  </si>
  <si>
    <t xml:space="preserve">AU0611-14</t>
  </si>
  <si>
    <t xml:space="preserve">Summer Breeze</t>
  </si>
  <si>
    <t xml:space="preserve">FYF-gourmet-collection-luxe-hamper-G</t>
  </si>
  <si>
    <t xml:space="preserve">Gourmet Collection Luxe Hamper</t>
  </si>
  <si>
    <t xml:space="preserve">OR50-03</t>
  </si>
  <si>
    <t xml:space="preserve">Blooms of Orchids III</t>
  </si>
  <si>
    <t xml:space="preserve">GBAU39-95</t>
  </si>
  <si>
    <t xml:space="preserve">Sweet Sensation</t>
  </si>
  <si>
    <t xml:space="preserve">FYF-pink-beauty-floral-arrangement-D</t>
  </si>
  <si>
    <t xml:space="preserve">Pink Beauty Floral Arrangement</t>
  </si>
  <si>
    <t xml:space="preserve">FYF-native-flowers-designer-bouquet-D-3</t>
  </si>
  <si>
    <t xml:space="preserve">AUMJ-NW-026-REG</t>
  </si>
  <si>
    <t xml:space="preserve">New Baby Boy Bouquet in Mason Jar</t>
  </si>
  <si>
    <t xml:space="preserve">FYF-breathtaking-blooms-in-mason-jar-mixed-brights-D</t>
  </si>
  <si>
    <t xml:space="preserve">FYF-sweetheart-red-roses-in-mason-jar-6-stems-C</t>
  </si>
  <si>
    <t xml:space="preserve">Sweetheart Red Roses In Mason Jar (6 Stems)</t>
  </si>
  <si>
    <t xml:space="preserve">DCMJ-03A</t>
  </si>
  <si>
    <t xml:space="preserve">AL100-70AURP</t>
  </si>
  <si>
    <t xml:space="preserve">Celestial Love2</t>
  </si>
  <si>
    <t xml:space="preserve">FYF-greeting-card-G-61</t>
  </si>
  <si>
    <t xml:space="preserve">Greeting Card</t>
  </si>
  <si>
    <t xml:space="preserve">AUMJ-NW-010</t>
  </si>
  <si>
    <t xml:space="preserve">Get Well Garden Bouquet in Mason Jar</t>
  </si>
  <si>
    <t xml:space="preserve">AU11-36</t>
  </si>
  <si>
    <t xml:space="preserve">Rose and Carnation Bouquet</t>
  </si>
  <si>
    <t xml:space="preserve">AUMJ-NW-030-DEL</t>
  </si>
  <si>
    <t xml:space="preserve">MDPR-18A</t>
  </si>
  <si>
    <t xml:space="preserve">18 Mothers Day Roses I</t>
  </si>
  <si>
    <t xml:space="preserve">FYF-three-dozen-long-stem-red-roses-G-2</t>
  </si>
  <si>
    <t xml:space="preserve">FYF-greeting-card-C-61</t>
  </si>
  <si>
    <t xml:space="preserve">FYF-classic-red-wine-gourmet-basket-C</t>
  </si>
  <si>
    <t xml:space="preserve">Classic Red Wine &amp; Gourmet Basket</t>
  </si>
  <si>
    <t xml:space="preserve">FYF-native-flowers-designer-bouquet-C</t>
  </si>
  <si>
    <t xml:space="preserve">AU160-26</t>
  </si>
  <si>
    <t xml:space="preserve">Truly Beloved</t>
  </si>
  <si>
    <t xml:space="preserve">AURP02-41</t>
  </si>
  <si>
    <t xml:space="preserve">Pink Vase</t>
  </si>
  <si>
    <t xml:space="preserve">AUMJ-NW-018-REG</t>
  </si>
  <si>
    <t xml:space="preserve">AL100-71AURP-PRE</t>
  </si>
  <si>
    <t xml:space="preserve">AU-RS-HT-0024-RED</t>
  </si>
  <si>
    <t xml:space="preserve">24 Red Roses</t>
  </si>
  <si>
    <t xml:space="preserve">AUMJ-NW-026-DLX</t>
  </si>
  <si>
    <t xml:space="preserve">AUMJ-NW-025-DEL</t>
  </si>
  <si>
    <t xml:space="preserve">AU-RS-MJ-0012-PUR</t>
  </si>
  <si>
    <t xml:space="preserve">12 Purple Roses in a Mason Jar</t>
  </si>
  <si>
    <t xml:space="preserve">AUCH25-04-DEL</t>
  </si>
  <si>
    <t xml:space="preserve">AU-RS-HT-0006-ORG</t>
  </si>
  <si>
    <t xml:space="preserve">6 Orange Roses</t>
  </si>
  <si>
    <t xml:space="preserve">AU75-36-DEL</t>
  </si>
  <si>
    <t xml:space="preserve">FYF-the-birthday-bundle-flowers-G</t>
  </si>
  <si>
    <t xml:space="preserve">DCB-02-NZ</t>
  </si>
  <si>
    <t xml:space="preserve">FYF-what-a-treat-in-mason-jar-mixed-bouquet-G</t>
  </si>
  <si>
    <t xml:space="preserve">FYF-hugs-and-kisses-bouquet-flowers-C-3</t>
  </si>
  <si>
    <t xml:space="preserve">AUSTRT-04</t>
  </si>
  <si>
    <t xml:space="preserve">Ruby Rose Trio</t>
  </si>
  <si>
    <t xml:space="preserve">2026-08-12 00:00:00 +1000</t>
  </si>
  <si>
    <t xml:space="preserve">AU115-12R</t>
  </si>
  <si>
    <t xml:space="preserve">Dozen Red Roses and Red Wine Combo</t>
  </si>
  <si>
    <t xml:space="preserve">AUMJ-NW-005-SPR</t>
  </si>
  <si>
    <t xml:space="preserve">PLA-02-PRE</t>
  </si>
  <si>
    <t xml:space="preserve">AUMJ-NW-019-REG</t>
  </si>
  <si>
    <t xml:space="preserve">AU200-51</t>
  </si>
  <si>
    <t xml:space="preserve">Ruby Sunset</t>
  </si>
  <si>
    <t xml:space="preserve">FYF-designer-collection-mason-jar-C</t>
  </si>
  <si>
    <t xml:space="preserve">Designer Collection Mason Jar</t>
  </si>
  <si>
    <t xml:space="preserve">AU200-20</t>
  </si>
  <si>
    <t xml:space="preserve">Alstroemeria Brights Bouquet</t>
  </si>
  <si>
    <t xml:space="preserve">FYF-delicate-elegance-D</t>
  </si>
  <si>
    <t xml:space="preserve">AU215-71</t>
  </si>
  <si>
    <t xml:space="preserve">Delectable Pinks</t>
  </si>
  <si>
    <t xml:space="preserve">AU200-70</t>
  </si>
  <si>
    <t xml:space="preserve">Southern Belle Bouquet</t>
  </si>
  <si>
    <t xml:space="preserve">AU100-98</t>
  </si>
  <si>
    <t xml:space="preserve">Springtime Basket</t>
  </si>
  <si>
    <t xml:space="preserve">LF100-586</t>
  </si>
  <si>
    <t xml:space="preserve">Touch Of Red Roses</t>
  </si>
  <si>
    <t xml:space="preserve">AU75-24-PRE</t>
  </si>
  <si>
    <t xml:space="preserve">FYF-plush-teddy-bear-D</t>
  </si>
  <si>
    <t xml:space="preserve">Ten Red Roses, Card &amp; Teddy</t>
  </si>
  <si>
    <t xml:space="preserve">FYF-plush-teddy-bear-G</t>
  </si>
  <si>
    <t xml:space="preserve">AU112-07-DLX</t>
  </si>
  <si>
    <t xml:space="preserve">Peaceful White Lilies</t>
  </si>
  <si>
    <t xml:space="preserve">AU75-12-DEL</t>
  </si>
  <si>
    <t xml:space="preserve">AU75-36-REG</t>
  </si>
  <si>
    <t xml:space="preserve">WBAU10-11-WB</t>
  </si>
  <si>
    <t xml:space="preserve">Deluxe Wine Lovers Basket</t>
  </si>
  <si>
    <t xml:space="preserve">AU115-06R</t>
  </si>
  <si>
    <t xml:space="preserve">6 Red Roses and Red Wine Combo</t>
  </si>
  <si>
    <t xml:space="preserve">FYF-plush-teddy-bear-G-19</t>
  </si>
  <si>
    <t xml:space="preserve">2026-08-24 00:00:00 +1000</t>
  </si>
  <si>
    <t xml:space="preserve">24 Dazzling Gerberas</t>
  </si>
  <si>
    <t xml:space="preserve">AL100-70AURP-REG</t>
  </si>
  <si>
    <t xml:space="preserve">AU22-62</t>
  </si>
  <si>
    <t xml:space="preserve">Pink Delight</t>
  </si>
  <si>
    <t xml:space="preserve">AU115-06</t>
  </si>
  <si>
    <t xml:space="preserve">6 Red Roses, Chocolates, Card &amp; Wine</t>
  </si>
  <si>
    <t xml:space="preserve">FBAU74-70</t>
  </si>
  <si>
    <t xml:space="preserve">Freshest Fruit Basket</t>
  </si>
  <si>
    <t xml:space="preserve">FYF-thirty-alstroemeria-blooms-in-mason-jar-D</t>
  </si>
  <si>
    <t xml:space="preserve">FYF-hooray-bouquet-in-mason-jar-mixed-cheerful-flowers-D</t>
  </si>
  <si>
    <t xml:space="preserve">AUSD-02-DLX</t>
  </si>
  <si>
    <t xml:space="preserve">AU-RS-HT-0006-LPK</t>
  </si>
  <si>
    <t xml:space="preserve">6 Light Pink Roses</t>
  </si>
  <si>
    <t xml:space="preserve">AUDNAT-MJ-01</t>
  </si>
  <si>
    <t xml:space="preserve">Native Flowers Mason Jar Florist Selection I</t>
  </si>
  <si>
    <t xml:space="preserve">AU24-60</t>
  </si>
  <si>
    <t xml:space="preserve">Feeling Peachy</t>
  </si>
  <si>
    <t xml:space="preserve">AU-RS-HT-0001-WHT</t>
  </si>
  <si>
    <t xml:space="preserve">1 White Rose</t>
  </si>
  <si>
    <t xml:space="preserve">AU200-92</t>
  </si>
  <si>
    <t xml:space="preserve">Artsy Bouquet</t>
  </si>
  <si>
    <t xml:space="preserve">50 Festive Peruvian Lilies</t>
  </si>
  <si>
    <t xml:space="preserve">AUMJ-NW-023-REG</t>
  </si>
  <si>
    <t xml:space="preserve">Cure the Blues Bouquet in Mason Jar</t>
  </si>
  <si>
    <t xml:space="preserve">AU-RS-HT-0012-YLW</t>
  </si>
  <si>
    <t xml:space="preserve">12 Yellow Roses</t>
  </si>
  <si>
    <t xml:space="preserve">AU-RS-HT-0001-MULTI</t>
  </si>
  <si>
    <t xml:space="preserve">1 Multi-Colour Rose</t>
  </si>
  <si>
    <t xml:space="preserve">MDLR-04</t>
  </si>
  <si>
    <t xml:space="preserve">Mothers Day Lavender Roses IV</t>
  </si>
  <si>
    <t xml:space="preserve">AU-RS-HT-0003-WHT</t>
  </si>
  <si>
    <t xml:space="preserve">3 White Roses</t>
  </si>
  <si>
    <t xml:space="preserve">FYF-lavender-love-bouquet-D</t>
  </si>
  <si>
    <t xml:space="preserve">AU-RS-HT-0006-PNK</t>
  </si>
  <si>
    <t xml:space="preserve">6 Pink Roses</t>
  </si>
  <si>
    <t xml:space="preserve">AU75-24-DEL</t>
  </si>
  <si>
    <t xml:space="preserve">FYF-pink-pleasure-bouquet-C</t>
  </si>
  <si>
    <t xml:space="preserve">Pink Pleasure Bouquet</t>
  </si>
  <si>
    <t xml:space="preserve">AUMJ-NW-011-REG</t>
  </si>
  <si>
    <t xml:space="preserve">AL100-71AURP-REG</t>
  </si>
  <si>
    <t xml:space="preserve">AU111-57</t>
  </si>
  <si>
    <t xml:space="preserve">Fuchsia Bouquet</t>
  </si>
  <si>
    <t xml:space="preserve">MJ100-12</t>
  </si>
  <si>
    <t xml:space="preserve">Classic Whites In Mason Jar</t>
  </si>
  <si>
    <t xml:space="preserve">AUSGRT-02</t>
  </si>
  <si>
    <t xml:space="preserve">White Cloud Gerbera Trio</t>
  </si>
  <si>
    <t xml:space="preserve">BBAU20-01</t>
  </si>
  <si>
    <t xml:space="preserve">Drink &amp; Snack Basket</t>
  </si>
  <si>
    <t xml:space="preserve">AUMJ-NW-030-REG</t>
  </si>
  <si>
    <t xml:space="preserve">AUMJ-NW-017-DEL</t>
  </si>
  <si>
    <t xml:space="preserve">MJ100-118-REG</t>
  </si>
  <si>
    <t xml:space="preserve">AU22-10</t>
  </si>
  <si>
    <t xml:space="preserve">Pink Pleasure</t>
  </si>
  <si>
    <t xml:space="preserve">AUMJ-NW-012-DEL</t>
  </si>
  <si>
    <t xml:space="preserve">FYF-peaceful-clouds-in-mason-jar-white-roses-bouquet-G</t>
  </si>
  <si>
    <t xml:space="preserve">AU100-92</t>
  </si>
  <si>
    <t xml:space="preserve">Blooms of Joy</t>
  </si>
  <si>
    <t xml:space="preserve">AUSC-03</t>
  </si>
  <si>
    <t xml:space="preserve">Sweetheart Collection III</t>
  </si>
  <si>
    <t xml:space="preserve">AU-RS-HT-0003-PUR</t>
  </si>
  <si>
    <t xml:space="preserve">3 Purple Roses</t>
  </si>
  <si>
    <t xml:space="preserve">FYF-blushing-elegance-bouquet-G</t>
  </si>
  <si>
    <t xml:space="preserve">FBAU74-61</t>
  </si>
  <si>
    <t xml:space="preserve">Fruit Harvest</t>
  </si>
  <si>
    <t xml:space="preserve">AUMJ-NW-007-REG</t>
  </si>
  <si>
    <t xml:space="preserve">FYF-plush-teddy-bear-C</t>
  </si>
  <si>
    <t xml:space="preserve">AU501-03-REG</t>
  </si>
  <si>
    <t xml:space="preserve">Sweet Valentine Combo</t>
  </si>
  <si>
    <t xml:space="preserve">AU13-10</t>
  </si>
  <si>
    <t xml:space="preserve">Blue Iris Bouquet</t>
  </si>
  <si>
    <t xml:space="preserve">GBHT-01</t>
  </si>
  <si>
    <t xml:space="preserve">Holiday Tradition I</t>
  </si>
  <si>
    <t xml:space="preserve">PGBOX05</t>
  </si>
  <si>
    <t xml:space="preserve">Chocolate Dreams Gift Box</t>
  </si>
  <si>
    <t xml:space="preserve">AU501-08</t>
  </si>
  <si>
    <t xml:space="preserve">6 Assorted Roses, Vase &amp; Chocolates</t>
  </si>
  <si>
    <t xml:space="preserve">FYF-plush-teddy-bear-C-4</t>
  </si>
  <si>
    <t xml:space="preserve">AU222-19</t>
  </si>
  <si>
    <t xml:space="preserve">Ravishing Radiance</t>
  </si>
  <si>
    <t xml:space="preserve">WBAU10-03WB</t>
  </si>
  <si>
    <t xml:space="preserve">Deluxe Wine Duo Basket</t>
  </si>
  <si>
    <t xml:space="preserve">FBB-01</t>
  </si>
  <si>
    <t xml:space="preserve">Fruit Hamper I</t>
  </si>
  <si>
    <t xml:space="preserve">AURP-13sp-REG</t>
  </si>
  <si>
    <t xml:space="preserve">SC01-REG</t>
  </si>
  <si>
    <t xml:space="preserve">RP02-33</t>
  </si>
  <si>
    <t xml:space="preserve">Gourmet Bundle</t>
  </si>
  <si>
    <t xml:space="preserve">AU-ADD-FULL-SIZE-GREETING-CAR-395</t>
  </si>
  <si>
    <t xml:space="preserve">Peaceful Clouds in Mason Jar</t>
  </si>
  <si>
    <t xml:space="preserve">AU501-06</t>
  </si>
  <si>
    <t xml:space="preserve">6 Red Roses, Vase &amp; Teddy</t>
  </si>
  <si>
    <t xml:space="preserve">AU111-11</t>
  </si>
  <si>
    <t xml:space="preserve">Colourful Caboodle</t>
  </si>
  <si>
    <t xml:space="preserve">AU1106-02</t>
  </si>
  <si>
    <t xml:space="preserve">6 Assorted Roses, Chocolates &amp; Teddy</t>
  </si>
  <si>
    <t xml:space="preserve">AU112-30</t>
  </si>
  <si>
    <t xml:space="preserve">AU1151-01</t>
  </si>
  <si>
    <t xml:space="preserve">Dozen Assorted Roses &amp; Card</t>
  </si>
  <si>
    <t xml:space="preserve">AU501-09</t>
  </si>
  <si>
    <t xml:space="preserve">AURP-W11</t>
  </si>
  <si>
    <t xml:space="preserve">Premium Red Wine</t>
  </si>
  <si>
    <t xml:space="preserve">MDAR-03</t>
  </si>
  <si>
    <t xml:space="preserve">Assorted Roses III</t>
  </si>
  <si>
    <t xml:space="preserve">WBAU85-03</t>
  </si>
  <si>
    <t xml:space="preserve">Deluxe Wine &amp; Cheese Hamper</t>
  </si>
  <si>
    <t xml:space="preserve">AU115-18</t>
  </si>
  <si>
    <t xml:space="preserve">Revitalising Aromas</t>
  </si>
  <si>
    <t xml:space="preserve">One Dozen Long Stem Yellow Roses</t>
  </si>
  <si>
    <t xml:space="preserve">AUV11-11-PRE</t>
  </si>
  <si>
    <t xml:space="preserve">AU0611-08</t>
  </si>
  <si>
    <t xml:space="preserve">Shining Sunrise</t>
  </si>
  <si>
    <t xml:space="preserve">DCMJ-02A</t>
  </si>
  <si>
    <t xml:space="preserve">Designer Collection Mason Jar II</t>
  </si>
  <si>
    <t xml:space="preserve">AURP03sp</t>
  </si>
  <si>
    <t xml:space="preserve">Glass Vase Special</t>
  </si>
  <si>
    <t xml:space="preserve">AU111-93</t>
  </si>
  <si>
    <t xml:space="preserve">Pink and Cream Bouquet</t>
  </si>
  <si>
    <t xml:space="preserve">WBAU10-11</t>
  </si>
  <si>
    <t xml:space="preserve">Wine Lovers Basket</t>
  </si>
  <si>
    <t xml:space="preserve">Designer Collection Anniversary I</t>
  </si>
  <si>
    <t xml:space="preserve">AU115-03W</t>
  </si>
  <si>
    <t xml:space="preserve">3 Red Roses and White Wine Combo</t>
  </si>
  <si>
    <t xml:space="preserve">AU213-60</t>
  </si>
  <si>
    <t xml:space="preserve">Joyous Delight</t>
  </si>
  <si>
    <t xml:space="preserve">AUV11-11</t>
  </si>
  <si>
    <t xml:space="preserve">Hooray Bouquet in Mason Jar</t>
  </si>
  <si>
    <t xml:space="preserve">AU100-47</t>
  </si>
  <si>
    <t xml:space="preserve">Wonderous Wishes</t>
  </si>
  <si>
    <t xml:space="preserve">AUMJ-NW-023</t>
  </si>
  <si>
    <t xml:space="preserve">Blue Hour</t>
  </si>
  <si>
    <t xml:space="preserve">GBGC-01</t>
  </si>
  <si>
    <t xml:space="preserve">Gourmet Collection I</t>
  </si>
  <si>
    <t xml:space="preserve">AURP-12sp</t>
  </si>
  <si>
    <t xml:space="preserve">AU0611-11</t>
  </si>
  <si>
    <t xml:space="preserve">Summer Joy</t>
  </si>
  <si>
    <t xml:space="preserve">Assorted Roses in Mason Jar</t>
  </si>
  <si>
    <t xml:space="preserve">AU112-73</t>
  </si>
  <si>
    <t xml:space="preserve">Celestial Love</t>
  </si>
  <si>
    <t xml:space="preserve">fBAU75-01</t>
  </si>
  <si>
    <t xml:space="preserve">Premium Fruit Basket</t>
  </si>
  <si>
    <t xml:space="preserve">AUMJ100-12</t>
  </si>
  <si>
    <t xml:space="preserve">Clean Whites</t>
  </si>
  <si>
    <t xml:space="preserve">FYF-peaceful-clouds-in-mason-jar-white-roses-bouquet-C</t>
  </si>
  <si>
    <t xml:space="preserve">AU216-41</t>
  </si>
  <si>
    <t xml:space="preserve">Splendid Blooms</t>
  </si>
  <si>
    <t xml:space="preserve">GWC-04</t>
  </si>
  <si>
    <t xml:space="preserve">Premium Wine Collection IV</t>
  </si>
  <si>
    <t xml:space="preserve">AU100-119</t>
  </si>
  <si>
    <t xml:space="preserve">Heavenly Lilies</t>
  </si>
  <si>
    <t xml:space="preserve">AU31-31</t>
  </si>
  <si>
    <t xml:space="preserve">Crimson Kiss</t>
  </si>
  <si>
    <t xml:space="preserve">AU112-37</t>
  </si>
  <si>
    <t xml:space="preserve">AUDC-03</t>
  </si>
  <si>
    <t xml:space="preserve">Designer Collection III</t>
  </si>
  <si>
    <t xml:space="preserve">AU0611-21</t>
  </si>
  <si>
    <t xml:space="preserve">Beauty in Pink</t>
  </si>
  <si>
    <t xml:space="preserve">AU11-52</t>
  </si>
  <si>
    <t xml:space="preserve">Dozen Pink Roses</t>
  </si>
  <si>
    <t xml:space="preserve">FYF-delicate-elegance-C</t>
  </si>
  <si>
    <t xml:space="preserve">MDAR-04</t>
  </si>
  <si>
    <t xml:space="preserve">Rose Special IV</t>
  </si>
  <si>
    <t xml:space="preserve">MJ55-01</t>
  </si>
  <si>
    <t xml:space="preserve">Radiant Roses in Mason Jar</t>
  </si>
  <si>
    <t xml:space="preserve">DCMJ-02</t>
  </si>
  <si>
    <t xml:space="preserve">AU111-42</t>
  </si>
  <si>
    <t xml:space="preserve">Classic White Daisies</t>
  </si>
  <si>
    <t xml:space="preserve">PLA-02-DEL</t>
  </si>
  <si>
    <t xml:space="preserve">OR100-02</t>
  </si>
  <si>
    <t xml:space="preserve">100 Blooms of Orchids II</t>
  </si>
  <si>
    <t xml:space="preserve">AU99-29</t>
  </si>
  <si>
    <t xml:space="preserve">Smiling Floral Basket</t>
  </si>
  <si>
    <t xml:space="preserve">RBC-02C</t>
  </si>
  <si>
    <t xml:space="preserve">Bunches Purply Pink Collection III</t>
  </si>
  <si>
    <t xml:space="preserve">OR50-04</t>
  </si>
  <si>
    <t xml:space="preserve">50 Blooms of Orchids IV</t>
  </si>
  <si>
    <t xml:space="preserve">GBAU71-61</t>
  </si>
  <si>
    <t xml:space="preserve">Classic Collection II</t>
  </si>
  <si>
    <t xml:space="preserve">AU112-42</t>
  </si>
  <si>
    <t xml:space="preserve">Bright Bouquet</t>
  </si>
  <si>
    <t xml:space="preserve">FYF-ten-long-stemmed-red-roses-special-offer-C</t>
  </si>
  <si>
    <t xml:space="preserve">GBGC-02</t>
  </si>
  <si>
    <t xml:space="preserve">Gourmet Collection II</t>
  </si>
  <si>
    <t xml:space="preserve">AU115-06W</t>
  </si>
  <si>
    <t xml:space="preserve">6 Red Roses and White Wine Combo</t>
  </si>
  <si>
    <t xml:space="preserve">GBAU75-50</t>
  </si>
  <si>
    <t xml:space="preserve">Snack Gift Basket</t>
  </si>
  <si>
    <t xml:space="preserve">AU218-30</t>
  </si>
  <si>
    <t xml:space="preserve">Pretty Posy</t>
  </si>
  <si>
    <t xml:space="preserve">AU216-51</t>
  </si>
  <si>
    <t xml:space="preserve">Funky Bouquet</t>
  </si>
  <si>
    <t xml:space="preserve">AU51-03</t>
  </si>
  <si>
    <t xml:space="preserve">Bestseller Combo III</t>
  </si>
  <si>
    <t xml:space="preserve">AUFS-11</t>
  </si>
  <si>
    <t xml:space="preserve">Dozen Red Roses, Wine &amp; Truffles</t>
  </si>
  <si>
    <t xml:space="preserve">AUG-24</t>
  </si>
  <si>
    <t xml:space="preserve">AU222-05</t>
  </si>
  <si>
    <t xml:space="preserve">Blushing Bouquet</t>
  </si>
  <si>
    <t xml:space="preserve">AU-RS-HT-0006-PUR</t>
  </si>
  <si>
    <t xml:space="preserve">6 Purple Roses</t>
  </si>
  <si>
    <t xml:space="preserve">MDPR-12A</t>
  </si>
  <si>
    <t xml:space="preserve">One Dozen Mothers Day Roses I</t>
  </si>
  <si>
    <t xml:space="preserve">AU216-80</t>
  </si>
  <si>
    <t xml:space="preserve">Shimmering Sunlight</t>
  </si>
  <si>
    <t xml:space="preserve">MJ11-57</t>
  </si>
  <si>
    <t xml:space="preserve">Half Dozen Assorted Roses in Mason Jar</t>
  </si>
  <si>
    <t xml:space="preserve">RBC-03D</t>
  </si>
  <si>
    <t xml:space="preserve">Bunches Mixed Collection IV</t>
  </si>
  <si>
    <t xml:space="preserve">AU120-02</t>
  </si>
  <si>
    <t xml:space="preserve">Smattering of Summer</t>
  </si>
  <si>
    <t xml:space="preserve">AUSSR-02</t>
  </si>
  <si>
    <t xml:space="preserve">Snowdrop Solo</t>
  </si>
  <si>
    <t xml:space="preserve">AU11-55</t>
  </si>
  <si>
    <t xml:space="preserve">OR50-02</t>
  </si>
  <si>
    <t xml:space="preserve">50 Blooms of Orchids II</t>
  </si>
  <si>
    <t xml:space="preserve">AB-GC-100</t>
  </si>
  <si>
    <t xml:space="preserve">AB-GC-50</t>
  </si>
  <si>
    <t xml:space="preserve">AL100-20AURP-DEL</t>
  </si>
  <si>
    <t xml:space="preserve">AL100-20AURP-PRE</t>
  </si>
  <si>
    <t xml:space="preserve">AL100-20AURP-REG</t>
  </si>
  <si>
    <t xml:space="preserve">AL100-70AURP-DEL</t>
  </si>
  <si>
    <t xml:space="preserve">AL100-70AURP-GRA</t>
  </si>
  <si>
    <t xml:space="preserve">AL100-70AURP-PRE</t>
  </si>
  <si>
    <t xml:space="preserve">AL100-71AURP-DEL</t>
  </si>
  <si>
    <t xml:space="preserve">AL100-71AURP-GRA</t>
  </si>
  <si>
    <t xml:space="preserve">AL100-75AURP</t>
  </si>
  <si>
    <t xml:space="preserve">AL100-75AURP-DEL</t>
  </si>
  <si>
    <t xml:space="preserve">AL100-75AURP-GRA</t>
  </si>
  <si>
    <t xml:space="preserve">AL100-75AURP-PRE</t>
  </si>
  <si>
    <t xml:space="preserve">AL100-75AURP-REG</t>
  </si>
  <si>
    <t xml:space="preserve">AL100-78AURP</t>
  </si>
  <si>
    <t xml:space="preserve">Rose Romanesque</t>
  </si>
  <si>
    <t xml:space="preserve">AL100-78AURP-DEL</t>
  </si>
  <si>
    <t xml:space="preserve">AL160-32AURP-REG</t>
  </si>
  <si>
    <t xml:space="preserve">White Lily Serenity</t>
  </si>
  <si>
    <t xml:space="preserve">AL160-41AURP-GRA</t>
  </si>
  <si>
    <t xml:space="preserve">Gift of Grace</t>
  </si>
  <si>
    <t xml:space="preserve">AL160-41AURP-PRE</t>
  </si>
  <si>
    <t xml:space="preserve">AL160-42AURP-DEL</t>
  </si>
  <si>
    <t xml:space="preserve">Moments of Majesty</t>
  </si>
  <si>
    <t xml:space="preserve">AL160-42AURP-REG</t>
  </si>
  <si>
    <t xml:space="preserve">AU-ADD-ASSORTED-CHOCOLATE-TRUFFLES</t>
  </si>
  <si>
    <t xml:space="preserve">Assorted Chocolate Truffles</t>
  </si>
  <si>
    <t xml:space="preserve">AU-ADD-BABY-BOY-BALLOON</t>
  </si>
  <si>
    <t xml:space="preserve">AU-ADD-BABY-GIRL-BALLOON-895</t>
  </si>
  <si>
    <t xml:space="preserve">AU-ADD-BALLOON-BDAY-695</t>
  </si>
  <si>
    <t xml:space="preserve">Balloon (Happy Birthday)</t>
  </si>
  <si>
    <t xml:space="preserve">AU-ADD-BALLOON-LOVE-695</t>
  </si>
  <si>
    <t xml:space="preserve">Balloon (Love/Heart)</t>
  </si>
  <si>
    <t xml:space="preserve">AU-ADD-BUNDLE-CTCh-PREM-2995</t>
  </si>
  <si>
    <t xml:space="preserve">Bundle: Card + Large Teddy + Chocolates</t>
  </si>
  <si>
    <t xml:space="preserve">AU-ADD-BUNDLE-PREM-WINE-CHOC-5495</t>
  </si>
  <si>
    <t xml:space="preserve">Bundle: Premium Wine + Chocolates</t>
  </si>
  <si>
    <t xml:space="preserve">AU-ADD-BUNDLE-TC-1995</t>
  </si>
  <si>
    <t xml:space="preserve">Bundle: Teddy + Chocolates</t>
  </si>
  <si>
    <t xml:space="preserve">AU-ADD-BUNDLE-ULT-WINE-7495</t>
  </si>
  <si>
    <t xml:space="preserve">Bundle: Ultimate Wine Celebration</t>
  </si>
  <si>
    <t xml:space="preserve">AU-ADD-BUNDLE-ULTIMATE-3495</t>
  </si>
  <si>
    <t xml:space="preserve">Bundle: Vase + Card + Teddy + Chocolates</t>
  </si>
  <si>
    <t xml:space="preserve">AU-ADD-BUNDLE-VC-1195</t>
  </si>
  <si>
    <t xml:space="preserve">AU-ADD-BUNDLE-VCC-2495</t>
  </si>
  <si>
    <t xml:space="preserve">Bundle: Vase + Chocolates + Card</t>
  </si>
  <si>
    <t xml:space="preserve">AU-ADD-BUNDLE-WB-CHOC-5995</t>
  </si>
  <si>
    <t xml:space="preserve">Bundle: Wolf Blass Wine + Chocolates</t>
  </si>
  <si>
    <t xml:space="preserve">AU-ADD-CARD-TEDDY-1395-STANDARD</t>
  </si>
  <si>
    <t xml:space="preserve">Card &amp; Teddy (Standard)</t>
  </si>
  <si>
    <t xml:space="preserve">AU-ADD-CARD-TEDDY-1695-PREMIUM</t>
  </si>
  <si>
    <t xml:space="preserve">Card &amp; Teddy (Premium)</t>
  </si>
  <si>
    <t xml:space="preserve">AU-ADD-CHOC-FERRERO-ROCHER-1495</t>
  </si>
  <si>
    <t xml:space="preserve">Chocolates (Ferrero Rocher)</t>
  </si>
  <si>
    <t xml:space="preserve">AU-ADD-DELUXE-GIFT-PACKAGING</t>
  </si>
  <si>
    <t xml:space="preserve">AU-ADD-FULL-SIZE-BIRTHDAY-CAR-395</t>
  </si>
  <si>
    <t xml:space="preserve">AU-ADD-FULL-SIZE-SYMPATHY-CAR-395</t>
  </si>
  <si>
    <t xml:space="preserve">AU-ADD-FULL-SIZE-VALENTINES-CARD</t>
  </si>
  <si>
    <t xml:space="preserve">AU-ADD-GLASS-VASE-1195-BLUE</t>
  </si>
  <si>
    <t xml:space="preserve">AU-ADD-GLASS-VASE-HAND-BLOWN-895</t>
  </si>
  <si>
    <t xml:space="preserve">AU-ADD-GLASS-VASE-SPECIAL-995</t>
  </si>
  <si>
    <t xml:space="preserve">AU-ADD-LARGE-BOX-OF-PREMIUM-CHOCOLATES</t>
  </si>
  <si>
    <t xml:space="preserve">AU-ADD-LG-TEDDY-1495</t>
  </si>
  <si>
    <t xml:space="preserve">Large Teddy Bear</t>
  </si>
  <si>
    <t xml:space="preserve">AU-ADD-PERS-CARD-595</t>
  </si>
  <si>
    <t xml:space="preserve">Personalised Message Card</t>
  </si>
  <si>
    <t xml:space="preserve">AU-ADD-PREM-RED-WINE-4495</t>
  </si>
  <si>
    <t xml:space="preserve">AU-ADD-PREM-WHITE-WINE-4495</t>
  </si>
  <si>
    <t xml:space="preserve">AU-ADD-SINGLE-ROSE-CARD</t>
  </si>
  <si>
    <t xml:space="preserve">AU-ADD-TEDDY-BEAR-995</t>
  </si>
  <si>
    <t xml:space="preserve">AU-ADD-VASE-CHOCOLATES</t>
  </si>
  <si>
    <t xml:space="preserve">AU-ADD-VASE-TRUFFLES</t>
  </si>
  <si>
    <t xml:space="preserve">AU-RS-HT-0001-CR</t>
  </si>
  <si>
    <t xml:space="preserve">1 Cream Rose</t>
  </si>
  <si>
    <t xml:space="preserve">AU-RS-HT-0001-HPK</t>
  </si>
  <si>
    <t xml:space="preserve">1 Hot Pink Rose</t>
  </si>
  <si>
    <t xml:space="preserve">AU-RS-HT-0001-LAV</t>
  </si>
  <si>
    <t xml:space="preserve">1 Lavender Rose</t>
  </si>
  <si>
    <t xml:space="preserve">AU-RS-HT-0001-LPK</t>
  </si>
  <si>
    <t xml:space="preserve">1 Light Pink Rose</t>
  </si>
  <si>
    <t xml:space="preserve">AU-RS-HT-0001-MXRW</t>
  </si>
  <si>
    <t xml:space="preserve">1 Mixed Red &amp; White Rose</t>
  </si>
  <si>
    <t xml:space="preserve">AU-RS-HT-0001-PCH</t>
  </si>
  <si>
    <t xml:space="preserve">1 Peach Rose</t>
  </si>
  <si>
    <t xml:space="preserve">AU-RS-HT-0001-PNK</t>
  </si>
  <si>
    <t xml:space="preserve">1 Pink Rose</t>
  </si>
  <si>
    <t xml:space="preserve">AU-RS-HT-0001-PUR</t>
  </si>
  <si>
    <t xml:space="preserve">1 Purple Rose</t>
  </si>
  <si>
    <t xml:space="preserve">AU-RS-HT-0001-RED</t>
  </si>
  <si>
    <t xml:space="preserve">1 Red Rose</t>
  </si>
  <si>
    <t xml:space="preserve">AU-RS-HT-0001-YLW</t>
  </si>
  <si>
    <t xml:space="preserve">1 Yellow Rose</t>
  </si>
  <si>
    <t xml:space="preserve">AU-RS-HT-0003-CR</t>
  </si>
  <si>
    <t xml:space="preserve">3 Cream Roses</t>
  </si>
  <si>
    <t xml:space="preserve">AU-RS-HT-0003-HPK</t>
  </si>
  <si>
    <t xml:space="preserve">3 Hot Pink Roses</t>
  </si>
  <si>
    <t xml:space="preserve">AU-RS-HT-0003-LAV</t>
  </si>
  <si>
    <t xml:space="preserve">3 Lavender Roses</t>
  </si>
  <si>
    <t xml:space="preserve">AU-RS-HT-0003-LPK</t>
  </si>
  <si>
    <t xml:space="preserve">3 Light Pink Roses</t>
  </si>
  <si>
    <t xml:space="preserve">AU-RS-HT-0003-MULTI</t>
  </si>
  <si>
    <t xml:space="preserve">3 Multi-Colour Roses</t>
  </si>
  <si>
    <t xml:space="preserve">AU-RS-HT-0003-MXRW</t>
  </si>
  <si>
    <t xml:space="preserve">3 Mixed Red &amp; White Roses</t>
  </si>
  <si>
    <t xml:space="preserve">AU-RS-HT-0003-ORG</t>
  </si>
  <si>
    <t xml:space="preserve">3 Orange Roses</t>
  </si>
  <si>
    <t xml:space="preserve">AU-RS-HT-0003-PCH</t>
  </si>
  <si>
    <t xml:space="preserve">3 Peach Roses</t>
  </si>
  <si>
    <t xml:space="preserve">AU-RS-HT-0003-PNK</t>
  </si>
  <si>
    <t xml:space="preserve">3 Pink Roses</t>
  </si>
  <si>
    <t xml:space="preserve">AU-RS-HT-0003-RED</t>
  </si>
  <si>
    <t xml:space="preserve">3 Red Roses</t>
  </si>
  <si>
    <t xml:space="preserve">AU-RS-HT-0003-YLW</t>
  </si>
  <si>
    <t xml:space="preserve">3 Yellow Roses</t>
  </si>
  <si>
    <t xml:space="preserve">AU-RS-HT-0006-CR</t>
  </si>
  <si>
    <t xml:space="preserve">6 Cream Roses</t>
  </si>
  <si>
    <t xml:space="preserve">AU-RS-HT-0006-HPK</t>
  </si>
  <si>
    <t xml:space="preserve">6 Hot Pink Roses</t>
  </si>
  <si>
    <t xml:space="preserve">AU-RS-HT-0006-LAV</t>
  </si>
  <si>
    <t xml:space="preserve">6 Lavender Roses</t>
  </si>
  <si>
    <t xml:space="preserve">AU-RS-HT-0006-MULTI</t>
  </si>
  <si>
    <t xml:space="preserve">6 Multi-Colour Roses</t>
  </si>
  <si>
    <t xml:space="preserve">AU-RS-HT-0006-RED</t>
  </si>
  <si>
    <t xml:space="preserve">6 Red Roses</t>
  </si>
  <si>
    <t xml:space="preserve">AU-RS-HT-0006-WHT</t>
  </si>
  <si>
    <t xml:space="preserve">6 White Roses</t>
  </si>
  <si>
    <t xml:space="preserve">AU-RS-HT-0006-YLW</t>
  </si>
  <si>
    <t xml:space="preserve">6 Yellow Roses</t>
  </si>
  <si>
    <t xml:space="preserve">AU-RS-HT-0012-CR</t>
  </si>
  <si>
    <t xml:space="preserve">12 Cream Roses</t>
  </si>
  <si>
    <t xml:space="preserve">AU-RS-HT-0012-LAV</t>
  </si>
  <si>
    <t xml:space="preserve">12 Lavender Roses</t>
  </si>
  <si>
    <t xml:space="preserve">AU-RS-HT-0012-LPK</t>
  </si>
  <si>
    <t xml:space="preserve">12 Light Pink Roses</t>
  </si>
  <si>
    <t xml:space="preserve">AU-RS-HT-0012-MULTI</t>
  </si>
  <si>
    <t xml:space="preserve">12 Multi-Colour Roses</t>
  </si>
  <si>
    <t xml:space="preserve">AU-RS-HT-0012-MXRW</t>
  </si>
  <si>
    <t xml:space="preserve">12 Mixed Red &amp; White Roses</t>
  </si>
  <si>
    <t xml:space="preserve">AU-RS-HT-0012-ORG</t>
  </si>
  <si>
    <t xml:space="preserve">12 Orange Roses</t>
  </si>
  <si>
    <t xml:space="preserve">AU-RS-HT-0012-PCH</t>
  </si>
  <si>
    <t xml:space="preserve">12 Peach Roses</t>
  </si>
  <si>
    <t xml:space="preserve">AU-RS-HT-0012-PNK</t>
  </si>
  <si>
    <t xml:space="preserve">12 Pink Roses</t>
  </si>
  <si>
    <t xml:space="preserve">AU-RS-HT-0012-WHT</t>
  </si>
  <si>
    <t xml:space="preserve">12 White Roses</t>
  </si>
  <si>
    <t xml:space="preserve">AU-RS-HT-0024-HPK</t>
  </si>
  <si>
    <t xml:space="preserve">24 Hot Pink Roses</t>
  </si>
  <si>
    <t xml:space="preserve">AU-RS-HT-0024-LAV</t>
  </si>
  <si>
    <t xml:space="preserve">24 Lavender Roses</t>
  </si>
  <si>
    <t xml:space="preserve">AU-RS-HT-0024-LPK</t>
  </si>
  <si>
    <t xml:space="preserve">24 Light Pink Roses</t>
  </si>
  <si>
    <t xml:space="preserve">AU-RS-HT-0024-MULTI</t>
  </si>
  <si>
    <t xml:space="preserve">24 Multi-Colour Roses</t>
  </si>
  <si>
    <t xml:space="preserve">AU-RS-HT-0024-MXRW</t>
  </si>
  <si>
    <t xml:space="preserve">24 Mixed Red &amp; White Roses</t>
  </si>
  <si>
    <t xml:space="preserve">AU-RS-HT-0024-PCH</t>
  </si>
  <si>
    <t xml:space="preserve">24 Peach Roses</t>
  </si>
  <si>
    <t xml:space="preserve">AU-RS-HT-0024-PUR</t>
  </si>
  <si>
    <t xml:space="preserve">24 Purple Roses</t>
  </si>
  <si>
    <t xml:space="preserve">AU-RS-HT-0024-WHT</t>
  </si>
  <si>
    <t xml:space="preserve">24 White Roses</t>
  </si>
  <si>
    <t xml:space="preserve">AU-RS-HT-0024-YLW</t>
  </si>
  <si>
    <t xml:space="preserve">24 Yellow Roses</t>
  </si>
  <si>
    <t xml:space="preserve">AU-RS-HT-0036-CR</t>
  </si>
  <si>
    <t xml:space="preserve">36 Cream Roses</t>
  </si>
  <si>
    <t xml:space="preserve">AU-RS-HT-0036-LAV</t>
  </si>
  <si>
    <t xml:space="preserve">36 Lavender Roses</t>
  </si>
  <si>
    <t xml:space="preserve">AU-RS-HT-0036-LPK</t>
  </si>
  <si>
    <t xml:space="preserve">36 Light Pink Roses</t>
  </si>
  <si>
    <t xml:space="preserve">AU-RS-HT-0036-MULTI</t>
  </si>
  <si>
    <t xml:space="preserve">36 Multi-Colour Roses</t>
  </si>
  <si>
    <t xml:space="preserve">AU-RS-HT-0036-MXRW</t>
  </si>
  <si>
    <t xml:space="preserve">36 Mixed Red &amp; White Roses</t>
  </si>
  <si>
    <t xml:space="preserve">AU-RS-HT-0036-ORG</t>
  </si>
  <si>
    <t xml:space="preserve">36 Orange Roses</t>
  </si>
  <si>
    <t xml:space="preserve">AU-RS-HT-0036-PUR</t>
  </si>
  <si>
    <t xml:space="preserve">36 Purple Roses</t>
  </si>
  <si>
    <t xml:space="preserve">AU-RS-HT-0036-RED</t>
  </si>
  <si>
    <t xml:space="preserve">36 Red Roses</t>
  </si>
  <si>
    <t xml:space="preserve">AU-RS-HT-0036-WHT</t>
  </si>
  <si>
    <t xml:space="preserve">36 White Roses</t>
  </si>
  <si>
    <t xml:space="preserve">AU-RS-HT-0050-CR</t>
  </si>
  <si>
    <t xml:space="preserve">50 Cream Roses</t>
  </si>
  <si>
    <t xml:space="preserve">AU-RS-HT-0050-LPK</t>
  </si>
  <si>
    <t xml:space="preserve">50 Light Pink Roses</t>
  </si>
  <si>
    <t xml:space="preserve">AU-RS-HT-0050-MULTI</t>
  </si>
  <si>
    <t xml:space="preserve">50 Multi-Colour Roses</t>
  </si>
  <si>
    <t xml:space="preserve">AU-RS-HT-0050-MXRW</t>
  </si>
  <si>
    <t xml:space="preserve">50 Mixed Red &amp; White Roses</t>
  </si>
  <si>
    <t xml:space="preserve">AU-RS-HT-0050-PNK</t>
  </si>
  <si>
    <t xml:space="preserve">50 Pink Roses</t>
  </si>
  <si>
    <t xml:space="preserve">AU-RS-HT-0050-YLW</t>
  </si>
  <si>
    <t xml:space="preserve">50 Yellow Roses</t>
  </si>
  <si>
    <t xml:space="preserve">AU-RS-HT-0100-CR</t>
  </si>
  <si>
    <t xml:space="preserve">100 Cream Roses</t>
  </si>
  <si>
    <t xml:space="preserve">AU-RS-HT-0100-MULTI</t>
  </si>
  <si>
    <t xml:space="preserve">100 Multi-Colour Roses</t>
  </si>
  <si>
    <t xml:space="preserve">AU-RS-HT-0100-PNK</t>
  </si>
  <si>
    <t xml:space="preserve">100 Pink Roses</t>
  </si>
  <si>
    <t xml:space="preserve">AU-RS-HT-0100-PUR</t>
  </si>
  <si>
    <t xml:space="preserve">100 Purple Roses</t>
  </si>
  <si>
    <t xml:space="preserve">AU-RS-HT-0100-RED</t>
  </si>
  <si>
    <t xml:space="preserve">100 Red Roses</t>
  </si>
  <si>
    <t xml:space="preserve">AU-RS-MJ-0001-HPK</t>
  </si>
  <si>
    <t xml:space="preserve">1 Hot Pink Rose in a Mason Jar</t>
  </si>
  <si>
    <t xml:space="preserve">AU-RS-MJ-0001-LAV</t>
  </si>
  <si>
    <t xml:space="preserve">1 Lavender Rose in a Mason Jar</t>
  </si>
  <si>
    <t xml:space="preserve">AU-RS-MJ-0001-MXRW</t>
  </si>
  <si>
    <t xml:space="preserve">1 Mixed Red &amp; White Rose in a Mason Jar</t>
  </si>
  <si>
    <t xml:space="preserve">AU-RS-MJ-0001-PNK</t>
  </si>
  <si>
    <t xml:space="preserve">1 Pink Rose in a Mason Jar</t>
  </si>
  <si>
    <t xml:space="preserve">AU-RS-MJ-0001-PUR</t>
  </si>
  <si>
    <t xml:space="preserve">1 Purple Rose in a Mason Jar</t>
  </si>
  <si>
    <t xml:space="preserve">AU-RS-MJ-0001-RED</t>
  </si>
  <si>
    <t xml:space="preserve">1 Red Rose in a Mason Jar</t>
  </si>
  <si>
    <t xml:space="preserve">AU-RS-MJ-0001-WHT</t>
  </si>
  <si>
    <t xml:space="preserve">1 White Rose in a Mason Jar</t>
  </si>
  <si>
    <t xml:space="preserve">AU-RS-MJ-0001-YLW</t>
  </si>
  <si>
    <t xml:space="preserve">1 Yellow Rose in a Mason Jar</t>
  </si>
  <si>
    <t xml:space="preserve">AU-RS-MJ-0003-LAV</t>
  </si>
  <si>
    <t xml:space="preserve">3 Lavender Roses in a Mason Jar</t>
  </si>
  <si>
    <t xml:space="preserve">AU-RS-MJ-0003-LPK</t>
  </si>
  <si>
    <t xml:space="preserve">3 Light Pink Roses in a Mason Jar</t>
  </si>
  <si>
    <t xml:space="preserve">AU-RS-MJ-0003-MULTI</t>
  </si>
  <si>
    <t xml:space="preserve">3 Multi-Colour Roses in a Mason Jar</t>
  </si>
  <si>
    <t xml:space="preserve">AU-RS-MJ-0003-ORG</t>
  </si>
  <si>
    <t xml:space="preserve">3 Orange Roses in a Mason Jar</t>
  </si>
  <si>
    <t xml:space="preserve">AU-RS-MJ-0003-PCH</t>
  </si>
  <si>
    <t xml:space="preserve">3 Peach Roses in a Mason Jar</t>
  </si>
  <si>
    <t xml:space="preserve">AU-RS-MJ-0003-PUR</t>
  </si>
  <si>
    <t xml:space="preserve">3 Purple Roses in a Mason Jar</t>
  </si>
  <si>
    <t xml:space="preserve">AU-RS-MJ-0003-RED</t>
  </si>
  <si>
    <t xml:space="preserve">3 Red Roses in a Mason Jar</t>
  </si>
  <si>
    <t xml:space="preserve">AU-RS-MJ-0003-WHT</t>
  </si>
  <si>
    <t xml:space="preserve">3 White Roses in a Mason Jar</t>
  </si>
  <si>
    <t xml:space="preserve">AU-RS-MJ-0003-YLW</t>
  </si>
  <si>
    <t xml:space="preserve">3 Yellow Roses in a Mason Jar</t>
  </si>
  <si>
    <t xml:space="preserve">AU-RS-MJ-0006-CR</t>
  </si>
  <si>
    <t xml:space="preserve">6 Cream Roses in a Mason Jar</t>
  </si>
  <si>
    <t xml:space="preserve">AU-RS-MJ-0006-HPK</t>
  </si>
  <si>
    <t xml:space="preserve">6 Hot Pink Roses in a Mason Jar</t>
  </si>
  <si>
    <t xml:space="preserve">AU-RS-MJ-0006-LAV</t>
  </si>
  <si>
    <t xml:space="preserve">6 Lavender Roses in a Mason Jar</t>
  </si>
  <si>
    <t xml:space="preserve">AU-RS-MJ-0006-MULTI</t>
  </si>
  <si>
    <t xml:space="preserve">6 Multi-Colour Roses in a Mason Jar</t>
  </si>
  <si>
    <t xml:space="preserve">AU-RS-MJ-0006-MXRW</t>
  </si>
  <si>
    <t xml:space="preserve">6 Mixed Red &amp; White Roses in a Mason Jar</t>
  </si>
  <si>
    <t xml:space="preserve">AU-RS-MJ-0006-ORG</t>
  </si>
  <si>
    <t xml:space="preserve">6 Orange Roses in a Mason Jar</t>
  </si>
  <si>
    <t xml:space="preserve">AU-RS-MJ-0006-PCH</t>
  </si>
  <si>
    <t xml:space="preserve">6 Peach Roses in a Mason Jar</t>
  </si>
  <si>
    <t xml:space="preserve">AU-RS-MJ-0006-PNK</t>
  </si>
  <si>
    <t xml:space="preserve">6 Pink Roses in a Mason Jar</t>
  </si>
  <si>
    <t xml:space="preserve">AU-RS-MJ-0006-RED</t>
  </si>
  <si>
    <t xml:space="preserve">6 Red Roses in a Mason Jar</t>
  </si>
  <si>
    <t xml:space="preserve">AU-RS-MJ-0006-WHT</t>
  </si>
  <si>
    <t xml:space="preserve">6 White Roses in a Mason Jar</t>
  </si>
  <si>
    <t xml:space="preserve">AU-RS-MJ-0006-YLW</t>
  </si>
  <si>
    <t xml:space="preserve">6 Yellow Roses in a Mason Jar</t>
  </si>
  <si>
    <t xml:space="preserve">AU-RS-MJ-0012-HPK</t>
  </si>
  <si>
    <t xml:space="preserve">12 Hot Pink Roses in a Mason Jar</t>
  </si>
  <si>
    <t xml:space="preserve">AU-RS-MJ-0012-LAV</t>
  </si>
  <si>
    <t xml:space="preserve">12 Lavender Roses in a Mason Jar</t>
  </si>
  <si>
    <t xml:space="preserve">AU-RS-MJ-0012-LPK</t>
  </si>
  <si>
    <t xml:space="preserve">12 Light Pink Roses in a Mason Jar</t>
  </si>
  <si>
    <t xml:space="preserve">AU-RS-MJ-0012-MULTI</t>
  </si>
  <si>
    <t xml:space="preserve">12 Multi-Colour Roses in a Mason Jar</t>
  </si>
  <si>
    <t xml:space="preserve">AU-RS-MJ-0012-MXRW</t>
  </si>
  <si>
    <t xml:space="preserve">12 Mixed Red &amp; White Roses in a Mason Jar</t>
  </si>
  <si>
    <t xml:space="preserve">AU-RS-MJ-0012-ORG</t>
  </si>
  <si>
    <t xml:space="preserve">12 Orange Roses in a Mason Jar</t>
  </si>
  <si>
    <t xml:space="preserve">AU-RS-MJ-0012-PCH</t>
  </si>
  <si>
    <t xml:space="preserve">12 Peach Roses in a Mason Jar</t>
  </si>
  <si>
    <t xml:space="preserve">AU-RS-MJ-0012-PNK</t>
  </si>
  <si>
    <t xml:space="preserve">12 Pink Roses in a Mason Jar</t>
  </si>
  <si>
    <t xml:space="preserve">AU-RS-MJ-0012-WHT</t>
  </si>
  <si>
    <t xml:space="preserve">12 White Roses in a Mason Jar</t>
  </si>
  <si>
    <t xml:space="preserve">AU-RS-MJ-0012-YLW</t>
  </si>
  <si>
    <t xml:space="preserve">12 Yellow Roses in a Mason Jar</t>
  </si>
  <si>
    <t xml:space="preserve">AU0112-01vd-REG</t>
  </si>
  <si>
    <t xml:space="preserve">Dozen Assorted Roses Combo</t>
  </si>
  <si>
    <t xml:space="preserve">AU0112-02vd-DEL</t>
  </si>
  <si>
    <t xml:space="preserve">AU0112-03vd-PRE</t>
  </si>
  <si>
    <t xml:space="preserve">Dozen Red Roses and Ruby Vase</t>
  </si>
  <si>
    <t xml:space="preserve">AU0112-03vd-REG</t>
  </si>
  <si>
    <t xml:space="preserve">AU0112-05vd</t>
  </si>
  <si>
    <t xml:space="preserve">24 Red Roses Classic Combo</t>
  </si>
  <si>
    <t xml:space="preserve">AU0112-05vd-DEL</t>
  </si>
  <si>
    <t xml:space="preserve">AU0112-05vd-PRE</t>
  </si>
  <si>
    <t xml:space="preserve">AU0112-05vd-REG</t>
  </si>
  <si>
    <t xml:space="preserve">AU02-04</t>
  </si>
  <si>
    <t xml:space="preserve">Grand Belgian Chocolates Truffles</t>
  </si>
  <si>
    <t xml:space="preserve">AU02-06-REG</t>
  </si>
  <si>
    <t xml:space="preserve">Grand Belgian Chocolates</t>
  </si>
  <si>
    <t xml:space="preserve">AU0511-01-DEL</t>
  </si>
  <si>
    <t xml:space="preserve">Expressions of Joy</t>
  </si>
  <si>
    <t xml:space="preserve">AU0511-01-REG</t>
  </si>
  <si>
    <t xml:space="preserve">AU0511-02-DEL</t>
  </si>
  <si>
    <t xml:space="preserve">Bright Twilight</t>
  </si>
  <si>
    <t xml:space="preserve">AU0511-02-GRA</t>
  </si>
  <si>
    <t xml:space="preserve">AU0511-02-REG</t>
  </si>
  <si>
    <t xml:space="preserve">AU0511-16-SS</t>
  </si>
  <si>
    <t xml:space="preserve">AU0511-19-REG</t>
  </si>
  <si>
    <t xml:space="preserve">Ravishing Arrangement</t>
  </si>
  <si>
    <t xml:space="preserve">AU0611-04-DLX</t>
  </si>
  <si>
    <t xml:space="preserve">AU0611-06-DEL</t>
  </si>
  <si>
    <t xml:space="preserve">Morning Sunshine</t>
  </si>
  <si>
    <t xml:space="preserve">AU0611-07</t>
  </si>
  <si>
    <t xml:space="preserve">AU0611-08-DLX</t>
  </si>
  <si>
    <t xml:space="preserve">AU0611-17-DLX</t>
  </si>
  <si>
    <t xml:space="preserve">AU0611-18-DEL</t>
  </si>
  <si>
    <t xml:space="preserve">Pure Amour</t>
  </si>
  <si>
    <t xml:space="preserve">AU0611-18-REG</t>
  </si>
  <si>
    <t xml:space="preserve">AU0611-20-DEL</t>
  </si>
  <si>
    <t xml:space="preserve">Magnifique</t>
  </si>
  <si>
    <t xml:space="preserve">AU0611-20-REG</t>
  </si>
  <si>
    <t xml:space="preserve">AU0611-21-PRE</t>
  </si>
  <si>
    <t xml:space="preserve">AU100-22-REG</t>
  </si>
  <si>
    <t xml:space="preserve">Pure Devotion</t>
  </si>
  <si>
    <t xml:space="preserve">AU100-37-DEL</t>
  </si>
  <si>
    <t xml:space="preserve">Pink Wink</t>
  </si>
  <si>
    <t xml:space="preserve">AU100-37-GRA</t>
  </si>
  <si>
    <t xml:space="preserve">AU100-37-PRE</t>
  </si>
  <si>
    <t xml:space="preserve">AU100-37-REG</t>
  </si>
  <si>
    <t xml:space="preserve">AU100-42-REG</t>
  </si>
  <si>
    <t xml:space="preserve">AU100-47-DLX</t>
  </si>
  <si>
    <t xml:space="preserve">AU100-47-SS</t>
  </si>
  <si>
    <t xml:space="preserve">AU100-52-DEL</t>
  </si>
  <si>
    <t xml:space="preserve">AU100-52-GRA</t>
  </si>
  <si>
    <t xml:space="preserve">AU100-52-PRE</t>
  </si>
  <si>
    <t xml:space="preserve">AU100-52-REG</t>
  </si>
  <si>
    <t xml:space="preserve">AU100-53</t>
  </si>
  <si>
    <t xml:space="preserve">Mothers Favourite</t>
  </si>
  <si>
    <t xml:space="preserve">AU100-577</t>
  </si>
  <si>
    <t xml:space="preserve">Garden of Grandeur Casket Spray (deluxe)</t>
  </si>
  <si>
    <t xml:space="preserve">AU100-582-DLX</t>
  </si>
  <si>
    <t xml:space="preserve">AU100-582-SS</t>
  </si>
  <si>
    <t xml:space="preserve">AU100-61-DEL</t>
  </si>
  <si>
    <t xml:space="preserve">Poetry in Pink</t>
  </si>
  <si>
    <t xml:space="preserve">AU100-61-PRE</t>
  </si>
  <si>
    <t xml:space="preserve">AU100-61-REG</t>
  </si>
  <si>
    <t xml:space="preserve">AU100-76-GRA</t>
  </si>
  <si>
    <t xml:space="preserve">Love's Tapestry</t>
  </si>
  <si>
    <t xml:space="preserve">AU100-92-DEL</t>
  </si>
  <si>
    <t xml:space="preserve">AU100-95-DLX</t>
  </si>
  <si>
    <t xml:space="preserve">AU101-21</t>
  </si>
  <si>
    <t xml:space="preserve">Unequivocal Love</t>
  </si>
  <si>
    <t xml:space="preserve">AU101-22</t>
  </si>
  <si>
    <t xml:space="preserve">Red and White Funeral Tribute</t>
  </si>
  <si>
    <t xml:space="preserve">AU101-22-DEL</t>
  </si>
  <si>
    <t xml:space="preserve">AU101-22-REG</t>
  </si>
  <si>
    <t xml:space="preserve">AU101-36-PRE</t>
  </si>
  <si>
    <t xml:space="preserve">Fountain of Fortune</t>
  </si>
  <si>
    <t xml:space="preserve">AU101-77</t>
  </si>
  <si>
    <t xml:space="preserve">Holiday Splendour</t>
  </si>
  <si>
    <t xml:space="preserve">AU103-03-DEL</t>
  </si>
  <si>
    <t xml:space="preserve">25``poinsettia basket</t>
  </si>
  <si>
    <t xml:space="preserve">AU11-03-REG</t>
  </si>
  <si>
    <t xml:space="preserve">AU11-06-DLX</t>
  </si>
  <si>
    <t xml:space="preserve">AU11-09-DLX</t>
  </si>
  <si>
    <t xml:space="preserve">AU11-15-DLX</t>
  </si>
  <si>
    <t xml:space="preserve">AU11-15-PT</t>
  </si>
  <si>
    <t xml:space="preserve">AU11-15-SS</t>
  </si>
  <si>
    <t xml:space="preserve">AU11-26</t>
  </si>
  <si>
    <t xml:space="preserve">18 Lavender Roses</t>
  </si>
  <si>
    <t xml:space="preserve">AU11-36-REG</t>
  </si>
  <si>
    <t xml:space="preserve">AU11-43-DEL</t>
  </si>
  <si>
    <t xml:space="preserve">AU11-43-DLX</t>
  </si>
  <si>
    <t xml:space="preserve">AU11-43-PRE</t>
  </si>
  <si>
    <t xml:space="preserve">AU11-43-REG</t>
  </si>
  <si>
    <t xml:space="preserve">AU11-45</t>
  </si>
  <si>
    <t xml:space="preserve">Two Dozen Lavender Roses</t>
  </si>
  <si>
    <t xml:space="preserve">AU11-45-DLX</t>
  </si>
  <si>
    <t xml:space="preserve">AU11-512</t>
  </si>
  <si>
    <t xml:space="preserve">Dozen Mixed Roses with Chocolates</t>
  </si>
  <si>
    <t xml:space="preserve">AU11-52-DLX</t>
  </si>
  <si>
    <t xml:space="preserve">Dozen Long Stemmed Pink Roses</t>
  </si>
  <si>
    <t xml:space="preserve">AU11-52-SS</t>
  </si>
  <si>
    <t xml:space="preserve">AU11-54-DLX</t>
  </si>
  <si>
    <t xml:space="preserve">Dozen Long Stemmed Yellow Roses</t>
  </si>
  <si>
    <t xml:space="preserve">AU11-54-SS</t>
  </si>
  <si>
    <t xml:space="preserve">AU11-55-DEL</t>
  </si>
  <si>
    <t xml:space="preserve">AU11-55-GRA</t>
  </si>
  <si>
    <t xml:space="preserve">AU11-55-PRE</t>
  </si>
  <si>
    <t xml:space="preserve">AU11-61-REG</t>
  </si>
  <si>
    <t xml:space="preserve">Scarlet Mist</t>
  </si>
  <si>
    <t xml:space="preserve">AU11-65-PRE</t>
  </si>
  <si>
    <t xml:space="preserve">AU11-71</t>
  </si>
  <si>
    <t xml:space="preserve">24 Romantic Pink Roses</t>
  </si>
  <si>
    <t xml:space="preserve">AU11-71-DEL</t>
  </si>
  <si>
    <t xml:space="preserve">AU11-71-PRE</t>
  </si>
  <si>
    <t xml:space="preserve">AU11-71-REG</t>
  </si>
  <si>
    <t xml:space="preserve">AU11-75</t>
  </si>
  <si>
    <t xml:space="preserve">18 Premium Red Roses</t>
  </si>
  <si>
    <t xml:space="preserve">AU11-91</t>
  </si>
  <si>
    <t xml:space="preserve">36 Premium Orange Roses</t>
  </si>
  <si>
    <t xml:space="preserve">AU11-92</t>
  </si>
  <si>
    <t xml:space="preserve">Three Dozen Yellow Roses</t>
  </si>
  <si>
    <t xml:space="preserve">AU11-95</t>
  </si>
  <si>
    <t xml:space="preserve">Three Dozen Premium Red Roses (supersize)</t>
  </si>
  <si>
    <t xml:space="preserve">AU11-97-DLX</t>
  </si>
  <si>
    <t xml:space="preserve">AU11-97-SS</t>
  </si>
  <si>
    <t xml:space="preserve">AU11-99-GRA</t>
  </si>
  <si>
    <t xml:space="preserve">24 Classic Red Roses</t>
  </si>
  <si>
    <t xml:space="preserve">AU110-01-DEL</t>
  </si>
  <si>
    <t xml:space="preserve">AU110-01-GRA</t>
  </si>
  <si>
    <t xml:space="preserve">AU110-01-PRE</t>
  </si>
  <si>
    <t xml:space="preserve">AU110-01-REG</t>
  </si>
  <si>
    <t xml:space="preserve">AU110-02</t>
  </si>
  <si>
    <t xml:space="preserve">AU110-02-DEL</t>
  </si>
  <si>
    <t xml:space="preserve">AU110-02-PRE</t>
  </si>
  <si>
    <t xml:space="preserve">AU1106-02-REG</t>
  </si>
  <si>
    <t xml:space="preserve">AU111-11-DLX</t>
  </si>
  <si>
    <t xml:space="preserve">AU111-11-SS</t>
  </si>
  <si>
    <t xml:space="preserve">AU111-21</t>
  </si>
  <si>
    <t xml:space="preserve">Lovers Delight</t>
  </si>
  <si>
    <t xml:space="preserve">AU111-25-DLX</t>
  </si>
  <si>
    <t xml:space="preserve">AU111-37</t>
  </si>
  <si>
    <t xml:space="preserve">Cherished Memories</t>
  </si>
  <si>
    <t xml:space="preserve">AU111-40</t>
  </si>
  <si>
    <t xml:space="preserve">Classic Assorted Colour Daisy Bouquet</t>
  </si>
  <si>
    <t xml:space="preserve">AU111-40-DLX</t>
  </si>
  <si>
    <t xml:space="preserve">AU111-41</t>
  </si>
  <si>
    <t xml:space="preserve">Classic Mauve Daisy Bouquet</t>
  </si>
  <si>
    <t xml:space="preserve">AU111-42-DLX</t>
  </si>
  <si>
    <t xml:space="preserve">AU111-59</t>
  </si>
  <si>
    <t xml:space="preserve">Teddy Bear Beauty</t>
  </si>
  <si>
    <t xml:space="preserve">AU1111-01</t>
  </si>
  <si>
    <t xml:space="preserve">AU1111-01-DLX</t>
  </si>
  <si>
    <t xml:space="preserve">AU1111-05-SS</t>
  </si>
  <si>
    <t xml:space="preserve">AU1111-07-DEL</t>
  </si>
  <si>
    <t xml:space="preserve">Feeling Lucky</t>
  </si>
  <si>
    <t xml:space="preserve">AU1111-20-SS</t>
  </si>
  <si>
    <t xml:space="preserve">Half Dozen Long Stemmed Red Roses</t>
  </si>
  <si>
    <t xml:space="preserve">AU112-07</t>
  </si>
  <si>
    <t xml:space="preserve">AU112-07-SS</t>
  </si>
  <si>
    <t xml:space="preserve">AU112-18-SS</t>
  </si>
  <si>
    <t xml:space="preserve">AU112-22-DLX</t>
  </si>
  <si>
    <t xml:space="preserve">AU112-22-SS</t>
  </si>
  <si>
    <t xml:space="preserve">AU112-28</t>
  </si>
  <si>
    <t xml:space="preserve">Radiant Care Spray</t>
  </si>
  <si>
    <t xml:space="preserve">AU112-30-SS</t>
  </si>
  <si>
    <t xml:space="preserve">AU112-73-DLX</t>
  </si>
  <si>
    <t xml:space="preserve">AU112-87</t>
  </si>
  <si>
    <t xml:space="preserve">AU113-95-DEL</t>
  </si>
  <si>
    <t xml:space="preserve">White Elegance</t>
  </si>
  <si>
    <t xml:space="preserve">AU115-03R</t>
  </si>
  <si>
    <t xml:space="preserve">3 Red Roses and Red Wine Combo</t>
  </si>
  <si>
    <t xml:space="preserve">AU115-03W-SS</t>
  </si>
  <si>
    <t xml:space="preserve">AU115-06R-SS</t>
  </si>
  <si>
    <t xml:space="preserve">AU115-12R-SS</t>
  </si>
  <si>
    <t xml:space="preserve">AU115-18-DLX</t>
  </si>
  <si>
    <t xml:space="preserve">AU115-18-SS</t>
  </si>
  <si>
    <t xml:space="preserve">AU115-24</t>
  </si>
  <si>
    <t xml:space="preserve">24 Red Roses, Chocolates, Card &amp; Wine</t>
  </si>
  <si>
    <t xml:space="preserve">AU115-24W</t>
  </si>
  <si>
    <t xml:space="preserve">24 Red Roses and White Wine Combo</t>
  </si>
  <si>
    <t xml:space="preserve">AU1151-02</t>
  </si>
  <si>
    <t xml:space="preserve">Dozen Assorted Roses, Truffles &amp; Teddy</t>
  </si>
  <si>
    <t xml:space="preserve">AU1151-02-REG</t>
  </si>
  <si>
    <t xml:space="preserve">AU1151-03</t>
  </si>
  <si>
    <t xml:space="preserve">Dozen Assorted Roses, Truffles, Card &amp; Teddy</t>
  </si>
  <si>
    <t xml:space="preserve">AU116-30</t>
  </si>
  <si>
    <t xml:space="preserve">Fairest Sentiments</t>
  </si>
  <si>
    <t xml:space="preserve">AU116-30-DLX</t>
  </si>
  <si>
    <t xml:space="preserve">AU12-04-PRE</t>
  </si>
  <si>
    <t xml:space="preserve">Blue and Yellow Joy</t>
  </si>
  <si>
    <t xml:space="preserve">AU12-12</t>
  </si>
  <si>
    <t xml:space="preserve">One Dozen Christmas Carnations (deluxe)</t>
  </si>
  <si>
    <t xml:space="preserve">AU12-51</t>
  </si>
  <si>
    <t xml:space="preserve">Dozen Roses, Card &amp; Chocolates</t>
  </si>
  <si>
    <t xml:space="preserve">AU12-52-DEL</t>
  </si>
  <si>
    <t xml:space="preserve">AU120-71-DLX</t>
  </si>
  <si>
    <t xml:space="preserve">AU1211-02-SS</t>
  </si>
  <si>
    <t xml:space="preserve">Three Dozen Long Stem White Roses</t>
  </si>
  <si>
    <t xml:space="preserve">AU1211-03</t>
  </si>
  <si>
    <t xml:space="preserve">Two Dozen Long Stem Yellow Roses</t>
  </si>
  <si>
    <t xml:space="preserve">AU1211-03-DLX</t>
  </si>
  <si>
    <t xml:space="preserve">AU1211-03-SS</t>
  </si>
  <si>
    <t xml:space="preserve">AU1211-04</t>
  </si>
  <si>
    <t xml:space="preserve">24 Long Stemmed Red and Yellow Roses (deluxe)</t>
  </si>
  <si>
    <t xml:space="preserve">AU122-55-GRA</t>
  </si>
  <si>
    <t xml:space="preserve">AU122-55-PRE</t>
  </si>
  <si>
    <t xml:space="preserve">AU122-55-REG</t>
  </si>
  <si>
    <t xml:space="preserve">AU13-21-REG</t>
  </si>
  <si>
    <t xml:space="preserve">12 red middle stemmed roses</t>
  </si>
  <si>
    <t xml:space="preserve">AU13-21v-DEL</t>
  </si>
  <si>
    <t xml:space="preserve">.Valentine's Day Dozen Roses</t>
  </si>
  <si>
    <t xml:space="preserve">AU13-21v-REG</t>
  </si>
  <si>
    <t xml:space="preserve">AU13-21va-PRE</t>
  </si>
  <si>
    <t xml:space="preserve">Valentine\\\\</t>
  </si>
  <si>
    <t xml:space="preserve">AU13-33-DEL</t>
  </si>
  <si>
    <t xml:space="preserve">AU13-33-PRE</t>
  </si>
  <si>
    <t xml:space="preserve">AU13-33-REG</t>
  </si>
  <si>
    <t xml:space="preserve">AU13-44</t>
  </si>
  <si>
    <t xml:space="preserve">Dozen Boxed Red Roses &amp; FREE Card</t>
  </si>
  <si>
    <t xml:space="preserve">AU13-45</t>
  </si>
  <si>
    <t xml:space="preserve">Dozen Boxed Red Roses Combo I</t>
  </si>
  <si>
    <t xml:space="preserve">AU13-45-DLX</t>
  </si>
  <si>
    <t xml:space="preserve">AU13-45-SS</t>
  </si>
  <si>
    <t xml:space="preserve">AU13-46</t>
  </si>
  <si>
    <t xml:space="preserve">Dozen Boxed Red Roses Combo II</t>
  </si>
  <si>
    <t xml:space="preserve">AU13-46-DEL</t>
  </si>
  <si>
    <t xml:space="preserve">AU13-46-GRA</t>
  </si>
  <si>
    <t xml:space="preserve">AU13-46-PRE</t>
  </si>
  <si>
    <t xml:space="preserve">AU13-46-REG</t>
  </si>
  <si>
    <t xml:space="preserve">AU13-47</t>
  </si>
  <si>
    <t xml:space="preserve">Dozen Boxed Red Roses Combo III</t>
  </si>
  <si>
    <t xml:space="preserve">AU14-11</t>
  </si>
  <si>
    <t xml:space="preserve">12 Mixed Long Stemmed Roses</t>
  </si>
  <si>
    <t xml:space="preserve">AU14-11-DEL</t>
  </si>
  <si>
    <t xml:space="preserve">AU14-11-GRA</t>
  </si>
  <si>
    <t xml:space="preserve">AU14-11-REG</t>
  </si>
  <si>
    <t xml:space="preserve">AU14-90-PRE</t>
  </si>
  <si>
    <t xml:space="preserve">Lily Perfection</t>
  </si>
  <si>
    <t xml:space="preserve">AU14-90-REG</t>
  </si>
  <si>
    <t xml:space="preserve">AU14-91-REG</t>
  </si>
  <si>
    <t xml:space="preserve">White Lily Purity</t>
  </si>
  <si>
    <t xml:space="preserve">AU15-100sp</t>
  </si>
  <si>
    <t xml:space="preserve">Peruvian Lilies Care Package</t>
  </si>
  <si>
    <t xml:space="preserve">AU15-12</t>
  </si>
  <si>
    <t xml:space="preserve">Mixed Alstroemeria Bouquet</t>
  </si>
  <si>
    <t xml:space="preserve">AU15-12-DEL</t>
  </si>
  <si>
    <t xml:space="preserve">AU15-12-PRE</t>
  </si>
  <si>
    <t xml:space="preserve">AU15-12-REG</t>
  </si>
  <si>
    <t xml:space="preserve">AU15-140</t>
  </si>
  <si>
    <t xml:space="preserve">Blooms of Peruvian Lillies</t>
  </si>
  <si>
    <t xml:space="preserve">AU15-200</t>
  </si>
  <si>
    <t xml:space="preserve">Blooms of Peruvian Lilies</t>
  </si>
  <si>
    <t xml:space="preserve">AU15-25</t>
  </si>
  <si>
    <t xml:space="preserve">Super Alstroemeria Bouquet</t>
  </si>
  <si>
    <t xml:space="preserve">AU15-25-REG</t>
  </si>
  <si>
    <t xml:space="preserve">AU15-250-GRA</t>
  </si>
  <si>
    <t xml:space="preserve">Alstroemeria Extravaganza</t>
  </si>
  <si>
    <t xml:space="preserve">AU15-89</t>
  </si>
  <si>
    <t xml:space="preserve">18 Mixed Roses</t>
  </si>
  <si>
    <t xml:space="preserve">AU159-12-REG</t>
  </si>
  <si>
    <t xml:space="preserve">12 Mixed Colour Roses, Chocolates, Card &amp; Wine</t>
  </si>
  <si>
    <t xml:space="preserve">AU159-24-REG</t>
  </si>
  <si>
    <t xml:space="preserve">24 Mixed Colour Roses, Chocolates, Card &amp; Wine</t>
  </si>
  <si>
    <t xml:space="preserve">AU16-50</t>
  </si>
  <si>
    <t xml:space="preserve">Classic Rainbow Gerbera Bouquet</t>
  </si>
  <si>
    <t xml:space="preserve">AU16-90</t>
  </si>
  <si>
    <t xml:space="preserve">36 Assorted Gerberas</t>
  </si>
  <si>
    <t xml:space="preserve">AU16-90-PRE</t>
  </si>
  <si>
    <t xml:space="preserve">AU18-10-DEL</t>
  </si>
  <si>
    <t xml:space="preserve">Outstanding Orchids</t>
  </si>
  <si>
    <t xml:space="preserve">AU189-01-SS</t>
  </si>
  <si>
    <t xml:space="preserve">AU20-10</t>
  </si>
  <si>
    <t xml:space="preserve">Christmas Carnation Special</t>
  </si>
  <si>
    <t xml:space="preserve">AU20-20</t>
  </si>
  <si>
    <t xml:space="preserve">Festive Carnation Special</t>
  </si>
  <si>
    <t xml:space="preserve">AU20-23</t>
  </si>
  <si>
    <t xml:space="preserve">Polka Dots</t>
  </si>
  <si>
    <t xml:space="preserve">AU20-25</t>
  </si>
  <si>
    <t xml:space="preserve">Red Rose Passion</t>
  </si>
  <si>
    <t xml:space="preserve">AU200-10</t>
  </si>
  <si>
    <t xml:space="preserve">Yellow Alstromeria</t>
  </si>
  <si>
    <t xml:space="preserve">AU200-21-PRE</t>
  </si>
  <si>
    <t xml:space="preserve">Summer Romance</t>
  </si>
  <si>
    <t xml:space="preserve">AU200-30</t>
  </si>
  <si>
    <t xml:space="preserve">Autumn Alstromeria Bouquet</t>
  </si>
  <si>
    <t xml:space="preserve">AU200-31-PRE</t>
  </si>
  <si>
    <t xml:space="preserve">Summer Brights</t>
  </si>
  <si>
    <t xml:space="preserve">AU200-31-REG</t>
  </si>
  <si>
    <t xml:space="preserve">AU200-41-DLX</t>
  </si>
  <si>
    <t xml:space="preserve">AU200-41-GRA</t>
  </si>
  <si>
    <t xml:space="preserve">AU200-41-PRE</t>
  </si>
  <si>
    <t xml:space="preserve">AU200-41-SS</t>
  </si>
  <si>
    <t xml:space="preserve">AU200-60-DLX</t>
  </si>
  <si>
    <t xml:space="preserve">AU200-61-DEL</t>
  </si>
  <si>
    <t xml:space="preserve">AU200-61-PRE</t>
  </si>
  <si>
    <t xml:space="preserve">AU200-61-REG</t>
  </si>
  <si>
    <t xml:space="preserve">AU200-92-GRA</t>
  </si>
  <si>
    <t xml:space="preserve">AU200-92-PRE</t>
  </si>
  <si>
    <t xml:space="preserve">AU200-92-REG</t>
  </si>
  <si>
    <t xml:space="preserve">AU21-67</t>
  </si>
  <si>
    <t xml:space="preserve">My Girl</t>
  </si>
  <si>
    <t xml:space="preserve">AU21-67-REG</t>
  </si>
  <si>
    <t xml:space="preserve">AU214-60-DEL</t>
  </si>
  <si>
    <t xml:space="preserve">Blushing Thrill</t>
  </si>
  <si>
    <t xml:space="preserve">AU214-60-GRA</t>
  </si>
  <si>
    <t xml:space="preserve">AU214-60-REG</t>
  </si>
  <si>
    <t xml:space="preserve">AU215-40-DLX</t>
  </si>
  <si>
    <t xml:space="preserve">AU215-40-REG</t>
  </si>
  <si>
    <t xml:space="preserve">AU216-41-DLX</t>
  </si>
  <si>
    <t xml:space="preserve">AU216-41-SS</t>
  </si>
  <si>
    <t xml:space="preserve">AU216-42</t>
  </si>
  <si>
    <t xml:space="preserve">Summer Bunch</t>
  </si>
  <si>
    <t xml:space="preserve">AU216-42-GRA</t>
  </si>
  <si>
    <t xml:space="preserve">AU216-50-GRA</t>
  </si>
  <si>
    <t xml:space="preserve">Orange and Blue</t>
  </si>
  <si>
    <t xml:space="preserve">AU216-50-REG</t>
  </si>
  <si>
    <t xml:space="preserve">AU216-51-DEL</t>
  </si>
  <si>
    <t xml:space="preserve">AU216-51-GRA</t>
  </si>
  <si>
    <t xml:space="preserve">AU216-51-PRE</t>
  </si>
  <si>
    <t xml:space="preserve">AU216-51-REG</t>
  </si>
  <si>
    <t xml:space="preserve">AU216-61</t>
  </si>
  <si>
    <t xml:space="preserve">Early Sunrise</t>
  </si>
  <si>
    <t xml:space="preserve">AU216-61-DEL</t>
  </si>
  <si>
    <t xml:space="preserve">AU216-61-REG</t>
  </si>
  <si>
    <t xml:space="preserve">AU216-62-DEL</t>
  </si>
  <si>
    <t xml:space="preserve">Voluptuous Blooms</t>
  </si>
  <si>
    <t xml:space="preserve">AU216-62-GRA</t>
  </si>
  <si>
    <t xml:space="preserve">AU216-62-PRE</t>
  </si>
  <si>
    <t xml:space="preserve">AU216-62-REG</t>
  </si>
  <si>
    <t xml:space="preserve">AU216-62sp</t>
  </si>
  <si>
    <t xml:space="preserve">Joyful and Thrilling</t>
  </si>
  <si>
    <t xml:space="preserve">AU216-62sp-DEL</t>
  </si>
  <si>
    <t xml:space="preserve">AU216-62sp-GRA</t>
  </si>
  <si>
    <t xml:space="preserve">AU216-62sp-REG</t>
  </si>
  <si>
    <t xml:space="preserve">AU216-63</t>
  </si>
  <si>
    <t xml:space="preserve">Colourful Inspiration</t>
  </si>
  <si>
    <t xml:space="preserve">AU216-71md-REG</t>
  </si>
  <si>
    <t xml:space="preserve">Brighten Mom's Day Bouquet</t>
  </si>
  <si>
    <t xml:space="preserve">AU216-80-DLX</t>
  </si>
  <si>
    <t xml:space="preserve">AU219-40-DLX</t>
  </si>
  <si>
    <t xml:space="preserve">AU219-40-SS</t>
  </si>
  <si>
    <t xml:space="preserve">AU22-61</t>
  </si>
  <si>
    <t xml:space="preserve">Lively Sparkles</t>
  </si>
  <si>
    <t xml:space="preserve">AU22-61-SS</t>
  </si>
  <si>
    <t xml:space="preserve">AU22-62-SS</t>
  </si>
  <si>
    <t xml:space="preserve">AU222-05-SS</t>
  </si>
  <si>
    <t xml:space="preserve">AU222-19-DLX</t>
  </si>
  <si>
    <t xml:space="preserve">AU222-19-SS</t>
  </si>
  <si>
    <t xml:space="preserve">AU224-30-REG</t>
  </si>
  <si>
    <t xml:space="preserve">Gerbera and Iris Bouquet</t>
  </si>
  <si>
    <t xml:space="preserve">AU24-60-DLX</t>
  </si>
  <si>
    <t xml:space="preserve">AU24-60-SS</t>
  </si>
  <si>
    <t xml:space="preserve">AU24-61</t>
  </si>
  <si>
    <t xml:space="preserve">Blissful Symphony</t>
  </si>
  <si>
    <t xml:space="preserve">AU25-40-DLX</t>
  </si>
  <si>
    <t xml:space="preserve">AU31-53</t>
  </si>
  <si>
    <t xml:space="preserve">Pink Beauty</t>
  </si>
  <si>
    <t xml:space="preserve">AU37-11-REG</t>
  </si>
  <si>
    <t xml:space="preserve">Delphinium and Gerbera Arrangement</t>
  </si>
  <si>
    <t xml:space="preserve">AU40-12</t>
  </si>
  <si>
    <t xml:space="preserve">Carnival Bouquet</t>
  </si>
  <si>
    <t xml:space="preserve">AU40-13-PRE</t>
  </si>
  <si>
    <t xml:space="preserve">AU40-13-REG</t>
  </si>
  <si>
    <t xml:space="preserve">AU40-30</t>
  </si>
  <si>
    <t xml:space="preserve">Dozen Gerberas</t>
  </si>
  <si>
    <t xml:space="preserve">AU501-01-DEL</t>
  </si>
  <si>
    <t xml:space="preserve">AU501-01-REG</t>
  </si>
  <si>
    <t xml:space="preserve">AU501-02-REG</t>
  </si>
  <si>
    <t xml:space="preserve">AU501-03</t>
  </si>
  <si>
    <t xml:space="preserve">AU501-03-DEL</t>
  </si>
  <si>
    <t xml:space="preserve">AU501-03-GRA</t>
  </si>
  <si>
    <t xml:space="preserve">AU501-05-REG</t>
  </si>
  <si>
    <t xml:space="preserve">AU501-06-REG</t>
  </si>
  <si>
    <t xml:space="preserve">AU501-09-PT</t>
  </si>
  <si>
    <t xml:space="preserve">AU501-10</t>
  </si>
  <si>
    <t xml:space="preserve">Ten Red Roses, Card &amp; Chocolates</t>
  </si>
  <si>
    <t xml:space="preserve">AU51-01</t>
  </si>
  <si>
    <t xml:space="preserve">Bestseller Combo I</t>
  </si>
  <si>
    <t xml:space="preserve">AU51-01-DEL</t>
  </si>
  <si>
    <t xml:space="preserve">AU51-01-GRA</t>
  </si>
  <si>
    <t xml:space="preserve">AU51-01-PRE</t>
  </si>
  <si>
    <t xml:space="preserve">AU51-01-REG</t>
  </si>
  <si>
    <t xml:space="preserve">AU51-04</t>
  </si>
  <si>
    <t xml:space="preserve">Bestseller Combo IV</t>
  </si>
  <si>
    <t xml:space="preserve">AU51-53</t>
  </si>
  <si>
    <t xml:space="preserve">AU51-55</t>
  </si>
  <si>
    <t xml:space="preserve">AU51-60</t>
  </si>
  <si>
    <t xml:space="preserve">Christmas Bestseller Bouquet</t>
  </si>
  <si>
    <t xml:space="preserve">AU51-60-REG</t>
  </si>
  <si>
    <t xml:space="preserve">AU61-50A</t>
  </si>
  <si>
    <t xml:space="preserve">Christmas Bells I (supersize)</t>
  </si>
  <si>
    <t xml:space="preserve">AU64-11</t>
  </si>
  <si>
    <t xml:space="preserve">Christmas Glory</t>
  </si>
  <si>
    <t xml:space="preserve">AU65-11-REG</t>
  </si>
  <si>
    <t xml:space="preserve">10 Tulips &amp; Card</t>
  </si>
  <si>
    <t xml:space="preserve">AU65-12</t>
  </si>
  <si>
    <t xml:space="preserve">10 Assorted Tulip Combo</t>
  </si>
  <si>
    <t xml:space="preserve">AU65-21-DEL</t>
  </si>
  <si>
    <t xml:space="preserve">20 Tulips &amp; Chocolates</t>
  </si>
  <si>
    <t xml:space="preserve">AU65-21-REG</t>
  </si>
  <si>
    <t xml:space="preserve">AU65-31-DEL</t>
  </si>
  <si>
    <t xml:space="preserve">30 Assorted Tulip Combo</t>
  </si>
  <si>
    <t xml:space="preserve">AU65-31-GRA</t>
  </si>
  <si>
    <t xml:space="preserve">AU65-31-PRE</t>
  </si>
  <si>
    <t xml:space="preserve">AU65-31-REG</t>
  </si>
  <si>
    <t xml:space="preserve">AU67-32</t>
  </si>
  <si>
    <t xml:space="preserve">12 Christmas Roses, Card &amp; Teddy</t>
  </si>
  <si>
    <t xml:space="preserve">AU71-60-REG</t>
  </si>
  <si>
    <t xml:space="preserve">Blue Ribbon</t>
  </si>
  <si>
    <t xml:space="preserve">AU71-70</t>
  </si>
  <si>
    <t xml:space="preserve">Classic Gourmet</t>
  </si>
  <si>
    <t xml:space="preserve">AU71-70-GRA</t>
  </si>
  <si>
    <t xml:space="preserve">AU71-70-REG</t>
  </si>
  <si>
    <t xml:space="preserve">AU75-12</t>
  </si>
  <si>
    <t xml:space="preserve">AU75-12-GRA</t>
  </si>
  <si>
    <t xml:space="preserve">AU75-12-PRE</t>
  </si>
  <si>
    <t xml:space="preserve">AU75-12-REG</t>
  </si>
  <si>
    <t xml:space="preserve">AU75-18</t>
  </si>
  <si>
    <t xml:space="preserve">18 Red Roses - Half Price</t>
  </si>
  <si>
    <t xml:space="preserve">AU75-18-DEL</t>
  </si>
  <si>
    <t xml:space="preserve">AU75-18-GRA</t>
  </si>
  <si>
    <t xml:space="preserve">AU75-18-PRE</t>
  </si>
  <si>
    <t xml:space="preserve">AU75-18-REG</t>
  </si>
  <si>
    <t xml:space="preserve">AU75-24-GRA</t>
  </si>
  <si>
    <t xml:space="preserve">AU75-24-REG</t>
  </si>
  <si>
    <t xml:space="preserve">AU75-36-GRA</t>
  </si>
  <si>
    <t xml:space="preserve">AU75-36-PRE</t>
  </si>
  <si>
    <t xml:space="preserve">AU80-01</t>
  </si>
  <si>
    <t xml:space="preserve">Joyful Blossoms</t>
  </si>
  <si>
    <t xml:space="preserve">AU80-02</t>
  </si>
  <si>
    <t xml:space="preserve">White Sensation</t>
  </si>
  <si>
    <t xml:space="preserve">AU80-03</t>
  </si>
  <si>
    <t xml:space="preserve">Sea &amp; Sunshine</t>
  </si>
  <si>
    <t xml:space="preserve">AU80-03-DEL</t>
  </si>
  <si>
    <t xml:space="preserve">AU80-03-REG</t>
  </si>
  <si>
    <t xml:space="preserve">AU80-05</t>
  </si>
  <si>
    <t xml:space="preserve">Picturesque</t>
  </si>
  <si>
    <t xml:space="preserve">AU80-06</t>
  </si>
  <si>
    <t xml:space="preserve">Classic Elegance</t>
  </si>
  <si>
    <t xml:space="preserve">AU81-20-DEL</t>
  </si>
  <si>
    <t xml:space="preserve">Deluxe Iris Bouquet</t>
  </si>
  <si>
    <t xml:space="preserve">AU81-20-GRA</t>
  </si>
  <si>
    <t xml:space="preserve">AU81-20-PRE</t>
  </si>
  <si>
    <t xml:space="preserve">AU90-30-REG</t>
  </si>
  <si>
    <t xml:space="preserve">30 Blooms of Daffodils</t>
  </si>
  <si>
    <t xml:space="preserve">AU92-31-SS</t>
  </si>
  <si>
    <t xml:space="preserve">Three Dozen Long Stem Assorted Roses</t>
  </si>
  <si>
    <t xml:space="preserve">AU99-08</t>
  </si>
  <si>
    <t xml:space="preserve">100 Blooms of Holiday Alstroemeria</t>
  </si>
  <si>
    <t xml:space="preserve">AU99-08-REG</t>
  </si>
  <si>
    <t xml:space="preserve">AU99-11-REG</t>
  </si>
  <si>
    <t xml:space="preserve">6 Holiday Roses Special</t>
  </si>
  <si>
    <t xml:space="preserve">AU99-22</t>
  </si>
  <si>
    <t xml:space="preserve">Joyful Roses Special</t>
  </si>
  <si>
    <t xml:space="preserve">AU99-22-DEL</t>
  </si>
  <si>
    <t xml:space="preserve">AU99-22-REG</t>
  </si>
  <si>
    <t xml:space="preserve">AU99-29-DLX</t>
  </si>
  <si>
    <t xml:space="preserve">AU99-29-SS</t>
  </si>
  <si>
    <t xml:space="preserve">AUBC-01-REG</t>
  </si>
  <si>
    <t xml:space="preserve">AUBC-02-REG</t>
  </si>
  <si>
    <t xml:space="preserve">AUBC-04-GRA</t>
  </si>
  <si>
    <t xml:space="preserve">AUBC-04-PRE</t>
  </si>
  <si>
    <t xml:space="preserve">AUBLXNZ-03</t>
  </si>
  <si>
    <t xml:space="preserve">AUBLXNZ-04-DEL</t>
  </si>
  <si>
    <t xml:space="preserve">AUBLXNZ-04-REG</t>
  </si>
  <si>
    <t xml:space="preserve">AUCH25-02</t>
  </si>
  <si>
    <t xml:space="preserve">Jolly Holiday Bouquet in a Mason Jar</t>
  </si>
  <si>
    <t xml:space="preserve">AUCH25-04-GRA</t>
  </si>
  <si>
    <t xml:space="preserve">AUCH25-04-PRE</t>
  </si>
  <si>
    <t xml:space="preserve">AUCH25-04-REG</t>
  </si>
  <si>
    <t xml:space="preserve">AUCH25-05-GRA</t>
  </si>
  <si>
    <t xml:space="preserve">AUCH25-05-REG</t>
  </si>
  <si>
    <t xml:space="preserve">AUDC-02-DLX</t>
  </si>
  <si>
    <t xml:space="preserve">AUFS-02</t>
  </si>
  <si>
    <t xml:space="preserve">Dozen Red Roses with Vase</t>
  </si>
  <si>
    <t xml:space="preserve">AUFS-03-DEL</t>
  </si>
  <si>
    <t xml:space="preserve">AUFS-03-PRE</t>
  </si>
  <si>
    <t xml:space="preserve">AUFS-03-REG</t>
  </si>
  <si>
    <t xml:space="preserve">AUFS-04</t>
  </si>
  <si>
    <t xml:space="preserve">Deluxe Love Combo</t>
  </si>
  <si>
    <t xml:space="preserve">AUFS-05-PRE</t>
  </si>
  <si>
    <t xml:space="preserve">AUFS-05-REG</t>
  </si>
  <si>
    <t xml:space="preserve">AUFS-08</t>
  </si>
  <si>
    <t xml:space="preserve">AUFS-08-DEL</t>
  </si>
  <si>
    <t xml:space="preserve">AUFS-09-DEL</t>
  </si>
  <si>
    <t xml:space="preserve">Dozen Mixed Roses &amp; Sauvignon Blanc</t>
  </si>
  <si>
    <t xml:space="preserve">AUFS-09-PRE</t>
  </si>
  <si>
    <t xml:space="preserve">AUFS-10</t>
  </si>
  <si>
    <t xml:space="preserve">Dozen Red Roses &amp; Shiraz</t>
  </si>
  <si>
    <t xml:space="preserve">AUFS-11-REG</t>
  </si>
  <si>
    <t xml:space="preserve">AUFS-12-GRA</t>
  </si>
  <si>
    <t xml:space="preserve">AUFS-12-REG</t>
  </si>
  <si>
    <t xml:space="preserve">AUG-12-DEL</t>
  </si>
  <si>
    <t xml:space="preserve">AUG-12-GRA</t>
  </si>
  <si>
    <t xml:space="preserve">AUG-12-REG</t>
  </si>
  <si>
    <t xml:space="preserve">AUG-24-DEL</t>
  </si>
  <si>
    <t xml:space="preserve">AUG-24-GRA</t>
  </si>
  <si>
    <t xml:space="preserve">AUG-24-REG</t>
  </si>
  <si>
    <t xml:space="preserve">AUGF10-29-DEL</t>
  </si>
  <si>
    <t xml:space="preserve">AUGF10-29-PRE</t>
  </si>
  <si>
    <t xml:space="preserve">AUGF10-29-REG</t>
  </si>
  <si>
    <t xml:space="preserve">AUGF16-60</t>
  </si>
  <si>
    <t xml:space="preserve">Sunshine Bliss</t>
  </si>
  <si>
    <t xml:space="preserve">AUGF16-82-DEL</t>
  </si>
  <si>
    <t xml:space="preserve">AUGF16-83</t>
  </si>
  <si>
    <t xml:space="preserve">AUGF60-20</t>
  </si>
  <si>
    <t xml:space="preserve">Rainbow Gerbera Bouquet (supersize)</t>
  </si>
  <si>
    <t xml:space="preserve">AUMJ-NW-001-DEL</t>
  </si>
  <si>
    <t xml:space="preserve">AUMJ-NW-001-DLX</t>
  </si>
  <si>
    <t xml:space="preserve">AUMJ-NW-001-GRA</t>
  </si>
  <si>
    <t xml:space="preserve">AUMJ-NW-001-PRM</t>
  </si>
  <si>
    <t xml:space="preserve">AUMJ-NW-001-REG</t>
  </si>
  <si>
    <t xml:space="preserve">AUMJ-NW-001-SPR</t>
  </si>
  <si>
    <t xml:space="preserve">AUMJ-NW-002-DEL</t>
  </si>
  <si>
    <t xml:space="preserve">AUMJ-NW-002-DLX</t>
  </si>
  <si>
    <t xml:space="preserve">AUMJ-NW-002-PRE</t>
  </si>
  <si>
    <t xml:space="preserve">AUMJ-NW-002-PRM</t>
  </si>
  <si>
    <t xml:space="preserve">AUMJ-NW-002-REG</t>
  </si>
  <si>
    <t xml:space="preserve">AUMJ-NW-002-SPR</t>
  </si>
  <si>
    <t xml:space="preserve">AUMJ-NW-003-DEL</t>
  </si>
  <si>
    <t xml:space="preserve">AUMJ-NW-003-DLX</t>
  </si>
  <si>
    <t xml:space="preserve">AUMJ-NW-003-GRA</t>
  </si>
  <si>
    <t xml:space="preserve">AUMJ-NW-003-PRE</t>
  </si>
  <si>
    <t xml:space="preserve">AUMJ-NW-003-PRM</t>
  </si>
  <si>
    <t xml:space="preserve">AUMJ-NW-003-SPR</t>
  </si>
  <si>
    <t xml:space="preserve">AUMJ-NW-004-DEL</t>
  </si>
  <si>
    <t xml:space="preserve">AUMJ-NW-004-GRA</t>
  </si>
  <si>
    <t xml:space="preserve">AUMJ-NW-004-PRM</t>
  </si>
  <si>
    <t xml:space="preserve">AUMJ-NW-004-REG</t>
  </si>
  <si>
    <t xml:space="preserve">AUMJ-NW-004-SPR</t>
  </si>
  <si>
    <t xml:space="preserve">AUMJ-NW-005-DEL</t>
  </si>
  <si>
    <t xml:space="preserve">AUMJ-NW-005-GRA</t>
  </si>
  <si>
    <t xml:space="preserve">AUMJ-NW-005-PRE</t>
  </si>
  <si>
    <t xml:space="preserve">AUMJ-NW-005-PRM</t>
  </si>
  <si>
    <t xml:space="preserve">AUMJ-NW-006-DEL</t>
  </si>
  <si>
    <t xml:space="preserve">AUMJ-NW-006-DLX</t>
  </si>
  <si>
    <t xml:space="preserve">AUMJ-NW-006-PRM</t>
  </si>
  <si>
    <t xml:space="preserve">AUMJ-NW-006-REG</t>
  </si>
  <si>
    <t xml:space="preserve">AUMJ-NW-007-DLX</t>
  </si>
  <si>
    <t xml:space="preserve">AUMJ-NW-008-DEL</t>
  </si>
  <si>
    <t xml:space="preserve">AUMJ-NW-008-PRM</t>
  </si>
  <si>
    <t xml:space="preserve">AUMJ-NW-008-REG</t>
  </si>
  <si>
    <t xml:space="preserve">AUMJ-NW-009-DEL</t>
  </si>
  <si>
    <t xml:space="preserve">AUMJ-NW-009-GRA</t>
  </si>
  <si>
    <t xml:space="preserve">AUMJ-NW-009-PRE</t>
  </si>
  <si>
    <t xml:space="preserve">AUMJ-NW-009-PRM</t>
  </si>
  <si>
    <t xml:space="preserve">AUMJ-NW-009-REG</t>
  </si>
  <si>
    <t xml:space="preserve">AUMJ-NW-010-DEL</t>
  </si>
  <si>
    <t xml:space="preserve">AUMJ-NW-010-DLX</t>
  </si>
  <si>
    <t xml:space="preserve">AUMJ-NW-010-PRM</t>
  </si>
  <si>
    <t xml:space="preserve">AUMJ-NW-010-REG</t>
  </si>
  <si>
    <t xml:space="preserve">AUMJ-NW-010-SPR</t>
  </si>
  <si>
    <t xml:space="preserve">AUMJ-NW-011-DEL</t>
  </si>
  <si>
    <t xml:space="preserve">AUMJ-NW-011-DLX</t>
  </si>
  <si>
    <t xml:space="preserve">AUMJ-NW-011-GRA</t>
  </si>
  <si>
    <t xml:space="preserve">AUMJ-NW-011-PRE</t>
  </si>
  <si>
    <t xml:space="preserve">AUMJ-NW-011-SPR</t>
  </si>
  <si>
    <t xml:space="preserve">AUMJ-NW-012-GRA</t>
  </si>
  <si>
    <t xml:space="preserve">AUMJ-NW-012-PRE</t>
  </si>
  <si>
    <t xml:space="preserve">AUMJ-NW-012-REG</t>
  </si>
  <si>
    <t xml:space="preserve">AUMJ-NW-013-DEL</t>
  </si>
  <si>
    <t xml:space="preserve">Pastel Dream Bouquet in Mason Jar</t>
  </si>
  <si>
    <t xml:space="preserve">AUMJ-NW-013-DLX</t>
  </si>
  <si>
    <t xml:space="preserve">AUMJ-NW-013-PRM</t>
  </si>
  <si>
    <t xml:space="preserve">AUMJ-NW-014-DEL</t>
  </si>
  <si>
    <t xml:space="preserve">AUMJ-NW-014-GRA</t>
  </si>
  <si>
    <t xml:space="preserve">AUMJ-NW-014-PRE</t>
  </si>
  <si>
    <t xml:space="preserve">AUMJ-NW-014-REG</t>
  </si>
  <si>
    <t xml:space="preserve">AUMJ-NW-014-SPR</t>
  </si>
  <si>
    <t xml:space="preserve">AUMJ-NW-015-DLX</t>
  </si>
  <si>
    <t xml:space="preserve">AUMJ-NW-015-PRM</t>
  </si>
  <si>
    <t xml:space="preserve">AUMJ-NW-015-SPR</t>
  </si>
  <si>
    <t xml:space="preserve">AUMJ-NW-016-DEL</t>
  </si>
  <si>
    <t xml:space="preserve">AUMJ-NW-016-REG</t>
  </si>
  <si>
    <t xml:space="preserve">AUMJ-NW-017-DLX</t>
  </si>
  <si>
    <t xml:space="preserve">AUMJ-NW-017-GRA</t>
  </si>
  <si>
    <t xml:space="preserve">AUMJ-NW-017-PRE</t>
  </si>
  <si>
    <t xml:space="preserve">AUMJ-NW-017-PRM</t>
  </si>
  <si>
    <t xml:space="preserve">AUMJ-NW-017-SPR</t>
  </si>
  <si>
    <t xml:space="preserve">AUMJ-NW-018-DEL</t>
  </si>
  <si>
    <t xml:space="preserve">AUMJ-NW-018-DLX</t>
  </si>
  <si>
    <t xml:space="preserve">AUMJ-NW-019-DLX</t>
  </si>
  <si>
    <t xml:space="preserve">AUMJ-NW-019-GRA</t>
  </si>
  <si>
    <t xml:space="preserve">AUMJ-NW-019-PRE</t>
  </si>
  <si>
    <t xml:space="preserve">AUMJ-NW-019-PRM</t>
  </si>
  <si>
    <t xml:space="preserve">AUMJ-NW-020-DEL</t>
  </si>
  <si>
    <t xml:space="preserve">AUMJ-NW-020-DLX</t>
  </si>
  <si>
    <t xml:space="preserve">AUMJ-NW-020-GRA</t>
  </si>
  <si>
    <t xml:space="preserve">AUMJ-NW-020-PRE</t>
  </si>
  <si>
    <t xml:space="preserve">AUMJ-NW-020-REG</t>
  </si>
  <si>
    <t xml:space="preserve">AUMJ-NW-020-SPR</t>
  </si>
  <si>
    <t xml:space="preserve">AUMJ-NW-021-DEL</t>
  </si>
  <si>
    <t xml:space="preserve">AUMJ-NW-021-DLX</t>
  </si>
  <si>
    <t xml:space="preserve">AUMJ-NW-021-REG</t>
  </si>
  <si>
    <t xml:space="preserve">AUMJ-NW-022-REG</t>
  </si>
  <si>
    <t xml:space="preserve">AUMJ-NW-022-SPR</t>
  </si>
  <si>
    <t xml:space="preserve">AUMJ-NW-023-DEL</t>
  </si>
  <si>
    <t xml:space="preserve">AUMJ-NW-023-DLX</t>
  </si>
  <si>
    <t xml:space="preserve">AUMJ-NW-023-GRA</t>
  </si>
  <si>
    <t xml:space="preserve">AUMJ-NW-023-PRM</t>
  </si>
  <si>
    <t xml:space="preserve">AUMJ-NW-024-DEL</t>
  </si>
  <si>
    <t xml:space="preserve">AUMJ-NW-024-DLX</t>
  </si>
  <si>
    <t xml:space="preserve">AUMJ-NW-024-PRE</t>
  </si>
  <si>
    <t xml:space="preserve">AUMJ-NW-024-REG</t>
  </si>
  <si>
    <t xml:space="preserve">AUMJ-NW-025-DLX</t>
  </si>
  <si>
    <t xml:space="preserve">AUMJ-NW-025-GRA</t>
  </si>
  <si>
    <t xml:space="preserve">AUMJ-NW-025-PRE</t>
  </si>
  <si>
    <t xml:space="preserve">AUMJ-NW-025-PRM</t>
  </si>
  <si>
    <t xml:space="preserve">AUMJ-NW-025-REG</t>
  </si>
  <si>
    <t xml:space="preserve">AUMJ-NW-026</t>
  </si>
  <si>
    <t xml:space="preserve">Hello Baby Boy</t>
  </si>
  <si>
    <t xml:space="preserve">AUMJ-NW-026-DEL</t>
  </si>
  <si>
    <t xml:space="preserve">AUMJ-NW-026-PRM</t>
  </si>
  <si>
    <t xml:space="preserve">AUMJ-NW-026-SPR</t>
  </si>
  <si>
    <t xml:space="preserve">AUMJ-NW-027-DLX</t>
  </si>
  <si>
    <t xml:space="preserve">Beach Day Blooms Bouquet in Mason Jar</t>
  </si>
  <si>
    <t xml:space="preserve">AUMJ-NW-027-PRE</t>
  </si>
  <si>
    <t xml:space="preserve">AUMJ-NW-027-PRM</t>
  </si>
  <si>
    <t xml:space="preserve">AUMJ-NW-027-REG</t>
  </si>
  <si>
    <t xml:space="preserve">AUMJ-NW-028-DEL</t>
  </si>
  <si>
    <t xml:space="preserve">AUMJ-NW-028-DLX</t>
  </si>
  <si>
    <t xml:space="preserve">AUMJ-NW-028-GRA</t>
  </si>
  <si>
    <t xml:space="preserve">AUMJ-NW-028-PRE</t>
  </si>
  <si>
    <t xml:space="preserve">AUMJ-NW-028-PRM</t>
  </si>
  <si>
    <t xml:space="preserve">AUMJ-NW-028-REG</t>
  </si>
  <si>
    <t xml:space="preserve">AUMJ-NW-028-SPR</t>
  </si>
  <si>
    <t xml:space="preserve">AUMJ-NW-029-DLX</t>
  </si>
  <si>
    <t xml:space="preserve">AUMJ-NW-029-PRM</t>
  </si>
  <si>
    <t xml:space="preserve">AUMJ-NW-029-REG</t>
  </si>
  <si>
    <t xml:space="preserve">AUMJ-NW-029-SPR</t>
  </si>
  <si>
    <t xml:space="preserve">AUMJ-NW-030-DLX</t>
  </si>
  <si>
    <t xml:space="preserve">AUMJ-NW-030-GRA</t>
  </si>
  <si>
    <t xml:space="preserve">AUMJ-NW-030-PRE</t>
  </si>
  <si>
    <t xml:space="preserve">AUMJ-NW-030-PRM</t>
  </si>
  <si>
    <t xml:space="preserve">AUMJ100-05</t>
  </si>
  <si>
    <t xml:space="preserve">Gerbera Daisies in Mason Jar</t>
  </si>
  <si>
    <t xml:space="preserve">AUMJ100-05-DEL</t>
  </si>
  <si>
    <t xml:space="preserve">AUMJ100-05-REG</t>
  </si>
  <si>
    <t xml:space="preserve">AUMJ51-41</t>
  </si>
  <si>
    <t xml:space="preserve">Southern Stars</t>
  </si>
  <si>
    <t xml:space="preserve">AURP-13sp-GRA</t>
  </si>
  <si>
    <t xml:space="preserve">AURP-14sp</t>
  </si>
  <si>
    <t xml:space="preserve">Vase &amp; Teddy</t>
  </si>
  <si>
    <t xml:space="preserve">AURP-FR1</t>
  </si>
  <si>
    <t xml:space="preserve">Ferrero Rocher Collection</t>
  </si>
  <si>
    <t xml:space="preserve">AURP-W01</t>
  </si>
  <si>
    <t xml:space="preserve">Carrington White Wine</t>
  </si>
  <si>
    <t xml:space="preserve">AURP-WH</t>
  </si>
  <si>
    <t xml:space="preserve">Sauvignon Blanc by</t>
  </si>
  <si>
    <t xml:space="preserve">AURP-WR</t>
  </si>
  <si>
    <t xml:space="preserve">Merlot by</t>
  </si>
  <si>
    <t xml:space="preserve">AURP02-30-PT</t>
  </si>
  <si>
    <t xml:space="preserve">AURP02-40</t>
  </si>
  <si>
    <t xml:space="preserve">Red Vase</t>
  </si>
  <si>
    <t xml:space="preserve">AURP03-DLX</t>
  </si>
  <si>
    <t xml:space="preserve">AURP07</t>
  </si>
  <si>
    <t xml:space="preserve">"I Care" Teddy Bear</t>
  </si>
  <si>
    <t xml:space="preserve">AURP10</t>
  </si>
  <si>
    <t xml:space="preserve">Box of Premium Chocolates</t>
  </si>
  <si>
    <t xml:space="preserve">AUSC-01</t>
  </si>
  <si>
    <t xml:space="preserve">Sweetheart Collection I</t>
  </si>
  <si>
    <t xml:space="preserve">AUSC-04</t>
  </si>
  <si>
    <t xml:space="preserve">Sweetheart Collection IV</t>
  </si>
  <si>
    <t xml:space="preserve">AUSD-01-DLX</t>
  </si>
  <si>
    <t xml:space="preserve">AUSD-01-SS</t>
  </si>
  <si>
    <t xml:space="preserve">AUSD-02-GRA</t>
  </si>
  <si>
    <t xml:space="preserve">AUSD-02-SS</t>
  </si>
  <si>
    <t xml:space="preserve">AUSD-03</t>
  </si>
  <si>
    <t xml:space="preserve">Same Day Special III</t>
  </si>
  <si>
    <t xml:space="preserve">AUSD-03-DLX</t>
  </si>
  <si>
    <t xml:space="preserve">AUSD-03-SS</t>
  </si>
  <si>
    <t xml:space="preserve">AUSGRT-03-REG</t>
  </si>
  <si>
    <t xml:space="preserve">AUSGRT-04-DEL</t>
  </si>
  <si>
    <t xml:space="preserve">AUSGRT-04-GRA</t>
  </si>
  <si>
    <t xml:space="preserve">AUSGRT-04-PRE</t>
  </si>
  <si>
    <t xml:space="preserve">AUSGRT-04-REG</t>
  </si>
  <si>
    <t xml:space="preserve">AUSGRT-05</t>
  </si>
  <si>
    <t xml:space="preserve">Crimson Gerbera Trio</t>
  </si>
  <si>
    <t xml:space="preserve">AUSGRT-05-DEL</t>
  </si>
  <si>
    <t xml:space="preserve">AUSGRT-05-REG</t>
  </si>
  <si>
    <t xml:space="preserve">AUSRP-16sp-DEL</t>
  </si>
  <si>
    <t xml:space="preserve">AUSRP-16sp-PT</t>
  </si>
  <si>
    <t xml:space="preserve">AUSSR-03-REG</t>
  </si>
  <si>
    <t xml:space="preserve">AUSTRT-02-DEL</t>
  </si>
  <si>
    <t xml:space="preserve">AUSTRT-02-GRA</t>
  </si>
  <si>
    <t xml:space="preserve">AUSTRT-02-REG</t>
  </si>
  <si>
    <t xml:space="preserve">AUSTRT-03-DEL</t>
  </si>
  <si>
    <t xml:space="preserve">AUSTRT-03-PRE</t>
  </si>
  <si>
    <t xml:space="preserve">AUSTRT-03-REG</t>
  </si>
  <si>
    <t xml:space="preserve">AUSTRT-04-PRE</t>
  </si>
  <si>
    <t xml:space="preserve">AUSTRT-04-REG</t>
  </si>
  <si>
    <t xml:space="preserve">AUV11-02-DEL</t>
  </si>
  <si>
    <t xml:space="preserve">12 LS Red Roses, Vase &amp; Chocolates</t>
  </si>
  <si>
    <t xml:space="preserve">AUV11-04-REG</t>
  </si>
  <si>
    <t xml:space="preserve">Valentines Roses &amp; Chocolates</t>
  </si>
  <si>
    <t xml:space="preserve">AUV11-05</t>
  </si>
  <si>
    <t xml:space="preserve">Valentines Super Combo</t>
  </si>
  <si>
    <t xml:space="preserve">AUV11-05-DEL</t>
  </si>
  <si>
    <t xml:space="preserve">AUV11-05-GRA</t>
  </si>
  <si>
    <t xml:space="preserve">AUV11-05-PRE</t>
  </si>
  <si>
    <t xml:space="preserve">AUV11-07-DEL</t>
  </si>
  <si>
    <t xml:space="preserve">Cherished Valentines Special</t>
  </si>
  <si>
    <t xml:space="preserve">AUV11-11-DEL</t>
  </si>
  <si>
    <t xml:space="preserve">AUV11-11-GRA</t>
  </si>
  <si>
    <t xml:space="preserve">AUWB10-01-DEL</t>
  </si>
  <si>
    <t xml:space="preserve">AUWB10-01-GRA</t>
  </si>
  <si>
    <t xml:space="preserve">AUWB10-01-PRE</t>
  </si>
  <si>
    <t xml:space="preserve">AUWB10-01-REG</t>
  </si>
  <si>
    <t xml:space="preserve">AUWB10-10</t>
  </si>
  <si>
    <t xml:space="preserve">Champagne &amp; Chocolates</t>
  </si>
  <si>
    <t xml:space="preserve">AUWB10-12-REG</t>
  </si>
  <si>
    <t xml:space="preserve">Champagne Lovers Basket</t>
  </si>
  <si>
    <t xml:space="preserve">BBAU20-02</t>
  </si>
  <si>
    <t xml:space="preserve">Four X Basket I</t>
  </si>
  <si>
    <t xml:space="preserve">BBAU20-03</t>
  </si>
  <si>
    <t xml:space="preserve">Bitter Basket</t>
  </si>
  <si>
    <t xml:space="preserve">BBAU20-04</t>
  </si>
  <si>
    <t xml:space="preserve">Draught Basket</t>
  </si>
  <si>
    <t xml:space="preserve">BBAU20-06</t>
  </si>
  <si>
    <t xml:space="preserve">Coldie Basket</t>
  </si>
  <si>
    <t xml:space="preserve">BBAU20-07</t>
  </si>
  <si>
    <t xml:space="preserve">Four X Basket II</t>
  </si>
  <si>
    <t xml:space="preserve">BBAU20-08</t>
  </si>
  <si>
    <t xml:space="preserve">Tinny &amp; Treats Basket</t>
  </si>
  <si>
    <t xml:space="preserve">BBAU20-09</t>
  </si>
  <si>
    <t xml:space="preserve">Bitter Lovers Basket</t>
  </si>
  <si>
    <t xml:space="preserve">BBAU20-10</t>
  </si>
  <si>
    <t xml:space="preserve">Beer Lovers Basket</t>
  </si>
  <si>
    <t xml:space="preserve">BBAU20-11</t>
  </si>
  <si>
    <t xml:space="preserve">Beer &amp; Nibbles Basket</t>
  </si>
  <si>
    <t xml:space="preserve">BBAU20-12</t>
  </si>
  <si>
    <t xml:space="preserve">Guys Night Out</t>
  </si>
  <si>
    <t xml:space="preserve">BLX-FU</t>
  </si>
  <si>
    <t xml:space="preserve">Free Upgrade Items</t>
  </si>
  <si>
    <t xml:space="preserve">BLXNZ-01</t>
  </si>
  <si>
    <t xml:space="preserve">Ethereal Harmony</t>
  </si>
  <si>
    <t xml:space="preserve">BLXNZ-02</t>
  </si>
  <si>
    <t xml:space="preserve">Radiant Blooms</t>
  </si>
  <si>
    <t xml:space="preserve">BLXNZ-03-DEL</t>
  </si>
  <si>
    <t xml:space="preserve">BLXNZ-03-GRA</t>
  </si>
  <si>
    <t xml:space="preserve">BLXNZ-03-PRE</t>
  </si>
  <si>
    <t xml:space="preserve">BLXNZ-03-REG</t>
  </si>
  <si>
    <t xml:space="preserve">BOR-03-GRA</t>
  </si>
  <si>
    <t xml:space="preserve">CD-02</t>
  </si>
  <si>
    <t xml:space="preserve">Country Daisy Collection II</t>
  </si>
  <si>
    <t xml:space="preserve">CGCA-03</t>
  </si>
  <si>
    <t xml:space="preserve">Christmas Feast Gourmet Hamper (deluxe)</t>
  </si>
  <si>
    <t xml:space="preserve">CGCA-07-REG</t>
  </si>
  <si>
    <t xml:space="preserve">Ms Clause</t>
  </si>
  <si>
    <t xml:space="preserve">CGCA-12</t>
  </si>
  <si>
    <t xml:space="preserve">Splendor Gourmet, Fruit &amp; Wine Hamper</t>
  </si>
  <si>
    <t xml:space="preserve">CL60-10-REG</t>
  </si>
  <si>
    <t xml:space="preserve">10 Stunning Calla Lilies &amp; Card</t>
  </si>
  <si>
    <t xml:space="preserve">CL60-15-REG</t>
  </si>
  <si>
    <t xml:space="preserve">15 Stunning Calla Lilies &amp; Card</t>
  </si>
  <si>
    <t xml:space="preserve">CL60-20-DEL</t>
  </si>
  <si>
    <t xml:space="preserve">CO-01</t>
  </si>
  <si>
    <t xml:space="preserve">Flowers for 1$</t>
  </si>
  <si>
    <t xml:space="preserve">Designers Collection I (supersize)</t>
  </si>
  <si>
    <t xml:space="preserve">Designers Collection II</t>
  </si>
  <si>
    <t xml:space="preserve">DC112-03</t>
  </si>
  <si>
    <t xml:space="preserve">Designers Collection III (deluxe)</t>
  </si>
  <si>
    <t xml:space="preserve">DC112-04</t>
  </si>
  <si>
    <t xml:space="preserve">DCB-02-PRE</t>
  </si>
  <si>
    <t xml:space="preserve">DCB-02-REG</t>
  </si>
  <si>
    <t xml:space="preserve">DCB-04</t>
  </si>
  <si>
    <t xml:space="preserve">DLX-99-DLX</t>
  </si>
  <si>
    <t xml:space="preserve">DLX-99-SS</t>
  </si>
  <si>
    <t xml:space="preserve">EOS-01-REG</t>
  </si>
  <si>
    <t xml:space="preserve">FBAU61-60</t>
  </si>
  <si>
    <t xml:space="preserve">Fruit Elegance</t>
  </si>
  <si>
    <t xml:space="preserve">FBAU61-62</t>
  </si>
  <si>
    <t xml:space="preserve">Fruit Lover Basket</t>
  </si>
  <si>
    <t xml:space="preserve">FBAU61-66</t>
  </si>
  <si>
    <t xml:space="preserve">European Sampler Basket</t>
  </si>
  <si>
    <t xml:space="preserve">FBAU74-50</t>
  </si>
  <si>
    <t xml:space="preserve">Pineapple Basket</t>
  </si>
  <si>
    <t xml:space="preserve">FBAU74-51</t>
  </si>
  <si>
    <t xml:space="preserve">Fruit Beauty</t>
  </si>
  <si>
    <t xml:space="preserve">FBAU74-60</t>
  </si>
  <si>
    <t xml:space="preserve">Classic Fruit Basket</t>
  </si>
  <si>
    <t xml:space="preserve">FBAU74-80</t>
  </si>
  <si>
    <t xml:space="preserve">Deluxe Fruit Sensation</t>
  </si>
  <si>
    <t xml:space="preserve">FBAU74-90-SS</t>
  </si>
  <si>
    <t xml:space="preserve">FBB-04</t>
  </si>
  <si>
    <t xml:space="preserve">Fruit Hamper IV</t>
  </si>
  <si>
    <t xml:space="preserve">FBC-01</t>
  </si>
  <si>
    <t xml:space="preserve">Fresh Fruit Basket Collection I</t>
  </si>
  <si>
    <t xml:space="preserve">FBC-04</t>
  </si>
  <si>
    <t xml:space="preserve">Fresh Fruit Basket Collection IV</t>
  </si>
  <si>
    <t xml:space="preserve">FRS-19AU</t>
  </si>
  <si>
    <t xml:space="preserve">Friday Only Rose Special I (deluxe)</t>
  </si>
  <si>
    <t xml:space="preserve">FRS-49AU</t>
  </si>
  <si>
    <t xml:space="preserve">Friday Only Rose Special IV</t>
  </si>
  <si>
    <t xml:space="preserve">FYF-anniversary-designer-collection-C</t>
  </si>
  <si>
    <t xml:space="preserve">Anniversary Designer Collection</t>
  </si>
  <si>
    <t xml:space="preserve">FYF-anniversary-designer-collection-C-2</t>
  </si>
  <si>
    <t xml:space="preserve">FYF-anniversary-designer-collection-D</t>
  </si>
  <si>
    <t xml:space="preserve">FYF-anniversary-designer-collection-G</t>
  </si>
  <si>
    <t xml:space="preserve">FYF-anniversary-designer-collection-G-2</t>
  </si>
  <si>
    <t xml:space="preserve">FYF-assorted-roses-in-mason-jar-3-stems-C</t>
  </si>
  <si>
    <t xml:space="preserve">Assorted Roses In Mason Jar (3 Stems)</t>
  </si>
  <si>
    <t xml:space="preserve">FYF-beautiful-in-blue-bouquet-in-mason-jar-D</t>
  </si>
  <si>
    <t xml:space="preserve">FYF-beautiful-in-blue-bouquet-in-mason-jar-G</t>
  </si>
  <si>
    <t xml:space="preserve">FYF-birthday-celebration-combo-D</t>
  </si>
  <si>
    <t xml:space="preserve">FYF-birthday-celebration-combo-G</t>
  </si>
  <si>
    <t xml:space="preserve">FYF-birthday-designer-collection-C</t>
  </si>
  <si>
    <t xml:space="preserve">Birthday Designer Collection</t>
  </si>
  <si>
    <t xml:space="preserve">FYF-birthday-designer-collection-C-3</t>
  </si>
  <si>
    <t xml:space="preserve">FYF-birthday-designer-collection-C-4</t>
  </si>
  <si>
    <t xml:space="preserve">FYF-birthday-designer-collection-D</t>
  </si>
  <si>
    <t xml:space="preserve">FYF-birthday-designer-collection-D-2</t>
  </si>
  <si>
    <t xml:space="preserve">FYF-birthday-designer-collection-D-4</t>
  </si>
  <si>
    <t xml:space="preserve">FYF-birthday-designer-collection-G</t>
  </si>
  <si>
    <t xml:space="preserve">FYF-birthday-designer-collection-G-3</t>
  </si>
  <si>
    <t xml:space="preserve">FYF-blooms-of-love-in-mason-jar-mixed-bouquet-C</t>
  </si>
  <si>
    <t xml:space="preserve">Blooms Of Love In Mason Jar Mixed Bouquet</t>
  </si>
  <si>
    <t xml:space="preserve">FYF-blooms-of-love-in-mason-jar-mixed-bouquet-D</t>
  </si>
  <si>
    <t xml:space="preserve">FYF-blooms-of-love-in-mason-jar-mixed-bouquet-G</t>
  </si>
  <si>
    <t xml:space="preserve">FYF-blossom-harmony-bouquet-C</t>
  </si>
  <si>
    <t xml:space="preserve">Blossom Harmony Bouquet</t>
  </si>
  <si>
    <t xml:space="preserve">FYF-blossom-harmony-bouquet-D</t>
  </si>
  <si>
    <t xml:space="preserve">FYF-blossom-harmony-bouquet-G</t>
  </si>
  <si>
    <t xml:space="preserve">FYF-blue-iris-bouquet-ten-stems-D</t>
  </si>
  <si>
    <t xml:space="preserve">FYF-blue-iris-bouquet-ten-stems-G</t>
  </si>
  <si>
    <t xml:space="preserve">FYF-breathtaking-blooms-in-mason-jar-mixed-brights-G</t>
  </si>
  <si>
    <t xml:space="preserve">FYF-cherished-memories-sympathy-arrangement-G</t>
  </si>
  <si>
    <t xml:space="preserve">Cherished Memories Sympathy Arrangement</t>
  </si>
  <si>
    <t xml:space="preserve">FYF-chocolate-gift-box-C-17</t>
  </si>
  <si>
    <t xml:space="preserve">Chocolate Gift Box</t>
  </si>
  <si>
    <t xml:space="preserve">FYF-chocolate-gift-box-C-18</t>
  </si>
  <si>
    <t xml:space="preserve">FYF-chocolate-gift-box-C-19</t>
  </si>
  <si>
    <t xml:space="preserve">FYF-chocolate-gift-box-C-2</t>
  </si>
  <si>
    <t xml:space="preserve">FYF-chocolate-gift-box-C-20</t>
  </si>
  <si>
    <t xml:space="preserve">FYF-chocolate-gift-box-C-6</t>
  </si>
  <si>
    <t xml:space="preserve">FYF-chocolate-gift-box-C-7</t>
  </si>
  <si>
    <t xml:space="preserve">FYF-chocolate-gift-box-D-17</t>
  </si>
  <si>
    <t xml:space="preserve">FYF-chocolate-gift-box-D-4</t>
  </si>
  <si>
    <t xml:space="preserve">FYF-chocolate-gift-box-G-10</t>
  </si>
  <si>
    <t xml:space="preserve">FYF-chocolate-gift-box-G-18</t>
  </si>
  <si>
    <t xml:space="preserve">FYF-chocolate-gift-box-G-2</t>
  </si>
  <si>
    <t xml:space="preserve">FYF-chocolate-gift-box-G-5</t>
  </si>
  <si>
    <t xml:space="preserve">FYF-chocolate-gift-box-G-7</t>
  </si>
  <si>
    <t xml:space="preserve">FYF-christmas-stars-in-a-mason-jar-C</t>
  </si>
  <si>
    <t xml:space="preserve">Christmas Stars in a Mason Jar</t>
  </si>
  <si>
    <t xml:space="preserve">FYF-classic-collection-C</t>
  </si>
  <si>
    <t xml:space="preserve">Classic Collection</t>
  </si>
  <si>
    <t xml:space="preserve">FYF-classic-collection-G</t>
  </si>
  <si>
    <t xml:space="preserve">FYF-classic-red-wine-gourmet-basket-D</t>
  </si>
  <si>
    <t xml:space="preserve">FYF-classic-red-wine-gourmet-basket-G</t>
  </si>
  <si>
    <t xml:space="preserve">FYF-classic-white-roses-dozen-long-stemmed-G</t>
  </si>
  <si>
    <t xml:space="preserve">Classic White Roses Dozen Long Stemmed</t>
  </si>
  <si>
    <t xml:space="preserve">FYF-colour-me-yours-bouquet-C</t>
  </si>
  <si>
    <t xml:space="preserve">Colour Me Yours Bouquet</t>
  </si>
  <si>
    <t xml:space="preserve">FYF-colour-me-yours-bouquet-D</t>
  </si>
  <si>
    <t xml:space="preserve">FYF-delicate-elegance-G</t>
  </si>
  <si>
    <t xml:space="preserve">FYF-deluxe-red-wine-gourmet-basket-C</t>
  </si>
  <si>
    <t xml:space="preserve">Deluxe Red Wine &amp; Gourmet Basket</t>
  </si>
  <si>
    <t xml:space="preserve">FYF-deluxe-wine-lovers-basket-red-white-C</t>
  </si>
  <si>
    <t xml:space="preserve">Deluxe Wine Lovers Basket Red &amp; White</t>
  </si>
  <si>
    <t xml:space="preserve">FYF-deluxe-wine-lovers-basket-red-white-G</t>
  </si>
  <si>
    <t xml:space="preserve">FYF-designer-collection-mason-jar-C-2</t>
  </si>
  <si>
    <t xml:space="preserve">FYF-designer-collection-mason-jar-C-3</t>
  </si>
  <si>
    <t xml:space="preserve">FYF-designer-collection-mason-jar-C-4</t>
  </si>
  <si>
    <t xml:space="preserve">FYF-designer-collection-mason-jar-D</t>
  </si>
  <si>
    <t xml:space="preserve">FYF-designer-collection-mason-jar-D-3</t>
  </si>
  <si>
    <t xml:space="preserve">FYF-designer-collection-mason-jar-D-4</t>
  </si>
  <si>
    <t xml:space="preserve">FYF-designer-collection-mason-jar-G-3</t>
  </si>
  <si>
    <t xml:space="preserve">FYF-designer-collection-mason-jar-G-4</t>
  </si>
  <si>
    <t xml:space="preserve">FYF-dozen-mixed-roses-combo-flowers-C</t>
  </si>
  <si>
    <t xml:space="preserve">Dozen Mixed Roses Combo: Flowers</t>
  </si>
  <si>
    <t xml:space="preserve">FYF-dozen-mixed-roses-combo-flowers-G</t>
  </si>
  <si>
    <t xml:space="preserve">FYF-elegant-red-wine-gourmet-hamper-C</t>
  </si>
  <si>
    <t xml:space="preserve">Elegant Red Wine &amp; Gourmet Hamper</t>
  </si>
  <si>
    <t xml:space="preserve">FYF-enchanted-cottage-bouquet-in-mason-jar-C</t>
  </si>
  <si>
    <t xml:space="preserve">FYF-enchanted-cottage-bouquet-in-mason-jar-G</t>
  </si>
  <si>
    <t xml:space="preserve">FYF-fresh-fruit-hamper-10-pieces-C</t>
  </si>
  <si>
    <t xml:space="preserve">Fresh Fruit Hamper (10 Pieces)</t>
  </si>
  <si>
    <t xml:space="preserve">FYF-fresh-fruit-hamper-15-pieces-C</t>
  </si>
  <si>
    <t xml:space="preserve">Fresh Fruit Hamper (15 Pieces)</t>
  </si>
  <si>
    <t xml:space="preserve">FYF-gourmet-collection-i-C</t>
  </si>
  <si>
    <t xml:space="preserve">FYF-gourmet-collection-ii-C</t>
  </si>
  <si>
    <t xml:space="preserve">Gourmet Collection Ii</t>
  </si>
  <si>
    <t xml:space="preserve">FYF-gourmet-collection-iii-C</t>
  </si>
  <si>
    <t xml:space="preserve">Gourmet Collection Iii</t>
  </si>
  <si>
    <t xml:space="preserve">FYF-gourmet-collection-iii-D</t>
  </si>
  <si>
    <t xml:space="preserve">FYF-gourmet-collection-iii-G</t>
  </si>
  <si>
    <t xml:space="preserve">FYF-gourmet-collection-iv-G</t>
  </si>
  <si>
    <t xml:space="preserve">Gourmet Collection Iv</t>
  </si>
  <si>
    <t xml:space="preserve">FYF-gourmet-collection-luxe-D</t>
  </si>
  <si>
    <t xml:space="preserve">FYF-gourmet-collection-luxe-hamper-C</t>
  </si>
  <si>
    <t xml:space="preserve">FYF-gourmet-collection-petite-hamper-D</t>
  </si>
  <si>
    <t xml:space="preserve">Gourmet Collection Petite Hamper</t>
  </si>
  <si>
    <t xml:space="preserve">FYF-greeting-card-C-3</t>
  </si>
  <si>
    <t xml:space="preserve">Mothers Day Lavender Roses VIII</t>
  </si>
  <si>
    <t xml:space="preserve">FYF-greeting-card-C-48</t>
  </si>
  <si>
    <t xml:space="preserve">FYF-greeting-card-C-49</t>
  </si>
  <si>
    <t xml:space="preserve">FYF-greeting-card-C-62</t>
  </si>
  <si>
    <t xml:space="preserve">FYF-greeting-card-C-66</t>
  </si>
  <si>
    <t xml:space="preserve">FYF-greeting-card-D-61</t>
  </si>
  <si>
    <t xml:space="preserve">FYF-hearts-delight-bouquet-supporting-heart-foundation-C</t>
  </si>
  <si>
    <t xml:space="preserve">Hearts Delight Bouquet Supporting Heart Foundation</t>
  </si>
  <si>
    <t xml:space="preserve">FYF-hearts-delight-bouquet-supporting-heart-foundation-D</t>
  </si>
  <si>
    <t xml:space="preserve">FYF-holiday-alstroemeria-in-mason-jar-50-blooms-C</t>
  </si>
  <si>
    <t xml:space="preserve">Holiday Alstroemeria in Mason Jar 50 Blooms</t>
  </si>
  <si>
    <t xml:space="preserve">FYF-hooray-bouquet-in-mason-jar-mixed-cheerful-flowers-C</t>
  </si>
  <si>
    <t xml:space="preserve">FYF-hugs-and-kisses-bouquet-flowers-C</t>
  </si>
  <si>
    <t xml:space="preserve">FYF-hugs-and-kisses-bouquet-flowers-D</t>
  </si>
  <si>
    <t xml:space="preserve">FYF-hugs-and-kisses-bouquet-flowers-D-2</t>
  </si>
  <si>
    <t xml:space="preserve">FYF-hugs-and-kisses-bouquet-flowers-G</t>
  </si>
  <si>
    <t xml:space="preserve">FYF-hugs-and-kisses-bouquet-flowers-G-3</t>
  </si>
  <si>
    <t xml:space="preserve">FYF-hugs-and-kisses-bouquet-flowers-card-D</t>
  </si>
  <si>
    <t xml:space="preserve">Hugs And Kisses Bouquet Flowers &amp; Card</t>
  </si>
  <si>
    <t xml:space="preserve">FYF-joy-harmony-C</t>
  </si>
  <si>
    <t xml:space="preserve">Joy &amp; Harmony</t>
  </si>
  <si>
    <t xml:space="preserve">FYF-joy-of-flowers-basket-arrangement-D</t>
  </si>
  <si>
    <t xml:space="preserve">Joy of Flowers Basket Arrangement</t>
  </si>
  <si>
    <t xml:space="preserve">FYF-lavender-love-bouquet-G</t>
  </si>
  <si>
    <t xml:space="preserve">FYF-lindt-chocolate-assortment-C-2</t>
  </si>
  <si>
    <t xml:space="preserve">Lindt Chocolate Assortment</t>
  </si>
  <si>
    <t xml:space="preserve">FYF-lindt-chocolate-assortment-C-3</t>
  </si>
  <si>
    <t xml:space="preserve">FYF-lindt-chocolate-assortment-G</t>
  </si>
  <si>
    <t xml:space="preserve">FYF-lindt-chocolate-assortment-G-3</t>
  </si>
  <si>
    <t xml:space="preserve">FYF-lindt-chocolate-assortment-G-4</t>
  </si>
  <si>
    <t xml:space="preserve">FYF-love-laughter-in-mason-jar-mixed-purple-bouquet-C</t>
  </si>
  <si>
    <t xml:space="preserve">Love &amp; Laughter In Mason Jar Mixed Purple Bouquet</t>
  </si>
  <si>
    <t xml:space="preserve">FYF-love-laughter-in-mason-jar-mixed-purple-bouquet-D</t>
  </si>
  <si>
    <t xml:space="preserve">FYF-love-laughter-in-mason-jar-mixed-purple-bouquet-G</t>
  </si>
  <si>
    <t xml:space="preserve">FYF-mother-s-day-assorted-roses-in-mason-jar-6-stems-C</t>
  </si>
  <si>
    <t xml:space="preserve">Mother'S Day Assorted Roses in Mason Jar 6 Stems</t>
  </si>
  <si>
    <t xml:space="preserve">FYF-mother-s-day-designer-collection-C-2</t>
  </si>
  <si>
    <t xml:space="preserve">Mother'S Day Designer Collection</t>
  </si>
  <si>
    <t xml:space="preserve">FYF-mother-s-day-designer-collection-G-2</t>
  </si>
  <si>
    <t xml:space="preserve">FYF-mother-s-day-designer-collection-premium-D</t>
  </si>
  <si>
    <t xml:space="preserve">FYF-mother-s-day-ultimate-pink-roses-set-dozen-C</t>
  </si>
  <si>
    <t xml:space="preserve">Mother'S Day Ultimate Pink Roses Set Dozen</t>
  </si>
  <si>
    <t xml:space="preserve">FYF-native-flowers-designer-bouquet-C-2</t>
  </si>
  <si>
    <t xml:space="preserve">FYF-native-flowers-designer-bouquet-C-3</t>
  </si>
  <si>
    <t xml:space="preserve">FYF-native-flowers-designer-bouquet-D</t>
  </si>
  <si>
    <t xml:space="preserve">FYF-native-flowers-designer-bouquet-G-2</t>
  </si>
  <si>
    <t xml:space="preserve">FYF-one-dozen-boxed-red-roses-nz-product-special-price-D</t>
  </si>
  <si>
    <t xml:space="preserve">FYF-one-dozen-boxed-red-roses-nz-product-special-price-G</t>
  </si>
  <si>
    <t xml:space="preserve">FYF-pastel-harmony-D</t>
  </si>
  <si>
    <t xml:space="preserve">FYF-pink-beauty-floral-arrangement-C</t>
  </si>
  <si>
    <t xml:space="preserve">FYF-pink-beauty-floral-arrangement-G</t>
  </si>
  <si>
    <t xml:space="preserve">FYF-pink-pleasure-bouquet-G</t>
  </si>
  <si>
    <t xml:space="preserve">FYF-plush-teddy-bear-C-11</t>
  </si>
  <si>
    <t xml:space="preserve">FYF-plush-teddy-bear-C-15</t>
  </si>
  <si>
    <t xml:space="preserve">FYF-plush-teddy-bear-C-17</t>
  </si>
  <si>
    <t xml:space="preserve">FYF-plush-teddy-bear-C-18</t>
  </si>
  <si>
    <t xml:space="preserve">FYF-plush-teddy-bear-C-19</t>
  </si>
  <si>
    <t xml:space="preserve">FYF-plush-teddy-bear-C-5</t>
  </si>
  <si>
    <t xml:space="preserve">FYF-plush-teddy-bear-C-7</t>
  </si>
  <si>
    <t xml:space="preserve">FYF-plush-teddy-bear-C-9</t>
  </si>
  <si>
    <t xml:space="preserve">FYF-plush-teddy-bear-D-17</t>
  </si>
  <si>
    <t xml:space="preserve">FYF-plush-teddy-bear-D-19</t>
  </si>
  <si>
    <t xml:space="preserve">FYF-plush-teddy-bear-D-5</t>
  </si>
  <si>
    <t xml:space="preserve">FYF-plush-teddy-bear-G-13</t>
  </si>
  <si>
    <t xml:space="preserve">FYF-plush-teddy-bear-G-15</t>
  </si>
  <si>
    <t xml:space="preserve">FYF-plush-teddy-bear-G-16</t>
  </si>
  <si>
    <t xml:space="preserve">FYF-plush-teddy-bear-G-17</t>
  </si>
  <si>
    <t xml:space="preserve">FYF-plush-teddy-bear-G-18</t>
  </si>
  <si>
    <t xml:space="preserve">FYF-plush-teddy-bear-G-4</t>
  </si>
  <si>
    <t xml:space="preserve">FYF-plush-teddy-bear-G-7</t>
  </si>
  <si>
    <t xml:space="preserve">FYF-premium-red-wine-gourmet-treats-hamper-D</t>
  </si>
  <si>
    <t xml:space="preserve">Premium Red Wine &amp; Gourmet Treats Hamper</t>
  </si>
  <si>
    <t xml:space="preserve">FYF-pretty-posy-bouquet-G</t>
  </si>
  <si>
    <t xml:space="preserve">Pretty Posy Bouquet</t>
  </si>
  <si>
    <t xml:space="preserve">FYF-radiant-red-roses-in-mason-jar-3-stems-C</t>
  </si>
  <si>
    <t xml:space="preserve">Radiant Red Roses In Mason Jar (3 Stems)</t>
  </si>
  <si>
    <t xml:space="preserve">FYF-radiant-red-roses-in-mason-jar-3-stems-G</t>
  </si>
  <si>
    <t xml:space="preserve">FYF-red-foil-balloon-C</t>
  </si>
  <si>
    <t xml:space="preserve">Red Foil Balloon</t>
  </si>
  <si>
    <t xml:space="preserve">FYF-red-foil-balloon-C-2</t>
  </si>
  <si>
    <t xml:space="preserve">FYF-red-foil-balloon-C-3</t>
  </si>
  <si>
    <t xml:space="preserve">FYF-red-foil-balloon-C-4</t>
  </si>
  <si>
    <t xml:space="preserve">FYF-red-foil-balloon-D-2</t>
  </si>
  <si>
    <t xml:space="preserve">FYF-red-rose-trio-3-stem-bouquet-C</t>
  </si>
  <si>
    <t xml:space="preserve">Red Rose Trio 3 Stem Bouquet</t>
  </si>
  <si>
    <t xml:space="preserve">FYF-red-rose-trio-3-stem-bouquet-G</t>
  </si>
  <si>
    <t xml:space="preserve">FYF-rose-impression-C</t>
  </si>
  <si>
    <t xml:space="preserve">FYF-rose-romanesque-C-2</t>
  </si>
  <si>
    <t xml:space="preserve">FYF-rose-romanesque-G-2</t>
  </si>
  <si>
    <t xml:space="preserve">FYF-rose-tribute-C</t>
  </si>
  <si>
    <t xml:space="preserve">FYF-roses-alstroemeria-medley-C</t>
  </si>
  <si>
    <t xml:space="preserve">FYF-roses-alstroemeria-medley-D</t>
  </si>
  <si>
    <t xml:space="preserve">FYF-roses-alstroemeria-medley-G</t>
  </si>
  <si>
    <t xml:space="preserve">FYF-roses-smiles-D</t>
  </si>
  <si>
    <t xml:space="preserve">Roses &amp; Smiles</t>
  </si>
  <si>
    <t xml:space="preserve">FYF-shades-of-pink-bouquet-C</t>
  </si>
  <si>
    <t xml:space="preserve">Shades of Pink Bouquet</t>
  </si>
  <si>
    <t xml:space="preserve">FYF-sugar-spice-C</t>
  </si>
  <si>
    <t xml:space="preserve">FYF-sugar-spice-D</t>
  </si>
  <si>
    <t xml:space="preserve">FYF-sunset-serenade-C</t>
  </si>
  <si>
    <t xml:space="preserve">FYF-sunset-serenade-D</t>
  </si>
  <si>
    <t xml:space="preserve">FYF-sunset-serenade-G</t>
  </si>
  <si>
    <t xml:space="preserve">FYF-sweet-blossoms-collection-flowers-C-2</t>
  </si>
  <si>
    <t xml:space="preserve">FYF-sweet-blossoms-collection-flowers-C-3</t>
  </si>
  <si>
    <t xml:space="preserve">FYF-sweet-blossoms-collection-flowers-G-2</t>
  </si>
  <si>
    <t xml:space="preserve">FYF-sweet-blossoms-collection-flowers-G-3</t>
  </si>
  <si>
    <t xml:space="preserve">FYF-sweet-blossoms-collection-flowers-card-C</t>
  </si>
  <si>
    <t xml:space="preserve">Sweet Blossoms Collection Flowers &amp; Card</t>
  </si>
  <si>
    <t xml:space="preserve">FYF-sweet-blossoms-collection-flowers-card-D</t>
  </si>
  <si>
    <t xml:space="preserve">FYF-sweet-blossoms-collection-flowers-card-G</t>
  </si>
  <si>
    <t xml:space="preserve">FYF-sweetheart-red-roses-in-mason-jar-6-stems-D</t>
  </si>
  <si>
    <t xml:space="preserve">FYF-sweetheart-red-roses-in-mason-jar-6-stems-G</t>
  </si>
  <si>
    <t xml:space="preserve">FYF-sweetheart-roses-18-red-C</t>
  </si>
  <si>
    <t xml:space="preserve">Sweetheart Roses : 18 Red</t>
  </si>
  <si>
    <t xml:space="preserve">FYF-sweetheart-roses-18-red-G</t>
  </si>
  <si>
    <t xml:space="preserve">FYF-sweetheart-roses-dozen-red-G</t>
  </si>
  <si>
    <t xml:space="preserve">Sweetheart Roses : Dozen Red</t>
  </si>
  <si>
    <t xml:space="preserve">FYF-sympathy-designer-collection-C</t>
  </si>
  <si>
    <t xml:space="preserve">FYF-ten-long-stemmed-red-roses-special-offer-D</t>
  </si>
  <si>
    <t xml:space="preserve">FYF-the-birthday-bundle-flowers-D</t>
  </si>
  <si>
    <t xml:space="preserve">FYF-thirty-alstroemeria-blooms-in-mason-jar-G</t>
  </si>
  <si>
    <t xml:space="preserve">FYF-three-dozen-long-stem-pink-roses-C-2</t>
  </si>
  <si>
    <t xml:space="preserve">FYF-three-dozen-long-stem-pink-roses-D-2</t>
  </si>
  <si>
    <t xml:space="preserve">FYF-three-dozen-long-stem-pink-roses-G-2</t>
  </si>
  <si>
    <t xml:space="preserve">FYF-three-dozen-long-stem-red-roses-C-2</t>
  </si>
  <si>
    <t xml:space="preserve">FYF-three-dozen-long-stem-red-roses-D-2</t>
  </si>
  <si>
    <t xml:space="preserve">FYF-timeless-red-roses-dozen-long-stemmed-D</t>
  </si>
  <si>
    <t xml:space="preserve">FYF-timeless-red-roses-dozen-long-stemmed-G</t>
  </si>
  <si>
    <t xml:space="preserve">FYF-treasures-of-tuscany-wine-gourmet-hamper-C</t>
  </si>
  <si>
    <t xml:space="preserve">Treasures Of Tuscany Wine &amp; Gourmet Hamper</t>
  </si>
  <si>
    <t xml:space="preserve">FYF-treasures-of-tuscany-wine-gourmet-hamper-D</t>
  </si>
  <si>
    <t xml:space="preserve">FYF-two-dozen-long-stem-red-roses-C-2</t>
  </si>
  <si>
    <t xml:space="preserve">FYF-two-dozen-long-stem-red-roses-D-2</t>
  </si>
  <si>
    <t xml:space="preserve">FYF-two-dozen-long-stem-red-roses-G-2</t>
  </si>
  <si>
    <t xml:space="preserve">FYF-two-dozen-long-stem-white-roses-D</t>
  </si>
  <si>
    <t xml:space="preserve">FYF-two-dozen-long-stem-white-roses-D-2</t>
  </si>
  <si>
    <t xml:space="preserve">FYF-two-dozen-long-stem-white-roses-G-2</t>
  </si>
  <si>
    <t xml:space="preserve">FYF-two-dozen-red-roses-wine-combo-blue-gum-serenade-G</t>
  </si>
  <si>
    <t xml:space="preserve">two dozen red roses &amp; wine combo — Blue Gum Serenade</t>
  </si>
  <si>
    <t xml:space="preserve">FYF-vibrant-assorted-roses-dozen-long-stemmed-C</t>
  </si>
  <si>
    <t xml:space="preserve">FYF-vibrant-assorted-roses-dozen-long-stemmed-G</t>
  </si>
  <si>
    <t xml:space="preserve">FYF-wine-gourmet-greatness-basket-G</t>
  </si>
  <si>
    <t xml:space="preserve">Wine &amp; Gourmet Greatness Basket</t>
  </si>
  <si>
    <t xml:space="preserve">FYF-your-free-gift-blue-gum-serenade-P</t>
  </si>
  <si>
    <t xml:space="preserve">GBAU-CO</t>
  </si>
  <si>
    <t xml:space="preserve">Any Budget Custom Made</t>
  </si>
  <si>
    <t xml:space="preserve">GBAU01-02</t>
  </si>
  <si>
    <t xml:space="preserve">Gourmet Temptation</t>
  </si>
  <si>
    <t xml:space="preserve">GBAU01-03</t>
  </si>
  <si>
    <t xml:space="preserve">Coffee &amp; More</t>
  </si>
  <si>
    <t xml:space="preserve">GBAU01-425</t>
  </si>
  <si>
    <t xml:space="preserve">Coffee Lovers</t>
  </si>
  <si>
    <t xml:space="preserve">GBAU01-606</t>
  </si>
  <si>
    <t xml:space="preserve">Extra Large Coffee Lover Basket</t>
  </si>
  <si>
    <t xml:space="preserve">GBAU01-607</t>
  </si>
  <si>
    <t xml:space="preserve">Coffee Sensation Basket</t>
  </si>
  <si>
    <t xml:space="preserve">GBAU01-608</t>
  </si>
  <si>
    <t xml:space="preserve">Extra Large Coffee and Chocolate Basket</t>
  </si>
  <si>
    <t xml:space="preserve">GBAU01-609</t>
  </si>
  <si>
    <t xml:space="preserve">Extra Large Coffee Sensations Basket</t>
  </si>
  <si>
    <t xml:space="preserve">GBAU01-611</t>
  </si>
  <si>
    <t xml:space="preserve">Classic Tea Basket (supersize)</t>
  </si>
  <si>
    <t xml:space="preserve">GBAU39-95-DLX</t>
  </si>
  <si>
    <t xml:space="preserve">GBAU71-11</t>
  </si>
  <si>
    <t xml:space="preserve">Divine Decadence</t>
  </si>
  <si>
    <t xml:space="preserve">GBAU71-60</t>
  </si>
  <si>
    <t xml:space="preserve">GBAU71-90</t>
  </si>
  <si>
    <t xml:space="preserve">Grand Gourmet</t>
  </si>
  <si>
    <t xml:space="preserve">GBAU71-91</t>
  </si>
  <si>
    <t xml:space="preserve">Fancy Feast</t>
  </si>
  <si>
    <t xml:space="preserve">GBAU72-71</t>
  </si>
  <si>
    <t xml:space="preserve">Classic Collection III</t>
  </si>
  <si>
    <t xml:space="preserve">GBAU72-72</t>
  </si>
  <si>
    <t xml:space="preserve">The Perfect Gift</t>
  </si>
  <si>
    <t xml:space="preserve">GBAU72-81</t>
  </si>
  <si>
    <t xml:space="preserve">Chocolate Supreme</t>
  </si>
  <si>
    <t xml:space="preserve">GBAU72-82</t>
  </si>
  <si>
    <t xml:space="preserve">Belgium Surprise</t>
  </si>
  <si>
    <t xml:space="preserve">GBAU73-03</t>
  </si>
  <si>
    <t xml:space="preserve">Rich Tastes</t>
  </si>
  <si>
    <t xml:space="preserve">GBAU73-90</t>
  </si>
  <si>
    <t xml:space="preserve">Deluxe Choice</t>
  </si>
  <si>
    <t xml:space="preserve">GBAU73-91</t>
  </si>
  <si>
    <t xml:space="preserve">Gourmet Greeting (supersize)</t>
  </si>
  <si>
    <t xml:space="preserve">GBAU75-01</t>
  </si>
  <si>
    <t xml:space="preserve">Happy Holiday Gourmet (supersize)</t>
  </si>
  <si>
    <t xml:space="preserve">GBAU75-02</t>
  </si>
  <si>
    <t xml:space="preserve">Simply the Best (supersize)</t>
  </si>
  <si>
    <t xml:space="preserve">GBAU75-03</t>
  </si>
  <si>
    <t xml:space="preserve">Gourmet Delight (deluxe)</t>
  </si>
  <si>
    <t xml:space="preserve">GBAU75-30</t>
  </si>
  <si>
    <t xml:space="preserve">Seasons Greeting</t>
  </si>
  <si>
    <t xml:space="preserve">GBAU75-51</t>
  </si>
  <si>
    <t xml:space="preserve">Perfect Indulgence</t>
  </si>
  <si>
    <t xml:space="preserve">GBAU75-60</t>
  </si>
  <si>
    <t xml:space="preserve">Gourmet Delight II</t>
  </si>
  <si>
    <t xml:space="preserve">GBAU75-61</t>
  </si>
  <si>
    <t xml:space="preserve">Deluxe Tea Assortment</t>
  </si>
  <si>
    <t xml:space="preserve">GBAU75-71</t>
  </si>
  <si>
    <t xml:space="preserve">Joy of Java</t>
  </si>
  <si>
    <t xml:space="preserve">GBAU75-80</t>
  </si>
  <si>
    <t xml:space="preserve">Readers Delight</t>
  </si>
  <si>
    <t xml:space="preserve">GBAU75-90</t>
  </si>
  <si>
    <t xml:space="preserve">Luxury Snack Basket</t>
  </si>
  <si>
    <t xml:space="preserve">GBAU75-93</t>
  </si>
  <si>
    <t xml:space="preserve">The Classic Gift</t>
  </si>
  <si>
    <t xml:space="preserve">GBAU75-93-DLX</t>
  </si>
  <si>
    <t xml:space="preserve">GBAU75-97</t>
  </si>
  <si>
    <t xml:space="preserve">Sweet Celebration Basket</t>
  </si>
  <si>
    <t xml:space="preserve">GBAU77-70</t>
  </si>
  <si>
    <t xml:space="preserve">Snack Lover Basket</t>
  </si>
  <si>
    <t xml:space="preserve">GBCA-05</t>
  </si>
  <si>
    <t xml:space="preserve">Vino &amp; Delights Hamper</t>
  </si>
  <si>
    <t xml:space="preserve">GBCA-06</t>
  </si>
  <si>
    <t xml:space="preserve">Gourmet Elegance Hamper</t>
  </si>
  <si>
    <t xml:space="preserve">GBCA-09</t>
  </si>
  <si>
    <t xml:space="preserve">Mini Love Basket Pack</t>
  </si>
  <si>
    <t xml:space="preserve">GBCGC-01</t>
  </si>
  <si>
    <t xml:space="preserve">Christmas Gourmet Collection l</t>
  </si>
  <si>
    <t xml:space="preserve">GBCGC-02</t>
  </si>
  <si>
    <t xml:space="preserve">Christmas Gourmet Collection II (supersize)</t>
  </si>
  <si>
    <t xml:space="preserve">GBCGC-03</t>
  </si>
  <si>
    <t xml:space="preserve">Christmas Gourmet Collection III</t>
  </si>
  <si>
    <t xml:space="preserve">GBHT-03</t>
  </si>
  <si>
    <t xml:space="preserve">Holiday Tradition III</t>
  </si>
  <si>
    <t xml:space="preserve">GBHT-04</t>
  </si>
  <si>
    <t xml:space="preserve">Holiday Tradition IV</t>
  </si>
  <si>
    <t xml:space="preserve">GBHT-05</t>
  </si>
  <si>
    <t xml:space="preserve">Holiday Tradition V</t>
  </si>
  <si>
    <t xml:space="preserve">GBHT-06</t>
  </si>
  <si>
    <t xml:space="preserve">Holiday Tradition VI</t>
  </si>
  <si>
    <t xml:space="preserve">GBHT-08</t>
  </si>
  <si>
    <t xml:space="preserve">Holiday Tradition VIII</t>
  </si>
  <si>
    <t xml:space="preserve">GBLD-01</t>
  </si>
  <si>
    <t xml:space="preserve">Lindt Hamper Collection I</t>
  </si>
  <si>
    <t xml:space="preserve">GBLD-03</t>
  </si>
  <si>
    <t xml:space="preserve">Lindt Hamper Collection III</t>
  </si>
  <si>
    <t xml:space="preserve">GBLD-04</t>
  </si>
  <si>
    <t xml:space="preserve">Lindt Hamper Collection IV</t>
  </si>
  <si>
    <t xml:space="preserve">GC-01-03</t>
  </si>
  <si>
    <t xml:space="preserve">GC-01-05</t>
  </si>
  <si>
    <t xml:space="preserve">Gourmet Collection Luxe (deluxe)</t>
  </si>
  <si>
    <t xml:space="preserve">GF10-07</t>
  </si>
  <si>
    <t xml:space="preserve">One Dozen Long Stem Lavender Roses</t>
  </si>
  <si>
    <t xml:space="preserve">GF10-13</t>
  </si>
  <si>
    <t xml:space="preserve">Two Dozen Long Stem Lavender Roses</t>
  </si>
  <si>
    <t xml:space="preserve">GF10-14</t>
  </si>
  <si>
    <t xml:space="preserve">Two Dozen Long Stem Pink Roses</t>
  </si>
  <si>
    <t xml:space="preserve">GF10-19</t>
  </si>
  <si>
    <t xml:space="preserve">Three Dozen Long Stemmed Orange Roses</t>
  </si>
  <si>
    <t xml:space="preserve">GF10-27</t>
  </si>
  <si>
    <t xml:space="preserve">Crimson Sunrise</t>
  </si>
  <si>
    <t xml:space="preserve">GF11-55</t>
  </si>
  <si>
    <t xml:space="preserve">One Dozen Assorted Long Stem Roses</t>
  </si>
  <si>
    <t xml:space="preserve">GF16-100-DEL</t>
  </si>
  <si>
    <t xml:space="preserve">GF16-100-PRE</t>
  </si>
  <si>
    <t xml:space="preserve">GF16-100-REG</t>
  </si>
  <si>
    <t xml:space="preserve">GF16-105NZ</t>
  </si>
  <si>
    <t xml:space="preserve">Sunset Serenade (deluxe)</t>
  </si>
  <si>
    <t xml:space="preserve">GF16-110-GRA</t>
  </si>
  <si>
    <t xml:space="preserve">GF16-110-PRE</t>
  </si>
  <si>
    <t xml:space="preserve">GF16-110-REG</t>
  </si>
  <si>
    <t xml:space="preserve">GF16-115-GRA</t>
  </si>
  <si>
    <t xml:space="preserve">GF16-115-PRE</t>
  </si>
  <si>
    <t xml:space="preserve">GF16-115-REG</t>
  </si>
  <si>
    <t xml:space="preserve">GF16-50</t>
  </si>
  <si>
    <t xml:space="preserve">GF16-82</t>
  </si>
  <si>
    <t xml:space="preserve">Just Because (deluxe)</t>
  </si>
  <si>
    <t xml:space="preserve">GF16-83</t>
  </si>
  <si>
    <t xml:space="preserve">Simply Sweet (deluxe)</t>
  </si>
  <si>
    <t xml:space="preserve">GF16-85</t>
  </si>
  <si>
    <t xml:space="preserve">Extreme Elegance</t>
  </si>
  <si>
    <t xml:space="preserve">GWC-01</t>
  </si>
  <si>
    <t xml:space="preserve">Premium Wine Collection</t>
  </si>
  <si>
    <t xml:space="preserve">HF-07</t>
  </si>
  <si>
    <t xml:space="preserve">Holiday Cheer</t>
  </si>
  <si>
    <t xml:space="preserve">HL18-02-PRE</t>
  </si>
  <si>
    <t xml:space="preserve">LF100-586-GRA</t>
  </si>
  <si>
    <t xml:space="preserve">LF100-586-REG</t>
  </si>
  <si>
    <t xml:space="preserve">LF11-53</t>
  </si>
  <si>
    <t xml:space="preserve">LF11-57</t>
  </si>
  <si>
    <t xml:space="preserve">Half Dozen Assorted Long Stem Roses</t>
  </si>
  <si>
    <t xml:space="preserve">LF17-10</t>
  </si>
  <si>
    <t xml:space="preserve">Super Snapdragons</t>
  </si>
  <si>
    <t xml:space="preserve">LF75-75</t>
  </si>
  <si>
    <t xml:space="preserve">75 Blooms Of Alstroemeria</t>
  </si>
  <si>
    <t xml:space="preserve">LF99-124</t>
  </si>
  <si>
    <t xml:space="preserve">LF99-60</t>
  </si>
  <si>
    <t xml:space="preserve">Rainbow Reflections Basket</t>
  </si>
  <si>
    <t xml:space="preserve">LF99-60-DLX</t>
  </si>
  <si>
    <t xml:space="preserve">LF99-60-SS</t>
  </si>
  <si>
    <t xml:space="preserve">MD-03-REG</t>
  </si>
  <si>
    <t xml:space="preserve">Melody Collection III</t>
  </si>
  <si>
    <t xml:space="preserve">MDA-03</t>
  </si>
  <si>
    <t xml:space="preserve">100 Peruvian Lilies Set</t>
  </si>
  <si>
    <t xml:space="preserve">MDAR-02</t>
  </si>
  <si>
    <t xml:space="preserve">Rose Special II</t>
  </si>
  <si>
    <t xml:space="preserve">MDAR-03-DLX</t>
  </si>
  <si>
    <t xml:space="preserve">MDBC-01</t>
  </si>
  <si>
    <t xml:space="preserve">Mother's Day Designer Collection I</t>
  </si>
  <si>
    <t xml:space="preserve">MDBC-03</t>
  </si>
  <si>
    <t xml:space="preserve">Mother's Day Designer Collection III</t>
  </si>
  <si>
    <t xml:space="preserve">MDDC-02</t>
  </si>
  <si>
    <t xml:space="preserve">Mothers Day Designers Collection II</t>
  </si>
  <si>
    <t xml:space="preserve">MDDC-04</t>
  </si>
  <si>
    <t xml:space="preserve">Mothers Day Designers Collection IV</t>
  </si>
  <si>
    <t xml:space="preserve">MDLR-01</t>
  </si>
  <si>
    <t xml:space="preserve">Gorgeous Lavender Roses I</t>
  </si>
  <si>
    <t xml:space="preserve">MDLR-01-DLX</t>
  </si>
  <si>
    <t xml:space="preserve">MDLR-01-PT</t>
  </si>
  <si>
    <t xml:space="preserve">MDLR-01-SS</t>
  </si>
  <si>
    <t xml:space="preserve">MDLR-03</t>
  </si>
  <si>
    <t xml:space="preserve">Mothers Day Lavender Roses III</t>
  </si>
  <si>
    <t xml:space="preserve">MDLR-05</t>
  </si>
  <si>
    <t xml:space="preserve">Mothers Day Lavender Roses V</t>
  </si>
  <si>
    <t xml:space="preserve">MDLR-06</t>
  </si>
  <si>
    <t xml:space="preserve">Mothers Day Lavender Roses VI</t>
  </si>
  <si>
    <t xml:space="preserve">MDLR-07</t>
  </si>
  <si>
    <t xml:space="preserve">Mothers Day Lavender Roses VII</t>
  </si>
  <si>
    <t xml:space="preserve">MDLR-08</t>
  </si>
  <si>
    <t xml:space="preserve">MDMJ-04-DLX</t>
  </si>
  <si>
    <t xml:space="preserve">MDMJ-04-SS</t>
  </si>
  <si>
    <t xml:space="preserve">MDPR-06B</t>
  </si>
  <si>
    <t xml:space="preserve">Half Dozen Mothers Day Roses II</t>
  </si>
  <si>
    <t xml:space="preserve">MDPR-12B</t>
  </si>
  <si>
    <t xml:space="preserve">One Dozen Mothers Day Roses II</t>
  </si>
  <si>
    <t xml:space="preserve">MDPR-12C</t>
  </si>
  <si>
    <t xml:space="preserve">One Dozen Mothers Day Roses III</t>
  </si>
  <si>
    <t xml:space="preserve">MDPR-12D</t>
  </si>
  <si>
    <t xml:space="preserve">One Dozen Mothers Day Roses IV</t>
  </si>
  <si>
    <t xml:space="preserve">MDPR-18B</t>
  </si>
  <si>
    <t xml:space="preserve">18 Mothers Day Roses II</t>
  </si>
  <si>
    <t xml:space="preserve">MDPR-18C</t>
  </si>
  <si>
    <t xml:space="preserve">18 Mothers Day Roses III</t>
  </si>
  <si>
    <t xml:space="preserve">MDPR-18D</t>
  </si>
  <si>
    <t xml:space="preserve">18 Mothers Day Roses IV</t>
  </si>
  <si>
    <t xml:space="preserve">MDPR-24A</t>
  </si>
  <si>
    <t xml:space="preserve">Two Dozen Mothers Day Roses I</t>
  </si>
  <si>
    <t xml:space="preserve">MDPR-24B</t>
  </si>
  <si>
    <t xml:space="preserve">Two Dozen Mothers Day Roses II</t>
  </si>
  <si>
    <t xml:space="preserve">MDPR-24C</t>
  </si>
  <si>
    <t xml:space="preserve">Two Dozen Mothers Day Roses III</t>
  </si>
  <si>
    <t xml:space="preserve">MDPR-24D</t>
  </si>
  <si>
    <t xml:space="preserve">Two Dozen Mothers Day Roses IV (supersize)</t>
  </si>
  <si>
    <t xml:space="preserve">MJ100-05</t>
  </si>
  <si>
    <t xml:space="preserve">MJ100-07</t>
  </si>
  <si>
    <t xml:space="preserve">Thirty Blooms Of Alstroemeria In Mason Jar</t>
  </si>
  <si>
    <t xml:space="preserve">MJ100-10</t>
  </si>
  <si>
    <t xml:space="preserve">Sweet Summer In Mason Jar</t>
  </si>
  <si>
    <t xml:space="preserve">MJ100-118-DEL</t>
  </si>
  <si>
    <t xml:space="preserve">MJ100-118-GRA</t>
  </si>
  <si>
    <t xml:space="preserve">MJ100-118-PRE</t>
  </si>
  <si>
    <t xml:space="preserve">MJ100-17-DEL</t>
  </si>
  <si>
    <t xml:space="preserve">MJ100-17-GRA</t>
  </si>
  <si>
    <t xml:space="preserve">MJ100-17-PRE</t>
  </si>
  <si>
    <t xml:space="preserve">MJ100-17-REG</t>
  </si>
  <si>
    <t xml:space="preserve">MJ100-24-REG</t>
  </si>
  <si>
    <t xml:space="preserve">MJ100-48</t>
  </si>
  <si>
    <t xml:space="preserve">Gerbera Daisies in a Mason Jar</t>
  </si>
  <si>
    <t xml:space="preserve">MJ17-10BNZ</t>
  </si>
  <si>
    <t xml:space="preserve">Super Snapdragons In Mason Jar</t>
  </si>
  <si>
    <t xml:space="preserve">MJ22-10BNZ-SS</t>
  </si>
  <si>
    <t xml:space="preserve">Shades Of Pink In Mason Jar</t>
  </si>
  <si>
    <t xml:space="preserve">MJ51-41</t>
  </si>
  <si>
    <t xml:space="preserve">MJ99-08-SS</t>
  </si>
  <si>
    <t xml:space="preserve">50 Blooms of Holiday Alstroemeria in Mason Jar</t>
  </si>
  <si>
    <t xml:space="preserve">NP01-GRA</t>
  </si>
  <si>
    <t xml:space="preserve">OR100-01</t>
  </si>
  <si>
    <t xml:space="preserve">100 Blooms of Orchids I</t>
  </si>
  <si>
    <t xml:space="preserve">OR100-03</t>
  </si>
  <si>
    <t xml:space="preserve">100 Blooms of Orchids III</t>
  </si>
  <si>
    <t xml:space="preserve">PGBOX01</t>
  </si>
  <si>
    <t xml:space="preserve">Gourmet Delight Gift Box</t>
  </si>
  <si>
    <t xml:space="preserve">PGBOX02</t>
  </si>
  <si>
    <t xml:space="preserve">Lindt Sampler Gift Box</t>
  </si>
  <si>
    <t xml:space="preserve">PGBOX04</t>
  </si>
  <si>
    <t xml:space="preserve">Cheese &amp; Crackers Gift Box</t>
  </si>
  <si>
    <t xml:space="preserve">PGBOX06</t>
  </si>
  <si>
    <t xml:space="preserve">Fruit &amp; Bubbly Gift Box</t>
  </si>
  <si>
    <t xml:space="preserve">PGBOX07</t>
  </si>
  <si>
    <t xml:space="preserve">Fruit &amp; White Wine Gift Box</t>
  </si>
  <si>
    <t xml:space="preserve">PGBOX08</t>
  </si>
  <si>
    <t xml:space="preserve">Fruit &amp; Red Wine Gift Box</t>
  </si>
  <si>
    <t xml:space="preserve">PGBOX09</t>
  </si>
  <si>
    <t xml:space="preserve">White Wine Cheese &amp; Crackers Gift Box</t>
  </si>
  <si>
    <t xml:space="preserve">PGBOX10</t>
  </si>
  <si>
    <t xml:space="preserve">Lindt &amp; Bubbly Gift Box</t>
  </si>
  <si>
    <t xml:space="preserve">PLA-02</t>
  </si>
  <si>
    <t xml:space="preserve">PLA-02-GRA</t>
  </si>
  <si>
    <t xml:space="preserve">PLA-03-GRA</t>
  </si>
  <si>
    <t xml:space="preserve">18 Assorted Roses Special</t>
  </si>
  <si>
    <t xml:space="preserve">PLA-03-PRE</t>
  </si>
  <si>
    <t xml:space="preserve">PT-03-GRA</t>
  </si>
  <si>
    <t xml:space="preserve">PT-04-DEL</t>
  </si>
  <si>
    <t xml:space="preserve">Deluxe Protea Gift Package</t>
  </si>
  <si>
    <t xml:space="preserve">RBC-02C-DLX</t>
  </si>
  <si>
    <t xml:space="preserve">RDC-01</t>
  </si>
  <si>
    <t xml:space="preserve">Rainbow Daisy Collection I</t>
  </si>
  <si>
    <t xml:space="preserve">RDC-01-REG</t>
  </si>
  <si>
    <t xml:space="preserve">RDC-02-DEL</t>
  </si>
  <si>
    <t xml:space="preserve">RDC-02-REG</t>
  </si>
  <si>
    <t xml:space="preserve">RDC-03-REG</t>
  </si>
  <si>
    <t xml:space="preserve">Rainbow Daisy Collection III</t>
  </si>
  <si>
    <t xml:space="preserve">RDC-04</t>
  </si>
  <si>
    <t xml:space="preserve">Rainbow Daisy Collection IV</t>
  </si>
  <si>
    <t xml:space="preserve">RDC-04-DEL</t>
  </si>
  <si>
    <t xml:space="preserve">RDC-04-GRA</t>
  </si>
  <si>
    <t xml:space="preserve">RDC-04-REG</t>
  </si>
  <si>
    <t xml:space="preserve">RP-06</t>
  </si>
  <si>
    <t xml:space="preserve">Full Size Christmas Card</t>
  </si>
  <si>
    <t xml:space="preserve">RP-73</t>
  </si>
  <si>
    <t xml:space="preserve">Milk Chocolate Seashells</t>
  </si>
  <si>
    <t xml:space="preserve">RP02-30sp</t>
  </si>
  <si>
    <t xml:space="preserve">Belgian Truffles and Vase</t>
  </si>
  <si>
    <t xml:space="preserve">RP06S</t>
  </si>
  <si>
    <t xml:space="preserve">RP19SUB</t>
  </si>
  <si>
    <t xml:space="preserve">RRB-01-DEL</t>
  </si>
  <si>
    <t xml:space="preserve">18 Red Roses, Card &amp; Teddy</t>
  </si>
  <si>
    <t xml:space="preserve">RRB-01-REG</t>
  </si>
  <si>
    <t xml:space="preserve">RRB-03</t>
  </si>
  <si>
    <t xml:space="preserve">RRB-03-GRA</t>
  </si>
  <si>
    <t xml:space="preserve">RRB-03-PRE</t>
  </si>
  <si>
    <t xml:space="preserve">SB-01MJ-SS</t>
  </si>
  <si>
    <t xml:space="preserve">SB-02-REG</t>
  </si>
  <si>
    <t xml:space="preserve">SB-03-DEL</t>
  </si>
  <si>
    <t xml:space="preserve">SB-03-REG</t>
  </si>
  <si>
    <t xml:space="preserve">SB-04-REG</t>
  </si>
  <si>
    <t xml:space="preserve">SHR-03</t>
  </si>
  <si>
    <t xml:space="preserve">Sweetheart Roses III</t>
  </si>
  <si>
    <t xml:space="preserve">SLCF-03-DEL</t>
  </si>
  <si>
    <t xml:space="preserve">SPR-20</t>
  </si>
  <si>
    <t xml:space="preserve">Red Spray Rose Special</t>
  </si>
  <si>
    <t xml:space="preserve">SPR-21-GRA</t>
  </si>
  <si>
    <t xml:space="preserve">SW-02-DEL</t>
  </si>
  <si>
    <t xml:space="preserve">WBAU10-03</t>
  </si>
  <si>
    <t xml:space="preserve">Wine Duo Basket</t>
  </si>
  <si>
    <t xml:space="preserve">WBAU10-04</t>
  </si>
  <si>
    <t xml:space="preserve">White Wine Gourmet</t>
  </si>
  <si>
    <t xml:space="preserve">WBAU10-05</t>
  </si>
  <si>
    <t xml:space="preserve">Red Wine Gourmet</t>
  </si>
  <si>
    <t xml:space="preserve">WBAU10-07</t>
  </si>
  <si>
    <t xml:space="preserve">White Wine Finesse (deluxe)</t>
  </si>
  <si>
    <t xml:space="preserve">WBAU10-08</t>
  </si>
  <si>
    <t xml:space="preserve">Premium Red Wine Basket</t>
  </si>
  <si>
    <t xml:space="preserve">WBLD-BB</t>
  </si>
  <si>
    <t xml:space="preserve">Lindt &amp; Bubbly</t>
  </si>
  <si>
    <t xml:space="preserve">WBLD-RW</t>
  </si>
  <si>
    <t xml:space="preserve">Lindt &amp; Red (supersize)</t>
  </si>
  <si>
    <t xml:space="preserve">WBLD-RW-VW</t>
  </si>
  <si>
    <t xml:space="preserve">Lindt &amp; Shiraz Gift Basket</t>
  </si>
  <si>
    <t xml:space="preserve">WBLD-WW-VW</t>
  </si>
  <si>
    <t xml:space="preserve">Lindt &amp; Chardonnay Basket</t>
  </si>
  <si>
    <t xml:space="preserve">WC20-04-REG</t>
  </si>
  <si>
    <t xml:space="preserve">XX-03</t>
  </si>
  <si>
    <t xml:space="preserve">Free Clear Glass Vase</t>
  </si>
  <si>
    <t xml:space="preserve">fBAU75-01-DLX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</si>
</sst>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;&quot;($&quot;#,##0\);\-"/>
    <numFmt numFmtId="166" formatCode="0.00%"/>
    <numFmt numFmtId="167" formatCode="0"/>
    <numFmt numFmtId="168" formatCode="0.0%"/>
    <numFmt numFmtId="169" formatCode="General"/>
    <numFmt numFmtId="170" formatCode="#,##0;\(#,##0\);\-"/>
    <numFmt numFmtId="171" formatCode="\$#,##0"/>
    <numFmt numFmtId="172" formatCode="#,##0"/>
    <numFmt numFmtId="173" formatCode="0%"/>
    <numFmt numFmtId="174" formatCode="0.0\x"/>
    <numFmt numFmtId="175" formatCode="0.0"/>
    <numFmt numFmtId="176" formatCode="0.00"/>
    <numFmt numFmtId="177" formatCode="0.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D0D5D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E67E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2F4F7"/>
        <bgColor rgb="FFF9F9F9"/>
      </patternFill>
    </fill>
    <fill>
      <patternFill patternType="solid">
        <fgColor rgb="FFFFF9DB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8">
    <dxf>
      <fill>
        <patternFill>
          <bgColor rgb="FFF4B6B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6B0"/>
          <bgColor rgb="FF000000"/>
        </patternFill>
      </fill>
    </dxf>
    <dxf>
      <fill>
        <patternFill patternType="solid">
          <fgColor rgb="FFFCE4B6"/>
          <bgColor rgb="FF000000"/>
        </patternFill>
      </fill>
    </dxf>
    <dxf>
      <fill>
        <patternFill patternType="solid">
          <fgColor rgb="FFF08A80"/>
          <bgColor rgb="FF000000"/>
        </patternFill>
      </fill>
    </dxf>
    <dxf>
      <fill>
        <patternFill patternType="solid">
          <fgColor rgb="FFF18E84"/>
          <bgColor rgb="FF000000"/>
        </patternFill>
      </fill>
    </dxf>
    <dxf>
      <fill>
        <patternFill patternType="solid">
          <fgColor rgb="FFF18F85"/>
          <bgColor rgb="FF000000"/>
        </patternFill>
      </fill>
    </dxf>
    <dxf>
      <fill>
        <patternFill patternType="solid">
          <fgColor rgb="FFF2938A"/>
          <bgColor rgb="FF000000"/>
        </patternFill>
      </fill>
    </dxf>
    <dxf>
      <fill>
        <patternFill patternType="solid">
          <fgColor rgb="FFF39F97"/>
          <bgColor rgb="FF000000"/>
        </patternFill>
      </fill>
    </dxf>
    <dxf>
      <fill>
        <patternFill patternType="solid">
          <fgColor rgb="FFF4A49D"/>
          <bgColor rgb="FF000000"/>
        </patternFill>
      </fill>
    </dxf>
    <dxf>
      <fill>
        <patternFill patternType="solid">
          <fgColor rgb="FFF5ACA5"/>
          <bgColor rgb="FF000000"/>
        </patternFill>
      </fill>
    </dxf>
    <dxf>
      <fill>
        <patternFill patternType="solid">
          <fgColor rgb="FFF5ADA6"/>
          <bgColor rgb="FF000000"/>
        </patternFill>
      </fill>
    </dxf>
    <dxf>
      <fill>
        <patternFill patternType="solid">
          <fgColor rgb="FFF6B5AF"/>
          <bgColor rgb="FF000000"/>
        </patternFill>
      </fill>
    </dxf>
    <dxf>
      <fill>
        <patternFill patternType="solid">
          <fgColor rgb="FFF6B6B0"/>
          <bgColor rgb="FF000000"/>
        </patternFill>
      </fill>
    </dxf>
    <dxf>
      <fill>
        <patternFill patternType="solid">
          <fgColor rgb="FFF6B7B0"/>
          <bgColor rgb="FF000000"/>
        </patternFill>
      </fill>
    </dxf>
    <dxf>
      <fill>
        <patternFill patternType="solid">
          <fgColor rgb="FFF6B9B3"/>
          <bgColor rgb="FF000000"/>
        </patternFill>
      </fill>
    </dxf>
    <dxf>
      <fill>
        <patternFill patternType="solid">
          <fgColor rgb="FFF7BCB6"/>
          <bgColor rgb="FF000000"/>
        </patternFill>
      </fill>
    </dxf>
    <dxf>
      <fill>
        <patternFill patternType="solid">
          <fgColor rgb="FFF7BDB7"/>
          <bgColor rgb="FF000000"/>
        </patternFill>
      </fill>
    </dxf>
    <dxf>
      <fill>
        <patternFill patternType="solid">
          <fgColor rgb="FFF7BFBA"/>
          <bgColor rgb="FF000000"/>
        </patternFill>
      </fill>
    </dxf>
    <dxf>
      <fill>
        <patternFill patternType="solid">
          <fgColor rgb="FFF7C1BB"/>
          <bgColor rgb="FF000000"/>
        </patternFill>
      </fill>
    </dxf>
    <dxf>
      <fill>
        <patternFill patternType="solid">
          <fgColor rgb="FFF8C5C0"/>
          <bgColor rgb="FF000000"/>
        </patternFill>
      </fill>
    </dxf>
    <dxf>
      <fill>
        <patternFill patternType="solid">
          <fgColor rgb="FFF8C6C1"/>
          <bgColor rgb="FF000000"/>
        </patternFill>
      </fill>
    </dxf>
    <dxf>
      <fill>
        <patternFill patternType="solid">
          <fgColor rgb="FFF8C7C2"/>
          <bgColor rgb="FF000000"/>
        </patternFill>
      </fill>
    </dxf>
    <dxf>
      <fill>
        <patternFill patternType="solid">
          <fgColor rgb="FFF9CCC8"/>
          <bgColor rgb="FF000000"/>
        </patternFill>
      </fill>
    </dxf>
    <dxf>
      <fill>
        <patternFill patternType="solid">
          <fgColor rgb="FFF9CECA"/>
          <bgColor rgb="FF000000"/>
        </patternFill>
      </fill>
    </dxf>
    <dxf>
      <fill>
        <patternFill patternType="solid">
          <fgColor rgb="FFF9CFCB"/>
          <bgColor rgb="FF000000"/>
        </patternFill>
      </fill>
    </dxf>
    <dxf>
      <fill>
        <patternFill patternType="solid">
          <fgColor rgb="FFF9D0CC"/>
          <bgColor rgb="FF000000"/>
        </patternFill>
      </fill>
    </dxf>
    <dxf>
      <fill>
        <patternFill patternType="solid">
          <fgColor rgb="FFFAD4D0"/>
          <bgColor rgb="FF000000"/>
        </patternFill>
      </fill>
    </dxf>
    <dxf>
      <fill>
        <patternFill patternType="solid">
          <fgColor rgb="FFFAD5D1"/>
          <bgColor rgb="FF000000"/>
        </patternFill>
      </fill>
    </dxf>
    <dxf>
      <fill>
        <patternFill patternType="solid">
          <fgColor rgb="FFFAD6D2"/>
          <bgColor rgb="FF000000"/>
        </patternFill>
      </fill>
    </dxf>
    <dxf>
      <fill>
        <patternFill patternType="solid">
          <fgColor rgb="FFFAD6D3"/>
          <bgColor rgb="FF000000"/>
        </patternFill>
      </fill>
    </dxf>
    <dxf>
      <fill>
        <patternFill patternType="solid">
          <fgColor rgb="FFFAD7D4"/>
          <bgColor rgb="FF000000"/>
        </patternFill>
      </fill>
    </dxf>
    <dxf>
      <fill>
        <patternFill patternType="solid">
          <fgColor rgb="FFFAD8D5"/>
          <bgColor rgb="FF000000"/>
        </patternFill>
      </fill>
    </dxf>
    <dxf>
      <fill>
        <patternFill patternType="solid">
          <fgColor rgb="FFFBD9D6"/>
          <bgColor rgb="FF000000"/>
        </patternFill>
      </fill>
    </dxf>
    <dxf>
      <fill>
        <patternFill patternType="solid">
          <fgColor rgb="FFFBDAD6"/>
          <bgColor rgb="FF000000"/>
        </patternFill>
      </fill>
    </dxf>
    <dxf>
      <fill>
        <patternFill patternType="solid">
          <fgColor rgb="FFFBDAD7"/>
          <bgColor rgb="FF000000"/>
        </patternFill>
      </fill>
    </dxf>
    <dxf>
      <fill>
        <patternFill patternType="solid">
          <fgColor rgb="FFFBDBD8"/>
          <bgColor rgb="FF000000"/>
        </patternFill>
      </fill>
    </dxf>
    <dxf>
      <fill>
        <patternFill patternType="solid">
          <fgColor rgb="FFFBDEDB"/>
          <bgColor rgb="FF000000"/>
        </patternFill>
      </fill>
    </dxf>
    <dxf>
      <fill>
        <patternFill patternType="solid">
          <fgColor rgb="FFFBDFDC"/>
          <bgColor rgb="FF000000"/>
        </patternFill>
      </fill>
    </dxf>
    <dxf>
      <fill>
        <patternFill patternType="solid">
          <fgColor rgb="FFFCE0DE"/>
          <bgColor rgb="FF000000"/>
        </patternFill>
      </fill>
    </dxf>
    <dxf>
      <fill>
        <patternFill patternType="solid">
          <fgColor rgb="FFFCE1DE"/>
          <bgColor rgb="FF000000"/>
        </patternFill>
      </fill>
    </dxf>
    <dxf>
      <fill>
        <patternFill patternType="solid">
          <fgColor rgb="FFFCE1DF"/>
          <bgColor rgb="FF000000"/>
        </patternFill>
      </fill>
    </dxf>
    <dxf>
      <fill>
        <patternFill patternType="solid">
          <fgColor rgb="FFFCE2DF"/>
          <bgColor rgb="FF000000"/>
        </patternFill>
      </fill>
    </dxf>
    <dxf>
      <fill>
        <patternFill patternType="solid">
          <fgColor rgb="FFFCE2E0"/>
          <bgColor rgb="FF000000"/>
        </patternFill>
      </fill>
    </dxf>
    <dxf>
      <fill>
        <patternFill patternType="solid">
          <fgColor rgb="FFFCE3E0"/>
          <bgColor rgb="FF000000"/>
        </patternFill>
      </fill>
    </dxf>
    <dxf>
      <fill>
        <patternFill patternType="solid">
          <fgColor rgb="FFFCE3E1"/>
          <bgColor rgb="FF000000"/>
        </patternFill>
      </fill>
    </dxf>
    <dxf>
      <fill>
        <patternFill patternType="solid">
          <fgColor rgb="FFFCE4E2"/>
          <bgColor rgb="FF000000"/>
        </patternFill>
      </fill>
    </dxf>
    <dxf>
      <fill>
        <patternFill patternType="solid">
          <fgColor rgb="FFFCE5E3"/>
          <bgColor rgb="FF000000"/>
        </patternFill>
      </fill>
    </dxf>
    <dxf>
      <fill>
        <patternFill patternType="solid">
          <fgColor rgb="FFFCE6E4"/>
          <bgColor rgb="FF000000"/>
        </patternFill>
      </fill>
    </dxf>
    <dxf>
      <fill>
        <patternFill patternType="solid">
          <fgColor rgb="FFFCE7E4"/>
          <bgColor rgb="FF000000"/>
        </patternFill>
      </fill>
    </dxf>
    <dxf>
      <fill>
        <patternFill patternType="solid">
          <fgColor rgb="FFFCE7E5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FDE8E6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fgColor rgb="FFFDEAE8"/>
          <bgColor rgb="FF000000"/>
        </patternFill>
      </fill>
    </dxf>
    <dxf>
      <fill>
        <patternFill patternType="solid">
          <fgColor rgb="FFFDEBE9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DEDEB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EF0EF"/>
          <bgColor rgb="FF000000"/>
        </patternFill>
      </fill>
    </dxf>
    <dxf>
      <fill>
        <patternFill patternType="solid">
          <fgColor rgb="FFFEF1F0"/>
          <bgColor rgb="FF000000"/>
        </patternFill>
      </fill>
    </dxf>
    <dxf>
      <fill>
        <patternFill patternType="solid">
          <fgColor rgb="FFFEF2F1"/>
          <bgColor rgb="FF000000"/>
        </patternFill>
      </fill>
    </dxf>
    <dxf>
      <fill>
        <patternFill patternType="solid">
          <fgColor rgb="FFFEF4F3"/>
          <bgColor rgb="FF000000"/>
        </patternFill>
      </fill>
    </dxf>
    <dxf>
      <fill>
        <patternFill patternType="solid">
          <fgColor rgb="FFFEF5F4"/>
          <bgColor rgb="FF000000"/>
        </patternFill>
      </fill>
    </dxf>
    <dxf>
      <fill>
        <patternFill patternType="solid">
          <fgColor rgb="FFFEF7F6"/>
          <bgColor rgb="FF000000"/>
        </patternFill>
      </fill>
    </dxf>
    <dxf>
      <fill>
        <patternFill patternType="solid">
          <fgColor rgb="FFF2958C"/>
          <bgColor rgb="FF000000"/>
        </patternFill>
      </fill>
    </dxf>
    <dxf>
      <fill>
        <patternFill patternType="solid">
          <fgColor rgb="FFF2968D"/>
          <bgColor rgb="FF000000"/>
        </patternFill>
      </fill>
    </dxf>
    <dxf>
      <fill>
        <patternFill patternType="solid">
          <fgColor rgb="FFF2978E"/>
          <bgColor rgb="FF000000"/>
        </patternFill>
      </fill>
    </dxf>
    <dxf>
      <fill>
        <patternFill patternType="solid">
          <fgColor rgb="FFF2978F"/>
          <bgColor rgb="FF000000"/>
        </patternFill>
      </fill>
    </dxf>
    <dxf>
      <fill>
        <patternFill patternType="solid">
          <fgColor rgb="FFF39B92"/>
          <bgColor rgb="FF000000"/>
        </patternFill>
      </fill>
    </dxf>
    <dxf>
      <fill>
        <patternFill patternType="solid">
          <fgColor rgb="FFF3A199"/>
          <bgColor rgb="FF000000"/>
        </patternFill>
      </fill>
    </dxf>
    <dxf>
      <fill>
        <patternFill patternType="solid">
          <fgColor rgb="FFF4A49C"/>
          <bgColor rgb="FF000000"/>
        </patternFill>
      </fill>
    </dxf>
    <dxf>
      <fill>
        <patternFill patternType="solid">
          <fgColor rgb="FFF4A69E"/>
          <bgColor rgb="FF000000"/>
        </patternFill>
      </fill>
    </dxf>
    <dxf>
      <fill>
        <patternFill patternType="solid">
          <fgColor rgb="FFF5AEA7"/>
          <bgColor rgb="FF000000"/>
        </patternFill>
      </fill>
    </dxf>
    <dxf>
      <fill>
        <patternFill patternType="solid">
          <fgColor rgb="FFF5AFA9"/>
          <bgColor rgb="FF000000"/>
        </patternFill>
      </fill>
    </dxf>
    <dxf>
      <fill>
        <patternFill patternType="solid">
          <fgColor rgb="FFF6B7B1"/>
          <bgColor rgb="FF000000"/>
        </patternFill>
      </fill>
    </dxf>
    <dxf>
      <fill>
        <patternFill patternType="solid">
          <fgColor rgb="FFF7BAB4"/>
          <bgColor rgb="FF000000"/>
        </patternFill>
      </fill>
    </dxf>
    <dxf>
      <fill>
        <patternFill patternType="solid">
          <fgColor rgb="FFF7BBB5"/>
          <bgColor rgb="FF000000"/>
        </patternFill>
      </fill>
    </dxf>
    <dxf>
      <fill>
        <patternFill patternType="solid">
          <fgColor rgb="FFF7BBB6"/>
          <bgColor rgb="FF000000"/>
        </patternFill>
      </fill>
    </dxf>
    <dxf>
      <fill>
        <patternFill patternType="solid">
          <fgColor rgb="FFF8C1BC"/>
          <bgColor rgb="FF000000"/>
        </patternFill>
      </fill>
    </dxf>
    <dxf>
      <fill>
        <patternFill patternType="solid">
          <fgColor rgb="FFF8C2BD"/>
          <bgColor rgb="FF000000"/>
        </patternFill>
      </fill>
    </dxf>
    <dxf>
      <fill>
        <patternFill patternType="solid">
          <fgColor rgb="FFF8C3BE"/>
          <bgColor rgb="FF000000"/>
        </patternFill>
      </fill>
    </dxf>
    <dxf>
      <fill>
        <patternFill patternType="solid">
          <fgColor rgb="FFF8C4BE"/>
          <bgColor rgb="FF000000"/>
        </patternFill>
      </fill>
    </dxf>
    <dxf>
      <fill>
        <patternFill patternType="solid">
          <fgColor rgb="FFF8C8C4"/>
          <bgColor rgb="FF000000"/>
        </patternFill>
      </fill>
    </dxf>
    <dxf>
      <fill>
        <patternFill patternType="solid">
          <fgColor rgb="FFF9CAC5"/>
          <bgColor rgb="FF000000"/>
        </patternFill>
      </fill>
    </dxf>
    <dxf>
      <fill>
        <patternFill patternType="solid">
          <fgColor rgb="FFF9CAC6"/>
          <bgColor rgb="FF000000"/>
        </patternFill>
      </fill>
    </dxf>
    <dxf>
      <fill>
        <patternFill patternType="solid">
          <fgColor rgb="FFF9CBC6"/>
          <bgColor rgb="FF000000"/>
        </patternFill>
      </fill>
    </dxf>
    <dxf>
      <fill>
        <patternFill patternType="solid">
          <fgColor rgb="FFF9CDC8"/>
          <bgColor rgb="FF000000"/>
        </patternFill>
      </fill>
    </dxf>
    <dxf>
      <fill>
        <patternFill patternType="solid">
          <fgColor rgb="FFFAD1CD"/>
          <bgColor rgb="FF000000"/>
        </patternFill>
      </fill>
    </dxf>
    <dxf>
      <fill>
        <patternFill patternType="solid">
          <fgColor rgb="FFFAD2CE"/>
          <bgColor rgb="FF000000"/>
        </patternFill>
      </fill>
    </dxf>
    <dxf>
      <fill>
        <patternFill patternType="solid">
          <fgColor rgb="FFFAD4D1"/>
          <bgColor rgb="FF000000"/>
        </patternFill>
      </fill>
    </dxf>
    <dxf>
      <fill>
        <patternFill patternType="solid">
          <fgColor rgb="FFFAD7D3"/>
          <bgColor rgb="FF000000"/>
        </patternFill>
      </fill>
    </dxf>
    <dxf>
      <fill>
        <patternFill patternType="solid">
          <fgColor rgb="FFFAD8D4"/>
          <bgColor rgb="FF000000"/>
        </patternFill>
      </fill>
    </dxf>
    <dxf>
      <fill>
        <patternFill patternType="solid">
          <fgColor rgb="FFFBDCD9"/>
          <bgColor rgb="FF000000"/>
        </patternFill>
      </fill>
    </dxf>
    <dxf>
      <fill>
        <patternFill patternType="solid">
          <fgColor rgb="FFFBDDDA"/>
          <bgColor rgb="FF000000"/>
        </patternFill>
      </fill>
    </dxf>
    <dxf>
      <fill>
        <patternFill patternType="solid">
          <fgColor rgb="FFFBDEDC"/>
          <bgColor rgb="FF000000"/>
        </patternFill>
      </fill>
    </dxf>
    <dxf>
      <fill>
        <patternFill patternType="solid">
          <fgColor rgb="FFFBDFDD"/>
          <bgColor rgb="FF000000"/>
        </patternFill>
      </fill>
    </dxf>
    <dxf>
      <fill>
        <patternFill patternType="solid">
          <fgColor rgb="FFFBE0DD"/>
          <bgColor rgb="FF000000"/>
        </patternFill>
      </fill>
    </dxf>
    <dxf>
      <fill>
        <patternFill patternType="solid">
          <fgColor rgb="FFFCE5E2"/>
          <bgColor rgb="FF000000"/>
        </patternFill>
      </fill>
    </dxf>
    <dxf>
      <fill>
        <patternFill patternType="solid">
          <fgColor rgb="FFFDEE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name val="Arial"/>
        <charset val="1"/>
        <family val="0"/>
        <b val="1"/>
        <sz val="9"/>
      </font>
      <fill>
        <patternFill>
          <bgColor rgb="FFF4B6B0"/>
        </patternFill>
      </fill>
    </dxf>
    <dxf>
      <fill>
        <patternFill>
          <bgColor rgb="FFFCE4B6"/>
        </patternFill>
      </fill>
    </dxf>
    <dxf>
      <fill>
        <patternFill>
          <bgColor rgb="FFFFF6CC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8CBAD"/>
        </patternFill>
      </fill>
    </dxf>
    <dxf>
      <fill>
        <patternFill>
          <bgColor rgb="FFC8E6C9"/>
        </patternFill>
      </fill>
    </dxf>
    <dxf>
      <fill>
        <patternFill>
          <bgColor rgb="FFE3EFD9"/>
        </patternFill>
      </fill>
    </dxf>
    <dxf>
      <fill>
        <patternFill patternType="solid">
          <fgColor rgb="FFF4A6A0"/>
          <bgColor rgb="FF000000"/>
        </patternFill>
      </fill>
    </dxf>
    <dxf>
      <fill>
        <patternFill patternType="solid">
          <fgColor rgb="FFF5A8A2"/>
          <bgColor rgb="FF000000"/>
        </patternFill>
      </fill>
    </dxf>
    <dxf>
      <fill>
        <patternFill patternType="solid">
          <fgColor rgb="FFF5A9A3"/>
          <bgColor rgb="FF000000"/>
        </patternFill>
      </fill>
    </dxf>
    <dxf>
      <fill>
        <patternFill patternType="solid">
          <fgColor rgb="FFF5ABA6"/>
          <bgColor rgb="FF000000"/>
        </patternFill>
      </fill>
    </dxf>
    <dxf>
      <fill>
        <patternFill patternType="solid">
          <fgColor rgb="FFF5ADA8"/>
          <bgColor rgb="FF000000"/>
        </patternFill>
      </fill>
    </dxf>
    <dxf>
      <fill>
        <patternFill patternType="solid">
          <fgColor rgb="FFF6B0AB"/>
          <bgColor rgb="FF000000"/>
        </patternFill>
      </fill>
    </dxf>
    <dxf>
      <fill>
        <patternFill patternType="solid">
          <fgColor rgb="FFF6B1AC"/>
          <bgColor rgb="FF000000"/>
        </patternFill>
      </fill>
    </dxf>
    <dxf>
      <fill>
        <patternFill patternType="solid">
          <fgColor rgb="FFF6B2AD"/>
          <bgColor rgb="FF000000"/>
        </patternFill>
      </fill>
    </dxf>
    <dxf>
      <fill>
        <patternFill patternType="solid">
          <fgColor rgb="FFF6B3AE"/>
          <bgColor rgb="FF000000"/>
        </patternFill>
      </fill>
    </dxf>
    <dxf>
      <fill>
        <patternFill patternType="solid">
          <fgColor rgb="FFF6B5B0"/>
          <bgColor rgb="FF000000"/>
        </patternFill>
      </fill>
    </dxf>
    <dxf>
      <fill>
        <patternFill patternType="solid">
          <fgColor rgb="FFF7B7B2"/>
          <bgColor rgb="FF000000"/>
        </patternFill>
      </fill>
    </dxf>
    <dxf>
      <fill>
        <patternFill patternType="solid">
          <fgColor rgb="FFF7B8B3"/>
          <bgColor rgb="FF000000"/>
        </patternFill>
      </fill>
    </dxf>
    <dxf>
      <fill>
        <patternFill patternType="solid">
          <fgColor rgb="FFF7B9B4"/>
          <bgColor rgb="FF000000"/>
        </patternFill>
      </fill>
    </dxf>
    <dxf>
      <fill>
        <patternFill patternType="solid">
          <fgColor rgb="FFF7BAB5"/>
          <bgColor rgb="FF000000"/>
        </patternFill>
      </fill>
    </dxf>
    <dxf>
      <fill>
        <patternFill patternType="solid">
          <fgColor rgb="FFF7BCB8"/>
          <bgColor rgb="FF000000"/>
        </patternFill>
      </fill>
    </dxf>
    <dxf>
      <fill>
        <patternFill patternType="solid">
          <fgColor rgb="FFF8BFBA"/>
          <bgColor rgb="FF000000"/>
        </patternFill>
      </fill>
    </dxf>
    <dxf>
      <fill>
        <patternFill patternType="solid">
          <fgColor rgb="FFF8BFBB"/>
          <bgColor rgb="FF000000"/>
        </patternFill>
      </fill>
    </dxf>
    <dxf>
      <fill>
        <patternFill patternType="solid">
          <fgColor rgb="FFF8C0BB"/>
          <bgColor rgb="FF000000"/>
        </patternFill>
      </fill>
    </dxf>
    <dxf>
      <fill>
        <patternFill patternType="solid">
          <fgColor rgb="FFF8C1BD"/>
          <bgColor rgb="FF000000"/>
        </patternFill>
      </fill>
    </dxf>
    <dxf>
      <fill>
        <patternFill patternType="solid">
          <fgColor rgb="FFF8C2BE"/>
          <bgColor rgb="FF000000"/>
        </patternFill>
      </fill>
    </dxf>
    <dxf>
      <fill>
        <patternFill patternType="solid">
          <fgColor rgb="FFF8C3BF"/>
          <bgColor rgb="FF000000"/>
        </patternFill>
      </fill>
    </dxf>
    <dxf>
      <fill>
        <patternFill patternType="solid">
          <fgColor rgb="FFF8C4C0"/>
          <bgColor rgb="FF000000"/>
        </patternFill>
      </fill>
    </dxf>
    <dxf>
      <fill>
        <patternFill patternType="solid">
          <fgColor rgb="FFF8C5C1"/>
          <bgColor rgb="FF000000"/>
        </patternFill>
      </fill>
    </dxf>
    <dxf>
      <fill>
        <patternFill patternType="solid">
          <fgColor rgb="FFF8C6C3"/>
          <bgColor rgb="FF000000"/>
        </patternFill>
      </fill>
    </dxf>
    <dxf>
      <fill>
        <patternFill patternType="solid">
          <fgColor rgb="FFF9C8C4"/>
          <bgColor rgb="FF000000"/>
        </patternFill>
      </fill>
    </dxf>
    <dxf>
      <fill>
        <patternFill patternType="solid">
          <fgColor rgb="FFF9C9C5"/>
          <bgColor rgb="FF000000"/>
        </patternFill>
      </fill>
    </dxf>
    <dxf>
      <fill>
        <patternFill patternType="solid">
          <fgColor rgb="FFF9CBC7"/>
          <bgColor rgb="FF000000"/>
        </patternFill>
      </fill>
    </dxf>
    <dxf>
      <fill>
        <patternFill patternType="solid">
          <fgColor rgb="FFF9CCC9"/>
          <bgColor rgb="FF000000"/>
        </patternFill>
      </fill>
    </dxf>
    <dxf>
      <fill>
        <patternFill patternType="solid">
          <fgColor rgb="FFF9CDCA"/>
          <bgColor rgb="FF000000"/>
        </patternFill>
      </fill>
    </dxf>
    <dxf>
      <fill>
        <patternFill patternType="solid">
          <fgColor rgb="FFF9CECB"/>
          <bgColor rgb="FF000000"/>
        </patternFill>
      </fill>
    </dxf>
    <dxf>
      <fill>
        <patternFill patternType="solid">
          <fgColor rgb="FFFACFCC"/>
          <bgColor rgb="FF000000"/>
        </patternFill>
      </fill>
    </dxf>
    <dxf>
      <fill>
        <patternFill patternType="solid">
          <fgColor rgb="FFFAD0CD"/>
          <bgColor rgb="FF000000"/>
        </patternFill>
      </fill>
    </dxf>
    <dxf>
      <fill>
        <patternFill patternType="solid">
          <fgColor rgb="FFFAD1CE"/>
          <bgColor rgb="FF000000"/>
        </patternFill>
      </fill>
    </dxf>
    <dxf>
      <fill>
        <patternFill patternType="solid">
          <fgColor rgb="FFFAD2CF"/>
          <bgColor rgb="FF000000"/>
        </patternFill>
      </fill>
    </dxf>
    <dxf>
      <fill>
        <patternFill patternType="solid">
          <fgColor rgb="FFFAD3D0"/>
          <bgColor rgb="FF000000"/>
        </patternFill>
      </fill>
    </dxf>
    <dxf>
      <fill>
        <patternFill patternType="solid">
          <fgColor rgb="FFFAD4D2"/>
          <bgColor rgb="FF000000"/>
        </patternFill>
      </fill>
    </dxf>
    <dxf>
      <fill>
        <patternFill patternType="solid">
          <fgColor rgb="FFFAD5D2"/>
          <bgColor rgb="FF000000"/>
        </patternFill>
      </fill>
    </dxf>
    <dxf>
      <fill>
        <patternFill patternType="solid">
          <fgColor rgb="FFFAD6D4"/>
          <bgColor rgb="FF000000"/>
        </patternFill>
      </fill>
    </dxf>
    <dxf>
      <fill>
        <patternFill patternType="solid">
          <fgColor rgb="FFFBD7D5"/>
          <bgColor rgb="FF000000"/>
        </patternFill>
      </fill>
    </dxf>
    <dxf>
      <fill>
        <patternFill patternType="solid">
          <fgColor rgb="FFFBD8D5"/>
          <bgColor rgb="FF000000"/>
        </patternFill>
      </fill>
    </dxf>
    <dxf>
      <fill>
        <patternFill patternType="solid">
          <fgColor rgb="FFFBD8D6"/>
          <bgColor rgb="FF000000"/>
        </patternFill>
      </fill>
    </dxf>
    <dxf>
      <fill>
        <patternFill patternType="solid">
          <fgColor rgb="FFFBD9D7"/>
          <bgColor rgb="FF000000"/>
        </patternFill>
      </fill>
    </dxf>
    <dxf>
      <fill>
        <patternFill patternType="solid">
          <fgColor rgb="FFFBDAD8"/>
          <bgColor rgb="FF000000"/>
        </patternFill>
      </fill>
    </dxf>
    <dxf>
      <fill>
        <patternFill patternType="solid">
          <fgColor rgb="FFFBDBD9"/>
          <bgColor rgb="FF000000"/>
        </patternFill>
      </fill>
    </dxf>
    <dxf>
      <fill>
        <patternFill patternType="solid">
          <fgColor rgb="FFFBDCDA"/>
          <bgColor rgb="FF000000"/>
        </patternFill>
      </fill>
    </dxf>
    <dxf>
      <fill>
        <patternFill patternType="solid">
          <fgColor rgb="FFFBDDDB"/>
          <bgColor rgb="FF000000"/>
        </patternFill>
      </fill>
    </dxf>
    <dxf>
      <fill>
        <patternFill patternType="solid">
          <fgColor rgb="FFFCDFDD"/>
          <bgColor rgb="FF000000"/>
        </patternFill>
      </fill>
    </dxf>
    <dxf>
      <fill>
        <patternFill patternType="solid">
          <fgColor rgb="FFFCE3E2"/>
          <bgColor rgb="FF000000"/>
        </patternFill>
      </fill>
    </dxf>
    <dxf>
      <fill>
        <patternFill patternType="solid">
          <fgColor rgb="FFFCE4E3"/>
          <bgColor rgb="FF000000"/>
        </patternFill>
      </fill>
    </dxf>
    <dxf>
      <fill>
        <patternFill patternType="solid">
          <fgColor rgb="FFFCE5E4"/>
          <bgColor rgb="FF000000"/>
        </patternFill>
      </fill>
    </dxf>
    <dxf>
      <fill>
        <patternFill patternType="solid">
          <fgColor rgb="FFFCE6E5"/>
          <bgColor rgb="FF000000"/>
        </patternFill>
      </fill>
    </dxf>
    <dxf>
      <fill>
        <patternFill patternType="solid">
          <fgColor rgb="FFFDE8E7"/>
          <bgColor rgb="FF000000"/>
        </patternFill>
      </fill>
    </dxf>
    <dxf>
      <fill>
        <patternFill patternType="solid">
          <fgColor rgb="FFFDE9E8"/>
          <bgColor rgb="FF000000"/>
        </patternFill>
      </fill>
    </dxf>
    <dxf>
      <fill>
        <patternFill patternType="solid">
          <fgColor rgb="FFFDEAE9"/>
          <bgColor rgb="FF000000"/>
        </patternFill>
      </fill>
    </dxf>
    <dxf>
      <fill>
        <patternFill patternType="solid">
          <fgColor rgb="FFFDEBEA"/>
          <bgColor rgb="FF000000"/>
        </patternFill>
      </fill>
    </dxf>
    <dxf>
      <fill>
        <patternFill patternType="solid">
          <fgColor rgb="FFFDECEB"/>
          <bgColor rgb="FF000000"/>
        </patternFill>
      </fill>
    </dxf>
    <dxf>
      <fill>
        <patternFill patternType="solid">
          <fgColor rgb="FFFDEFED"/>
          <bgColor rgb="FF000000"/>
        </patternFill>
      </fill>
    </dxf>
    <dxf>
      <fill>
        <patternFill patternType="solid">
          <fgColor rgb="FFFDEFEE"/>
          <bgColor rgb="FF000000"/>
        </patternFill>
      </fill>
    </dxf>
    <dxf>
      <fill>
        <patternFill patternType="solid">
          <fgColor rgb="FFFEEFEE"/>
          <bgColor rgb="FF000000"/>
        </patternFill>
      </fill>
    </dxf>
    <dxf>
      <fill>
        <patternFill patternType="solid">
          <fgColor rgb="FFFEF2F2"/>
          <bgColor rgb="FF000000"/>
        </patternFill>
      </fill>
    </dxf>
    <dxf>
      <fill>
        <patternFill patternType="solid">
          <fgColor rgb="FFFEF3F2"/>
          <bgColor rgb="FF000000"/>
        </patternFill>
      </fill>
    </dxf>
    <dxf>
      <fill>
        <patternFill patternType="solid">
          <fgColor rgb="FFFEF3F3"/>
          <bgColor rgb="FF000000"/>
        </patternFill>
      </fill>
    </dxf>
    <dxf>
      <fill>
        <patternFill patternType="solid">
          <fgColor rgb="FFFEF4F4"/>
          <bgColor rgb="FF000000"/>
        </patternFill>
      </fill>
    </dxf>
    <dxf>
      <fill>
        <patternFill patternType="solid">
          <fgColor rgb="FFFEF5F5"/>
          <bgColor rgb="FF000000"/>
        </patternFill>
      </fill>
    </dxf>
    <dxf>
      <fill>
        <patternFill patternType="solid">
          <fgColor rgb="FFFEF6F5"/>
          <bgColor rgb="FF000000"/>
        </patternFill>
      </fill>
    </dxf>
    <dxf>
      <fill>
        <patternFill patternType="solid">
          <fgColor rgb="FFFEF6F6"/>
          <bgColor rgb="FF000000"/>
        </patternFill>
      </fill>
    </dxf>
    <dxf>
      <fill>
        <patternFill patternType="solid">
          <fgColor rgb="FFFEF7F7"/>
          <bgColor rgb="FF000000"/>
        </patternFill>
      </fill>
    </dxf>
    <dxf>
      <fill>
        <patternFill patternType="solid">
          <fgColor rgb="FFFFF7F7"/>
          <bgColor rgb="FF000000"/>
        </patternFill>
      </fill>
    </dxf>
    <dxf>
      <fill>
        <patternFill patternType="solid">
          <fgColor rgb="FFFFF9F9"/>
          <bgColor rgb="FF000000"/>
        </patternFill>
      </fill>
    </dxf>
    <dxf>
      <fill>
        <patternFill patternType="solid">
          <fgColor rgb="FFFFFAF9"/>
          <bgColor rgb="FF000000"/>
        </patternFill>
      </fill>
    </dxf>
    <dxf>
      <fill>
        <patternFill patternType="solid">
          <fgColor rgb="FFFFFAFA"/>
          <bgColor rgb="FF000000"/>
        </patternFill>
      </fill>
    </dxf>
    <dxf>
      <fill>
        <patternFill patternType="solid">
          <fgColor rgb="FFFFFBFA"/>
          <bgColor rgb="FF000000"/>
        </patternFill>
      </fill>
    </dxf>
    <dxf>
      <fill>
        <patternFill patternType="solid">
          <fgColor rgb="FFFFFBFB"/>
          <bgColor rgb="FF000000"/>
        </patternFill>
      </fill>
    </dxf>
    <dxf>
      <fill>
        <patternFill patternType="solid">
          <fgColor rgb="FFFFFCFB"/>
          <bgColor rgb="FF000000"/>
        </patternFill>
      </fill>
    </dxf>
    <dxf>
      <fill>
        <patternFill patternType="solid">
          <fgColor rgb="FFFFFDFC"/>
          <bgColor rgb="FF000000"/>
        </patternFill>
      </fill>
    </dxf>
    <dxf>
      <fill>
        <patternFill patternType="solid">
          <fgColor rgb="FFFFFDF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5B8DB8"/>
      <rgbColor rgb="FF993366"/>
      <rgbColor rgb="FFFFF9DB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3EFD9"/>
      <rgbColor rgb="FFFFF6CC"/>
      <rgbColor rgb="FFC8E6C9"/>
      <rgbColor rgb="FFF4B6B0"/>
      <rgbColor rgb="FFCC99FF"/>
      <rgbColor rgb="FFF8CBAD"/>
      <rgbColor rgb="FF3366FF"/>
      <rgbColor rgb="FF33CCCC"/>
      <rgbColor rgb="FF99CC00"/>
      <rgbColor rgb="FFFCE4B6"/>
      <rgbColor rgb="FFFF9900"/>
      <rgbColor rgb="FFE67E22"/>
      <rgbColor rgb="FF666666"/>
      <rgbColor rgb="FF7F8C8D"/>
      <rgbColor rgb="FF1F3A5F"/>
      <rgbColor rgb="FF2E7D32"/>
      <rgbColor rgb="FF003300"/>
      <rgbColor rgb="FF333300"/>
      <rgbColor rgb="FFC0392B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SKUs by refund $ (revenue impact)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Rankings!H33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Rankings!$B$34:$B$48</c:f>
              <c:strCache>
                <c:ptCount val="15"/>
                <c:pt idx="0">
                  <c:v>AUMJ-NW-005</c:v>
                </c:pt>
                <c:pt idx="1">
                  <c:v>AUSGF16-115</c:v>
                </c:pt>
                <c:pt idx="2">
                  <c:v>AUMJ-NW-017</c:v>
                </c:pt>
                <c:pt idx="3">
                  <c:v>AUSMJ100-11</c:v>
                </c:pt>
                <c:pt idx="4">
                  <c:v>AU11-43</c:v>
                </c:pt>
                <c:pt idx="5">
                  <c:v>AUMJ-NW-011</c:v>
                </c:pt>
                <c:pt idx="6">
                  <c:v>AU112-10</c:v>
                </c:pt>
                <c:pt idx="7">
                  <c:v>AUMJ-NW-003</c:v>
                </c:pt>
                <c:pt idx="8">
                  <c:v>DC-04S</c:v>
                </c:pt>
                <c:pt idx="9">
                  <c:v>AUMJ-NW-019</c:v>
                </c:pt>
                <c:pt idx="10">
                  <c:v>GF16-100</c:v>
                </c:pt>
                <c:pt idx="11">
                  <c:v>GF16-110</c:v>
                </c:pt>
                <c:pt idx="12">
                  <c:v>AU222-80</c:v>
                </c:pt>
                <c:pt idx="13">
                  <c:v>DC-02S</c:v>
                </c:pt>
                <c:pt idx="14">
                  <c:v>AUDNAT-02</c:v>
                </c:pt>
              </c:strCache>
            </c:strRef>
          </c:cat>
          <c:val>
            <c:numRef>
              <c:f>Rankings!$H$34:$H$48</c:f>
              <c:numCache>
                <c:formatCode>\$#,##0;"($"#,##0\);\-</c:formatCode>
                <c:ptCount val="15"/>
                <c:pt idx="0">
                  <c:v>30439.34</c:v>
                </c:pt>
                <c:pt idx="1">
                  <c:v>25834.89</c:v>
                </c:pt>
                <c:pt idx="2">
                  <c:v>14074.44</c:v>
                </c:pt>
                <c:pt idx="3">
                  <c:v>13653.88</c:v>
                </c:pt>
                <c:pt idx="4">
                  <c:v>11840.22</c:v>
                </c:pt>
                <c:pt idx="5">
                  <c:v>9879.04</c:v>
                </c:pt>
                <c:pt idx="6">
                  <c:v>9388.55</c:v>
                </c:pt>
                <c:pt idx="7">
                  <c:v>8978.84</c:v>
                </c:pt>
                <c:pt idx="8">
                  <c:v>8683.47</c:v>
                </c:pt>
                <c:pt idx="9">
                  <c:v>8226.91</c:v>
                </c:pt>
                <c:pt idx="10">
                  <c:v>6992.71</c:v>
                </c:pt>
                <c:pt idx="11">
                  <c:v>6386.94</c:v>
                </c:pt>
                <c:pt idx="12">
                  <c:v>6215.17</c:v>
                </c:pt>
                <c:pt idx="13">
                  <c:v>6122.41</c:v>
                </c:pt>
                <c:pt idx="14">
                  <c:v>6090.57</c:v>
                </c:pt>
              </c:numCache>
            </c:numRef>
          </c:val>
        </c:ser>
        <c:gapWidth val="50"/>
        <c:overlap val="0"/>
        <c:axId val="6786721"/>
        <c:axId val="72016998"/>
      </c:barChart>
      <c:catAx>
        <c:axId val="67867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16998"/>
        <c:crosses val="autoZero"/>
        <c:auto val="1"/>
        <c:lblAlgn val="ctr"/>
        <c:lblOffset val="100"/>
        <c:noMultiLvlLbl val="0"/>
      </c:catAx>
      <c:valAx>
        <c:axId val="72016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67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SKUs by refund units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Rankings!F4</c:f>
              <c:strCache>
                <c:ptCount val="1"/>
                <c:pt idx="0">
                  <c:v>Refunded units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Rankings!$B$5:$B$19</c:f>
              <c:strCache>
                <c:ptCount val="15"/>
                <c:pt idx="0">
                  <c:v>AUSGF16-115</c:v>
                </c:pt>
                <c:pt idx="1">
                  <c:v>AURP05</c:v>
                </c:pt>
                <c:pt idx="2">
                  <c:v>RP19</c:v>
                </c:pt>
                <c:pt idx="3">
                  <c:v>AUMJ-NW-005</c:v>
                </c:pt>
                <c:pt idx="4">
                  <c:v>SC01</c:v>
                </c:pt>
                <c:pt idx="5">
                  <c:v>AUSMJ100-11</c:v>
                </c:pt>
                <c:pt idx="6">
                  <c:v>AUMJ-NW-017</c:v>
                </c:pt>
                <c:pt idx="7">
                  <c:v>AUSRP-16sp</c:v>
                </c:pt>
                <c:pt idx="8">
                  <c:v>AU11-43</c:v>
                </c:pt>
                <c:pt idx="9">
                  <c:v>AUCH25-04</c:v>
                </c:pt>
                <c:pt idx="10">
                  <c:v>AUMJ-NW-011</c:v>
                </c:pt>
                <c:pt idx="11">
                  <c:v>AURP03</c:v>
                </c:pt>
                <c:pt idx="12">
                  <c:v>AU112-10</c:v>
                </c:pt>
                <c:pt idx="13">
                  <c:v>AUMJ-NW-003</c:v>
                </c:pt>
                <c:pt idx="14">
                  <c:v>MJ100-17</c:v>
                </c:pt>
              </c:strCache>
            </c:strRef>
          </c:cat>
          <c:val>
            <c:numRef>
              <c:f>Rankings!$F$5:$F$19</c:f>
              <c:numCache>
                <c:formatCode>#,##0;\(#,##0\);\-</c:formatCode>
                <c:ptCount val="15"/>
                <c:pt idx="0">
                  <c:v>419</c:v>
                </c:pt>
                <c:pt idx="1">
                  <c:v>410</c:v>
                </c:pt>
                <c:pt idx="2">
                  <c:v>336</c:v>
                </c:pt>
                <c:pt idx="3">
                  <c:v>335</c:v>
                </c:pt>
                <c:pt idx="4">
                  <c:v>329</c:v>
                </c:pt>
                <c:pt idx="5">
                  <c:v>203</c:v>
                </c:pt>
                <c:pt idx="6">
                  <c:v>172</c:v>
                </c:pt>
                <c:pt idx="7">
                  <c:v>152</c:v>
                </c:pt>
                <c:pt idx="8">
                  <c:v>129</c:v>
                </c:pt>
                <c:pt idx="9">
                  <c:v>116</c:v>
                </c:pt>
                <c:pt idx="10">
                  <c:v>115</c:v>
                </c:pt>
                <c:pt idx="11">
                  <c:v>112</c:v>
                </c:pt>
                <c:pt idx="12">
                  <c:v>108</c:v>
                </c:pt>
                <c:pt idx="13">
                  <c:v>106</c:v>
                </c:pt>
                <c:pt idx="14">
                  <c:v>104</c:v>
                </c:pt>
              </c:numCache>
            </c:numRef>
          </c:val>
        </c:ser>
        <c:gapWidth val="50"/>
        <c:overlap val="0"/>
        <c:axId val="10456117"/>
        <c:axId val="94442619"/>
      </c:barChart>
      <c:catAx>
        <c:axId val="104561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42619"/>
        <c:crosses val="autoZero"/>
        <c:auto val="1"/>
        <c:lblAlgn val="ctr"/>
        <c:lblOffset val="100"/>
        <c:noMultiLvlLbl val="0"/>
      </c:catAx>
      <c:valAx>
        <c:axId val="94442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61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SKUs by refund rate on own sales (vs baseline)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Rankings!G62</c:f>
              <c:strCache>
                <c:ptCount val="1"/>
                <c:pt idx="0">
                  <c:v>Refund rate (units)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Rankings!$B$63:$B$77</c:f>
              <c:strCache>
                <c:ptCount val="15"/>
                <c:pt idx="0">
                  <c:v>DCA-02-00</c:v>
                </c:pt>
                <c:pt idx="1">
                  <c:v>AU100-571</c:v>
                </c:pt>
                <c:pt idx="2">
                  <c:v>AU100-582</c:v>
                </c:pt>
                <c:pt idx="3">
                  <c:v>DCB-03</c:v>
                </c:pt>
                <c:pt idx="4">
                  <c:v>AU1211-02</c:v>
                </c:pt>
                <c:pt idx="5">
                  <c:v>DCA-01-00</c:v>
                </c:pt>
                <c:pt idx="6">
                  <c:v>AU100-545</c:v>
                </c:pt>
                <c:pt idx="7">
                  <c:v>GF60-10</c:v>
                </c:pt>
                <c:pt idx="8">
                  <c:v>AU189-01</c:v>
                </c:pt>
                <c:pt idx="9">
                  <c:v>RP-10</c:v>
                </c:pt>
                <c:pt idx="10">
                  <c:v>GF10-01</c:v>
                </c:pt>
                <c:pt idx="11">
                  <c:v>AU11-97</c:v>
                </c:pt>
                <c:pt idx="12">
                  <c:v>AU111-78</c:v>
                </c:pt>
                <c:pt idx="13">
                  <c:v>AU112-54</c:v>
                </c:pt>
                <c:pt idx="14">
                  <c:v>WBAU85-01</c:v>
                </c:pt>
              </c:strCache>
            </c:strRef>
          </c:cat>
          <c:val>
            <c:numRef>
              <c:f>Rankings!$G$63:$G$77</c:f>
              <c:numCache>
                <c:formatCode>0.0%</c:formatCode>
                <c:ptCount val="15"/>
                <c:pt idx="0">
                  <c:v>0.210526315789474</c:v>
                </c:pt>
                <c:pt idx="1">
                  <c:v>0.189189189189189</c:v>
                </c:pt>
                <c:pt idx="2">
                  <c:v>0.15</c:v>
                </c:pt>
                <c:pt idx="3">
                  <c:v>0.142857142857143</c:v>
                </c:pt>
                <c:pt idx="4">
                  <c:v>0.125</c:v>
                </c:pt>
                <c:pt idx="5">
                  <c:v>0.121951219512195</c:v>
                </c:pt>
                <c:pt idx="6">
                  <c:v>0.1171875</c:v>
                </c:pt>
                <c:pt idx="7">
                  <c:v>0.116883116883117</c:v>
                </c:pt>
                <c:pt idx="8">
                  <c:v>0.11340206185567</c:v>
                </c:pt>
                <c:pt idx="9">
                  <c:v>0.111111111111111</c:v>
                </c:pt>
                <c:pt idx="10">
                  <c:v>0.105263157894737</c:v>
                </c:pt>
                <c:pt idx="11">
                  <c:v>0.104347826086957</c:v>
                </c:pt>
                <c:pt idx="12">
                  <c:v>0.102564102564103</c:v>
                </c:pt>
                <c:pt idx="13">
                  <c:v>0.1</c:v>
                </c:pt>
                <c:pt idx="14">
                  <c:v>0.1</c:v>
                </c:pt>
              </c:numCache>
            </c:numRef>
          </c:val>
        </c:ser>
        <c:gapWidth val="150"/>
        <c:overlap val="0"/>
        <c:axId val="7782931"/>
        <c:axId val="71659278"/>
      </c:barChart>
      <c:lineChart>
        <c:grouping val="standard"/>
        <c:varyColors val="0"/>
        <c:ser>
          <c:idx val="1"/>
          <c:order val="1"/>
          <c:tx>
            <c:strRef>
              <c:f>Rankings!M62</c:f>
              <c:strCache>
                <c:ptCount val="1"/>
                <c:pt idx="0">
                  <c:v>Baseline rate</c:v>
                </c:pt>
              </c:strCache>
            </c:strRef>
          </c:tx>
          <c:spPr>
            <a:solidFill>
              <a:srgbClr val="000000"/>
            </a:solidFill>
            <a:ln w="475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Rankings!$B$63:$B$77</c:f>
              <c:strCache>
                <c:ptCount val="15"/>
                <c:pt idx="0">
                  <c:v>DCA-02-00</c:v>
                </c:pt>
                <c:pt idx="1">
                  <c:v>AU100-571</c:v>
                </c:pt>
                <c:pt idx="2">
                  <c:v>AU100-582</c:v>
                </c:pt>
                <c:pt idx="3">
                  <c:v>DCB-03</c:v>
                </c:pt>
                <c:pt idx="4">
                  <c:v>AU1211-02</c:v>
                </c:pt>
                <c:pt idx="5">
                  <c:v>DCA-01-00</c:v>
                </c:pt>
                <c:pt idx="6">
                  <c:v>AU100-545</c:v>
                </c:pt>
                <c:pt idx="7">
                  <c:v>GF60-10</c:v>
                </c:pt>
                <c:pt idx="8">
                  <c:v>AU189-01</c:v>
                </c:pt>
                <c:pt idx="9">
                  <c:v>RP-10</c:v>
                </c:pt>
                <c:pt idx="10">
                  <c:v>GF10-01</c:v>
                </c:pt>
                <c:pt idx="11">
                  <c:v>AU11-97</c:v>
                </c:pt>
                <c:pt idx="12">
                  <c:v>AU111-78</c:v>
                </c:pt>
                <c:pt idx="13">
                  <c:v>AU112-54</c:v>
                </c:pt>
                <c:pt idx="14">
                  <c:v>WBAU85-01</c:v>
                </c:pt>
              </c:strCache>
            </c:strRef>
          </c:cat>
          <c:val>
            <c:numRef>
              <c:f>Rankings!$M$63:$M$77</c:f>
              <c:numCache>
                <c:formatCode>0.0%</c:formatCode>
                <c:ptCount val="15"/>
                <c:pt idx="0">
                  <c:v>0.0309861510798204</c:v>
                </c:pt>
                <c:pt idx="1">
                  <c:v>0.0309861510798204</c:v>
                </c:pt>
                <c:pt idx="2">
                  <c:v>0.0309861510798204</c:v>
                </c:pt>
                <c:pt idx="3">
                  <c:v>0.0309861510798204</c:v>
                </c:pt>
                <c:pt idx="4">
                  <c:v>0.0309861510798204</c:v>
                </c:pt>
                <c:pt idx="5">
                  <c:v>0.0309861510798204</c:v>
                </c:pt>
                <c:pt idx="6">
                  <c:v>0.0309861510798204</c:v>
                </c:pt>
                <c:pt idx="7">
                  <c:v>0.0309861510798204</c:v>
                </c:pt>
                <c:pt idx="8">
                  <c:v>0.0309861510798204</c:v>
                </c:pt>
                <c:pt idx="9">
                  <c:v>0.0309861510798204</c:v>
                </c:pt>
                <c:pt idx="10">
                  <c:v>0.0309861510798204</c:v>
                </c:pt>
                <c:pt idx="11">
                  <c:v>0.0309861510798204</c:v>
                </c:pt>
                <c:pt idx="12">
                  <c:v>0.0309861510798204</c:v>
                </c:pt>
                <c:pt idx="13">
                  <c:v>0.0309861510798204</c:v>
                </c:pt>
                <c:pt idx="14">
                  <c:v>0.0309861510798204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82931"/>
        <c:axId val="71659278"/>
      </c:lineChart>
      <c:catAx>
        <c:axId val="7782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59278"/>
        <c:crosses val="autoZero"/>
        <c:auto val="1"/>
        <c:lblAlgn val="ctr"/>
        <c:lblOffset val="100"/>
        <c:noMultiLvlLbl val="0"/>
      </c:catAx>
      <c:valAx>
        <c:axId val="71659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29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rate by brand / family (top 12 by refund $) vs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Brands!G4</c:f>
              <c:strCache>
                <c:ptCount val="1"/>
                <c:pt idx="0">
                  <c:v>Refund rate (units)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Brands!$A$5:$A$16</c:f>
              <c:strCache>
                <c:ptCount val="12"/>
                <c:pt idx="0">
                  <c:v>AU</c:v>
                </c:pt>
                <c:pt idx="1">
                  <c:v>AUMJ</c:v>
                </c:pt>
                <c:pt idx="2">
                  <c:v>DC</c:v>
                </c:pt>
                <c:pt idx="3">
                  <c:v>AUSGF</c:v>
                </c:pt>
                <c:pt idx="4">
                  <c:v>MJ</c:v>
                </c:pt>
                <c:pt idx="5">
                  <c:v>GF</c:v>
                </c:pt>
                <c:pt idx="6">
                  <c:v>AURP</c:v>
                </c:pt>
                <c:pt idx="7">
                  <c:v>AUSMJ</c:v>
                </c:pt>
                <c:pt idx="8">
                  <c:v>AUDNAT</c:v>
                </c:pt>
                <c:pt idx="9">
                  <c:v>FYF</c:v>
                </c:pt>
                <c:pt idx="10">
                  <c:v>AUBC</c:v>
                </c:pt>
                <c:pt idx="11">
                  <c:v>Other (small prefixes)</c:v>
                </c:pt>
              </c:strCache>
            </c:strRef>
          </c:cat>
          <c:val>
            <c:numRef>
              <c:f>Brands!$G$5:$G$16</c:f>
              <c:numCache>
                <c:formatCode>0.0%</c:formatCode>
                <c:ptCount val="12"/>
                <c:pt idx="0">
                  <c:v>0.0429733536462675</c:v>
                </c:pt>
                <c:pt idx="1">
                  <c:v>0.0475313190862196</c:v>
                </c:pt>
                <c:pt idx="2">
                  <c:v>0.0378823529411765</c:v>
                </c:pt>
                <c:pt idx="3">
                  <c:v>0.0358782784652502</c:v>
                </c:pt>
                <c:pt idx="4">
                  <c:v>0.0308525033829499</c:v>
                </c:pt>
                <c:pt idx="5">
                  <c:v>0.0517699115044248</c:v>
                </c:pt>
                <c:pt idx="6">
                  <c:v>0.0417401366541768</c:v>
                </c:pt>
                <c:pt idx="7">
                  <c:v>0.040650406504065</c:v>
                </c:pt>
                <c:pt idx="8">
                  <c:v>0.0434924787442773</c:v>
                </c:pt>
                <c:pt idx="9">
                  <c:v>0.043684710351377</c:v>
                </c:pt>
                <c:pt idx="10">
                  <c:v>0.0508960573476703</c:v>
                </c:pt>
                <c:pt idx="11">
                  <c:v>0.0258667145679899</c:v>
                </c:pt>
              </c:numCache>
            </c:numRef>
          </c:val>
        </c:ser>
        <c:gapWidth val="150"/>
        <c:overlap val="0"/>
        <c:axId val="69371777"/>
        <c:axId val="57010307"/>
      </c:barChart>
      <c:lineChart>
        <c:grouping val="standard"/>
        <c:varyColors val="0"/>
        <c:ser>
          <c:idx val="1"/>
          <c:order val="1"/>
          <c:tx>
            <c:strRef>
              <c:f>Brands!Q4</c:f>
              <c:strCache>
                <c:ptCount val="1"/>
                <c:pt idx="0">
                  <c:v>Baseline rate</c:v>
                </c:pt>
              </c:strCache>
            </c:strRef>
          </c:tx>
          <c:spPr>
            <a:solidFill>
              <a:srgbClr val="000000"/>
            </a:solidFill>
            <a:ln w="4752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Brands!$A$5:$A$16</c:f>
              <c:strCache>
                <c:ptCount val="12"/>
                <c:pt idx="0">
                  <c:v>AU</c:v>
                </c:pt>
                <c:pt idx="1">
                  <c:v>AUMJ</c:v>
                </c:pt>
                <c:pt idx="2">
                  <c:v>DC</c:v>
                </c:pt>
                <c:pt idx="3">
                  <c:v>AUSGF</c:v>
                </c:pt>
                <c:pt idx="4">
                  <c:v>MJ</c:v>
                </c:pt>
                <c:pt idx="5">
                  <c:v>GF</c:v>
                </c:pt>
                <c:pt idx="6">
                  <c:v>AURP</c:v>
                </c:pt>
                <c:pt idx="7">
                  <c:v>AUSMJ</c:v>
                </c:pt>
                <c:pt idx="8">
                  <c:v>AUDNAT</c:v>
                </c:pt>
                <c:pt idx="9">
                  <c:v>FYF</c:v>
                </c:pt>
                <c:pt idx="10">
                  <c:v>AUBC</c:v>
                </c:pt>
                <c:pt idx="11">
                  <c:v>Other (small prefixes)</c:v>
                </c:pt>
              </c:strCache>
            </c:strRef>
          </c:cat>
          <c:val>
            <c:numRef>
              <c:f>Brands!$Q$5:$Q$16</c:f>
              <c:numCache>
                <c:formatCode>0.0%</c:formatCode>
                <c:ptCount val="12"/>
                <c:pt idx="0">
                  <c:v>0.0309861510798204</c:v>
                </c:pt>
                <c:pt idx="1">
                  <c:v>0.0309861510798204</c:v>
                </c:pt>
                <c:pt idx="2">
                  <c:v>0.0309861510798204</c:v>
                </c:pt>
                <c:pt idx="3">
                  <c:v>0.0309861510798204</c:v>
                </c:pt>
                <c:pt idx="4">
                  <c:v>0.0309861510798204</c:v>
                </c:pt>
                <c:pt idx="5">
                  <c:v>0.0309861510798204</c:v>
                </c:pt>
                <c:pt idx="6">
                  <c:v>0.0309861510798204</c:v>
                </c:pt>
                <c:pt idx="7">
                  <c:v>0.0309861510798204</c:v>
                </c:pt>
                <c:pt idx="8">
                  <c:v>0.0309861510798204</c:v>
                </c:pt>
                <c:pt idx="9">
                  <c:v>0.0309861510798204</c:v>
                </c:pt>
                <c:pt idx="10">
                  <c:v>0.0309861510798204</c:v>
                </c:pt>
                <c:pt idx="11">
                  <c:v>0.0309861510798204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371777"/>
        <c:axId val="57010307"/>
      </c:lineChart>
      <c:catAx>
        <c:axId val="69371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10307"/>
        <c:crosses val="autoZero"/>
        <c:auto val="1"/>
        <c:lblAlgn val="ctr"/>
        <c:lblOffset val="100"/>
        <c:noMultiLvlLbl val="0"/>
      </c:catAx>
      <c:valAx>
        <c:axId val="57010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717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Concentration: cumulative % of SKU refund $ (top 25 SKUs)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Rankings!L33</c:f>
              <c:strCache>
                <c:ptCount val="1"/>
                <c:pt idx="0">
                  <c:v>Cumulative % of refunds</c:v>
                </c:pt>
              </c:strCache>
            </c:strRef>
          </c:tx>
          <c:spPr>
            <a:solidFill>
              <a:srgbClr val="c0392b"/>
            </a:solidFill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Rankings!$A$34:$A$58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Rankings!$L$34:$L$58</c:f>
              <c:numCache>
                <c:formatCode>0.0%</c:formatCode>
                <c:ptCount val="25"/>
                <c:pt idx="0">
                  <c:v>0.0608338260034112</c:v>
                </c:pt>
                <c:pt idx="1">
                  <c:v>0.112465536910325</c:v>
                </c:pt>
                <c:pt idx="2">
                  <c:v>0.140593677469728</c:v>
                </c:pt>
                <c:pt idx="3">
                  <c:v>0.167881317746799</c:v>
                </c:pt>
                <c:pt idx="4">
                  <c:v>0.191544310548946</c:v>
                </c:pt>
                <c:pt idx="5">
                  <c:v>0.211287833254785</c:v>
                </c:pt>
                <c:pt idx="6">
                  <c:v>0.230051098723889</c:v>
                </c:pt>
                <c:pt idx="7">
                  <c:v>0.247995547922606</c:v>
                </c:pt>
                <c:pt idx="8">
                  <c:v>0.265349692364826</c:v>
                </c:pt>
                <c:pt idx="9">
                  <c:v>0.28179138957264</c:v>
                </c:pt>
                <c:pt idx="10">
                  <c:v>0.295766505440209</c:v>
                </c:pt>
                <c:pt idx="11">
                  <c:v>0.308530973942293</c:v>
                </c:pt>
                <c:pt idx="12">
                  <c:v>0.320952155556665</c:v>
                </c:pt>
                <c:pt idx="13">
                  <c:v>0.333187953857862</c:v>
                </c:pt>
                <c:pt idx="14">
                  <c:v>0.345360119077002</c:v>
                </c:pt>
                <c:pt idx="15">
                  <c:v>0.35739216760698</c:v>
                </c:pt>
                <c:pt idx="16">
                  <c:v>0.369054308876979</c:v>
                </c:pt>
                <c:pt idx="17">
                  <c:v>0.380216978417473</c:v>
                </c:pt>
                <c:pt idx="18">
                  <c:v>0.390904678162697</c:v>
                </c:pt>
                <c:pt idx="19">
                  <c:v>0.401527165989972</c:v>
                </c:pt>
                <c:pt idx="20">
                  <c:v>0.412138462069147</c:v>
                </c:pt>
                <c:pt idx="21">
                  <c:v>0.421262075046826</c:v>
                </c:pt>
                <c:pt idx="22">
                  <c:v>0.430114308118338</c:v>
                </c:pt>
                <c:pt idx="23">
                  <c:v>0.438776421368996</c:v>
                </c:pt>
                <c:pt idx="24">
                  <c:v>0.447281610323077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579090"/>
        <c:axId val="39702806"/>
      </c:lineChart>
      <c:catAx>
        <c:axId val="175790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SKU rank by refund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02806"/>
        <c:crosses val="autoZero"/>
        <c:auto val="1"/>
        <c:lblAlgn val="ctr"/>
        <c:lblOffset val="100"/>
        <c:noMultiLvlLbl val="0"/>
      </c:catAx>
      <c:valAx>
        <c:axId val="3970280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790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SKUs: volume vs refund rate (log 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"Top-100 priority SKUs"</c:f>
              <c:strCache>
                <c:ptCount val="1"/>
                <c:pt idx="0">
                  <c:v>Top-100 priority SKUs</c:v>
                </c:pt>
              </c:strCache>
            </c:strRef>
          </c:tx>
          <c:spPr>
            <a:solidFill>
              <a:srgbClr val="c0392b"/>
            </a:solidFill>
            <a:ln w="47520">
              <a:noFill/>
            </a:ln>
          </c:spPr>
          <c:marker>
            <c:symbol val="circle"/>
            <c:size val="7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'Priority SKUs'!$F$5:$F$104</c:f>
              <c:numCache>
                <c:formatCode>#,##0;\(#,##0\);\-</c:formatCode>
                <c:ptCount val="100"/>
                <c:pt idx="0">
                  <c:v>503</c:v>
                </c:pt>
                <c:pt idx="1">
                  <c:v>1560</c:v>
                </c:pt>
                <c:pt idx="2">
                  <c:v>390</c:v>
                </c:pt>
                <c:pt idx="3">
                  <c:v>322</c:v>
                </c:pt>
                <c:pt idx="4">
                  <c:v>1250</c:v>
                </c:pt>
                <c:pt idx="5">
                  <c:v>128</c:v>
                </c:pt>
                <c:pt idx="6">
                  <c:v>651</c:v>
                </c:pt>
                <c:pt idx="7">
                  <c:v>360</c:v>
                </c:pt>
                <c:pt idx="8">
                  <c:v>6304</c:v>
                </c:pt>
                <c:pt idx="9">
                  <c:v>487</c:v>
                </c:pt>
                <c:pt idx="10">
                  <c:v>789</c:v>
                </c:pt>
                <c:pt idx="12">
                  <c:v>373</c:v>
                </c:pt>
                <c:pt idx="13">
                  <c:v>2143</c:v>
                </c:pt>
                <c:pt idx="14">
                  <c:v>97</c:v>
                </c:pt>
                <c:pt idx="15">
                  <c:v>171</c:v>
                </c:pt>
                <c:pt idx="16">
                  <c:v>598</c:v>
                </c:pt>
                <c:pt idx="17">
                  <c:v>115</c:v>
                </c:pt>
                <c:pt idx="18">
                  <c:v>621</c:v>
                </c:pt>
                <c:pt idx="19">
                  <c:v>342</c:v>
                </c:pt>
                <c:pt idx="20">
                  <c:v>376</c:v>
                </c:pt>
                <c:pt idx="21">
                  <c:v>2594</c:v>
                </c:pt>
                <c:pt idx="22">
                  <c:v>743</c:v>
                </c:pt>
                <c:pt idx="23">
                  <c:v>1333</c:v>
                </c:pt>
                <c:pt idx="24">
                  <c:v>209</c:v>
                </c:pt>
                <c:pt idx="25">
                  <c:v>37</c:v>
                </c:pt>
                <c:pt idx="26">
                  <c:v>2208</c:v>
                </c:pt>
                <c:pt idx="27">
                  <c:v>2096</c:v>
                </c:pt>
                <c:pt idx="28">
                  <c:v>130</c:v>
                </c:pt>
                <c:pt idx="29">
                  <c:v>319</c:v>
                </c:pt>
                <c:pt idx="30">
                  <c:v>40</c:v>
                </c:pt>
                <c:pt idx="31">
                  <c:v>1130</c:v>
                </c:pt>
                <c:pt idx="32">
                  <c:v>153</c:v>
                </c:pt>
                <c:pt idx="33">
                  <c:v>1589</c:v>
                </c:pt>
                <c:pt idx="34">
                  <c:v>255</c:v>
                </c:pt>
                <c:pt idx="35">
                  <c:v>1279</c:v>
                </c:pt>
                <c:pt idx="36">
                  <c:v>2919</c:v>
                </c:pt>
                <c:pt idx="37">
                  <c:v>6456</c:v>
                </c:pt>
                <c:pt idx="38">
                  <c:v>946</c:v>
                </c:pt>
                <c:pt idx="39">
                  <c:v>259</c:v>
                </c:pt>
                <c:pt idx="40">
                  <c:v>181</c:v>
                </c:pt>
                <c:pt idx="41">
                  <c:v>406</c:v>
                </c:pt>
                <c:pt idx="42">
                  <c:v>38</c:v>
                </c:pt>
                <c:pt idx="43">
                  <c:v>1727</c:v>
                </c:pt>
                <c:pt idx="44">
                  <c:v>3907</c:v>
                </c:pt>
                <c:pt idx="45">
                  <c:v>227</c:v>
                </c:pt>
                <c:pt idx="46">
                  <c:v>2531</c:v>
                </c:pt>
                <c:pt idx="47">
                  <c:v>40</c:v>
                </c:pt>
                <c:pt idx="48">
                  <c:v>1158</c:v>
                </c:pt>
                <c:pt idx="49">
                  <c:v>95</c:v>
                </c:pt>
                <c:pt idx="50">
                  <c:v>959</c:v>
                </c:pt>
                <c:pt idx="51">
                  <c:v>272</c:v>
                </c:pt>
                <c:pt idx="52">
                  <c:v>1695</c:v>
                </c:pt>
                <c:pt idx="53">
                  <c:v>1997</c:v>
                </c:pt>
                <c:pt idx="54">
                  <c:v>26</c:v>
                </c:pt>
                <c:pt idx="55">
                  <c:v>4959</c:v>
                </c:pt>
                <c:pt idx="56">
                  <c:v>189</c:v>
                </c:pt>
                <c:pt idx="57">
                  <c:v>1815</c:v>
                </c:pt>
                <c:pt idx="58">
                  <c:v>166</c:v>
                </c:pt>
                <c:pt idx="59">
                  <c:v>495</c:v>
                </c:pt>
                <c:pt idx="60">
                  <c:v>554</c:v>
                </c:pt>
                <c:pt idx="61">
                  <c:v>77</c:v>
                </c:pt>
                <c:pt idx="62">
                  <c:v>29</c:v>
                </c:pt>
                <c:pt idx="64">
                  <c:v>21</c:v>
                </c:pt>
                <c:pt idx="65">
                  <c:v>141</c:v>
                </c:pt>
                <c:pt idx="66">
                  <c:v>80</c:v>
                </c:pt>
                <c:pt idx="67">
                  <c:v>35</c:v>
                </c:pt>
                <c:pt idx="68">
                  <c:v>1482</c:v>
                </c:pt>
                <c:pt idx="69">
                  <c:v>459</c:v>
                </c:pt>
                <c:pt idx="70">
                  <c:v>204</c:v>
                </c:pt>
                <c:pt idx="71">
                  <c:v>384</c:v>
                </c:pt>
                <c:pt idx="72">
                  <c:v>1872</c:v>
                </c:pt>
                <c:pt idx="73">
                  <c:v>622</c:v>
                </c:pt>
                <c:pt idx="74">
                  <c:v>19</c:v>
                </c:pt>
                <c:pt idx="75">
                  <c:v>260</c:v>
                </c:pt>
                <c:pt idx="76">
                  <c:v>252</c:v>
                </c:pt>
                <c:pt idx="77">
                  <c:v>109</c:v>
                </c:pt>
                <c:pt idx="78">
                  <c:v>207</c:v>
                </c:pt>
                <c:pt idx="79">
                  <c:v>509</c:v>
                </c:pt>
                <c:pt idx="80">
                  <c:v>11490</c:v>
                </c:pt>
                <c:pt idx="81">
                  <c:v>2769</c:v>
                </c:pt>
                <c:pt idx="82">
                  <c:v>496</c:v>
                </c:pt>
                <c:pt idx="83">
                  <c:v>483</c:v>
                </c:pt>
                <c:pt idx="84">
                  <c:v>73</c:v>
                </c:pt>
                <c:pt idx="85">
                  <c:v>74</c:v>
                </c:pt>
                <c:pt idx="86">
                  <c:v>512</c:v>
                </c:pt>
                <c:pt idx="87">
                  <c:v>685</c:v>
                </c:pt>
                <c:pt idx="88">
                  <c:v>647</c:v>
                </c:pt>
                <c:pt idx="89">
                  <c:v>295</c:v>
                </c:pt>
                <c:pt idx="90">
                  <c:v>328</c:v>
                </c:pt>
                <c:pt idx="91">
                  <c:v>53</c:v>
                </c:pt>
                <c:pt idx="92">
                  <c:v>373</c:v>
                </c:pt>
                <c:pt idx="93">
                  <c:v>2392</c:v>
                </c:pt>
                <c:pt idx="94">
                  <c:v>199</c:v>
                </c:pt>
                <c:pt idx="95">
                  <c:v>155</c:v>
                </c:pt>
                <c:pt idx="96">
                  <c:v>41</c:v>
                </c:pt>
                <c:pt idx="97">
                  <c:v>227</c:v>
                </c:pt>
                <c:pt idx="98">
                  <c:v>995</c:v>
                </c:pt>
                <c:pt idx="99">
                  <c:v>136</c:v>
                </c:pt>
              </c:numCache>
            </c:numRef>
          </c:xVal>
          <c:yVal>
            <c:numRef>
              <c:f>'Priority SKUs'!$H$5:$H$104</c:f>
              <c:numCache>
                <c:formatCode>0.0%</c:formatCode>
                <c:ptCount val="100"/>
                <c:pt idx="0">
                  <c:v>0.0795228628230616</c:v>
                </c:pt>
                <c:pt idx="1">
                  <c:v>0.0621794871794872</c:v>
                </c:pt>
                <c:pt idx="2">
                  <c:v>0.0871794871794872</c:v>
                </c:pt>
                <c:pt idx="3">
                  <c:v>0.0869565217391304</c:v>
                </c:pt>
                <c:pt idx="4">
                  <c:v>0.0592</c:v>
                </c:pt>
                <c:pt idx="5">
                  <c:v>0.1171875</c:v>
                </c:pt>
                <c:pt idx="6">
                  <c:v>0.0629800307219662</c:v>
                </c:pt>
                <c:pt idx="7">
                  <c:v>0.0694444444444445</c:v>
                </c:pt>
                <c:pt idx="8">
                  <c:v>0.0531408629441624</c:v>
                </c:pt>
                <c:pt idx="9">
                  <c:v>0.0677618069815195</c:v>
                </c:pt>
                <c:pt idx="10">
                  <c:v>0.0608365019011407</c:v>
                </c:pt>
                <c:pt idx="12">
                  <c:v>0.0670241286863271</c:v>
                </c:pt>
                <c:pt idx="13">
                  <c:v>0.0536630891273915</c:v>
                </c:pt>
                <c:pt idx="14">
                  <c:v>0.11340206185567</c:v>
                </c:pt>
                <c:pt idx="15">
                  <c:v>0.0935672514619883</c:v>
                </c:pt>
                <c:pt idx="16">
                  <c:v>0.0602006688963211</c:v>
                </c:pt>
                <c:pt idx="17">
                  <c:v>0.104347826086957</c:v>
                </c:pt>
                <c:pt idx="18">
                  <c:v>0.0579710144927536</c:v>
                </c:pt>
                <c:pt idx="19">
                  <c:v>0.0672514619883041</c:v>
                </c:pt>
                <c:pt idx="20">
                  <c:v>0.0638297872340426</c:v>
                </c:pt>
                <c:pt idx="21">
                  <c:v>0.0497301464919044</c:v>
                </c:pt>
                <c:pt idx="22">
                  <c:v>0.0551816958277254</c:v>
                </c:pt>
                <c:pt idx="23">
                  <c:v>0.0525131282820705</c:v>
                </c:pt>
                <c:pt idx="24">
                  <c:v>0.0861244019138756</c:v>
                </c:pt>
                <c:pt idx="25">
                  <c:v>0.189189189189189</c:v>
                </c:pt>
                <c:pt idx="26">
                  <c:v>0.0489130434782609</c:v>
                </c:pt>
                <c:pt idx="27">
                  <c:v>0.049618320610687</c:v>
                </c:pt>
                <c:pt idx="28">
                  <c:v>0.1</c:v>
                </c:pt>
                <c:pt idx="29">
                  <c:v>0.0595611285266458</c:v>
                </c:pt>
                <c:pt idx="30">
                  <c:v>0.15</c:v>
                </c:pt>
                <c:pt idx="31">
                  <c:v>0.0495575221238938</c:v>
                </c:pt>
                <c:pt idx="32">
                  <c:v>0.0784313725490196</c:v>
                </c:pt>
                <c:pt idx="33">
                  <c:v>0.0534927627438641</c:v>
                </c:pt>
                <c:pt idx="34">
                  <c:v>0.0627450980392157</c:v>
                </c:pt>
                <c:pt idx="35">
                  <c:v>0.0484753713838937</c:v>
                </c:pt>
                <c:pt idx="36">
                  <c:v>0.052072627612196</c:v>
                </c:pt>
                <c:pt idx="37">
                  <c:v>0.0520446096654275</c:v>
                </c:pt>
                <c:pt idx="38">
                  <c:v>0.0517970401691332</c:v>
                </c:pt>
                <c:pt idx="39">
                  <c:v>0.0617760617760618</c:v>
                </c:pt>
                <c:pt idx="40">
                  <c:v>0.0662983425414365</c:v>
                </c:pt>
                <c:pt idx="41">
                  <c:v>0.0862068965517241</c:v>
                </c:pt>
                <c:pt idx="42">
                  <c:v>0.210526315789474</c:v>
                </c:pt>
                <c:pt idx="43">
                  <c:v>0.0463231036479444</c:v>
                </c:pt>
                <c:pt idx="44">
                  <c:v>0.0440235474788841</c:v>
                </c:pt>
                <c:pt idx="45">
                  <c:v>0.0616740088105727</c:v>
                </c:pt>
                <c:pt idx="46">
                  <c:v>0.0458316870802055</c:v>
                </c:pt>
                <c:pt idx="47">
                  <c:v>0.125</c:v>
                </c:pt>
                <c:pt idx="48">
                  <c:v>0.0474956822107081</c:v>
                </c:pt>
                <c:pt idx="49">
                  <c:v>0.0842105263157895</c:v>
                </c:pt>
                <c:pt idx="50">
                  <c:v>0.0479666319082377</c:v>
                </c:pt>
                <c:pt idx="51">
                  <c:v>0.0588235294117647</c:v>
                </c:pt>
                <c:pt idx="52">
                  <c:v>0.0442477876106195</c:v>
                </c:pt>
                <c:pt idx="53">
                  <c:v>0.0520781171757637</c:v>
                </c:pt>
                <c:pt idx="54">
                  <c:v>0.192307692307692</c:v>
                </c:pt>
                <c:pt idx="55">
                  <c:v>0.0409356725146199</c:v>
                </c:pt>
                <c:pt idx="56">
                  <c:v>0.0634920634920635</c:v>
                </c:pt>
                <c:pt idx="57">
                  <c:v>0.0512396694214876</c:v>
                </c:pt>
                <c:pt idx="58">
                  <c:v>0.0662650602409639</c:v>
                </c:pt>
                <c:pt idx="59">
                  <c:v>0.0484848484848485</c:v>
                </c:pt>
                <c:pt idx="60">
                  <c:v>0.0487364620938628</c:v>
                </c:pt>
                <c:pt idx="61">
                  <c:v>0.116883116883117</c:v>
                </c:pt>
                <c:pt idx="62">
                  <c:v>0.137931034482759</c:v>
                </c:pt>
                <c:pt idx="64">
                  <c:v>0.19047619047619</c:v>
                </c:pt>
                <c:pt idx="65">
                  <c:v>0.0638297872340426</c:v>
                </c:pt>
                <c:pt idx="66">
                  <c:v>0.075</c:v>
                </c:pt>
                <c:pt idx="67">
                  <c:v>0.142857142857143</c:v>
                </c:pt>
                <c:pt idx="68">
                  <c:v>0.0418353576248313</c:v>
                </c:pt>
                <c:pt idx="69">
                  <c:v>0.0740740740740741</c:v>
                </c:pt>
                <c:pt idx="70">
                  <c:v>0.0588235294117647</c:v>
                </c:pt>
                <c:pt idx="71">
                  <c:v>0.0520833333333333</c:v>
                </c:pt>
                <c:pt idx="72">
                  <c:v>0.0491452991452991</c:v>
                </c:pt>
                <c:pt idx="73">
                  <c:v>0.0482315112540193</c:v>
                </c:pt>
                <c:pt idx="74">
                  <c:v>0.210526315789474</c:v>
                </c:pt>
                <c:pt idx="75">
                  <c:v>0.0538461538461539</c:v>
                </c:pt>
                <c:pt idx="76">
                  <c:v>0.0555555555555556</c:v>
                </c:pt>
                <c:pt idx="77">
                  <c:v>0.073394495412844</c:v>
                </c:pt>
                <c:pt idx="78">
                  <c:v>0.0579710144927536</c:v>
                </c:pt>
                <c:pt idx="79">
                  <c:v>0.0471512770137525</c:v>
                </c:pt>
                <c:pt idx="80">
                  <c:v>0.0364664926022628</c:v>
                </c:pt>
                <c:pt idx="81">
                  <c:v>0.0382809678584327</c:v>
                </c:pt>
                <c:pt idx="82">
                  <c:v>0.0504032258064516</c:v>
                </c:pt>
                <c:pt idx="83">
                  <c:v>0.0476190476190476</c:v>
                </c:pt>
                <c:pt idx="84">
                  <c:v>0.0821917808219178</c:v>
                </c:pt>
                <c:pt idx="85">
                  <c:v>0.0810810810810811</c:v>
                </c:pt>
                <c:pt idx="86">
                  <c:v>0.046875</c:v>
                </c:pt>
                <c:pt idx="87">
                  <c:v>0.0452554744525548</c:v>
                </c:pt>
                <c:pt idx="88">
                  <c:v>0.0463678516228748</c:v>
                </c:pt>
                <c:pt idx="89">
                  <c:v>0.0508474576271187</c:v>
                </c:pt>
                <c:pt idx="90">
                  <c:v>0.0487804878048781</c:v>
                </c:pt>
                <c:pt idx="91">
                  <c:v>0.0943396226415094</c:v>
                </c:pt>
                <c:pt idx="92">
                  <c:v>0.0536193029490617</c:v>
                </c:pt>
                <c:pt idx="93">
                  <c:v>0.0401337792642141</c:v>
                </c:pt>
                <c:pt idx="94">
                  <c:v>0.0552763819095477</c:v>
                </c:pt>
                <c:pt idx="95">
                  <c:v>0.0580645161290323</c:v>
                </c:pt>
                <c:pt idx="96">
                  <c:v>0.121951219512195</c:v>
                </c:pt>
                <c:pt idx="97">
                  <c:v>0.052863436123348</c:v>
                </c:pt>
                <c:pt idx="98">
                  <c:v>0.0391959798994975</c:v>
                </c:pt>
                <c:pt idx="99">
                  <c:v>0.0588235294117647</c:v>
                </c:pt>
              </c:numCache>
            </c:numRef>
          </c:yVal>
          <c:smooth val="1"/>
        </c:ser>
        <c:axId val="34244230"/>
        <c:axId val="84743868"/>
      </c:scatterChart>
      <c:valAx>
        <c:axId val="34244230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ordered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43868"/>
        <c:crosses val="autoZero"/>
        <c:crossBetween val="midCat"/>
      </c:valAx>
      <c:valAx>
        <c:axId val="84743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Refund rate (units)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442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'B-AU'!F12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'B-AU'!$A$13:$A$22</c:f>
              <c:strCache>
                <c:ptCount val="10"/>
                <c:pt idx="0">
                  <c:v>AU11-43</c:v>
                </c:pt>
                <c:pt idx="1">
                  <c:v>AU112-10</c:v>
                </c:pt>
                <c:pt idx="2">
                  <c:v>AU222-80</c:v>
                </c:pt>
                <c:pt idx="3">
                  <c:v>AU0511-17</c:v>
                </c:pt>
                <c:pt idx="4">
                  <c:v>AU11-10</c:v>
                </c:pt>
                <c:pt idx="5">
                  <c:v>AU15-50</c:v>
                </c:pt>
                <c:pt idx="6">
                  <c:v>AU100-48</c:v>
                </c:pt>
                <c:pt idx="7">
                  <c:v>AU200-61</c:v>
                </c:pt>
                <c:pt idx="8">
                  <c:v>AU1111-20</c:v>
                </c:pt>
                <c:pt idx="9">
                  <c:v>AU112-12</c:v>
                </c:pt>
              </c:strCache>
            </c:strRef>
          </c:cat>
          <c:val>
            <c:numRef>
              <c:f>'B-AU'!$F$13:$F$22</c:f>
              <c:numCache>
                <c:formatCode>\$#,##0;"($"#,##0\);\-</c:formatCode>
                <c:ptCount val="10"/>
                <c:pt idx="0">
                  <c:v>11840.22</c:v>
                </c:pt>
                <c:pt idx="1">
                  <c:v>9388.55</c:v>
                </c:pt>
                <c:pt idx="2">
                  <c:v>6215.17</c:v>
                </c:pt>
                <c:pt idx="3">
                  <c:v>5315.16</c:v>
                </c:pt>
                <c:pt idx="4">
                  <c:v>3718.19</c:v>
                </c:pt>
                <c:pt idx="5">
                  <c:v>3653.51</c:v>
                </c:pt>
                <c:pt idx="6">
                  <c:v>3306.37</c:v>
                </c:pt>
                <c:pt idx="7">
                  <c:v>3303.38</c:v>
                </c:pt>
                <c:pt idx="8">
                  <c:v>3175.22</c:v>
                </c:pt>
                <c:pt idx="9">
                  <c:v>3157.91</c:v>
                </c:pt>
              </c:numCache>
            </c:numRef>
          </c:val>
        </c:ser>
        <c:gapWidth val="150"/>
        <c:overlap val="0"/>
        <c:axId val="59017566"/>
        <c:axId val="76702718"/>
      </c:barChart>
      <c:catAx>
        <c:axId val="5901756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02718"/>
        <c:crosses val="autoZero"/>
        <c:auto val="1"/>
        <c:lblAlgn val="ctr"/>
        <c:lblOffset val="100"/>
        <c:noMultiLvlLbl val="0"/>
      </c:catAx>
      <c:valAx>
        <c:axId val="76702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17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'B-AUMJ'!F12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'B-AUMJ'!$A$13:$A$22</c:f>
              <c:strCache>
                <c:ptCount val="10"/>
                <c:pt idx="0">
                  <c:v>AUMJ-NW-005</c:v>
                </c:pt>
                <c:pt idx="1">
                  <c:v>AUMJ-NW-017</c:v>
                </c:pt>
                <c:pt idx="2">
                  <c:v>AUMJ-NW-011</c:v>
                </c:pt>
                <c:pt idx="3">
                  <c:v>AUMJ-NW-003</c:v>
                </c:pt>
                <c:pt idx="4">
                  <c:v>AUMJ-NW-019</c:v>
                </c:pt>
                <c:pt idx="5">
                  <c:v>AUMJ-NW-030</c:v>
                </c:pt>
                <c:pt idx="6">
                  <c:v>AUMJ-NW-008</c:v>
                </c:pt>
                <c:pt idx="7">
                  <c:v>AUMJ-NW-025</c:v>
                </c:pt>
                <c:pt idx="8">
                  <c:v>AUMJ-NW-007</c:v>
                </c:pt>
                <c:pt idx="9">
                  <c:v>AUMJ-NW-028</c:v>
                </c:pt>
              </c:strCache>
            </c:strRef>
          </c:cat>
          <c:val>
            <c:numRef>
              <c:f>'B-AUMJ'!$F$13:$F$22</c:f>
              <c:numCache>
                <c:formatCode>\$#,##0;"($"#,##0\);\-</c:formatCode>
                <c:ptCount val="10"/>
                <c:pt idx="0">
                  <c:v>30439.34</c:v>
                </c:pt>
                <c:pt idx="1">
                  <c:v>14074.44</c:v>
                </c:pt>
                <c:pt idx="2">
                  <c:v>9879.04</c:v>
                </c:pt>
                <c:pt idx="3">
                  <c:v>8978.84</c:v>
                </c:pt>
                <c:pt idx="4">
                  <c:v>8226.91</c:v>
                </c:pt>
                <c:pt idx="5">
                  <c:v>5585.45</c:v>
                </c:pt>
                <c:pt idx="6">
                  <c:v>3723.61</c:v>
                </c:pt>
                <c:pt idx="7">
                  <c:v>3293.44</c:v>
                </c:pt>
                <c:pt idx="8">
                  <c:v>3223.36</c:v>
                </c:pt>
                <c:pt idx="9">
                  <c:v>2874.25</c:v>
                </c:pt>
              </c:numCache>
            </c:numRef>
          </c:val>
        </c:ser>
        <c:gapWidth val="150"/>
        <c:overlap val="0"/>
        <c:axId val="21939197"/>
        <c:axId val="78924240"/>
      </c:barChart>
      <c:catAx>
        <c:axId val="219391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24240"/>
        <c:crosses val="autoZero"/>
        <c:auto val="1"/>
        <c:lblAlgn val="ctr"/>
        <c:lblOffset val="100"/>
        <c:noMultiLvlLbl val="0"/>
      </c:catAx>
      <c:valAx>
        <c:axId val="78924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391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'B-DC'!F12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'B-DC'!$A$13:$A$22</c:f>
              <c:strCache>
                <c:ptCount val="10"/>
                <c:pt idx="0">
                  <c:v>DC-04S</c:v>
                </c:pt>
                <c:pt idx="1">
                  <c:v>DC-02S</c:v>
                </c:pt>
                <c:pt idx="2">
                  <c:v>DC-03S</c:v>
                </c:pt>
                <c:pt idx="3">
                  <c:v>DC-01S</c:v>
                </c:pt>
                <c:pt idx="4">
                  <c:v>DC-02B</c:v>
                </c:pt>
                <c:pt idx="5">
                  <c:v>DC-01B</c:v>
                </c:pt>
                <c:pt idx="6">
                  <c:v>DC-01A</c:v>
                </c:pt>
                <c:pt idx="7">
                  <c:v>DC-02A</c:v>
                </c:pt>
                <c:pt idx="8">
                  <c:v>DC-04B</c:v>
                </c:pt>
                <c:pt idx="9">
                  <c:v>DC-03B</c:v>
                </c:pt>
              </c:strCache>
            </c:strRef>
          </c:cat>
          <c:val>
            <c:numRef>
              <c:f>'B-DC'!$F$13:$F$22</c:f>
              <c:numCache>
                <c:formatCode>\$#,##0;"($"#,##0\);\-</c:formatCode>
                <c:ptCount val="10"/>
                <c:pt idx="0">
                  <c:v>8683.47</c:v>
                </c:pt>
                <c:pt idx="1">
                  <c:v>6122.41</c:v>
                </c:pt>
                <c:pt idx="2">
                  <c:v>4565.17</c:v>
                </c:pt>
                <c:pt idx="3">
                  <c:v>4255.73</c:v>
                </c:pt>
                <c:pt idx="4">
                  <c:v>2889.28</c:v>
                </c:pt>
                <c:pt idx="5">
                  <c:v>2433.11</c:v>
                </c:pt>
                <c:pt idx="6">
                  <c:v>669.8</c:v>
                </c:pt>
                <c:pt idx="7">
                  <c:v>466.03</c:v>
                </c:pt>
                <c:pt idx="8">
                  <c:v>374.66</c:v>
                </c:pt>
                <c:pt idx="9">
                  <c:v>251.51</c:v>
                </c:pt>
              </c:numCache>
            </c:numRef>
          </c:val>
        </c:ser>
        <c:gapWidth val="150"/>
        <c:overlap val="0"/>
        <c:axId val="18917147"/>
        <c:axId val="64560537"/>
      </c:barChart>
      <c:catAx>
        <c:axId val="189171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60537"/>
        <c:crosses val="autoZero"/>
        <c:auto val="1"/>
        <c:lblAlgn val="ctr"/>
        <c:lblOffset val="100"/>
        <c:noMultiLvlLbl val="0"/>
      </c:catAx>
      <c:valAx>
        <c:axId val="64560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171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'B-AUSGF'!F12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'B-AUSGF'!$A$13:$A$22</c:f>
              <c:strCache>
                <c:ptCount val="10"/>
                <c:pt idx="0">
                  <c:v>AUSGF16-115</c:v>
                </c:pt>
                <c:pt idx="1">
                  <c:v>AUSGF16-110</c:v>
                </c:pt>
                <c:pt idx="2">
                  <c:v>AUSGF16-115-REG</c:v>
                </c:pt>
                <c:pt idx="3">
                  <c:v>AUSGF16-110-DEL</c:v>
                </c:pt>
                <c:pt idx="4">
                  <c:v>AUSGF16-110-GRA</c:v>
                </c:pt>
                <c:pt idx="5">
                  <c:v>AUSGF16-110-PRE</c:v>
                </c:pt>
                <c:pt idx="6">
                  <c:v>AUSGF16-110-REG</c:v>
                </c:pt>
                <c:pt idx="7">
                  <c:v>AUSGF16-115-DEL</c:v>
                </c:pt>
                <c:pt idx="8">
                  <c:v>AUSGF16-115-GRA</c:v>
                </c:pt>
                <c:pt idx="9">
                  <c:v>AUSGF16-115-PRE</c:v>
                </c:pt>
              </c:strCache>
            </c:strRef>
          </c:cat>
          <c:val>
            <c:numRef>
              <c:f>'B-AUSGF'!$F$13:$F$22</c:f>
              <c:numCache>
                <c:formatCode>\$#,##0;"($"#,##0\);\-</c:formatCode>
                <c:ptCount val="10"/>
                <c:pt idx="0">
                  <c:v>25834.89</c:v>
                </c:pt>
                <c:pt idx="1">
                  <c:v>3482.27</c:v>
                </c:pt>
                <c:pt idx="2">
                  <c:v>105.9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</c:numCache>
            </c:numRef>
          </c:val>
        </c:ser>
        <c:gapWidth val="150"/>
        <c:overlap val="0"/>
        <c:axId val="45487351"/>
        <c:axId val="11256465"/>
      </c:barChart>
      <c:catAx>
        <c:axId val="454873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56465"/>
        <c:crosses val="autoZero"/>
        <c:auto val="1"/>
        <c:lblAlgn val="ctr"/>
        <c:lblOffset val="100"/>
        <c:noMultiLvlLbl val="0"/>
      </c:catAx>
      <c:valAx>
        <c:axId val="11256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87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'B-MJ'!F12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'B-MJ'!$A$13:$A$22</c:f>
              <c:strCache>
                <c:ptCount val="10"/>
                <c:pt idx="0">
                  <c:v>MJ100-17</c:v>
                </c:pt>
                <c:pt idx="1">
                  <c:v>MJ100-04</c:v>
                </c:pt>
                <c:pt idx="2">
                  <c:v>MJ100-62</c:v>
                </c:pt>
                <c:pt idx="3">
                  <c:v>MJ100-20</c:v>
                </c:pt>
                <c:pt idx="4">
                  <c:v>MJ100-118</c:v>
                </c:pt>
                <c:pt idx="5">
                  <c:v>MJ100-11</c:v>
                </c:pt>
                <c:pt idx="6">
                  <c:v>MJ100-01</c:v>
                </c:pt>
                <c:pt idx="7">
                  <c:v>MJ100-09</c:v>
                </c:pt>
                <c:pt idx="8">
                  <c:v>MJ22-10</c:v>
                </c:pt>
                <c:pt idx="9">
                  <c:v>MJ102-53</c:v>
                </c:pt>
              </c:strCache>
            </c:strRef>
          </c:cat>
          <c:val>
            <c:numRef>
              <c:f>'B-MJ'!$F$13:$F$22</c:f>
              <c:numCache>
                <c:formatCode>\$#,##0;"($"#,##0\);\-</c:formatCode>
                <c:ptCount val="10"/>
                <c:pt idx="0">
                  <c:v>6020.46</c:v>
                </c:pt>
                <c:pt idx="1">
                  <c:v>5347.79</c:v>
                </c:pt>
                <c:pt idx="2">
                  <c:v>4429.38</c:v>
                </c:pt>
                <c:pt idx="3">
                  <c:v>3521.71</c:v>
                </c:pt>
                <c:pt idx="4">
                  <c:v>3421.93</c:v>
                </c:pt>
                <c:pt idx="5">
                  <c:v>1238.24</c:v>
                </c:pt>
                <c:pt idx="6">
                  <c:v>1085.95</c:v>
                </c:pt>
                <c:pt idx="7">
                  <c:v>1085.57</c:v>
                </c:pt>
                <c:pt idx="8">
                  <c:v>913.78</c:v>
                </c:pt>
                <c:pt idx="9">
                  <c:v>537.66</c:v>
                </c:pt>
              </c:numCache>
            </c:numRef>
          </c:val>
        </c:ser>
        <c:gapWidth val="150"/>
        <c:overlap val="0"/>
        <c:axId val="90113407"/>
        <c:axId val="27843261"/>
      </c:barChart>
      <c:catAx>
        <c:axId val="9011340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43261"/>
        <c:crosses val="autoZero"/>
        <c:auto val="1"/>
        <c:lblAlgn val="ctr"/>
        <c:lblOffset val="100"/>
        <c:noMultiLvlLbl val="0"/>
      </c:catAx>
      <c:valAx>
        <c:axId val="27843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134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'B-GF'!F12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'B-GF'!$A$13:$A$22</c:f>
              <c:strCache>
                <c:ptCount val="10"/>
                <c:pt idx="0">
                  <c:v>GF16-100</c:v>
                </c:pt>
                <c:pt idx="1">
                  <c:v>GF16-110</c:v>
                </c:pt>
                <c:pt idx="2">
                  <c:v>GF16-105</c:v>
                </c:pt>
                <c:pt idx="3">
                  <c:v>GF16-115</c:v>
                </c:pt>
                <c:pt idx="4">
                  <c:v>GF10-15</c:v>
                </c:pt>
                <c:pt idx="5">
                  <c:v>GF60-10</c:v>
                </c:pt>
                <c:pt idx="6">
                  <c:v>GF10-18</c:v>
                </c:pt>
                <c:pt idx="7">
                  <c:v>GF10-01</c:v>
                </c:pt>
                <c:pt idx="8">
                  <c:v>GF10-17</c:v>
                </c:pt>
                <c:pt idx="9">
                  <c:v>GF60-12</c:v>
                </c:pt>
              </c:strCache>
            </c:strRef>
          </c:cat>
          <c:val>
            <c:numRef>
              <c:f>'B-GF'!$F$13:$F$22</c:f>
              <c:numCache>
                <c:formatCode>\$#,##0;"($"#,##0\);\-</c:formatCode>
                <c:ptCount val="10"/>
                <c:pt idx="0">
                  <c:v>6992.71</c:v>
                </c:pt>
                <c:pt idx="1">
                  <c:v>6386.94</c:v>
                </c:pt>
                <c:pt idx="2">
                  <c:v>2843.02</c:v>
                </c:pt>
                <c:pt idx="3">
                  <c:v>2403.45</c:v>
                </c:pt>
                <c:pt idx="4">
                  <c:v>751.83</c:v>
                </c:pt>
                <c:pt idx="5">
                  <c:v>417.6</c:v>
                </c:pt>
                <c:pt idx="6">
                  <c:v>290.86</c:v>
                </c:pt>
                <c:pt idx="7">
                  <c:v>276.64</c:v>
                </c:pt>
                <c:pt idx="8">
                  <c:v>231.78</c:v>
                </c:pt>
                <c:pt idx="9">
                  <c:v>189.87</c:v>
                </c:pt>
              </c:numCache>
            </c:numRef>
          </c:val>
        </c:ser>
        <c:gapWidth val="150"/>
        <c:overlap val="0"/>
        <c:axId val="22399920"/>
        <c:axId val="37195261"/>
      </c:barChart>
      <c:catAx>
        <c:axId val="223999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95261"/>
        <c:crosses val="autoZero"/>
        <c:auto val="1"/>
        <c:lblAlgn val="ctr"/>
        <c:lblOffset val="100"/>
        <c:noMultiLvlLbl val="0"/>
      </c:catAx>
      <c:valAx>
        <c:axId val="37195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99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'B-AURP'!F12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'B-AURP'!$A$13:$A$22</c:f>
              <c:strCache>
                <c:ptCount val="10"/>
                <c:pt idx="0">
                  <c:v>AURP-B29</c:v>
                </c:pt>
                <c:pt idx="1">
                  <c:v>AURP-C02</c:v>
                </c:pt>
                <c:pt idx="2">
                  <c:v>AURP05</c:v>
                </c:pt>
                <c:pt idx="3">
                  <c:v>AURP-13sp</c:v>
                </c:pt>
                <c:pt idx="4">
                  <c:v>AURP03</c:v>
                </c:pt>
                <c:pt idx="5">
                  <c:v>AURP02-30</c:v>
                </c:pt>
                <c:pt idx="6">
                  <c:v>AURP04</c:v>
                </c:pt>
                <c:pt idx="7">
                  <c:v>AURP-B1</c:v>
                </c:pt>
                <c:pt idx="8">
                  <c:v>AURP-12</c:v>
                </c:pt>
                <c:pt idx="9">
                  <c:v>AURP-C01</c:v>
                </c:pt>
              </c:strCache>
            </c:strRef>
          </c:cat>
          <c:val>
            <c:numRef>
              <c:f>'B-AURP'!$F$13:$F$22</c:f>
              <c:numCache>
                <c:formatCode>\$#,##0;"($"#,##0\);\-</c:formatCode>
                <c:ptCount val="10"/>
                <c:pt idx="0">
                  <c:v>2915.48</c:v>
                </c:pt>
                <c:pt idx="1">
                  <c:v>1962.91</c:v>
                </c:pt>
                <c:pt idx="2">
                  <c:v>1427.63</c:v>
                </c:pt>
                <c:pt idx="3">
                  <c:v>1209.72</c:v>
                </c:pt>
                <c:pt idx="4">
                  <c:v>1180.39</c:v>
                </c:pt>
                <c:pt idx="5">
                  <c:v>820.3</c:v>
                </c:pt>
                <c:pt idx="6">
                  <c:v>811.9</c:v>
                </c:pt>
                <c:pt idx="7">
                  <c:v>750.47</c:v>
                </c:pt>
                <c:pt idx="8">
                  <c:v>743.79</c:v>
                </c:pt>
                <c:pt idx="9">
                  <c:v>710.97</c:v>
                </c:pt>
              </c:numCache>
            </c:numRef>
          </c:val>
        </c:ser>
        <c:gapWidth val="150"/>
        <c:overlap val="0"/>
        <c:axId val="53623508"/>
        <c:axId val="82823788"/>
      </c:barChart>
      <c:catAx>
        <c:axId val="536235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23788"/>
        <c:crosses val="autoZero"/>
        <c:auto val="1"/>
        <c:lblAlgn val="ctr"/>
        <c:lblOffset val="100"/>
        <c:noMultiLvlLbl val="0"/>
      </c:catAx>
      <c:valAx>
        <c:axId val="82823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235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Refund $ - top 10 SKUs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'B-AUSMJ'!F12</c:f>
              <c:strCache>
                <c:ptCount val="1"/>
                <c:pt idx="0">
                  <c:v>Refund $</c:v>
                </c:pt>
              </c:strCache>
            </c:strRef>
          </c:tx>
          <c:spPr>
            <a:solidFill>
              <a:srgbClr val="5b8db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'B-AUSMJ'!$A$13:$A$22</c:f>
              <c:strCache>
                <c:ptCount val="10"/>
                <c:pt idx="0">
                  <c:v>AUSMJ100-11</c:v>
                </c:pt>
                <c:pt idx="1">
                  <c:v>AUSMJ100-11-DEL</c:v>
                </c:pt>
                <c:pt idx="2">
                  <c:v>AUSMJ100-11-REG</c:v>
                </c:pt>
                <c:pt idx="3">
                  <c:v>AUSMJ100-11-GRA</c:v>
                </c:pt>
                <c:pt idx="4">
                  <c:v>AUSMJ100-11-PRE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'B-AUSMJ'!$F$13:$F$22</c:f>
              <c:numCache>
                <c:formatCode>\$#,##0;"($"#,##0\);\-</c:formatCode>
                <c:ptCount val="10"/>
                <c:pt idx="0">
                  <c:v>13653.88</c:v>
                </c:pt>
                <c:pt idx="1">
                  <c:v>74.95</c:v>
                </c:pt>
                <c:pt idx="2">
                  <c:v>59.95</c:v>
                </c:pt>
                <c:pt idx="3">
                  <c:v>-0</c:v>
                </c:pt>
                <c:pt idx="4">
                  <c:v>-0</c:v>
                </c:pt>
              </c:numCache>
            </c:numRef>
          </c:val>
        </c:ser>
        <c:gapWidth val="150"/>
        <c:overlap val="0"/>
        <c:axId val="43199904"/>
        <c:axId val="50883663"/>
      </c:barChart>
      <c:catAx>
        <c:axId val="431999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83663"/>
        <c:crosses val="autoZero"/>
        <c:auto val="1"/>
        <c:lblAlgn val="ctr"/>
        <c:lblOffset val="100"/>
        <c:noMultiLvlLbl val="0"/>
      </c:catAx>
      <c:valAx>
        <c:axId val="50883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99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5</xdr:col>
      <xdr:colOff>707400</xdr:colOff>
      <xdr:row>45</xdr:row>
      <xdr:rowOff>181080</xdr:rowOff>
    </xdr:to>
    <xdr:graphicFrame>
      <xdr:nvGraphicFramePr>
        <xdr:cNvPr id="0" name="Chart 1"/>
        <xdr:cNvGraphicFramePr/>
      </xdr:nvGraphicFramePr>
      <xdr:xfrm>
        <a:off x="0" y="712476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15</xdr:col>
      <xdr:colOff>425520</xdr:colOff>
      <xdr:row>45</xdr:row>
      <xdr:rowOff>181080</xdr:rowOff>
    </xdr:to>
    <xdr:graphicFrame>
      <xdr:nvGraphicFramePr>
        <xdr:cNvPr id="1" name="Chart 2"/>
        <xdr:cNvGraphicFramePr/>
      </xdr:nvGraphicFramePr>
      <xdr:xfrm>
        <a:off x="7682760" y="712476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5</xdr:col>
      <xdr:colOff>707400</xdr:colOff>
      <xdr:row>65</xdr:row>
      <xdr:rowOff>181080</xdr:rowOff>
    </xdr:to>
    <xdr:graphicFrame>
      <xdr:nvGraphicFramePr>
        <xdr:cNvPr id="2" name="Chart 3"/>
        <xdr:cNvGraphicFramePr/>
      </xdr:nvGraphicFramePr>
      <xdr:xfrm>
        <a:off x="0" y="109346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0</xdr:rowOff>
    </xdr:from>
    <xdr:to>
      <xdr:col>15</xdr:col>
      <xdr:colOff>425520</xdr:colOff>
      <xdr:row>65</xdr:row>
      <xdr:rowOff>181080</xdr:rowOff>
    </xdr:to>
    <xdr:graphicFrame>
      <xdr:nvGraphicFramePr>
        <xdr:cNvPr id="3" name="Chart 4"/>
        <xdr:cNvGraphicFramePr/>
      </xdr:nvGraphicFramePr>
      <xdr:xfrm>
        <a:off x="7682760" y="109346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68</xdr:row>
      <xdr:rowOff>0</xdr:rowOff>
    </xdr:from>
    <xdr:to>
      <xdr:col>5</xdr:col>
      <xdr:colOff>707400</xdr:colOff>
      <xdr:row>85</xdr:row>
      <xdr:rowOff>181440</xdr:rowOff>
    </xdr:to>
    <xdr:graphicFrame>
      <xdr:nvGraphicFramePr>
        <xdr:cNvPr id="4" name="Chart 5"/>
        <xdr:cNvGraphicFramePr/>
      </xdr:nvGraphicFramePr>
      <xdr:xfrm>
        <a:off x="0" y="1474488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68</xdr:row>
      <xdr:rowOff>0</xdr:rowOff>
    </xdr:from>
    <xdr:to>
      <xdr:col>15</xdr:col>
      <xdr:colOff>425520</xdr:colOff>
      <xdr:row>85</xdr:row>
      <xdr:rowOff>181440</xdr:rowOff>
    </xdr:to>
    <xdr:graphicFrame>
      <xdr:nvGraphicFramePr>
        <xdr:cNvPr id="5" name="Chart 6"/>
        <xdr:cNvGraphicFramePr/>
      </xdr:nvGraphicFramePr>
      <xdr:xfrm>
        <a:off x="7682760" y="1474488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6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7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8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9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10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11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12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20</xdr:col>
      <xdr:colOff>256320</xdr:colOff>
      <xdr:row>11</xdr:row>
      <xdr:rowOff>39960</xdr:rowOff>
    </xdr:to>
    <xdr:graphicFrame>
      <xdr:nvGraphicFramePr>
        <xdr:cNvPr id="13" name="Chart 1"/>
        <xdr:cNvGraphicFramePr/>
      </xdr:nvGraphicFramePr>
      <xdr:xfrm>
        <a:off x="114663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P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6" min="11" style="0" width="11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5.5" hidden="false" customHeight="true" outlineLevel="0" collapsed="false">
      <c r="B4" s="4" t="s">
        <v>2</v>
      </c>
      <c r="C4" s="4"/>
      <c r="D4" s="5" t="s">
        <v>3</v>
      </c>
      <c r="E4" s="5"/>
      <c r="F4" s="6" t="s">
        <v>4</v>
      </c>
      <c r="G4" s="6"/>
      <c r="H4" s="4" t="s">
        <v>5</v>
      </c>
      <c r="I4" s="4"/>
      <c r="J4" s="5" t="s">
        <v>6</v>
      </c>
      <c r="K4" s="5"/>
      <c r="L4" s="4" t="s">
        <v>7</v>
      </c>
      <c r="M4" s="4"/>
    </row>
    <row r="5" customFormat="false" ht="15" hidden="false" customHeight="false" outlineLevel="0" collapsed="false">
      <c r="B5" s="7" t="n">
        <f aca="false">Settings!$B$20</f>
        <v>12880887.81</v>
      </c>
      <c r="C5" s="7"/>
      <c r="D5" s="8" t="n">
        <f aca="false">Settings!$B$21</f>
        <v>1045073.48</v>
      </c>
      <c r="E5" s="8"/>
      <c r="F5" s="9" t="n">
        <f aca="false">Settings!$B$13</f>
        <v>542319.62</v>
      </c>
      <c r="G5" s="9"/>
      <c r="H5" s="10" t="n">
        <f aca="false">Settings!$B$3</f>
        <v>0.0309861510798204</v>
      </c>
      <c r="I5" s="10"/>
      <c r="J5" s="11" t="n">
        <f aca="false">COUNTIF('SKU Data'!$X$2:$X$1780,"HIGH RATE")</f>
        <v>60</v>
      </c>
      <c r="K5" s="11"/>
      <c r="L5" s="12" t="n">
        <f aca="false">SUMIFS('SKU Data'!$H$2:$H$1780,'SKU Data'!$Z$2:$Z$1780,"&lt;=25")/Settings!$B$16</f>
        <v>0.447281610323077</v>
      </c>
      <c r="M5" s="12"/>
    </row>
    <row r="6" customFormat="false" ht="15" hidden="false" customHeight="false" outlineLevel="0" collapsed="false">
      <c r="B6" s="7"/>
      <c r="C6" s="7"/>
      <c r="D6" s="8"/>
      <c r="E6" s="8"/>
      <c r="F6" s="9"/>
      <c r="G6" s="9"/>
      <c r="H6" s="10"/>
      <c r="I6" s="10"/>
      <c r="J6" s="11"/>
      <c r="K6" s="11"/>
      <c r="L6" s="12"/>
      <c r="M6" s="12"/>
    </row>
    <row r="8" customFormat="false" ht="21.75" hidden="false" customHeight="true" outlineLevel="0" collapsed="false">
      <c r="A8" s="13" t="s">
        <v>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customFormat="false" ht="30" hidden="false" customHeight="true" outlineLevel="0" collapsed="false">
      <c r="A9" s="15" t="s">
        <v>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customFormat="false" ht="30" hidden="false" customHeight="true" outlineLevel="0" collapsed="false">
      <c r="A10" s="15" t="s">
        <v>10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customFormat="false" ht="30" hidden="false" customHeight="true" outlineLevel="0" collapsed="false">
      <c r="A11" s="15" t="s">
        <v>11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customFormat="false" ht="30" hidden="false" customHeight="true" outlineLevel="0" collapsed="false">
      <c r="A12" s="15" t="s">
        <v>12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customFormat="false" ht="30" hidden="false" customHeight="true" outlineLevel="0" collapsed="false">
      <c r="A13" s="15" t="s">
        <v>13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5" customFormat="false" ht="21.75" hidden="false" customHeight="true" outlineLevel="0" collapsed="false">
      <c r="A15" s="16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33.75" hidden="false" customHeight="true" outlineLevel="0" collapsed="false">
      <c r="A16" s="17" t="s">
        <v>15</v>
      </c>
      <c r="B16" s="17" t="s">
        <v>16</v>
      </c>
      <c r="C16" s="17" t="s">
        <v>17</v>
      </c>
      <c r="D16" s="17" t="s">
        <v>18</v>
      </c>
      <c r="E16" s="17" t="s">
        <v>19</v>
      </c>
      <c r="F16" s="17" t="s">
        <v>20</v>
      </c>
      <c r="G16" s="17" t="s">
        <v>21</v>
      </c>
      <c r="H16" s="17" t="s">
        <v>22</v>
      </c>
      <c r="I16" s="17" t="s">
        <v>23</v>
      </c>
      <c r="J16" s="17" t="s">
        <v>24</v>
      </c>
    </row>
    <row r="17" customFormat="false" ht="15" hidden="false" customHeight="false" outlineLevel="0" collapsed="false">
      <c r="A17" s="18" t="n">
        <f aca="false">'Priority SKUs'!A5</f>
        <v>1</v>
      </c>
      <c r="B17" s="18" t="str">
        <f aca="false">'Priority SKUs'!C5</f>
        <v>AUMJ-NW-008</v>
      </c>
      <c r="C17" s="18" t="str">
        <f aca="false">'Priority SKUs'!D5</f>
        <v>Golden Hour Bouquet in Mason Jar</v>
      </c>
      <c r="D17" s="18" t="str">
        <f aca="false">'Priority SKUs'!E5</f>
        <v>AUMJ</v>
      </c>
      <c r="E17" s="19" t="n">
        <f aca="false">'Priority SKUs'!F5</f>
        <v>503</v>
      </c>
      <c r="F17" s="19" t="n">
        <f aca="false">'Priority SKUs'!G5</f>
        <v>40</v>
      </c>
      <c r="G17" s="20" t="n">
        <f aca="false">'Priority SKUs'!H5</f>
        <v>0.0795228628230616</v>
      </c>
      <c r="H17" s="21" t="n">
        <f aca="false">'Priority SKUs'!I5</f>
        <v>3723.61</v>
      </c>
      <c r="I17" s="22" t="n">
        <f aca="false">'Priority SKUs'!L5</f>
        <v>0.000289080229167837</v>
      </c>
      <c r="J17" s="23" t="str">
        <f aca="false">'Priority SKUs'!B5</f>
        <v>1 - Fix first</v>
      </c>
    </row>
    <row r="18" customFormat="false" ht="15" hidden="false" customHeight="false" outlineLevel="0" collapsed="false">
      <c r="A18" s="18" t="n">
        <f aca="false">'Priority SKUs'!A6</f>
        <v>2</v>
      </c>
      <c r="B18" s="18" t="str">
        <f aca="false">'Priority SKUs'!C6</f>
        <v>AU0511-17</v>
      </c>
      <c r="C18" s="18" t="str">
        <f aca="false">'Priority SKUs'!D6</f>
        <v>Summer Blooms</v>
      </c>
      <c r="D18" s="18" t="str">
        <f aca="false">'Priority SKUs'!E6</f>
        <v>AU</v>
      </c>
      <c r="E18" s="19" t="n">
        <f aca="false">'Priority SKUs'!F6</f>
        <v>1560</v>
      </c>
      <c r="F18" s="19" t="n">
        <f aca="false">'Priority SKUs'!G6</f>
        <v>97</v>
      </c>
      <c r="G18" s="20" t="n">
        <f aca="false">'Priority SKUs'!H6</f>
        <v>0.0621794871794872</v>
      </c>
      <c r="H18" s="21" t="n">
        <f aca="false">'Priority SKUs'!I6</f>
        <v>5315.16</v>
      </c>
      <c r="I18" s="22" t="n">
        <f aca="false">'Priority SKUs'!L6</f>
        <v>0.00041263925890835</v>
      </c>
      <c r="J18" s="23" t="str">
        <f aca="false">'Priority SKUs'!B6</f>
        <v>1 - Fix first</v>
      </c>
    </row>
    <row r="19" customFormat="false" ht="15" hidden="false" customHeight="false" outlineLevel="0" collapsed="false">
      <c r="A19" s="18" t="n">
        <f aca="false">'Priority SKUs'!A7</f>
        <v>3</v>
      </c>
      <c r="B19" s="18" t="str">
        <f aca="false">'Priority SKUs'!C7</f>
        <v>AU501-05</v>
      </c>
      <c r="C19" s="18" t="str">
        <f aca="false">'Priority SKUs'!D7</f>
        <v>Half Dozen Red Roses, Card &amp; Teddy</v>
      </c>
      <c r="D19" s="18" t="str">
        <f aca="false">'Priority SKUs'!E7</f>
        <v>AU</v>
      </c>
      <c r="E19" s="19" t="n">
        <f aca="false">'Priority SKUs'!F7</f>
        <v>390</v>
      </c>
      <c r="F19" s="19" t="n">
        <f aca="false">'Priority SKUs'!G7</f>
        <v>34</v>
      </c>
      <c r="G19" s="20" t="n">
        <f aca="false">'Priority SKUs'!H7</f>
        <v>0.0871794871794872</v>
      </c>
      <c r="H19" s="21" t="n">
        <f aca="false">'Priority SKUs'!I7</f>
        <v>2661.08</v>
      </c>
      <c r="I19" s="22" t="n">
        <f aca="false">'Priority SKUs'!L7</f>
        <v>0.0002065913498551</v>
      </c>
      <c r="J19" s="23" t="str">
        <f aca="false">'Priority SKUs'!B7</f>
        <v>1 - Fix first</v>
      </c>
    </row>
    <row r="20" customFormat="false" ht="15" hidden="false" customHeight="false" outlineLevel="0" collapsed="false">
      <c r="A20" s="18" t="n">
        <f aca="false">'Priority SKUs'!A8</f>
        <v>4</v>
      </c>
      <c r="B20" s="18" t="str">
        <f aca="false">'Priority SKUs'!C8</f>
        <v>DC-02B</v>
      </c>
      <c r="C20" s="18" t="str">
        <f aca="false">'Priority SKUs'!D8</f>
        <v>Birthday Designer Collection II</v>
      </c>
      <c r="D20" s="18" t="str">
        <f aca="false">'Priority SKUs'!E8</f>
        <v>DC</v>
      </c>
      <c r="E20" s="19" t="n">
        <f aca="false">'Priority SKUs'!F8</f>
        <v>322</v>
      </c>
      <c r="F20" s="19" t="n">
        <f aca="false">'Priority SKUs'!G8</f>
        <v>28</v>
      </c>
      <c r="G20" s="20" t="n">
        <f aca="false">'Priority SKUs'!H8</f>
        <v>0.0869565217391304</v>
      </c>
      <c r="H20" s="21" t="n">
        <f aca="false">'Priority SKUs'!I8</f>
        <v>2889.28</v>
      </c>
      <c r="I20" s="22" t="n">
        <f aca="false">'Priority SKUs'!L8</f>
        <v>0.000224307519995394</v>
      </c>
      <c r="J20" s="23" t="str">
        <f aca="false">'Priority SKUs'!B8</f>
        <v>1 - Fix first</v>
      </c>
    </row>
    <row r="21" customFormat="false" ht="15" hidden="false" customHeight="false" outlineLevel="0" collapsed="false">
      <c r="A21" s="18" t="n">
        <f aca="false">'Priority SKUs'!A9</f>
        <v>5</v>
      </c>
      <c r="B21" s="18" t="str">
        <f aca="false">'Priority SKUs'!C9</f>
        <v>AUMJ-NW-019</v>
      </c>
      <c r="C21" s="18" t="str">
        <f aca="false">'Priority SKUs'!D9</f>
        <v>Garden Party Bouquet in Mason Jar</v>
      </c>
      <c r="D21" s="18" t="str">
        <f aca="false">'Priority SKUs'!E9</f>
        <v>AUMJ</v>
      </c>
      <c r="E21" s="19" t="n">
        <f aca="false">'Priority SKUs'!F9</f>
        <v>1250</v>
      </c>
      <c r="F21" s="19" t="n">
        <f aca="false">'Priority SKUs'!G9</f>
        <v>74</v>
      </c>
      <c r="G21" s="20" t="n">
        <f aca="false">'Priority SKUs'!H9</f>
        <v>0.0592</v>
      </c>
      <c r="H21" s="21" t="n">
        <f aca="false">'Priority SKUs'!I9</f>
        <v>8226.91</v>
      </c>
      <c r="I21" s="22" t="n">
        <f aca="false">'Priority SKUs'!L9</f>
        <v>0.000638691223877681</v>
      </c>
      <c r="J21" s="23" t="str">
        <f aca="false">'Priority SKUs'!B9</f>
        <v>1 - Fix first</v>
      </c>
    </row>
    <row r="22" customFormat="false" ht="15" hidden="false" customHeight="false" outlineLevel="0" collapsed="false">
      <c r="A22" s="18" t="n">
        <f aca="false">'Priority SKUs'!A10</f>
        <v>6</v>
      </c>
      <c r="B22" s="18" t="str">
        <f aca="false">'Priority SKUs'!C10</f>
        <v>AU100-545</v>
      </c>
      <c r="C22" s="18" t="str">
        <f aca="false">'Priority SKUs'!D10</f>
        <v>Gentle Thoughts Spray</v>
      </c>
      <c r="D22" s="18" t="str">
        <f aca="false">'Priority SKUs'!E10</f>
        <v>AU</v>
      </c>
      <c r="E22" s="19" t="n">
        <f aca="false">'Priority SKUs'!F10</f>
        <v>128</v>
      </c>
      <c r="F22" s="19" t="n">
        <f aca="false">'Priority SKUs'!G10</f>
        <v>15</v>
      </c>
      <c r="G22" s="20" t="n">
        <f aca="false">'Priority SKUs'!H10</f>
        <v>0.1171875</v>
      </c>
      <c r="H22" s="21" t="n">
        <f aca="false">'Priority SKUs'!I10</f>
        <v>2729.11</v>
      </c>
      <c r="I22" s="22" t="n">
        <f aca="false">'Priority SKUs'!L10</f>
        <v>0.000211872818105074</v>
      </c>
      <c r="J22" s="23" t="str">
        <f aca="false">'Priority SKUs'!B10</f>
        <v>1 - Fix first</v>
      </c>
    </row>
    <row r="23" customFormat="false" ht="15" hidden="false" customHeight="false" outlineLevel="0" collapsed="false">
      <c r="A23" s="18" t="n">
        <f aca="false">'Priority SKUs'!A11</f>
        <v>7</v>
      </c>
      <c r="B23" s="18" t="str">
        <f aca="false">'Priority SKUs'!C11</f>
        <v>AU11-10</v>
      </c>
      <c r="C23" s="18" t="str">
        <f aca="false">'Priority SKUs'!D11</f>
        <v>Ten Long Stemmed Red Roses</v>
      </c>
      <c r="D23" s="18" t="str">
        <f aca="false">'Priority SKUs'!E11</f>
        <v>AU</v>
      </c>
      <c r="E23" s="19" t="n">
        <f aca="false">'Priority SKUs'!F11</f>
        <v>651</v>
      </c>
      <c r="F23" s="19" t="n">
        <f aca="false">'Priority SKUs'!G11</f>
        <v>41</v>
      </c>
      <c r="G23" s="20" t="n">
        <f aca="false">'Priority SKUs'!H11</f>
        <v>0.0629800307219662</v>
      </c>
      <c r="H23" s="21" t="n">
        <f aca="false">'Priority SKUs'!I11</f>
        <v>3718.19</v>
      </c>
      <c r="I23" s="22" t="n">
        <f aca="false">'Priority SKUs'!L11</f>
        <v>0.000288659450718405</v>
      </c>
      <c r="J23" s="23" t="str">
        <f aca="false">'Priority SKUs'!B11</f>
        <v>1 - Fix first</v>
      </c>
    </row>
    <row r="24" customFormat="false" ht="15" hidden="false" customHeight="false" outlineLevel="0" collapsed="false">
      <c r="A24" s="18" t="n">
        <f aca="false">'Priority SKUs'!A12</f>
        <v>8</v>
      </c>
      <c r="B24" s="18" t="str">
        <f aca="false">'Priority SKUs'!C12</f>
        <v>AU200-61</v>
      </c>
      <c r="C24" s="18" t="str">
        <f aca="false">'Priority SKUs'!D12</f>
        <v>Country Roads</v>
      </c>
      <c r="D24" s="18" t="str">
        <f aca="false">'Priority SKUs'!E12</f>
        <v>AU</v>
      </c>
      <c r="E24" s="19" t="n">
        <f aca="false">'Priority SKUs'!F12</f>
        <v>360</v>
      </c>
      <c r="F24" s="19" t="n">
        <f aca="false">'Priority SKUs'!G12</f>
        <v>25</v>
      </c>
      <c r="G24" s="20" t="n">
        <f aca="false">'Priority SKUs'!H12</f>
        <v>0.0694444444444445</v>
      </c>
      <c r="H24" s="21" t="n">
        <f aca="false">'Priority SKUs'!I12</f>
        <v>3303.38</v>
      </c>
      <c r="I24" s="22" t="n">
        <f aca="false">'Priority SKUs'!L12</f>
        <v>0.000256455925144806</v>
      </c>
      <c r="J24" s="23" t="str">
        <f aca="false">'Priority SKUs'!B12</f>
        <v>1 - Fix first</v>
      </c>
    </row>
    <row r="25" customFormat="false" ht="15" hidden="false" customHeight="false" outlineLevel="0" collapsed="false">
      <c r="A25" s="18" t="n">
        <f aca="false">'Priority SKUs'!A13</f>
        <v>9</v>
      </c>
      <c r="B25" s="18" t="str">
        <f aca="false">'Priority SKUs'!C13</f>
        <v>AUMJ-NW-005</v>
      </c>
      <c r="C25" s="18" t="str">
        <f aca="false">'Priority SKUs'!D13</f>
        <v>Native Flowers Bouquet in Mason Jar</v>
      </c>
      <c r="D25" s="18" t="str">
        <f aca="false">'Priority SKUs'!E13</f>
        <v>AUMJ</v>
      </c>
      <c r="E25" s="19" t="n">
        <f aca="false">'Priority SKUs'!F13</f>
        <v>6304</v>
      </c>
      <c r="F25" s="19" t="n">
        <f aca="false">'Priority SKUs'!G13</f>
        <v>335</v>
      </c>
      <c r="G25" s="20" t="n">
        <f aca="false">'Priority SKUs'!H13</f>
        <v>0.0531408629441624</v>
      </c>
      <c r="H25" s="21" t="n">
        <f aca="false">'Priority SKUs'!I13</f>
        <v>30439.34</v>
      </c>
      <c r="I25" s="22" t="n">
        <f aca="false">'Priority SKUs'!L13</f>
        <v>0.00236313990533856</v>
      </c>
      <c r="J25" s="23" t="str">
        <f aca="false">'Priority SKUs'!B13</f>
        <v>1 - Fix first</v>
      </c>
    </row>
    <row r="26" customFormat="false" ht="15" hidden="false" customHeight="false" outlineLevel="0" collapsed="false">
      <c r="A26" s="18" t="n">
        <f aca="false">'Priority SKUs'!A14</f>
        <v>10</v>
      </c>
      <c r="B26" s="18" t="str">
        <f aca="false">'Priority SKUs'!C14</f>
        <v>AUMJ-NW-015</v>
      </c>
      <c r="C26" s="18" t="str">
        <f aca="false">'Priority SKUs'!D14</f>
        <v>Walking on Sunshine Bouquet in Mason Jar</v>
      </c>
      <c r="D26" s="18" t="str">
        <f aca="false">'Priority SKUs'!E14</f>
        <v>AUMJ</v>
      </c>
      <c r="E26" s="19" t="n">
        <f aca="false">'Priority SKUs'!F14</f>
        <v>487</v>
      </c>
      <c r="F26" s="19" t="n">
        <f aca="false">'Priority SKUs'!G14</f>
        <v>33</v>
      </c>
      <c r="G26" s="20" t="n">
        <f aca="false">'Priority SKUs'!H14</f>
        <v>0.0677618069815195</v>
      </c>
      <c r="H26" s="21" t="n">
        <f aca="false">'Priority SKUs'!I14</f>
        <v>2389.19</v>
      </c>
      <c r="I26" s="22" t="n">
        <f aca="false">'Priority SKUs'!L14</f>
        <v>0.000185483332767262</v>
      </c>
      <c r="J26" s="23" t="str">
        <f aca="false">'Priority SKUs'!B14</f>
        <v>1 - Fix first</v>
      </c>
    </row>
    <row r="28" customFormat="false" ht="21.75" hidden="false" customHeight="true" outlineLevel="0" collapsed="false">
      <c r="A28" s="16" t="s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89" customFormat="false" ht="15" hidden="false" customHeight="false" outlineLevel="0" collapsed="false">
      <c r="A89" s="24" t="s">
        <v>26</v>
      </c>
    </row>
  </sheetData>
  <mergeCells count="17">
    <mergeCell ref="B4:C4"/>
    <mergeCell ref="D4:E4"/>
    <mergeCell ref="F4:G4"/>
    <mergeCell ref="H4:I4"/>
    <mergeCell ref="J4:K4"/>
    <mergeCell ref="L4:M4"/>
    <mergeCell ref="B5:C6"/>
    <mergeCell ref="D5:E6"/>
    <mergeCell ref="F5:G6"/>
    <mergeCell ref="H5:I6"/>
    <mergeCell ref="J5:K6"/>
    <mergeCell ref="L5:M6"/>
    <mergeCell ref="A9:P9"/>
    <mergeCell ref="A10:P10"/>
    <mergeCell ref="A11:P11"/>
    <mergeCell ref="A12:P12"/>
    <mergeCell ref="A13:P13"/>
  </mergeCells>
  <conditionalFormatting sqref="G17:G26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H17:H26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{6CDAD529-B252-4ED2-9D26-E755E7D4E050}</x14:id>
        </ext>
      </extLst>
    </cfRule>
  </conditionalFormatting>
  <conditionalFormatting sqref="F17:F26">
    <cfRule type="dataBar" priority="4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{1D859D63-11DF-4DE9-8C8D-516F9FAD72E3}</x14:id>
        </ext>
      </extLst>
    </cfRule>
  </conditionalFormatting>
  <conditionalFormatting sqref="J17:J26">
    <cfRule type="expression" priority="5" aboveAverage="0" equalAverage="0" bottom="0" percent="0" rank="0" text="" dxfId="0">
      <formula>LEFT($J17,1)="1"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DAD529-B252-4ED2-9D26-E755E7D4E050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H17:H26</xm:sqref>
        </x14:conditionalFormatting>
        <x14:conditionalFormatting xmlns:xm="http://schemas.microsoft.com/office/excel/2006/main">
          <x14:cfRule type="dataBar" id="{1D859D63-11DF-4DE9-8C8D-516F9FAD72E3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F17:F26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O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8" min="6" style="0" width="10"/>
    <col collapsed="false" customWidth="true" hidden="false" outlineLevel="0" max="10" min="9" style="0" width="11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25" t="s">
        <v>27</v>
      </c>
    </row>
    <row r="2" customFormat="false" ht="36" hidden="false" customHeight="true" outlineLevel="0" collapsed="false">
      <c r="A2" s="26" t="s">
        <v>28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4" customFormat="false" ht="42" hidden="false" customHeight="true" outlineLevel="0" collapsed="false">
      <c r="A4" s="17" t="s">
        <v>15</v>
      </c>
      <c r="B4" s="17" t="s">
        <v>24</v>
      </c>
      <c r="C4" s="17" t="s">
        <v>16</v>
      </c>
      <c r="D4" s="17" t="s">
        <v>17</v>
      </c>
      <c r="E4" s="17" t="s">
        <v>29</v>
      </c>
      <c r="F4" s="17" t="s">
        <v>19</v>
      </c>
      <c r="G4" s="17" t="s">
        <v>20</v>
      </c>
      <c r="H4" s="17" t="s">
        <v>5</v>
      </c>
      <c r="I4" s="17" t="s">
        <v>22</v>
      </c>
      <c r="J4" s="17" t="s">
        <v>30</v>
      </c>
      <c r="K4" s="17" t="s">
        <v>31</v>
      </c>
      <c r="L4" s="17" t="s">
        <v>23</v>
      </c>
      <c r="M4" s="17" t="s">
        <v>32</v>
      </c>
      <c r="N4" s="17" t="s">
        <v>33</v>
      </c>
      <c r="O4" s="17" t="s">
        <v>34</v>
      </c>
    </row>
    <row r="5" customFormat="false" ht="15" hidden="false" customHeight="false" outlineLevel="0" collapsed="false">
      <c r="A5" s="18" t="n">
        <v>1</v>
      </c>
      <c r="B5" s="23" t="str">
        <f aca="false">IFERROR(INDEX('SKU Data'!$W$2:$W$1780,MATCH($A5,'SKU Data'!$V$2:$V$1780,0)),"")</f>
        <v>1 - Fix first</v>
      </c>
      <c r="C5" s="18" t="str">
        <f aca="false">IFERROR(INDEX('SKU Data'!$A$2:$A$1780,MATCH($A5,'SKU Data'!$V$2:$V$1780,0)),"")</f>
        <v>AUMJ-NW-008</v>
      </c>
      <c r="D5" s="27" t="str">
        <f aca="false">IFERROR(INDEX('SKU Data'!$B$2:$B$1780,MATCH($A5,'SKU Data'!$V$2:$V$1780,0)),"")</f>
        <v>Golden Hour Bouquet in Mason Jar</v>
      </c>
      <c r="E5" s="18" t="str">
        <f aca="false">IFERROR(INDEX('SKU Data'!$D$2:$D$1780,MATCH($A5,'SKU Data'!$V$2:$V$1780,0)),"")</f>
        <v>AUMJ</v>
      </c>
      <c r="F5" s="19" t="n">
        <f aca="false">IFERROR(INDEX('SKU Data'!$E$2:$E$1780,MATCH($A5,'SKU Data'!$V$2:$V$1780,0)),"")</f>
        <v>503</v>
      </c>
      <c r="G5" s="19" t="n">
        <f aca="false">IFERROR(INDEX('SKU Data'!$F$2:$F$1780,MATCH($A5,'SKU Data'!$V$2:$V$1780,0)),"")</f>
        <v>40</v>
      </c>
      <c r="H5" s="20" t="n">
        <f aca="false">IFERROR(INDEX('SKU Data'!$J$2:$J$1780,MATCH($A5,'SKU Data'!$V$2:$V$1780,0)),"")</f>
        <v>0.0795228628230616</v>
      </c>
      <c r="I5" s="21" t="n">
        <f aca="false">IFERROR(INDEX('SKU Data'!$H$2:$H$1780,MATCH($A5,'SKU Data'!$V$2:$V$1780,0)),"")</f>
        <v>3723.61</v>
      </c>
      <c r="J5" s="20" t="n">
        <f aca="false">IFERROR(INDEX('SKU Data'!$K$2:$K$1780,MATCH($A5,'SKU Data'!$V$2:$V$1780,0)),"")</f>
        <v>0.0759846129327358</v>
      </c>
      <c r="K5" s="22" t="n">
        <f aca="false">IFERROR(INDEX('SKU Data'!$L$2:$L$1780,MATCH($A5,'SKU Data'!$V$2:$V$1780,0)),"")</f>
        <v>0.00744173306137919</v>
      </c>
      <c r="L5" s="22" t="n">
        <f aca="false">IFERROR(INDEX('SKU Data'!$M$2:$M$1780,MATCH($A5,'SKU Data'!$V$2:$V$1780,0)),"")</f>
        <v>0.000289080229167837</v>
      </c>
      <c r="M5" s="28" t="n">
        <f aca="false">IFERROR(H5/Settings!$B$3,"")</f>
        <v>2.56640015141637</v>
      </c>
      <c r="N5" s="29" t="n">
        <f aca="false">IFERROR(INDEX('SKU Data'!$O$2:$O$1780,MATCH($A5,'SKU Data'!$V$2:$V$1780,0)),"")</f>
        <v>6.28210996213405</v>
      </c>
      <c r="O5" s="23" t="str">
        <f aca="false">IFERROR(INDEX('SKU Data'!$X$2:$X$1780,MATCH($A5,'SKU Data'!$V$2:$V$1780,0)),"")</f>
        <v>HIGH RATE</v>
      </c>
    </row>
    <row r="6" customFormat="false" ht="15" hidden="false" customHeight="false" outlineLevel="0" collapsed="false">
      <c r="A6" s="18" t="n">
        <v>2</v>
      </c>
      <c r="B6" s="23" t="str">
        <f aca="false">IFERROR(INDEX('SKU Data'!$W$2:$W$1780,MATCH($A6,'SKU Data'!$V$2:$V$1780,0)),"")</f>
        <v>1 - Fix first</v>
      </c>
      <c r="C6" s="18" t="str">
        <f aca="false">IFERROR(INDEX('SKU Data'!$A$2:$A$1780,MATCH($A6,'SKU Data'!$V$2:$V$1780,0)),"")</f>
        <v>AU0511-17</v>
      </c>
      <c r="D6" s="27" t="str">
        <f aca="false">IFERROR(INDEX('SKU Data'!$B$2:$B$1780,MATCH($A6,'SKU Data'!$V$2:$V$1780,0)),"")</f>
        <v>Summer Blooms</v>
      </c>
      <c r="E6" s="18" t="str">
        <f aca="false">IFERROR(INDEX('SKU Data'!$D$2:$D$1780,MATCH($A6,'SKU Data'!$V$2:$V$1780,0)),"")</f>
        <v>AU</v>
      </c>
      <c r="F6" s="19" t="n">
        <f aca="false">IFERROR(INDEX('SKU Data'!$E$2:$E$1780,MATCH($A6,'SKU Data'!$V$2:$V$1780,0)),"")</f>
        <v>1560</v>
      </c>
      <c r="G6" s="19" t="n">
        <f aca="false">IFERROR(INDEX('SKU Data'!$F$2:$F$1780,MATCH($A6,'SKU Data'!$V$2:$V$1780,0)),"")</f>
        <v>97</v>
      </c>
      <c r="H6" s="20" t="n">
        <f aca="false">IFERROR(INDEX('SKU Data'!$J$2:$J$1780,MATCH($A6,'SKU Data'!$V$2:$V$1780,0)),"")</f>
        <v>0.0621794871794872</v>
      </c>
      <c r="I6" s="21" t="n">
        <f aca="false">IFERROR(INDEX('SKU Data'!$H$2:$H$1780,MATCH($A6,'SKU Data'!$V$2:$V$1780,0)),"")</f>
        <v>5315.16</v>
      </c>
      <c r="J6" s="20" t="n">
        <f aca="false">IFERROR(INDEX('SKU Data'!$K$2:$K$1780,MATCH($A6,'SKU Data'!$V$2:$V$1780,0)),"")</f>
        <v>0.0600104933346325</v>
      </c>
      <c r="K6" s="22" t="n">
        <f aca="false">IFERROR(INDEX('SKU Data'!$L$2:$L$1780,MATCH($A6,'SKU Data'!$V$2:$V$1780,0)),"")</f>
        <v>0.0106224878272752</v>
      </c>
      <c r="L6" s="22" t="n">
        <f aca="false">IFERROR(INDEX('SKU Data'!$M$2:$M$1780,MATCH($A6,'SKU Data'!$V$2:$V$1780,0)),"")</f>
        <v>0.00041263925890835</v>
      </c>
      <c r="M6" s="28" t="n">
        <f aca="false">IFERROR(H6/Settings!$B$3,"")</f>
        <v>2.00668637480378</v>
      </c>
      <c r="N6" s="29" t="n">
        <f aca="false">IFERROR(INDEX('SKU Data'!$O$2:$O$1780,MATCH($A6,'SKU Data'!$V$2:$V$1780,0)),"")</f>
        <v>7.11009354849753</v>
      </c>
      <c r="O6" s="23" t="str">
        <f aca="false">IFERROR(INDEX('SKU Data'!$X$2:$X$1780,MATCH($A6,'SKU Data'!$V$2:$V$1780,0)),"")</f>
        <v>HIGH RATE</v>
      </c>
    </row>
    <row r="7" customFormat="false" ht="15" hidden="false" customHeight="false" outlineLevel="0" collapsed="false">
      <c r="A7" s="18" t="n">
        <v>3</v>
      </c>
      <c r="B7" s="23" t="str">
        <f aca="false">IFERROR(INDEX('SKU Data'!$W$2:$W$1780,MATCH($A7,'SKU Data'!$V$2:$V$1780,0)),"")</f>
        <v>1 - Fix first</v>
      </c>
      <c r="C7" s="18" t="str">
        <f aca="false">IFERROR(INDEX('SKU Data'!$A$2:$A$1780,MATCH($A7,'SKU Data'!$V$2:$V$1780,0)),"")</f>
        <v>AU501-05</v>
      </c>
      <c r="D7" s="27" t="str">
        <f aca="false">IFERROR(INDEX('SKU Data'!$B$2:$B$1780,MATCH($A7,'SKU Data'!$V$2:$V$1780,0)),"")</f>
        <v>Half Dozen Red Roses, Card &amp; Teddy</v>
      </c>
      <c r="E7" s="18" t="str">
        <f aca="false">IFERROR(INDEX('SKU Data'!$D$2:$D$1780,MATCH($A7,'SKU Data'!$V$2:$V$1780,0)),"")</f>
        <v>AU</v>
      </c>
      <c r="F7" s="19" t="n">
        <f aca="false">IFERROR(INDEX('SKU Data'!$E$2:$E$1780,MATCH($A7,'SKU Data'!$V$2:$V$1780,0)),"")</f>
        <v>390</v>
      </c>
      <c r="G7" s="19" t="n">
        <f aca="false">IFERROR(INDEX('SKU Data'!$F$2:$F$1780,MATCH($A7,'SKU Data'!$V$2:$V$1780,0)),"")</f>
        <v>34</v>
      </c>
      <c r="H7" s="20" t="n">
        <f aca="false">IFERROR(INDEX('SKU Data'!$J$2:$J$1780,MATCH($A7,'SKU Data'!$V$2:$V$1780,0)),"")</f>
        <v>0.0871794871794872</v>
      </c>
      <c r="I7" s="21" t="n">
        <f aca="false">IFERROR(INDEX('SKU Data'!$H$2:$H$1780,MATCH($A7,'SKU Data'!$V$2:$V$1780,0)),"")</f>
        <v>2661.08</v>
      </c>
      <c r="J7" s="20" t="n">
        <f aca="false">IFERROR(INDEX('SKU Data'!$K$2:$K$1780,MATCH($A7,'SKU Data'!$V$2:$V$1780,0)),"")</f>
        <v>0.0788409280255222</v>
      </c>
      <c r="K7" s="22" t="n">
        <f aca="false">IFERROR(INDEX('SKU Data'!$L$2:$L$1780,MATCH($A7,'SKU Data'!$V$2:$V$1780,0)),"")</f>
        <v>0.00531823875620028</v>
      </c>
      <c r="L7" s="22" t="n">
        <f aca="false">IFERROR(INDEX('SKU Data'!$M$2:$M$1780,MATCH($A7,'SKU Data'!$V$2:$V$1780,0)),"")</f>
        <v>0.0002065913498551</v>
      </c>
      <c r="M7" s="28" t="n">
        <f aca="false">IFERROR(H7/Settings!$B$3,"")</f>
        <v>2.8134984224053</v>
      </c>
      <c r="N7" s="29" t="n">
        <f aca="false">IFERROR(INDEX('SKU Data'!$O$2:$O$1780,MATCH($A7,'SKU Data'!$V$2:$V$1780,0)),"")</f>
        <v>6.40425049751351</v>
      </c>
      <c r="O7" s="23" t="str">
        <f aca="false">IFERROR(INDEX('SKU Data'!$X$2:$X$1780,MATCH($A7,'SKU Data'!$V$2:$V$1780,0)),"")</f>
        <v>HIGH RATE</v>
      </c>
    </row>
    <row r="8" customFormat="false" ht="15" hidden="false" customHeight="false" outlineLevel="0" collapsed="false">
      <c r="A8" s="18" t="n">
        <v>4</v>
      </c>
      <c r="B8" s="23" t="str">
        <f aca="false">IFERROR(INDEX('SKU Data'!$W$2:$W$1780,MATCH($A8,'SKU Data'!$V$2:$V$1780,0)),"")</f>
        <v>1 - Fix first</v>
      </c>
      <c r="C8" s="18" t="str">
        <f aca="false">IFERROR(INDEX('SKU Data'!$A$2:$A$1780,MATCH($A8,'SKU Data'!$V$2:$V$1780,0)),"")</f>
        <v>DC-02B</v>
      </c>
      <c r="D8" s="27" t="str">
        <f aca="false">IFERROR(INDEX('SKU Data'!$B$2:$B$1780,MATCH($A8,'SKU Data'!$V$2:$V$1780,0)),"")</f>
        <v>Birthday Designer Collection II</v>
      </c>
      <c r="E8" s="18" t="str">
        <f aca="false">IFERROR(INDEX('SKU Data'!$D$2:$D$1780,MATCH($A8,'SKU Data'!$V$2:$V$1780,0)),"")</f>
        <v>DC</v>
      </c>
      <c r="F8" s="19" t="n">
        <f aca="false">IFERROR(INDEX('SKU Data'!$E$2:$E$1780,MATCH($A8,'SKU Data'!$V$2:$V$1780,0)),"")</f>
        <v>322</v>
      </c>
      <c r="G8" s="19" t="n">
        <f aca="false">IFERROR(INDEX('SKU Data'!$F$2:$F$1780,MATCH($A8,'SKU Data'!$V$2:$V$1780,0)),"")</f>
        <v>28</v>
      </c>
      <c r="H8" s="20" t="n">
        <f aca="false">IFERROR(INDEX('SKU Data'!$J$2:$J$1780,MATCH($A8,'SKU Data'!$V$2:$V$1780,0)),"")</f>
        <v>0.0869565217391304</v>
      </c>
      <c r="I8" s="21" t="n">
        <f aca="false">IFERROR(INDEX('SKU Data'!$H$2:$H$1780,MATCH($A8,'SKU Data'!$V$2:$V$1780,0)),"")</f>
        <v>2889.28</v>
      </c>
      <c r="J8" s="20" t="n">
        <f aca="false">IFERROR(INDEX('SKU Data'!$K$2:$K$1780,MATCH($A8,'SKU Data'!$V$2:$V$1780,0)),"")</f>
        <v>0.0830972811214314</v>
      </c>
      <c r="K8" s="22" t="n">
        <f aca="false">IFERROR(INDEX('SKU Data'!$L$2:$L$1780,MATCH($A8,'SKU Data'!$V$2:$V$1780,0)),"")</f>
        <v>0.00577430249128713</v>
      </c>
      <c r="L8" s="22" t="n">
        <f aca="false">IFERROR(INDEX('SKU Data'!$M$2:$M$1780,MATCH($A8,'SKU Data'!$V$2:$V$1780,0)),"")</f>
        <v>0.000224307519995394</v>
      </c>
      <c r="M8" s="28" t="n">
        <f aca="false">IFERROR(H8/Settings!$B$3,"")</f>
        <v>2.80630277426616</v>
      </c>
      <c r="N8" s="29" t="n">
        <f aca="false">IFERROR(INDEX('SKU Data'!$O$2:$O$1780,MATCH($A8,'SKU Data'!$V$2:$V$1780,0)),"")</f>
        <v>5.79611921987906</v>
      </c>
      <c r="O8" s="23" t="str">
        <f aca="false">IFERROR(INDEX('SKU Data'!$X$2:$X$1780,MATCH($A8,'SKU Data'!$V$2:$V$1780,0)),"")</f>
        <v>HIGH RATE</v>
      </c>
    </row>
    <row r="9" customFormat="false" ht="15" hidden="false" customHeight="false" outlineLevel="0" collapsed="false">
      <c r="A9" s="18" t="n">
        <v>5</v>
      </c>
      <c r="B9" s="23" t="str">
        <f aca="false">IFERROR(INDEX('SKU Data'!$W$2:$W$1780,MATCH($A9,'SKU Data'!$V$2:$V$1780,0)),"")</f>
        <v>1 - Fix first</v>
      </c>
      <c r="C9" s="18" t="str">
        <f aca="false">IFERROR(INDEX('SKU Data'!$A$2:$A$1780,MATCH($A9,'SKU Data'!$V$2:$V$1780,0)),"")</f>
        <v>AUMJ-NW-019</v>
      </c>
      <c r="D9" s="27" t="str">
        <f aca="false">IFERROR(INDEX('SKU Data'!$B$2:$B$1780,MATCH($A9,'SKU Data'!$V$2:$V$1780,0)),"")</f>
        <v>Garden Party Bouquet in Mason Jar</v>
      </c>
      <c r="E9" s="18" t="str">
        <f aca="false">IFERROR(INDEX('SKU Data'!$D$2:$D$1780,MATCH($A9,'SKU Data'!$V$2:$V$1780,0)),"")</f>
        <v>AUMJ</v>
      </c>
      <c r="F9" s="19" t="n">
        <f aca="false">IFERROR(INDEX('SKU Data'!$E$2:$E$1780,MATCH($A9,'SKU Data'!$V$2:$V$1780,0)),"")</f>
        <v>1250</v>
      </c>
      <c r="G9" s="19" t="n">
        <f aca="false">IFERROR(INDEX('SKU Data'!$F$2:$F$1780,MATCH($A9,'SKU Data'!$V$2:$V$1780,0)),"")</f>
        <v>74</v>
      </c>
      <c r="H9" s="20" t="n">
        <f aca="false">IFERROR(INDEX('SKU Data'!$J$2:$J$1780,MATCH($A9,'SKU Data'!$V$2:$V$1780,0)),"")</f>
        <v>0.0592</v>
      </c>
      <c r="I9" s="21" t="n">
        <f aca="false">IFERROR(INDEX('SKU Data'!$H$2:$H$1780,MATCH($A9,'SKU Data'!$V$2:$V$1780,0)),"")</f>
        <v>8226.91</v>
      </c>
      <c r="J9" s="20" t="n">
        <f aca="false">IFERROR(INDEX('SKU Data'!$K$2:$K$1780,MATCH($A9,'SKU Data'!$V$2:$V$1780,0)),"")</f>
        <v>0.059694510526506</v>
      </c>
      <c r="K9" s="22" t="n">
        <f aca="false">IFERROR(INDEX('SKU Data'!$L$2:$L$1780,MATCH($A9,'SKU Data'!$V$2:$V$1780,0)),"")</f>
        <v>0.0164416972078147</v>
      </c>
      <c r="L9" s="22" t="n">
        <f aca="false">IFERROR(INDEX('SKU Data'!$M$2:$M$1780,MATCH($A9,'SKU Data'!$V$2:$V$1780,0)),"")</f>
        <v>0.000638691223877681</v>
      </c>
      <c r="M9" s="28" t="n">
        <f aca="false">IFERROR(H9/Settings!$B$3,"")</f>
        <v>1.9105309287204</v>
      </c>
      <c r="N9" s="29" t="n">
        <f aca="false">IFERROR(INDEX('SKU Data'!$O$2:$O$1780,MATCH($A9,'SKU Data'!$V$2:$V$1780,0)),"")</f>
        <v>5.75663288077568</v>
      </c>
      <c r="O9" s="23" t="str">
        <f aca="false">IFERROR(INDEX('SKU Data'!$X$2:$X$1780,MATCH($A9,'SKU Data'!$V$2:$V$1780,0)),"")</f>
        <v>HIGH RATE</v>
      </c>
    </row>
    <row r="10" customFormat="false" ht="15" hidden="false" customHeight="false" outlineLevel="0" collapsed="false">
      <c r="A10" s="18" t="n">
        <v>6</v>
      </c>
      <c r="B10" s="23" t="str">
        <f aca="false">IFERROR(INDEX('SKU Data'!$W$2:$W$1780,MATCH($A10,'SKU Data'!$V$2:$V$1780,0)),"")</f>
        <v>1 - Fix first</v>
      </c>
      <c r="C10" s="18" t="str">
        <f aca="false">IFERROR(INDEX('SKU Data'!$A$2:$A$1780,MATCH($A10,'SKU Data'!$V$2:$V$1780,0)),"")</f>
        <v>AU100-545</v>
      </c>
      <c r="D10" s="27" t="str">
        <f aca="false">IFERROR(INDEX('SKU Data'!$B$2:$B$1780,MATCH($A10,'SKU Data'!$V$2:$V$1780,0)),"")</f>
        <v>Gentle Thoughts Spray</v>
      </c>
      <c r="E10" s="18" t="str">
        <f aca="false">IFERROR(INDEX('SKU Data'!$D$2:$D$1780,MATCH($A10,'SKU Data'!$V$2:$V$1780,0)),"")</f>
        <v>AU</v>
      </c>
      <c r="F10" s="19" t="n">
        <f aca="false">IFERROR(INDEX('SKU Data'!$E$2:$E$1780,MATCH($A10,'SKU Data'!$V$2:$V$1780,0)),"")</f>
        <v>128</v>
      </c>
      <c r="G10" s="19" t="n">
        <f aca="false">IFERROR(INDEX('SKU Data'!$F$2:$F$1780,MATCH($A10,'SKU Data'!$V$2:$V$1780,0)),"")</f>
        <v>15</v>
      </c>
      <c r="H10" s="20" t="n">
        <f aca="false">IFERROR(INDEX('SKU Data'!$J$2:$J$1780,MATCH($A10,'SKU Data'!$V$2:$V$1780,0)),"")</f>
        <v>0.1171875</v>
      </c>
      <c r="I10" s="21" t="n">
        <f aca="false">IFERROR(INDEX('SKU Data'!$H$2:$H$1780,MATCH($A10,'SKU Data'!$V$2:$V$1780,0)),"")</f>
        <v>2729.11</v>
      </c>
      <c r="J10" s="20" t="n">
        <f aca="false">IFERROR(INDEX('SKU Data'!$K$2:$K$1780,MATCH($A10,'SKU Data'!$V$2:$V$1780,0)),"")</f>
        <v>0.106513991057713</v>
      </c>
      <c r="K10" s="22" t="n">
        <f aca="false">IFERROR(INDEX('SKU Data'!$L$2:$L$1780,MATCH($A10,'SKU Data'!$V$2:$V$1780,0)),"")</f>
        <v>0.00545419851035435</v>
      </c>
      <c r="L10" s="22" t="n">
        <f aca="false">IFERROR(INDEX('SKU Data'!$M$2:$M$1780,MATCH($A10,'SKU Data'!$V$2:$V$1780,0)),"")</f>
        <v>0.000211872818105074</v>
      </c>
      <c r="M10" s="28" t="n">
        <f aca="false">IFERROR(H10/Settings!$B$3,"")</f>
        <v>3.78193147313213</v>
      </c>
      <c r="N10" s="29" t="n">
        <f aca="false">IFERROR(INDEX('SKU Data'!$O$2:$O$1780,MATCH($A10,'SKU Data'!$V$2:$V$1780,0)),"")</f>
        <v>5.62820927796152</v>
      </c>
      <c r="O10" s="23" t="str">
        <f aca="false">IFERROR(INDEX('SKU Data'!$X$2:$X$1780,MATCH($A10,'SKU Data'!$V$2:$V$1780,0)),"")</f>
        <v>HIGH RATE</v>
      </c>
    </row>
    <row r="11" customFormat="false" ht="15" hidden="false" customHeight="false" outlineLevel="0" collapsed="false">
      <c r="A11" s="18" t="n">
        <v>7</v>
      </c>
      <c r="B11" s="23" t="str">
        <f aca="false">IFERROR(INDEX('SKU Data'!$W$2:$W$1780,MATCH($A11,'SKU Data'!$V$2:$V$1780,0)),"")</f>
        <v>1 - Fix first</v>
      </c>
      <c r="C11" s="18" t="str">
        <f aca="false">IFERROR(INDEX('SKU Data'!$A$2:$A$1780,MATCH($A11,'SKU Data'!$V$2:$V$1780,0)),"")</f>
        <v>AU11-10</v>
      </c>
      <c r="D11" s="27" t="str">
        <f aca="false">IFERROR(INDEX('SKU Data'!$B$2:$B$1780,MATCH($A11,'SKU Data'!$V$2:$V$1780,0)),"")</f>
        <v>Ten Long Stemmed Red Roses</v>
      </c>
      <c r="E11" s="18" t="str">
        <f aca="false">IFERROR(INDEX('SKU Data'!$D$2:$D$1780,MATCH($A11,'SKU Data'!$V$2:$V$1780,0)),"")</f>
        <v>AU</v>
      </c>
      <c r="F11" s="19" t="n">
        <f aca="false">IFERROR(INDEX('SKU Data'!$E$2:$E$1780,MATCH($A11,'SKU Data'!$V$2:$V$1780,0)),"")</f>
        <v>651</v>
      </c>
      <c r="G11" s="19" t="n">
        <f aca="false">IFERROR(INDEX('SKU Data'!$F$2:$F$1780,MATCH($A11,'SKU Data'!$V$2:$V$1780,0)),"")</f>
        <v>41</v>
      </c>
      <c r="H11" s="20" t="n">
        <f aca="false">IFERROR(INDEX('SKU Data'!$J$2:$J$1780,MATCH($A11,'SKU Data'!$V$2:$V$1780,0)),"")</f>
        <v>0.0629800307219662</v>
      </c>
      <c r="I11" s="21" t="n">
        <f aca="false">IFERROR(INDEX('SKU Data'!$H$2:$H$1780,MATCH($A11,'SKU Data'!$V$2:$V$1780,0)),"")</f>
        <v>3718.19</v>
      </c>
      <c r="J11" s="20" t="n">
        <f aca="false">IFERROR(INDEX('SKU Data'!$K$2:$K$1780,MATCH($A11,'SKU Data'!$V$2:$V$1780,0)),"")</f>
        <v>0.0591467585478447</v>
      </c>
      <c r="K11" s="22" t="n">
        <f aca="false">IFERROR(INDEX('SKU Data'!$L$2:$L$1780,MATCH($A11,'SKU Data'!$V$2:$V$1780,0)),"")</f>
        <v>0.00743090104803926</v>
      </c>
      <c r="L11" s="22" t="n">
        <f aca="false">IFERROR(INDEX('SKU Data'!$M$2:$M$1780,MATCH($A11,'SKU Data'!$V$2:$V$1780,0)),"")</f>
        <v>0.000288659450718405</v>
      </c>
      <c r="M11" s="28" t="n">
        <f aca="false">IFERROR(H11/Settings!$B$3,"")</f>
        <v>2.03252190179185</v>
      </c>
      <c r="N11" s="29" t="n">
        <f aca="false">IFERROR(INDEX('SKU Data'!$O$2:$O$1780,MATCH($A11,'SKU Data'!$V$2:$V$1780,0)),"")</f>
        <v>4.71095105379844</v>
      </c>
      <c r="O11" s="23" t="str">
        <f aca="false">IFERROR(INDEX('SKU Data'!$X$2:$X$1780,MATCH($A11,'SKU Data'!$V$2:$V$1780,0)),"")</f>
        <v>HIGH RATE</v>
      </c>
    </row>
    <row r="12" customFormat="false" ht="15" hidden="false" customHeight="false" outlineLevel="0" collapsed="false">
      <c r="A12" s="18" t="n">
        <v>8</v>
      </c>
      <c r="B12" s="23" t="str">
        <f aca="false">IFERROR(INDEX('SKU Data'!$W$2:$W$1780,MATCH($A12,'SKU Data'!$V$2:$V$1780,0)),"")</f>
        <v>1 - Fix first</v>
      </c>
      <c r="C12" s="18" t="str">
        <f aca="false">IFERROR(INDEX('SKU Data'!$A$2:$A$1780,MATCH($A12,'SKU Data'!$V$2:$V$1780,0)),"")</f>
        <v>AU200-61</v>
      </c>
      <c r="D12" s="27" t="str">
        <f aca="false">IFERROR(INDEX('SKU Data'!$B$2:$B$1780,MATCH($A12,'SKU Data'!$V$2:$V$1780,0)),"")</f>
        <v>Country Roads</v>
      </c>
      <c r="E12" s="18" t="str">
        <f aca="false">IFERROR(INDEX('SKU Data'!$D$2:$D$1780,MATCH($A12,'SKU Data'!$V$2:$V$1780,0)),"")</f>
        <v>AU</v>
      </c>
      <c r="F12" s="19" t="n">
        <f aca="false">IFERROR(INDEX('SKU Data'!$E$2:$E$1780,MATCH($A12,'SKU Data'!$V$2:$V$1780,0)),"")</f>
        <v>360</v>
      </c>
      <c r="G12" s="19" t="n">
        <f aca="false">IFERROR(INDEX('SKU Data'!$F$2:$F$1780,MATCH($A12,'SKU Data'!$V$2:$V$1780,0)),"")</f>
        <v>25</v>
      </c>
      <c r="H12" s="20" t="n">
        <f aca="false">IFERROR(INDEX('SKU Data'!$J$2:$J$1780,MATCH($A12,'SKU Data'!$V$2:$V$1780,0)),"")</f>
        <v>0.0694444444444445</v>
      </c>
      <c r="I12" s="21" t="n">
        <f aca="false">IFERROR(INDEX('SKU Data'!$H$2:$H$1780,MATCH($A12,'SKU Data'!$V$2:$V$1780,0)),"")</f>
        <v>3303.38</v>
      </c>
      <c r="J12" s="20" t="n">
        <f aca="false">IFERROR(INDEX('SKU Data'!$K$2:$K$1780,MATCH($A12,'SKU Data'!$V$2:$V$1780,0)),"")</f>
        <v>0.0691555473305115</v>
      </c>
      <c r="K12" s="22" t="n">
        <f aca="false">IFERROR(INDEX('SKU Data'!$L$2:$L$1780,MATCH($A12,'SKU Data'!$V$2:$V$1780,0)),"")</f>
        <v>0.00660189229277469</v>
      </c>
      <c r="L12" s="22" t="n">
        <f aca="false">IFERROR(INDEX('SKU Data'!$M$2:$M$1780,MATCH($A12,'SKU Data'!$V$2:$V$1780,0)),"")</f>
        <v>0.000256455925144806</v>
      </c>
      <c r="M12" s="28" t="n">
        <f aca="false">IFERROR(H12/Settings!$B$3,"")</f>
        <v>2.24114457667089</v>
      </c>
      <c r="N12" s="29" t="n">
        <f aca="false">IFERROR(INDEX('SKU Data'!$O$2:$O$1780,MATCH($A12,'SKU Data'!$V$2:$V$1780,0)),"")</f>
        <v>4.21106989009751</v>
      </c>
      <c r="O12" s="23" t="str">
        <f aca="false">IFERROR(INDEX('SKU Data'!$X$2:$X$1780,MATCH($A12,'SKU Data'!$V$2:$V$1780,0)),"")</f>
        <v>HIGH RATE</v>
      </c>
    </row>
    <row r="13" customFormat="false" ht="15" hidden="false" customHeight="false" outlineLevel="0" collapsed="false">
      <c r="A13" s="18" t="n">
        <v>9</v>
      </c>
      <c r="B13" s="23" t="str">
        <f aca="false">IFERROR(INDEX('SKU Data'!$W$2:$W$1780,MATCH($A13,'SKU Data'!$V$2:$V$1780,0)),"")</f>
        <v>1 - Fix first</v>
      </c>
      <c r="C13" s="18" t="str">
        <f aca="false">IFERROR(INDEX('SKU Data'!$A$2:$A$1780,MATCH($A13,'SKU Data'!$V$2:$V$1780,0)),"")</f>
        <v>AUMJ-NW-005</v>
      </c>
      <c r="D13" s="27" t="str">
        <f aca="false">IFERROR(INDEX('SKU Data'!$B$2:$B$1780,MATCH($A13,'SKU Data'!$V$2:$V$1780,0)),"")</f>
        <v>Native Flowers Bouquet in Mason Jar</v>
      </c>
      <c r="E13" s="18" t="str">
        <f aca="false">IFERROR(INDEX('SKU Data'!$D$2:$D$1780,MATCH($A13,'SKU Data'!$V$2:$V$1780,0)),"")</f>
        <v>AUMJ</v>
      </c>
      <c r="F13" s="19" t="n">
        <f aca="false">IFERROR(INDEX('SKU Data'!$E$2:$E$1780,MATCH($A13,'SKU Data'!$V$2:$V$1780,0)),"")</f>
        <v>6304</v>
      </c>
      <c r="G13" s="19" t="n">
        <f aca="false">IFERROR(INDEX('SKU Data'!$F$2:$F$1780,MATCH($A13,'SKU Data'!$V$2:$V$1780,0)),"")</f>
        <v>335</v>
      </c>
      <c r="H13" s="20" t="n">
        <f aca="false">IFERROR(INDEX('SKU Data'!$J$2:$J$1780,MATCH($A13,'SKU Data'!$V$2:$V$1780,0)),"")</f>
        <v>0.0531408629441624</v>
      </c>
      <c r="I13" s="21" t="n">
        <f aca="false">IFERROR(INDEX('SKU Data'!$H$2:$H$1780,MATCH($A13,'SKU Data'!$V$2:$V$1780,0)),"")</f>
        <v>30439.34</v>
      </c>
      <c r="J13" s="20" t="n">
        <f aca="false">IFERROR(INDEX('SKU Data'!$K$2:$K$1780,MATCH($A13,'SKU Data'!$V$2:$V$1780,0)),"")</f>
        <v>0.0515220221390055</v>
      </c>
      <c r="K13" s="22" t="n">
        <f aca="false">IFERROR(INDEX('SKU Data'!$L$2:$L$1780,MATCH($A13,'SKU Data'!$V$2:$V$1780,0)),"")</f>
        <v>0.0608338260034112</v>
      </c>
      <c r="L13" s="22" t="n">
        <f aca="false">IFERROR(INDEX('SKU Data'!$M$2:$M$1780,MATCH($A13,'SKU Data'!$V$2:$V$1780,0)),"")</f>
        <v>0.00236313990533856</v>
      </c>
      <c r="M13" s="28" t="n">
        <f aca="false">IFERROR(H13/Settings!$B$3,"")</f>
        <v>1.71498753773166</v>
      </c>
      <c r="N13" s="29" t="n">
        <f aca="false">IFERROR(INDEX('SKU Data'!$O$2:$O$1780,MATCH($A13,'SKU Data'!$V$2:$V$1780,0)),"")</f>
        <v>10.1513873447209</v>
      </c>
      <c r="O13" s="23" t="str">
        <f aca="false">IFERROR(INDEX('SKU Data'!$X$2:$X$1780,MATCH($A13,'SKU Data'!$V$2:$V$1780,0)),"")</f>
        <v>HIGH RATE</v>
      </c>
    </row>
    <row r="14" customFormat="false" ht="15" hidden="false" customHeight="false" outlineLevel="0" collapsed="false">
      <c r="A14" s="18" t="n">
        <v>10</v>
      </c>
      <c r="B14" s="23" t="str">
        <f aca="false">IFERROR(INDEX('SKU Data'!$W$2:$W$1780,MATCH($A14,'SKU Data'!$V$2:$V$1780,0)),"")</f>
        <v>1 - Fix first</v>
      </c>
      <c r="C14" s="18" t="str">
        <f aca="false">IFERROR(INDEX('SKU Data'!$A$2:$A$1780,MATCH($A14,'SKU Data'!$V$2:$V$1780,0)),"")</f>
        <v>AUMJ-NW-015</v>
      </c>
      <c r="D14" s="27" t="str">
        <f aca="false">IFERROR(INDEX('SKU Data'!$B$2:$B$1780,MATCH($A14,'SKU Data'!$V$2:$V$1780,0)),"")</f>
        <v>Walking on Sunshine Bouquet in Mason Jar</v>
      </c>
      <c r="E14" s="18" t="str">
        <f aca="false">IFERROR(INDEX('SKU Data'!$D$2:$D$1780,MATCH($A14,'SKU Data'!$V$2:$V$1780,0)),"")</f>
        <v>AUMJ</v>
      </c>
      <c r="F14" s="19" t="n">
        <f aca="false">IFERROR(INDEX('SKU Data'!$E$2:$E$1780,MATCH($A14,'SKU Data'!$V$2:$V$1780,0)),"")</f>
        <v>487</v>
      </c>
      <c r="G14" s="19" t="n">
        <f aca="false">IFERROR(INDEX('SKU Data'!$F$2:$F$1780,MATCH($A14,'SKU Data'!$V$2:$V$1780,0)),"")</f>
        <v>33</v>
      </c>
      <c r="H14" s="20" t="n">
        <f aca="false">IFERROR(INDEX('SKU Data'!$J$2:$J$1780,MATCH($A14,'SKU Data'!$V$2:$V$1780,0)),"")</f>
        <v>0.0677618069815195</v>
      </c>
      <c r="I14" s="21" t="n">
        <f aca="false">IFERROR(INDEX('SKU Data'!$H$2:$H$1780,MATCH($A14,'SKU Data'!$V$2:$V$1780,0)),"")</f>
        <v>2389.19</v>
      </c>
      <c r="J14" s="20" t="n">
        <f aca="false">IFERROR(INDEX('SKU Data'!$K$2:$K$1780,MATCH($A14,'SKU Data'!$V$2:$V$1780,0)),"")</f>
        <v>0.0598853921341567</v>
      </c>
      <c r="K14" s="22" t="n">
        <f aca="false">IFERROR(INDEX('SKU Data'!$L$2:$L$1780,MATCH($A14,'SKU Data'!$V$2:$V$1780,0)),"")</f>
        <v>0.0047748594006667</v>
      </c>
      <c r="L14" s="22" t="n">
        <f aca="false">IFERROR(INDEX('SKU Data'!$M$2:$M$1780,MATCH($A14,'SKU Data'!$V$2:$V$1780,0)),"")</f>
        <v>0.000185483332767262</v>
      </c>
      <c r="M14" s="28" t="n">
        <f aca="false">IFERROR(H14/Settings!$B$3,"")</f>
        <v>2.18684168959755</v>
      </c>
      <c r="N14" s="29" t="n">
        <f aca="false">IFERROR(INDEX('SKU Data'!$O$2:$O$1780,MATCH($A14,'SKU Data'!$V$2:$V$1780,0)),"")</f>
        <v>4.68356011405258</v>
      </c>
      <c r="O14" s="23" t="str">
        <f aca="false">IFERROR(INDEX('SKU Data'!$X$2:$X$1780,MATCH($A14,'SKU Data'!$V$2:$V$1780,0)),"")</f>
        <v>HIGH RATE</v>
      </c>
    </row>
    <row r="15" customFormat="false" ht="15" hidden="false" customHeight="false" outlineLevel="0" collapsed="false">
      <c r="A15" s="18" t="n">
        <v>11</v>
      </c>
      <c r="B15" s="23" t="str">
        <f aca="false">IFERROR(INDEX('SKU Data'!$W$2:$W$1780,MATCH($A15,'SKU Data'!$V$2:$V$1780,0)),"")</f>
        <v>1 - Fix first</v>
      </c>
      <c r="C15" s="18" t="str">
        <f aca="false">IFERROR(INDEX('SKU Data'!$A$2:$A$1780,MATCH($A15,'SKU Data'!$V$2:$V$1780,0)),"")</f>
        <v>AUMJ-NW-007</v>
      </c>
      <c r="D15" s="27" t="str">
        <f aca="false">IFERROR(INDEX('SKU Data'!$B$2:$B$1780,MATCH($A15,'SKU Data'!$V$2:$V$1780,0)),"")</f>
        <v>Pick-Me-Up Bouquet in Mason Jar</v>
      </c>
      <c r="E15" s="18" t="str">
        <f aca="false">IFERROR(INDEX('SKU Data'!$D$2:$D$1780,MATCH($A15,'SKU Data'!$V$2:$V$1780,0)),"")</f>
        <v>AUMJ</v>
      </c>
      <c r="F15" s="19" t="n">
        <f aca="false">IFERROR(INDEX('SKU Data'!$E$2:$E$1780,MATCH($A15,'SKU Data'!$V$2:$V$1780,0)),"")</f>
        <v>789</v>
      </c>
      <c r="G15" s="19" t="n">
        <f aca="false">IFERROR(INDEX('SKU Data'!$F$2:$F$1780,MATCH($A15,'SKU Data'!$V$2:$V$1780,0)),"")</f>
        <v>48</v>
      </c>
      <c r="H15" s="20" t="n">
        <f aca="false">IFERROR(INDEX('SKU Data'!$J$2:$J$1780,MATCH($A15,'SKU Data'!$V$2:$V$1780,0)),"")</f>
        <v>0.0608365019011407</v>
      </c>
      <c r="I15" s="21" t="n">
        <f aca="false">IFERROR(INDEX('SKU Data'!$H$2:$H$1780,MATCH($A15,'SKU Data'!$V$2:$V$1780,0)),"")</f>
        <v>3223.36</v>
      </c>
      <c r="J15" s="20" t="n">
        <f aca="false">IFERROR(INDEX('SKU Data'!$K$2:$K$1780,MATCH($A15,'SKU Data'!$V$2:$V$1780,0)),"")</f>
        <v>0.0576692213860751</v>
      </c>
      <c r="K15" s="22" t="n">
        <f aca="false">IFERROR(INDEX('SKU Data'!$L$2:$L$1780,MATCH($A15,'SKU Data'!$V$2:$V$1780,0)),"")</f>
        <v>0.00644197020652732</v>
      </c>
      <c r="L15" s="22" t="n">
        <f aca="false">IFERROR(INDEX('SKU Data'!$M$2:$M$1780,MATCH($A15,'SKU Data'!$V$2:$V$1780,0)),"")</f>
        <v>0.000250243620435663</v>
      </c>
      <c r="M15" s="28" t="n">
        <f aca="false">IFERROR(H15/Settings!$B$3,"")</f>
        <v>1.96334490671093</v>
      </c>
      <c r="N15" s="29" t="n">
        <f aca="false">IFERROR(INDEX('SKU Data'!$O$2:$O$1780,MATCH($A15,'SKU Data'!$V$2:$V$1780,0)),"")</f>
        <v>4.83881626983251</v>
      </c>
      <c r="O15" s="23" t="str">
        <f aca="false">IFERROR(INDEX('SKU Data'!$X$2:$X$1780,MATCH($A15,'SKU Data'!$V$2:$V$1780,0)),"")</f>
        <v>HIGH RATE</v>
      </c>
    </row>
    <row r="16" customFormat="false" ht="15" hidden="false" customHeight="false" outlineLevel="0" collapsed="false">
      <c r="A16" s="18" t="n">
        <v>12</v>
      </c>
      <c r="B16" s="23" t="str">
        <f aca="false">IFERROR(INDEX('SKU Data'!$W$2:$W$1780,MATCH($A16,'SKU Data'!$V$2:$V$1780,0)),"")</f>
        <v/>
      </c>
      <c r="C16" s="18" t="str">
        <f aca="false">IFERROR(INDEX('SKU Data'!$A$2:$A$1780,MATCH($A16,'SKU Data'!$V$2:$V$1780,0)),"")</f>
        <v/>
      </c>
      <c r="D16" s="27" t="str">
        <f aca="false">IFERROR(INDEX('SKU Data'!$B$2:$B$1780,MATCH($A16,'SKU Data'!$V$2:$V$1780,0)),"")</f>
        <v/>
      </c>
      <c r="E16" s="18" t="str">
        <f aca="false">IFERROR(INDEX('SKU Data'!$D$2:$D$1780,MATCH($A16,'SKU Data'!$V$2:$V$1780,0)),"")</f>
        <v/>
      </c>
      <c r="F16" s="19" t="str">
        <f aca="false">IFERROR(INDEX('SKU Data'!$E$2:$E$1780,MATCH($A16,'SKU Data'!$V$2:$V$1780,0)),"")</f>
        <v/>
      </c>
      <c r="G16" s="19" t="str">
        <f aca="false">IFERROR(INDEX('SKU Data'!$F$2:$F$1780,MATCH($A16,'SKU Data'!$V$2:$V$1780,0)),"")</f>
        <v/>
      </c>
      <c r="H16" s="20" t="str">
        <f aca="false">IFERROR(INDEX('SKU Data'!$J$2:$J$1780,MATCH($A16,'SKU Data'!$V$2:$V$1780,0)),"")</f>
        <v/>
      </c>
      <c r="I16" s="21" t="str">
        <f aca="false">IFERROR(INDEX('SKU Data'!$H$2:$H$1780,MATCH($A16,'SKU Data'!$V$2:$V$1780,0)),"")</f>
        <v/>
      </c>
      <c r="J16" s="20" t="str">
        <f aca="false">IFERROR(INDEX('SKU Data'!$K$2:$K$1780,MATCH($A16,'SKU Data'!$V$2:$V$1780,0)),"")</f>
        <v/>
      </c>
      <c r="K16" s="22" t="str">
        <f aca="false">IFERROR(INDEX('SKU Data'!$L$2:$L$1780,MATCH($A16,'SKU Data'!$V$2:$V$1780,0)),"")</f>
        <v/>
      </c>
      <c r="L16" s="22" t="str">
        <f aca="false">IFERROR(INDEX('SKU Data'!$M$2:$M$1780,MATCH($A16,'SKU Data'!$V$2:$V$1780,0)),"")</f>
        <v/>
      </c>
      <c r="M16" s="28" t="str">
        <f aca="false">IFERROR(H16/Settings!$B$3,"")</f>
        <v/>
      </c>
      <c r="N16" s="29" t="str">
        <f aca="false">IFERROR(INDEX('SKU Data'!$O$2:$O$1780,MATCH($A16,'SKU Data'!$V$2:$V$1780,0)),"")</f>
        <v/>
      </c>
      <c r="O16" s="23" t="str">
        <f aca="false">IFERROR(INDEX('SKU Data'!$X$2:$X$1780,MATCH($A16,'SKU Data'!$V$2:$V$1780,0)),"")</f>
        <v/>
      </c>
    </row>
    <row r="17" customFormat="false" ht="15" hidden="false" customHeight="false" outlineLevel="0" collapsed="false">
      <c r="A17" s="18" t="n">
        <v>13</v>
      </c>
      <c r="B17" s="23" t="str">
        <f aca="false">IFERROR(INDEX('SKU Data'!$W$2:$W$1780,MATCH($A17,'SKU Data'!$V$2:$V$1780,0)),"")</f>
        <v>1 - Fix first</v>
      </c>
      <c r="C17" s="18" t="str">
        <f aca="false">IFERROR(INDEX('SKU Data'!$A$2:$A$1780,MATCH($A17,'SKU Data'!$V$2:$V$1780,0)),"")</f>
        <v>AUMJ-NW-028</v>
      </c>
      <c r="D17" s="27" t="str">
        <f aca="false">IFERROR(INDEX('SKU Data'!$B$2:$B$1780,MATCH($A17,'SKU Data'!$V$2:$V$1780,0)),"")</f>
        <v>Mellow Yellow Bouquet in Mason Jar</v>
      </c>
      <c r="E17" s="18" t="str">
        <f aca="false">IFERROR(INDEX('SKU Data'!$D$2:$D$1780,MATCH($A17,'SKU Data'!$V$2:$V$1780,0)),"")</f>
        <v>AUMJ</v>
      </c>
      <c r="F17" s="19" t="n">
        <f aca="false">IFERROR(INDEX('SKU Data'!$E$2:$E$1780,MATCH($A17,'SKU Data'!$V$2:$V$1780,0)),"")</f>
        <v>373</v>
      </c>
      <c r="G17" s="19" t="n">
        <f aca="false">IFERROR(INDEX('SKU Data'!$F$2:$F$1780,MATCH($A17,'SKU Data'!$V$2:$V$1780,0)),"")</f>
        <v>25</v>
      </c>
      <c r="H17" s="20" t="n">
        <f aca="false">IFERROR(INDEX('SKU Data'!$J$2:$J$1780,MATCH($A17,'SKU Data'!$V$2:$V$1780,0)),"")</f>
        <v>0.0670241286863271</v>
      </c>
      <c r="I17" s="21" t="n">
        <f aca="false">IFERROR(INDEX('SKU Data'!$H$2:$H$1780,MATCH($A17,'SKU Data'!$V$2:$V$1780,0)),"")</f>
        <v>2874.25</v>
      </c>
      <c r="J17" s="20" t="n">
        <f aca="false">IFERROR(INDEX('SKU Data'!$K$2:$K$1780,MATCH($A17,'SKU Data'!$V$2:$V$1780,0)),"")</f>
        <v>0.0611972496421954</v>
      </c>
      <c r="K17" s="22" t="n">
        <f aca="false">IFERROR(INDEX('SKU Data'!$L$2:$L$1780,MATCH($A17,'SKU Data'!$V$2:$V$1780,0)),"")</f>
        <v>0.00574426463879652</v>
      </c>
      <c r="L17" s="22" t="n">
        <f aca="false">IFERROR(INDEX('SKU Data'!$M$2:$M$1780,MATCH($A17,'SKU Data'!$V$2:$V$1780,0)),"")</f>
        <v>0.000223140674959423</v>
      </c>
      <c r="M17" s="28" t="n">
        <f aca="false">IFERROR(H17/Settings!$B$3,"")</f>
        <v>2.16303498016494</v>
      </c>
      <c r="N17" s="29" t="n">
        <f aca="false">IFERROR(INDEX('SKU Data'!$O$2:$O$1780,MATCH($A17,'SKU Data'!$V$2:$V$1780,0)),"")</f>
        <v>4.01666875508832</v>
      </c>
      <c r="O17" s="23" t="str">
        <f aca="false">IFERROR(INDEX('SKU Data'!$X$2:$X$1780,MATCH($A17,'SKU Data'!$V$2:$V$1780,0)),"")</f>
        <v>HIGH RATE</v>
      </c>
    </row>
    <row r="18" customFormat="false" ht="15" hidden="false" customHeight="false" outlineLevel="0" collapsed="false">
      <c r="A18" s="18" t="n">
        <v>14</v>
      </c>
      <c r="B18" s="23" t="str">
        <f aca="false">IFERROR(INDEX('SKU Data'!$W$2:$W$1780,MATCH($A18,'SKU Data'!$V$2:$V$1780,0)),"")</f>
        <v>1 - Fix first</v>
      </c>
      <c r="C18" s="18" t="str">
        <f aca="false">IFERROR(INDEX('SKU Data'!$A$2:$A$1780,MATCH($A18,'SKU Data'!$V$2:$V$1780,0)),"")</f>
        <v>AUMJ-NW-011</v>
      </c>
      <c r="D18" s="27" t="str">
        <f aca="false">IFERROR(INDEX('SKU Data'!$B$2:$B$1780,MATCH($A18,'SKU Data'!$V$2:$V$1780,0)),"")</f>
        <v>Best Birthday Ever Bouquet in Mason Jar</v>
      </c>
      <c r="E18" s="18" t="str">
        <f aca="false">IFERROR(INDEX('SKU Data'!$D$2:$D$1780,MATCH($A18,'SKU Data'!$V$2:$V$1780,0)),"")</f>
        <v>AUMJ</v>
      </c>
      <c r="F18" s="19" t="n">
        <f aca="false">IFERROR(INDEX('SKU Data'!$E$2:$E$1780,MATCH($A18,'SKU Data'!$V$2:$V$1780,0)),"")</f>
        <v>2143</v>
      </c>
      <c r="G18" s="19" t="n">
        <f aca="false">IFERROR(INDEX('SKU Data'!$F$2:$F$1780,MATCH($A18,'SKU Data'!$V$2:$V$1780,0)),"")</f>
        <v>115</v>
      </c>
      <c r="H18" s="20" t="n">
        <f aca="false">IFERROR(INDEX('SKU Data'!$J$2:$J$1780,MATCH($A18,'SKU Data'!$V$2:$V$1780,0)),"")</f>
        <v>0.0536630891273915</v>
      </c>
      <c r="I18" s="21" t="n">
        <f aca="false">IFERROR(INDEX('SKU Data'!$H$2:$H$1780,MATCH($A18,'SKU Data'!$V$2:$V$1780,0)),"")</f>
        <v>9879.04</v>
      </c>
      <c r="J18" s="20" t="n">
        <f aca="false">IFERROR(INDEX('SKU Data'!$K$2:$K$1780,MATCH($A18,'SKU Data'!$V$2:$V$1780,0)),"")</f>
        <v>0.0534904444762338</v>
      </c>
      <c r="K18" s="22" t="n">
        <f aca="false">IFERROR(INDEX('SKU Data'!$L$2:$L$1780,MATCH($A18,'SKU Data'!$V$2:$V$1780,0)),"")</f>
        <v>0.0197435227058385</v>
      </c>
      <c r="L18" s="22" t="n">
        <f aca="false">IFERROR(INDEX('SKU Data'!$M$2:$M$1780,MATCH($A18,'SKU Data'!$V$2:$V$1780,0)),"")</f>
        <v>0.0007669533455862</v>
      </c>
      <c r="M18" s="28" t="n">
        <f aca="false">IFERROR(H18/Settings!$B$3,"")</f>
        <v>1.73184107277975</v>
      </c>
      <c r="N18" s="29" t="n">
        <f aca="false">IFERROR(INDEX('SKU Data'!$O$2:$O$1780,MATCH($A18,'SKU Data'!$V$2:$V$1780,0)),"")</f>
        <v>6.05824301320141</v>
      </c>
      <c r="O18" s="23" t="str">
        <f aca="false">IFERROR(INDEX('SKU Data'!$X$2:$X$1780,MATCH($A18,'SKU Data'!$V$2:$V$1780,0)),"")</f>
        <v>HIGH RATE</v>
      </c>
    </row>
    <row r="19" customFormat="false" ht="15" hidden="false" customHeight="false" outlineLevel="0" collapsed="false">
      <c r="A19" s="18" t="n">
        <v>15</v>
      </c>
      <c r="B19" s="23" t="str">
        <f aca="false">IFERROR(INDEX('SKU Data'!$W$2:$W$1780,MATCH($A19,'SKU Data'!$V$2:$V$1780,0)),"")</f>
        <v>1 - Fix first</v>
      </c>
      <c r="C19" s="18" t="str">
        <f aca="false">IFERROR(INDEX('SKU Data'!$A$2:$A$1780,MATCH($A19,'SKU Data'!$V$2:$V$1780,0)),"")</f>
        <v>AU189-01</v>
      </c>
      <c r="D19" s="27" t="str">
        <f aca="false">IFERROR(INDEX('SKU Data'!$B$2:$B$1780,MATCH($A19,'SKU Data'!$V$2:$V$1780,0)),"")</f>
        <v>Classic Sympathy Wreath</v>
      </c>
      <c r="E19" s="18" t="str">
        <f aca="false">IFERROR(INDEX('SKU Data'!$D$2:$D$1780,MATCH($A19,'SKU Data'!$V$2:$V$1780,0)),"")</f>
        <v>AU</v>
      </c>
      <c r="F19" s="19" t="n">
        <f aca="false">IFERROR(INDEX('SKU Data'!$E$2:$E$1780,MATCH($A19,'SKU Data'!$V$2:$V$1780,0)),"")</f>
        <v>97</v>
      </c>
      <c r="G19" s="19" t="n">
        <f aca="false">IFERROR(INDEX('SKU Data'!$F$2:$F$1780,MATCH($A19,'SKU Data'!$V$2:$V$1780,0)),"")</f>
        <v>11</v>
      </c>
      <c r="H19" s="20" t="n">
        <f aca="false">IFERROR(INDEX('SKU Data'!$J$2:$J$1780,MATCH($A19,'SKU Data'!$V$2:$V$1780,0)),"")</f>
        <v>0.11340206185567</v>
      </c>
      <c r="I19" s="21" t="n">
        <f aca="false">IFERROR(INDEX('SKU Data'!$H$2:$H$1780,MATCH($A19,'SKU Data'!$V$2:$V$1780,0)),"")</f>
        <v>2932.31</v>
      </c>
      <c r="J19" s="20" t="n">
        <f aca="false">IFERROR(INDEX('SKU Data'!$K$2:$K$1780,MATCH($A19,'SKU Data'!$V$2:$V$1780,0)),"")</f>
        <v>0.102506422578953</v>
      </c>
      <c r="K19" s="22" t="n">
        <f aca="false">IFERROR(INDEX('SKU Data'!$L$2:$L$1780,MATCH($A19,'SKU Data'!$V$2:$V$1780,0)),"")</f>
        <v>0.00586029908427918</v>
      </c>
      <c r="L19" s="22" t="n">
        <f aca="false">IFERROR(INDEX('SKU Data'!$M$2:$M$1780,MATCH($A19,'SKU Data'!$V$2:$V$1780,0)),"")</f>
        <v>0.000227648128238763</v>
      </c>
      <c r="M19" s="28" t="n">
        <f aca="false">IFERROR(H19/Settings!$B$3,"")</f>
        <v>3.6597659891203</v>
      </c>
      <c r="N19" s="29" t="n">
        <f aca="false">IFERROR(INDEX('SKU Data'!$O$2:$O$1780,MATCH($A19,'SKU Data'!$V$2:$V$1780,0)),"")</f>
        <v>4.68433688163919</v>
      </c>
      <c r="O19" s="23" t="str">
        <f aca="false">IFERROR(INDEX('SKU Data'!$X$2:$X$1780,MATCH($A19,'SKU Data'!$V$2:$V$1780,0)),"")</f>
        <v>HIGH RATE</v>
      </c>
    </row>
    <row r="20" customFormat="false" ht="15" hidden="false" customHeight="false" outlineLevel="0" collapsed="false">
      <c r="A20" s="18" t="n">
        <v>16</v>
      </c>
      <c r="B20" s="23" t="str">
        <f aca="false">IFERROR(INDEX('SKU Data'!$W$2:$W$1780,MATCH($A20,'SKU Data'!$V$2:$V$1780,0)),"")</f>
        <v>1 - Fix first</v>
      </c>
      <c r="C20" s="18" t="str">
        <f aca="false">IFERROR(INDEX('SKU Data'!$A$2:$A$1780,MATCH($A20,'SKU Data'!$V$2:$V$1780,0)),"")</f>
        <v>AUMJ-NW-024</v>
      </c>
      <c r="D20" s="27" t="str">
        <f aca="false">IFERROR(INDEX('SKU Data'!$B$2:$B$1780,MATCH($A20,'SKU Data'!$V$2:$V$1780,0)),"")</f>
        <v>Cherry Bomb Bouquet in Mason Jar</v>
      </c>
      <c r="E20" s="18" t="str">
        <f aca="false">IFERROR(INDEX('SKU Data'!$D$2:$D$1780,MATCH($A20,'SKU Data'!$V$2:$V$1780,0)),"")</f>
        <v>AUMJ</v>
      </c>
      <c r="F20" s="19" t="n">
        <f aca="false">IFERROR(INDEX('SKU Data'!$E$2:$E$1780,MATCH($A20,'SKU Data'!$V$2:$V$1780,0)),"")</f>
        <v>171</v>
      </c>
      <c r="G20" s="19" t="n">
        <f aca="false">IFERROR(INDEX('SKU Data'!$F$2:$F$1780,MATCH($A20,'SKU Data'!$V$2:$V$1780,0)),"")</f>
        <v>16</v>
      </c>
      <c r="H20" s="20" t="n">
        <f aca="false">IFERROR(INDEX('SKU Data'!$J$2:$J$1780,MATCH($A20,'SKU Data'!$V$2:$V$1780,0)),"")</f>
        <v>0.0935672514619883</v>
      </c>
      <c r="I20" s="21" t="n">
        <f aca="false">IFERROR(INDEX('SKU Data'!$H$2:$H$1780,MATCH($A20,'SKU Data'!$V$2:$V$1780,0)),"")</f>
        <v>1832.99</v>
      </c>
      <c r="J20" s="20" t="n">
        <f aca="false">IFERROR(INDEX('SKU Data'!$K$2:$K$1780,MATCH($A20,'SKU Data'!$V$2:$V$1780,0)),"")</f>
        <v>0.0946395416798326</v>
      </c>
      <c r="K20" s="22" t="n">
        <f aca="false">IFERROR(INDEX('SKU Data'!$L$2:$L$1780,MATCH($A20,'SKU Data'!$V$2:$V$1780,0)),"")</f>
        <v>0.00366327899113426</v>
      </c>
      <c r="L20" s="22" t="n">
        <f aca="false">IFERROR(INDEX('SKU Data'!$M$2:$M$1780,MATCH($A20,'SKU Data'!$V$2:$V$1780,0)),"")</f>
        <v>0.000142303079340305</v>
      </c>
      <c r="M20" s="28" t="n">
        <f aca="false">IFERROR(H20/Settings!$B$3,"")</f>
        <v>3.01964742961973</v>
      </c>
      <c r="N20" s="29" t="n">
        <f aca="false">IFERROR(INDEX('SKU Data'!$O$2:$O$1780,MATCH($A20,'SKU Data'!$V$2:$V$1780,0)),"")</f>
        <v>4.72272264759713</v>
      </c>
      <c r="O20" s="23" t="str">
        <f aca="false">IFERROR(INDEX('SKU Data'!$X$2:$X$1780,MATCH($A20,'SKU Data'!$V$2:$V$1780,0)),"")</f>
        <v>HIGH RATE</v>
      </c>
    </row>
    <row r="21" customFormat="false" ht="15" hidden="false" customHeight="false" outlineLevel="0" collapsed="false">
      <c r="A21" s="18" t="n">
        <v>17</v>
      </c>
      <c r="B21" s="23" t="str">
        <f aca="false">IFERROR(INDEX('SKU Data'!$W$2:$W$1780,MATCH($A21,'SKU Data'!$V$2:$V$1780,0)),"")</f>
        <v>1 - Fix first</v>
      </c>
      <c r="C21" s="18" t="str">
        <f aca="false">IFERROR(INDEX('SKU Data'!$A$2:$A$1780,MATCH($A21,'SKU Data'!$V$2:$V$1780,0)),"")</f>
        <v>AU100-48</v>
      </c>
      <c r="D21" s="27" t="str">
        <f aca="false">IFERROR(INDEX('SKU Data'!$B$2:$B$1780,MATCH($A21,'SKU Data'!$V$2:$V$1780,0)),"")</f>
        <v>Pretty in Pink</v>
      </c>
      <c r="E21" s="18" t="str">
        <f aca="false">IFERROR(INDEX('SKU Data'!$D$2:$D$1780,MATCH($A21,'SKU Data'!$V$2:$V$1780,0)),"")</f>
        <v>AU</v>
      </c>
      <c r="F21" s="19" t="n">
        <f aca="false">IFERROR(INDEX('SKU Data'!$E$2:$E$1780,MATCH($A21,'SKU Data'!$V$2:$V$1780,0)),"")</f>
        <v>598</v>
      </c>
      <c r="G21" s="19" t="n">
        <f aca="false">IFERROR(INDEX('SKU Data'!$F$2:$F$1780,MATCH($A21,'SKU Data'!$V$2:$V$1780,0)),"")</f>
        <v>36</v>
      </c>
      <c r="H21" s="20" t="n">
        <f aca="false">IFERROR(INDEX('SKU Data'!$J$2:$J$1780,MATCH($A21,'SKU Data'!$V$2:$V$1780,0)),"")</f>
        <v>0.0602006688963211</v>
      </c>
      <c r="I21" s="21" t="n">
        <f aca="false">IFERROR(INDEX('SKU Data'!$H$2:$H$1780,MATCH($A21,'SKU Data'!$V$2:$V$1780,0)),"")</f>
        <v>3306.37</v>
      </c>
      <c r="J21" s="20" t="n">
        <f aca="false">IFERROR(INDEX('SKU Data'!$K$2:$K$1780,MATCH($A21,'SKU Data'!$V$2:$V$1780,0)),"")</f>
        <v>0.0569165003058102</v>
      </c>
      <c r="K21" s="22" t="n">
        <f aca="false">IFERROR(INDEX('SKU Data'!$L$2:$L$1780,MATCH($A21,'SKU Data'!$V$2:$V$1780,0)),"")</f>
        <v>0.00660786788684967</v>
      </c>
      <c r="L21" s="22" t="n">
        <f aca="false">IFERROR(INDEX('SKU Data'!$M$2:$M$1780,MATCH($A21,'SKU Data'!$V$2:$V$1780,0)),"")</f>
        <v>0.000256688052001596</v>
      </c>
      <c r="M21" s="28" t="n">
        <f aca="false">IFERROR(H21/Settings!$B$3,"")</f>
        <v>1.94282499756888</v>
      </c>
      <c r="N21" s="29" t="n">
        <f aca="false">IFERROR(INDEX('SKU Data'!$O$2:$O$1780,MATCH($A21,'SKU Data'!$V$2:$V$1780,0)),"")</f>
        <v>4.1228782080997</v>
      </c>
      <c r="O21" s="23" t="str">
        <f aca="false">IFERROR(INDEX('SKU Data'!$X$2:$X$1780,MATCH($A21,'SKU Data'!$V$2:$V$1780,0)),"")</f>
        <v>HIGH RATE</v>
      </c>
    </row>
    <row r="22" customFormat="false" ht="15" hidden="false" customHeight="false" outlineLevel="0" collapsed="false">
      <c r="A22" s="18" t="n">
        <v>18</v>
      </c>
      <c r="B22" s="23" t="str">
        <f aca="false">IFERROR(INDEX('SKU Data'!$W$2:$W$1780,MATCH($A22,'SKU Data'!$V$2:$V$1780,0)),"")</f>
        <v>1 - Fix first</v>
      </c>
      <c r="C22" s="18" t="str">
        <f aca="false">IFERROR(INDEX('SKU Data'!$A$2:$A$1780,MATCH($A22,'SKU Data'!$V$2:$V$1780,0)),"")</f>
        <v>AU11-97</v>
      </c>
      <c r="D22" s="27" t="str">
        <f aca="false">IFERROR(INDEX('SKU Data'!$B$2:$B$1780,MATCH($A22,'SKU Data'!$V$2:$V$1780,0)),"")</f>
        <v>Premium White and Red Roses</v>
      </c>
      <c r="E22" s="18" t="str">
        <f aca="false">IFERROR(INDEX('SKU Data'!$D$2:$D$1780,MATCH($A22,'SKU Data'!$V$2:$V$1780,0)),"")</f>
        <v>AU</v>
      </c>
      <c r="F22" s="19" t="n">
        <f aca="false">IFERROR(INDEX('SKU Data'!$E$2:$E$1780,MATCH($A22,'SKU Data'!$V$2:$V$1780,0)),"")</f>
        <v>115</v>
      </c>
      <c r="G22" s="19" t="n">
        <f aca="false">IFERROR(INDEX('SKU Data'!$F$2:$F$1780,MATCH($A22,'SKU Data'!$V$2:$V$1780,0)),"")</f>
        <v>12</v>
      </c>
      <c r="H22" s="20" t="n">
        <f aca="false">IFERROR(INDEX('SKU Data'!$J$2:$J$1780,MATCH($A22,'SKU Data'!$V$2:$V$1780,0)),"")</f>
        <v>0.104347826086957</v>
      </c>
      <c r="I22" s="21" t="n">
        <f aca="false">IFERROR(INDEX('SKU Data'!$H$2:$H$1780,MATCH($A22,'SKU Data'!$V$2:$V$1780,0)),"")</f>
        <v>2215.18</v>
      </c>
      <c r="J22" s="20" t="n">
        <f aca="false">IFERROR(INDEX('SKU Data'!$K$2:$K$1780,MATCH($A22,'SKU Data'!$V$2:$V$1780,0)),"")</f>
        <v>0.100438174105289</v>
      </c>
      <c r="K22" s="22" t="n">
        <f aca="false">IFERROR(INDEX('SKU Data'!$L$2:$L$1780,MATCH($A22,'SKU Data'!$V$2:$V$1780,0)),"")</f>
        <v>0.00442709581371463</v>
      </c>
      <c r="L22" s="22" t="n">
        <f aca="false">IFERROR(INDEX('SKU Data'!$M$2:$M$1780,MATCH($A22,'SKU Data'!$V$2:$V$1780,0)),"")</f>
        <v>0.000171974170777286</v>
      </c>
      <c r="M22" s="28" t="n">
        <f aca="false">IFERROR(H22/Settings!$B$3,"")</f>
        <v>3.36756332911939</v>
      </c>
      <c r="N22" s="29" t="n">
        <f aca="false">IFERROR(INDEX('SKU Data'!$O$2:$O$1780,MATCH($A22,'SKU Data'!$V$2:$V$1780,0)),"")</f>
        <v>4.54014109624971</v>
      </c>
      <c r="O22" s="23" t="str">
        <f aca="false">IFERROR(INDEX('SKU Data'!$X$2:$X$1780,MATCH($A22,'SKU Data'!$V$2:$V$1780,0)),"")</f>
        <v>HIGH RATE</v>
      </c>
    </row>
    <row r="23" customFormat="false" ht="15" hidden="false" customHeight="false" outlineLevel="0" collapsed="false">
      <c r="A23" s="18" t="n">
        <v>19</v>
      </c>
      <c r="B23" s="23" t="str">
        <f aca="false">IFERROR(INDEX('SKU Data'!$W$2:$W$1780,MATCH($A23,'SKU Data'!$V$2:$V$1780,0)),"")</f>
        <v>1 - Fix first</v>
      </c>
      <c r="C23" s="18" t="str">
        <f aca="false">IFERROR(INDEX('SKU Data'!$A$2:$A$1780,MATCH($A23,'SKU Data'!$V$2:$V$1780,0)),"")</f>
        <v>AUBC-02</v>
      </c>
      <c r="D23" s="27" t="str">
        <f aca="false">IFERROR(INDEX('SKU Data'!$B$2:$B$1780,MATCH($A23,'SKU Data'!$V$2:$V$1780,0)),"")</f>
        <v>Birthday Combo II</v>
      </c>
      <c r="E23" s="18" t="str">
        <f aca="false">IFERROR(INDEX('SKU Data'!$D$2:$D$1780,MATCH($A23,'SKU Data'!$V$2:$V$1780,0)),"")</f>
        <v>AUBC</v>
      </c>
      <c r="F23" s="19" t="n">
        <f aca="false">IFERROR(INDEX('SKU Data'!$E$2:$E$1780,MATCH($A23,'SKU Data'!$V$2:$V$1780,0)),"")</f>
        <v>621</v>
      </c>
      <c r="G23" s="19" t="n">
        <f aca="false">IFERROR(INDEX('SKU Data'!$F$2:$F$1780,MATCH($A23,'SKU Data'!$V$2:$V$1780,0)),"")</f>
        <v>36</v>
      </c>
      <c r="H23" s="20" t="n">
        <f aca="false">IFERROR(INDEX('SKU Data'!$J$2:$J$1780,MATCH($A23,'SKU Data'!$V$2:$V$1780,0)),"")</f>
        <v>0.0579710144927536</v>
      </c>
      <c r="I23" s="21" t="n">
        <f aca="false">IFERROR(INDEX('SKU Data'!$H$2:$H$1780,MATCH($A23,'SKU Data'!$V$2:$V$1780,0)),"")</f>
        <v>4334.25</v>
      </c>
      <c r="J23" s="20" t="n">
        <f aca="false">IFERROR(INDEX('SKU Data'!$K$2:$K$1780,MATCH($A23,'SKU Data'!$V$2:$V$1780,0)),"")</f>
        <v>0.0546852831516084</v>
      </c>
      <c r="K23" s="22" t="n">
        <f aca="false">IFERROR(INDEX('SKU Data'!$L$2:$L$1780,MATCH($A23,'SKU Data'!$V$2:$V$1780,0)),"")</f>
        <v>0.00866211325065803</v>
      </c>
      <c r="L23" s="22" t="n">
        <f aca="false">IFERROR(INDEX('SKU Data'!$M$2:$M$1780,MATCH($A23,'SKU Data'!$V$2:$V$1780,0)),"")</f>
        <v>0.000336486899345178</v>
      </c>
      <c r="M23" s="28" t="n">
        <f aca="false">IFERROR(H23/Settings!$B$3,"")</f>
        <v>1.87086851617744</v>
      </c>
      <c r="N23" s="29" t="n">
        <f aca="false">IFERROR(INDEX('SKU Data'!$O$2:$O$1780,MATCH($A23,'SKU Data'!$V$2:$V$1780,0)),"")</f>
        <v>3.8807638425611</v>
      </c>
      <c r="O23" s="23" t="str">
        <f aca="false">IFERROR(INDEX('SKU Data'!$X$2:$X$1780,MATCH($A23,'SKU Data'!$V$2:$V$1780,0)),"")</f>
        <v>HIGH RATE</v>
      </c>
    </row>
    <row r="24" customFormat="false" ht="15" hidden="false" customHeight="false" outlineLevel="0" collapsed="false">
      <c r="A24" s="18" t="n">
        <v>20</v>
      </c>
      <c r="B24" s="23" t="str">
        <f aca="false">IFERROR(INDEX('SKU Data'!$W$2:$W$1780,MATCH($A24,'SKU Data'!$V$2:$V$1780,0)),"")</f>
        <v>1 - Fix first</v>
      </c>
      <c r="C24" s="18" t="str">
        <f aca="false">IFERROR(INDEX('SKU Data'!$A$2:$A$1780,MATCH($A24,'SKU Data'!$V$2:$V$1780,0)),"")</f>
        <v>AU120-71</v>
      </c>
      <c r="D24" s="27" t="str">
        <f aca="false">IFERROR(INDEX('SKU Data'!$B$2:$B$1780,MATCH($A24,'SKU Data'!$V$2:$V$1780,0)),"")</f>
        <v>Sizzling Bouquet</v>
      </c>
      <c r="E24" s="18" t="str">
        <f aca="false">IFERROR(INDEX('SKU Data'!$D$2:$D$1780,MATCH($A24,'SKU Data'!$V$2:$V$1780,0)),"")</f>
        <v>AU</v>
      </c>
      <c r="F24" s="19" t="n">
        <f aca="false">IFERROR(INDEX('SKU Data'!$E$2:$E$1780,MATCH($A24,'SKU Data'!$V$2:$V$1780,0)),"")</f>
        <v>342</v>
      </c>
      <c r="G24" s="19" t="n">
        <f aca="false">IFERROR(INDEX('SKU Data'!$F$2:$F$1780,MATCH($A24,'SKU Data'!$V$2:$V$1780,0)),"")</f>
        <v>23</v>
      </c>
      <c r="H24" s="20" t="n">
        <f aca="false">IFERROR(INDEX('SKU Data'!$J$2:$J$1780,MATCH($A24,'SKU Data'!$V$2:$V$1780,0)),"")</f>
        <v>0.0672514619883041</v>
      </c>
      <c r="I24" s="21" t="n">
        <f aca="false">IFERROR(INDEX('SKU Data'!$H$2:$H$1780,MATCH($A24,'SKU Data'!$V$2:$V$1780,0)),"")</f>
        <v>2216.75</v>
      </c>
      <c r="J24" s="20" t="n">
        <f aca="false">IFERROR(INDEX('SKU Data'!$K$2:$K$1780,MATCH($A24,'SKU Data'!$V$2:$V$1780,0)),"")</f>
        <v>0.0622215747679199</v>
      </c>
      <c r="K24" s="22" t="n">
        <f aca="false">IFERROR(INDEX('SKU Data'!$L$2:$L$1780,MATCH($A24,'SKU Data'!$V$2:$V$1780,0)),"")</f>
        <v>0.00443023350023561</v>
      </c>
      <c r="L24" s="22" t="n">
        <f aca="false">IFERROR(INDEX('SKU Data'!$M$2:$M$1780,MATCH($A24,'SKU Data'!$V$2:$V$1780,0)),"")</f>
        <v>0.000172096056785701</v>
      </c>
      <c r="M24" s="28" t="n">
        <f aca="false">IFERROR(H24/Settings!$B$3,"")</f>
        <v>2.17037159003918</v>
      </c>
      <c r="N24" s="29" t="n">
        <f aca="false">IFERROR(INDEX('SKU Data'!$O$2:$O$1780,MATCH($A24,'SKU Data'!$V$2:$V$1780,0)),"")</f>
        <v>3.8703982008108</v>
      </c>
      <c r="O24" s="23" t="str">
        <f aca="false">IFERROR(INDEX('SKU Data'!$X$2:$X$1780,MATCH($A24,'SKU Data'!$V$2:$V$1780,0)),"")</f>
        <v>HIGH RATE</v>
      </c>
    </row>
    <row r="25" customFormat="false" ht="15" hidden="false" customHeight="false" outlineLevel="0" collapsed="false">
      <c r="A25" s="18" t="n">
        <v>21</v>
      </c>
      <c r="B25" s="23" t="str">
        <f aca="false">IFERROR(INDEX('SKU Data'!$W$2:$W$1780,MATCH($A25,'SKU Data'!$V$2:$V$1780,0)),"")</f>
        <v>1 - Fix first</v>
      </c>
      <c r="C25" s="18" t="str">
        <f aca="false">IFERROR(INDEX('SKU Data'!$A$2:$A$1780,MATCH($A25,'SKU Data'!$V$2:$V$1780,0)),"")</f>
        <v>BLXNZ-03</v>
      </c>
      <c r="D25" s="27" t="str">
        <f aca="false">IFERROR(INDEX('SKU Data'!$B$2:$B$1780,MATCH($A25,'SKU Data'!$V$2:$V$1780,0)),"")</f>
        <v>Blossom Harmony</v>
      </c>
      <c r="E25" s="18" t="str">
        <f aca="false">IFERROR(INDEX('SKU Data'!$D$2:$D$1780,MATCH($A25,'SKU Data'!$V$2:$V$1780,0)),"")</f>
        <v>BLXNZ</v>
      </c>
      <c r="F25" s="19" t="n">
        <f aca="false">IFERROR(INDEX('SKU Data'!$E$2:$E$1780,MATCH($A25,'SKU Data'!$V$2:$V$1780,0)),"")</f>
        <v>376</v>
      </c>
      <c r="G25" s="19" t="n">
        <f aca="false">IFERROR(INDEX('SKU Data'!$F$2:$F$1780,MATCH($A25,'SKU Data'!$V$2:$V$1780,0)),"")</f>
        <v>24</v>
      </c>
      <c r="H25" s="20" t="n">
        <f aca="false">IFERROR(INDEX('SKU Data'!$J$2:$J$1780,MATCH($A25,'SKU Data'!$V$2:$V$1780,0)),"")</f>
        <v>0.0638297872340426</v>
      </c>
      <c r="I25" s="21" t="n">
        <f aca="false">IFERROR(INDEX('SKU Data'!$H$2:$H$1780,MATCH($A25,'SKU Data'!$V$2:$V$1780,0)),"")</f>
        <v>2433.31</v>
      </c>
      <c r="J25" s="20" t="n">
        <f aca="false">IFERROR(INDEX('SKU Data'!$K$2:$K$1780,MATCH($A25,'SKU Data'!$V$2:$V$1780,0)),"")</f>
        <v>0.0590523654703433</v>
      </c>
      <c r="K25" s="22" t="n">
        <f aca="false">IFERROR(INDEX('SKU Data'!$L$2:$L$1780,MATCH($A25,'SKU Data'!$V$2:$V$1780,0)),"")</f>
        <v>0.00486303438748542</v>
      </c>
      <c r="L25" s="22" t="n">
        <f aca="false">IFERROR(INDEX('SKU Data'!$M$2:$M$1780,MATCH($A25,'SKU Data'!$V$2:$V$1780,0)),"")</f>
        <v>0.000188908562506919</v>
      </c>
      <c r="M25" s="28" t="n">
        <f aca="false">IFERROR(H25/Settings!$B$3,"")</f>
        <v>2.05994565345069</v>
      </c>
      <c r="N25" s="29" t="n">
        <f aca="false">IFERROR(INDEX('SKU Data'!$O$2:$O$1780,MATCH($A25,'SKU Data'!$V$2:$V$1780,0)),"")</f>
        <v>3.67533005291255</v>
      </c>
      <c r="O25" s="23" t="str">
        <f aca="false">IFERROR(INDEX('SKU Data'!$X$2:$X$1780,MATCH($A25,'SKU Data'!$V$2:$V$1780,0)),"")</f>
        <v>HIGH RATE</v>
      </c>
    </row>
    <row r="26" customFormat="false" ht="15" hidden="false" customHeight="false" outlineLevel="0" collapsed="false">
      <c r="A26" s="18" t="n">
        <v>22</v>
      </c>
      <c r="B26" s="23" t="str">
        <f aca="false">IFERROR(INDEX('SKU Data'!$W$2:$W$1780,MATCH($A26,'SKU Data'!$V$2:$V$1780,0)),"")</f>
        <v>1 - Fix first</v>
      </c>
      <c r="C26" s="18" t="str">
        <f aca="false">IFERROR(INDEX('SKU Data'!$A$2:$A$1780,MATCH($A26,'SKU Data'!$V$2:$V$1780,0)),"")</f>
        <v>AU11-43</v>
      </c>
      <c r="D26" s="27" t="str">
        <f aca="false">IFERROR(INDEX('SKU Data'!$B$2:$B$1780,MATCH($A26,'SKU Data'!$V$2:$V$1780,0)),"")</f>
        <v>Warm Embrace</v>
      </c>
      <c r="E26" s="18" t="str">
        <f aca="false">IFERROR(INDEX('SKU Data'!$D$2:$D$1780,MATCH($A26,'SKU Data'!$V$2:$V$1780,0)),"")</f>
        <v>AU</v>
      </c>
      <c r="F26" s="19" t="n">
        <f aca="false">IFERROR(INDEX('SKU Data'!$E$2:$E$1780,MATCH($A26,'SKU Data'!$V$2:$V$1780,0)),"")</f>
        <v>2594</v>
      </c>
      <c r="G26" s="19" t="n">
        <f aca="false">IFERROR(INDEX('SKU Data'!$F$2:$F$1780,MATCH($A26,'SKU Data'!$V$2:$V$1780,0)),"")</f>
        <v>129</v>
      </c>
      <c r="H26" s="20" t="n">
        <f aca="false">IFERROR(INDEX('SKU Data'!$J$2:$J$1780,MATCH($A26,'SKU Data'!$V$2:$V$1780,0)),"")</f>
        <v>0.0497301464919044</v>
      </c>
      <c r="I26" s="21" t="n">
        <f aca="false">IFERROR(INDEX('SKU Data'!$H$2:$H$1780,MATCH($A26,'SKU Data'!$V$2:$V$1780,0)),"")</f>
        <v>11840.22</v>
      </c>
      <c r="J26" s="20" t="n">
        <f aca="false">IFERROR(INDEX('SKU Data'!$K$2:$K$1780,MATCH($A26,'SKU Data'!$V$2:$V$1780,0)),"")</f>
        <v>0.047722296220412</v>
      </c>
      <c r="K26" s="22" t="n">
        <f aca="false">IFERROR(INDEX('SKU Data'!$L$2:$L$1780,MATCH($A26,'SKU Data'!$V$2:$V$1780,0)),"")</f>
        <v>0.0236629928021471</v>
      </c>
      <c r="L26" s="22" t="n">
        <f aca="false">IFERROR(INDEX('SKU Data'!$M$2:$M$1780,MATCH($A26,'SKU Data'!$V$2:$V$1780,0)),"")</f>
        <v>0.000919208378696375</v>
      </c>
      <c r="M26" s="28" t="n">
        <f aca="false">IFERROR(H26/Settings!$B$3,"")</f>
        <v>1.60491525274628</v>
      </c>
      <c r="N26" s="29" t="n">
        <f aca="false">IFERROR(INDEX('SKU Data'!$O$2:$O$1780,MATCH($A26,'SKU Data'!$V$2:$V$1780,0)),"")</f>
        <v>5.50932441171328</v>
      </c>
      <c r="O26" s="23" t="str">
        <f aca="false">IFERROR(INDEX('SKU Data'!$X$2:$X$1780,MATCH($A26,'SKU Data'!$V$2:$V$1780,0)),"")</f>
        <v>HIGH RATE</v>
      </c>
    </row>
    <row r="27" customFormat="false" ht="15" hidden="false" customHeight="false" outlineLevel="0" collapsed="false">
      <c r="A27" s="18" t="n">
        <v>23</v>
      </c>
      <c r="B27" s="23" t="str">
        <f aca="false">IFERROR(INDEX('SKU Data'!$W$2:$W$1780,MATCH($A27,'SKU Data'!$V$2:$V$1780,0)),"")</f>
        <v>1 - Fix first</v>
      </c>
      <c r="C27" s="18" t="str">
        <f aca="false">IFERROR(INDEX('SKU Data'!$A$2:$A$1780,MATCH($A27,'SKU Data'!$V$2:$V$1780,0)),"")</f>
        <v>MJ100-20</v>
      </c>
      <c r="D27" s="27" t="str">
        <f aca="false">IFERROR(INDEX('SKU Data'!$B$2:$B$1780,MATCH($A27,'SKU Data'!$V$2:$V$1780,0)),"")</f>
        <v>Beautiful in Blue in Mason Jar</v>
      </c>
      <c r="E27" s="18" t="str">
        <f aca="false">IFERROR(INDEX('SKU Data'!$D$2:$D$1780,MATCH($A27,'SKU Data'!$V$2:$V$1780,0)),"")</f>
        <v>MJ</v>
      </c>
      <c r="F27" s="19" t="n">
        <f aca="false">IFERROR(INDEX('SKU Data'!$E$2:$E$1780,MATCH($A27,'SKU Data'!$V$2:$V$1780,0)),"")</f>
        <v>743</v>
      </c>
      <c r="G27" s="19" t="n">
        <f aca="false">IFERROR(INDEX('SKU Data'!$F$2:$F$1780,MATCH($A27,'SKU Data'!$V$2:$V$1780,0)),"")</f>
        <v>41</v>
      </c>
      <c r="H27" s="20" t="n">
        <f aca="false">IFERROR(INDEX('SKU Data'!$J$2:$J$1780,MATCH($A27,'SKU Data'!$V$2:$V$1780,0)),"")</f>
        <v>0.0551816958277254</v>
      </c>
      <c r="I27" s="21" t="n">
        <f aca="false">IFERROR(INDEX('SKU Data'!$H$2:$H$1780,MATCH($A27,'SKU Data'!$V$2:$V$1780,0)),"")</f>
        <v>3521.71</v>
      </c>
      <c r="J27" s="20" t="n">
        <f aca="false">IFERROR(INDEX('SKU Data'!$K$2:$K$1780,MATCH($A27,'SKU Data'!$V$2:$V$1780,0)),"")</f>
        <v>0.051146571975267</v>
      </c>
      <c r="K27" s="22" t="n">
        <f aca="false">IFERROR(INDEX('SKU Data'!$L$2:$L$1780,MATCH($A27,'SKU Data'!$V$2:$V$1780,0)),"")</f>
        <v>0.00703823057183478</v>
      </c>
      <c r="L27" s="22" t="n">
        <f aca="false">IFERROR(INDEX('SKU Data'!$M$2:$M$1780,MATCH($A27,'SKU Data'!$V$2:$V$1780,0)),"")</f>
        <v>0.000273405843754492</v>
      </c>
      <c r="M27" s="28" t="n">
        <f aca="false">IFERROR(H27/Settings!$B$3,"")</f>
        <v>1.78085028003566</v>
      </c>
      <c r="N27" s="29" t="n">
        <f aca="false">IFERROR(INDEX('SKU Data'!$O$2:$O$1780,MATCH($A27,'SKU Data'!$V$2:$V$1780,0)),"")</f>
        <v>3.80610707889846</v>
      </c>
      <c r="O27" s="23" t="str">
        <f aca="false">IFERROR(INDEX('SKU Data'!$X$2:$X$1780,MATCH($A27,'SKU Data'!$V$2:$V$1780,0)),"")</f>
        <v>HIGH RATE</v>
      </c>
    </row>
    <row r="28" customFormat="false" ht="15" hidden="false" customHeight="false" outlineLevel="0" collapsed="false">
      <c r="A28" s="18" t="n">
        <v>24</v>
      </c>
      <c r="B28" s="23" t="str">
        <f aca="false">IFERROR(INDEX('SKU Data'!$W$2:$W$1780,MATCH($A28,'SKU Data'!$V$2:$V$1780,0)),"")</f>
        <v>1 - Fix first</v>
      </c>
      <c r="C28" s="18" t="str">
        <f aca="false">IFERROR(INDEX('SKU Data'!$A$2:$A$1780,MATCH($A28,'SKU Data'!$V$2:$V$1780,0)),"")</f>
        <v>GF16-100</v>
      </c>
      <c r="D28" s="27" t="str">
        <f aca="false">IFERROR(INDEX('SKU Data'!$B$2:$B$1780,MATCH($A28,'SKU Data'!$V$2:$V$1780,0)),"")</f>
        <v>Blushing Elegance</v>
      </c>
      <c r="E28" s="18" t="str">
        <f aca="false">IFERROR(INDEX('SKU Data'!$D$2:$D$1780,MATCH($A28,'SKU Data'!$V$2:$V$1780,0)),"")</f>
        <v>GF</v>
      </c>
      <c r="F28" s="19" t="n">
        <f aca="false">IFERROR(INDEX('SKU Data'!$E$2:$E$1780,MATCH($A28,'SKU Data'!$V$2:$V$1780,0)),"")</f>
        <v>1333</v>
      </c>
      <c r="G28" s="19" t="n">
        <f aca="false">IFERROR(INDEX('SKU Data'!$F$2:$F$1780,MATCH($A28,'SKU Data'!$V$2:$V$1780,0)),"")</f>
        <v>70</v>
      </c>
      <c r="H28" s="20" t="n">
        <f aca="false">IFERROR(INDEX('SKU Data'!$J$2:$J$1780,MATCH($A28,'SKU Data'!$V$2:$V$1780,0)),"")</f>
        <v>0.0525131282820705</v>
      </c>
      <c r="I28" s="21" t="n">
        <f aca="false">IFERROR(INDEX('SKU Data'!$H$2:$H$1780,MATCH($A28,'SKU Data'!$V$2:$V$1780,0)),"")</f>
        <v>6992.71</v>
      </c>
      <c r="J28" s="20" t="n">
        <f aca="false">IFERROR(INDEX('SKU Data'!$K$2:$K$1780,MATCH($A28,'SKU Data'!$V$2:$V$1780,0)),"")</f>
        <v>0.0466919520115297</v>
      </c>
      <c r="K28" s="22" t="n">
        <f aca="false">IFERROR(INDEX('SKU Data'!$L$2:$L$1780,MATCH($A28,'SKU Data'!$V$2:$V$1780,0)),"")</f>
        <v>0.0139751158675685</v>
      </c>
      <c r="L28" s="22" t="n">
        <f aca="false">IFERROR(INDEX('SKU Data'!$M$2:$M$1780,MATCH($A28,'SKU Data'!$V$2:$V$1780,0)),"")</f>
        <v>0.000542874847071585</v>
      </c>
      <c r="M28" s="28" t="n">
        <f aca="false">IFERROR(H28/Settings!$B$3,"")</f>
        <v>1.69472898220875</v>
      </c>
      <c r="N28" s="29" t="n">
        <f aca="false">IFERROR(INDEX('SKU Data'!$O$2:$O$1780,MATCH($A28,'SKU Data'!$V$2:$V$1780,0)),"")</f>
        <v>4.53575216568104</v>
      </c>
      <c r="O28" s="23" t="str">
        <f aca="false">IFERROR(INDEX('SKU Data'!$X$2:$X$1780,MATCH($A28,'SKU Data'!$V$2:$V$1780,0)),"")</f>
        <v>HIGH RATE</v>
      </c>
    </row>
    <row r="29" customFormat="false" ht="15" hidden="false" customHeight="false" outlineLevel="0" collapsed="false">
      <c r="A29" s="18" t="n">
        <v>25</v>
      </c>
      <c r="B29" s="23" t="str">
        <f aca="false">IFERROR(INDEX('SKU Data'!$W$2:$W$1780,MATCH($A29,'SKU Data'!$V$2:$V$1780,0)),"")</f>
        <v>1 - Fix first</v>
      </c>
      <c r="C29" s="18" t="str">
        <f aca="false">IFERROR(INDEX('SKU Data'!$A$2:$A$1780,MATCH($A29,'SKU Data'!$V$2:$V$1780,0)),"")</f>
        <v>DCMJ-01</v>
      </c>
      <c r="D29" s="27" t="str">
        <f aca="false">IFERROR(INDEX('SKU Data'!$B$2:$B$1780,MATCH($A29,'SKU Data'!$V$2:$V$1780,0)),"")</f>
        <v>Designer Collection Mason Jar I</v>
      </c>
      <c r="E29" s="18" t="str">
        <f aca="false">IFERROR(INDEX('SKU Data'!$D$2:$D$1780,MATCH($A29,'SKU Data'!$V$2:$V$1780,0)),"")</f>
        <v>DCMJ</v>
      </c>
      <c r="F29" s="19" t="n">
        <f aca="false">IFERROR(INDEX('SKU Data'!$E$2:$E$1780,MATCH($A29,'SKU Data'!$V$2:$V$1780,0)),"")</f>
        <v>209</v>
      </c>
      <c r="G29" s="19" t="n">
        <f aca="false">IFERROR(INDEX('SKU Data'!$F$2:$F$1780,MATCH($A29,'SKU Data'!$V$2:$V$1780,0)),"")</f>
        <v>18</v>
      </c>
      <c r="H29" s="20" t="n">
        <f aca="false">IFERROR(INDEX('SKU Data'!$J$2:$J$1780,MATCH($A29,'SKU Data'!$V$2:$V$1780,0)),"")</f>
        <v>0.0861244019138756</v>
      </c>
      <c r="I29" s="21" t="n">
        <f aca="false">IFERROR(INDEX('SKU Data'!$H$2:$H$1780,MATCH($A29,'SKU Data'!$V$2:$V$1780,0)),"")</f>
        <v>941.68</v>
      </c>
      <c r="J29" s="20" t="n">
        <f aca="false">IFERROR(INDEX('SKU Data'!$K$2:$K$1780,MATCH($A29,'SKU Data'!$V$2:$V$1780,0)),"")</f>
        <v>0.0771617128182773</v>
      </c>
      <c r="K29" s="22" t="n">
        <f aca="false">IFERROR(INDEX('SKU Data'!$L$2:$L$1780,MATCH($A29,'SKU Data'!$V$2:$V$1780,0)),"")</f>
        <v>0.00188197238412174</v>
      </c>
      <c r="L29" s="22" t="n">
        <f aca="false">IFERROR(INDEX('SKU Data'!$M$2:$M$1780,MATCH($A29,'SKU Data'!$V$2:$V$1780,0)),"")</f>
        <v>7.31067620408069E-005</v>
      </c>
      <c r="M29" s="28" t="n">
        <f aca="false">IFERROR(H29/Settings!$B$3,"")</f>
        <v>2.77944820226361</v>
      </c>
      <c r="N29" s="29" t="n">
        <f aca="false">IFERROR(INDEX('SKU Data'!$O$2:$O$1780,MATCH($A29,'SKU Data'!$V$2:$V$1780,0)),"")</f>
        <v>4.60020641020469</v>
      </c>
      <c r="O29" s="23" t="str">
        <f aca="false">IFERROR(INDEX('SKU Data'!$X$2:$X$1780,MATCH($A29,'SKU Data'!$V$2:$V$1780,0)),"")</f>
        <v>HIGH RATE</v>
      </c>
    </row>
    <row r="30" customFormat="false" ht="15" hidden="false" customHeight="false" outlineLevel="0" collapsed="false">
      <c r="A30" s="18" t="n">
        <v>26</v>
      </c>
      <c r="B30" s="23" t="str">
        <f aca="false">IFERROR(INDEX('SKU Data'!$W$2:$W$1780,MATCH($A30,'SKU Data'!$V$2:$V$1780,0)),"")</f>
        <v>2 - Review</v>
      </c>
      <c r="C30" s="18" t="str">
        <f aca="false">IFERROR(INDEX('SKU Data'!$A$2:$A$1780,MATCH($A30,'SKU Data'!$V$2:$V$1780,0)),"")</f>
        <v>AU100-571</v>
      </c>
      <c r="D30" s="27" t="str">
        <f aca="false">IFERROR(INDEX('SKU Data'!$B$2:$B$1780,MATCH($A30,'SKU Data'!$V$2:$V$1780,0)),"")</f>
        <v>Hope &amp; Honour Cross</v>
      </c>
      <c r="E30" s="18" t="str">
        <f aca="false">IFERROR(INDEX('SKU Data'!$D$2:$D$1780,MATCH($A30,'SKU Data'!$V$2:$V$1780,0)),"")</f>
        <v>AU</v>
      </c>
      <c r="F30" s="19" t="n">
        <f aca="false">IFERROR(INDEX('SKU Data'!$E$2:$E$1780,MATCH($A30,'SKU Data'!$V$2:$V$1780,0)),"")</f>
        <v>37</v>
      </c>
      <c r="G30" s="19" t="n">
        <f aca="false">IFERROR(INDEX('SKU Data'!$F$2:$F$1780,MATCH($A30,'SKU Data'!$V$2:$V$1780,0)),"")</f>
        <v>7</v>
      </c>
      <c r="H30" s="20" t="n">
        <f aca="false">IFERROR(INDEX('SKU Data'!$J$2:$J$1780,MATCH($A30,'SKU Data'!$V$2:$V$1780,0)),"")</f>
        <v>0.189189189189189</v>
      </c>
      <c r="I30" s="21" t="n">
        <f aca="false">IFERROR(INDEX('SKU Data'!$H$2:$H$1780,MATCH($A30,'SKU Data'!$V$2:$V$1780,0)),"")</f>
        <v>1720.43</v>
      </c>
      <c r="J30" s="20" t="n">
        <f aca="false">IFERROR(INDEX('SKU Data'!$K$2:$K$1780,MATCH($A30,'SKU Data'!$V$2:$V$1780,0)),"")</f>
        <v>0.18258994287</v>
      </c>
      <c r="K30" s="22" t="n">
        <f aca="false">IFERROR(INDEX('SKU Data'!$L$2:$L$1780,MATCH($A30,'SKU Data'!$V$2:$V$1780,0)),"")</f>
        <v>0.00343832485431841</v>
      </c>
      <c r="L30" s="22" t="n">
        <f aca="false">IFERROR(INDEX('SKU Data'!$M$2:$M$1780,MATCH($A30,'SKU Data'!$V$2:$V$1780,0)),"")</f>
        <v>0.000133564551246565</v>
      </c>
      <c r="M30" s="28" t="n">
        <f aca="false">IFERROR(H30/Settings!$B$3,"")</f>
        <v>6.10560468455205</v>
      </c>
      <c r="N30" s="29" t="n">
        <f aca="false">IFERROR(INDEX('SKU Data'!$O$2:$O$1780,MATCH($A30,'SKU Data'!$V$2:$V$1780,0)),"")</f>
        <v>5.55350123034498</v>
      </c>
      <c r="O30" s="23" t="str">
        <f aca="false">IFERROR(INDEX('SKU Data'!$X$2:$X$1780,MATCH($A30,'SKU Data'!$V$2:$V$1780,0)),"")</f>
        <v>HIGH RATE</v>
      </c>
    </row>
    <row r="31" customFormat="false" ht="15" hidden="false" customHeight="false" outlineLevel="0" collapsed="false">
      <c r="A31" s="18" t="n">
        <v>27</v>
      </c>
      <c r="B31" s="23" t="str">
        <f aca="false">IFERROR(INDEX('SKU Data'!$W$2:$W$1780,MATCH($A31,'SKU Data'!$V$2:$V$1780,0)),"")</f>
        <v>2 - Review</v>
      </c>
      <c r="C31" s="18" t="str">
        <f aca="false">IFERROR(INDEX('SKU Data'!$A$2:$A$1780,MATCH($A31,'SKU Data'!$V$2:$V$1780,0)),"")</f>
        <v>AU112-10</v>
      </c>
      <c r="D31" s="27" t="str">
        <f aca="false">IFERROR(INDEX('SKU Data'!$B$2:$B$1780,MATCH($A31,'SKU Data'!$V$2:$V$1780,0)),"")</f>
        <v>Lavender Love</v>
      </c>
      <c r="E31" s="18" t="str">
        <f aca="false">IFERROR(INDEX('SKU Data'!$D$2:$D$1780,MATCH($A31,'SKU Data'!$V$2:$V$1780,0)),"")</f>
        <v>AU</v>
      </c>
      <c r="F31" s="19" t="n">
        <f aca="false">IFERROR(INDEX('SKU Data'!$E$2:$E$1780,MATCH($A31,'SKU Data'!$V$2:$V$1780,0)),"")</f>
        <v>2208</v>
      </c>
      <c r="G31" s="19" t="n">
        <f aca="false">IFERROR(INDEX('SKU Data'!$F$2:$F$1780,MATCH($A31,'SKU Data'!$V$2:$V$1780,0)),"")</f>
        <v>108</v>
      </c>
      <c r="H31" s="20" t="n">
        <f aca="false">IFERROR(INDEX('SKU Data'!$J$2:$J$1780,MATCH($A31,'SKU Data'!$V$2:$V$1780,0)),"")</f>
        <v>0.0489130434782609</v>
      </c>
      <c r="I31" s="21" t="n">
        <f aca="false">IFERROR(INDEX('SKU Data'!$H$2:$H$1780,MATCH($A31,'SKU Data'!$V$2:$V$1780,0)),"")</f>
        <v>9388.55</v>
      </c>
      <c r="J31" s="20" t="n">
        <f aca="false">IFERROR(INDEX('SKU Data'!$K$2:$K$1780,MATCH($A31,'SKU Data'!$V$2:$V$1780,0)),"")</f>
        <v>0.0460674613247113</v>
      </c>
      <c r="K31" s="22" t="n">
        <f aca="false">IFERROR(INDEX('SKU Data'!$L$2:$L$1780,MATCH($A31,'SKU Data'!$V$2:$V$1780,0)),"")</f>
        <v>0.0187632654691043</v>
      </c>
      <c r="L31" s="22" t="n">
        <f aca="false">IFERROR(INDEX('SKU Data'!$M$2:$M$1780,MATCH($A31,'SKU Data'!$V$2:$V$1780,0)),"")</f>
        <v>0.000728874448600605</v>
      </c>
      <c r="M31" s="28" t="n">
        <f aca="false">IFERROR(H31/Settings!$B$3,"")</f>
        <v>1.57854531052472</v>
      </c>
      <c r="N31" s="29" t="n">
        <f aca="false">IFERROR(INDEX('SKU Data'!$O$2:$O$1780,MATCH($A31,'SKU Data'!$V$2:$V$1780,0)),"")</f>
        <v>4.86133709846121</v>
      </c>
      <c r="O31" s="23" t="str">
        <f aca="false">IFERROR(INDEX('SKU Data'!$X$2:$X$1780,MATCH($A31,'SKU Data'!$V$2:$V$1780,0)),"")</f>
        <v>HIGH RATE</v>
      </c>
    </row>
    <row r="32" customFormat="false" ht="15" hidden="false" customHeight="false" outlineLevel="0" collapsed="false">
      <c r="A32" s="18" t="n">
        <v>28</v>
      </c>
      <c r="B32" s="23" t="str">
        <f aca="false">IFERROR(INDEX('SKU Data'!$W$2:$W$1780,MATCH($A32,'SKU Data'!$V$2:$V$1780,0)),"")</f>
        <v>2 - Review</v>
      </c>
      <c r="C32" s="18" t="str">
        <f aca="false">IFERROR(INDEX('SKU Data'!$A$2:$A$1780,MATCH($A32,'SKU Data'!$V$2:$V$1780,0)),"")</f>
        <v>MJ100-17</v>
      </c>
      <c r="D32" s="27" t="str">
        <f aca="false">IFERROR(INDEX('SKU Data'!$B$2:$B$1780,MATCH($A32,'SKU Data'!$V$2:$V$1780,0)),"")</f>
        <v>Thirty Blooms of Alstroemeria in Mason Jar</v>
      </c>
      <c r="E32" s="18" t="str">
        <f aca="false">IFERROR(INDEX('SKU Data'!$D$2:$D$1780,MATCH($A32,'SKU Data'!$V$2:$V$1780,0)),"")</f>
        <v>MJ</v>
      </c>
      <c r="F32" s="19" t="n">
        <f aca="false">IFERROR(INDEX('SKU Data'!$E$2:$E$1780,MATCH($A32,'SKU Data'!$V$2:$V$1780,0)),"")</f>
        <v>2096</v>
      </c>
      <c r="G32" s="19" t="n">
        <f aca="false">IFERROR(INDEX('SKU Data'!$F$2:$F$1780,MATCH($A32,'SKU Data'!$V$2:$V$1780,0)),"")</f>
        <v>104</v>
      </c>
      <c r="H32" s="20" t="n">
        <f aca="false">IFERROR(INDEX('SKU Data'!$J$2:$J$1780,MATCH($A32,'SKU Data'!$V$2:$V$1780,0)),"")</f>
        <v>0.049618320610687</v>
      </c>
      <c r="I32" s="21" t="n">
        <f aca="false">IFERROR(INDEX('SKU Data'!$H$2:$H$1780,MATCH($A32,'SKU Data'!$V$2:$V$1780,0)),"")</f>
        <v>6020.46</v>
      </c>
      <c r="J32" s="20" t="n">
        <f aca="false">IFERROR(INDEX('SKU Data'!$K$2:$K$1780,MATCH($A32,'SKU Data'!$V$2:$V$1780,0)),"")</f>
        <v>0.0459822209044714</v>
      </c>
      <c r="K32" s="22" t="n">
        <f aca="false">IFERROR(INDEX('SKU Data'!$L$2:$L$1780,MATCH($A32,'SKU Data'!$V$2:$V$1780,0)),"")</f>
        <v>0.0120320485299779</v>
      </c>
      <c r="L32" s="22" t="n">
        <f aca="false">IFERROR(INDEX('SKU Data'!$M$2:$M$1780,MATCH($A32,'SKU Data'!$V$2:$V$1780,0)),"")</f>
        <v>0.000467394801414702</v>
      </c>
      <c r="M32" s="28" t="n">
        <f aca="false">IFERROR(H32/Settings!$B$3,"")</f>
        <v>1.60130635401829</v>
      </c>
      <c r="N32" s="29" t="n">
        <f aca="false">IFERROR(INDEX('SKU Data'!$O$2:$O$1780,MATCH($A32,'SKU Data'!$V$2:$V$1780,0)),"")</f>
        <v>4.92277807055216</v>
      </c>
      <c r="O32" s="23" t="str">
        <f aca="false">IFERROR(INDEX('SKU Data'!$X$2:$X$1780,MATCH($A32,'SKU Data'!$V$2:$V$1780,0)),"")</f>
        <v>HIGH RATE</v>
      </c>
    </row>
    <row r="33" customFormat="false" ht="15" hidden="false" customHeight="false" outlineLevel="0" collapsed="false">
      <c r="A33" s="18" t="n">
        <v>29</v>
      </c>
      <c r="B33" s="23" t="str">
        <f aca="false">IFERROR(INDEX('SKU Data'!$W$2:$W$1780,MATCH($A33,'SKU Data'!$V$2:$V$1780,0)),"")</f>
        <v>2 - Review</v>
      </c>
      <c r="C33" s="18" t="str">
        <f aca="false">IFERROR(INDEX('SKU Data'!$A$2:$A$1780,MATCH($A33,'SKU Data'!$V$2:$V$1780,0)),"")</f>
        <v>AU112-54</v>
      </c>
      <c r="D33" s="27" t="str">
        <f aca="false">IFERROR(INDEX('SKU Data'!$B$2:$B$1780,MATCH($A33,'SKU Data'!$V$2:$V$1780,0)),"")</f>
        <v>Captivating</v>
      </c>
      <c r="E33" s="18" t="str">
        <f aca="false">IFERROR(INDEX('SKU Data'!$D$2:$D$1780,MATCH($A33,'SKU Data'!$V$2:$V$1780,0)),"")</f>
        <v>AU</v>
      </c>
      <c r="F33" s="19" t="n">
        <f aca="false">IFERROR(INDEX('SKU Data'!$E$2:$E$1780,MATCH($A33,'SKU Data'!$V$2:$V$1780,0)),"")</f>
        <v>130</v>
      </c>
      <c r="G33" s="19" t="n">
        <f aca="false">IFERROR(INDEX('SKU Data'!$F$2:$F$1780,MATCH($A33,'SKU Data'!$V$2:$V$1780,0)),"")</f>
        <v>13</v>
      </c>
      <c r="H33" s="20" t="n">
        <f aca="false">IFERROR(INDEX('SKU Data'!$J$2:$J$1780,MATCH($A33,'SKU Data'!$V$2:$V$1780,0)),"")</f>
        <v>0.1</v>
      </c>
      <c r="I33" s="21" t="n">
        <f aca="false">IFERROR(INDEX('SKU Data'!$H$2:$H$1780,MATCH($A33,'SKU Data'!$V$2:$V$1780,0)),"")</f>
        <v>911.98</v>
      </c>
      <c r="J33" s="20" t="n">
        <f aca="false">IFERROR(INDEX('SKU Data'!$K$2:$K$1780,MATCH($A33,'SKU Data'!$V$2:$V$1780,0)),"")</f>
        <v>0.0949462896216849</v>
      </c>
      <c r="K33" s="22" t="n">
        <f aca="false">IFERROR(INDEX('SKU Data'!$L$2:$L$1780,MATCH($A33,'SKU Data'!$V$2:$V$1780,0)),"")</f>
        <v>0.00182261614866127</v>
      </c>
      <c r="L33" s="22" t="n">
        <f aca="false">IFERROR(INDEX('SKU Data'!$M$2:$M$1780,MATCH($A33,'SKU Data'!$V$2:$V$1780,0)),"")</f>
        <v>7.08010203529597E-005</v>
      </c>
      <c r="M33" s="28" t="n">
        <f aca="false">IFERROR(H33/Settings!$B$3,"")</f>
        <v>3.22724819040609</v>
      </c>
      <c r="N33" s="29" t="n">
        <f aca="false">IFERROR(INDEX('SKU Data'!$O$2:$O$1780,MATCH($A33,'SKU Data'!$V$2:$V$1780,0)),"")</f>
        <v>4.54107961362183</v>
      </c>
      <c r="O33" s="23" t="str">
        <f aca="false">IFERROR(INDEX('SKU Data'!$X$2:$X$1780,MATCH($A33,'SKU Data'!$V$2:$V$1780,0)),"")</f>
        <v>HIGH RATE</v>
      </c>
    </row>
    <row r="34" customFormat="false" ht="15" hidden="false" customHeight="false" outlineLevel="0" collapsed="false">
      <c r="A34" s="18" t="n">
        <v>30</v>
      </c>
      <c r="B34" s="23" t="str">
        <f aca="false">IFERROR(INDEX('SKU Data'!$W$2:$W$1780,MATCH($A34,'SKU Data'!$V$2:$V$1780,0)),"")</f>
        <v>2 - Review</v>
      </c>
      <c r="C34" s="18" t="str">
        <f aca="false">IFERROR(INDEX('SKU Data'!$A$2:$A$1780,MATCH($A34,'SKU Data'!$V$2:$V$1780,0)),"")</f>
        <v>AL100-71AURP</v>
      </c>
      <c r="D34" s="27" t="str">
        <f aca="false">IFERROR(INDEX('SKU Data'!$B$2:$B$1780,MATCH($A34,'SKU Data'!$V$2:$V$1780,0)),"")</f>
        <v>Full Heart</v>
      </c>
      <c r="E34" s="18" t="str">
        <f aca="false">IFERROR(INDEX('SKU Data'!$D$2:$D$1780,MATCH($A34,'SKU Data'!$V$2:$V$1780,0)),"")</f>
        <v>AL</v>
      </c>
      <c r="F34" s="19" t="n">
        <f aca="false">IFERROR(INDEX('SKU Data'!$E$2:$E$1780,MATCH($A34,'SKU Data'!$V$2:$V$1780,0)),"")</f>
        <v>319</v>
      </c>
      <c r="G34" s="19" t="n">
        <f aca="false">IFERROR(INDEX('SKU Data'!$F$2:$F$1780,MATCH($A34,'SKU Data'!$V$2:$V$1780,0)),"")</f>
        <v>19</v>
      </c>
      <c r="H34" s="20" t="n">
        <f aca="false">IFERROR(INDEX('SKU Data'!$J$2:$J$1780,MATCH($A34,'SKU Data'!$V$2:$V$1780,0)),"")</f>
        <v>0.0595611285266458</v>
      </c>
      <c r="I34" s="21" t="n">
        <f aca="false">IFERROR(INDEX('SKU Data'!$H$2:$H$1780,MATCH($A34,'SKU Data'!$V$2:$V$1780,0)),"")</f>
        <v>2692.59</v>
      </c>
      <c r="J34" s="20" t="n">
        <f aca="false">IFERROR(INDEX('SKU Data'!$K$2:$K$1780,MATCH($A34,'SKU Data'!$V$2:$V$1780,0)),"")</f>
        <v>0.0595051984920992</v>
      </c>
      <c r="K34" s="22" t="n">
        <f aca="false">IFERROR(INDEX('SKU Data'!$L$2:$L$1780,MATCH($A34,'SKU Data'!$V$2:$V$1780,0)),"")</f>
        <v>0.00538121232452888</v>
      </c>
      <c r="L34" s="22" t="n">
        <f aca="false">IFERROR(INDEX('SKU Data'!$M$2:$M$1780,MATCH($A34,'SKU Data'!$V$2:$V$1780,0)),"")</f>
        <v>0.000209037609807425</v>
      </c>
      <c r="M34" s="28" t="n">
        <f aca="false">IFERROR(H34/Settings!$B$3,"")</f>
        <v>1.92218544256162</v>
      </c>
      <c r="N34" s="29" t="n">
        <f aca="false">IFERROR(INDEX('SKU Data'!$O$2:$O$1780,MATCH($A34,'SKU Data'!$V$2:$V$1780,0)),"")</f>
        <v>2.94531960925308</v>
      </c>
      <c r="O34" s="23" t="str">
        <f aca="false">IFERROR(INDEX('SKU Data'!$X$2:$X$1780,MATCH($A34,'SKU Data'!$V$2:$V$1780,0)),"")</f>
        <v/>
      </c>
    </row>
    <row r="35" customFormat="false" ht="15" hidden="false" customHeight="false" outlineLevel="0" collapsed="false">
      <c r="A35" s="18" t="n">
        <v>31</v>
      </c>
      <c r="B35" s="23" t="str">
        <f aca="false">IFERROR(INDEX('SKU Data'!$W$2:$W$1780,MATCH($A35,'SKU Data'!$V$2:$V$1780,0)),"")</f>
        <v>2 - Review</v>
      </c>
      <c r="C35" s="18" t="str">
        <f aca="false">IFERROR(INDEX('SKU Data'!$A$2:$A$1780,MATCH($A35,'SKU Data'!$V$2:$V$1780,0)),"")</f>
        <v>AU100-582</v>
      </c>
      <c r="D35" s="27" t="str">
        <f aca="false">IFERROR(INDEX('SKU Data'!$B$2:$B$1780,MATCH($A35,'SKU Data'!$V$2:$V$1780,0)),"")</f>
        <v>Rose Garden Heart</v>
      </c>
      <c r="E35" s="18" t="str">
        <f aca="false">IFERROR(INDEX('SKU Data'!$D$2:$D$1780,MATCH($A35,'SKU Data'!$V$2:$V$1780,0)),"")</f>
        <v>AU</v>
      </c>
      <c r="F35" s="19" t="n">
        <f aca="false">IFERROR(INDEX('SKU Data'!$E$2:$E$1780,MATCH($A35,'SKU Data'!$V$2:$V$1780,0)),"")</f>
        <v>40</v>
      </c>
      <c r="G35" s="19" t="n">
        <f aca="false">IFERROR(INDEX('SKU Data'!$F$2:$F$1780,MATCH($A35,'SKU Data'!$V$2:$V$1780,0)),"")</f>
        <v>6</v>
      </c>
      <c r="H35" s="20" t="n">
        <f aca="false">IFERROR(INDEX('SKU Data'!$J$2:$J$1780,MATCH($A35,'SKU Data'!$V$2:$V$1780,0)),"")</f>
        <v>0.15</v>
      </c>
      <c r="I35" s="21" t="n">
        <f aca="false">IFERROR(INDEX('SKU Data'!$H$2:$H$1780,MATCH($A35,'SKU Data'!$V$2:$V$1780,0)),"")</f>
        <v>1504.25</v>
      </c>
      <c r="J35" s="20" t="n">
        <f aca="false">IFERROR(INDEX('SKU Data'!$K$2:$K$1780,MATCH($A35,'SKU Data'!$V$2:$V$1780,0)),"")</f>
        <v>0.134220792199356</v>
      </c>
      <c r="K35" s="22" t="n">
        <f aca="false">IFERROR(INDEX('SKU Data'!$L$2:$L$1780,MATCH($A35,'SKU Data'!$V$2:$V$1780,0)),"")</f>
        <v>0.00300628340711826</v>
      </c>
      <c r="L35" s="22" t="n">
        <f aca="false">IFERROR(INDEX('SKU Data'!$M$2:$M$1780,MATCH($A35,'SKU Data'!$V$2:$V$1780,0)),"")</f>
        <v>0.000116781546597447</v>
      </c>
      <c r="M35" s="28" t="n">
        <f aca="false">IFERROR(H35/Settings!$B$3,"")</f>
        <v>4.84087228560913</v>
      </c>
      <c r="N35" s="29" t="n">
        <f aca="false">IFERROR(INDEX('SKU Data'!$O$2:$O$1780,MATCH($A35,'SKU Data'!$V$2:$V$1780,0)),"")</f>
        <v>4.34388868083427</v>
      </c>
      <c r="O35" s="23" t="str">
        <f aca="false">IFERROR(INDEX('SKU Data'!$X$2:$X$1780,MATCH($A35,'SKU Data'!$V$2:$V$1780,0)),"")</f>
        <v>HIGH RATE</v>
      </c>
    </row>
    <row r="36" customFormat="false" ht="15" hidden="false" customHeight="false" outlineLevel="0" collapsed="false">
      <c r="A36" s="18" t="n">
        <v>32</v>
      </c>
      <c r="B36" s="23" t="str">
        <f aca="false">IFERROR(INDEX('SKU Data'!$W$2:$W$1780,MATCH($A36,'SKU Data'!$V$2:$V$1780,0)),"")</f>
        <v>2 - Review</v>
      </c>
      <c r="C36" s="18" t="str">
        <f aca="false">IFERROR(INDEX('SKU Data'!$A$2:$A$1780,MATCH($A36,'SKU Data'!$V$2:$V$1780,0)),"")</f>
        <v>GF16-110</v>
      </c>
      <c r="D36" s="27" t="str">
        <f aca="false">IFERROR(INDEX('SKU Data'!$B$2:$B$1780,MATCH($A36,'SKU Data'!$V$2:$V$1780,0)),"")</f>
        <v>Pastel Harmony</v>
      </c>
      <c r="E36" s="18" t="str">
        <f aca="false">IFERROR(INDEX('SKU Data'!$D$2:$D$1780,MATCH($A36,'SKU Data'!$V$2:$V$1780,0)),"")</f>
        <v>GF</v>
      </c>
      <c r="F36" s="19" t="n">
        <f aca="false">IFERROR(INDEX('SKU Data'!$E$2:$E$1780,MATCH($A36,'SKU Data'!$V$2:$V$1780,0)),"")</f>
        <v>1130</v>
      </c>
      <c r="G36" s="19" t="n">
        <f aca="false">IFERROR(INDEX('SKU Data'!$F$2:$F$1780,MATCH($A36,'SKU Data'!$V$2:$V$1780,0)),"")</f>
        <v>56</v>
      </c>
      <c r="H36" s="20" t="n">
        <f aca="false">IFERROR(INDEX('SKU Data'!$J$2:$J$1780,MATCH($A36,'SKU Data'!$V$2:$V$1780,0)),"")</f>
        <v>0.0495575221238938</v>
      </c>
      <c r="I36" s="21" t="n">
        <f aca="false">IFERROR(INDEX('SKU Data'!$H$2:$H$1780,MATCH($A36,'SKU Data'!$V$2:$V$1780,0)),"")</f>
        <v>6386.94</v>
      </c>
      <c r="J36" s="20" t="n">
        <f aca="false">IFERROR(INDEX('SKU Data'!$K$2:$K$1780,MATCH($A36,'SKU Data'!$V$2:$V$1780,0)),"")</f>
        <v>0.0462274847886479</v>
      </c>
      <c r="K36" s="22" t="n">
        <f aca="false">IFERROR(INDEX('SKU Data'!$L$2:$L$1780,MATCH($A36,'SKU Data'!$V$2:$V$1780,0)),"")</f>
        <v>0.012764468502084</v>
      </c>
      <c r="L36" s="22" t="n">
        <f aca="false">IFERROR(INDEX('SKU Data'!$M$2:$M$1780,MATCH($A36,'SKU Data'!$V$2:$V$1780,0)),"")</f>
        <v>0.000495846256423531</v>
      </c>
      <c r="M36" s="28" t="n">
        <f aca="false">IFERROR(H36/Settings!$B$3,"")</f>
        <v>1.59934423595346</v>
      </c>
      <c r="N36" s="29" t="n">
        <f aca="false">IFERROR(INDEX('SKU Data'!$O$2:$O$1780,MATCH($A36,'SKU Data'!$V$2:$V$1780,0)),"")</f>
        <v>3.6027520980699</v>
      </c>
      <c r="O36" s="23" t="str">
        <f aca="false">IFERROR(INDEX('SKU Data'!$X$2:$X$1780,MATCH($A36,'SKU Data'!$V$2:$V$1780,0)),"")</f>
        <v>HIGH RATE</v>
      </c>
    </row>
    <row r="37" customFormat="false" ht="15" hidden="false" customHeight="false" outlineLevel="0" collapsed="false">
      <c r="A37" s="18" t="n">
        <v>33</v>
      </c>
      <c r="B37" s="23" t="str">
        <f aca="false">IFERROR(INDEX('SKU Data'!$W$2:$W$1780,MATCH($A37,'SKU Data'!$V$2:$V$1780,0)),"")</f>
        <v>2 - Review</v>
      </c>
      <c r="C37" s="18" t="str">
        <f aca="false">IFERROR(INDEX('SKU Data'!$A$2:$A$1780,MATCH($A37,'SKU Data'!$V$2:$V$1780,0)),"")</f>
        <v>LF15-10D</v>
      </c>
      <c r="D37" s="27" t="str">
        <f aca="false">IFERROR(INDEX('SKU Data'!$B$2:$B$1780,MATCH($A37,'SKU Data'!$V$2:$V$1780,0)),"")</f>
        <v>Hugs and Kisses IV</v>
      </c>
      <c r="E37" s="18" t="str">
        <f aca="false">IFERROR(INDEX('SKU Data'!$D$2:$D$1780,MATCH($A37,'SKU Data'!$V$2:$V$1780,0)),"")</f>
        <v>LF</v>
      </c>
      <c r="F37" s="19" t="n">
        <f aca="false">IFERROR(INDEX('SKU Data'!$E$2:$E$1780,MATCH($A37,'SKU Data'!$V$2:$V$1780,0)),"")</f>
        <v>153</v>
      </c>
      <c r="G37" s="19" t="n">
        <f aca="false">IFERROR(INDEX('SKU Data'!$F$2:$F$1780,MATCH($A37,'SKU Data'!$V$2:$V$1780,0)),"")</f>
        <v>12</v>
      </c>
      <c r="H37" s="20" t="n">
        <f aca="false">IFERROR(INDEX('SKU Data'!$J$2:$J$1780,MATCH($A37,'SKU Data'!$V$2:$V$1780,0)),"")</f>
        <v>0.0784313725490196</v>
      </c>
      <c r="I37" s="21" t="n">
        <f aca="false">IFERROR(INDEX('SKU Data'!$H$2:$H$1780,MATCH($A37,'SKU Data'!$V$2:$V$1780,0)),"")</f>
        <v>1086.73</v>
      </c>
      <c r="J37" s="20" t="n">
        <f aca="false">IFERROR(INDEX('SKU Data'!$K$2:$K$1780,MATCH($A37,'SKU Data'!$V$2:$V$1780,0)),"")</f>
        <v>0.0744536539312664</v>
      </c>
      <c r="K37" s="22" t="n">
        <f aca="false">IFERROR(INDEX('SKU Data'!$L$2:$L$1780,MATCH($A37,'SKU Data'!$V$2:$V$1780,0)),"")</f>
        <v>0.00217185864518373</v>
      </c>
      <c r="L37" s="22" t="n">
        <f aca="false">IFERROR(INDEX('SKU Data'!$M$2:$M$1780,MATCH($A37,'SKU Data'!$V$2:$V$1780,0)),"")</f>
        <v>8.43676317991314E-005</v>
      </c>
      <c r="M37" s="28" t="n">
        <f aca="false">IFERROR(H37/Settings!$B$3,"")</f>
        <v>2.53117505129889</v>
      </c>
      <c r="N37" s="29" t="n">
        <f aca="false">IFERROR(INDEX('SKU Data'!$O$2:$O$1780,MATCH($A37,'SKU Data'!$V$2:$V$1780,0)),"")</f>
        <v>3.38679870186056</v>
      </c>
      <c r="O37" s="23" t="str">
        <f aca="false">IFERROR(INDEX('SKU Data'!$X$2:$X$1780,MATCH($A37,'SKU Data'!$V$2:$V$1780,0)),"")</f>
        <v>HIGH RATE</v>
      </c>
    </row>
    <row r="38" customFormat="false" ht="15" hidden="false" customHeight="false" outlineLevel="0" collapsed="false">
      <c r="A38" s="18" t="n">
        <v>34</v>
      </c>
      <c r="B38" s="23" t="str">
        <f aca="false">IFERROR(INDEX('SKU Data'!$W$2:$W$1780,MATCH($A38,'SKU Data'!$V$2:$V$1780,0)),"")</f>
        <v>2 - Review</v>
      </c>
      <c r="C38" s="18" t="str">
        <f aca="false">IFERROR(INDEX('SKU Data'!$A$2:$A$1780,MATCH($A38,'SKU Data'!$V$2:$V$1780,0)),"")</f>
        <v>AURP-13sp</v>
      </c>
      <c r="D38" s="27" t="str">
        <f aca="false">IFERROR(INDEX('SKU Data'!$B$2:$B$1780,MATCH($A38,'SKU Data'!$V$2:$V$1780,0)),"")</f>
        <v>Chocolates &amp; Teddy</v>
      </c>
      <c r="E38" s="18" t="str">
        <f aca="false">IFERROR(INDEX('SKU Data'!$D$2:$D$1780,MATCH($A38,'SKU Data'!$V$2:$V$1780,0)),"")</f>
        <v>AURP</v>
      </c>
      <c r="F38" s="19" t="n">
        <f aca="false">IFERROR(INDEX('SKU Data'!$E$2:$E$1780,MATCH($A38,'SKU Data'!$V$2:$V$1780,0)),"")</f>
        <v>1589</v>
      </c>
      <c r="G38" s="19" t="n">
        <f aca="false">IFERROR(INDEX('SKU Data'!$F$2:$F$1780,MATCH($A38,'SKU Data'!$V$2:$V$1780,0)),"")</f>
        <v>85</v>
      </c>
      <c r="H38" s="20" t="n">
        <f aca="false">IFERROR(INDEX('SKU Data'!$J$2:$J$1780,MATCH($A38,'SKU Data'!$V$2:$V$1780,0)),"")</f>
        <v>0.0534927627438641</v>
      </c>
      <c r="I38" s="21" t="n">
        <f aca="false">IFERROR(INDEX('SKU Data'!$H$2:$H$1780,MATCH($A38,'SKU Data'!$V$2:$V$1780,0)),"")</f>
        <v>1209.72</v>
      </c>
      <c r="J38" s="20" t="n">
        <f aca="false">IFERROR(INDEX('SKU Data'!$K$2:$K$1780,MATCH($A38,'SKU Data'!$V$2:$V$1780,0)),"")</f>
        <v>0.0502253397741828</v>
      </c>
      <c r="K38" s="22" t="n">
        <f aca="false">IFERROR(INDEX('SKU Data'!$L$2:$L$1780,MATCH($A38,'SKU Data'!$V$2:$V$1780,0)),"")</f>
        <v>0.00241765741283637</v>
      </c>
      <c r="L38" s="22" t="n">
        <f aca="false">IFERROR(INDEX('SKU Data'!$M$2:$M$1780,MATCH($A38,'SKU Data'!$V$2:$V$1780,0)),"")</f>
        <v>9.39158866876273E-005</v>
      </c>
      <c r="M38" s="28" t="n">
        <f aca="false">IFERROR(H38/Settings!$B$3,"")</f>
        <v>1.72634421764957</v>
      </c>
      <c r="N38" s="29" t="n">
        <f aca="false">IFERROR(INDEX('SKU Data'!$O$2:$O$1780,MATCH($A38,'SKU Data'!$V$2:$V$1780,0)),"")</f>
        <v>5.17753754854195</v>
      </c>
      <c r="O38" s="23" t="str">
        <f aca="false">IFERROR(INDEX('SKU Data'!$X$2:$X$1780,MATCH($A38,'SKU Data'!$V$2:$V$1780,0)),"")</f>
        <v>HIGH RATE</v>
      </c>
    </row>
    <row r="39" customFormat="false" ht="15" hidden="false" customHeight="false" outlineLevel="0" collapsed="false">
      <c r="A39" s="18" t="n">
        <v>35</v>
      </c>
      <c r="B39" s="23" t="str">
        <f aca="false">IFERROR(INDEX('SKU Data'!$W$2:$W$1780,MATCH($A39,'SKU Data'!$V$2:$V$1780,0)),"")</f>
        <v>2 - Review</v>
      </c>
      <c r="C39" s="18" t="str">
        <f aca="false">IFERROR(INDEX('SKU Data'!$A$2:$A$1780,MATCH($A39,'SKU Data'!$V$2:$V$1780,0)),"")</f>
        <v>AUMJ-NW-014</v>
      </c>
      <c r="D39" s="27" t="str">
        <f aca="false">IFERROR(INDEX('SKU Data'!$B$2:$B$1780,MATCH($A39,'SKU Data'!$V$2:$V$1780,0)),"")</f>
        <v>Peach Beach Paradise Bouquet in Mason Jar</v>
      </c>
      <c r="E39" s="18" t="str">
        <f aca="false">IFERROR(INDEX('SKU Data'!$D$2:$D$1780,MATCH($A39,'SKU Data'!$V$2:$V$1780,0)),"")</f>
        <v>AUMJ</v>
      </c>
      <c r="F39" s="19" t="n">
        <f aca="false">IFERROR(INDEX('SKU Data'!$E$2:$E$1780,MATCH($A39,'SKU Data'!$V$2:$V$1780,0)),"")</f>
        <v>255</v>
      </c>
      <c r="G39" s="19" t="n">
        <f aca="false">IFERROR(INDEX('SKU Data'!$F$2:$F$1780,MATCH($A39,'SKU Data'!$V$2:$V$1780,0)),"")</f>
        <v>16</v>
      </c>
      <c r="H39" s="20" t="n">
        <f aca="false">IFERROR(INDEX('SKU Data'!$J$2:$J$1780,MATCH($A39,'SKU Data'!$V$2:$V$1780,0)),"")</f>
        <v>0.0627450980392157</v>
      </c>
      <c r="I39" s="21" t="n">
        <f aca="false">IFERROR(INDEX('SKU Data'!$H$2:$H$1780,MATCH($A39,'SKU Data'!$V$2:$V$1780,0)),"")</f>
        <v>1675.33</v>
      </c>
      <c r="J39" s="20" t="n">
        <f aca="false">IFERROR(INDEX('SKU Data'!$K$2:$K$1780,MATCH($A39,'SKU Data'!$V$2:$V$1780,0)),"")</f>
        <v>0.0603141767638512</v>
      </c>
      <c r="K39" s="22" t="n">
        <f aca="false">IFERROR(INDEX('SKU Data'!$L$2:$L$1780,MATCH($A39,'SKU Data'!$V$2:$V$1780,0)),"")</f>
        <v>0.00334819131158214</v>
      </c>
      <c r="L39" s="22" t="n">
        <f aca="false">IFERROR(INDEX('SKU Data'!$M$2:$M$1780,MATCH($A39,'SKU Data'!$V$2:$V$1780,0)),"")</f>
        <v>0.000130063239794649</v>
      </c>
      <c r="M39" s="28" t="n">
        <f aca="false">IFERROR(H39/Settings!$B$3,"")</f>
        <v>2.02494004103911</v>
      </c>
      <c r="N39" s="29" t="n">
        <f aca="false">IFERROR(INDEX('SKU Data'!$O$2:$O$1780,MATCH($A39,'SKU Data'!$V$2:$V$1780,0)),"")</f>
        <v>2.92676178109143</v>
      </c>
      <c r="O39" s="23" t="str">
        <f aca="false">IFERROR(INDEX('SKU Data'!$X$2:$X$1780,MATCH($A39,'SKU Data'!$V$2:$V$1780,0)),"")</f>
        <v/>
      </c>
    </row>
    <row r="40" customFormat="false" ht="15" hidden="false" customHeight="false" outlineLevel="0" collapsed="false">
      <c r="A40" s="18" t="n">
        <v>36</v>
      </c>
      <c r="B40" s="23" t="str">
        <f aca="false">IFERROR(INDEX('SKU Data'!$W$2:$W$1780,MATCH($A40,'SKU Data'!$V$2:$V$1780,0)),"")</f>
        <v>2 - Review</v>
      </c>
      <c r="C40" s="18" t="str">
        <f aca="false">IFERROR(INDEX('SKU Data'!$A$2:$A$1780,MATCH($A40,'SKU Data'!$V$2:$V$1780,0)),"")</f>
        <v>AUDNAT-02</v>
      </c>
      <c r="D40" s="27" t="str">
        <f aca="false">IFERROR(INDEX('SKU Data'!$B$2:$B$1780,MATCH($A40,'SKU Data'!$V$2:$V$1780,0)),"")</f>
        <v>Native Flowers Bouquet Designer Collection II</v>
      </c>
      <c r="E40" s="18" t="str">
        <f aca="false">IFERROR(INDEX('SKU Data'!$D$2:$D$1780,MATCH($A40,'SKU Data'!$V$2:$V$1780,0)),"")</f>
        <v>AUDNAT</v>
      </c>
      <c r="F40" s="19" t="n">
        <f aca="false">IFERROR(INDEX('SKU Data'!$E$2:$E$1780,MATCH($A40,'SKU Data'!$V$2:$V$1780,0)),"")</f>
        <v>1279</v>
      </c>
      <c r="G40" s="19" t="n">
        <f aca="false">IFERROR(INDEX('SKU Data'!$F$2:$F$1780,MATCH($A40,'SKU Data'!$V$2:$V$1780,0)),"")</f>
        <v>62</v>
      </c>
      <c r="H40" s="20" t="n">
        <f aca="false">IFERROR(INDEX('SKU Data'!$J$2:$J$1780,MATCH($A40,'SKU Data'!$V$2:$V$1780,0)),"")</f>
        <v>0.0484753713838937</v>
      </c>
      <c r="I40" s="21" t="n">
        <f aca="false">IFERROR(INDEX('SKU Data'!$H$2:$H$1780,MATCH($A40,'SKU Data'!$V$2:$V$1780,0)),"")</f>
        <v>6090.57</v>
      </c>
      <c r="J40" s="20" t="n">
        <f aca="false">IFERROR(INDEX('SKU Data'!$K$2:$K$1780,MATCH($A40,'SKU Data'!$V$2:$V$1780,0)),"")</f>
        <v>0.0437480668971043</v>
      </c>
      <c r="K40" s="22" t="n">
        <f aca="false">IFERROR(INDEX('SKU Data'!$L$2:$L$1780,MATCH($A40,'SKU Data'!$V$2:$V$1780,0)),"")</f>
        <v>0.0121721652191406</v>
      </c>
      <c r="L40" s="22" t="n">
        <f aca="false">IFERROR(INDEX('SKU Data'!$M$2:$M$1780,MATCH($A40,'SKU Data'!$V$2:$V$1780,0)),"")</f>
        <v>0.000472837749217226</v>
      </c>
      <c r="M40" s="28" t="n">
        <f aca="false">IFERROR(H40/Settings!$B$3,"")</f>
        <v>1.56442054577934</v>
      </c>
      <c r="N40" s="29" t="n">
        <f aca="false">IFERROR(INDEX('SKU Data'!$O$2:$O$1780,MATCH($A40,'SKU Data'!$V$2:$V$1780,0)),"")</f>
        <v>3.60958199494274</v>
      </c>
      <c r="O40" s="23" t="str">
        <f aca="false">IFERROR(INDEX('SKU Data'!$X$2:$X$1780,MATCH($A40,'SKU Data'!$V$2:$V$1780,0)),"")</f>
        <v>HIGH RATE</v>
      </c>
    </row>
    <row r="41" customFormat="false" ht="15" hidden="false" customHeight="false" outlineLevel="0" collapsed="false">
      <c r="A41" s="18" t="n">
        <v>37</v>
      </c>
      <c r="B41" s="23" t="str">
        <f aca="false">IFERROR(INDEX('SKU Data'!$W$2:$W$1780,MATCH($A41,'SKU Data'!$V$2:$V$1780,0)),"")</f>
        <v>2 - Review</v>
      </c>
      <c r="C41" s="18" t="str">
        <f aca="false">IFERROR(INDEX('SKU Data'!$A$2:$A$1780,MATCH($A41,'SKU Data'!$V$2:$V$1780,0)),"")</f>
        <v>AUSRP-16sp</v>
      </c>
      <c r="D41" s="27" t="str">
        <f aca="false">IFERROR(INDEX('SKU Data'!$B$2:$B$1780,MATCH($A41,'SKU Data'!$V$2:$V$1780,0)),"")</f>
        <v>Truffles &amp; Card</v>
      </c>
      <c r="E41" s="18" t="str">
        <f aca="false">IFERROR(INDEX('SKU Data'!$D$2:$D$1780,MATCH($A41,'SKU Data'!$V$2:$V$1780,0)),"")</f>
        <v>AUSRP</v>
      </c>
      <c r="F41" s="19" t="n">
        <f aca="false">IFERROR(INDEX('SKU Data'!$E$2:$E$1780,MATCH($A41,'SKU Data'!$V$2:$V$1780,0)),"")</f>
        <v>2919</v>
      </c>
      <c r="G41" s="19" t="n">
        <f aca="false">IFERROR(INDEX('SKU Data'!$F$2:$F$1780,MATCH($A41,'SKU Data'!$V$2:$V$1780,0)),"")</f>
        <v>152</v>
      </c>
      <c r="H41" s="20" t="n">
        <f aca="false">IFERROR(INDEX('SKU Data'!$J$2:$J$1780,MATCH($A41,'SKU Data'!$V$2:$V$1780,0)),"")</f>
        <v>0.052072627612196</v>
      </c>
      <c r="I41" s="21" t="n">
        <f aca="false">IFERROR(INDEX('SKU Data'!$H$2:$H$1780,MATCH($A41,'SKU Data'!$V$2:$V$1780,0)),"")</f>
        <v>1385.93</v>
      </c>
      <c r="J41" s="20" t="n">
        <f aca="false">IFERROR(INDEX('SKU Data'!$K$2:$K$1780,MATCH($A41,'SKU Data'!$V$2:$V$1780,0)),"")</f>
        <v>0.0476125039636148</v>
      </c>
      <c r="K41" s="22" t="n">
        <f aca="false">IFERROR(INDEX('SKU Data'!$L$2:$L$1780,MATCH($A41,'SKU Data'!$V$2:$V$1780,0)),"")</f>
        <v>0.00276981775797069</v>
      </c>
      <c r="L41" s="22" t="n">
        <f aca="false">IFERROR(INDEX('SKU Data'!$M$2:$M$1780,MATCH($A41,'SKU Data'!$V$2:$V$1780,0)),"")</f>
        <v>0.000107595844358185</v>
      </c>
      <c r="M41" s="28" t="n">
        <f aca="false">IFERROR(H41/Settings!$B$3,"")</f>
        <v>1.68051293231149</v>
      </c>
      <c r="N41" s="29" t="n">
        <f aca="false">IFERROR(INDEX('SKU Data'!$O$2:$O$1780,MATCH($A41,'SKU Data'!$V$2:$V$1780,0)),"")</f>
        <v>6.57464420479701</v>
      </c>
      <c r="O41" s="23" t="str">
        <f aca="false">IFERROR(INDEX('SKU Data'!$X$2:$X$1780,MATCH($A41,'SKU Data'!$V$2:$V$1780,0)),"")</f>
        <v>HIGH RATE</v>
      </c>
    </row>
    <row r="42" customFormat="false" ht="15" hidden="false" customHeight="false" outlineLevel="0" collapsed="false">
      <c r="A42" s="18" t="n">
        <v>38</v>
      </c>
      <c r="B42" s="23" t="str">
        <f aca="false">IFERROR(INDEX('SKU Data'!$W$2:$W$1780,MATCH($A42,'SKU Data'!$V$2:$V$1780,0)),"")</f>
        <v>2 - Review</v>
      </c>
      <c r="C42" s="18" t="str">
        <f aca="false">IFERROR(INDEX('SKU Data'!$A$2:$A$1780,MATCH($A42,'SKU Data'!$V$2:$V$1780,0)),"")</f>
        <v>RP19</v>
      </c>
      <c r="D42" s="27" t="str">
        <f aca="false">IFERROR(INDEX('SKU Data'!$B$2:$B$1780,MATCH($A42,'SKU Data'!$V$2:$V$1780,0)),"")</f>
        <v>Full Size Birthday Card</v>
      </c>
      <c r="E42" s="18" t="str">
        <f aca="false">IFERROR(INDEX('SKU Data'!$D$2:$D$1780,MATCH($A42,'SKU Data'!$V$2:$V$1780,0)),"")</f>
        <v>RP</v>
      </c>
      <c r="F42" s="19" t="n">
        <f aca="false">IFERROR(INDEX('SKU Data'!$E$2:$E$1780,MATCH($A42,'SKU Data'!$V$2:$V$1780,0)),"")</f>
        <v>6456</v>
      </c>
      <c r="G42" s="19" t="n">
        <f aca="false">IFERROR(INDEX('SKU Data'!$F$2:$F$1780,MATCH($A42,'SKU Data'!$V$2:$V$1780,0)),"")</f>
        <v>336</v>
      </c>
      <c r="H42" s="20" t="n">
        <f aca="false">IFERROR(INDEX('SKU Data'!$J$2:$J$1780,MATCH($A42,'SKU Data'!$V$2:$V$1780,0)),"")</f>
        <v>0.0520446096654275</v>
      </c>
      <c r="I42" s="21" t="n">
        <f aca="false">IFERROR(INDEX('SKU Data'!$H$2:$H$1780,MATCH($A42,'SKU Data'!$V$2:$V$1780,0)),"")</f>
        <v>1172.41</v>
      </c>
      <c r="J42" s="20" t="n">
        <f aca="false">IFERROR(INDEX('SKU Data'!$K$2:$K$1780,MATCH($A42,'SKU Data'!$V$2:$V$1780,0)),"")</f>
        <v>0.0486858180302095</v>
      </c>
      <c r="K42" s="22" t="n">
        <f aca="false">IFERROR(INDEX('SKU Data'!$L$2:$L$1780,MATCH($A42,'SKU Data'!$V$2:$V$1780,0)),"")</f>
        <v>0.00234309239111818</v>
      </c>
      <c r="L42" s="22" t="n">
        <f aca="false">IFERROR(INDEX('SKU Data'!$M$2:$M$1780,MATCH($A42,'SKU Data'!$V$2:$V$1780,0)),"")</f>
        <v>9.10193472137694E-005</v>
      </c>
      <c r="M42" s="28" t="n">
        <f aca="false">IFERROR(H42/Settings!$B$3,"")</f>
        <v>1.67960872363142</v>
      </c>
      <c r="N42" s="29" t="n">
        <f aca="false">IFERROR(INDEX('SKU Data'!$O$2:$O$1780,MATCH($A42,'SKU Data'!$V$2:$V$1780,0)),"")</f>
        <v>9.76471407105635</v>
      </c>
      <c r="O42" s="23" t="str">
        <f aca="false">IFERROR(INDEX('SKU Data'!$X$2:$X$1780,MATCH($A42,'SKU Data'!$V$2:$V$1780,0)),"")</f>
        <v>HIGH RATE</v>
      </c>
    </row>
    <row r="43" customFormat="false" ht="15" hidden="false" customHeight="false" outlineLevel="0" collapsed="false">
      <c r="A43" s="18" t="n">
        <v>39</v>
      </c>
      <c r="B43" s="23" t="str">
        <f aca="false">IFERROR(INDEX('SKU Data'!$W$2:$W$1780,MATCH($A43,'SKU Data'!$V$2:$V$1780,0)),"")</f>
        <v>2 - Review</v>
      </c>
      <c r="C43" s="18" t="str">
        <f aca="false">IFERROR(INDEX('SKU Data'!$A$2:$A$1780,MATCH($A43,'SKU Data'!$V$2:$V$1780,0)),"")</f>
        <v>GF16-105</v>
      </c>
      <c r="D43" s="27" t="str">
        <f aca="false">IFERROR(INDEX('SKU Data'!$B$2:$B$1780,MATCH($A43,'SKU Data'!$V$2:$V$1780,0)),"")</f>
        <v>Sunset Serenade</v>
      </c>
      <c r="E43" s="18" t="str">
        <f aca="false">IFERROR(INDEX('SKU Data'!$D$2:$D$1780,MATCH($A43,'SKU Data'!$V$2:$V$1780,0)),"")</f>
        <v>GF</v>
      </c>
      <c r="F43" s="19" t="n">
        <f aca="false">IFERROR(INDEX('SKU Data'!$E$2:$E$1780,MATCH($A43,'SKU Data'!$V$2:$V$1780,0)),"")</f>
        <v>946</v>
      </c>
      <c r="G43" s="19" t="n">
        <f aca="false">IFERROR(INDEX('SKU Data'!$F$2:$F$1780,MATCH($A43,'SKU Data'!$V$2:$V$1780,0)),"")</f>
        <v>49</v>
      </c>
      <c r="H43" s="20" t="n">
        <f aca="false">IFERROR(INDEX('SKU Data'!$J$2:$J$1780,MATCH($A43,'SKU Data'!$V$2:$V$1780,0)),"")</f>
        <v>0.0517970401691332</v>
      </c>
      <c r="I43" s="21" t="n">
        <f aca="false">IFERROR(INDEX('SKU Data'!$H$2:$H$1780,MATCH($A43,'SKU Data'!$V$2:$V$1780,0)),"")</f>
        <v>2843.02</v>
      </c>
      <c r="J43" s="20" t="n">
        <f aca="false">IFERROR(INDEX('SKU Data'!$K$2:$K$1780,MATCH($A43,'SKU Data'!$V$2:$V$1780,0)),"")</f>
        <v>0.0503557556861486</v>
      </c>
      <c r="K43" s="22" t="n">
        <f aca="false">IFERROR(INDEX('SKU Data'!$L$2:$L$1780,MATCH($A43,'SKU Data'!$V$2:$V$1780,0)),"")</f>
        <v>0.00568185065787294</v>
      </c>
      <c r="L43" s="22" t="n">
        <f aca="false">IFERROR(INDEX('SKU Data'!$M$2:$M$1780,MATCH($A43,'SKU Data'!$V$2:$V$1780,0)),"")</f>
        <v>0.000220716152639171</v>
      </c>
      <c r="M43" s="28" t="n">
        <f aca="false">IFERROR(H43/Settings!$B$3,"")</f>
        <v>1.67161904154226</v>
      </c>
      <c r="N43" s="29" t="n">
        <f aca="false">IFERROR(INDEX('SKU Data'!$O$2:$O$1780,MATCH($A43,'SKU Data'!$V$2:$V$1780,0)),"")</f>
        <v>3.69391921992419</v>
      </c>
      <c r="O43" s="23" t="str">
        <f aca="false">IFERROR(INDEX('SKU Data'!$X$2:$X$1780,MATCH($A43,'SKU Data'!$V$2:$V$1780,0)),"")</f>
        <v>HIGH RATE</v>
      </c>
    </row>
    <row r="44" customFormat="false" ht="15" hidden="false" customHeight="false" outlineLevel="0" collapsed="false">
      <c r="A44" s="18" t="n">
        <v>40</v>
      </c>
      <c r="B44" s="23" t="str">
        <f aca="false">IFERROR(INDEX('SKU Data'!$W$2:$W$1780,MATCH($A44,'SKU Data'!$V$2:$V$1780,0)),"")</f>
        <v>2 - Review</v>
      </c>
      <c r="C44" s="18" t="str">
        <f aca="false">IFERROR(INDEX('SKU Data'!$A$2:$A$1780,MATCH($A44,'SKU Data'!$V$2:$V$1780,0)),"")</f>
        <v>BLXNZ-04</v>
      </c>
      <c r="D44" s="27" t="str">
        <f aca="false">IFERROR(INDEX('SKU Data'!$B$2:$B$1780,MATCH($A44,'SKU Data'!$V$2:$V$1780,0)),"")</f>
        <v>Roses &amp; Alstroemeria Medley</v>
      </c>
      <c r="E44" s="18" t="str">
        <f aca="false">IFERROR(INDEX('SKU Data'!$D$2:$D$1780,MATCH($A44,'SKU Data'!$V$2:$V$1780,0)),"")</f>
        <v>BLXNZ</v>
      </c>
      <c r="F44" s="19" t="n">
        <f aca="false">IFERROR(INDEX('SKU Data'!$E$2:$E$1780,MATCH($A44,'SKU Data'!$V$2:$V$1780,0)),"")</f>
        <v>259</v>
      </c>
      <c r="G44" s="19" t="n">
        <f aca="false">IFERROR(INDEX('SKU Data'!$F$2:$F$1780,MATCH($A44,'SKU Data'!$V$2:$V$1780,0)),"")</f>
        <v>16</v>
      </c>
      <c r="H44" s="20" t="n">
        <f aca="false">IFERROR(INDEX('SKU Data'!$J$2:$J$1780,MATCH($A44,'SKU Data'!$V$2:$V$1780,0)),"")</f>
        <v>0.0617760617760618</v>
      </c>
      <c r="I44" s="21" t="n">
        <f aca="false">IFERROR(INDEX('SKU Data'!$H$2:$H$1780,MATCH($A44,'SKU Data'!$V$2:$V$1780,0)),"")</f>
        <v>1425.89</v>
      </c>
      <c r="J44" s="20" t="n">
        <f aca="false">IFERROR(INDEX('SKU Data'!$K$2:$K$1780,MATCH($A44,'SKU Data'!$V$2:$V$1780,0)),"")</f>
        <v>0.0612252959844529</v>
      </c>
      <c r="K44" s="22" t="n">
        <f aca="false">IFERROR(INDEX('SKU Data'!$L$2:$L$1780,MATCH($A44,'SKU Data'!$V$2:$V$1780,0)),"")</f>
        <v>0.00284967887477205</v>
      </c>
      <c r="L44" s="22" t="n">
        <f aca="false">IFERROR(INDEX('SKU Data'!$M$2:$M$1780,MATCH($A44,'SKU Data'!$V$2:$V$1780,0)),"")</f>
        <v>0.000110698114992743</v>
      </c>
      <c r="M44" s="28" t="n">
        <f aca="false">IFERROR(H44/Settings!$B$3,"")</f>
        <v>1.9936668357721</v>
      </c>
      <c r="N44" s="29" t="n">
        <f aca="false">IFERROR(INDEX('SKU Data'!$O$2:$O$1780,MATCH($A44,'SKU Data'!$V$2:$V$1780,0)),"")</f>
        <v>2.85962774661521</v>
      </c>
      <c r="O44" s="23" t="str">
        <f aca="false">IFERROR(INDEX('SKU Data'!$X$2:$X$1780,MATCH($A44,'SKU Data'!$V$2:$V$1780,0)),"")</f>
        <v/>
      </c>
    </row>
    <row r="45" customFormat="false" ht="15" hidden="false" customHeight="false" outlineLevel="0" collapsed="false">
      <c r="A45" s="18" t="n">
        <v>41</v>
      </c>
      <c r="B45" s="23" t="str">
        <f aca="false">IFERROR(INDEX('SKU Data'!$W$2:$W$1780,MATCH($A45,'SKU Data'!$V$2:$V$1780,0)),"")</f>
        <v>2 - Review</v>
      </c>
      <c r="C45" s="18" t="str">
        <f aca="false">IFERROR(INDEX('SKU Data'!$A$2:$A$1780,MATCH($A45,'SKU Data'!$V$2:$V$1780,0)),"")</f>
        <v>AUMJ-NW-027</v>
      </c>
      <c r="D45" s="27" t="str">
        <f aca="false">IFERROR(INDEX('SKU Data'!$B$2:$B$1780,MATCH($A45,'SKU Data'!$V$2:$V$1780,0)),"")</f>
        <v>The Coastline</v>
      </c>
      <c r="E45" s="18" t="str">
        <f aca="false">IFERROR(INDEX('SKU Data'!$D$2:$D$1780,MATCH($A45,'SKU Data'!$V$2:$V$1780,0)),"")</f>
        <v>AUMJ</v>
      </c>
      <c r="F45" s="19" t="n">
        <f aca="false">IFERROR(INDEX('SKU Data'!$E$2:$E$1780,MATCH($A45,'SKU Data'!$V$2:$V$1780,0)),"")</f>
        <v>181</v>
      </c>
      <c r="G45" s="19" t="n">
        <f aca="false">IFERROR(INDEX('SKU Data'!$F$2:$F$1780,MATCH($A45,'SKU Data'!$V$2:$V$1780,0)),"")</f>
        <v>12</v>
      </c>
      <c r="H45" s="20" t="n">
        <f aca="false">IFERROR(INDEX('SKU Data'!$J$2:$J$1780,MATCH($A45,'SKU Data'!$V$2:$V$1780,0)),"")</f>
        <v>0.0662983425414365</v>
      </c>
      <c r="I45" s="21" t="n">
        <f aca="false">IFERROR(INDEX('SKU Data'!$H$2:$H$1780,MATCH($A45,'SKU Data'!$V$2:$V$1780,0)),"")</f>
        <v>1362.34</v>
      </c>
      <c r="J45" s="20" t="n">
        <f aca="false">IFERROR(INDEX('SKU Data'!$K$2:$K$1780,MATCH($A45,'SKU Data'!$V$2:$V$1780,0)),"")</f>
        <v>0.0629903420418943</v>
      </c>
      <c r="K45" s="22" t="n">
        <f aca="false">IFERROR(INDEX('SKU Data'!$L$2:$L$1780,MATCH($A45,'SKU Data'!$V$2:$V$1780,0)),"")</f>
        <v>0.00272267251909822</v>
      </c>
      <c r="L45" s="22" t="n">
        <f aca="false">IFERROR(INDEX('SKU Data'!$M$2:$M$1780,MATCH($A45,'SKU Data'!$V$2:$V$1780,0)),"")</f>
        <v>0.000105764448855952</v>
      </c>
      <c r="M45" s="28" t="n">
        <f aca="false">IFERROR(H45/Settings!$B$3,"")</f>
        <v>2.13961205993774</v>
      </c>
      <c r="N45" s="29" t="n">
        <f aca="false">IFERROR(INDEX('SKU Data'!$O$2:$O$1780,MATCH($A45,'SKU Data'!$V$2:$V$1780,0)),"")</f>
        <v>2.74166980482007</v>
      </c>
      <c r="O45" s="23" t="str">
        <f aca="false">IFERROR(INDEX('SKU Data'!$X$2:$X$1780,MATCH($A45,'SKU Data'!$V$2:$V$1780,0)),"")</f>
        <v/>
      </c>
    </row>
    <row r="46" customFormat="false" ht="15" hidden="false" customHeight="false" outlineLevel="0" collapsed="false">
      <c r="A46" s="18" t="n">
        <v>42</v>
      </c>
      <c r="B46" s="23" t="str">
        <f aca="false">IFERROR(INDEX('SKU Data'!$W$2:$W$1780,MATCH($A46,'SKU Data'!$V$2:$V$1780,0)),"")</f>
        <v>2 - Review</v>
      </c>
      <c r="C46" s="18" t="str">
        <f aca="false">IFERROR(INDEX('SKU Data'!$A$2:$A$1780,MATCH($A46,'SKU Data'!$V$2:$V$1780,0)),"")</f>
        <v>RP02-50</v>
      </c>
      <c r="D46" s="27" t="str">
        <f aca="false">IFERROR(INDEX('SKU Data'!$B$2:$B$1780,MATCH($A46,'SKU Data'!$V$2:$V$1780,0)),"")</f>
        <v>Blue Vase</v>
      </c>
      <c r="E46" s="18" t="str">
        <f aca="false">IFERROR(INDEX('SKU Data'!$D$2:$D$1780,MATCH($A46,'SKU Data'!$V$2:$V$1780,0)),"")</f>
        <v>RP</v>
      </c>
      <c r="F46" s="19" t="n">
        <f aca="false">IFERROR(INDEX('SKU Data'!$E$2:$E$1780,MATCH($A46,'SKU Data'!$V$2:$V$1780,0)),"")</f>
        <v>406</v>
      </c>
      <c r="G46" s="19" t="n">
        <f aca="false">IFERROR(INDEX('SKU Data'!$F$2:$F$1780,MATCH($A46,'SKU Data'!$V$2:$V$1780,0)),"")</f>
        <v>35</v>
      </c>
      <c r="H46" s="20" t="n">
        <f aca="false">IFERROR(INDEX('SKU Data'!$J$2:$J$1780,MATCH($A46,'SKU Data'!$V$2:$V$1780,0)),"")</f>
        <v>0.0862068965517241</v>
      </c>
      <c r="I46" s="21" t="n">
        <f aca="false">IFERROR(INDEX('SKU Data'!$H$2:$H$1780,MATCH($A46,'SKU Data'!$V$2:$V$1780,0)),"")</f>
        <v>358.96</v>
      </c>
      <c r="J46" s="20" t="n">
        <f aca="false">IFERROR(INDEX('SKU Data'!$K$2:$K$1780,MATCH($A46,'SKU Data'!$V$2:$V$1780,0)),"")</f>
        <v>0.0813920267739317</v>
      </c>
      <c r="K46" s="22" t="n">
        <f aca="false">IFERROR(INDEX('SKU Data'!$L$2:$L$1780,MATCH($A46,'SKU Data'!$V$2:$V$1780,0)),"")</f>
        <v>0.000717391053228634</v>
      </c>
      <c r="L46" s="22" t="n">
        <f aca="false">IFERROR(INDEX('SKU Data'!$M$2:$M$1780,MATCH($A46,'SKU Data'!$V$2:$V$1780,0)),"")</f>
        <v>2.7867644318843E-005</v>
      </c>
      <c r="M46" s="28" t="n">
        <f aca="false">IFERROR(H46/Settings!$B$3,"")</f>
        <v>2.78211050897076</v>
      </c>
      <c r="N46" s="29" t="n">
        <f aca="false">IFERROR(INDEX('SKU Data'!$O$2:$O$1780,MATCH($A46,'SKU Data'!$V$2:$V$1780,0)),"")</f>
        <v>6.42120408125027</v>
      </c>
      <c r="O46" s="23" t="str">
        <f aca="false">IFERROR(INDEX('SKU Data'!$X$2:$X$1780,MATCH($A46,'SKU Data'!$V$2:$V$1780,0)),"")</f>
        <v>HIGH RATE</v>
      </c>
    </row>
    <row r="47" customFormat="false" ht="15" hidden="false" customHeight="false" outlineLevel="0" collapsed="false">
      <c r="A47" s="18" t="n">
        <v>43</v>
      </c>
      <c r="B47" s="23" t="str">
        <f aca="false">IFERROR(INDEX('SKU Data'!$W$2:$W$1780,MATCH($A47,'SKU Data'!$V$2:$V$1780,0)),"")</f>
        <v>2 - Review</v>
      </c>
      <c r="C47" s="18" t="str">
        <f aca="false">IFERROR(INDEX('SKU Data'!$A$2:$A$1780,MATCH($A47,'SKU Data'!$V$2:$V$1780,0)),"")</f>
        <v>DCA-02-00</v>
      </c>
      <c r="D47" s="27" t="str">
        <f aca="false">IFERROR(INDEX('SKU Data'!$B$2:$B$1780,MATCH($A47,'SKU Data'!$V$2:$V$1780,0)),"")</f>
        <v>Anniversary Designer Collection II</v>
      </c>
      <c r="E47" s="18" t="str">
        <f aca="false">IFERROR(INDEX('SKU Data'!$D$2:$D$1780,MATCH($A47,'SKU Data'!$V$2:$V$1780,0)),"")</f>
        <v>Other (small prefixes)</v>
      </c>
      <c r="F47" s="19" t="n">
        <f aca="false">IFERROR(INDEX('SKU Data'!$E$2:$E$1780,MATCH($A47,'SKU Data'!$V$2:$V$1780,0)),"")</f>
        <v>38</v>
      </c>
      <c r="G47" s="19" t="n">
        <f aca="false">IFERROR(INDEX('SKU Data'!$F$2:$F$1780,MATCH($A47,'SKU Data'!$V$2:$V$1780,0)),"")</f>
        <v>8</v>
      </c>
      <c r="H47" s="20" t="n">
        <f aca="false">IFERROR(INDEX('SKU Data'!$J$2:$J$1780,MATCH($A47,'SKU Data'!$V$2:$V$1780,0)),"")</f>
        <v>0.210526315789474</v>
      </c>
      <c r="I47" s="21" t="n">
        <f aca="false">IFERROR(INDEX('SKU Data'!$H$2:$H$1780,MATCH($A47,'SKU Data'!$V$2:$V$1780,0)),"")</f>
        <v>735.3</v>
      </c>
      <c r="J47" s="20" t="n">
        <f aca="false">IFERROR(INDEX('SKU Data'!$K$2:$K$1780,MATCH($A47,'SKU Data'!$V$2:$V$1780,0)),"")</f>
        <v>0.182174950386871</v>
      </c>
      <c r="K47" s="22" t="n">
        <f aca="false">IFERROR(INDEX('SKU Data'!$L$2:$L$1780,MATCH($A47,'SKU Data'!$V$2:$V$1780,0)),"")</f>
        <v>0.0014695164960971</v>
      </c>
      <c r="L47" s="22" t="n">
        <f aca="false">IFERROR(INDEX('SKU Data'!$M$2:$M$1780,MATCH($A47,'SKU Data'!$V$2:$V$1780,0)),"")</f>
        <v>5.7084574514278E-005</v>
      </c>
      <c r="M47" s="28" t="n">
        <f aca="false">IFERROR(H47/Settings!$B$3,"")</f>
        <v>6.79420671664439</v>
      </c>
      <c r="N47" s="29" t="n">
        <f aca="false">IFERROR(INDEX('SKU Data'!$O$2:$O$1780,MATCH($A47,'SKU Data'!$V$2:$V$1780,0)),"")</f>
        <v>6.38711313059003</v>
      </c>
      <c r="O47" s="23" t="str">
        <f aca="false">IFERROR(INDEX('SKU Data'!$X$2:$X$1780,MATCH($A47,'SKU Data'!$V$2:$V$1780,0)),"")</f>
        <v>HIGH RATE</v>
      </c>
    </row>
    <row r="48" customFormat="false" ht="15" hidden="false" customHeight="false" outlineLevel="0" collapsed="false">
      <c r="A48" s="18" t="n">
        <v>44</v>
      </c>
      <c r="B48" s="23" t="str">
        <f aca="false">IFERROR(INDEX('SKU Data'!$W$2:$W$1780,MATCH($A48,'SKU Data'!$V$2:$V$1780,0)),"")</f>
        <v>2 - Review</v>
      </c>
      <c r="C48" s="18" t="str">
        <f aca="false">IFERROR(INDEX('SKU Data'!$A$2:$A$1780,MATCH($A48,'SKU Data'!$V$2:$V$1780,0)),"")</f>
        <v>AU222-80</v>
      </c>
      <c r="D48" s="27" t="str">
        <f aca="false">IFERROR(INDEX('SKU Data'!$B$2:$B$1780,MATCH($A48,'SKU Data'!$V$2:$V$1780,0)),"")</f>
        <v>Wild Spirits</v>
      </c>
      <c r="E48" s="18" t="str">
        <f aca="false">IFERROR(INDEX('SKU Data'!$D$2:$D$1780,MATCH($A48,'SKU Data'!$V$2:$V$1780,0)),"")</f>
        <v>AU</v>
      </c>
      <c r="F48" s="19" t="n">
        <f aca="false">IFERROR(INDEX('SKU Data'!$E$2:$E$1780,MATCH($A48,'SKU Data'!$V$2:$V$1780,0)),"")</f>
        <v>1727</v>
      </c>
      <c r="G48" s="19" t="n">
        <f aca="false">IFERROR(INDEX('SKU Data'!$F$2:$F$1780,MATCH($A48,'SKU Data'!$V$2:$V$1780,0)),"")</f>
        <v>80</v>
      </c>
      <c r="H48" s="20" t="n">
        <f aca="false">IFERROR(INDEX('SKU Data'!$J$2:$J$1780,MATCH($A48,'SKU Data'!$V$2:$V$1780,0)),"")</f>
        <v>0.0463231036479444</v>
      </c>
      <c r="I48" s="21" t="n">
        <f aca="false">IFERROR(INDEX('SKU Data'!$H$2:$H$1780,MATCH($A48,'SKU Data'!$V$2:$V$1780,0)),"")</f>
        <v>6215.17</v>
      </c>
      <c r="J48" s="20" t="n">
        <f aca="false">IFERROR(INDEX('SKU Data'!$K$2:$K$1780,MATCH($A48,'SKU Data'!$V$2:$V$1780,0)),"")</f>
        <v>0.0441329775808476</v>
      </c>
      <c r="K48" s="22" t="n">
        <f aca="false">IFERROR(INDEX('SKU Data'!$L$2:$L$1780,MATCH($A48,'SKU Data'!$V$2:$V$1780,0)),"")</f>
        <v>0.0124211816143721</v>
      </c>
      <c r="L48" s="22" t="n">
        <f aca="false">IFERROR(INDEX('SKU Data'!$M$2:$M$1780,MATCH($A48,'SKU Data'!$V$2:$V$1780,0)),"")</f>
        <v>0.000482510995490147</v>
      </c>
      <c r="M48" s="28" t="n">
        <f aca="false">IFERROR(H48/Settings!$B$3,"")</f>
        <v>1.49496152421822</v>
      </c>
      <c r="N48" s="29" t="n">
        <f aca="false">IFERROR(INDEX('SKU Data'!$O$2:$O$1780,MATCH($A48,'SKU Data'!$V$2:$V$1780,0)),"")</f>
        <v>3.6782092671536</v>
      </c>
      <c r="O48" s="23" t="str">
        <f aca="false">IFERROR(INDEX('SKU Data'!$X$2:$X$1780,MATCH($A48,'SKU Data'!$V$2:$V$1780,0)),"")</f>
        <v>HIGH RATE</v>
      </c>
    </row>
    <row r="49" customFormat="false" ht="15" hidden="false" customHeight="false" outlineLevel="0" collapsed="false">
      <c r="A49" s="18" t="n">
        <v>45</v>
      </c>
      <c r="B49" s="23" t="str">
        <f aca="false">IFERROR(INDEX('SKU Data'!$W$2:$W$1780,MATCH($A49,'SKU Data'!$V$2:$V$1780,0)),"")</f>
        <v>2 - Review</v>
      </c>
      <c r="C49" s="18" t="str">
        <f aca="false">IFERROR(INDEX('SKU Data'!$A$2:$A$1780,MATCH($A49,'SKU Data'!$V$2:$V$1780,0)),"")</f>
        <v>AUMJ-NW-017</v>
      </c>
      <c r="D49" s="27" t="str">
        <f aca="false">IFERROR(INDEX('SKU Data'!$B$2:$B$1780,MATCH($A49,'SKU Data'!$V$2:$V$1780,0)),"")</f>
        <v>Pastel Buttercup Bouquet in Mason Jar</v>
      </c>
      <c r="E49" s="18" t="str">
        <f aca="false">IFERROR(INDEX('SKU Data'!$D$2:$D$1780,MATCH($A49,'SKU Data'!$V$2:$V$1780,0)),"")</f>
        <v>AUMJ</v>
      </c>
      <c r="F49" s="19" t="n">
        <f aca="false">IFERROR(INDEX('SKU Data'!$E$2:$E$1780,MATCH($A49,'SKU Data'!$V$2:$V$1780,0)),"")</f>
        <v>3907</v>
      </c>
      <c r="G49" s="19" t="n">
        <f aca="false">IFERROR(INDEX('SKU Data'!$F$2:$F$1780,MATCH($A49,'SKU Data'!$V$2:$V$1780,0)),"")</f>
        <v>172</v>
      </c>
      <c r="H49" s="20" t="n">
        <f aca="false">IFERROR(INDEX('SKU Data'!$J$2:$J$1780,MATCH($A49,'SKU Data'!$V$2:$V$1780,0)),"")</f>
        <v>0.0440235474788841</v>
      </c>
      <c r="I49" s="21" t="n">
        <f aca="false">IFERROR(INDEX('SKU Data'!$H$2:$H$1780,MATCH($A49,'SKU Data'!$V$2:$V$1780,0)),"")</f>
        <v>14074.44</v>
      </c>
      <c r="J49" s="20" t="n">
        <f aca="false">IFERROR(INDEX('SKU Data'!$K$2:$K$1780,MATCH($A49,'SKU Data'!$V$2:$V$1780,0)),"")</f>
        <v>0.040285179470245</v>
      </c>
      <c r="K49" s="22" t="n">
        <f aca="false">IFERROR(INDEX('SKU Data'!$L$2:$L$1780,MATCH($A49,'SKU Data'!$V$2:$V$1780,0)),"")</f>
        <v>0.0281281405594027</v>
      </c>
      <c r="L49" s="22" t="n">
        <f aca="false">IFERROR(INDEX('SKU Data'!$M$2:$M$1780,MATCH($A49,'SKU Data'!$V$2:$V$1780,0)),"")</f>
        <v>0.00109266070845469</v>
      </c>
      <c r="M49" s="28" t="n">
        <f aca="false">IFERROR(H49/Settings!$B$3,"")</f>
        <v>1.42074913936485</v>
      </c>
      <c r="N49" s="29" t="n">
        <f aca="false">IFERROR(INDEX('SKU Data'!$O$2:$O$1780,MATCH($A49,'SKU Data'!$V$2:$V$1780,0)),"")</f>
        <v>4.70287858866548</v>
      </c>
      <c r="O49" s="23" t="str">
        <f aca="false">IFERROR(INDEX('SKU Data'!$X$2:$X$1780,MATCH($A49,'SKU Data'!$V$2:$V$1780,0)),"")</f>
        <v>HIGH RATE</v>
      </c>
    </row>
    <row r="50" customFormat="false" ht="15" hidden="false" customHeight="false" outlineLevel="0" collapsed="false">
      <c r="A50" s="18" t="n">
        <v>46</v>
      </c>
      <c r="B50" s="23" t="str">
        <f aca="false">IFERROR(INDEX('SKU Data'!$W$2:$W$1780,MATCH($A50,'SKU Data'!$V$2:$V$1780,0)),"")</f>
        <v>2 - Review</v>
      </c>
      <c r="C50" s="18" t="str">
        <f aca="false">IFERROR(INDEX('SKU Data'!$A$2:$A$1780,MATCH($A50,'SKU Data'!$V$2:$V$1780,0)),"")</f>
        <v>AU112-11</v>
      </c>
      <c r="D50" s="27" t="str">
        <f aca="false">IFERROR(INDEX('SKU Data'!$B$2:$B$1780,MATCH($A50,'SKU Data'!$V$2:$V$1780,0)),"")</f>
        <v>Sugar and Spice</v>
      </c>
      <c r="E50" s="18" t="str">
        <f aca="false">IFERROR(INDEX('SKU Data'!$D$2:$D$1780,MATCH($A50,'SKU Data'!$V$2:$V$1780,0)),"")</f>
        <v>AU</v>
      </c>
      <c r="F50" s="19" t="n">
        <f aca="false">IFERROR(INDEX('SKU Data'!$E$2:$E$1780,MATCH($A50,'SKU Data'!$V$2:$V$1780,0)),"")</f>
        <v>227</v>
      </c>
      <c r="G50" s="19" t="n">
        <f aca="false">IFERROR(INDEX('SKU Data'!$F$2:$F$1780,MATCH($A50,'SKU Data'!$V$2:$V$1780,0)),"")</f>
        <v>14</v>
      </c>
      <c r="H50" s="20" t="n">
        <f aca="false">IFERROR(INDEX('SKU Data'!$J$2:$J$1780,MATCH($A50,'SKU Data'!$V$2:$V$1780,0)),"")</f>
        <v>0.0616740088105727</v>
      </c>
      <c r="I50" s="21" t="n">
        <f aca="false">IFERROR(INDEX('SKU Data'!$H$2:$H$1780,MATCH($A50,'SKU Data'!$V$2:$V$1780,0)),"")</f>
        <v>1393.97</v>
      </c>
      <c r="J50" s="20" t="n">
        <f aca="false">IFERROR(INDEX('SKU Data'!$K$2:$K$1780,MATCH($A50,'SKU Data'!$V$2:$V$1780,0)),"")</f>
        <v>0.055509164186819</v>
      </c>
      <c r="K50" s="22" t="n">
        <f aca="false">IFERROR(INDEX('SKU Data'!$L$2:$L$1780,MATCH($A50,'SKU Data'!$V$2:$V$1780,0)),"")</f>
        <v>0.0027858859106004</v>
      </c>
      <c r="L50" s="22" t="n">
        <f aca="false">IFERROR(INDEX('SKU Data'!$M$2:$M$1780,MATCH($A50,'SKU Data'!$V$2:$V$1780,0)),"")</f>
        <v>0.000108220024936309</v>
      </c>
      <c r="M50" s="28" t="n">
        <f aca="false">IFERROR(H50/Settings!$B$3,"")</f>
        <v>1.9903733332901</v>
      </c>
      <c r="N50" s="29" t="n">
        <f aca="false">IFERROR(INDEX('SKU Data'!$O$2:$O$1780,MATCH($A50,'SKU Data'!$V$2:$V$1780,0)),"")</f>
        <v>2.66827564226224</v>
      </c>
      <c r="O50" s="23" t="str">
        <f aca="false">IFERROR(INDEX('SKU Data'!$X$2:$X$1780,MATCH($A50,'SKU Data'!$V$2:$V$1780,0)),"")</f>
        <v/>
      </c>
    </row>
    <row r="51" customFormat="false" ht="15" hidden="false" customHeight="false" outlineLevel="0" collapsed="false">
      <c r="A51" s="18" t="n">
        <v>47</v>
      </c>
      <c r="B51" s="23" t="str">
        <f aca="false">IFERROR(INDEX('SKU Data'!$W$2:$W$1780,MATCH($A51,'SKU Data'!$V$2:$V$1780,0)),"")</f>
        <v>2 - Review</v>
      </c>
      <c r="C51" s="18" t="str">
        <f aca="false">IFERROR(INDEX('SKU Data'!$A$2:$A$1780,MATCH($A51,'SKU Data'!$V$2:$V$1780,0)),"")</f>
        <v>AUCH25-04</v>
      </c>
      <c r="D51" s="27" t="str">
        <f aca="false">IFERROR(INDEX('SKU Data'!$B$2:$B$1780,MATCH($A51,'SKU Data'!$V$2:$V$1780,0)),"")</f>
        <v>Snowy Rose in Mason Jar</v>
      </c>
      <c r="E51" s="18" t="str">
        <f aca="false">IFERROR(INDEX('SKU Data'!$D$2:$D$1780,MATCH($A51,'SKU Data'!$V$2:$V$1780,0)),"")</f>
        <v>AUCH</v>
      </c>
      <c r="F51" s="19" t="n">
        <f aca="false">IFERROR(INDEX('SKU Data'!$E$2:$E$1780,MATCH($A51,'SKU Data'!$V$2:$V$1780,0)),"")</f>
        <v>2531</v>
      </c>
      <c r="G51" s="19" t="n">
        <f aca="false">IFERROR(INDEX('SKU Data'!$F$2:$F$1780,MATCH($A51,'SKU Data'!$V$2:$V$1780,0)),"")</f>
        <v>116</v>
      </c>
      <c r="H51" s="20" t="n">
        <f aca="false">IFERROR(INDEX('SKU Data'!$J$2:$J$1780,MATCH($A51,'SKU Data'!$V$2:$V$1780,0)),"")</f>
        <v>0.0458316870802055</v>
      </c>
      <c r="I51" s="21" t="n">
        <f aca="false">IFERROR(INDEX('SKU Data'!$H$2:$H$1780,MATCH($A51,'SKU Data'!$V$2:$V$1780,0)),"")</f>
        <v>5309.56</v>
      </c>
      <c r="J51" s="20" t="n">
        <f aca="false">IFERROR(INDEX('SKU Data'!$K$2:$K$1780,MATCH($A51,'SKU Data'!$V$2:$V$1780,0)),"")</f>
        <v>0.0429300375640659</v>
      </c>
      <c r="K51" s="22" t="n">
        <f aca="false">IFERROR(INDEX('SKU Data'!$L$2:$L$1780,MATCH($A51,'SKU Data'!$V$2:$V$1780,0)),"")</f>
        <v>0.0106112960791749</v>
      </c>
      <c r="L51" s="22" t="n">
        <f aca="false">IFERROR(INDEX('SKU Data'!$M$2:$M$1780,MATCH($A51,'SKU Data'!$V$2:$V$1780,0)),"")</f>
        <v>0.00041220450626687</v>
      </c>
      <c r="M51" s="28" t="n">
        <f aca="false">IFERROR(H51/Settings!$B$3,"")</f>
        <v>1.47910229192851</v>
      </c>
      <c r="N51" s="29" t="n">
        <f aca="false">IFERROR(INDEX('SKU Data'!$O$2:$O$1780,MATCH($A51,'SKU Data'!$V$2:$V$1780,0)),"")</f>
        <v>4.3101575577164</v>
      </c>
      <c r="O51" s="23" t="str">
        <f aca="false">IFERROR(INDEX('SKU Data'!$X$2:$X$1780,MATCH($A51,'SKU Data'!$V$2:$V$1780,0)),"")</f>
        <v>HIGH RATE</v>
      </c>
    </row>
    <row r="52" customFormat="false" ht="15" hidden="false" customHeight="false" outlineLevel="0" collapsed="false">
      <c r="A52" s="18" t="n">
        <v>48</v>
      </c>
      <c r="B52" s="23" t="str">
        <f aca="false">IFERROR(INDEX('SKU Data'!$W$2:$W$1780,MATCH($A52,'SKU Data'!$V$2:$V$1780,0)),"")</f>
        <v>2 - Review</v>
      </c>
      <c r="C52" s="18" t="str">
        <f aca="false">IFERROR(INDEX('SKU Data'!$A$2:$A$1780,MATCH($A52,'SKU Data'!$V$2:$V$1780,0)),"")</f>
        <v>AU1211-02</v>
      </c>
      <c r="D52" s="27" t="str">
        <f aca="false">IFERROR(INDEX('SKU Data'!$B$2:$B$1780,MATCH($A52,'SKU Data'!$V$2:$V$1780,0)),"")</f>
        <v>Three Dozen White Roses</v>
      </c>
      <c r="E52" s="18" t="str">
        <f aca="false">IFERROR(INDEX('SKU Data'!$D$2:$D$1780,MATCH($A52,'SKU Data'!$V$2:$V$1780,0)),"")</f>
        <v>AU</v>
      </c>
      <c r="F52" s="19" t="n">
        <f aca="false">IFERROR(INDEX('SKU Data'!$E$2:$E$1780,MATCH($A52,'SKU Data'!$V$2:$V$1780,0)),"")</f>
        <v>40</v>
      </c>
      <c r="G52" s="19" t="n">
        <f aca="false">IFERROR(INDEX('SKU Data'!$F$2:$F$1780,MATCH($A52,'SKU Data'!$V$2:$V$1780,0)),"")</f>
        <v>5</v>
      </c>
      <c r="H52" s="20" t="n">
        <f aca="false">IFERROR(INDEX('SKU Data'!$J$2:$J$1780,MATCH($A52,'SKU Data'!$V$2:$V$1780,0)),"")</f>
        <v>0.125</v>
      </c>
      <c r="I52" s="21" t="n">
        <f aca="false">IFERROR(INDEX('SKU Data'!$H$2:$H$1780,MATCH($A52,'SKU Data'!$V$2:$V$1780,0)),"")</f>
        <v>1187.73</v>
      </c>
      <c r="J52" s="20" t="n">
        <f aca="false">IFERROR(INDEX('SKU Data'!$K$2:$K$1780,MATCH($A52,'SKU Data'!$V$2:$V$1780,0)),"")</f>
        <v>0.117323700329826</v>
      </c>
      <c r="K52" s="22" t="n">
        <f aca="false">IFERROR(INDEX('SKU Data'!$L$2:$L$1780,MATCH($A52,'SKU Data'!$V$2:$V$1780,0)),"")</f>
        <v>0.00237370981627826</v>
      </c>
      <c r="L52" s="22" t="n">
        <f aca="false">IFERROR(INDEX('SKU Data'!$M$2:$M$1780,MATCH($A52,'SKU Data'!$V$2:$V$1780,0)),"")</f>
        <v>9.22087062258172E-005</v>
      </c>
      <c r="M52" s="28" t="n">
        <f aca="false">IFERROR(H52/Settings!$B$3,"")</f>
        <v>4.03406023800761</v>
      </c>
      <c r="N52" s="29" t="n">
        <f aca="false">IFERROR(INDEX('SKU Data'!$O$2:$O$1780,MATCH($A52,'SKU Data'!$V$2:$V$1780,0)),"")</f>
        <v>3.43141321679235</v>
      </c>
      <c r="O52" s="23" t="str">
        <f aca="false">IFERROR(INDEX('SKU Data'!$X$2:$X$1780,MATCH($A52,'SKU Data'!$V$2:$V$1780,0)),"")</f>
        <v>HIGH RATE</v>
      </c>
    </row>
    <row r="53" customFormat="false" ht="15" hidden="false" customHeight="false" outlineLevel="0" collapsed="false">
      <c r="A53" s="18" t="n">
        <v>49</v>
      </c>
      <c r="B53" s="23" t="str">
        <f aca="false">IFERROR(INDEX('SKU Data'!$W$2:$W$1780,MATCH($A53,'SKU Data'!$V$2:$V$1780,0)),"")</f>
        <v>2 - Review</v>
      </c>
      <c r="C53" s="18" t="str">
        <f aca="false">IFERROR(INDEX('SKU Data'!$A$2:$A$1780,MATCH($A53,'SKU Data'!$V$2:$V$1780,0)),"")</f>
        <v>AU15-50</v>
      </c>
      <c r="D53" s="27" t="str">
        <f aca="false">IFERROR(INDEX('SKU Data'!$B$2:$B$1780,MATCH($A53,'SKU Data'!$V$2:$V$1780,0)),"")</f>
        <v>50 Blooms of Peruvian Lilies</v>
      </c>
      <c r="E53" s="18" t="str">
        <f aca="false">IFERROR(INDEX('SKU Data'!$D$2:$D$1780,MATCH($A53,'SKU Data'!$V$2:$V$1780,0)),"")</f>
        <v>AU</v>
      </c>
      <c r="F53" s="19" t="n">
        <f aca="false">IFERROR(INDEX('SKU Data'!$E$2:$E$1780,MATCH($A53,'SKU Data'!$V$2:$V$1780,0)),"")</f>
        <v>1158</v>
      </c>
      <c r="G53" s="19" t="n">
        <f aca="false">IFERROR(INDEX('SKU Data'!$F$2:$F$1780,MATCH($A53,'SKU Data'!$V$2:$V$1780,0)),"")</f>
        <v>55</v>
      </c>
      <c r="H53" s="20" t="n">
        <f aca="false">IFERROR(INDEX('SKU Data'!$J$2:$J$1780,MATCH($A53,'SKU Data'!$V$2:$V$1780,0)),"")</f>
        <v>0.0474956822107081</v>
      </c>
      <c r="I53" s="21" t="n">
        <f aca="false">IFERROR(INDEX('SKU Data'!$H$2:$H$1780,MATCH($A53,'SKU Data'!$V$2:$V$1780,0)),"")</f>
        <v>3653.51</v>
      </c>
      <c r="J53" s="20" t="n">
        <f aca="false">IFERROR(INDEX('SKU Data'!$K$2:$K$1780,MATCH($A53,'SKU Data'!$V$2:$V$1780,0)),"")</f>
        <v>0.0430862171301179</v>
      </c>
      <c r="K53" s="22" t="n">
        <f aca="false">IFERROR(INDEX('SKU Data'!$L$2:$L$1780,MATCH($A53,'SKU Data'!$V$2:$V$1780,0)),"")</f>
        <v>0.0073016363574809</v>
      </c>
      <c r="L53" s="22" t="n">
        <f aca="false">IFERROR(INDEX('SKU Data'!$M$2:$M$1780,MATCH($A53,'SKU Data'!$V$2:$V$1780,0)),"")</f>
        <v>0.000283638057709316</v>
      </c>
      <c r="M53" s="28" t="n">
        <f aca="false">IFERROR(H53/Settings!$B$3,"")</f>
        <v>1.5328035446661</v>
      </c>
      <c r="N53" s="29" t="n">
        <f aca="false">IFERROR(INDEX('SKU Data'!$O$2:$O$1780,MATCH($A53,'SKU Data'!$V$2:$V$1780,0)),"")</f>
        <v>3.24220305168427</v>
      </c>
      <c r="O53" s="23" t="str">
        <f aca="false">IFERROR(INDEX('SKU Data'!$X$2:$X$1780,MATCH($A53,'SKU Data'!$V$2:$V$1780,0)),"")</f>
        <v>HIGH RATE</v>
      </c>
    </row>
    <row r="54" customFormat="false" ht="15" hidden="false" customHeight="false" outlineLevel="0" collapsed="false">
      <c r="A54" s="18" t="n">
        <v>50</v>
      </c>
      <c r="B54" s="23" t="str">
        <f aca="false">IFERROR(INDEX('SKU Data'!$W$2:$W$1780,MATCH($A54,'SKU Data'!$V$2:$V$1780,0)),"")</f>
        <v>2 - Review</v>
      </c>
      <c r="C54" s="18" t="str">
        <f aca="false">IFERROR(INDEX('SKU Data'!$A$2:$A$1780,MATCH($A54,'SKU Data'!$V$2:$V$1780,0)),"")</f>
        <v>AUMJ-NW-022</v>
      </c>
      <c r="D54" s="27" t="str">
        <f aca="false">IFERROR(INDEX('SKU Data'!$B$2:$B$1780,MATCH($A54,'SKU Data'!$V$2:$V$1780,0)),"")</f>
        <v>Green with Envy Bouquet in Mason Jar</v>
      </c>
      <c r="E54" s="18" t="str">
        <f aca="false">IFERROR(INDEX('SKU Data'!$D$2:$D$1780,MATCH($A54,'SKU Data'!$V$2:$V$1780,0)),"")</f>
        <v>AUMJ</v>
      </c>
      <c r="F54" s="19" t="n">
        <f aca="false">IFERROR(INDEX('SKU Data'!$E$2:$E$1780,MATCH($A54,'SKU Data'!$V$2:$V$1780,0)),"")</f>
        <v>95</v>
      </c>
      <c r="G54" s="19" t="n">
        <f aca="false">IFERROR(INDEX('SKU Data'!$F$2:$F$1780,MATCH($A54,'SKU Data'!$V$2:$V$1780,0)),"")</f>
        <v>8</v>
      </c>
      <c r="H54" s="20" t="n">
        <f aca="false">IFERROR(INDEX('SKU Data'!$J$2:$J$1780,MATCH($A54,'SKU Data'!$V$2:$V$1780,0)),"")</f>
        <v>0.0842105263157895</v>
      </c>
      <c r="I54" s="21" t="n">
        <f aca="false">IFERROR(INDEX('SKU Data'!$H$2:$H$1780,MATCH($A54,'SKU Data'!$V$2:$V$1780,0)),"")</f>
        <v>963.88</v>
      </c>
      <c r="J54" s="20" t="n">
        <f aca="false">IFERROR(INDEX('SKU Data'!$K$2:$K$1780,MATCH($A54,'SKU Data'!$V$2:$V$1780,0)),"")</f>
        <v>0.0856875145571342</v>
      </c>
      <c r="K54" s="22" t="n">
        <f aca="false">IFERROR(INDEX('SKU Data'!$L$2:$L$1780,MATCH($A54,'SKU Data'!$V$2:$V$1780,0)),"")</f>
        <v>0.00192633967123361</v>
      </c>
      <c r="L54" s="22" t="n">
        <f aca="false">IFERROR(INDEX('SKU Data'!$M$2:$M$1780,MATCH($A54,'SKU Data'!$V$2:$V$1780,0)),"")</f>
        <v>7.48302457266725E-005</v>
      </c>
      <c r="M54" s="28" t="n">
        <f aca="false">IFERROR(H54/Settings!$B$3,"")</f>
        <v>2.71768268665776</v>
      </c>
      <c r="N54" s="29" t="n">
        <f aca="false">IFERROR(INDEX('SKU Data'!$O$2:$O$1780,MATCH($A54,'SKU Data'!$V$2:$V$1780,0)),"")</f>
        <v>2.99380538977247</v>
      </c>
      <c r="O54" s="23" t="str">
        <f aca="false">IFERROR(INDEX('SKU Data'!$X$2:$X$1780,MATCH($A54,'SKU Data'!$V$2:$V$1780,0)),"")</f>
        <v/>
      </c>
    </row>
    <row r="55" customFormat="false" ht="15" hidden="false" customHeight="false" outlineLevel="0" collapsed="false">
      <c r="A55" s="18" t="n">
        <v>51</v>
      </c>
      <c r="B55" s="23" t="str">
        <f aca="false">IFERROR(INDEX('SKU Data'!$W$2:$W$1780,MATCH($A55,'SKU Data'!$V$2:$V$1780,0)),"")</f>
        <v>2 - Review</v>
      </c>
      <c r="C55" s="18" t="str">
        <f aca="false">IFERROR(INDEX('SKU Data'!$A$2:$A$1780,MATCH($A55,'SKU Data'!$V$2:$V$1780,0)),"")</f>
        <v>AU1111-20</v>
      </c>
      <c r="D55" s="27" t="str">
        <f aca="false">IFERROR(INDEX('SKU Data'!$B$2:$B$1780,MATCH($A55,'SKU Data'!$V$2:$V$1780,0)),"")</f>
        <v>Half Dozen Red Roses</v>
      </c>
      <c r="E55" s="18" t="str">
        <f aca="false">IFERROR(INDEX('SKU Data'!$D$2:$D$1780,MATCH($A55,'SKU Data'!$V$2:$V$1780,0)),"")</f>
        <v>AU</v>
      </c>
      <c r="F55" s="19" t="n">
        <f aca="false">IFERROR(INDEX('SKU Data'!$E$2:$E$1780,MATCH($A55,'SKU Data'!$V$2:$V$1780,0)),"")</f>
        <v>959</v>
      </c>
      <c r="G55" s="19" t="n">
        <f aca="false">IFERROR(INDEX('SKU Data'!$F$2:$F$1780,MATCH($A55,'SKU Data'!$V$2:$V$1780,0)),"")</f>
        <v>46</v>
      </c>
      <c r="H55" s="20" t="n">
        <f aca="false">IFERROR(INDEX('SKU Data'!$J$2:$J$1780,MATCH($A55,'SKU Data'!$V$2:$V$1780,0)),"")</f>
        <v>0.0479666319082377</v>
      </c>
      <c r="I55" s="21" t="n">
        <f aca="false">IFERROR(INDEX('SKU Data'!$H$2:$H$1780,MATCH($A55,'SKU Data'!$V$2:$V$1780,0)),"")</f>
        <v>3175.22</v>
      </c>
      <c r="J55" s="20" t="n">
        <f aca="false">IFERROR(INDEX('SKU Data'!$K$2:$K$1780,MATCH($A55,'SKU Data'!$V$2:$V$1780,0)),"")</f>
        <v>0.0461376524289682</v>
      </c>
      <c r="K55" s="22" t="n">
        <f aca="false">IFERROR(INDEX('SKU Data'!$L$2:$L$1780,MATCH($A55,'SKU Data'!$V$2:$V$1780,0)),"")</f>
        <v>0.00634576114339375</v>
      </c>
      <c r="L55" s="22" t="n">
        <f aca="false">IFERROR(INDEX('SKU Data'!$M$2:$M$1780,MATCH($A55,'SKU Data'!$V$2:$V$1780,0)),"")</f>
        <v>0.000246506300406944</v>
      </c>
      <c r="M55" s="28" t="n">
        <f aca="false">IFERROR(H55/Settings!$B$3,"")</f>
        <v>1.54800226025735</v>
      </c>
      <c r="N55" s="29" t="n">
        <f aca="false">IFERROR(INDEX('SKU Data'!$O$2:$O$1780,MATCH($A55,'SKU Data'!$V$2:$V$1780,0)),"")</f>
        <v>3.03466306152684</v>
      </c>
      <c r="O55" s="23" t="str">
        <f aca="false">IFERROR(INDEX('SKU Data'!$X$2:$X$1780,MATCH($A55,'SKU Data'!$V$2:$V$1780,0)),"")</f>
        <v>HIGH RATE</v>
      </c>
    </row>
    <row r="56" customFormat="false" ht="15" hidden="false" customHeight="false" outlineLevel="0" collapsed="false">
      <c r="A56" s="18" t="n">
        <v>52</v>
      </c>
      <c r="B56" s="23" t="str">
        <f aca="false">IFERROR(INDEX('SKU Data'!$W$2:$W$1780,MATCH($A56,'SKU Data'!$V$2:$V$1780,0)),"")</f>
        <v>2 - Review</v>
      </c>
      <c r="C56" s="18" t="str">
        <f aca="false">IFERROR(INDEX('SKU Data'!$A$2:$A$1780,MATCH($A56,'SKU Data'!$V$2:$V$1780,0)),"")</f>
        <v>AU111-52</v>
      </c>
      <c r="D56" s="27" t="str">
        <f aca="false">IFERROR(INDEX('SKU Data'!$B$2:$B$1780,MATCH($A56,'SKU Data'!$V$2:$V$1780,0)),"")</f>
        <v>Jubilee</v>
      </c>
      <c r="E56" s="18" t="str">
        <f aca="false">IFERROR(INDEX('SKU Data'!$D$2:$D$1780,MATCH($A56,'SKU Data'!$V$2:$V$1780,0)),"")</f>
        <v>AU</v>
      </c>
      <c r="F56" s="19" t="n">
        <f aca="false">IFERROR(INDEX('SKU Data'!$E$2:$E$1780,MATCH($A56,'SKU Data'!$V$2:$V$1780,0)),"")</f>
        <v>272</v>
      </c>
      <c r="G56" s="19" t="n">
        <f aca="false">IFERROR(INDEX('SKU Data'!$F$2:$F$1780,MATCH($A56,'SKU Data'!$V$2:$V$1780,0)),"")</f>
        <v>16</v>
      </c>
      <c r="H56" s="20" t="n">
        <f aca="false">IFERROR(INDEX('SKU Data'!$J$2:$J$1780,MATCH($A56,'SKU Data'!$V$2:$V$1780,0)),"")</f>
        <v>0.0588235294117647</v>
      </c>
      <c r="I56" s="21" t="n">
        <f aca="false">IFERROR(INDEX('SKU Data'!$H$2:$H$1780,MATCH($A56,'SKU Data'!$V$2:$V$1780,0)),"")</f>
        <v>1203.2</v>
      </c>
      <c r="J56" s="20" t="n">
        <f aca="false">IFERROR(INDEX('SKU Data'!$K$2:$K$1780,MATCH($A56,'SKU Data'!$V$2:$V$1780,0)),"")</f>
        <v>0.0527202039052035</v>
      </c>
      <c r="K56" s="22" t="n">
        <f aca="false">IFERROR(INDEX('SKU Data'!$L$2:$L$1780,MATCH($A56,'SKU Data'!$V$2:$V$1780,0)),"")</f>
        <v>0.00240462702040532</v>
      </c>
      <c r="L56" s="22" t="n">
        <f aca="false">IFERROR(INDEX('SKU Data'!$M$2:$M$1780,MATCH($A56,'SKU Data'!$V$2:$V$1780,0)),"")</f>
        <v>9.34097103979046E-005</v>
      </c>
      <c r="M56" s="28" t="n">
        <f aca="false">IFERROR(H56/Settings!$B$3,"")</f>
        <v>1.89838128847417</v>
      </c>
      <c r="N56" s="29" t="n">
        <f aca="false">IFERROR(INDEX('SKU Data'!$O$2:$O$1780,MATCH($A56,'SKU Data'!$V$2:$V$1780,0)),"")</f>
        <v>2.64950031154097</v>
      </c>
      <c r="O56" s="23" t="str">
        <f aca="false">IFERROR(INDEX('SKU Data'!$X$2:$X$1780,MATCH($A56,'SKU Data'!$V$2:$V$1780,0)),"")</f>
        <v/>
      </c>
    </row>
    <row r="57" customFormat="false" ht="15" hidden="false" customHeight="false" outlineLevel="0" collapsed="false">
      <c r="A57" s="18" t="n">
        <v>53</v>
      </c>
      <c r="B57" s="23" t="str">
        <f aca="false">IFERROR(INDEX('SKU Data'!$W$2:$W$1780,MATCH($A57,'SKU Data'!$V$2:$V$1780,0)),"")</f>
        <v>2 - Review</v>
      </c>
      <c r="C57" s="18" t="str">
        <f aca="false">IFERROR(INDEX('SKU Data'!$A$2:$A$1780,MATCH($A57,'SKU Data'!$V$2:$V$1780,0)),"")</f>
        <v>DC-04S</v>
      </c>
      <c r="D57" s="27" t="str">
        <f aca="false">IFERROR(INDEX('SKU Data'!$B$2:$B$1780,MATCH($A57,'SKU Data'!$V$2:$V$1780,0)),"")</f>
        <v>Designer Sympathy Collection IV</v>
      </c>
      <c r="E57" s="18" t="str">
        <f aca="false">IFERROR(INDEX('SKU Data'!$D$2:$D$1780,MATCH($A57,'SKU Data'!$V$2:$V$1780,0)),"")</f>
        <v>DC</v>
      </c>
      <c r="F57" s="19" t="n">
        <f aca="false">IFERROR(INDEX('SKU Data'!$E$2:$E$1780,MATCH($A57,'SKU Data'!$V$2:$V$1780,0)),"")</f>
        <v>1695</v>
      </c>
      <c r="G57" s="19" t="n">
        <f aca="false">IFERROR(INDEX('SKU Data'!$F$2:$F$1780,MATCH($A57,'SKU Data'!$V$2:$V$1780,0)),"")</f>
        <v>75</v>
      </c>
      <c r="H57" s="20" t="n">
        <f aca="false">IFERROR(INDEX('SKU Data'!$J$2:$J$1780,MATCH($A57,'SKU Data'!$V$2:$V$1780,0)),"")</f>
        <v>0.0442477876106195</v>
      </c>
      <c r="I57" s="21" t="n">
        <f aca="false">IFERROR(INDEX('SKU Data'!$H$2:$H$1780,MATCH($A57,'SKU Data'!$V$2:$V$1780,0)),"")</f>
        <v>8683.47</v>
      </c>
      <c r="J57" s="20" t="n">
        <f aca="false">IFERROR(INDEX('SKU Data'!$K$2:$K$1780,MATCH($A57,'SKU Data'!$V$2:$V$1780,0)),"")</f>
        <v>0.038986140443168</v>
      </c>
      <c r="K57" s="22" t="n">
        <f aca="false">IFERROR(INDEX('SKU Data'!$L$2:$L$1780,MATCH($A57,'SKU Data'!$V$2:$V$1780,0)),"")</f>
        <v>0.0173541444422199</v>
      </c>
      <c r="L57" s="22" t="n">
        <f aca="false">IFERROR(INDEX('SKU Data'!$M$2:$M$1780,MATCH($A57,'SKU Data'!$V$2:$V$1780,0)),"")</f>
        <v>0.000674135985662311</v>
      </c>
      <c r="M57" s="28" t="n">
        <f aca="false">IFERROR(H57/Settings!$B$3,"")</f>
        <v>1.42798592495844</v>
      </c>
      <c r="N57" s="29" t="n">
        <f aca="false">IFERROR(INDEX('SKU Data'!$O$2:$O$1780,MATCH($A57,'SKU Data'!$V$2:$V$1780,0)),"")</f>
        <v>3.15088942816152</v>
      </c>
      <c r="O57" s="23" t="str">
        <f aca="false">IFERROR(INDEX('SKU Data'!$X$2:$X$1780,MATCH($A57,'SKU Data'!$V$2:$V$1780,0)),"")</f>
        <v>HIGH RATE</v>
      </c>
    </row>
    <row r="58" customFormat="false" ht="15" hidden="false" customHeight="false" outlineLevel="0" collapsed="false">
      <c r="A58" s="18" t="n">
        <v>54</v>
      </c>
      <c r="B58" s="23" t="str">
        <f aca="false">IFERROR(INDEX('SKU Data'!$W$2:$W$1780,MATCH($A58,'SKU Data'!$V$2:$V$1780,0)),"")</f>
        <v>2 - Review</v>
      </c>
      <c r="C58" s="18" t="str">
        <f aca="false">IFERROR(INDEX('SKU Data'!$A$2:$A$1780,MATCH($A58,'SKU Data'!$V$2:$V$1780,0)),"")</f>
        <v>AURP04</v>
      </c>
      <c r="D58" s="27" t="str">
        <f aca="false">IFERROR(INDEX('SKU Data'!$B$2:$B$1780,MATCH($A58,'SKU Data'!$V$2:$V$1780,0)),"")</f>
        <v>Glass Vase (Hand blown)</v>
      </c>
      <c r="E58" s="18" t="str">
        <f aca="false">IFERROR(INDEX('SKU Data'!$D$2:$D$1780,MATCH($A58,'SKU Data'!$V$2:$V$1780,0)),"")</f>
        <v>AURP</v>
      </c>
      <c r="F58" s="19" t="n">
        <f aca="false">IFERROR(INDEX('SKU Data'!$E$2:$E$1780,MATCH($A58,'SKU Data'!$V$2:$V$1780,0)),"")</f>
        <v>1997</v>
      </c>
      <c r="G58" s="19" t="n">
        <f aca="false">IFERROR(INDEX('SKU Data'!$F$2:$F$1780,MATCH($A58,'SKU Data'!$V$2:$V$1780,0)),"")</f>
        <v>104</v>
      </c>
      <c r="H58" s="20" t="n">
        <f aca="false">IFERROR(INDEX('SKU Data'!$J$2:$J$1780,MATCH($A58,'SKU Data'!$V$2:$V$1780,0)),"")</f>
        <v>0.0520781171757637</v>
      </c>
      <c r="I58" s="21" t="n">
        <f aca="false">IFERROR(INDEX('SKU Data'!$H$2:$H$1780,MATCH($A58,'SKU Data'!$V$2:$V$1780,0)),"")</f>
        <v>811.9</v>
      </c>
      <c r="J58" s="20" t="n">
        <f aca="false">IFERROR(INDEX('SKU Data'!$K$2:$K$1780,MATCH($A58,'SKU Data'!$V$2:$V$1780,0)),"")</f>
        <v>0.0488099897257948</v>
      </c>
      <c r="K58" s="22" t="n">
        <f aca="false">IFERROR(INDEX('SKU Data'!$L$2:$L$1780,MATCH($A58,'SKU Data'!$V$2:$V$1780,0)),"")</f>
        <v>0.0016226036218975</v>
      </c>
      <c r="L58" s="22" t="n">
        <f aca="false">IFERROR(INDEX('SKU Data'!$M$2:$M$1780,MATCH($A58,'SKU Data'!$V$2:$V$1780,0)),"")</f>
        <v>6.30313695745169E-005</v>
      </c>
      <c r="M58" s="28" t="n">
        <f aca="false">IFERROR(H58/Settings!$B$3,"")</f>
        <v>1.68069009415239</v>
      </c>
      <c r="N58" s="29" t="n">
        <f aca="false">IFERROR(INDEX('SKU Data'!$O$2:$O$1780,MATCH($A58,'SKU Data'!$V$2:$V$1780,0)),"")</f>
        <v>5.43947879429042</v>
      </c>
      <c r="O58" s="23" t="str">
        <f aca="false">IFERROR(INDEX('SKU Data'!$X$2:$X$1780,MATCH($A58,'SKU Data'!$V$2:$V$1780,0)),"")</f>
        <v>HIGH RATE</v>
      </c>
    </row>
    <row r="59" customFormat="false" ht="15" hidden="false" customHeight="false" outlineLevel="0" collapsed="false">
      <c r="A59" s="18" t="n">
        <v>55</v>
      </c>
      <c r="B59" s="23" t="str">
        <f aca="false">IFERROR(INDEX('SKU Data'!$W$2:$W$1780,MATCH($A59,'SKU Data'!$V$2:$V$1780,0)),"")</f>
        <v>2 - Review</v>
      </c>
      <c r="C59" s="18" t="str">
        <f aca="false">IFERROR(INDEX('SKU Data'!$A$2:$A$1780,MATCH($A59,'SKU Data'!$V$2:$V$1780,0)),"")</f>
        <v>GF10-15</v>
      </c>
      <c r="D59" s="27" t="str">
        <f aca="false">IFERROR(INDEX('SKU Data'!$B$2:$B$1780,MATCH($A59,'SKU Data'!$V$2:$V$1780,0)),"")</f>
        <v>Two Dozen Long Stem Red Roses</v>
      </c>
      <c r="E59" s="18" t="str">
        <f aca="false">IFERROR(INDEX('SKU Data'!$D$2:$D$1780,MATCH($A59,'SKU Data'!$V$2:$V$1780,0)),"")</f>
        <v>GF</v>
      </c>
      <c r="F59" s="19" t="n">
        <f aca="false">IFERROR(INDEX('SKU Data'!$E$2:$E$1780,MATCH($A59,'SKU Data'!$V$2:$V$1780,0)),"")</f>
        <v>26</v>
      </c>
      <c r="G59" s="19" t="n">
        <f aca="false">IFERROR(INDEX('SKU Data'!$F$2:$F$1780,MATCH($A59,'SKU Data'!$V$2:$V$1780,0)),"")</f>
        <v>5</v>
      </c>
      <c r="H59" s="20" t="n">
        <f aca="false">IFERROR(INDEX('SKU Data'!$J$2:$J$1780,MATCH($A59,'SKU Data'!$V$2:$V$1780,0)),"")</f>
        <v>0.192307692307692</v>
      </c>
      <c r="I59" s="21" t="n">
        <f aca="false">IFERROR(INDEX('SKU Data'!$H$2:$H$1780,MATCH($A59,'SKU Data'!$V$2:$V$1780,0)),"")</f>
        <v>751.83</v>
      </c>
      <c r="J59" s="20" t="n">
        <f aca="false">IFERROR(INDEX('SKU Data'!$K$2:$K$1780,MATCH($A59,'SKU Data'!$V$2:$V$1780,0)),"")</f>
        <v>0.179839973209267</v>
      </c>
      <c r="K59" s="22" t="n">
        <f aca="false">IFERROR(INDEX('SKU Data'!$L$2:$L$1780,MATCH($A59,'SKU Data'!$V$2:$V$1780,0)),"")</f>
        <v>0.00150255213825742</v>
      </c>
      <c r="L59" s="22" t="n">
        <f aca="false">IFERROR(INDEX('SKU Data'!$M$2:$M$1780,MATCH($A59,'SKU Data'!$V$2:$V$1780,0)),"")</f>
        <v>5.83678711506455E-005</v>
      </c>
      <c r="M59" s="28" t="n">
        <f aca="false">IFERROR(H59/Settings!$B$3,"")</f>
        <v>6.2062465200117</v>
      </c>
      <c r="N59" s="29" t="n">
        <f aca="false">IFERROR(INDEX('SKU Data'!$O$2:$O$1780,MATCH($A59,'SKU Data'!$V$2:$V$1780,0)),"")</f>
        <v>4.74712018949791</v>
      </c>
      <c r="O59" s="23" t="str">
        <f aca="false">IFERROR(INDEX('SKU Data'!$X$2:$X$1780,MATCH($A59,'SKU Data'!$V$2:$V$1780,0)),"")</f>
        <v/>
      </c>
    </row>
    <row r="60" customFormat="false" ht="15" hidden="false" customHeight="false" outlineLevel="0" collapsed="false">
      <c r="A60" s="18" t="n">
        <v>56</v>
      </c>
      <c r="B60" s="23" t="str">
        <f aca="false">IFERROR(INDEX('SKU Data'!$W$2:$W$1780,MATCH($A60,'SKU Data'!$V$2:$V$1780,0)),"")</f>
        <v>2 - Review</v>
      </c>
      <c r="C60" s="18" t="str">
        <f aca="false">IFERROR(INDEX('SKU Data'!$A$2:$A$1780,MATCH($A60,'SKU Data'!$V$2:$V$1780,0)),"")</f>
        <v>AUSMJ100-11</v>
      </c>
      <c r="D60" s="27" t="str">
        <f aca="false">IFERROR(INDEX('SKU Data'!$B$2:$B$1780,MATCH($A60,'SKU Data'!$V$2:$V$1780,0)),"")</f>
        <v>Breathtaking Blooms In Mason Jar</v>
      </c>
      <c r="E60" s="18" t="str">
        <f aca="false">IFERROR(INDEX('SKU Data'!$D$2:$D$1780,MATCH($A60,'SKU Data'!$V$2:$V$1780,0)),"")</f>
        <v>AUSMJ</v>
      </c>
      <c r="F60" s="19" t="n">
        <f aca="false">IFERROR(INDEX('SKU Data'!$E$2:$E$1780,MATCH($A60,'SKU Data'!$V$2:$V$1780,0)),"")</f>
        <v>4959</v>
      </c>
      <c r="G60" s="19" t="n">
        <f aca="false">IFERROR(INDEX('SKU Data'!$F$2:$F$1780,MATCH($A60,'SKU Data'!$V$2:$V$1780,0)),"")</f>
        <v>203</v>
      </c>
      <c r="H60" s="20" t="n">
        <f aca="false">IFERROR(INDEX('SKU Data'!$J$2:$J$1780,MATCH($A60,'SKU Data'!$V$2:$V$1780,0)),"")</f>
        <v>0.0409356725146199</v>
      </c>
      <c r="I60" s="21" t="n">
        <f aca="false">IFERROR(INDEX('SKU Data'!$H$2:$H$1780,MATCH($A60,'SKU Data'!$V$2:$V$1780,0)),"")</f>
        <v>13653.88</v>
      </c>
      <c r="J60" s="20" t="n">
        <f aca="false">IFERROR(INDEX('SKU Data'!$K$2:$K$1780,MATCH($A60,'SKU Data'!$V$2:$V$1780,0)),"")</f>
        <v>0.0390042878241221</v>
      </c>
      <c r="K60" s="22" t="n">
        <f aca="false">IFERROR(INDEX('SKU Data'!$L$2:$L$1780,MATCH($A60,'SKU Data'!$V$2:$V$1780,0)),"")</f>
        <v>0.0272876402770709</v>
      </c>
      <c r="L60" s="22" t="n">
        <f aca="false">IFERROR(INDEX('SKU Data'!$M$2:$M$1780,MATCH($A60,'SKU Data'!$V$2:$V$1780,0)),"")</f>
        <v>0.00106001078507957</v>
      </c>
      <c r="M60" s="28" t="n">
        <f aca="false">IFERROR(H60/Settings!$B$3,"")</f>
        <v>1.32109575045863</v>
      </c>
      <c r="N60" s="29" t="n">
        <f aca="false">IFERROR(INDEX('SKU Data'!$O$2:$O$1780,MATCH($A60,'SKU Data'!$V$2:$V$1780,0)),"")</f>
        <v>4.04343473102185</v>
      </c>
      <c r="O60" s="23" t="str">
        <f aca="false">IFERROR(INDEX('SKU Data'!$X$2:$X$1780,MATCH($A60,'SKU Data'!$V$2:$V$1780,0)),"")</f>
        <v>HIGH RATE</v>
      </c>
    </row>
    <row r="61" customFormat="false" ht="15" hidden="false" customHeight="false" outlineLevel="0" collapsed="false">
      <c r="A61" s="18" t="n">
        <v>57</v>
      </c>
      <c r="B61" s="23" t="str">
        <f aca="false">IFERROR(INDEX('SKU Data'!$W$2:$W$1780,MATCH($A61,'SKU Data'!$V$2:$V$1780,0)),"")</f>
        <v>2 - Review</v>
      </c>
      <c r="C61" s="18" t="str">
        <f aca="false">IFERROR(INDEX('SKU Data'!$A$2:$A$1780,MATCH($A61,'SKU Data'!$V$2:$V$1780,0)),"")</f>
        <v>AU100-26</v>
      </c>
      <c r="D61" s="27" t="str">
        <f aca="false">IFERROR(INDEX('SKU Data'!$B$2:$B$1780,MATCH($A61,'SKU Data'!$V$2:$V$1780,0)),"")</f>
        <v>Gerber Brights</v>
      </c>
      <c r="E61" s="18" t="str">
        <f aca="false">IFERROR(INDEX('SKU Data'!$D$2:$D$1780,MATCH($A61,'SKU Data'!$V$2:$V$1780,0)),"")</f>
        <v>AU</v>
      </c>
      <c r="F61" s="19" t="n">
        <f aca="false">IFERROR(INDEX('SKU Data'!$E$2:$E$1780,MATCH($A61,'SKU Data'!$V$2:$V$1780,0)),"")</f>
        <v>189</v>
      </c>
      <c r="G61" s="19" t="n">
        <f aca="false">IFERROR(INDEX('SKU Data'!$F$2:$F$1780,MATCH($A61,'SKU Data'!$V$2:$V$1780,0)),"")</f>
        <v>12</v>
      </c>
      <c r="H61" s="20" t="n">
        <f aca="false">IFERROR(INDEX('SKU Data'!$J$2:$J$1780,MATCH($A61,'SKU Data'!$V$2:$V$1780,0)),"")</f>
        <v>0.0634920634920635</v>
      </c>
      <c r="I61" s="21" t="n">
        <f aca="false">IFERROR(INDEX('SKU Data'!$H$2:$H$1780,MATCH($A61,'SKU Data'!$V$2:$V$1780,0)),"")</f>
        <v>962.48</v>
      </c>
      <c r="J61" s="20" t="n">
        <f aca="false">IFERROR(INDEX('SKU Data'!$K$2:$K$1780,MATCH($A61,'SKU Data'!$V$2:$V$1780,0)),"")</f>
        <v>0.0569876613968514</v>
      </c>
      <c r="K61" s="22" t="n">
        <f aca="false">IFERROR(INDEX('SKU Data'!$L$2:$L$1780,MATCH($A61,'SKU Data'!$V$2:$V$1780,0)),"")</f>
        <v>0.00192354173420853</v>
      </c>
      <c r="L61" s="22" t="n">
        <f aca="false">IFERROR(INDEX('SKU Data'!$M$2:$M$1780,MATCH($A61,'SKU Data'!$V$2:$V$1780,0)),"")</f>
        <v>7.47215575663026E-005</v>
      </c>
      <c r="M61" s="28" t="n">
        <f aca="false">IFERROR(H61/Settings!$B$3,"")</f>
        <v>2.0490464700991</v>
      </c>
      <c r="N61" s="29" t="n">
        <f aca="false">IFERROR(INDEX('SKU Data'!$O$2:$O$1780,MATCH($A61,'SKU Data'!$V$2:$V$1780,0)),"")</f>
        <v>2.57895909548668</v>
      </c>
      <c r="O61" s="23" t="str">
        <f aca="false">IFERROR(INDEX('SKU Data'!$X$2:$X$1780,MATCH($A61,'SKU Data'!$V$2:$V$1780,0)),"")</f>
        <v/>
      </c>
    </row>
    <row r="62" customFormat="false" ht="15" hidden="false" customHeight="false" outlineLevel="0" collapsed="false">
      <c r="A62" s="18" t="n">
        <v>58</v>
      </c>
      <c r="B62" s="23" t="str">
        <f aca="false">IFERROR(INDEX('SKU Data'!$W$2:$W$1780,MATCH($A62,'SKU Data'!$V$2:$V$1780,0)),"")</f>
        <v>2 - Review</v>
      </c>
      <c r="C62" s="18" t="str">
        <f aca="false">IFERROR(INDEX('SKU Data'!$A$2:$A$1780,MATCH($A62,'SKU Data'!$V$2:$V$1780,0)),"")</f>
        <v>AURP02-30</v>
      </c>
      <c r="D62" s="27" t="str">
        <f aca="false">IFERROR(INDEX('SKU Data'!$B$2:$B$1780,MATCH($A62,'SKU Data'!$V$2:$V$1780,0)),"")</f>
        <v>Belgium Truffles</v>
      </c>
      <c r="E62" s="18" t="str">
        <f aca="false">IFERROR(INDEX('SKU Data'!$D$2:$D$1780,MATCH($A62,'SKU Data'!$V$2:$V$1780,0)),"")</f>
        <v>AURP</v>
      </c>
      <c r="F62" s="19" t="n">
        <f aca="false">IFERROR(INDEX('SKU Data'!$E$2:$E$1780,MATCH($A62,'SKU Data'!$V$2:$V$1780,0)),"")</f>
        <v>1815</v>
      </c>
      <c r="G62" s="19" t="n">
        <f aca="false">IFERROR(INDEX('SKU Data'!$F$2:$F$1780,MATCH($A62,'SKU Data'!$V$2:$V$1780,0)),"")</f>
        <v>93</v>
      </c>
      <c r="H62" s="20" t="n">
        <f aca="false">IFERROR(INDEX('SKU Data'!$J$2:$J$1780,MATCH($A62,'SKU Data'!$V$2:$V$1780,0)),"")</f>
        <v>0.0512396694214876</v>
      </c>
      <c r="I62" s="21" t="n">
        <f aca="false">IFERROR(INDEX('SKU Data'!$H$2:$H$1780,MATCH($A62,'SKU Data'!$V$2:$V$1780,0)),"")</f>
        <v>820.3</v>
      </c>
      <c r="J62" s="20" t="n">
        <f aca="false">IFERROR(INDEX('SKU Data'!$K$2:$K$1780,MATCH($A62,'SKU Data'!$V$2:$V$1780,0)),"")</f>
        <v>0.0476497513824992</v>
      </c>
      <c r="K62" s="22" t="n">
        <f aca="false">IFERROR(INDEX('SKU Data'!$L$2:$L$1780,MATCH($A62,'SKU Data'!$V$2:$V$1780,0)),"")</f>
        <v>0.00163939124404794</v>
      </c>
      <c r="L62" s="22" t="n">
        <f aca="false">IFERROR(INDEX('SKU Data'!$M$2:$M$1780,MATCH($A62,'SKU Data'!$V$2:$V$1780,0)),"")</f>
        <v>6.36834985367363E-005</v>
      </c>
      <c r="M62" s="28" t="n">
        <f aca="false">IFERROR(H62/Settings!$B$3,"")</f>
        <v>1.65363130417502</v>
      </c>
      <c r="N62" s="29" t="n">
        <f aca="false">IFERROR(INDEX('SKU Data'!$O$2:$O$1780,MATCH($A62,'SKU Data'!$V$2:$V$1780,0)),"")</f>
        <v>4.97954869055928</v>
      </c>
      <c r="O62" s="23" t="str">
        <f aca="false">IFERROR(INDEX('SKU Data'!$X$2:$X$1780,MATCH($A62,'SKU Data'!$V$2:$V$1780,0)),"")</f>
        <v>HIGH RATE</v>
      </c>
    </row>
    <row r="63" customFormat="false" ht="15" hidden="false" customHeight="false" outlineLevel="0" collapsed="false">
      <c r="A63" s="18" t="n">
        <v>59</v>
      </c>
      <c r="B63" s="23" t="str">
        <f aca="false">IFERROR(INDEX('SKU Data'!$W$2:$W$1780,MATCH($A63,'SKU Data'!$V$2:$V$1780,0)),"")</f>
        <v>2 - Review</v>
      </c>
      <c r="C63" s="18" t="str">
        <f aca="false">IFERROR(INDEX('SKU Data'!$A$2:$A$1780,MATCH($A63,'SKU Data'!$V$2:$V$1780,0)),"")</f>
        <v>FYF-what-a-treat-in-mason-jar-mixed-bouquet-C</v>
      </c>
      <c r="D63" s="27" t="str">
        <f aca="false">IFERROR(INDEX('SKU Data'!$B$2:$B$1780,MATCH($A63,'SKU Data'!$V$2:$V$1780,0)),"")</f>
        <v>What A Treat In Mason Jar Mixed Bouquet</v>
      </c>
      <c r="E63" s="18" t="str">
        <f aca="false">IFERROR(INDEX('SKU Data'!$D$2:$D$1780,MATCH($A63,'SKU Data'!$V$2:$V$1780,0)),"")</f>
        <v>FYF</v>
      </c>
      <c r="F63" s="19" t="n">
        <f aca="false">IFERROR(INDEX('SKU Data'!$E$2:$E$1780,MATCH($A63,'SKU Data'!$V$2:$V$1780,0)),"")</f>
        <v>166</v>
      </c>
      <c r="G63" s="19" t="n">
        <f aca="false">IFERROR(INDEX('SKU Data'!$F$2:$F$1780,MATCH($A63,'SKU Data'!$V$2:$V$1780,0)),"")</f>
        <v>11</v>
      </c>
      <c r="H63" s="20" t="n">
        <f aca="false">IFERROR(INDEX('SKU Data'!$J$2:$J$1780,MATCH($A63,'SKU Data'!$V$2:$V$1780,0)),"")</f>
        <v>0.0662650602409639</v>
      </c>
      <c r="I63" s="21" t="n">
        <f aca="false">IFERROR(INDEX('SKU Data'!$H$2:$H$1780,MATCH($A63,'SKU Data'!$V$2:$V$1780,0)),"")</f>
        <v>769.45</v>
      </c>
      <c r="J63" s="20" t="n">
        <f aca="false">IFERROR(INDEX('SKU Data'!$K$2:$K$1780,MATCH($A63,'SKU Data'!$V$2:$V$1780,0)),"")</f>
        <v>0.0662650602409639</v>
      </c>
      <c r="K63" s="22" t="n">
        <f aca="false">IFERROR(INDEX('SKU Data'!$L$2:$L$1780,MATCH($A63,'SKU Data'!$V$2:$V$1780,0)),"")</f>
        <v>0.00153776617424441</v>
      </c>
      <c r="L63" s="22" t="n">
        <f aca="false">IFERROR(INDEX('SKU Data'!$M$2:$M$1780,MATCH($A63,'SKU Data'!$V$2:$V$1780,0)),"")</f>
        <v>5.9735789283301E-005</v>
      </c>
      <c r="M63" s="28" t="n">
        <f aca="false">IFERROR(H63/Settings!$B$3,"")</f>
        <v>2.13853795749801</v>
      </c>
      <c r="N63" s="29" t="n">
        <f aca="false">IFERROR(INDEX('SKU Data'!$O$2:$O$1780,MATCH($A63,'SKU Data'!$V$2:$V$1780,0)),"")</f>
        <v>2.6231334352781</v>
      </c>
      <c r="O63" s="23" t="str">
        <f aca="false">IFERROR(INDEX('SKU Data'!$X$2:$X$1780,MATCH($A63,'SKU Data'!$V$2:$V$1780,0)),"")</f>
        <v/>
      </c>
    </row>
    <row r="64" customFormat="false" ht="15" hidden="false" customHeight="false" outlineLevel="0" collapsed="false">
      <c r="A64" s="18" t="n">
        <v>60</v>
      </c>
      <c r="B64" s="23" t="str">
        <f aca="false">IFERROR(INDEX('SKU Data'!$W$2:$W$1780,MATCH($A64,'SKU Data'!$V$2:$V$1780,0)),"")</f>
        <v>2 - Review</v>
      </c>
      <c r="C64" s="18" t="str">
        <f aca="false">IFERROR(INDEX('SKU Data'!$A$2:$A$1780,MATCH($A64,'SKU Data'!$V$2:$V$1780,0)),"")</f>
        <v>AU112-12</v>
      </c>
      <c r="D64" s="27" t="str">
        <f aca="false">IFERROR(INDEX('SKU Data'!$B$2:$B$1780,MATCH($A64,'SKU Data'!$V$2:$V$1780,0)),"")</f>
        <v>Beautiful in Blue</v>
      </c>
      <c r="E64" s="18" t="str">
        <f aca="false">IFERROR(INDEX('SKU Data'!$D$2:$D$1780,MATCH($A64,'SKU Data'!$V$2:$V$1780,0)),"")</f>
        <v>AU</v>
      </c>
      <c r="F64" s="19" t="n">
        <f aca="false">IFERROR(INDEX('SKU Data'!$E$2:$E$1780,MATCH($A64,'SKU Data'!$V$2:$V$1780,0)),"")</f>
        <v>495</v>
      </c>
      <c r="G64" s="19" t="n">
        <f aca="false">IFERROR(INDEX('SKU Data'!$F$2:$F$1780,MATCH($A64,'SKU Data'!$V$2:$V$1780,0)),"")</f>
        <v>24</v>
      </c>
      <c r="H64" s="20" t="n">
        <f aca="false">IFERROR(INDEX('SKU Data'!$J$2:$J$1780,MATCH($A64,'SKU Data'!$V$2:$V$1780,0)),"")</f>
        <v>0.0484848484848485</v>
      </c>
      <c r="I64" s="21" t="n">
        <f aca="false">IFERROR(INDEX('SKU Data'!$H$2:$H$1780,MATCH($A64,'SKU Data'!$V$2:$V$1780,0)),"")</f>
        <v>3157.91</v>
      </c>
      <c r="J64" s="20" t="n">
        <f aca="false">IFERROR(INDEX('SKU Data'!$K$2:$K$1780,MATCH($A64,'SKU Data'!$V$2:$V$1780,0)),"")</f>
        <v>0.0454997281897292</v>
      </c>
      <c r="K64" s="22" t="n">
        <f aca="false">IFERROR(INDEX('SKU Data'!$L$2:$L$1780,MATCH($A64,'SKU Data'!$V$2:$V$1780,0)),"")</f>
        <v>0.00631116665060518</v>
      </c>
      <c r="L64" s="22" t="n">
        <f aca="false">IFERROR(INDEX('SKU Data'!$M$2:$M$1780,MATCH($A64,'SKU Data'!$V$2:$V$1780,0)),"")</f>
        <v>0.00024516244893837</v>
      </c>
      <c r="M64" s="28" t="n">
        <f aca="false">IFERROR(H64/Settings!$B$3,"")</f>
        <v>1.56472639534841</v>
      </c>
      <c r="N64" s="29" t="n">
        <f aca="false">IFERROR(INDEX('SKU Data'!$O$2:$O$1780,MATCH($A64,'SKU Data'!$V$2:$V$1780,0)),"")</f>
        <v>2.24677463205373</v>
      </c>
      <c r="O64" s="23" t="str">
        <f aca="false">IFERROR(INDEX('SKU Data'!$X$2:$X$1780,MATCH($A64,'SKU Data'!$V$2:$V$1780,0)),"")</f>
        <v/>
      </c>
    </row>
    <row r="65" customFormat="false" ht="15" hidden="false" customHeight="false" outlineLevel="0" collapsed="false">
      <c r="A65" s="18" t="n">
        <v>61</v>
      </c>
      <c r="B65" s="23" t="str">
        <f aca="false">IFERROR(INDEX('SKU Data'!$W$2:$W$1780,MATCH($A65,'SKU Data'!$V$2:$V$1780,0)),"")</f>
        <v>2 - Review</v>
      </c>
      <c r="C65" s="18" t="str">
        <f aca="false">IFERROR(INDEX('SKU Data'!$A$2:$A$1780,MATCH($A65,'SKU Data'!$V$2:$V$1780,0)),"")</f>
        <v>AUMJ-NW-016</v>
      </c>
      <c r="D65" s="27" t="str">
        <f aca="false">IFERROR(INDEX('SKU Data'!$B$2:$B$1780,MATCH($A65,'SKU Data'!$V$2:$V$1780,0)),"")</f>
        <v>Grandeur Bouquet in Mason Jar</v>
      </c>
      <c r="E65" s="18" t="str">
        <f aca="false">IFERROR(INDEX('SKU Data'!$D$2:$D$1780,MATCH($A65,'SKU Data'!$V$2:$V$1780,0)),"")</f>
        <v>AUMJ</v>
      </c>
      <c r="F65" s="19" t="n">
        <f aca="false">IFERROR(INDEX('SKU Data'!$E$2:$E$1780,MATCH($A65,'SKU Data'!$V$2:$V$1780,0)),"")</f>
        <v>554</v>
      </c>
      <c r="G65" s="19" t="n">
        <f aca="false">IFERROR(INDEX('SKU Data'!$F$2:$F$1780,MATCH($A65,'SKU Data'!$V$2:$V$1780,0)),"")</f>
        <v>27</v>
      </c>
      <c r="H65" s="20" t="n">
        <f aca="false">IFERROR(INDEX('SKU Data'!$J$2:$J$1780,MATCH($A65,'SKU Data'!$V$2:$V$1780,0)),"")</f>
        <v>0.0487364620938628</v>
      </c>
      <c r="I65" s="21" t="n">
        <f aca="false">IFERROR(INDEX('SKU Data'!$H$2:$H$1780,MATCH($A65,'SKU Data'!$V$2:$V$1780,0)),"")</f>
        <v>2469.52</v>
      </c>
      <c r="J65" s="20" t="n">
        <f aca="false">IFERROR(INDEX('SKU Data'!$K$2:$K$1780,MATCH($A65,'SKU Data'!$V$2:$V$1780,0)),"")</f>
        <v>0.0459828072802512</v>
      </c>
      <c r="K65" s="22" t="n">
        <f aca="false">IFERROR(INDEX('SKU Data'!$L$2:$L$1780,MATCH($A65,'SKU Data'!$V$2:$V$1780,0)),"")</f>
        <v>0.00493540103011248</v>
      </c>
      <c r="L65" s="22" t="n">
        <f aca="false">IFERROR(INDEX('SKU Data'!$M$2:$M$1780,MATCH($A65,'SKU Data'!$V$2:$V$1780,0)),"")</f>
        <v>0.000191719704140487</v>
      </c>
      <c r="M65" s="28" t="n">
        <f aca="false">IFERROR(H65/Settings!$B$3,"")</f>
        <v>1.57284659099214</v>
      </c>
      <c r="N65" s="29" t="n">
        <f aca="false">IFERROR(INDEX('SKU Data'!$O$2:$O$1780,MATCH($A65,'SKU Data'!$V$2:$V$1780,0)),"")</f>
        <v>2.41108233061123</v>
      </c>
      <c r="O65" s="23" t="str">
        <f aca="false">IFERROR(INDEX('SKU Data'!$X$2:$X$1780,MATCH($A65,'SKU Data'!$V$2:$V$1780,0)),"")</f>
        <v/>
      </c>
    </row>
    <row r="66" customFormat="false" ht="15" hidden="false" customHeight="false" outlineLevel="0" collapsed="false">
      <c r="A66" s="18" t="n">
        <v>62</v>
      </c>
      <c r="B66" s="23" t="str">
        <f aca="false">IFERROR(INDEX('SKU Data'!$W$2:$W$1780,MATCH($A66,'SKU Data'!$V$2:$V$1780,0)),"")</f>
        <v>2 - Review</v>
      </c>
      <c r="C66" s="18" t="str">
        <f aca="false">IFERROR(INDEX('SKU Data'!$A$2:$A$1780,MATCH($A66,'SKU Data'!$V$2:$V$1780,0)),"")</f>
        <v>GF60-10</v>
      </c>
      <c r="D66" s="27" t="str">
        <f aca="false">IFERROR(INDEX('SKU Data'!$B$2:$B$1780,MATCH($A66,'SKU Data'!$V$2:$V$1780,0)),"")</f>
        <v>Gorgeous Gerberas</v>
      </c>
      <c r="E66" s="18" t="str">
        <f aca="false">IFERROR(INDEX('SKU Data'!$D$2:$D$1780,MATCH($A66,'SKU Data'!$V$2:$V$1780,0)),"")</f>
        <v>GF</v>
      </c>
      <c r="F66" s="19" t="n">
        <f aca="false">IFERROR(INDEX('SKU Data'!$E$2:$E$1780,MATCH($A66,'SKU Data'!$V$2:$V$1780,0)),"")</f>
        <v>77</v>
      </c>
      <c r="G66" s="19" t="n">
        <f aca="false">IFERROR(INDEX('SKU Data'!$F$2:$F$1780,MATCH($A66,'SKU Data'!$V$2:$V$1780,0)),"")</f>
        <v>9</v>
      </c>
      <c r="H66" s="20" t="n">
        <f aca="false">IFERROR(INDEX('SKU Data'!$J$2:$J$1780,MATCH($A66,'SKU Data'!$V$2:$V$1780,0)),"")</f>
        <v>0.116883116883117</v>
      </c>
      <c r="I66" s="21" t="n">
        <f aca="false">IFERROR(INDEX('SKU Data'!$H$2:$H$1780,MATCH($A66,'SKU Data'!$V$2:$V$1780,0)),"")</f>
        <v>417.6</v>
      </c>
      <c r="J66" s="20" t="n">
        <f aca="false">IFERROR(INDEX('SKU Data'!$K$2:$K$1780,MATCH($A66,'SKU Data'!$V$2:$V$1780,0)),"")</f>
        <v>0.111038432698904</v>
      </c>
      <c r="K66" s="22" t="n">
        <f aca="false">IFERROR(INDEX('SKU Data'!$L$2:$L$1780,MATCH($A66,'SKU Data'!$V$2:$V$1780,0)),"")</f>
        <v>0.000834584644050249</v>
      </c>
      <c r="L66" s="22" t="n">
        <f aca="false">IFERROR(INDEX('SKU Data'!$M$2:$M$1780,MATCH($A66,'SKU Data'!$V$2:$V$1780,0)),"")</f>
        <v>3.24201255503366E-005</v>
      </c>
      <c r="M66" s="28" t="n">
        <f aca="false">IFERROR(H66/Settings!$B$3,"")</f>
        <v>3.77210827450062</v>
      </c>
      <c r="N66" s="29" t="n">
        <f aca="false">IFERROR(INDEX('SKU Data'!$O$2:$O$1780,MATCH($A66,'SKU Data'!$V$2:$V$1780,0)),"")</f>
        <v>4.34985095950228</v>
      </c>
      <c r="O66" s="23" t="str">
        <f aca="false">IFERROR(INDEX('SKU Data'!$X$2:$X$1780,MATCH($A66,'SKU Data'!$V$2:$V$1780,0)),"")</f>
        <v>HIGH RATE</v>
      </c>
    </row>
    <row r="67" customFormat="false" ht="15" hidden="false" customHeight="false" outlineLevel="0" collapsed="false">
      <c r="A67" s="18" t="n">
        <v>63</v>
      </c>
      <c r="B67" s="23" t="str">
        <f aca="false">IFERROR(INDEX('SKU Data'!$W$2:$W$1780,MATCH($A67,'SKU Data'!$V$2:$V$1780,0)),"")</f>
        <v>2 - Review</v>
      </c>
      <c r="C67" s="18" t="str">
        <f aca="false">IFERROR(INDEX('SKU Data'!$A$2:$A$1780,MATCH($A67,'SKU Data'!$V$2:$V$1780,0)),"")</f>
        <v>AU92-31</v>
      </c>
      <c r="D67" s="27" t="str">
        <f aca="false">IFERROR(INDEX('SKU Data'!$B$2:$B$1780,MATCH($A67,'SKU Data'!$V$2:$V$1780,0)),"")</f>
        <v>Three Dozen Assorted Roses</v>
      </c>
      <c r="E67" s="18" t="str">
        <f aca="false">IFERROR(INDEX('SKU Data'!$D$2:$D$1780,MATCH($A67,'SKU Data'!$V$2:$V$1780,0)),"")</f>
        <v>AU</v>
      </c>
      <c r="F67" s="19" t="n">
        <f aca="false">IFERROR(INDEX('SKU Data'!$E$2:$E$1780,MATCH($A67,'SKU Data'!$V$2:$V$1780,0)),"")</f>
        <v>29</v>
      </c>
      <c r="G67" s="19" t="n">
        <f aca="false">IFERROR(INDEX('SKU Data'!$F$2:$F$1780,MATCH($A67,'SKU Data'!$V$2:$V$1780,0)),"")</f>
        <v>4</v>
      </c>
      <c r="H67" s="20" t="n">
        <f aca="false">IFERROR(INDEX('SKU Data'!$J$2:$J$1780,MATCH($A67,'SKU Data'!$V$2:$V$1780,0)),"")</f>
        <v>0.137931034482759</v>
      </c>
      <c r="I67" s="21" t="n">
        <f aca="false">IFERROR(INDEX('SKU Data'!$H$2:$H$1780,MATCH($A67,'SKU Data'!$V$2:$V$1780,0)),"")</f>
        <v>1017.55</v>
      </c>
      <c r="J67" s="20" t="n">
        <f aca="false">IFERROR(INDEX('SKU Data'!$K$2:$K$1780,MATCH($A67,'SKU Data'!$V$2:$V$1780,0)),"")</f>
        <v>0.142409093580919</v>
      </c>
      <c r="K67" s="22" t="n">
        <f aca="false">IFERROR(INDEX('SKU Data'!$L$2:$L$1780,MATCH($A67,'SKU Data'!$V$2:$V$1780,0)),"")</f>
        <v>0.00203360058561621</v>
      </c>
      <c r="L67" s="22" t="n">
        <f aca="false">IFERROR(INDEX('SKU Data'!$M$2:$M$1780,MATCH($A67,'SKU Data'!$V$2:$V$1780,0)),"")</f>
        <v>7.89968839888529E-005</v>
      </c>
      <c r="M67" s="28" t="n">
        <f aca="false">IFERROR(H67/Settings!$B$3,"")</f>
        <v>4.45137681435322</v>
      </c>
      <c r="N67" s="29" t="n">
        <f aca="false">IFERROR(INDEX('SKU Data'!$O$2:$O$1780,MATCH($A67,'SKU Data'!$V$2:$V$1780,0)),"")</f>
        <v>3.32361110421752</v>
      </c>
      <c r="O67" s="23" t="str">
        <f aca="false">IFERROR(INDEX('SKU Data'!$X$2:$X$1780,MATCH($A67,'SKU Data'!$V$2:$V$1780,0)),"")</f>
        <v/>
      </c>
    </row>
    <row r="68" customFormat="false" ht="15" hidden="false" customHeight="false" outlineLevel="0" collapsed="false">
      <c r="A68" s="18" t="n">
        <v>64</v>
      </c>
      <c r="B68" s="23" t="str">
        <f aca="false">IFERROR(INDEX('SKU Data'!$W$2:$W$1780,MATCH($A68,'SKU Data'!$V$2:$V$1780,0)),"")</f>
        <v/>
      </c>
      <c r="C68" s="18" t="str">
        <f aca="false">IFERROR(INDEX('SKU Data'!$A$2:$A$1780,MATCH($A68,'SKU Data'!$V$2:$V$1780,0)),"")</f>
        <v/>
      </c>
      <c r="D68" s="27" t="str">
        <f aca="false">IFERROR(INDEX('SKU Data'!$B$2:$B$1780,MATCH($A68,'SKU Data'!$V$2:$V$1780,0)),"")</f>
        <v/>
      </c>
      <c r="E68" s="18" t="str">
        <f aca="false">IFERROR(INDEX('SKU Data'!$D$2:$D$1780,MATCH($A68,'SKU Data'!$V$2:$V$1780,0)),"")</f>
        <v/>
      </c>
      <c r="F68" s="19" t="str">
        <f aca="false">IFERROR(INDEX('SKU Data'!$E$2:$E$1780,MATCH($A68,'SKU Data'!$V$2:$V$1780,0)),"")</f>
        <v/>
      </c>
      <c r="G68" s="19" t="str">
        <f aca="false">IFERROR(INDEX('SKU Data'!$F$2:$F$1780,MATCH($A68,'SKU Data'!$V$2:$V$1780,0)),"")</f>
        <v/>
      </c>
      <c r="H68" s="20" t="str">
        <f aca="false">IFERROR(INDEX('SKU Data'!$J$2:$J$1780,MATCH($A68,'SKU Data'!$V$2:$V$1780,0)),"")</f>
        <v/>
      </c>
      <c r="I68" s="21" t="str">
        <f aca="false">IFERROR(INDEX('SKU Data'!$H$2:$H$1780,MATCH($A68,'SKU Data'!$V$2:$V$1780,0)),"")</f>
        <v/>
      </c>
      <c r="J68" s="20" t="str">
        <f aca="false">IFERROR(INDEX('SKU Data'!$K$2:$K$1780,MATCH($A68,'SKU Data'!$V$2:$V$1780,0)),"")</f>
        <v/>
      </c>
      <c r="K68" s="22" t="str">
        <f aca="false">IFERROR(INDEX('SKU Data'!$L$2:$L$1780,MATCH($A68,'SKU Data'!$V$2:$V$1780,0)),"")</f>
        <v/>
      </c>
      <c r="L68" s="22" t="str">
        <f aca="false">IFERROR(INDEX('SKU Data'!$M$2:$M$1780,MATCH($A68,'SKU Data'!$V$2:$V$1780,0)),"")</f>
        <v/>
      </c>
      <c r="M68" s="28" t="str">
        <f aca="false">IFERROR(H68/Settings!$B$3,"")</f>
        <v/>
      </c>
      <c r="N68" s="29" t="str">
        <f aca="false">IFERROR(INDEX('SKU Data'!$O$2:$O$1780,MATCH($A68,'SKU Data'!$V$2:$V$1780,0)),"")</f>
        <v/>
      </c>
      <c r="O68" s="23" t="str">
        <f aca="false">IFERROR(INDEX('SKU Data'!$X$2:$X$1780,MATCH($A68,'SKU Data'!$V$2:$V$1780,0)),"")</f>
        <v/>
      </c>
    </row>
    <row r="69" customFormat="false" ht="15" hidden="false" customHeight="false" outlineLevel="0" collapsed="false">
      <c r="A69" s="18" t="n">
        <v>65</v>
      </c>
      <c r="B69" s="23" t="str">
        <f aca="false">IFERROR(INDEX('SKU Data'!$W$2:$W$1780,MATCH($A69,'SKU Data'!$V$2:$V$1780,0)),"")</f>
        <v>2 - Review</v>
      </c>
      <c r="C69" s="18" t="str">
        <f aca="false">IFERROR(INDEX('SKU Data'!$A$2:$A$1780,MATCH($A69,'SKU Data'!$V$2:$V$1780,0)),"")</f>
        <v>AU189-07</v>
      </c>
      <c r="D69" s="27" t="str">
        <f aca="false">IFERROR(INDEX('SKU Data'!$B$2:$B$1780,MATCH($A69,'SKU Data'!$V$2:$V$1780,0)),"")</f>
        <v>Red &amp; White Wreath</v>
      </c>
      <c r="E69" s="18" t="str">
        <f aca="false">IFERROR(INDEX('SKU Data'!$D$2:$D$1780,MATCH($A69,'SKU Data'!$V$2:$V$1780,0)),"")</f>
        <v>AU</v>
      </c>
      <c r="F69" s="19" t="n">
        <f aca="false">IFERROR(INDEX('SKU Data'!$E$2:$E$1780,MATCH($A69,'SKU Data'!$V$2:$V$1780,0)),"")</f>
        <v>21</v>
      </c>
      <c r="G69" s="19" t="n">
        <f aca="false">IFERROR(INDEX('SKU Data'!$F$2:$F$1780,MATCH($A69,'SKU Data'!$V$2:$V$1780,0)),"")</f>
        <v>4</v>
      </c>
      <c r="H69" s="20" t="n">
        <f aca="false">IFERROR(INDEX('SKU Data'!$J$2:$J$1780,MATCH($A69,'SKU Data'!$V$2:$V$1780,0)),"")</f>
        <v>0.19047619047619</v>
      </c>
      <c r="I69" s="21" t="n">
        <f aca="false">IFERROR(INDEX('SKU Data'!$H$2:$H$1780,MATCH($A69,'SKU Data'!$V$2:$V$1780,0)),"")</f>
        <v>856.87</v>
      </c>
      <c r="J69" s="20" t="n">
        <f aca="false">IFERROR(INDEX('SKU Data'!$K$2:$K$1780,MATCH($A69,'SKU Data'!$V$2:$V$1780,0)),"")</f>
        <v>0.166424211113075</v>
      </c>
      <c r="K69" s="22" t="n">
        <f aca="false">IFERROR(INDEX('SKU Data'!$L$2:$L$1780,MATCH($A69,'SKU Data'!$V$2:$V$1780,0)),"")</f>
        <v>0.00171247735619573</v>
      </c>
      <c r="L69" s="22" t="n">
        <f aca="false">IFERROR(INDEX('SKU Data'!$M$2:$M$1780,MATCH($A69,'SKU Data'!$V$2:$V$1780,0)),"")</f>
        <v>6.65225885543987E-005</v>
      </c>
      <c r="M69" s="28" t="n">
        <f aca="false">IFERROR(H69/Settings!$B$3,"")</f>
        <v>6.14713941029731</v>
      </c>
      <c r="N69" s="29" t="n">
        <f aca="false">IFERROR(INDEX('SKU Data'!$O$2:$O$1780,MATCH($A69,'SKU Data'!$V$2:$V$1780,0)),"")</f>
        <v>4.21788178639032</v>
      </c>
      <c r="O69" s="23" t="str">
        <f aca="false">IFERROR(INDEX('SKU Data'!$X$2:$X$1780,MATCH($A69,'SKU Data'!$V$2:$V$1780,0)),"")</f>
        <v/>
      </c>
    </row>
    <row r="70" customFormat="false" ht="15" hidden="false" customHeight="false" outlineLevel="0" collapsed="false">
      <c r="A70" s="18" t="n">
        <v>66</v>
      </c>
      <c r="B70" s="23" t="str">
        <f aca="false">IFERROR(INDEX('SKU Data'!$W$2:$W$1780,MATCH($A70,'SKU Data'!$V$2:$V$1780,0)),"")</f>
        <v>2 - Review</v>
      </c>
      <c r="C70" s="18" t="str">
        <f aca="false">IFERROR(INDEX('SKU Data'!$A$2:$A$1780,MATCH($A70,'SKU Data'!$V$2:$V$1780,0)),"")</f>
        <v>AUFS-01</v>
      </c>
      <c r="D70" s="27" t="str">
        <f aca="false">IFERROR(INDEX('SKU Data'!$B$2:$B$1780,MATCH($A70,'SKU Data'!$V$2:$V$1780,0)),"")</f>
        <v>Dozen Mixed Roses, Vase &amp; Card</v>
      </c>
      <c r="E70" s="18" t="str">
        <f aca="false">IFERROR(INDEX('SKU Data'!$D$2:$D$1780,MATCH($A70,'SKU Data'!$V$2:$V$1780,0)),"")</f>
        <v>AUFS</v>
      </c>
      <c r="F70" s="19" t="n">
        <f aca="false">IFERROR(INDEX('SKU Data'!$E$2:$E$1780,MATCH($A70,'SKU Data'!$V$2:$V$1780,0)),"")</f>
        <v>141</v>
      </c>
      <c r="G70" s="19" t="n">
        <f aca="false">IFERROR(INDEX('SKU Data'!$F$2:$F$1780,MATCH($A70,'SKU Data'!$V$2:$V$1780,0)),"")</f>
        <v>9</v>
      </c>
      <c r="H70" s="20" t="n">
        <f aca="false">IFERROR(INDEX('SKU Data'!$J$2:$J$1780,MATCH($A70,'SKU Data'!$V$2:$V$1780,0)),"")</f>
        <v>0.0638297872340426</v>
      </c>
      <c r="I70" s="21" t="n">
        <f aca="false">IFERROR(INDEX('SKU Data'!$H$2:$H$1780,MATCH($A70,'SKU Data'!$V$2:$V$1780,0)),"")</f>
        <v>1098.66</v>
      </c>
      <c r="J70" s="20" t="n">
        <f aca="false">IFERROR(INDEX('SKU Data'!$K$2:$K$1780,MATCH($A70,'SKU Data'!$V$2:$V$1780,0)),"")</f>
        <v>0.0643964060491569</v>
      </c>
      <c r="K70" s="22" t="n">
        <f aca="false">IFERROR(INDEX('SKU Data'!$L$2:$L$1780,MATCH($A70,'SKU Data'!$V$2:$V$1780,0)),"")</f>
        <v>0.00219570106569025</v>
      </c>
      <c r="L70" s="22" t="n">
        <f aca="false">IFERROR(INDEX('SKU Data'!$M$2:$M$1780,MATCH($A70,'SKU Data'!$V$2:$V$1780,0)),"")</f>
        <v>8.52938101942835E-005</v>
      </c>
      <c r="M70" s="28" t="n">
        <f aca="false">IFERROR(H70/Settings!$B$3,"")</f>
        <v>2.05994565345069</v>
      </c>
      <c r="N70" s="29" t="n">
        <f aca="false">IFERROR(INDEX('SKU Data'!$O$2:$O$1780,MATCH($A70,'SKU Data'!$V$2:$V$1780,0)),"")</f>
        <v>2.25067081648801</v>
      </c>
      <c r="O70" s="23" t="str">
        <f aca="false">IFERROR(INDEX('SKU Data'!$X$2:$X$1780,MATCH($A70,'SKU Data'!$V$2:$V$1780,0)),"")</f>
        <v/>
      </c>
    </row>
    <row r="71" customFormat="false" ht="15" hidden="false" customHeight="false" outlineLevel="0" collapsed="false">
      <c r="A71" s="18" t="n">
        <v>67</v>
      </c>
      <c r="B71" s="23" t="str">
        <f aca="false">IFERROR(INDEX('SKU Data'!$W$2:$W$1780,MATCH($A71,'SKU Data'!$V$2:$V$1780,0)),"")</f>
        <v>2 - Review</v>
      </c>
      <c r="C71" s="18" t="str">
        <f aca="false">IFERROR(INDEX('SKU Data'!$A$2:$A$1780,MATCH($A71,'SKU Data'!$V$2:$V$1780,0)),"")</f>
        <v>DCS-03</v>
      </c>
      <c r="D71" s="27" t="str">
        <f aca="false">IFERROR(INDEX('SKU Data'!$B$2:$B$1780,MATCH($A71,'SKU Data'!$V$2:$V$1780,0)),"")</f>
        <v>Designer Sympathy Collection III</v>
      </c>
      <c r="E71" s="18" t="str">
        <f aca="false">IFERROR(INDEX('SKU Data'!$D$2:$D$1780,MATCH($A71,'SKU Data'!$V$2:$V$1780,0)),"")</f>
        <v>DCS</v>
      </c>
      <c r="F71" s="19" t="n">
        <f aca="false">IFERROR(INDEX('SKU Data'!$E$2:$E$1780,MATCH($A71,'SKU Data'!$V$2:$V$1780,0)),"")</f>
        <v>80</v>
      </c>
      <c r="G71" s="19" t="n">
        <f aca="false">IFERROR(INDEX('SKU Data'!$F$2:$F$1780,MATCH($A71,'SKU Data'!$V$2:$V$1780,0)),"")</f>
        <v>6</v>
      </c>
      <c r="H71" s="20" t="n">
        <f aca="false">IFERROR(INDEX('SKU Data'!$J$2:$J$1780,MATCH($A71,'SKU Data'!$V$2:$V$1780,0)),"")</f>
        <v>0.075</v>
      </c>
      <c r="I71" s="21" t="n">
        <f aca="false">IFERROR(INDEX('SKU Data'!$H$2:$H$1780,MATCH($A71,'SKU Data'!$V$2:$V$1780,0)),"")</f>
        <v>967.81</v>
      </c>
      <c r="J71" s="20" t="n">
        <f aca="false">IFERROR(INDEX('SKU Data'!$K$2:$K$1780,MATCH($A71,'SKU Data'!$V$2:$V$1780,0)),"")</f>
        <v>0.0700245495806746</v>
      </c>
      <c r="K71" s="22" t="n">
        <f aca="false">IFERROR(INDEX('SKU Data'!$L$2:$L$1780,MATCH($A71,'SKU Data'!$V$2:$V$1780,0)),"")</f>
        <v>0.00193419388016827</v>
      </c>
      <c r="L71" s="22" t="n">
        <f aca="false">IFERROR(INDEX('SKU Data'!$M$2:$M$1780,MATCH($A71,'SKU Data'!$V$2:$V$1780,0)),"")</f>
        <v>7.51353489197108E-005</v>
      </c>
      <c r="M71" s="28" t="n">
        <f aca="false">IFERROR(H71/Settings!$B$3,"")</f>
        <v>2.42043614280456</v>
      </c>
      <c r="N71" s="29" t="n">
        <f aca="false">IFERROR(INDEX('SKU Data'!$O$2:$O$1780,MATCH($A71,'SKU Data'!$V$2:$V$1780,0)),"")</f>
        <v>2.27188075613247</v>
      </c>
      <c r="O71" s="23" t="str">
        <f aca="false">IFERROR(INDEX('SKU Data'!$X$2:$X$1780,MATCH($A71,'SKU Data'!$V$2:$V$1780,0)),"")</f>
        <v/>
      </c>
    </row>
    <row r="72" customFormat="false" ht="15" hidden="false" customHeight="false" outlineLevel="0" collapsed="false">
      <c r="A72" s="18" t="n">
        <v>68</v>
      </c>
      <c r="B72" s="23" t="str">
        <f aca="false">IFERROR(INDEX('SKU Data'!$W$2:$W$1780,MATCH($A72,'SKU Data'!$V$2:$V$1780,0)),"")</f>
        <v>2 - Review</v>
      </c>
      <c r="C72" s="18" t="str">
        <f aca="false">IFERROR(INDEX('SKU Data'!$A$2:$A$1780,MATCH($A72,'SKU Data'!$V$2:$V$1780,0)),"")</f>
        <v>DCB-03</v>
      </c>
      <c r="D72" s="27" t="str">
        <f aca="false">IFERROR(INDEX('SKU Data'!$B$2:$B$1780,MATCH($A72,'SKU Data'!$V$2:$V$1780,0)),"")</f>
        <v>Birthday Designer Collection III</v>
      </c>
      <c r="E72" s="18" t="str">
        <f aca="false">IFERROR(INDEX('SKU Data'!$D$2:$D$1780,MATCH($A72,'SKU Data'!$V$2:$V$1780,0)),"")</f>
        <v>DCB</v>
      </c>
      <c r="F72" s="19" t="n">
        <f aca="false">IFERROR(INDEX('SKU Data'!$E$2:$E$1780,MATCH($A72,'SKU Data'!$V$2:$V$1780,0)),"")</f>
        <v>35</v>
      </c>
      <c r="G72" s="19" t="n">
        <f aca="false">IFERROR(INDEX('SKU Data'!$F$2:$F$1780,MATCH($A72,'SKU Data'!$V$2:$V$1780,0)),"")</f>
        <v>5</v>
      </c>
      <c r="H72" s="20" t="n">
        <f aca="false">IFERROR(INDEX('SKU Data'!$J$2:$J$1780,MATCH($A72,'SKU Data'!$V$2:$V$1780,0)),"")</f>
        <v>0.142857142857143</v>
      </c>
      <c r="I72" s="21" t="n">
        <f aca="false">IFERROR(INDEX('SKU Data'!$H$2:$H$1780,MATCH($A72,'SKU Data'!$V$2:$V$1780,0)),"")</f>
        <v>619.12</v>
      </c>
      <c r="J72" s="20" t="n">
        <f aca="false">IFERROR(INDEX('SKU Data'!$K$2:$K$1780,MATCH($A72,'SKU Data'!$V$2:$V$1780,0)),"")</f>
        <v>0.117739460176974</v>
      </c>
      <c r="K72" s="22" t="n">
        <f aca="false">IFERROR(INDEX('SKU Data'!$L$2:$L$1780,MATCH($A72,'SKU Data'!$V$2:$V$1780,0)),"")</f>
        <v>0.001237327693545</v>
      </c>
      <c r="L72" s="22" t="n">
        <f aca="false">IFERROR(INDEX('SKU Data'!$M$2:$M$1780,MATCH($A72,'SKU Data'!$V$2:$V$1780,0)),"")</f>
        <v>4.80650098915814E-005</v>
      </c>
      <c r="M72" s="28" t="n">
        <f aca="false">IFERROR(H72/Settings!$B$3,"")</f>
        <v>4.61035455772298</v>
      </c>
      <c r="N72" s="29" t="n">
        <f aca="false">IFERROR(INDEX('SKU Data'!$O$2:$O$1780,MATCH($A72,'SKU Data'!$V$2:$V$1780,0)),"")</f>
        <v>3.81946646675736</v>
      </c>
      <c r="O72" s="23" t="str">
        <f aca="false">IFERROR(INDEX('SKU Data'!$X$2:$X$1780,MATCH($A72,'SKU Data'!$V$2:$V$1780,0)),"")</f>
        <v>HIGH RATE</v>
      </c>
    </row>
    <row r="73" customFormat="false" ht="15" hidden="false" customHeight="false" outlineLevel="0" collapsed="false">
      <c r="A73" s="18" t="n">
        <v>69</v>
      </c>
      <c r="B73" s="23" t="str">
        <f aca="false">IFERROR(INDEX('SKU Data'!$W$2:$W$1780,MATCH($A73,'SKU Data'!$V$2:$V$1780,0)),"")</f>
        <v>2 - Review</v>
      </c>
      <c r="C73" s="18" t="str">
        <f aca="false">IFERROR(INDEX('SKU Data'!$A$2:$A$1780,MATCH($A73,'SKU Data'!$V$2:$V$1780,0)),"")</f>
        <v>DC-02S</v>
      </c>
      <c r="D73" s="27" t="str">
        <f aca="false">IFERROR(INDEX('SKU Data'!$B$2:$B$1780,MATCH($A73,'SKU Data'!$V$2:$V$1780,0)),"")</f>
        <v>Designer Sympathy Collection II</v>
      </c>
      <c r="E73" s="18" t="str">
        <f aca="false">IFERROR(INDEX('SKU Data'!$D$2:$D$1780,MATCH($A73,'SKU Data'!$V$2:$V$1780,0)),"")</f>
        <v>DC</v>
      </c>
      <c r="F73" s="19" t="n">
        <f aca="false">IFERROR(INDEX('SKU Data'!$E$2:$E$1780,MATCH($A73,'SKU Data'!$V$2:$V$1780,0)),"")</f>
        <v>1482</v>
      </c>
      <c r="G73" s="19" t="n">
        <f aca="false">IFERROR(INDEX('SKU Data'!$F$2:$F$1780,MATCH($A73,'SKU Data'!$V$2:$V$1780,0)),"")</f>
        <v>62</v>
      </c>
      <c r="H73" s="20" t="n">
        <f aca="false">IFERROR(INDEX('SKU Data'!$J$2:$J$1780,MATCH($A73,'SKU Data'!$V$2:$V$1780,0)),"")</f>
        <v>0.0418353576248313</v>
      </c>
      <c r="I73" s="21" t="n">
        <f aca="false">IFERROR(INDEX('SKU Data'!$H$2:$H$1780,MATCH($A73,'SKU Data'!$V$2:$V$1780,0)),"")</f>
        <v>6122.41</v>
      </c>
      <c r="J73" s="20" t="n">
        <f aca="false">IFERROR(INDEX('SKU Data'!$K$2:$K$1780,MATCH($A73,'SKU Data'!$V$2:$V$1780,0)),"")</f>
        <v>0.0377796553210642</v>
      </c>
      <c r="K73" s="22" t="n">
        <f aca="false">IFERROR(INDEX('SKU Data'!$L$2:$L$1780,MATCH($A73,'SKU Data'!$V$2:$V$1780,0)),"")</f>
        <v>0.0122357983011966</v>
      </c>
      <c r="L73" s="22" t="n">
        <f aca="false">IFERROR(INDEX('SKU Data'!$M$2:$M$1780,MATCH($A73,'SKU Data'!$V$2:$V$1780,0)),"")</f>
        <v>0.000475309628521638</v>
      </c>
      <c r="M73" s="28" t="n">
        <f aca="false">IFERROR(H73/Settings!$B$3,"")</f>
        <v>1.35013082189728</v>
      </c>
      <c r="N73" s="29" t="n">
        <f aca="false">IFERROR(INDEX('SKU Data'!$O$2:$O$1780,MATCH($A73,'SKU Data'!$V$2:$V$1780,0)),"")</f>
        <v>2.41031203979615</v>
      </c>
      <c r="O73" s="23" t="str">
        <f aca="false">IFERROR(INDEX('SKU Data'!$X$2:$X$1780,MATCH($A73,'SKU Data'!$V$2:$V$1780,0)),"")</f>
        <v/>
      </c>
    </row>
    <row r="74" customFormat="false" ht="15" hidden="false" customHeight="false" outlineLevel="0" collapsed="false">
      <c r="A74" s="18" t="n">
        <v>70</v>
      </c>
      <c r="B74" s="23" t="str">
        <f aca="false">IFERROR(INDEX('SKU Data'!$W$2:$W$1780,MATCH($A74,'SKU Data'!$V$2:$V$1780,0)),"")</f>
        <v>2 - Review</v>
      </c>
      <c r="C74" s="18" t="str">
        <f aca="false">IFERROR(INDEX('SKU Data'!$A$2:$A$1780,MATCH($A74,'SKU Data'!$V$2:$V$1780,0)),"")</f>
        <v>AURP-B3</v>
      </c>
      <c r="D74" s="27" t="str">
        <f aca="false">IFERROR(INDEX('SKU Data'!$B$2:$B$1780,MATCH($A74,'SKU Data'!$V$2:$V$1780,0)),"")</f>
        <v>Baby Girl Balloon</v>
      </c>
      <c r="E74" s="18" t="str">
        <f aca="false">IFERROR(INDEX('SKU Data'!$D$2:$D$1780,MATCH($A74,'SKU Data'!$V$2:$V$1780,0)),"")</f>
        <v>AURP</v>
      </c>
      <c r="F74" s="19" t="n">
        <f aca="false">IFERROR(INDEX('SKU Data'!$E$2:$E$1780,MATCH($A74,'SKU Data'!$V$2:$V$1780,0)),"")</f>
        <v>459</v>
      </c>
      <c r="G74" s="19" t="n">
        <f aca="false">IFERROR(INDEX('SKU Data'!$F$2:$F$1780,MATCH($A74,'SKU Data'!$V$2:$V$1780,0)),"")</f>
        <v>34</v>
      </c>
      <c r="H74" s="20" t="n">
        <f aca="false">IFERROR(INDEX('SKU Data'!$J$2:$J$1780,MATCH($A74,'SKU Data'!$V$2:$V$1780,0)),"")</f>
        <v>0.0740740740740741</v>
      </c>
      <c r="I74" s="21" t="n">
        <f aca="false">IFERROR(INDEX('SKU Data'!$H$2:$H$1780,MATCH($A74,'SKU Data'!$V$2:$V$1780,0)),"")</f>
        <v>271.41</v>
      </c>
      <c r="J74" s="20" t="n">
        <f aca="false">IFERROR(INDEX('SKU Data'!$K$2:$K$1780,MATCH($A74,'SKU Data'!$V$2:$V$1780,0)),"")</f>
        <v>0.0694816714923161</v>
      </c>
      <c r="K74" s="22" t="n">
        <f aca="false">IFERROR(INDEX('SKU Data'!$L$2:$L$1780,MATCH($A74,'SKU Data'!$V$2:$V$1780,0)),"")</f>
        <v>0.000542420062839268</v>
      </c>
      <c r="L74" s="22" t="n">
        <f aca="false">IFERROR(INDEX('SKU Data'!$M$2:$M$1780,MATCH($A74,'SKU Data'!$V$2:$V$1780,0)),"")</f>
        <v>2.10707525757109E-005</v>
      </c>
      <c r="M74" s="28" t="n">
        <f aca="false">IFERROR(H74/Settings!$B$3,"")</f>
        <v>2.39055421511562</v>
      </c>
      <c r="N74" s="29" t="n">
        <f aca="false">IFERROR(INDEX('SKU Data'!$O$2:$O$1780,MATCH($A74,'SKU Data'!$V$2:$V$1780,0)),"")</f>
        <v>5.32737285753372</v>
      </c>
      <c r="O74" s="23" t="str">
        <f aca="false">IFERROR(INDEX('SKU Data'!$X$2:$X$1780,MATCH($A74,'SKU Data'!$V$2:$V$1780,0)),"")</f>
        <v>HIGH RATE</v>
      </c>
    </row>
    <row r="75" customFormat="false" ht="15" hidden="false" customHeight="false" outlineLevel="0" collapsed="false">
      <c r="A75" s="18" t="n">
        <v>71</v>
      </c>
      <c r="B75" s="23" t="str">
        <f aca="false">IFERROR(INDEX('SKU Data'!$W$2:$W$1780,MATCH($A75,'SKU Data'!$V$2:$V$1780,0)),"")</f>
        <v>2 - Review</v>
      </c>
      <c r="C75" s="18" t="str">
        <f aca="false">IFERROR(INDEX('SKU Data'!$A$2:$A$1780,MATCH($A75,'SKU Data'!$V$2:$V$1780,0)),"")</f>
        <v>MJ22-10</v>
      </c>
      <c r="D75" s="27" t="str">
        <f aca="false">IFERROR(INDEX('SKU Data'!$B$2:$B$1780,MATCH($A75,'SKU Data'!$V$2:$V$1780,0)),"")</f>
        <v>All the Pinks</v>
      </c>
      <c r="E75" s="18" t="str">
        <f aca="false">IFERROR(INDEX('SKU Data'!$D$2:$D$1780,MATCH($A75,'SKU Data'!$V$2:$V$1780,0)),"")</f>
        <v>MJ</v>
      </c>
      <c r="F75" s="19" t="n">
        <f aca="false">IFERROR(INDEX('SKU Data'!$E$2:$E$1780,MATCH($A75,'SKU Data'!$V$2:$V$1780,0)),"")</f>
        <v>204</v>
      </c>
      <c r="G75" s="19" t="n">
        <f aca="false">IFERROR(INDEX('SKU Data'!$F$2:$F$1780,MATCH($A75,'SKU Data'!$V$2:$V$1780,0)),"")</f>
        <v>12</v>
      </c>
      <c r="H75" s="20" t="n">
        <f aca="false">IFERROR(INDEX('SKU Data'!$J$2:$J$1780,MATCH($A75,'SKU Data'!$V$2:$V$1780,0)),"")</f>
        <v>0.0588235294117647</v>
      </c>
      <c r="I75" s="21" t="n">
        <f aca="false">IFERROR(INDEX('SKU Data'!$H$2:$H$1780,MATCH($A75,'SKU Data'!$V$2:$V$1780,0)),"")</f>
        <v>913.78</v>
      </c>
      <c r="J75" s="20" t="n">
        <f aca="false">IFERROR(INDEX('SKU Data'!$K$2:$K$1780,MATCH($A75,'SKU Data'!$V$2:$V$1780,0)),"")</f>
        <v>0.0616334503346814</v>
      </c>
      <c r="K75" s="22" t="n">
        <f aca="false">IFERROR(INDEX('SKU Data'!$L$2:$L$1780,MATCH($A75,'SKU Data'!$V$2:$V$1780,0)),"")</f>
        <v>0.00182621349626493</v>
      </c>
      <c r="L75" s="22" t="n">
        <f aca="false">IFERROR(INDEX('SKU Data'!$M$2:$M$1780,MATCH($A75,'SKU Data'!$V$2:$V$1780,0)),"")</f>
        <v>7.09407622734353E-005</v>
      </c>
      <c r="M75" s="28" t="n">
        <f aca="false">IFERROR(H75/Settings!$B$3,"")</f>
        <v>1.89838128847417</v>
      </c>
      <c r="N75" s="29" t="n">
        <f aca="false">IFERROR(INDEX('SKU Data'!$O$2:$O$1780,MATCH($A75,'SKU Data'!$V$2:$V$1780,0)),"")</f>
        <v>2.29453457712927</v>
      </c>
      <c r="O75" s="23" t="str">
        <f aca="false">IFERROR(INDEX('SKU Data'!$X$2:$X$1780,MATCH($A75,'SKU Data'!$V$2:$V$1780,0)),"")</f>
        <v/>
      </c>
    </row>
    <row r="76" customFormat="false" ht="15" hidden="false" customHeight="false" outlineLevel="0" collapsed="false">
      <c r="A76" s="18" t="n">
        <v>72</v>
      </c>
      <c r="B76" s="23" t="str">
        <f aca="false">IFERROR(INDEX('SKU Data'!$W$2:$W$1780,MATCH($A76,'SKU Data'!$V$2:$V$1780,0)),"")</f>
        <v>2 - Review</v>
      </c>
      <c r="C76" s="18" t="str">
        <f aca="false">IFERROR(INDEX('SKU Data'!$A$2:$A$1780,MATCH($A76,'SKU Data'!$V$2:$V$1780,0)),"")</f>
        <v>MJ100-11</v>
      </c>
      <c r="D76" s="27" t="str">
        <f aca="false">IFERROR(INDEX('SKU Data'!$B$2:$B$1780,MATCH($A76,'SKU Data'!$V$2:$V$1780,0)),"")</f>
        <v>Big Garden Energy</v>
      </c>
      <c r="E76" s="18" t="str">
        <f aca="false">IFERROR(INDEX('SKU Data'!$D$2:$D$1780,MATCH($A76,'SKU Data'!$V$2:$V$1780,0)),"")</f>
        <v>MJ</v>
      </c>
      <c r="F76" s="19" t="n">
        <f aca="false">IFERROR(INDEX('SKU Data'!$E$2:$E$1780,MATCH($A76,'SKU Data'!$V$2:$V$1780,0)),"")</f>
        <v>384</v>
      </c>
      <c r="G76" s="19" t="n">
        <f aca="false">IFERROR(INDEX('SKU Data'!$F$2:$F$1780,MATCH($A76,'SKU Data'!$V$2:$V$1780,0)),"")</f>
        <v>20</v>
      </c>
      <c r="H76" s="20" t="n">
        <f aca="false">IFERROR(INDEX('SKU Data'!$J$2:$J$1780,MATCH($A76,'SKU Data'!$V$2:$V$1780,0)),"")</f>
        <v>0.0520833333333333</v>
      </c>
      <c r="I76" s="21" t="n">
        <f aca="false">IFERROR(INDEX('SKU Data'!$H$2:$H$1780,MATCH($A76,'SKU Data'!$V$2:$V$1780,0)),"")</f>
        <v>1238.24</v>
      </c>
      <c r="J76" s="20" t="n">
        <f aca="false">IFERROR(INDEX('SKU Data'!$K$2:$K$1780,MATCH($A76,'SKU Data'!$V$2:$V$1780,0)),"")</f>
        <v>0.0505147384288392</v>
      </c>
      <c r="K76" s="22" t="n">
        <f aca="false">IFERROR(INDEX('SKU Data'!$L$2:$L$1780,MATCH($A76,'SKU Data'!$V$2:$V$1780,0)),"")</f>
        <v>0.00247465538708999</v>
      </c>
      <c r="L76" s="22" t="n">
        <f aca="false">IFERROR(INDEX('SKU Data'!$M$2:$M$1780,MATCH($A76,'SKU Data'!$V$2:$V$1780,0)),"")</f>
        <v>9.61300197831628E-005</v>
      </c>
      <c r="M76" s="28" t="n">
        <f aca="false">IFERROR(H76/Settings!$B$3,"")</f>
        <v>1.68085843250317</v>
      </c>
      <c r="N76" s="29" t="n">
        <f aca="false">IFERROR(INDEX('SKU Data'!$O$2:$O$1780,MATCH($A76,'SKU Data'!$V$2:$V$1780,0)),"")</f>
        <v>2.38583968327391</v>
      </c>
      <c r="O76" s="23" t="str">
        <f aca="false">IFERROR(INDEX('SKU Data'!$X$2:$X$1780,MATCH($A76,'SKU Data'!$V$2:$V$1780,0)),"")</f>
        <v/>
      </c>
    </row>
    <row r="77" customFormat="false" ht="15" hidden="false" customHeight="false" outlineLevel="0" collapsed="false">
      <c r="A77" s="18" t="n">
        <v>73</v>
      </c>
      <c r="B77" s="23" t="str">
        <f aca="false">IFERROR(INDEX('SKU Data'!$W$2:$W$1780,MATCH($A77,'SKU Data'!$V$2:$V$1780,0)),"")</f>
        <v>2 - Review</v>
      </c>
      <c r="C77" s="18" t="str">
        <f aca="false">IFERROR(INDEX('SKU Data'!$A$2:$A$1780,MATCH($A77,'SKU Data'!$V$2:$V$1780,0)),"")</f>
        <v>AURP-B1</v>
      </c>
      <c r="D77" s="27" t="str">
        <f aca="false">IFERROR(INDEX('SKU Data'!$B$2:$B$1780,MATCH($A77,'SKU Data'!$V$2:$V$1780,0)),"")</f>
        <v>I Love You Balloon</v>
      </c>
      <c r="E77" s="18" t="str">
        <f aca="false">IFERROR(INDEX('SKU Data'!$D$2:$D$1780,MATCH($A77,'SKU Data'!$V$2:$V$1780,0)),"")</f>
        <v>AURP</v>
      </c>
      <c r="F77" s="19" t="n">
        <f aca="false">IFERROR(INDEX('SKU Data'!$E$2:$E$1780,MATCH($A77,'SKU Data'!$V$2:$V$1780,0)),"")</f>
        <v>1872</v>
      </c>
      <c r="G77" s="19" t="n">
        <f aca="false">IFERROR(INDEX('SKU Data'!$F$2:$F$1780,MATCH($A77,'SKU Data'!$V$2:$V$1780,0)),"")</f>
        <v>92</v>
      </c>
      <c r="H77" s="20" t="n">
        <f aca="false">IFERROR(INDEX('SKU Data'!$J$2:$J$1780,MATCH($A77,'SKU Data'!$V$2:$V$1780,0)),"")</f>
        <v>0.0491452991452991</v>
      </c>
      <c r="I77" s="21" t="n">
        <f aca="false">IFERROR(INDEX('SKU Data'!$H$2:$H$1780,MATCH($A77,'SKU Data'!$V$2:$V$1780,0)),"")</f>
        <v>750.47</v>
      </c>
      <c r="J77" s="20" t="n">
        <f aca="false">IFERROR(INDEX('SKU Data'!$K$2:$K$1780,MATCH($A77,'SKU Data'!$V$2:$V$1780,0)),"")</f>
        <v>0.046376150644163</v>
      </c>
      <c r="K77" s="22" t="n">
        <f aca="false">IFERROR(INDEX('SKU Data'!$L$2:$L$1780,MATCH($A77,'SKU Data'!$V$2:$V$1780,0)),"")</f>
        <v>0.00149983414229021</v>
      </c>
      <c r="L77" s="22" t="n">
        <f aca="false">IFERROR(INDEX('SKU Data'!$M$2:$M$1780,MATCH($A77,'SKU Data'!$V$2:$V$1780,0)),"")</f>
        <v>5.82622883662861E-005</v>
      </c>
      <c r="M77" s="28" t="n">
        <f aca="false">IFERROR(H77/Settings!$B$3,"")</f>
        <v>1.58604077733632</v>
      </c>
      <c r="N77" s="29" t="n">
        <f aca="false">IFERROR(INDEX('SKU Data'!$O$2:$O$1780,MATCH($A77,'SKU Data'!$V$2:$V$1780,0)),"")</f>
        <v>4.534188624122</v>
      </c>
      <c r="O77" s="23" t="str">
        <f aca="false">IFERROR(INDEX('SKU Data'!$X$2:$X$1780,MATCH($A77,'SKU Data'!$V$2:$V$1780,0)),"")</f>
        <v>HIGH RATE</v>
      </c>
    </row>
    <row r="78" customFormat="false" ht="15" hidden="false" customHeight="false" outlineLevel="0" collapsed="false">
      <c r="A78" s="18" t="n">
        <v>74</v>
      </c>
      <c r="B78" s="23" t="str">
        <f aca="false">IFERROR(INDEX('SKU Data'!$W$2:$W$1780,MATCH($A78,'SKU Data'!$V$2:$V$1780,0)),"")</f>
        <v>2 - Review</v>
      </c>
      <c r="C78" s="18" t="str">
        <f aca="false">IFERROR(INDEX('SKU Data'!$A$2:$A$1780,MATCH($A78,'SKU Data'!$V$2:$V$1780,0)),"")</f>
        <v>AU501-01</v>
      </c>
      <c r="D78" s="27" t="str">
        <f aca="false">IFERROR(INDEX('SKU Data'!$B$2:$B$1780,MATCH($A78,'SKU Data'!$V$2:$V$1780,0)),"")</f>
        <v>3 Red Roses, Card &amp; Chocolates</v>
      </c>
      <c r="E78" s="18" t="str">
        <f aca="false">IFERROR(INDEX('SKU Data'!$D$2:$D$1780,MATCH($A78,'SKU Data'!$V$2:$V$1780,0)),"")</f>
        <v>AU</v>
      </c>
      <c r="F78" s="19" t="n">
        <f aca="false">IFERROR(INDEX('SKU Data'!$E$2:$E$1780,MATCH($A78,'SKU Data'!$V$2:$V$1780,0)),"")</f>
        <v>622</v>
      </c>
      <c r="G78" s="19" t="n">
        <f aca="false">IFERROR(INDEX('SKU Data'!$F$2:$F$1780,MATCH($A78,'SKU Data'!$V$2:$V$1780,0)),"")</f>
        <v>30</v>
      </c>
      <c r="H78" s="20" t="n">
        <f aca="false">IFERROR(INDEX('SKU Data'!$J$2:$J$1780,MATCH($A78,'SKU Data'!$V$2:$V$1780,0)),"")</f>
        <v>0.0482315112540193</v>
      </c>
      <c r="I78" s="21" t="n">
        <f aca="false">IFERROR(INDEX('SKU Data'!$H$2:$H$1780,MATCH($A78,'SKU Data'!$V$2:$V$1780,0)),"")</f>
        <v>1592.51</v>
      </c>
      <c r="J78" s="20" t="n">
        <f aca="false">IFERROR(INDEX('SKU Data'!$K$2:$K$1780,MATCH($A78,'SKU Data'!$V$2:$V$1780,0)),"")</f>
        <v>0.044140750595931</v>
      </c>
      <c r="K78" s="22" t="n">
        <f aca="false">IFERROR(INDEX('SKU Data'!$L$2:$L$1780,MATCH($A78,'SKU Data'!$V$2:$V$1780,0)),"")</f>
        <v>0.00318267335128463</v>
      </c>
      <c r="L78" s="22" t="n">
        <f aca="false">IFERROR(INDEX('SKU Data'!$M$2:$M$1780,MATCH($A78,'SKU Data'!$V$2:$V$1780,0)),"")</f>
        <v>0.000123633558764767</v>
      </c>
      <c r="M78" s="28" t="n">
        <f aca="false">IFERROR(H78/Settings!$B$3,"")</f>
        <v>1.55655057415084</v>
      </c>
      <c r="N78" s="29" t="n">
        <f aca="false">IFERROR(INDEX('SKU Data'!$O$2:$O$1780,MATCH($A78,'SKU Data'!$V$2:$V$1780,0)),"")</f>
        <v>2.48209644480397</v>
      </c>
      <c r="O78" s="23" t="str">
        <f aca="false">IFERROR(INDEX('SKU Data'!$X$2:$X$1780,MATCH($A78,'SKU Data'!$V$2:$V$1780,0)),"")</f>
        <v/>
      </c>
    </row>
    <row r="79" customFormat="false" ht="15" hidden="false" customHeight="false" outlineLevel="0" collapsed="false">
      <c r="A79" s="18" t="n">
        <v>75</v>
      </c>
      <c r="B79" s="23" t="str">
        <f aca="false">IFERROR(INDEX('SKU Data'!$W$2:$W$1780,MATCH($A79,'SKU Data'!$V$2:$V$1780,0)),"")</f>
        <v>2 - Review</v>
      </c>
      <c r="C79" s="18" t="str">
        <f aca="false">IFERROR(INDEX('SKU Data'!$A$2:$A$1780,MATCH($A79,'SKU Data'!$V$2:$V$1780,0)),"")</f>
        <v>AU112-18</v>
      </c>
      <c r="D79" s="27" t="str">
        <f aca="false">IFERROR(INDEX('SKU Data'!$B$2:$B$1780,MATCH($A79,'SKU Data'!$V$2:$V$1780,0)),"")</f>
        <v>Forever Beloved</v>
      </c>
      <c r="E79" s="18" t="str">
        <f aca="false">IFERROR(INDEX('SKU Data'!$D$2:$D$1780,MATCH($A79,'SKU Data'!$V$2:$V$1780,0)),"")</f>
        <v>AU</v>
      </c>
      <c r="F79" s="19" t="n">
        <f aca="false">IFERROR(INDEX('SKU Data'!$E$2:$E$1780,MATCH($A79,'SKU Data'!$V$2:$V$1780,0)),"")</f>
        <v>19</v>
      </c>
      <c r="G79" s="19" t="n">
        <f aca="false">IFERROR(INDEX('SKU Data'!$F$2:$F$1780,MATCH($A79,'SKU Data'!$V$2:$V$1780,0)),"")</f>
        <v>4</v>
      </c>
      <c r="H79" s="20" t="n">
        <f aca="false">IFERROR(INDEX('SKU Data'!$J$2:$J$1780,MATCH($A79,'SKU Data'!$V$2:$V$1780,0)),"")</f>
        <v>0.210526315789474</v>
      </c>
      <c r="I79" s="21" t="n">
        <f aca="false">IFERROR(INDEX('SKU Data'!$H$2:$H$1780,MATCH($A79,'SKU Data'!$V$2:$V$1780,0)),"")</f>
        <v>726.19</v>
      </c>
      <c r="J79" s="20" t="n">
        <f aca="false">IFERROR(INDEX('SKU Data'!$K$2:$K$1780,MATCH($A79,'SKU Data'!$V$2:$V$1780,0)),"")</f>
        <v>0.214451298921823</v>
      </c>
      <c r="K79" s="22" t="n">
        <f aca="false">IFERROR(INDEX('SKU Data'!$L$2:$L$1780,MATCH($A79,'SKU Data'!$V$2:$V$1780,0)),"")</f>
        <v>0.00145130992016966</v>
      </c>
      <c r="L79" s="22" t="n">
        <f aca="false">IFERROR(INDEX('SKU Data'!$M$2:$M$1780,MATCH($A79,'SKU Data'!$V$2:$V$1780,0)),"")</f>
        <v>5.6377325127871E-005</v>
      </c>
      <c r="M79" s="28" t="n">
        <f aca="false">IFERROR(H79/Settings!$B$3,"")</f>
        <v>6.79420671664439</v>
      </c>
      <c r="N79" s="29" t="n">
        <f aca="false">IFERROR(INDEX('SKU Data'!$O$2:$O$1780,MATCH($A79,'SKU Data'!$V$2:$V$1780,0)),"")</f>
        <v>4.51637100684585</v>
      </c>
      <c r="O79" s="23" t="str">
        <f aca="false">IFERROR(INDEX('SKU Data'!$X$2:$X$1780,MATCH($A79,'SKU Data'!$V$2:$V$1780,0)),"")</f>
        <v/>
      </c>
    </row>
    <row r="80" customFormat="false" ht="15" hidden="false" customHeight="false" outlineLevel="0" collapsed="false">
      <c r="A80" s="18" t="n">
        <v>76</v>
      </c>
      <c r="B80" s="23" t="str">
        <f aca="false">IFERROR(INDEX('SKU Data'!$W$2:$W$1780,MATCH($A80,'SKU Data'!$V$2:$V$1780,0)),"")</f>
        <v>2 - Review</v>
      </c>
      <c r="C80" s="18" t="str">
        <f aca="false">IFERROR(INDEX('SKU Data'!$A$2:$A$1780,MATCH($A80,'SKU Data'!$V$2:$V$1780,0)),"")</f>
        <v>AUFS-05</v>
      </c>
      <c r="D80" s="27" t="str">
        <f aca="false">IFERROR(INDEX('SKU Data'!$B$2:$B$1780,MATCH($A80,'SKU Data'!$V$2:$V$1780,0)),"")</f>
        <v>Dozen Mixed Roses Combo</v>
      </c>
      <c r="E80" s="18" t="str">
        <f aca="false">IFERROR(INDEX('SKU Data'!$D$2:$D$1780,MATCH($A80,'SKU Data'!$V$2:$V$1780,0)),"")</f>
        <v>AUFS</v>
      </c>
      <c r="F80" s="19" t="n">
        <f aca="false">IFERROR(INDEX('SKU Data'!$E$2:$E$1780,MATCH($A80,'SKU Data'!$V$2:$V$1780,0)),"")</f>
        <v>260</v>
      </c>
      <c r="G80" s="19" t="n">
        <f aca="false">IFERROR(INDEX('SKU Data'!$F$2:$F$1780,MATCH($A80,'SKU Data'!$V$2:$V$1780,0)),"")</f>
        <v>14</v>
      </c>
      <c r="H80" s="20" t="n">
        <f aca="false">IFERROR(INDEX('SKU Data'!$J$2:$J$1780,MATCH($A80,'SKU Data'!$V$2:$V$1780,0)),"")</f>
        <v>0.0538461538461539</v>
      </c>
      <c r="I80" s="21" t="n">
        <f aca="false">IFERROR(INDEX('SKU Data'!$H$2:$H$1780,MATCH($A80,'SKU Data'!$V$2:$V$1780,0)),"")</f>
        <v>1691.72</v>
      </c>
      <c r="J80" s="20" t="n">
        <f aca="false">IFERROR(INDEX('SKU Data'!$K$2:$K$1780,MATCH($A80,'SKU Data'!$V$2:$V$1780,0)),"")</f>
        <v>0.0500855473654698</v>
      </c>
      <c r="K80" s="22" t="n">
        <f aca="false">IFERROR(INDEX('SKU Data'!$L$2:$L$1780,MATCH($A80,'SKU Data'!$V$2:$V$1780,0)),"")</f>
        <v>0.00338094716003996</v>
      </c>
      <c r="L80" s="22" t="n">
        <f aca="false">IFERROR(INDEX('SKU Data'!$M$2:$M$1780,MATCH($A80,'SKU Data'!$V$2:$V$1780,0)),"")</f>
        <v>0.000131335667614979</v>
      </c>
      <c r="M80" s="28" t="n">
        <f aca="false">IFERROR(H80/Settings!$B$3,"")</f>
        <v>1.73774902560328</v>
      </c>
      <c r="N80" s="29" t="n">
        <f aca="false">IFERROR(INDEX('SKU Data'!$O$2:$O$1780,MATCH($A80,'SKU Data'!$V$2:$V$1780,0)),"")</f>
        <v>2.12722850340819</v>
      </c>
      <c r="O80" s="23" t="str">
        <f aca="false">IFERROR(INDEX('SKU Data'!$X$2:$X$1780,MATCH($A80,'SKU Data'!$V$2:$V$1780,0)),"")</f>
        <v/>
      </c>
    </row>
    <row r="81" customFormat="false" ht="15" hidden="false" customHeight="false" outlineLevel="0" collapsed="false">
      <c r="A81" s="18" t="n">
        <v>77</v>
      </c>
      <c r="B81" s="23" t="str">
        <f aca="false">IFERROR(INDEX('SKU Data'!$W$2:$W$1780,MATCH($A81,'SKU Data'!$V$2:$V$1780,0)),"")</f>
        <v>2 - Review</v>
      </c>
      <c r="C81" s="18" t="str">
        <f aca="false">IFERROR(INDEX('SKU Data'!$A$2:$A$1780,MATCH($A81,'SKU Data'!$V$2:$V$1780,0)),"")</f>
        <v>SB-01</v>
      </c>
      <c r="D81" s="27" t="str">
        <f aca="false">IFERROR(INDEX('SKU Data'!$B$2:$B$1780,MATCH($A81,'SKU Data'!$V$2:$V$1780,0)),"")</f>
        <v>Sweet Blossoms Collection I</v>
      </c>
      <c r="E81" s="18" t="str">
        <f aca="false">IFERROR(INDEX('SKU Data'!$D$2:$D$1780,MATCH($A81,'SKU Data'!$V$2:$V$1780,0)),"")</f>
        <v>SB</v>
      </c>
      <c r="F81" s="19" t="n">
        <f aca="false">IFERROR(INDEX('SKU Data'!$E$2:$E$1780,MATCH($A81,'SKU Data'!$V$2:$V$1780,0)),"")</f>
        <v>252</v>
      </c>
      <c r="G81" s="19" t="n">
        <f aca="false">IFERROR(INDEX('SKU Data'!$F$2:$F$1780,MATCH($A81,'SKU Data'!$V$2:$V$1780,0)),"")</f>
        <v>14</v>
      </c>
      <c r="H81" s="20" t="n">
        <f aca="false">IFERROR(INDEX('SKU Data'!$J$2:$J$1780,MATCH($A81,'SKU Data'!$V$2:$V$1780,0)),"")</f>
        <v>0.0555555555555556</v>
      </c>
      <c r="I81" s="21" t="n">
        <f aca="false">IFERROR(INDEX('SKU Data'!$H$2:$H$1780,MATCH($A81,'SKU Data'!$V$2:$V$1780,0)),"")</f>
        <v>1111.17</v>
      </c>
      <c r="J81" s="20" t="n">
        <f aca="false">IFERROR(INDEX('SKU Data'!$K$2:$K$1780,MATCH($A81,'SKU Data'!$V$2:$V$1780,0)),"")</f>
        <v>0.0549782322477412</v>
      </c>
      <c r="K81" s="22" t="n">
        <f aca="false">IFERROR(INDEX('SKU Data'!$L$2:$L$1780,MATCH($A81,'SKU Data'!$V$2:$V$1780,0)),"")</f>
        <v>0.00222070263153572</v>
      </c>
      <c r="L81" s="22" t="n">
        <f aca="false">IFERROR(INDEX('SKU Data'!$M$2:$M$1780,MATCH($A81,'SKU Data'!$V$2:$V$1780,0)),"")</f>
        <v>8.62650165415888E-005</v>
      </c>
      <c r="M81" s="28" t="n">
        <f aca="false">IFERROR(H81/Settings!$B$3,"")</f>
        <v>1.79291566133671</v>
      </c>
      <c r="N81" s="29" t="n">
        <f aca="false">IFERROR(INDEX('SKU Data'!$O$2:$O$1780,MATCH($A81,'SKU Data'!$V$2:$V$1780,0)),"")</f>
        <v>2.25084760272414</v>
      </c>
      <c r="O81" s="23" t="str">
        <f aca="false">IFERROR(INDEX('SKU Data'!$X$2:$X$1780,MATCH($A81,'SKU Data'!$V$2:$V$1780,0)),"")</f>
        <v/>
      </c>
    </row>
    <row r="82" customFormat="false" ht="15" hidden="false" customHeight="false" outlineLevel="0" collapsed="false">
      <c r="A82" s="18" t="n">
        <v>78</v>
      </c>
      <c r="B82" s="23" t="str">
        <f aca="false">IFERROR(INDEX('SKU Data'!$W$2:$W$1780,MATCH($A82,'SKU Data'!$V$2:$V$1780,0)),"")</f>
        <v>2 - Review</v>
      </c>
      <c r="C82" s="18" t="str">
        <f aca="false">IFERROR(INDEX('SKU Data'!$A$2:$A$1780,MATCH($A82,'SKU Data'!$V$2:$V$1780,0)),"")</f>
        <v>DCS-01</v>
      </c>
      <c r="D82" s="27" t="str">
        <f aca="false">IFERROR(INDEX('SKU Data'!$B$2:$B$1780,MATCH($A82,'SKU Data'!$V$2:$V$1780,0)),"")</f>
        <v>Designer Sympathy Collection I</v>
      </c>
      <c r="E82" s="18" t="str">
        <f aca="false">IFERROR(INDEX('SKU Data'!$D$2:$D$1780,MATCH($A82,'SKU Data'!$V$2:$V$1780,0)),"")</f>
        <v>DCS</v>
      </c>
      <c r="F82" s="19" t="n">
        <f aca="false">IFERROR(INDEX('SKU Data'!$E$2:$E$1780,MATCH($A82,'SKU Data'!$V$2:$V$1780,0)),"")</f>
        <v>109</v>
      </c>
      <c r="G82" s="19" t="n">
        <f aca="false">IFERROR(INDEX('SKU Data'!$F$2:$F$1780,MATCH($A82,'SKU Data'!$V$2:$V$1780,0)),"")</f>
        <v>8</v>
      </c>
      <c r="H82" s="20" t="n">
        <f aca="false">IFERROR(INDEX('SKU Data'!$J$2:$J$1780,MATCH($A82,'SKU Data'!$V$2:$V$1780,0)),"")</f>
        <v>0.073394495412844</v>
      </c>
      <c r="I82" s="21" t="n">
        <f aca="false">IFERROR(INDEX('SKU Data'!$H$2:$H$1780,MATCH($A82,'SKU Data'!$V$2:$V$1780,0)),"")</f>
        <v>609.82</v>
      </c>
      <c r="J82" s="20" t="n">
        <f aca="false">IFERROR(INDEX('SKU Data'!$K$2:$K$1780,MATCH($A82,'SKU Data'!$V$2:$V$1780,0)),"")</f>
        <v>0.0647181118807647</v>
      </c>
      <c r="K82" s="22" t="n">
        <f aca="false">IFERROR(INDEX('SKU Data'!$L$2:$L$1780,MATCH($A82,'SKU Data'!$V$2:$V$1780,0)),"")</f>
        <v>0.00121874139759273</v>
      </c>
      <c r="L82" s="22" t="n">
        <f aca="false">IFERROR(INDEX('SKU Data'!$M$2:$M$1780,MATCH($A82,'SKU Data'!$V$2:$V$1780,0)),"")</f>
        <v>4.73430099691242E-005</v>
      </c>
      <c r="M82" s="28" t="n">
        <f aca="false">IFERROR(H82/Settings!$B$3,"")</f>
        <v>2.36862252506869</v>
      </c>
      <c r="N82" s="29" t="n">
        <f aca="false">IFERROR(INDEX('SKU Data'!$O$2:$O$1780,MATCH($A82,'SKU Data'!$V$2:$V$1780,0)),"")</f>
        <v>2.5551462168896</v>
      </c>
      <c r="O82" s="23" t="str">
        <f aca="false">IFERROR(INDEX('SKU Data'!$X$2:$X$1780,MATCH($A82,'SKU Data'!$V$2:$V$1780,0)),"")</f>
        <v/>
      </c>
    </row>
    <row r="83" customFormat="false" ht="15" hidden="false" customHeight="false" outlineLevel="0" collapsed="false">
      <c r="A83" s="18" t="n">
        <v>79</v>
      </c>
      <c r="B83" s="23" t="str">
        <f aca="false">IFERROR(INDEX('SKU Data'!$W$2:$W$1780,MATCH($A83,'SKU Data'!$V$2:$V$1780,0)),"")</f>
        <v>2 - Review</v>
      </c>
      <c r="C83" s="18" t="str">
        <f aca="false">IFERROR(INDEX('SKU Data'!$A$2:$A$1780,MATCH($A83,'SKU Data'!$V$2:$V$1780,0)),"")</f>
        <v>DCB-01C</v>
      </c>
      <c r="D83" s="27" t="str">
        <f aca="false">IFERROR(INDEX('SKU Data'!$B$2:$B$1780,MATCH($A83,'SKU Data'!$V$2:$V$1780,0)),"")</f>
        <v>Birthday Designer Collection I Combo</v>
      </c>
      <c r="E83" s="18" t="str">
        <f aca="false">IFERROR(INDEX('SKU Data'!$D$2:$D$1780,MATCH($A83,'SKU Data'!$V$2:$V$1780,0)),"")</f>
        <v>DCB</v>
      </c>
      <c r="F83" s="19" t="n">
        <f aca="false">IFERROR(INDEX('SKU Data'!$E$2:$E$1780,MATCH($A83,'SKU Data'!$V$2:$V$1780,0)),"")</f>
        <v>207</v>
      </c>
      <c r="G83" s="19" t="n">
        <f aca="false">IFERROR(INDEX('SKU Data'!$F$2:$F$1780,MATCH($A83,'SKU Data'!$V$2:$V$1780,0)),"")</f>
        <v>12</v>
      </c>
      <c r="H83" s="20" t="n">
        <f aca="false">IFERROR(INDEX('SKU Data'!$J$2:$J$1780,MATCH($A83,'SKU Data'!$V$2:$V$1780,0)),"")</f>
        <v>0.0579710144927536</v>
      </c>
      <c r="I83" s="21" t="n">
        <f aca="false">IFERROR(INDEX('SKU Data'!$H$2:$H$1780,MATCH($A83,'SKU Data'!$V$2:$V$1780,0)),"")</f>
        <v>957.93</v>
      </c>
      <c r="J83" s="20" t="n">
        <f aca="false">IFERROR(INDEX('SKU Data'!$K$2:$K$1780,MATCH($A83,'SKU Data'!$V$2:$V$1780,0)),"")</f>
        <v>0.0505313565231886</v>
      </c>
      <c r="K83" s="22" t="n">
        <f aca="false">IFERROR(INDEX('SKU Data'!$L$2:$L$1780,MATCH($A83,'SKU Data'!$V$2:$V$1780,0)),"")</f>
        <v>0.00191444843887705</v>
      </c>
      <c r="L83" s="22" t="n">
        <f aca="false">IFERROR(INDEX('SKU Data'!$M$2:$M$1780,MATCH($A83,'SKU Data'!$V$2:$V$1780,0)),"")</f>
        <v>7.43683210451004E-005</v>
      </c>
      <c r="M83" s="28" t="n">
        <f aca="false">IFERROR(H83/Settings!$B$3,"")</f>
        <v>1.87086851617744</v>
      </c>
      <c r="N83" s="29" t="n">
        <f aca="false">IFERROR(INDEX('SKU Data'!$O$2:$O$1780,MATCH($A83,'SKU Data'!$V$2:$V$1780,0)),"")</f>
        <v>2.24056004916402</v>
      </c>
      <c r="O83" s="23" t="str">
        <f aca="false">IFERROR(INDEX('SKU Data'!$X$2:$X$1780,MATCH($A83,'SKU Data'!$V$2:$V$1780,0)),"")</f>
        <v/>
      </c>
    </row>
    <row r="84" customFormat="false" ht="15" hidden="false" customHeight="false" outlineLevel="0" collapsed="false">
      <c r="A84" s="18" t="n">
        <v>80</v>
      </c>
      <c r="B84" s="23" t="str">
        <f aca="false">IFERROR(INDEX('SKU Data'!$W$2:$W$1780,MATCH($A84,'SKU Data'!$V$2:$V$1780,0)),"")</f>
        <v>2 - Review</v>
      </c>
      <c r="C84" s="18" t="str">
        <f aca="false">IFERROR(INDEX('SKU Data'!$A$2:$A$1780,MATCH($A84,'SKU Data'!$V$2:$V$1780,0)),"")</f>
        <v>AUMJ-NW-020</v>
      </c>
      <c r="D84" s="27" t="str">
        <f aca="false">IFERROR(INDEX('SKU Data'!$B$2:$B$1780,MATCH($A84,'SKU Data'!$V$2:$V$1780,0)),"")</f>
        <v>Spring Fling Bouquet in Mason Jar</v>
      </c>
      <c r="E84" s="18" t="str">
        <f aca="false">IFERROR(INDEX('SKU Data'!$D$2:$D$1780,MATCH($A84,'SKU Data'!$V$2:$V$1780,0)),"")</f>
        <v>AUMJ</v>
      </c>
      <c r="F84" s="19" t="n">
        <f aca="false">IFERROR(INDEX('SKU Data'!$E$2:$E$1780,MATCH($A84,'SKU Data'!$V$2:$V$1780,0)),"")</f>
        <v>509</v>
      </c>
      <c r="G84" s="19" t="n">
        <f aca="false">IFERROR(INDEX('SKU Data'!$F$2:$F$1780,MATCH($A84,'SKU Data'!$V$2:$V$1780,0)),"")</f>
        <v>24</v>
      </c>
      <c r="H84" s="20" t="n">
        <f aca="false">IFERROR(INDEX('SKU Data'!$J$2:$J$1780,MATCH($A84,'SKU Data'!$V$2:$V$1780,0)),"")</f>
        <v>0.0471512770137525</v>
      </c>
      <c r="I84" s="21" t="n">
        <f aca="false">IFERROR(INDEX('SKU Data'!$H$2:$H$1780,MATCH($A84,'SKU Data'!$V$2:$V$1780,0)),"")</f>
        <v>2561.34</v>
      </c>
      <c r="J84" s="20" t="n">
        <f aca="false">IFERROR(INDEX('SKU Data'!$K$2:$K$1780,MATCH($A84,'SKU Data'!$V$2:$V$1780,0)),"")</f>
        <v>0.0457631879111172</v>
      </c>
      <c r="K84" s="22" t="n">
        <f aca="false">IFERROR(INDEX('SKU Data'!$L$2:$L$1780,MATCH($A84,'SKU Data'!$V$2:$V$1780,0)),"")</f>
        <v>0.00511890572842832</v>
      </c>
      <c r="L84" s="22" t="n">
        <f aca="false">IFERROR(INDEX('SKU Data'!$M$2:$M$1780,MATCH($A84,'SKU Data'!$V$2:$V$1780,0)),"")</f>
        <v>0.000198848094772747</v>
      </c>
      <c r="M84" s="28" t="n">
        <f aca="false">IFERROR(H84/Settings!$B$3,"")</f>
        <v>1.52168873417969</v>
      </c>
      <c r="N84" s="29" t="n">
        <f aca="false">IFERROR(INDEX('SKU Data'!$O$2:$O$1780,MATCH($A84,'SKU Data'!$V$2:$V$1780,0)),"")</f>
        <v>2.10469502503574</v>
      </c>
      <c r="O84" s="23" t="str">
        <f aca="false">IFERROR(INDEX('SKU Data'!$X$2:$X$1780,MATCH($A84,'SKU Data'!$V$2:$V$1780,0)),"")</f>
        <v/>
      </c>
    </row>
    <row r="85" customFormat="false" ht="15" hidden="false" customHeight="false" outlineLevel="0" collapsed="false">
      <c r="A85" s="18" t="n">
        <v>81</v>
      </c>
      <c r="B85" s="23" t="str">
        <f aca="false">IFERROR(INDEX('SKU Data'!$W$2:$W$1780,MATCH($A85,'SKU Data'!$V$2:$V$1780,0)),"")</f>
        <v>2 - Review</v>
      </c>
      <c r="C85" s="18" t="str">
        <f aca="false">IFERROR(INDEX('SKU Data'!$A$2:$A$1780,MATCH($A85,'SKU Data'!$V$2:$V$1780,0)),"")</f>
        <v>AUSGF16-115</v>
      </c>
      <c r="D85" s="27" t="str">
        <f aca="false">IFERROR(INDEX('SKU Data'!$B$2:$B$1780,MATCH($A85,'SKU Data'!$V$2:$V$1780,0)),"")</f>
        <v>Delicate Elegance</v>
      </c>
      <c r="E85" s="18" t="str">
        <f aca="false">IFERROR(INDEX('SKU Data'!$D$2:$D$1780,MATCH($A85,'SKU Data'!$V$2:$V$1780,0)),"")</f>
        <v>AUSGF</v>
      </c>
      <c r="F85" s="19" t="n">
        <f aca="false">IFERROR(INDEX('SKU Data'!$E$2:$E$1780,MATCH($A85,'SKU Data'!$V$2:$V$1780,0)),"")</f>
        <v>11490</v>
      </c>
      <c r="G85" s="19" t="n">
        <f aca="false">IFERROR(INDEX('SKU Data'!$F$2:$F$1780,MATCH($A85,'SKU Data'!$V$2:$V$1780,0)),"")</f>
        <v>419</v>
      </c>
      <c r="H85" s="20" t="n">
        <f aca="false">IFERROR(INDEX('SKU Data'!$J$2:$J$1780,MATCH($A85,'SKU Data'!$V$2:$V$1780,0)),"")</f>
        <v>0.0364664926022628</v>
      </c>
      <c r="I85" s="21" t="n">
        <f aca="false">IFERROR(INDEX('SKU Data'!$H$2:$H$1780,MATCH($A85,'SKU Data'!$V$2:$V$1780,0)),"")</f>
        <v>25834.89</v>
      </c>
      <c r="J85" s="20" t="n">
        <f aca="false">IFERROR(INDEX('SKU Data'!$K$2:$K$1780,MATCH($A85,'SKU Data'!$V$2:$V$1780,0)),"")</f>
        <v>0.0354592138726753</v>
      </c>
      <c r="K85" s="22" t="n">
        <f aca="false">IFERROR(INDEX('SKU Data'!$L$2:$L$1780,MATCH($A85,'SKU Data'!$V$2:$V$1780,0)),"")</f>
        <v>0.0516317109069141</v>
      </c>
      <c r="L85" s="22" t="n">
        <f aca="false">IFERROR(INDEX('SKU Data'!$M$2:$M$1780,MATCH($A85,'SKU Data'!$V$2:$V$1780,0)),"")</f>
        <v>0.00200567619104199</v>
      </c>
      <c r="M85" s="28" t="n">
        <f aca="false">IFERROR(H85/Settings!$B$3,"")</f>
        <v>1.1768642226111</v>
      </c>
      <c r="N85" s="29" t="n">
        <f aca="false">IFERROR(INDEX('SKU Data'!$O$2:$O$1780,MATCH($A85,'SKU Data'!$V$2:$V$1780,0)),"")</f>
        <v>3.39014933322057</v>
      </c>
      <c r="O85" s="23" t="str">
        <f aca="false">IFERROR(INDEX('SKU Data'!$X$2:$X$1780,MATCH($A85,'SKU Data'!$V$2:$V$1780,0)),"")</f>
        <v>HIGH RATE</v>
      </c>
    </row>
    <row r="86" customFormat="false" ht="15" hidden="false" customHeight="false" outlineLevel="0" collapsed="false">
      <c r="A86" s="18" t="n">
        <v>82</v>
      </c>
      <c r="B86" s="23" t="str">
        <f aca="false">IFERROR(INDEX('SKU Data'!$W$2:$W$1780,MATCH($A86,'SKU Data'!$V$2:$V$1780,0)),"")</f>
        <v>2 - Review</v>
      </c>
      <c r="C86" s="18" t="str">
        <f aca="false">IFERROR(INDEX('SKU Data'!$A$2:$A$1780,MATCH($A86,'SKU Data'!$V$2:$V$1780,0)),"")</f>
        <v>AUMJ-NW-003</v>
      </c>
      <c r="D86" s="27" t="str">
        <f aca="false">IFERROR(INDEX('SKU Data'!$B$2:$B$1780,MATCH($A86,'SKU Data'!$V$2:$V$1780,0)),"")</f>
        <v>50 Blooms of Surprise Bud Roses in Mason Jar</v>
      </c>
      <c r="E86" s="18" t="str">
        <f aca="false">IFERROR(INDEX('SKU Data'!$D$2:$D$1780,MATCH($A86,'SKU Data'!$V$2:$V$1780,0)),"")</f>
        <v>AUMJ</v>
      </c>
      <c r="F86" s="19" t="n">
        <f aca="false">IFERROR(INDEX('SKU Data'!$E$2:$E$1780,MATCH($A86,'SKU Data'!$V$2:$V$1780,0)),"")</f>
        <v>2769</v>
      </c>
      <c r="G86" s="19" t="n">
        <f aca="false">IFERROR(INDEX('SKU Data'!$F$2:$F$1780,MATCH($A86,'SKU Data'!$V$2:$V$1780,0)),"")</f>
        <v>106</v>
      </c>
      <c r="H86" s="20" t="n">
        <f aca="false">IFERROR(INDEX('SKU Data'!$J$2:$J$1780,MATCH($A86,'SKU Data'!$V$2:$V$1780,0)),"")</f>
        <v>0.0382809678584327</v>
      </c>
      <c r="I86" s="21" t="n">
        <f aca="false">IFERROR(INDEX('SKU Data'!$H$2:$H$1780,MATCH($A86,'SKU Data'!$V$2:$V$1780,0)),"")</f>
        <v>8978.84</v>
      </c>
      <c r="J86" s="20" t="n">
        <f aca="false">IFERROR(INDEX('SKU Data'!$K$2:$K$1780,MATCH($A86,'SKU Data'!$V$2:$V$1780,0)),"")</f>
        <v>0.0374015821830167</v>
      </c>
      <c r="K86" s="22" t="n">
        <f aca="false">IFERROR(INDEX('SKU Data'!$L$2:$L$1780,MATCH($A86,'SKU Data'!$V$2:$V$1780,0)),"")</f>
        <v>0.0179444491987168</v>
      </c>
      <c r="L86" s="22" t="n">
        <f aca="false">IFERROR(INDEX('SKU Data'!$M$2:$M$1780,MATCH($A86,'SKU Data'!$V$2:$V$1780,0)),"")</f>
        <v>0.000697066858468353</v>
      </c>
      <c r="M86" s="28" t="n">
        <f aca="false">IFERROR(H86/Settings!$B$3,"")</f>
        <v>1.2354218424812</v>
      </c>
      <c r="N86" s="29" t="n">
        <f aca="false">IFERROR(INDEX('SKU Data'!$O$2:$O$1780,MATCH($A86,'SKU Data'!$V$2:$V$1780,0)),"")</f>
        <v>2.21527199475757</v>
      </c>
      <c r="O86" s="23" t="str">
        <f aca="false">IFERROR(INDEX('SKU Data'!$X$2:$X$1780,MATCH($A86,'SKU Data'!$V$2:$V$1780,0)),"")</f>
        <v/>
      </c>
    </row>
    <row r="87" customFormat="false" ht="15" hidden="false" customHeight="false" outlineLevel="0" collapsed="false">
      <c r="A87" s="18" t="n">
        <v>83</v>
      </c>
      <c r="B87" s="23" t="str">
        <f aca="false">IFERROR(INDEX('SKU Data'!$W$2:$W$1780,MATCH($A87,'SKU Data'!$V$2:$V$1780,0)),"")</f>
        <v>2 - Review</v>
      </c>
      <c r="C87" s="18" t="str">
        <f aca="false">IFERROR(INDEX('SKU Data'!$A$2:$A$1780,MATCH($A87,'SKU Data'!$V$2:$V$1780,0)),"")</f>
        <v>MJ100-09</v>
      </c>
      <c r="D87" s="27" t="str">
        <f aca="false">IFERROR(INDEX('SKU Data'!$B$2:$B$1780,MATCH($A87,'SKU Data'!$V$2:$V$1780,0)),"")</f>
        <v>Autumn Breeze In Mason Jar</v>
      </c>
      <c r="E87" s="18" t="str">
        <f aca="false">IFERROR(INDEX('SKU Data'!$D$2:$D$1780,MATCH($A87,'SKU Data'!$V$2:$V$1780,0)),"")</f>
        <v>MJ</v>
      </c>
      <c r="F87" s="19" t="n">
        <f aca="false">IFERROR(INDEX('SKU Data'!$E$2:$E$1780,MATCH($A87,'SKU Data'!$V$2:$V$1780,0)),"")</f>
        <v>496</v>
      </c>
      <c r="G87" s="19" t="n">
        <f aca="false">IFERROR(INDEX('SKU Data'!$F$2:$F$1780,MATCH($A87,'SKU Data'!$V$2:$V$1780,0)),"")</f>
        <v>25</v>
      </c>
      <c r="H87" s="20" t="n">
        <f aca="false">IFERROR(INDEX('SKU Data'!$J$2:$J$1780,MATCH($A87,'SKU Data'!$V$2:$V$1780,0)),"")</f>
        <v>0.0504032258064516</v>
      </c>
      <c r="I87" s="21" t="n">
        <f aca="false">IFERROR(INDEX('SKU Data'!$H$2:$H$1780,MATCH($A87,'SKU Data'!$V$2:$V$1780,0)),"")</f>
        <v>1085.57</v>
      </c>
      <c r="J87" s="20" t="n">
        <f aca="false">IFERROR(INDEX('SKU Data'!$K$2:$K$1780,MATCH($A87,'SKU Data'!$V$2:$V$1780,0)),"")</f>
        <v>0.0493363316496587</v>
      </c>
      <c r="K87" s="22" t="n">
        <f aca="false">IFERROR(INDEX('SKU Data'!$L$2:$L$1780,MATCH($A87,'SKU Data'!$V$2:$V$1780,0)),"")</f>
        <v>0.00216954035450582</v>
      </c>
      <c r="L87" s="22" t="n">
        <f aca="false">IFERROR(INDEX('SKU Data'!$M$2:$M$1780,MATCH($A87,'SKU Data'!$V$2:$V$1780,0)),"")</f>
        <v>8.42775758948249E-005</v>
      </c>
      <c r="M87" s="28" t="n">
        <f aca="false">IFERROR(H87/Settings!$B$3,"")</f>
        <v>1.626637192745</v>
      </c>
      <c r="N87" s="29" t="n">
        <f aca="false">IFERROR(INDEX('SKU Data'!$O$2:$O$1780,MATCH($A87,'SKU Data'!$V$2:$V$1780,0)),"")</f>
        <v>2.49560490908794</v>
      </c>
      <c r="O87" s="23" t="str">
        <f aca="false">IFERROR(INDEX('SKU Data'!$X$2:$X$1780,MATCH($A87,'SKU Data'!$V$2:$V$1780,0)),"")</f>
        <v/>
      </c>
    </row>
    <row r="88" customFormat="false" ht="15" hidden="false" customHeight="false" outlineLevel="0" collapsed="false">
      <c r="A88" s="18" t="n">
        <v>84</v>
      </c>
      <c r="B88" s="23" t="str">
        <f aca="false">IFERROR(INDEX('SKU Data'!$W$2:$W$1780,MATCH($A88,'SKU Data'!$V$2:$V$1780,0)),"")</f>
        <v>2 - Review</v>
      </c>
      <c r="C88" s="18" t="str">
        <f aca="false">IFERROR(INDEX('SKU Data'!$A$2:$A$1780,MATCH($A88,'SKU Data'!$V$2:$V$1780,0)),"")</f>
        <v>AUBC-01</v>
      </c>
      <c r="D88" s="27" t="str">
        <f aca="false">IFERROR(INDEX('SKU Data'!$B$2:$B$1780,MATCH($A88,'SKU Data'!$V$2:$V$1780,0)),"")</f>
        <v>Birthday Combo I</v>
      </c>
      <c r="E88" s="18" t="str">
        <f aca="false">IFERROR(INDEX('SKU Data'!$D$2:$D$1780,MATCH($A88,'SKU Data'!$V$2:$V$1780,0)),"")</f>
        <v>AUBC</v>
      </c>
      <c r="F88" s="19" t="n">
        <f aca="false">IFERROR(INDEX('SKU Data'!$E$2:$E$1780,MATCH($A88,'SKU Data'!$V$2:$V$1780,0)),"")</f>
        <v>483</v>
      </c>
      <c r="G88" s="19" t="n">
        <f aca="false">IFERROR(INDEX('SKU Data'!$F$2:$F$1780,MATCH($A88,'SKU Data'!$V$2:$V$1780,0)),"")</f>
        <v>23</v>
      </c>
      <c r="H88" s="20" t="n">
        <f aca="false">IFERROR(INDEX('SKU Data'!$J$2:$J$1780,MATCH($A88,'SKU Data'!$V$2:$V$1780,0)),"")</f>
        <v>0.0476190476190476</v>
      </c>
      <c r="I88" s="21" t="n">
        <f aca="false">IFERROR(INDEX('SKU Data'!$H$2:$H$1780,MATCH($A88,'SKU Data'!$V$2:$V$1780,0)),"")</f>
        <v>2285.51</v>
      </c>
      <c r="J88" s="20" t="n">
        <f aca="false">IFERROR(INDEX('SKU Data'!$K$2:$K$1780,MATCH($A88,'SKU Data'!$V$2:$V$1780,0)),"")</f>
        <v>0.0452643730837489</v>
      </c>
      <c r="K88" s="22" t="n">
        <f aca="false">IFERROR(INDEX('SKU Data'!$L$2:$L$1780,MATCH($A88,'SKU Data'!$V$2:$V$1780,0)),"")</f>
        <v>0.0045676521786956</v>
      </c>
      <c r="L88" s="22" t="n">
        <f aca="false">IFERROR(INDEX('SKU Data'!$M$2:$M$1780,MATCH($A88,'SKU Data'!$V$2:$V$1780,0)),"")</f>
        <v>0.000177434198147868</v>
      </c>
      <c r="M88" s="28" t="n">
        <f aca="false">IFERROR(H88/Settings!$B$3,"")</f>
        <v>1.53678485257433</v>
      </c>
      <c r="N88" s="29" t="n">
        <f aca="false">IFERROR(INDEX('SKU Data'!$O$2:$O$1780,MATCH($A88,'SKU Data'!$V$2:$V$1780,0)),"")</f>
        <v>2.10956369370374</v>
      </c>
      <c r="O88" s="23" t="str">
        <f aca="false">IFERROR(INDEX('SKU Data'!$X$2:$X$1780,MATCH($A88,'SKU Data'!$V$2:$V$1780,0)),"")</f>
        <v/>
      </c>
    </row>
    <row r="89" customFormat="false" ht="15" hidden="false" customHeight="false" outlineLevel="0" collapsed="false">
      <c r="A89" s="18" t="n">
        <v>85</v>
      </c>
      <c r="B89" s="23" t="str">
        <f aca="false">IFERROR(INDEX('SKU Data'!$W$2:$W$1780,MATCH($A89,'SKU Data'!$V$2:$V$1780,0)),"")</f>
        <v>2 - Review</v>
      </c>
      <c r="C89" s="18" t="str">
        <f aca="false">IFERROR(INDEX('SKU Data'!$A$2:$A$1780,MATCH($A89,'SKU Data'!$V$2:$V$1780,0)),"")</f>
        <v>AU224-50</v>
      </c>
      <c r="D89" s="27" t="str">
        <f aca="false">IFERROR(INDEX('SKU Data'!$B$2:$B$1780,MATCH($A89,'SKU Data'!$V$2:$V$1780,0)),"")</f>
        <v>Colourful Sensation</v>
      </c>
      <c r="E89" s="18" t="str">
        <f aca="false">IFERROR(INDEX('SKU Data'!$D$2:$D$1780,MATCH($A89,'SKU Data'!$V$2:$V$1780,0)),"")</f>
        <v>AU</v>
      </c>
      <c r="F89" s="19" t="n">
        <f aca="false">IFERROR(INDEX('SKU Data'!$E$2:$E$1780,MATCH($A89,'SKU Data'!$V$2:$V$1780,0)),"")</f>
        <v>73</v>
      </c>
      <c r="G89" s="19" t="n">
        <f aca="false">IFERROR(INDEX('SKU Data'!$F$2:$F$1780,MATCH($A89,'SKU Data'!$V$2:$V$1780,0)),"")</f>
        <v>6</v>
      </c>
      <c r="H89" s="20" t="n">
        <f aca="false">IFERROR(INDEX('SKU Data'!$J$2:$J$1780,MATCH($A89,'SKU Data'!$V$2:$V$1780,0)),"")</f>
        <v>0.0821917808219178</v>
      </c>
      <c r="I89" s="21" t="n">
        <f aca="false">IFERROR(INDEX('SKU Data'!$H$2:$H$1780,MATCH($A89,'SKU Data'!$V$2:$V$1780,0)),"")</f>
        <v>608.81</v>
      </c>
      <c r="J89" s="20" t="n">
        <f aca="false">IFERROR(INDEX('SKU Data'!$K$2:$K$1780,MATCH($A89,'SKU Data'!$V$2:$V$1780,0)),"")</f>
        <v>0.0802499729780318</v>
      </c>
      <c r="K89" s="22" t="n">
        <f aca="false">IFERROR(INDEX('SKU Data'!$L$2:$L$1780,MATCH($A89,'SKU Data'!$V$2:$V$1780,0)),"")</f>
        <v>0.00121672288588178</v>
      </c>
      <c r="L89" s="22" t="n">
        <f aca="false">IFERROR(INDEX('SKU Data'!$M$2:$M$1780,MATCH($A89,'SKU Data'!$V$2:$V$1780,0)),"")</f>
        <v>4.72645992248573E-005</v>
      </c>
      <c r="M89" s="28" t="n">
        <f aca="false">IFERROR(H89/Settings!$B$3,"")</f>
        <v>2.65253275923788</v>
      </c>
      <c r="N89" s="29" t="n">
        <f aca="false">IFERROR(INDEX('SKU Data'!$O$2:$O$1780,MATCH($A89,'SKU Data'!$V$2:$V$1780,0)),"")</f>
        <v>2.52481948212005</v>
      </c>
      <c r="O89" s="23" t="str">
        <f aca="false">IFERROR(INDEX('SKU Data'!$X$2:$X$1780,MATCH($A89,'SKU Data'!$V$2:$V$1780,0)),"")</f>
        <v/>
      </c>
    </row>
    <row r="90" customFormat="false" ht="15" hidden="false" customHeight="false" outlineLevel="0" collapsed="false">
      <c r="A90" s="18" t="n">
        <v>86</v>
      </c>
      <c r="B90" s="23" t="str">
        <f aca="false">IFERROR(INDEX('SKU Data'!$W$2:$W$1780,MATCH($A90,'SKU Data'!$V$2:$V$1780,0)),"")</f>
        <v>2 - Review</v>
      </c>
      <c r="C90" s="18" t="str">
        <f aca="false">IFERROR(INDEX('SKU Data'!$A$2:$A$1780,MATCH($A90,'SKU Data'!$V$2:$V$1780,0)),"")</f>
        <v>AU101-34</v>
      </c>
      <c r="D90" s="27" t="str">
        <f aca="false">IFERROR(INDEX('SKU Data'!$B$2:$B$1780,MATCH($A90,'SKU Data'!$V$2:$V$1780,0)),"")</f>
        <v>Inspiration</v>
      </c>
      <c r="E90" s="18" t="str">
        <f aca="false">IFERROR(INDEX('SKU Data'!$D$2:$D$1780,MATCH($A90,'SKU Data'!$V$2:$V$1780,0)),"")</f>
        <v>AU</v>
      </c>
      <c r="F90" s="19" t="n">
        <f aca="false">IFERROR(INDEX('SKU Data'!$E$2:$E$1780,MATCH($A90,'SKU Data'!$V$2:$V$1780,0)),"")</f>
        <v>74</v>
      </c>
      <c r="G90" s="19" t="n">
        <f aca="false">IFERROR(INDEX('SKU Data'!$F$2:$F$1780,MATCH($A90,'SKU Data'!$V$2:$V$1780,0)),"")</f>
        <v>6</v>
      </c>
      <c r="H90" s="20" t="n">
        <f aca="false">IFERROR(INDEX('SKU Data'!$J$2:$J$1780,MATCH($A90,'SKU Data'!$V$2:$V$1780,0)),"")</f>
        <v>0.0810810810810811</v>
      </c>
      <c r="I90" s="21" t="n">
        <f aca="false">IFERROR(INDEX('SKU Data'!$H$2:$H$1780,MATCH($A90,'SKU Data'!$V$2:$V$1780,0)),"")</f>
        <v>602.71</v>
      </c>
      <c r="J90" s="20" t="n">
        <f aca="false">IFERROR(INDEX('SKU Data'!$K$2:$K$1780,MATCH($A90,'SKU Data'!$V$2:$V$1780,0)),"")</f>
        <v>0.0778032656949703</v>
      </c>
      <c r="K90" s="22" t="n">
        <f aca="false">IFERROR(INDEX('SKU Data'!$L$2:$L$1780,MATCH($A90,'SKU Data'!$V$2:$V$1780,0)),"")</f>
        <v>0.00120453187455825</v>
      </c>
      <c r="L90" s="22" t="n">
        <f aca="false">IFERROR(INDEX('SKU Data'!$M$2:$M$1780,MATCH($A90,'SKU Data'!$V$2:$V$1780,0)),"")</f>
        <v>4.67910293832456E-005</v>
      </c>
      <c r="M90" s="28" t="n">
        <f aca="false">IFERROR(H90/Settings!$B$3,"")</f>
        <v>2.61668772195088</v>
      </c>
      <c r="N90" s="29" t="n">
        <f aca="false">IFERROR(INDEX('SKU Data'!$O$2:$O$1780,MATCH($A90,'SKU Data'!$V$2:$V$1780,0)),"")</f>
        <v>2.48691433088587</v>
      </c>
      <c r="O90" s="23" t="str">
        <f aca="false">IFERROR(INDEX('SKU Data'!$X$2:$X$1780,MATCH($A90,'SKU Data'!$V$2:$V$1780,0)),"")</f>
        <v/>
      </c>
    </row>
    <row r="91" customFormat="false" ht="15" hidden="false" customHeight="false" outlineLevel="0" collapsed="false">
      <c r="A91" s="18" t="n">
        <v>87</v>
      </c>
      <c r="B91" s="23" t="str">
        <f aca="false">IFERROR(INDEX('SKU Data'!$W$2:$W$1780,MATCH($A91,'SKU Data'!$V$2:$V$1780,0)),"")</f>
        <v>2 - Review</v>
      </c>
      <c r="C91" s="18" t="str">
        <f aca="false">IFERROR(INDEX('SKU Data'!$A$2:$A$1780,MATCH($A91,'SKU Data'!$V$2:$V$1780,0)),"")</f>
        <v>AUMJ-NW-004</v>
      </c>
      <c r="D91" s="27" t="str">
        <f aca="false">IFERROR(INDEX('SKU Data'!$B$2:$B$1780,MATCH($A91,'SKU Data'!$V$2:$V$1780,0)),"")</f>
        <v>Sending Solace Bouquet in Mason Jar</v>
      </c>
      <c r="E91" s="18" t="str">
        <f aca="false">IFERROR(INDEX('SKU Data'!$D$2:$D$1780,MATCH($A91,'SKU Data'!$V$2:$V$1780,0)),"")</f>
        <v>AUMJ</v>
      </c>
      <c r="F91" s="19" t="n">
        <f aca="false">IFERROR(INDEX('SKU Data'!$E$2:$E$1780,MATCH($A91,'SKU Data'!$V$2:$V$1780,0)),"")</f>
        <v>512</v>
      </c>
      <c r="G91" s="19" t="n">
        <f aca="false">IFERROR(INDEX('SKU Data'!$F$2:$F$1780,MATCH($A91,'SKU Data'!$V$2:$V$1780,0)),"")</f>
        <v>24</v>
      </c>
      <c r="H91" s="20" t="n">
        <f aca="false">IFERROR(INDEX('SKU Data'!$J$2:$J$1780,MATCH($A91,'SKU Data'!$V$2:$V$1780,0)),"")</f>
        <v>0.046875</v>
      </c>
      <c r="I91" s="21" t="n">
        <f aca="false">IFERROR(INDEX('SKU Data'!$H$2:$H$1780,MATCH($A91,'SKU Data'!$V$2:$V$1780,0)),"")</f>
        <v>2079.38</v>
      </c>
      <c r="J91" s="20" t="n">
        <f aca="false">IFERROR(INDEX('SKU Data'!$K$2:$K$1780,MATCH($A91,'SKU Data'!$V$2:$V$1780,0)),"")</f>
        <v>0.0455777496728602</v>
      </c>
      <c r="K91" s="22" t="n">
        <f aca="false">IFERROR(INDEX('SKU Data'!$L$2:$L$1780,MATCH($A91,'SKU Data'!$V$2:$V$1780,0)),"")</f>
        <v>0.00415569592228258</v>
      </c>
      <c r="L91" s="22" t="n">
        <f aca="false">IFERROR(INDEX('SKU Data'!$M$2:$M$1780,MATCH($A91,'SKU Data'!$V$2:$V$1780,0)),"")</f>
        <v>0.000161431419221405</v>
      </c>
      <c r="M91" s="28" t="n">
        <f aca="false">IFERROR(H91/Settings!$B$3,"")</f>
        <v>1.51277258925285</v>
      </c>
      <c r="N91" s="29" t="n">
        <f aca="false">IFERROR(INDEX('SKU Data'!$O$2:$O$1780,MATCH($A91,'SKU Data'!$V$2:$V$1780,0)),"")</f>
        <v>2.07481131163016</v>
      </c>
      <c r="O91" s="23" t="str">
        <f aca="false">IFERROR(INDEX('SKU Data'!$X$2:$X$1780,MATCH($A91,'SKU Data'!$V$2:$V$1780,0)),"")</f>
        <v/>
      </c>
    </row>
    <row r="92" customFormat="false" ht="15" hidden="false" customHeight="false" outlineLevel="0" collapsed="false">
      <c r="A92" s="18" t="n">
        <v>88</v>
      </c>
      <c r="B92" s="23" t="str">
        <f aca="false">IFERROR(INDEX('SKU Data'!$W$2:$W$1780,MATCH($A92,'SKU Data'!$V$2:$V$1780,0)),"")</f>
        <v>2 - Review</v>
      </c>
      <c r="C92" s="18" t="str">
        <f aca="false">IFERROR(INDEX('SKU Data'!$A$2:$A$1780,MATCH($A92,'SKU Data'!$V$2:$V$1780,0)),"")</f>
        <v>GF16-115</v>
      </c>
      <c r="D92" s="27" t="str">
        <f aca="false">IFERROR(INDEX('SKU Data'!$B$2:$B$1780,MATCH($A92,'SKU Data'!$V$2:$V$1780,0)),"")</f>
        <v>Delicate Elegance</v>
      </c>
      <c r="E92" s="18" t="str">
        <f aca="false">IFERROR(INDEX('SKU Data'!$D$2:$D$1780,MATCH($A92,'SKU Data'!$V$2:$V$1780,0)),"")</f>
        <v>GF</v>
      </c>
      <c r="F92" s="19" t="n">
        <f aca="false">IFERROR(INDEX('SKU Data'!$E$2:$E$1780,MATCH($A92,'SKU Data'!$V$2:$V$1780,0)),"")</f>
        <v>685</v>
      </c>
      <c r="G92" s="19" t="n">
        <f aca="false">IFERROR(INDEX('SKU Data'!$F$2:$F$1780,MATCH($A92,'SKU Data'!$V$2:$V$1780,0)),"")</f>
        <v>31</v>
      </c>
      <c r="H92" s="20" t="n">
        <f aca="false">IFERROR(INDEX('SKU Data'!$J$2:$J$1780,MATCH($A92,'SKU Data'!$V$2:$V$1780,0)),"")</f>
        <v>0.0452554744525548</v>
      </c>
      <c r="I92" s="21" t="n">
        <f aca="false">IFERROR(INDEX('SKU Data'!$H$2:$H$1780,MATCH($A92,'SKU Data'!$V$2:$V$1780,0)),"")</f>
        <v>2403.45</v>
      </c>
      <c r="J92" s="20" t="n">
        <f aca="false">IFERROR(INDEX('SKU Data'!$K$2:$K$1780,MATCH($A92,'SKU Data'!$V$2:$V$1780,0)),"")</f>
        <v>0.0437127133801334</v>
      </c>
      <c r="K92" s="22" t="n">
        <f aca="false">IFERROR(INDEX('SKU Data'!$L$2:$L$1780,MATCH($A92,'SKU Data'!$V$2:$V$1780,0)),"")</f>
        <v>0.00480335838779351</v>
      </c>
      <c r="L92" s="22" t="n">
        <f aca="false">IFERROR(INDEX('SKU Data'!$M$2:$M$1780,MATCH($A92,'SKU Data'!$V$2:$V$1780,0)),"")</f>
        <v>0.00018659039931503</v>
      </c>
      <c r="M92" s="28" t="n">
        <f aca="false">IFERROR(H92/Settings!$B$3,"")</f>
        <v>1.46050648032976</v>
      </c>
      <c r="N92" s="29" t="n">
        <f aca="false">IFERROR(INDEX('SKU Data'!$O$2:$O$1780,MATCH($A92,'SKU Data'!$V$2:$V$1780,0)),"")</f>
        <v>2.15526093315444</v>
      </c>
      <c r="O92" s="23" t="str">
        <f aca="false">IFERROR(INDEX('SKU Data'!$X$2:$X$1780,MATCH($A92,'SKU Data'!$V$2:$V$1780,0)),"")</f>
        <v/>
      </c>
    </row>
    <row r="93" customFormat="false" ht="15" hidden="false" customHeight="false" outlineLevel="0" collapsed="false">
      <c r="A93" s="18" t="n">
        <v>89</v>
      </c>
      <c r="B93" s="23" t="str">
        <f aca="false">IFERROR(INDEX('SKU Data'!$W$2:$W$1780,MATCH($A93,'SKU Data'!$V$2:$V$1780,0)),"")</f>
        <v>2 - Review</v>
      </c>
      <c r="C93" s="18" t="str">
        <f aca="false">IFERROR(INDEX('SKU Data'!$A$2:$A$1780,MATCH($A93,'SKU Data'!$V$2:$V$1780,0)),"")</f>
        <v>AU111-22</v>
      </c>
      <c r="D93" s="27" t="str">
        <f aca="false">IFERROR(INDEX('SKU Data'!$B$2:$B$1780,MATCH($A93,'SKU Data'!$V$2:$V$1780,0)),"")</f>
        <v>Enchanted Cottage</v>
      </c>
      <c r="E93" s="18" t="str">
        <f aca="false">IFERROR(INDEX('SKU Data'!$D$2:$D$1780,MATCH($A93,'SKU Data'!$V$2:$V$1780,0)),"")</f>
        <v>AU</v>
      </c>
      <c r="F93" s="19" t="n">
        <f aca="false">IFERROR(INDEX('SKU Data'!$E$2:$E$1780,MATCH($A93,'SKU Data'!$V$2:$V$1780,0)),"")</f>
        <v>647</v>
      </c>
      <c r="G93" s="19" t="n">
        <f aca="false">IFERROR(INDEX('SKU Data'!$F$2:$F$1780,MATCH($A93,'SKU Data'!$V$2:$V$1780,0)),"")</f>
        <v>30</v>
      </c>
      <c r="H93" s="20" t="n">
        <f aca="false">IFERROR(INDEX('SKU Data'!$J$2:$J$1780,MATCH($A93,'SKU Data'!$V$2:$V$1780,0)),"")</f>
        <v>0.0463678516228748</v>
      </c>
      <c r="I93" s="21" t="n">
        <f aca="false">IFERROR(INDEX('SKU Data'!$H$2:$H$1780,MATCH($A93,'SKU Data'!$V$2:$V$1780,0)),"")</f>
        <v>1929.03</v>
      </c>
      <c r="J93" s="20" t="n">
        <f aca="false">IFERROR(INDEX('SKU Data'!$K$2:$K$1780,MATCH($A93,'SKU Data'!$V$2:$V$1780,0)),"")</f>
        <v>0.0419426288552537</v>
      </c>
      <c r="K93" s="22" t="n">
        <f aca="false">IFERROR(INDEX('SKU Data'!$L$2:$L$1780,MATCH($A93,'SKU Data'!$V$2:$V$1780,0)),"")</f>
        <v>0.00385521747105424</v>
      </c>
      <c r="L93" s="22" t="n">
        <f aca="false">IFERROR(INDEX('SKU Data'!$M$2:$M$1780,MATCH($A93,'SKU Data'!$V$2:$V$1780,0)),"")</f>
        <v>0.000149759087141681</v>
      </c>
      <c r="M93" s="28" t="n">
        <f aca="false">IFERROR(H93/Settings!$B$3,"")</f>
        <v>1.49640565242941</v>
      </c>
      <c r="N93" s="29" t="n">
        <f aca="false">IFERROR(INDEX('SKU Data'!$O$2:$O$1780,MATCH($A93,'SKU Data'!$V$2:$V$1780,0)),"")</f>
        <v>2.25791549237275</v>
      </c>
      <c r="O93" s="23" t="str">
        <f aca="false">IFERROR(INDEX('SKU Data'!$X$2:$X$1780,MATCH($A93,'SKU Data'!$V$2:$V$1780,0)),"")</f>
        <v/>
      </c>
    </row>
    <row r="94" customFormat="false" ht="15" hidden="false" customHeight="false" outlineLevel="0" collapsed="false">
      <c r="A94" s="18" t="n">
        <v>90</v>
      </c>
      <c r="B94" s="23" t="str">
        <f aca="false">IFERROR(INDEX('SKU Data'!$W$2:$W$1780,MATCH($A94,'SKU Data'!$V$2:$V$1780,0)),"")</f>
        <v>2 - Review</v>
      </c>
      <c r="C94" s="18" t="str">
        <f aca="false">IFERROR(INDEX('SKU Data'!$A$2:$A$1780,MATCH($A94,'SKU Data'!$V$2:$V$1780,0)),"")</f>
        <v>SB-04</v>
      </c>
      <c r="D94" s="27" t="str">
        <f aca="false">IFERROR(INDEX('SKU Data'!$B$2:$B$1780,MATCH($A94,'SKU Data'!$V$2:$V$1780,0)),"")</f>
        <v>Sweet Blossoms Collection IV</v>
      </c>
      <c r="E94" s="18" t="str">
        <f aca="false">IFERROR(INDEX('SKU Data'!$D$2:$D$1780,MATCH($A94,'SKU Data'!$V$2:$V$1780,0)),"")</f>
        <v>SB</v>
      </c>
      <c r="F94" s="19" t="n">
        <f aca="false">IFERROR(INDEX('SKU Data'!$E$2:$E$1780,MATCH($A94,'SKU Data'!$V$2:$V$1780,0)),"")</f>
        <v>295</v>
      </c>
      <c r="G94" s="19" t="n">
        <f aca="false">IFERROR(INDEX('SKU Data'!$F$2:$F$1780,MATCH($A94,'SKU Data'!$V$2:$V$1780,0)),"")</f>
        <v>15</v>
      </c>
      <c r="H94" s="20" t="n">
        <f aca="false">IFERROR(INDEX('SKU Data'!$J$2:$J$1780,MATCH($A94,'SKU Data'!$V$2:$V$1780,0)),"")</f>
        <v>0.0508474576271187</v>
      </c>
      <c r="I94" s="21" t="n">
        <f aca="false">IFERROR(INDEX('SKU Data'!$H$2:$H$1780,MATCH($A94,'SKU Data'!$V$2:$V$1780,0)),"")</f>
        <v>1383.44</v>
      </c>
      <c r="J94" s="20" t="n">
        <f aca="false">IFERROR(INDEX('SKU Data'!$K$2:$K$1780,MATCH($A94,'SKU Data'!$V$2:$V$1780,0)),"")</f>
        <v>0.0432069673827123</v>
      </c>
      <c r="K94" s="22" t="n">
        <f aca="false">IFERROR(INDEX('SKU Data'!$L$2:$L$1780,MATCH($A94,'SKU Data'!$V$2:$V$1780,0)),"")</f>
        <v>0.00276484142711896</v>
      </c>
      <c r="L94" s="22" t="n">
        <f aca="false">IFERROR(INDEX('SKU Data'!$M$2:$M$1780,MATCH($A94,'SKU Data'!$V$2:$V$1780,0)),"")</f>
        <v>0.000107402534701527</v>
      </c>
      <c r="M94" s="28" t="n">
        <f aca="false">IFERROR(H94/Settings!$B$3,"")</f>
        <v>1.64097365613869</v>
      </c>
      <c r="N94" s="29" t="n">
        <f aca="false">IFERROR(INDEX('SKU Data'!$O$2:$O$1780,MATCH($A94,'SKU Data'!$V$2:$V$1780,0)),"")</f>
        <v>1.96865681019967</v>
      </c>
      <c r="O94" s="23" t="str">
        <f aca="false">IFERROR(INDEX('SKU Data'!$X$2:$X$1780,MATCH($A94,'SKU Data'!$V$2:$V$1780,0)),"")</f>
        <v/>
      </c>
    </row>
    <row r="95" customFormat="false" ht="15" hidden="false" customHeight="false" outlineLevel="0" collapsed="false">
      <c r="A95" s="18" t="n">
        <v>91</v>
      </c>
      <c r="B95" s="23" t="str">
        <f aca="false">IFERROR(INDEX('SKU Data'!$W$2:$W$1780,MATCH($A95,'SKU Data'!$V$2:$V$1780,0)),"")</f>
        <v>2 - Review</v>
      </c>
      <c r="C95" s="18" t="str">
        <f aca="false">IFERROR(INDEX('SKU Data'!$A$2:$A$1780,MATCH($A95,'SKU Data'!$V$2:$V$1780,0)),"")</f>
        <v>AU11-56</v>
      </c>
      <c r="D95" s="27" t="str">
        <f aca="false">IFERROR(INDEX('SKU Data'!$B$2:$B$1780,MATCH($A95,'SKU Data'!$V$2:$V$1780,0)),"")</f>
        <v>Dozen Red Roses</v>
      </c>
      <c r="E95" s="18" t="str">
        <f aca="false">IFERROR(INDEX('SKU Data'!$D$2:$D$1780,MATCH($A95,'SKU Data'!$V$2:$V$1780,0)),"")</f>
        <v>AU</v>
      </c>
      <c r="F95" s="19" t="n">
        <f aca="false">IFERROR(INDEX('SKU Data'!$E$2:$E$1780,MATCH($A95,'SKU Data'!$V$2:$V$1780,0)),"")</f>
        <v>328</v>
      </c>
      <c r="G95" s="19" t="n">
        <f aca="false">IFERROR(INDEX('SKU Data'!$F$2:$F$1780,MATCH($A95,'SKU Data'!$V$2:$V$1780,0)),"")</f>
        <v>16</v>
      </c>
      <c r="H95" s="20" t="n">
        <f aca="false">IFERROR(INDEX('SKU Data'!$J$2:$J$1780,MATCH($A95,'SKU Data'!$V$2:$V$1780,0)),"")</f>
        <v>0.0487804878048781</v>
      </c>
      <c r="I95" s="21" t="n">
        <f aca="false">IFERROR(INDEX('SKU Data'!$H$2:$H$1780,MATCH($A95,'SKU Data'!$V$2:$V$1780,0)),"")</f>
        <v>1912.71</v>
      </c>
      <c r="J95" s="20" t="n">
        <f aca="false">IFERROR(INDEX('SKU Data'!$K$2:$K$1780,MATCH($A95,'SKU Data'!$V$2:$V$1780,0)),"")</f>
        <v>0.0458446973755264</v>
      </c>
      <c r="K95" s="22" t="n">
        <f aca="false">IFERROR(INDEX('SKU Data'!$L$2:$L$1780,MATCH($A95,'SKU Data'!$V$2:$V$1780,0)),"")</f>
        <v>0.00382260151944768</v>
      </c>
      <c r="L95" s="22" t="n">
        <f aca="false">IFERROR(INDEX('SKU Data'!$M$2:$M$1780,MATCH($A95,'SKU Data'!$V$2:$V$1780,0)),"")</f>
        <v>0.000148492093729369</v>
      </c>
      <c r="M95" s="28" t="n">
        <f aca="false">IFERROR(H95/Settings!$B$3,"")</f>
        <v>1.57426740995419</v>
      </c>
      <c r="N95" s="29" t="n">
        <f aca="false">IFERROR(INDEX('SKU Data'!$O$2:$O$1780,MATCH($A95,'SKU Data'!$V$2:$V$1780,0)),"")</f>
        <v>1.85981573352277</v>
      </c>
      <c r="O95" s="23" t="str">
        <f aca="false">IFERROR(INDEX('SKU Data'!$X$2:$X$1780,MATCH($A95,'SKU Data'!$V$2:$V$1780,0)),"")</f>
        <v/>
      </c>
    </row>
    <row r="96" customFormat="false" ht="15" hidden="false" customHeight="false" outlineLevel="0" collapsed="false">
      <c r="A96" s="18" t="n">
        <v>92</v>
      </c>
      <c r="B96" s="23" t="str">
        <f aca="false">IFERROR(INDEX('SKU Data'!$W$2:$W$1780,MATCH($A96,'SKU Data'!$V$2:$V$1780,0)),"")</f>
        <v>2 - Review</v>
      </c>
      <c r="C96" s="18" t="str">
        <f aca="false">IFERROR(INDEX('SKU Data'!$A$2:$A$1780,MATCH($A96,'SKU Data'!$V$2:$V$1780,0)),"")</f>
        <v>AU0611-01</v>
      </c>
      <c r="D96" s="27" t="str">
        <f aca="false">IFERROR(INDEX('SKU Data'!$B$2:$B$1780,MATCH($A96,'SKU Data'!$V$2:$V$1780,0)),"")</f>
        <v>Beauty Bounty</v>
      </c>
      <c r="E96" s="18" t="str">
        <f aca="false">IFERROR(INDEX('SKU Data'!$D$2:$D$1780,MATCH($A96,'SKU Data'!$V$2:$V$1780,0)),"")</f>
        <v>AU</v>
      </c>
      <c r="F96" s="19" t="n">
        <f aca="false">IFERROR(INDEX('SKU Data'!$E$2:$E$1780,MATCH($A96,'SKU Data'!$V$2:$V$1780,0)),"")</f>
        <v>53</v>
      </c>
      <c r="G96" s="19" t="n">
        <f aca="false">IFERROR(INDEX('SKU Data'!$F$2:$F$1780,MATCH($A96,'SKU Data'!$V$2:$V$1780,0)),"")</f>
        <v>5</v>
      </c>
      <c r="H96" s="20" t="n">
        <f aca="false">IFERROR(INDEX('SKU Data'!$J$2:$J$1780,MATCH($A96,'SKU Data'!$V$2:$V$1780,0)),"")</f>
        <v>0.0943396226415094</v>
      </c>
      <c r="I96" s="21" t="n">
        <f aca="false">IFERROR(INDEX('SKU Data'!$H$2:$H$1780,MATCH($A96,'SKU Data'!$V$2:$V$1780,0)),"")</f>
        <v>549.35</v>
      </c>
      <c r="J96" s="20" t="n">
        <f aca="false">IFERROR(INDEX('SKU Data'!$K$2:$K$1780,MATCH($A96,'SKU Data'!$V$2:$V$1780,0)),"")</f>
        <v>0.083727827786025</v>
      </c>
      <c r="K96" s="22" t="n">
        <f aca="false">IFERROR(INDEX('SKU Data'!$L$2:$L$1780,MATCH($A96,'SKU Data'!$V$2:$V$1780,0)),"")</f>
        <v>0.00109789050337405</v>
      </c>
      <c r="L96" s="22" t="n">
        <f aca="false">IFERROR(INDEX('SKU Data'!$M$2:$M$1780,MATCH($A96,'SKU Data'!$V$2:$V$1780,0)),"")</f>
        <v>4.2648457785147E-005</v>
      </c>
      <c r="M96" s="28" t="n">
        <f aca="false">IFERROR(H96/Settings!$B$3,"")</f>
        <v>3.04457376453404</v>
      </c>
      <c r="N96" s="29" t="n">
        <f aca="false">IFERROR(INDEX('SKU Data'!$O$2:$O$1780,MATCH($A96,'SKU Data'!$V$2:$V$1780,0)),"")</f>
        <v>2.66170269049403</v>
      </c>
      <c r="O96" s="23" t="str">
        <f aca="false">IFERROR(INDEX('SKU Data'!$X$2:$X$1780,MATCH($A96,'SKU Data'!$V$2:$V$1780,0)),"")</f>
        <v/>
      </c>
    </row>
    <row r="97" customFormat="false" ht="15" hidden="false" customHeight="false" outlineLevel="0" collapsed="false">
      <c r="A97" s="18" t="n">
        <v>93</v>
      </c>
      <c r="B97" s="23" t="str">
        <f aca="false">IFERROR(INDEX('SKU Data'!$W$2:$W$1780,MATCH($A97,'SKU Data'!$V$2:$V$1780,0)),"")</f>
        <v>2 - Review</v>
      </c>
      <c r="C97" s="18" t="str">
        <f aca="false">IFERROR(INDEX('SKU Data'!$A$2:$A$1780,MATCH($A97,'SKU Data'!$V$2:$V$1780,0)),"")</f>
        <v>VDB-S1</v>
      </c>
      <c r="D97" s="27" t="str">
        <f aca="false">IFERROR(INDEX('SKU Data'!$B$2:$B$1780,MATCH($A97,'SKU Data'!$V$2:$V$1780,0)),"")</f>
        <v>Teddy, Rose &amp; Card Special</v>
      </c>
      <c r="E97" s="18" t="str">
        <f aca="false">IFERROR(INDEX('SKU Data'!$D$2:$D$1780,MATCH($A97,'SKU Data'!$V$2:$V$1780,0)),"")</f>
        <v>Other (small prefixes)</v>
      </c>
      <c r="F97" s="19" t="n">
        <f aca="false">IFERROR(INDEX('SKU Data'!$E$2:$E$1780,MATCH($A97,'SKU Data'!$V$2:$V$1780,0)),"")</f>
        <v>373</v>
      </c>
      <c r="G97" s="19" t="n">
        <f aca="false">IFERROR(INDEX('SKU Data'!$F$2:$F$1780,MATCH($A97,'SKU Data'!$V$2:$V$1780,0)),"")</f>
        <v>20</v>
      </c>
      <c r="H97" s="20" t="n">
        <f aca="false">IFERROR(INDEX('SKU Data'!$J$2:$J$1780,MATCH($A97,'SKU Data'!$V$2:$V$1780,0)),"")</f>
        <v>0.0536193029490617</v>
      </c>
      <c r="I97" s="21" t="n">
        <f aca="false">IFERROR(INDEX('SKU Data'!$H$2:$H$1780,MATCH($A97,'SKU Data'!$V$2:$V$1780,0)),"")</f>
        <v>709.32</v>
      </c>
      <c r="J97" s="20" t="n">
        <f aca="false">IFERROR(INDEX('SKU Data'!$K$2:$K$1780,MATCH($A97,'SKU Data'!$V$2:$V$1780,0)),"")</f>
        <v>0.0538691592759727</v>
      </c>
      <c r="K97" s="22" t="n">
        <f aca="false">IFERROR(INDEX('SKU Data'!$L$2:$L$1780,MATCH($A97,'SKU Data'!$V$2:$V$1780,0)),"")</f>
        <v>0.00141759477901754</v>
      </c>
      <c r="L97" s="22" t="n">
        <f aca="false">IFERROR(INDEX('SKU Data'!$M$2:$M$1780,MATCH($A97,'SKU Data'!$V$2:$V$1780,0)),"")</f>
        <v>5.50676327954137E-005</v>
      </c>
      <c r="M97" s="28" t="n">
        <f aca="false">IFERROR(H97/Settings!$B$3,"")</f>
        <v>1.73042798413195</v>
      </c>
      <c r="N97" s="29" t="n">
        <f aca="false">IFERROR(INDEX('SKU Data'!$O$2:$O$1780,MATCH($A97,'SKU Data'!$V$2:$V$1780,0)),"")</f>
        <v>2.52261308708778</v>
      </c>
      <c r="O97" s="23" t="str">
        <f aca="false">IFERROR(INDEX('SKU Data'!$X$2:$X$1780,MATCH($A97,'SKU Data'!$V$2:$V$1780,0)),"")</f>
        <v/>
      </c>
    </row>
    <row r="98" customFormat="false" ht="15" hidden="false" customHeight="false" outlineLevel="0" collapsed="false">
      <c r="A98" s="18" t="n">
        <v>94</v>
      </c>
      <c r="B98" s="23" t="str">
        <f aca="false">IFERROR(INDEX('SKU Data'!$W$2:$W$1780,MATCH($A98,'SKU Data'!$V$2:$V$1780,0)),"")</f>
        <v>2 - Review</v>
      </c>
      <c r="C98" s="18" t="str">
        <f aca="false">IFERROR(INDEX('SKU Data'!$A$2:$A$1780,MATCH($A98,'SKU Data'!$V$2:$V$1780,0)),"")</f>
        <v>AURP-C02</v>
      </c>
      <c r="D98" s="27" t="str">
        <f aca="false">IFERROR(INDEX('SKU Data'!$B$2:$B$1780,MATCH($A98,'SKU Data'!$V$2:$V$1780,0)),"")</f>
        <v>Large Box of Premium Chocolates</v>
      </c>
      <c r="E98" s="18" t="str">
        <f aca="false">IFERROR(INDEX('SKU Data'!$D$2:$D$1780,MATCH($A98,'SKU Data'!$V$2:$V$1780,0)),"")</f>
        <v>AURP</v>
      </c>
      <c r="F98" s="19" t="n">
        <f aca="false">IFERROR(INDEX('SKU Data'!$E$2:$E$1780,MATCH($A98,'SKU Data'!$V$2:$V$1780,0)),"")</f>
        <v>2392</v>
      </c>
      <c r="G98" s="19" t="n">
        <f aca="false">IFERROR(INDEX('SKU Data'!$F$2:$F$1780,MATCH($A98,'SKU Data'!$V$2:$V$1780,0)),"")</f>
        <v>96</v>
      </c>
      <c r="H98" s="20" t="n">
        <f aca="false">IFERROR(INDEX('SKU Data'!$J$2:$J$1780,MATCH($A98,'SKU Data'!$V$2:$V$1780,0)),"")</f>
        <v>0.0401337792642141</v>
      </c>
      <c r="I98" s="21" t="n">
        <f aca="false">IFERROR(INDEX('SKU Data'!$H$2:$H$1780,MATCH($A98,'SKU Data'!$V$2:$V$1780,0)),"")</f>
        <v>1962.91</v>
      </c>
      <c r="J98" s="20" t="n">
        <f aca="false">IFERROR(INDEX('SKU Data'!$K$2:$K$1780,MATCH($A98,'SKU Data'!$V$2:$V$1780,0)),"")</f>
        <v>0.0372036859682983</v>
      </c>
      <c r="K98" s="22" t="n">
        <f aca="false">IFERROR(INDEX('SKU Data'!$L$2:$L$1780,MATCH($A98,'SKU Data'!$V$2:$V$1780,0)),"")</f>
        <v>0.003922927547061</v>
      </c>
      <c r="L98" s="22" t="n">
        <f aca="false">IFERROR(INDEX('SKU Data'!$M$2:$M$1780,MATCH($A98,'SKU Data'!$V$2:$V$1780,0)),"")</f>
        <v>0.000152389340622632</v>
      </c>
      <c r="M98" s="28" t="n">
        <f aca="false">IFERROR(H98/Settings!$B$3,"")</f>
        <v>1.29521666504592</v>
      </c>
      <c r="N98" s="29" t="n">
        <f aca="false">IFERROR(INDEX('SKU Data'!$O$2:$O$1780,MATCH($A98,'SKU Data'!$V$2:$V$1780,0)),"")</f>
        <v>2.58190514278716</v>
      </c>
      <c r="O98" s="23" t="str">
        <f aca="false">IFERROR(INDEX('SKU Data'!$X$2:$X$1780,MATCH($A98,'SKU Data'!$V$2:$V$1780,0)),"")</f>
        <v/>
      </c>
    </row>
    <row r="99" customFormat="false" ht="15" hidden="false" customHeight="false" outlineLevel="0" collapsed="false">
      <c r="A99" s="18" t="n">
        <v>95</v>
      </c>
      <c r="B99" s="23" t="str">
        <f aca="false">IFERROR(INDEX('SKU Data'!$W$2:$W$1780,MATCH($A99,'SKU Data'!$V$2:$V$1780,0)),"")</f>
        <v>2 - Review</v>
      </c>
      <c r="C99" s="18" t="str">
        <f aca="false">IFERROR(INDEX('SKU Data'!$A$2:$A$1780,MATCH($A99,'SKU Data'!$V$2:$V$1780,0)),"")</f>
        <v>MJ100-01</v>
      </c>
      <c r="D99" s="27" t="str">
        <f aca="false">IFERROR(INDEX('SKU Data'!$B$2:$B$1780,MATCH($A99,'SKU Data'!$V$2:$V$1780,0)),"")</f>
        <v>Loud and Lovely</v>
      </c>
      <c r="E99" s="18" t="str">
        <f aca="false">IFERROR(INDEX('SKU Data'!$D$2:$D$1780,MATCH($A99,'SKU Data'!$V$2:$V$1780,0)),"")</f>
        <v>MJ</v>
      </c>
      <c r="F99" s="19" t="n">
        <f aca="false">IFERROR(INDEX('SKU Data'!$E$2:$E$1780,MATCH($A99,'SKU Data'!$V$2:$V$1780,0)),"")</f>
        <v>199</v>
      </c>
      <c r="G99" s="19" t="n">
        <f aca="false">IFERROR(INDEX('SKU Data'!$F$2:$F$1780,MATCH($A99,'SKU Data'!$V$2:$V$1780,0)),"")</f>
        <v>11</v>
      </c>
      <c r="H99" s="20" t="n">
        <f aca="false">IFERROR(INDEX('SKU Data'!$J$2:$J$1780,MATCH($A99,'SKU Data'!$V$2:$V$1780,0)),"")</f>
        <v>0.0552763819095477</v>
      </c>
      <c r="I99" s="21" t="n">
        <f aca="false">IFERROR(INDEX('SKU Data'!$H$2:$H$1780,MATCH($A99,'SKU Data'!$V$2:$V$1780,0)),"")</f>
        <v>1085.95</v>
      </c>
      <c r="J99" s="20" t="n">
        <f aca="false">IFERROR(INDEX('SKU Data'!$K$2:$K$1780,MATCH($A99,'SKU Data'!$V$2:$V$1780,0)),"")</f>
        <v>0.0575523135399376</v>
      </c>
      <c r="K99" s="22" t="n">
        <f aca="false">IFERROR(INDEX('SKU Data'!$L$2:$L$1780,MATCH($A99,'SKU Data'!$V$2:$V$1780,0)),"")</f>
        <v>0.00217029979455548</v>
      </c>
      <c r="L99" s="22" t="n">
        <f aca="false">IFERROR(INDEX('SKU Data'!$M$2:$M$1780,MATCH($A99,'SKU Data'!$V$2:$V$1780,0)),"")</f>
        <v>8.43070769669253E-005</v>
      </c>
      <c r="M99" s="28" t="n">
        <f aca="false">IFERROR(H99/Settings!$B$3,"")</f>
        <v>1.78390603489784</v>
      </c>
      <c r="N99" s="29" t="n">
        <f aca="false">IFERROR(INDEX('SKU Data'!$O$2:$O$1780,MATCH($A99,'SKU Data'!$V$2:$V$1780,0)),"")</f>
        <v>1.97746757562275</v>
      </c>
      <c r="O99" s="23" t="str">
        <f aca="false">IFERROR(INDEX('SKU Data'!$X$2:$X$1780,MATCH($A99,'SKU Data'!$V$2:$V$1780,0)),"")</f>
        <v/>
      </c>
    </row>
    <row r="100" customFormat="false" ht="15" hidden="false" customHeight="false" outlineLevel="0" collapsed="false">
      <c r="A100" s="18" t="n">
        <v>96</v>
      </c>
      <c r="B100" s="23" t="str">
        <f aca="false">IFERROR(INDEX('SKU Data'!$W$2:$W$1780,MATCH($A100,'SKU Data'!$V$2:$V$1780,0)),"")</f>
        <v>2 - Review</v>
      </c>
      <c r="C100" s="18" t="str">
        <f aca="false">IFERROR(INDEX('SKU Data'!$A$2:$A$1780,MATCH($A100,'SKU Data'!$V$2:$V$1780,0)),"")</f>
        <v>LF15-10B</v>
      </c>
      <c r="D100" s="27" t="str">
        <f aca="false">IFERROR(INDEX('SKU Data'!$B$2:$B$1780,MATCH($A100,'SKU Data'!$V$2:$V$1780,0)),"")</f>
        <v>Hugs and Kisses II</v>
      </c>
      <c r="E100" s="18" t="str">
        <f aca="false">IFERROR(INDEX('SKU Data'!$D$2:$D$1780,MATCH($A100,'SKU Data'!$V$2:$V$1780,0)),"")</f>
        <v>LF</v>
      </c>
      <c r="F100" s="19" t="n">
        <f aca="false">IFERROR(INDEX('SKU Data'!$E$2:$E$1780,MATCH($A100,'SKU Data'!$V$2:$V$1780,0)),"")</f>
        <v>155</v>
      </c>
      <c r="G100" s="19" t="n">
        <f aca="false">IFERROR(INDEX('SKU Data'!$F$2:$F$1780,MATCH($A100,'SKU Data'!$V$2:$V$1780,0)),"")</f>
        <v>9</v>
      </c>
      <c r="H100" s="20" t="n">
        <f aca="false">IFERROR(INDEX('SKU Data'!$J$2:$J$1780,MATCH($A100,'SKU Data'!$V$2:$V$1780,0)),"")</f>
        <v>0.0580645161290323</v>
      </c>
      <c r="I100" s="21" t="n">
        <f aca="false">IFERROR(INDEX('SKU Data'!$H$2:$H$1780,MATCH($A100,'SKU Data'!$V$2:$V$1780,0)),"")</f>
        <v>794.14</v>
      </c>
      <c r="J100" s="20" t="n">
        <f aca="false">IFERROR(INDEX('SKU Data'!$K$2:$K$1780,MATCH($A100,'SKU Data'!$V$2:$V$1780,0)),"")</f>
        <v>0.0546750643041656</v>
      </c>
      <c r="K100" s="22" t="n">
        <f aca="false">IFERROR(INDEX('SKU Data'!$L$2:$L$1780,MATCH($A100,'SKU Data'!$V$2:$V$1780,0)),"")</f>
        <v>0.00158710979220801</v>
      </c>
      <c r="L100" s="22" t="n">
        <f aca="false">IFERROR(INDEX('SKU Data'!$M$2:$M$1780,MATCH($A100,'SKU Data'!$V$2:$V$1780,0)),"")</f>
        <v>6.16525826258245E-005</v>
      </c>
      <c r="M100" s="28" t="n">
        <f aca="false">IFERROR(H100/Settings!$B$3,"")</f>
        <v>1.87388604604224</v>
      </c>
      <c r="N100" s="29" t="n">
        <f aca="false">IFERROR(INDEX('SKU Data'!$O$2:$O$1780,MATCH($A100,'SKU Data'!$V$2:$V$1780,0)),"")</f>
        <v>1.94553692956065</v>
      </c>
      <c r="O100" s="23" t="str">
        <f aca="false">IFERROR(INDEX('SKU Data'!$X$2:$X$1780,MATCH($A100,'SKU Data'!$V$2:$V$1780,0)),"")</f>
        <v/>
      </c>
    </row>
    <row r="101" customFormat="false" ht="15" hidden="false" customHeight="false" outlineLevel="0" collapsed="false">
      <c r="A101" s="18" t="n">
        <v>97</v>
      </c>
      <c r="B101" s="23" t="str">
        <f aca="false">IFERROR(INDEX('SKU Data'!$W$2:$W$1780,MATCH($A101,'SKU Data'!$V$2:$V$1780,0)),"")</f>
        <v>2 - Review</v>
      </c>
      <c r="C101" s="18" t="str">
        <f aca="false">IFERROR(INDEX('SKU Data'!$A$2:$A$1780,MATCH($A101,'SKU Data'!$V$2:$V$1780,0)),"")</f>
        <v>DCA-01-00</v>
      </c>
      <c r="D101" s="27" t="str">
        <f aca="false">IFERROR(INDEX('SKU Data'!$B$2:$B$1780,MATCH($A101,'SKU Data'!$V$2:$V$1780,0)),"")</f>
        <v>Anniversary Designer Collection I</v>
      </c>
      <c r="E101" s="18" t="str">
        <f aca="false">IFERROR(INDEX('SKU Data'!$D$2:$D$1780,MATCH($A101,'SKU Data'!$V$2:$V$1780,0)),"")</f>
        <v>Other (small prefixes)</v>
      </c>
      <c r="F101" s="19" t="n">
        <f aca="false">IFERROR(INDEX('SKU Data'!$E$2:$E$1780,MATCH($A101,'SKU Data'!$V$2:$V$1780,0)),"")</f>
        <v>41</v>
      </c>
      <c r="G101" s="19" t="n">
        <f aca="false">IFERROR(INDEX('SKU Data'!$F$2:$F$1780,MATCH($A101,'SKU Data'!$V$2:$V$1780,0)),"")</f>
        <v>5</v>
      </c>
      <c r="H101" s="20" t="n">
        <f aca="false">IFERROR(INDEX('SKU Data'!$J$2:$J$1780,MATCH($A101,'SKU Data'!$V$2:$V$1780,0)),"")</f>
        <v>0.121951219512195</v>
      </c>
      <c r="I101" s="21" t="n">
        <f aca="false">IFERROR(INDEX('SKU Data'!$H$2:$H$1780,MATCH($A101,'SKU Data'!$V$2:$V$1780,0)),"")</f>
        <v>381.59</v>
      </c>
      <c r="J101" s="20" t="n">
        <f aca="false">IFERROR(INDEX('SKU Data'!$K$2:$K$1780,MATCH($A101,'SKU Data'!$V$2:$V$1780,0)),"")</f>
        <v>0.119252837641882</v>
      </c>
      <c r="K101" s="22" t="n">
        <f aca="false">IFERROR(INDEX('SKU Data'!$L$2:$L$1780,MATCH($A101,'SKU Data'!$V$2:$V$1780,0)),"")</f>
        <v>0.000762617706712487</v>
      </c>
      <c r="L101" s="22" t="n">
        <f aca="false">IFERROR(INDEX('SKU Data'!$M$2:$M$1780,MATCH($A101,'SKU Data'!$V$2:$V$1780,0)),"")</f>
        <v>2.96245107968222E-005</v>
      </c>
      <c r="M101" s="28" t="n">
        <f aca="false">IFERROR(H101/Settings!$B$3,"")</f>
        <v>3.93566852488547</v>
      </c>
      <c r="N101" s="29" t="n">
        <f aca="false">IFERROR(INDEX('SKU Data'!$O$2:$O$1780,MATCH($A101,'SKU Data'!$V$2:$V$1780,0)),"")</f>
        <v>3.36138122461804</v>
      </c>
      <c r="O101" s="23" t="str">
        <f aca="false">IFERROR(INDEX('SKU Data'!$X$2:$X$1780,MATCH($A101,'SKU Data'!$V$2:$V$1780,0)),"")</f>
        <v>HIGH RATE</v>
      </c>
    </row>
    <row r="102" customFormat="false" ht="15" hidden="false" customHeight="false" outlineLevel="0" collapsed="false">
      <c r="A102" s="18" t="n">
        <v>98</v>
      </c>
      <c r="B102" s="23" t="str">
        <f aca="false">IFERROR(INDEX('SKU Data'!$W$2:$W$1780,MATCH($A102,'SKU Data'!$V$2:$V$1780,0)),"")</f>
        <v>2 - Review</v>
      </c>
      <c r="C102" s="18" t="str">
        <f aca="false">IFERROR(INDEX('SKU Data'!$A$2:$A$1780,MATCH($A102,'SKU Data'!$V$2:$V$1780,0)),"")</f>
        <v>AU501-04</v>
      </c>
      <c r="D102" s="27" t="str">
        <f aca="false">IFERROR(INDEX('SKU Data'!$B$2:$B$1780,MATCH($A102,'SKU Data'!$V$2:$V$1780,0)),"")</f>
        <v>Half Dozen Red Roses, Card &amp; Chocolates Gift</v>
      </c>
      <c r="E102" s="18" t="str">
        <f aca="false">IFERROR(INDEX('SKU Data'!$D$2:$D$1780,MATCH($A102,'SKU Data'!$V$2:$V$1780,0)),"")</f>
        <v>AU</v>
      </c>
      <c r="F102" s="19" t="n">
        <f aca="false">IFERROR(INDEX('SKU Data'!$E$2:$E$1780,MATCH($A102,'SKU Data'!$V$2:$V$1780,0)),"")</f>
        <v>227</v>
      </c>
      <c r="G102" s="19" t="n">
        <f aca="false">IFERROR(INDEX('SKU Data'!$F$2:$F$1780,MATCH($A102,'SKU Data'!$V$2:$V$1780,0)),"")</f>
        <v>12</v>
      </c>
      <c r="H102" s="20" t="n">
        <f aca="false">IFERROR(INDEX('SKU Data'!$J$2:$J$1780,MATCH($A102,'SKU Data'!$V$2:$V$1780,0)),"")</f>
        <v>0.052863436123348</v>
      </c>
      <c r="I102" s="21" t="n">
        <f aca="false">IFERROR(INDEX('SKU Data'!$H$2:$H$1780,MATCH($A102,'SKU Data'!$V$2:$V$1780,0)),"")</f>
        <v>1112.19</v>
      </c>
      <c r="J102" s="20" t="n">
        <f aca="false">IFERROR(INDEX('SKU Data'!$K$2:$K$1780,MATCH($A102,'SKU Data'!$V$2:$V$1780,0)),"")</f>
        <v>0.0528769764861264</v>
      </c>
      <c r="K102" s="22" t="n">
        <f aca="false">IFERROR(INDEX('SKU Data'!$L$2:$L$1780,MATCH($A102,'SKU Data'!$V$2:$V$1780,0)),"")</f>
        <v>0.00222274112851113</v>
      </c>
      <c r="L102" s="22" t="n">
        <f aca="false">IFERROR(INDEX('SKU Data'!$M$2:$M$1780,MATCH($A102,'SKU Data'!$V$2:$V$1780,0)),"")</f>
        <v>8.63442036298583E-005</v>
      </c>
      <c r="M102" s="28" t="n">
        <f aca="false">IFERROR(H102/Settings!$B$3,"")</f>
        <v>1.70603428567723</v>
      </c>
      <c r="N102" s="29" t="n">
        <f aca="false">IFERROR(INDEX('SKU Data'!$O$2:$O$1780,MATCH($A102,'SKU Data'!$V$2:$V$1780,0)),"")</f>
        <v>1.90220599015537</v>
      </c>
      <c r="O102" s="23" t="str">
        <f aca="false">IFERROR(INDEX('SKU Data'!$X$2:$X$1780,MATCH($A102,'SKU Data'!$V$2:$V$1780,0)),"")</f>
        <v/>
      </c>
    </row>
    <row r="103" customFormat="false" ht="15" hidden="false" customHeight="false" outlineLevel="0" collapsed="false">
      <c r="A103" s="18" t="n">
        <v>99</v>
      </c>
      <c r="B103" s="23" t="str">
        <f aca="false">IFERROR(INDEX('SKU Data'!$W$2:$W$1780,MATCH($A103,'SKU Data'!$V$2:$V$1780,0)),"")</f>
        <v>2 - Review</v>
      </c>
      <c r="C103" s="18" t="str">
        <f aca="false">IFERROR(INDEX('SKU Data'!$A$2:$A$1780,MATCH($A103,'SKU Data'!$V$2:$V$1780,0)),"")</f>
        <v>DC-03S</v>
      </c>
      <c r="D103" s="27" t="str">
        <f aca="false">IFERROR(INDEX('SKU Data'!$B$2:$B$1780,MATCH($A103,'SKU Data'!$V$2:$V$1780,0)),"")</f>
        <v>Designer Sympathy Collection III</v>
      </c>
      <c r="E103" s="18" t="str">
        <f aca="false">IFERROR(INDEX('SKU Data'!$D$2:$D$1780,MATCH($A103,'SKU Data'!$V$2:$V$1780,0)),"")</f>
        <v>DC</v>
      </c>
      <c r="F103" s="19" t="n">
        <f aca="false">IFERROR(INDEX('SKU Data'!$E$2:$E$1780,MATCH($A103,'SKU Data'!$V$2:$V$1780,0)),"")</f>
        <v>995</v>
      </c>
      <c r="G103" s="19" t="n">
        <f aca="false">IFERROR(INDEX('SKU Data'!$F$2:$F$1780,MATCH($A103,'SKU Data'!$V$2:$V$1780,0)),"")</f>
        <v>39</v>
      </c>
      <c r="H103" s="20" t="n">
        <f aca="false">IFERROR(INDEX('SKU Data'!$J$2:$J$1780,MATCH($A103,'SKU Data'!$V$2:$V$1780,0)),"")</f>
        <v>0.0391959798994975</v>
      </c>
      <c r="I103" s="21" t="n">
        <f aca="false">IFERROR(INDEX('SKU Data'!$H$2:$H$1780,MATCH($A103,'SKU Data'!$V$2:$V$1780,0)),"")</f>
        <v>4565.17</v>
      </c>
      <c r="J103" s="20" t="n">
        <f aca="false">IFERROR(INDEX('SKU Data'!$K$2:$K$1780,MATCH($A103,'SKU Data'!$V$2:$V$1780,0)),"")</f>
        <v>0.035758936561779</v>
      </c>
      <c r="K103" s="22" t="n">
        <f aca="false">IFERROR(INDEX('SKU Data'!$L$2:$L$1780,MATCH($A103,'SKU Data'!$V$2:$V$1780,0)),"")</f>
        <v>0.0091236129776793</v>
      </c>
      <c r="L103" s="22" t="n">
        <f aca="false">IFERROR(INDEX('SKU Data'!$M$2:$M$1780,MATCH($A103,'SKU Data'!$V$2:$V$1780,0)),"")</f>
        <v>0.000354414235054191</v>
      </c>
      <c r="M103" s="28" t="n">
        <f aca="false">IFERROR(H103/Settings!$B$3,"")</f>
        <v>1.26495155201847</v>
      </c>
      <c r="N103" s="29" t="n">
        <f aca="false">IFERROR(INDEX('SKU Data'!$O$2:$O$1780,MATCH($A103,'SKU Data'!$V$2:$V$1780,0)),"")</f>
        <v>1.49450314492304</v>
      </c>
      <c r="O103" s="23" t="str">
        <f aca="false">IFERROR(INDEX('SKU Data'!$X$2:$X$1780,MATCH($A103,'SKU Data'!$V$2:$V$1780,0)),"")</f>
        <v/>
      </c>
    </row>
    <row r="104" customFormat="false" ht="15" hidden="false" customHeight="false" outlineLevel="0" collapsed="false">
      <c r="A104" s="18" t="n">
        <v>100</v>
      </c>
      <c r="B104" s="23" t="str">
        <f aca="false">IFERROR(INDEX('SKU Data'!$W$2:$W$1780,MATCH($A104,'SKU Data'!$V$2:$V$1780,0)),"")</f>
        <v>2 - Review</v>
      </c>
      <c r="C104" s="18" t="str">
        <f aca="false">IFERROR(INDEX('SKU Data'!$A$2:$A$1780,MATCH($A104,'SKU Data'!$V$2:$V$1780,0)),"")</f>
        <v>DCS-02</v>
      </c>
      <c r="D104" s="27" t="str">
        <f aca="false">IFERROR(INDEX('SKU Data'!$B$2:$B$1780,MATCH($A104,'SKU Data'!$V$2:$V$1780,0)),"")</f>
        <v>Designer Sympathy Collection II</v>
      </c>
      <c r="E104" s="18" t="str">
        <f aca="false">IFERROR(INDEX('SKU Data'!$D$2:$D$1780,MATCH($A104,'SKU Data'!$V$2:$V$1780,0)),"")</f>
        <v>DCS</v>
      </c>
      <c r="F104" s="19" t="n">
        <f aca="false">IFERROR(INDEX('SKU Data'!$E$2:$E$1780,MATCH($A104,'SKU Data'!$V$2:$V$1780,0)),"")</f>
        <v>136</v>
      </c>
      <c r="G104" s="19" t="n">
        <f aca="false">IFERROR(INDEX('SKU Data'!$F$2:$F$1780,MATCH($A104,'SKU Data'!$V$2:$V$1780,0)),"")</f>
        <v>8</v>
      </c>
      <c r="H104" s="20" t="n">
        <f aca="false">IFERROR(INDEX('SKU Data'!$J$2:$J$1780,MATCH($A104,'SKU Data'!$V$2:$V$1780,0)),"")</f>
        <v>0.0588235294117647</v>
      </c>
      <c r="I104" s="21" t="n">
        <f aca="false">IFERROR(INDEX('SKU Data'!$H$2:$H$1780,MATCH($A104,'SKU Data'!$V$2:$V$1780,0)),"")</f>
        <v>798.41</v>
      </c>
      <c r="J104" s="20" t="n">
        <f aca="false">IFERROR(INDEX('SKU Data'!$K$2:$K$1780,MATCH($A104,'SKU Data'!$V$2:$V$1780,0)),"")</f>
        <v>0.0499943331281571</v>
      </c>
      <c r="K104" s="22" t="n">
        <f aca="false">IFERROR(INDEX('SKU Data'!$L$2:$L$1780,MATCH($A104,'SKU Data'!$V$2:$V$1780,0)),"")</f>
        <v>0.00159564350013448</v>
      </c>
      <c r="L104" s="22" t="n">
        <f aca="false">IFERROR(INDEX('SKU Data'!$M$2:$M$1780,MATCH($A104,'SKU Data'!$V$2:$V$1780,0)),"")</f>
        <v>6.19840815149527E-005</v>
      </c>
      <c r="M104" s="28" t="n">
        <f aca="false">IFERROR(H104/Settings!$B$3,"")</f>
        <v>1.89838128847417</v>
      </c>
      <c r="N104" s="29" t="n">
        <f aca="false">IFERROR(INDEX('SKU Data'!$O$2:$O$1780,MATCH($A104,'SKU Data'!$V$2:$V$1780,0)),"")</f>
        <v>1.87347963704649</v>
      </c>
      <c r="O104" s="23" t="str">
        <f aca="false">IFERROR(INDEX('SKU Data'!$X$2:$X$1780,MATCH($A104,'SKU Data'!$V$2:$V$1780,0)),"")</f>
        <v/>
      </c>
    </row>
  </sheetData>
  <autoFilter ref="A4:O104"/>
  <mergeCells count="1">
    <mergeCell ref="A2:O2"/>
  </mergeCells>
  <conditionalFormatting sqref="B5:B104">
    <cfRule type="expression" priority="2" aboveAverage="0" equalAverage="0" bottom="0" percent="0" rank="0" text="" dxfId="105">
      <formula>LEFT($B5,1)="1"</formula>
    </cfRule>
    <cfRule type="expression" priority="3" aboveAverage="0" equalAverage="0" bottom="0" percent="0" rank="0" text="" dxfId="106">
      <formula>LEFT($B5,1)="2"</formula>
    </cfRule>
    <cfRule type="expression" priority="4" aboveAverage="0" equalAverage="0" bottom="0" percent="0" rank="0" text="" dxfId="107">
      <formula>LEFT($B5,1)="3"</formula>
    </cfRule>
  </conditionalFormatting>
  <conditionalFormatting sqref="H5:H104">
    <cfRule type="colorScale" priority="5">
      <colorScale>
        <cfvo type="num" val="0.03"/>
        <cfvo type="num" val="0.12"/>
        <color rgb="FFFFFFFF"/>
        <color rgb="FFF08A80"/>
      </colorScale>
    </cfRule>
  </conditionalFormatting>
  <conditionalFormatting sqref="I5:I104">
    <cfRule type="dataBar" priority="6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{AD7A5CBD-7A32-41FC-925F-1C615A2C4683}</x14:id>
        </ext>
      </extLst>
    </cfRule>
  </conditionalFormatting>
  <conditionalFormatting sqref="G5:G104">
    <cfRule type="dataBar" priority="7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{4FDDE763-1D6B-4B4E-BA43-1BCF8BBA9844}</x14:id>
        </ext>
      </extLst>
    </cfRule>
  </conditionalFormatting>
  <conditionalFormatting sqref="M5:M104">
    <cfRule type="colorScale" priority="8">
      <colorScale>
        <cfvo type="num" val="1"/>
        <cfvo type="num" val="3"/>
        <color rgb="FFFFFFFF"/>
        <color rgb="FFF08A80"/>
      </colorScale>
    </cfRule>
  </conditionalFormatting>
  <conditionalFormatting sqref="O5:O104">
    <cfRule type="cellIs" priority="9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7A5CBD-7A32-41FC-925F-1C615A2C4683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I5:I104</xm:sqref>
        </x14:conditionalFormatting>
        <x14:conditionalFormatting xmlns:xm="http://schemas.microsoft.com/office/excel/2006/main">
          <x14:cfRule type="dataBar" id="{4FDDE763-1D6B-4B4E-BA43-1BCF8BBA9844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G5:G104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M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7" min="5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25" t="s">
        <v>35</v>
      </c>
    </row>
    <row r="2" customFormat="false" ht="15" hidden="false" customHeight="false" outlineLevel="0" collapsed="false">
      <c r="A2" s="24" t="s">
        <v>36</v>
      </c>
    </row>
    <row r="3" customFormat="false" ht="21.75" hidden="false" customHeight="true" outlineLevel="0" collapsed="false">
      <c r="A3" s="16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42" hidden="false" customHeight="true" outlineLevel="0" collapsed="false">
      <c r="A4" s="17" t="s">
        <v>38</v>
      </c>
      <c r="B4" s="17" t="s">
        <v>16</v>
      </c>
      <c r="C4" s="17" t="s">
        <v>17</v>
      </c>
      <c r="D4" s="17" t="s">
        <v>29</v>
      </c>
      <c r="E4" s="17" t="s">
        <v>19</v>
      </c>
      <c r="F4" s="17" t="s">
        <v>20</v>
      </c>
      <c r="G4" s="17" t="s">
        <v>5</v>
      </c>
      <c r="H4" s="17" t="s">
        <v>22</v>
      </c>
      <c r="I4" s="17" t="s">
        <v>30</v>
      </c>
      <c r="J4" s="17" t="s">
        <v>23</v>
      </c>
      <c r="K4" s="17" t="s">
        <v>39</v>
      </c>
      <c r="L4" s="17" t="s">
        <v>40</v>
      </c>
      <c r="M4" s="17" t="s">
        <v>41</v>
      </c>
    </row>
    <row r="5" customFormat="false" ht="15" hidden="false" customHeight="false" outlineLevel="0" collapsed="false">
      <c r="A5" s="18" t="n">
        <v>1</v>
      </c>
      <c r="B5" s="18" t="str">
        <f aca="false">IFERROR(INDEX('SKU Data'!$A$2:$A$1780,MATCH($A5,'SKU Data'!$Y$2:$Y$1780,0)),"")</f>
        <v>AUSGF16-115</v>
      </c>
      <c r="C5" s="18" t="str">
        <f aca="false">IFERROR(INDEX('SKU Data'!$B$2:$B$1780,MATCH($A5,'SKU Data'!$Y$2:$Y$1780,0)),"")</f>
        <v>Delicate Elegance</v>
      </c>
      <c r="D5" s="18" t="str">
        <f aca="false">IFERROR(INDEX('SKU Data'!$D$2:$D$1780,MATCH($A5,'SKU Data'!$Y$2:$Y$1780,0)),"")</f>
        <v>AUSGF</v>
      </c>
      <c r="E5" s="19" t="n">
        <f aca="false">IFERROR(INDEX('SKU Data'!$E$2:$E$1780,MATCH($A5,'SKU Data'!$Y$2:$Y$1780,0)),"")</f>
        <v>11490</v>
      </c>
      <c r="F5" s="19" t="n">
        <f aca="false">IFERROR(INDEX('SKU Data'!$F$2:$F$1780,MATCH($A5,'SKU Data'!$Y$2:$Y$1780,0)),"")</f>
        <v>419</v>
      </c>
      <c r="G5" s="20" t="n">
        <f aca="false">IFERROR(INDEX('SKU Data'!$J$2:$J$1780,MATCH($A5,'SKU Data'!$Y$2:$Y$1780,0)),"")</f>
        <v>0.0364664926022628</v>
      </c>
      <c r="H5" s="21" t="n">
        <f aca="false">IFERROR(INDEX('SKU Data'!$H$2:$H$1780,MATCH($A5,'SKU Data'!$Y$2:$Y$1780,0)),"")</f>
        <v>25834.89</v>
      </c>
      <c r="I5" s="20" t="n">
        <f aca="false">IFERROR(INDEX('SKU Data'!$K$2:$K$1780,MATCH($A5,'SKU Data'!$Y$2:$Y$1780,0)),"")</f>
        <v>0.0354592138726753</v>
      </c>
      <c r="J5" s="22" t="n">
        <f aca="false">IFERROR(INDEX('SKU Data'!$M$2:$M$1780,MATCH($A5,'SKU Data'!$Y$2:$Y$1780,0)),"")</f>
        <v>0.00200567619104199</v>
      </c>
      <c r="K5" s="22" t="n">
        <f aca="false">IFERROR(INDEX('SKU Data'!$L$2:$L$1780,MATCH($A5,'SKU Data'!$Y$2:$Y$1780,0)),"")</f>
        <v>0.0516317109069141</v>
      </c>
      <c r="L5" s="20"/>
      <c r="M5" s="20" t="n">
        <f aca="false">Settings!$B$3</f>
        <v>0.0309861510798204</v>
      </c>
    </row>
    <row r="6" customFormat="false" ht="15" hidden="false" customHeight="false" outlineLevel="0" collapsed="false">
      <c r="A6" s="18" t="n">
        <v>2</v>
      </c>
      <c r="B6" s="18" t="str">
        <f aca="false">IFERROR(INDEX('SKU Data'!$A$2:$A$1780,MATCH($A6,'SKU Data'!$Y$2:$Y$1780,0)),"")</f>
        <v>AURP05</v>
      </c>
      <c r="C6" s="18" t="str">
        <f aca="false">IFERROR(INDEX('SKU Data'!$B$2:$B$1780,MATCH($A6,'SKU Data'!$Y$2:$Y$1780,0)),"")</f>
        <v>Full Size Greeting Card</v>
      </c>
      <c r="D6" s="18" t="str">
        <f aca="false">IFERROR(INDEX('SKU Data'!$D$2:$D$1780,MATCH($A6,'SKU Data'!$Y$2:$Y$1780,0)),"")</f>
        <v>AURP</v>
      </c>
      <c r="E6" s="19" t="n">
        <f aca="false">IFERROR(INDEX('SKU Data'!$E$2:$E$1780,MATCH($A6,'SKU Data'!$Y$2:$Y$1780,0)),"")</f>
        <v>11080</v>
      </c>
      <c r="F6" s="19" t="n">
        <f aca="false">IFERROR(INDEX('SKU Data'!$F$2:$F$1780,MATCH($A6,'SKU Data'!$Y$2:$Y$1780,0)),"")</f>
        <v>410</v>
      </c>
      <c r="G6" s="20" t="n">
        <f aca="false">IFERROR(INDEX('SKU Data'!$J$2:$J$1780,MATCH($A6,'SKU Data'!$Y$2:$Y$1780,0)),"")</f>
        <v>0.0370036101083033</v>
      </c>
      <c r="H6" s="21" t="n">
        <f aca="false">IFERROR(INDEX('SKU Data'!$H$2:$H$1780,MATCH($A6,'SKU Data'!$Y$2:$Y$1780,0)),"")</f>
        <v>1427.63</v>
      </c>
      <c r="I6" s="20" t="n">
        <f aca="false">IFERROR(INDEX('SKU Data'!$K$2:$K$1780,MATCH($A6,'SKU Data'!$Y$2:$Y$1780,0)),"")</f>
        <v>0.0343284098893367</v>
      </c>
      <c r="J6" s="22" t="n">
        <f aca="false">IFERROR(INDEX('SKU Data'!$M$2:$M$1780,MATCH($A6,'SKU Data'!$Y$2:$Y$1780,0)),"")</f>
        <v>0.000110833198849203</v>
      </c>
      <c r="K6" s="22" t="n">
        <f aca="false">IFERROR(INDEX('SKU Data'!$L$2:$L$1780,MATCH($A6,'SKU Data'!$Y$2:$Y$1780,0)),"")</f>
        <v>0.00285315631078893</v>
      </c>
      <c r="L6" s="20"/>
      <c r="M6" s="20" t="n">
        <f aca="false">Settings!$B$3</f>
        <v>0.0309861510798204</v>
      </c>
    </row>
    <row r="7" customFormat="false" ht="15" hidden="false" customHeight="false" outlineLevel="0" collapsed="false">
      <c r="A7" s="18" t="n">
        <v>3</v>
      </c>
      <c r="B7" s="18" t="str">
        <f aca="false">IFERROR(INDEX('SKU Data'!$A$2:$A$1780,MATCH($A7,'SKU Data'!$Y$2:$Y$1780,0)),"")</f>
        <v>RP19</v>
      </c>
      <c r="C7" s="18" t="str">
        <f aca="false">IFERROR(INDEX('SKU Data'!$B$2:$B$1780,MATCH($A7,'SKU Data'!$Y$2:$Y$1780,0)),"")</f>
        <v>Full Size Birthday Card</v>
      </c>
      <c r="D7" s="18" t="str">
        <f aca="false">IFERROR(INDEX('SKU Data'!$D$2:$D$1780,MATCH($A7,'SKU Data'!$Y$2:$Y$1780,0)),"")</f>
        <v>RP</v>
      </c>
      <c r="E7" s="19" t="n">
        <f aca="false">IFERROR(INDEX('SKU Data'!$E$2:$E$1780,MATCH($A7,'SKU Data'!$Y$2:$Y$1780,0)),"")</f>
        <v>6456</v>
      </c>
      <c r="F7" s="19" t="n">
        <f aca="false">IFERROR(INDEX('SKU Data'!$F$2:$F$1780,MATCH($A7,'SKU Data'!$Y$2:$Y$1780,0)),"")</f>
        <v>336</v>
      </c>
      <c r="G7" s="20" t="n">
        <f aca="false">IFERROR(INDEX('SKU Data'!$J$2:$J$1780,MATCH($A7,'SKU Data'!$Y$2:$Y$1780,0)),"")</f>
        <v>0.0520446096654275</v>
      </c>
      <c r="H7" s="21" t="n">
        <f aca="false">IFERROR(INDEX('SKU Data'!$H$2:$H$1780,MATCH($A7,'SKU Data'!$Y$2:$Y$1780,0)),"")</f>
        <v>1172.41</v>
      </c>
      <c r="I7" s="20" t="n">
        <f aca="false">IFERROR(INDEX('SKU Data'!$K$2:$K$1780,MATCH($A7,'SKU Data'!$Y$2:$Y$1780,0)),"")</f>
        <v>0.0486858180302095</v>
      </c>
      <c r="J7" s="22" t="n">
        <f aca="false">IFERROR(INDEX('SKU Data'!$M$2:$M$1780,MATCH($A7,'SKU Data'!$Y$2:$Y$1780,0)),"")</f>
        <v>9.10193472137694E-005</v>
      </c>
      <c r="K7" s="22" t="n">
        <f aca="false">IFERROR(INDEX('SKU Data'!$L$2:$L$1780,MATCH($A7,'SKU Data'!$Y$2:$Y$1780,0)),"")</f>
        <v>0.00234309239111818</v>
      </c>
      <c r="L7" s="20"/>
      <c r="M7" s="20" t="n">
        <f aca="false">Settings!$B$3</f>
        <v>0.0309861510798204</v>
      </c>
    </row>
    <row r="8" customFormat="false" ht="15" hidden="false" customHeight="false" outlineLevel="0" collapsed="false">
      <c r="A8" s="18" t="n">
        <v>4</v>
      </c>
      <c r="B8" s="18" t="str">
        <f aca="false">IFERROR(INDEX('SKU Data'!$A$2:$A$1780,MATCH($A8,'SKU Data'!$Y$2:$Y$1780,0)),"")</f>
        <v>AUMJ-NW-005</v>
      </c>
      <c r="C8" s="18" t="str">
        <f aca="false">IFERROR(INDEX('SKU Data'!$B$2:$B$1780,MATCH($A8,'SKU Data'!$Y$2:$Y$1780,0)),"")</f>
        <v>Native Flowers Bouquet in Mason Jar</v>
      </c>
      <c r="D8" s="18" t="str">
        <f aca="false">IFERROR(INDEX('SKU Data'!$D$2:$D$1780,MATCH($A8,'SKU Data'!$Y$2:$Y$1780,0)),"")</f>
        <v>AUMJ</v>
      </c>
      <c r="E8" s="19" t="n">
        <f aca="false">IFERROR(INDEX('SKU Data'!$E$2:$E$1780,MATCH($A8,'SKU Data'!$Y$2:$Y$1780,0)),"")</f>
        <v>6304</v>
      </c>
      <c r="F8" s="19" t="n">
        <f aca="false">IFERROR(INDEX('SKU Data'!$F$2:$F$1780,MATCH($A8,'SKU Data'!$Y$2:$Y$1780,0)),"")</f>
        <v>335</v>
      </c>
      <c r="G8" s="20" t="n">
        <f aca="false">IFERROR(INDEX('SKU Data'!$J$2:$J$1780,MATCH($A8,'SKU Data'!$Y$2:$Y$1780,0)),"")</f>
        <v>0.0531408629441624</v>
      </c>
      <c r="H8" s="21" t="n">
        <f aca="false">IFERROR(INDEX('SKU Data'!$H$2:$H$1780,MATCH($A8,'SKU Data'!$Y$2:$Y$1780,0)),"")</f>
        <v>30439.34</v>
      </c>
      <c r="I8" s="20" t="n">
        <f aca="false">IFERROR(INDEX('SKU Data'!$K$2:$K$1780,MATCH($A8,'SKU Data'!$Y$2:$Y$1780,0)),"")</f>
        <v>0.0515220221390055</v>
      </c>
      <c r="J8" s="22" t="n">
        <f aca="false">IFERROR(INDEX('SKU Data'!$M$2:$M$1780,MATCH($A8,'SKU Data'!$Y$2:$Y$1780,0)),"")</f>
        <v>0.00236313990533856</v>
      </c>
      <c r="K8" s="22" t="n">
        <f aca="false">IFERROR(INDEX('SKU Data'!$L$2:$L$1780,MATCH($A8,'SKU Data'!$Y$2:$Y$1780,0)),"")</f>
        <v>0.0608338260034112</v>
      </c>
      <c r="L8" s="20"/>
      <c r="M8" s="20" t="n">
        <f aca="false">Settings!$B$3</f>
        <v>0.0309861510798204</v>
      </c>
    </row>
    <row r="9" customFormat="false" ht="15" hidden="false" customHeight="false" outlineLevel="0" collapsed="false">
      <c r="A9" s="18" t="n">
        <v>5</v>
      </c>
      <c r="B9" s="18" t="str">
        <f aca="false">IFERROR(INDEX('SKU Data'!$A$2:$A$1780,MATCH($A9,'SKU Data'!$Y$2:$Y$1780,0)),"")</f>
        <v>SC01</v>
      </c>
      <c r="C9" s="18" t="str">
        <f aca="false">IFERROR(INDEX('SKU Data'!$B$2:$B$1780,MATCH($A9,'SKU Data'!$Y$2:$Y$1780,0)),"")</f>
        <v>Full Size Sympathy Card</v>
      </c>
      <c r="D9" s="18" t="str">
        <f aca="false">IFERROR(INDEX('SKU Data'!$D$2:$D$1780,MATCH($A9,'SKU Data'!$Y$2:$Y$1780,0)),"")</f>
        <v>SC</v>
      </c>
      <c r="E9" s="19" t="n">
        <f aca="false">IFERROR(INDEX('SKU Data'!$E$2:$E$1780,MATCH($A9,'SKU Data'!$Y$2:$Y$1780,0)),"")</f>
        <v>8341</v>
      </c>
      <c r="F9" s="19" t="n">
        <f aca="false">IFERROR(INDEX('SKU Data'!$F$2:$F$1780,MATCH($A9,'SKU Data'!$Y$2:$Y$1780,0)),"")</f>
        <v>329</v>
      </c>
      <c r="G9" s="20" t="n">
        <f aca="false">IFERROR(INDEX('SKU Data'!$J$2:$J$1780,MATCH($A9,'SKU Data'!$Y$2:$Y$1780,0)),"")</f>
        <v>0.0394437117851577</v>
      </c>
      <c r="H9" s="21" t="n">
        <f aca="false">IFERROR(INDEX('SKU Data'!$H$2:$H$1780,MATCH($A9,'SKU Data'!$Y$2:$Y$1780,0)),"")</f>
        <v>1189.07</v>
      </c>
      <c r="I9" s="20" t="n">
        <f aca="false">IFERROR(INDEX('SKU Data'!$K$2:$K$1780,MATCH($A9,'SKU Data'!$Y$2:$Y$1780,0)),"")</f>
        <v>0.0375982786124554</v>
      </c>
      <c r="J9" s="22" t="n">
        <f aca="false">IFERROR(INDEX('SKU Data'!$M$2:$M$1780,MATCH($A9,'SKU Data'!$Y$2:$Y$1780,0)),"")</f>
        <v>9.23127363221713E-005</v>
      </c>
      <c r="K9" s="22" t="n">
        <f aca="false">IFERROR(INDEX('SKU Data'!$L$2:$L$1780,MATCH($A9,'SKU Data'!$Y$2:$Y$1780,0)),"")</f>
        <v>0.00237638784171655</v>
      </c>
      <c r="L9" s="20"/>
      <c r="M9" s="20" t="n">
        <f aca="false">Settings!$B$3</f>
        <v>0.0309861510798204</v>
      </c>
    </row>
    <row r="10" customFormat="false" ht="15" hidden="false" customHeight="false" outlineLevel="0" collapsed="false">
      <c r="A10" s="18" t="n">
        <v>6</v>
      </c>
      <c r="B10" s="18" t="str">
        <f aca="false">IFERROR(INDEX('SKU Data'!$A$2:$A$1780,MATCH($A10,'SKU Data'!$Y$2:$Y$1780,0)),"")</f>
        <v>AUSMJ100-11</v>
      </c>
      <c r="C10" s="18" t="str">
        <f aca="false">IFERROR(INDEX('SKU Data'!$B$2:$B$1780,MATCH($A10,'SKU Data'!$Y$2:$Y$1780,0)),"")</f>
        <v>Breathtaking Blooms In Mason Jar</v>
      </c>
      <c r="D10" s="18" t="str">
        <f aca="false">IFERROR(INDEX('SKU Data'!$D$2:$D$1780,MATCH($A10,'SKU Data'!$Y$2:$Y$1780,0)),"")</f>
        <v>AUSMJ</v>
      </c>
      <c r="E10" s="19" t="n">
        <f aca="false">IFERROR(INDEX('SKU Data'!$E$2:$E$1780,MATCH($A10,'SKU Data'!$Y$2:$Y$1780,0)),"")</f>
        <v>4959</v>
      </c>
      <c r="F10" s="19" t="n">
        <f aca="false">IFERROR(INDEX('SKU Data'!$F$2:$F$1780,MATCH($A10,'SKU Data'!$Y$2:$Y$1780,0)),"")</f>
        <v>203</v>
      </c>
      <c r="G10" s="20" t="n">
        <f aca="false">IFERROR(INDEX('SKU Data'!$J$2:$J$1780,MATCH($A10,'SKU Data'!$Y$2:$Y$1780,0)),"")</f>
        <v>0.0409356725146199</v>
      </c>
      <c r="H10" s="21" t="n">
        <f aca="false">IFERROR(INDEX('SKU Data'!$H$2:$H$1780,MATCH($A10,'SKU Data'!$Y$2:$Y$1780,0)),"")</f>
        <v>13653.88</v>
      </c>
      <c r="I10" s="20" t="n">
        <f aca="false">IFERROR(INDEX('SKU Data'!$K$2:$K$1780,MATCH($A10,'SKU Data'!$Y$2:$Y$1780,0)),"")</f>
        <v>0.0390042878241221</v>
      </c>
      <c r="J10" s="22" t="n">
        <f aca="false">IFERROR(INDEX('SKU Data'!$M$2:$M$1780,MATCH($A10,'SKU Data'!$Y$2:$Y$1780,0)),"")</f>
        <v>0.00106001078507957</v>
      </c>
      <c r="K10" s="22" t="n">
        <f aca="false">IFERROR(INDEX('SKU Data'!$L$2:$L$1780,MATCH($A10,'SKU Data'!$Y$2:$Y$1780,0)),"")</f>
        <v>0.0272876402770709</v>
      </c>
      <c r="L10" s="20"/>
      <c r="M10" s="20" t="n">
        <f aca="false">Settings!$B$3</f>
        <v>0.0309861510798204</v>
      </c>
    </row>
    <row r="11" customFormat="false" ht="15" hidden="false" customHeight="false" outlineLevel="0" collapsed="false">
      <c r="A11" s="18" t="n">
        <v>7</v>
      </c>
      <c r="B11" s="18" t="str">
        <f aca="false">IFERROR(INDEX('SKU Data'!$A$2:$A$1780,MATCH($A11,'SKU Data'!$Y$2:$Y$1780,0)),"")</f>
        <v>AUMJ-NW-017</v>
      </c>
      <c r="C11" s="18" t="str">
        <f aca="false">IFERROR(INDEX('SKU Data'!$B$2:$B$1780,MATCH($A11,'SKU Data'!$Y$2:$Y$1780,0)),"")</f>
        <v>Pastel Buttercup Bouquet in Mason Jar</v>
      </c>
      <c r="D11" s="18" t="str">
        <f aca="false">IFERROR(INDEX('SKU Data'!$D$2:$D$1780,MATCH($A11,'SKU Data'!$Y$2:$Y$1780,0)),"")</f>
        <v>AUMJ</v>
      </c>
      <c r="E11" s="19" t="n">
        <f aca="false">IFERROR(INDEX('SKU Data'!$E$2:$E$1780,MATCH($A11,'SKU Data'!$Y$2:$Y$1780,0)),"")</f>
        <v>3907</v>
      </c>
      <c r="F11" s="19" t="n">
        <f aca="false">IFERROR(INDEX('SKU Data'!$F$2:$F$1780,MATCH($A11,'SKU Data'!$Y$2:$Y$1780,0)),"")</f>
        <v>172</v>
      </c>
      <c r="G11" s="20" t="n">
        <f aca="false">IFERROR(INDEX('SKU Data'!$J$2:$J$1780,MATCH($A11,'SKU Data'!$Y$2:$Y$1780,0)),"")</f>
        <v>0.0440235474788841</v>
      </c>
      <c r="H11" s="21" t="n">
        <f aca="false">IFERROR(INDEX('SKU Data'!$H$2:$H$1780,MATCH($A11,'SKU Data'!$Y$2:$Y$1780,0)),"")</f>
        <v>14074.44</v>
      </c>
      <c r="I11" s="20" t="n">
        <f aca="false">IFERROR(INDEX('SKU Data'!$K$2:$K$1780,MATCH($A11,'SKU Data'!$Y$2:$Y$1780,0)),"")</f>
        <v>0.040285179470245</v>
      </c>
      <c r="J11" s="22" t="n">
        <f aca="false">IFERROR(INDEX('SKU Data'!$M$2:$M$1780,MATCH($A11,'SKU Data'!$Y$2:$Y$1780,0)),"")</f>
        <v>0.00109266070845469</v>
      </c>
      <c r="K11" s="22" t="n">
        <f aca="false">IFERROR(INDEX('SKU Data'!$L$2:$L$1780,MATCH($A11,'SKU Data'!$Y$2:$Y$1780,0)),"")</f>
        <v>0.0281281405594027</v>
      </c>
      <c r="L11" s="20"/>
      <c r="M11" s="20" t="n">
        <f aca="false">Settings!$B$3</f>
        <v>0.0309861510798204</v>
      </c>
    </row>
    <row r="12" customFormat="false" ht="15" hidden="false" customHeight="false" outlineLevel="0" collapsed="false">
      <c r="A12" s="18" t="n">
        <v>8</v>
      </c>
      <c r="B12" s="18" t="str">
        <f aca="false">IFERROR(INDEX('SKU Data'!$A$2:$A$1780,MATCH($A12,'SKU Data'!$Y$2:$Y$1780,0)),"")</f>
        <v>AUSRP-16sp</v>
      </c>
      <c r="C12" s="18" t="str">
        <f aca="false">IFERROR(INDEX('SKU Data'!$B$2:$B$1780,MATCH($A12,'SKU Data'!$Y$2:$Y$1780,0)),"")</f>
        <v>Truffles &amp; Card</v>
      </c>
      <c r="D12" s="18" t="str">
        <f aca="false">IFERROR(INDEX('SKU Data'!$D$2:$D$1780,MATCH($A12,'SKU Data'!$Y$2:$Y$1780,0)),"")</f>
        <v>AUSRP</v>
      </c>
      <c r="E12" s="19" t="n">
        <f aca="false">IFERROR(INDEX('SKU Data'!$E$2:$E$1780,MATCH($A12,'SKU Data'!$Y$2:$Y$1780,0)),"")</f>
        <v>2919</v>
      </c>
      <c r="F12" s="19" t="n">
        <f aca="false">IFERROR(INDEX('SKU Data'!$F$2:$F$1780,MATCH($A12,'SKU Data'!$Y$2:$Y$1780,0)),"")</f>
        <v>152</v>
      </c>
      <c r="G12" s="20" t="n">
        <f aca="false">IFERROR(INDEX('SKU Data'!$J$2:$J$1780,MATCH($A12,'SKU Data'!$Y$2:$Y$1780,0)),"")</f>
        <v>0.052072627612196</v>
      </c>
      <c r="H12" s="21" t="n">
        <f aca="false">IFERROR(INDEX('SKU Data'!$H$2:$H$1780,MATCH($A12,'SKU Data'!$Y$2:$Y$1780,0)),"")</f>
        <v>1385.93</v>
      </c>
      <c r="I12" s="20" t="n">
        <f aca="false">IFERROR(INDEX('SKU Data'!$K$2:$K$1780,MATCH($A12,'SKU Data'!$Y$2:$Y$1780,0)),"")</f>
        <v>0.0476125039636148</v>
      </c>
      <c r="J12" s="22" t="n">
        <f aca="false">IFERROR(INDEX('SKU Data'!$M$2:$M$1780,MATCH($A12,'SKU Data'!$Y$2:$Y$1780,0)),"")</f>
        <v>0.000107595844358185</v>
      </c>
      <c r="K12" s="22" t="n">
        <f aca="false">IFERROR(INDEX('SKU Data'!$L$2:$L$1780,MATCH($A12,'SKU Data'!$Y$2:$Y$1780,0)),"")</f>
        <v>0.00276981775797069</v>
      </c>
      <c r="L12" s="20"/>
      <c r="M12" s="20" t="n">
        <f aca="false">Settings!$B$3</f>
        <v>0.0309861510798204</v>
      </c>
    </row>
    <row r="13" customFormat="false" ht="15" hidden="false" customHeight="false" outlineLevel="0" collapsed="false">
      <c r="A13" s="18" t="n">
        <v>9</v>
      </c>
      <c r="B13" s="18" t="str">
        <f aca="false">IFERROR(INDEX('SKU Data'!$A$2:$A$1780,MATCH($A13,'SKU Data'!$Y$2:$Y$1780,0)),"")</f>
        <v>AU11-43</v>
      </c>
      <c r="C13" s="18" t="str">
        <f aca="false">IFERROR(INDEX('SKU Data'!$B$2:$B$1780,MATCH($A13,'SKU Data'!$Y$2:$Y$1780,0)),"")</f>
        <v>Warm Embrace</v>
      </c>
      <c r="D13" s="18" t="str">
        <f aca="false">IFERROR(INDEX('SKU Data'!$D$2:$D$1780,MATCH($A13,'SKU Data'!$Y$2:$Y$1780,0)),"")</f>
        <v>AU</v>
      </c>
      <c r="E13" s="19" t="n">
        <f aca="false">IFERROR(INDEX('SKU Data'!$E$2:$E$1780,MATCH($A13,'SKU Data'!$Y$2:$Y$1780,0)),"")</f>
        <v>2594</v>
      </c>
      <c r="F13" s="19" t="n">
        <f aca="false">IFERROR(INDEX('SKU Data'!$F$2:$F$1780,MATCH($A13,'SKU Data'!$Y$2:$Y$1780,0)),"")</f>
        <v>129</v>
      </c>
      <c r="G13" s="20" t="n">
        <f aca="false">IFERROR(INDEX('SKU Data'!$J$2:$J$1780,MATCH($A13,'SKU Data'!$Y$2:$Y$1780,0)),"")</f>
        <v>0.0497301464919044</v>
      </c>
      <c r="H13" s="21" t="n">
        <f aca="false">IFERROR(INDEX('SKU Data'!$H$2:$H$1780,MATCH($A13,'SKU Data'!$Y$2:$Y$1780,0)),"")</f>
        <v>11840.22</v>
      </c>
      <c r="I13" s="20" t="n">
        <f aca="false">IFERROR(INDEX('SKU Data'!$K$2:$K$1780,MATCH($A13,'SKU Data'!$Y$2:$Y$1780,0)),"")</f>
        <v>0.047722296220412</v>
      </c>
      <c r="J13" s="22" t="n">
        <f aca="false">IFERROR(INDEX('SKU Data'!$M$2:$M$1780,MATCH($A13,'SKU Data'!$Y$2:$Y$1780,0)),"")</f>
        <v>0.000919208378696375</v>
      </c>
      <c r="K13" s="22" t="n">
        <f aca="false">IFERROR(INDEX('SKU Data'!$L$2:$L$1780,MATCH($A13,'SKU Data'!$Y$2:$Y$1780,0)),"")</f>
        <v>0.0236629928021471</v>
      </c>
      <c r="L13" s="20"/>
      <c r="M13" s="20" t="n">
        <f aca="false">Settings!$B$3</f>
        <v>0.0309861510798204</v>
      </c>
    </row>
    <row r="14" customFormat="false" ht="15" hidden="false" customHeight="false" outlineLevel="0" collapsed="false">
      <c r="A14" s="18" t="n">
        <v>10</v>
      </c>
      <c r="B14" s="18" t="str">
        <f aca="false">IFERROR(INDEX('SKU Data'!$A$2:$A$1780,MATCH($A14,'SKU Data'!$Y$2:$Y$1780,0)),"")</f>
        <v>AUCH25-04</v>
      </c>
      <c r="C14" s="18" t="str">
        <f aca="false">IFERROR(INDEX('SKU Data'!$B$2:$B$1780,MATCH($A14,'SKU Data'!$Y$2:$Y$1780,0)),"")</f>
        <v>Snowy Rose in Mason Jar</v>
      </c>
      <c r="D14" s="18" t="str">
        <f aca="false">IFERROR(INDEX('SKU Data'!$D$2:$D$1780,MATCH($A14,'SKU Data'!$Y$2:$Y$1780,0)),"")</f>
        <v>AUCH</v>
      </c>
      <c r="E14" s="19" t="n">
        <f aca="false">IFERROR(INDEX('SKU Data'!$E$2:$E$1780,MATCH($A14,'SKU Data'!$Y$2:$Y$1780,0)),"")</f>
        <v>2531</v>
      </c>
      <c r="F14" s="19" t="n">
        <f aca="false">IFERROR(INDEX('SKU Data'!$F$2:$F$1780,MATCH($A14,'SKU Data'!$Y$2:$Y$1780,0)),"")</f>
        <v>116</v>
      </c>
      <c r="G14" s="20" t="n">
        <f aca="false">IFERROR(INDEX('SKU Data'!$J$2:$J$1780,MATCH($A14,'SKU Data'!$Y$2:$Y$1780,0)),"")</f>
        <v>0.0458316870802055</v>
      </c>
      <c r="H14" s="21" t="n">
        <f aca="false">IFERROR(INDEX('SKU Data'!$H$2:$H$1780,MATCH($A14,'SKU Data'!$Y$2:$Y$1780,0)),"")</f>
        <v>5309.56</v>
      </c>
      <c r="I14" s="20" t="n">
        <f aca="false">IFERROR(INDEX('SKU Data'!$K$2:$K$1780,MATCH($A14,'SKU Data'!$Y$2:$Y$1780,0)),"")</f>
        <v>0.0429300375640659</v>
      </c>
      <c r="J14" s="22" t="n">
        <f aca="false">IFERROR(INDEX('SKU Data'!$M$2:$M$1780,MATCH($A14,'SKU Data'!$Y$2:$Y$1780,0)),"")</f>
        <v>0.00041220450626687</v>
      </c>
      <c r="K14" s="22" t="n">
        <f aca="false">IFERROR(INDEX('SKU Data'!$L$2:$L$1780,MATCH($A14,'SKU Data'!$Y$2:$Y$1780,0)),"")</f>
        <v>0.0106112960791749</v>
      </c>
      <c r="L14" s="20"/>
      <c r="M14" s="20" t="n">
        <f aca="false">Settings!$B$3</f>
        <v>0.0309861510798204</v>
      </c>
    </row>
    <row r="15" customFormat="false" ht="15" hidden="false" customHeight="false" outlineLevel="0" collapsed="false">
      <c r="A15" s="18" t="n">
        <v>11</v>
      </c>
      <c r="B15" s="18" t="str">
        <f aca="false">IFERROR(INDEX('SKU Data'!$A$2:$A$1780,MATCH($A15,'SKU Data'!$Y$2:$Y$1780,0)),"")</f>
        <v>AUMJ-NW-011</v>
      </c>
      <c r="C15" s="18" t="str">
        <f aca="false">IFERROR(INDEX('SKU Data'!$B$2:$B$1780,MATCH($A15,'SKU Data'!$Y$2:$Y$1780,0)),"")</f>
        <v>Best Birthday Ever Bouquet in Mason Jar</v>
      </c>
      <c r="D15" s="18" t="str">
        <f aca="false">IFERROR(INDEX('SKU Data'!$D$2:$D$1780,MATCH($A15,'SKU Data'!$Y$2:$Y$1780,0)),"")</f>
        <v>AUMJ</v>
      </c>
      <c r="E15" s="19" t="n">
        <f aca="false">IFERROR(INDEX('SKU Data'!$E$2:$E$1780,MATCH($A15,'SKU Data'!$Y$2:$Y$1780,0)),"")</f>
        <v>2143</v>
      </c>
      <c r="F15" s="19" t="n">
        <f aca="false">IFERROR(INDEX('SKU Data'!$F$2:$F$1780,MATCH($A15,'SKU Data'!$Y$2:$Y$1780,0)),"")</f>
        <v>115</v>
      </c>
      <c r="G15" s="20" t="n">
        <f aca="false">IFERROR(INDEX('SKU Data'!$J$2:$J$1780,MATCH($A15,'SKU Data'!$Y$2:$Y$1780,0)),"")</f>
        <v>0.0536630891273915</v>
      </c>
      <c r="H15" s="21" t="n">
        <f aca="false">IFERROR(INDEX('SKU Data'!$H$2:$H$1780,MATCH($A15,'SKU Data'!$Y$2:$Y$1780,0)),"")</f>
        <v>9879.04</v>
      </c>
      <c r="I15" s="20" t="n">
        <f aca="false">IFERROR(INDEX('SKU Data'!$K$2:$K$1780,MATCH($A15,'SKU Data'!$Y$2:$Y$1780,0)),"")</f>
        <v>0.0534904444762338</v>
      </c>
      <c r="J15" s="22" t="n">
        <f aca="false">IFERROR(INDEX('SKU Data'!$M$2:$M$1780,MATCH($A15,'SKU Data'!$Y$2:$Y$1780,0)),"")</f>
        <v>0.0007669533455862</v>
      </c>
      <c r="K15" s="22" t="n">
        <f aca="false">IFERROR(INDEX('SKU Data'!$L$2:$L$1780,MATCH($A15,'SKU Data'!$Y$2:$Y$1780,0)),"")</f>
        <v>0.0197435227058385</v>
      </c>
      <c r="L15" s="20"/>
      <c r="M15" s="20" t="n">
        <f aca="false">Settings!$B$3</f>
        <v>0.0309861510798204</v>
      </c>
    </row>
    <row r="16" customFormat="false" ht="15" hidden="false" customHeight="false" outlineLevel="0" collapsed="false">
      <c r="A16" s="18" t="n">
        <v>12</v>
      </c>
      <c r="B16" s="18" t="str">
        <f aca="false">IFERROR(INDEX('SKU Data'!$A$2:$A$1780,MATCH($A16,'SKU Data'!$Y$2:$Y$1780,0)),"")</f>
        <v>AURP03</v>
      </c>
      <c r="C16" s="18" t="str">
        <f aca="false">IFERROR(INDEX('SKU Data'!$B$2:$B$1780,MATCH($A16,'SKU Data'!$Y$2:$Y$1780,0)),"")</f>
        <v>Glass Vase</v>
      </c>
      <c r="D16" s="18" t="str">
        <f aca="false">IFERROR(INDEX('SKU Data'!$D$2:$D$1780,MATCH($A16,'SKU Data'!$Y$2:$Y$1780,0)),"")</f>
        <v>AURP</v>
      </c>
      <c r="E16" s="19" t="n">
        <f aca="false">IFERROR(INDEX('SKU Data'!$E$2:$E$1780,MATCH($A16,'SKU Data'!$Y$2:$Y$1780,0)),"")</f>
        <v>2409</v>
      </c>
      <c r="F16" s="19" t="n">
        <f aca="false">IFERROR(INDEX('SKU Data'!$F$2:$F$1780,MATCH($A16,'SKU Data'!$Y$2:$Y$1780,0)),"")</f>
        <v>112</v>
      </c>
      <c r="G16" s="20" t="n">
        <f aca="false">IFERROR(INDEX('SKU Data'!$J$2:$J$1780,MATCH($A16,'SKU Data'!$Y$2:$Y$1780,0)),"")</f>
        <v>0.0464923204649232</v>
      </c>
      <c r="H16" s="21" t="n">
        <f aca="false">IFERROR(INDEX('SKU Data'!$H$2:$H$1780,MATCH($A16,'SKU Data'!$Y$2:$Y$1780,0)),"")</f>
        <v>1180.39</v>
      </c>
      <c r="I16" s="20" t="n">
        <f aca="false">IFERROR(INDEX('SKU Data'!$K$2:$K$1780,MATCH($A16,'SKU Data'!$Y$2:$Y$1780,0)),"")</f>
        <v>0.0432418472088917</v>
      </c>
      <c r="J16" s="22" t="n">
        <f aca="false">IFERROR(INDEX('SKU Data'!$M$2:$M$1780,MATCH($A16,'SKU Data'!$Y$2:$Y$1780,0)),"")</f>
        <v>9.16388697278779E-005</v>
      </c>
      <c r="K16" s="22" t="n">
        <f aca="false">IFERROR(INDEX('SKU Data'!$L$2:$L$1780,MATCH($A16,'SKU Data'!$Y$2:$Y$1780,0)),"")</f>
        <v>0.0023590406321611</v>
      </c>
      <c r="L16" s="20"/>
      <c r="M16" s="20" t="n">
        <f aca="false">Settings!$B$3</f>
        <v>0.0309861510798204</v>
      </c>
    </row>
    <row r="17" customFormat="false" ht="15" hidden="false" customHeight="false" outlineLevel="0" collapsed="false">
      <c r="A17" s="18" t="n">
        <v>13</v>
      </c>
      <c r="B17" s="18" t="str">
        <f aca="false">IFERROR(INDEX('SKU Data'!$A$2:$A$1780,MATCH($A17,'SKU Data'!$Y$2:$Y$1780,0)),"")</f>
        <v>AU112-10</v>
      </c>
      <c r="C17" s="18" t="str">
        <f aca="false">IFERROR(INDEX('SKU Data'!$B$2:$B$1780,MATCH($A17,'SKU Data'!$Y$2:$Y$1780,0)),"")</f>
        <v>Lavender Love</v>
      </c>
      <c r="D17" s="18" t="str">
        <f aca="false">IFERROR(INDEX('SKU Data'!$D$2:$D$1780,MATCH($A17,'SKU Data'!$Y$2:$Y$1780,0)),"")</f>
        <v>AU</v>
      </c>
      <c r="E17" s="19" t="n">
        <f aca="false">IFERROR(INDEX('SKU Data'!$E$2:$E$1780,MATCH($A17,'SKU Data'!$Y$2:$Y$1780,0)),"")</f>
        <v>2208</v>
      </c>
      <c r="F17" s="19" t="n">
        <f aca="false">IFERROR(INDEX('SKU Data'!$F$2:$F$1780,MATCH($A17,'SKU Data'!$Y$2:$Y$1780,0)),"")</f>
        <v>108</v>
      </c>
      <c r="G17" s="20" t="n">
        <f aca="false">IFERROR(INDEX('SKU Data'!$J$2:$J$1780,MATCH($A17,'SKU Data'!$Y$2:$Y$1780,0)),"")</f>
        <v>0.0489130434782609</v>
      </c>
      <c r="H17" s="21" t="n">
        <f aca="false">IFERROR(INDEX('SKU Data'!$H$2:$H$1780,MATCH($A17,'SKU Data'!$Y$2:$Y$1780,0)),"")</f>
        <v>9388.55</v>
      </c>
      <c r="I17" s="20" t="n">
        <f aca="false">IFERROR(INDEX('SKU Data'!$K$2:$K$1780,MATCH($A17,'SKU Data'!$Y$2:$Y$1780,0)),"")</f>
        <v>0.0460674613247113</v>
      </c>
      <c r="J17" s="22" t="n">
        <f aca="false">IFERROR(INDEX('SKU Data'!$M$2:$M$1780,MATCH($A17,'SKU Data'!$Y$2:$Y$1780,0)),"")</f>
        <v>0.000728874448600605</v>
      </c>
      <c r="K17" s="22" t="n">
        <f aca="false">IFERROR(INDEX('SKU Data'!$L$2:$L$1780,MATCH($A17,'SKU Data'!$Y$2:$Y$1780,0)),"")</f>
        <v>0.0187632654691043</v>
      </c>
      <c r="L17" s="20"/>
      <c r="M17" s="20" t="n">
        <f aca="false">Settings!$B$3</f>
        <v>0.0309861510798204</v>
      </c>
    </row>
    <row r="18" customFormat="false" ht="15" hidden="false" customHeight="false" outlineLevel="0" collapsed="false">
      <c r="A18" s="18" t="n">
        <v>14</v>
      </c>
      <c r="B18" s="18" t="str">
        <f aca="false">IFERROR(INDEX('SKU Data'!$A$2:$A$1780,MATCH($A18,'SKU Data'!$Y$2:$Y$1780,0)),"")</f>
        <v>AUMJ-NW-003</v>
      </c>
      <c r="C18" s="18" t="str">
        <f aca="false">IFERROR(INDEX('SKU Data'!$B$2:$B$1780,MATCH($A18,'SKU Data'!$Y$2:$Y$1780,0)),"")</f>
        <v>50 Blooms of Surprise Bud Roses in Mason Jar</v>
      </c>
      <c r="D18" s="18" t="str">
        <f aca="false">IFERROR(INDEX('SKU Data'!$D$2:$D$1780,MATCH($A18,'SKU Data'!$Y$2:$Y$1780,0)),"")</f>
        <v>AUMJ</v>
      </c>
      <c r="E18" s="19" t="n">
        <f aca="false">IFERROR(INDEX('SKU Data'!$E$2:$E$1780,MATCH($A18,'SKU Data'!$Y$2:$Y$1780,0)),"")</f>
        <v>2769</v>
      </c>
      <c r="F18" s="19" t="n">
        <f aca="false">IFERROR(INDEX('SKU Data'!$F$2:$F$1780,MATCH($A18,'SKU Data'!$Y$2:$Y$1780,0)),"")</f>
        <v>106</v>
      </c>
      <c r="G18" s="20" t="n">
        <f aca="false">IFERROR(INDEX('SKU Data'!$J$2:$J$1780,MATCH($A18,'SKU Data'!$Y$2:$Y$1780,0)),"")</f>
        <v>0.0382809678584327</v>
      </c>
      <c r="H18" s="21" t="n">
        <f aca="false">IFERROR(INDEX('SKU Data'!$H$2:$H$1780,MATCH($A18,'SKU Data'!$Y$2:$Y$1780,0)),"")</f>
        <v>8978.84</v>
      </c>
      <c r="I18" s="20" t="n">
        <f aca="false">IFERROR(INDEX('SKU Data'!$K$2:$K$1780,MATCH($A18,'SKU Data'!$Y$2:$Y$1780,0)),"")</f>
        <v>0.0374015821830167</v>
      </c>
      <c r="J18" s="22" t="n">
        <f aca="false">IFERROR(INDEX('SKU Data'!$M$2:$M$1780,MATCH($A18,'SKU Data'!$Y$2:$Y$1780,0)),"")</f>
        <v>0.000697066858468353</v>
      </c>
      <c r="K18" s="22" t="n">
        <f aca="false">IFERROR(INDEX('SKU Data'!$L$2:$L$1780,MATCH($A18,'SKU Data'!$Y$2:$Y$1780,0)),"")</f>
        <v>0.0179444491987168</v>
      </c>
      <c r="L18" s="20"/>
      <c r="M18" s="20" t="n">
        <f aca="false">Settings!$B$3</f>
        <v>0.0309861510798204</v>
      </c>
    </row>
    <row r="19" customFormat="false" ht="15" hidden="false" customHeight="false" outlineLevel="0" collapsed="false">
      <c r="A19" s="18" t="n">
        <v>15</v>
      </c>
      <c r="B19" s="18" t="str">
        <f aca="false">IFERROR(INDEX('SKU Data'!$A$2:$A$1780,MATCH($A19,'SKU Data'!$Y$2:$Y$1780,0)),"")</f>
        <v>MJ100-17</v>
      </c>
      <c r="C19" s="18" t="str">
        <f aca="false">IFERROR(INDEX('SKU Data'!$B$2:$B$1780,MATCH($A19,'SKU Data'!$Y$2:$Y$1780,0)),"")</f>
        <v>Thirty Blooms of Alstroemeria in Mason Jar</v>
      </c>
      <c r="D19" s="18" t="str">
        <f aca="false">IFERROR(INDEX('SKU Data'!$D$2:$D$1780,MATCH($A19,'SKU Data'!$Y$2:$Y$1780,0)),"")</f>
        <v>MJ</v>
      </c>
      <c r="E19" s="19" t="n">
        <f aca="false">IFERROR(INDEX('SKU Data'!$E$2:$E$1780,MATCH($A19,'SKU Data'!$Y$2:$Y$1780,0)),"")</f>
        <v>2096</v>
      </c>
      <c r="F19" s="19" t="n">
        <f aca="false">IFERROR(INDEX('SKU Data'!$F$2:$F$1780,MATCH($A19,'SKU Data'!$Y$2:$Y$1780,0)),"")</f>
        <v>104</v>
      </c>
      <c r="G19" s="20" t="n">
        <f aca="false">IFERROR(INDEX('SKU Data'!$J$2:$J$1780,MATCH($A19,'SKU Data'!$Y$2:$Y$1780,0)),"")</f>
        <v>0.049618320610687</v>
      </c>
      <c r="H19" s="21" t="n">
        <f aca="false">IFERROR(INDEX('SKU Data'!$H$2:$H$1780,MATCH($A19,'SKU Data'!$Y$2:$Y$1780,0)),"")</f>
        <v>6020.46</v>
      </c>
      <c r="I19" s="20" t="n">
        <f aca="false">IFERROR(INDEX('SKU Data'!$K$2:$K$1780,MATCH($A19,'SKU Data'!$Y$2:$Y$1780,0)),"")</f>
        <v>0.0459822209044714</v>
      </c>
      <c r="J19" s="22" t="n">
        <f aca="false">IFERROR(INDEX('SKU Data'!$M$2:$M$1780,MATCH($A19,'SKU Data'!$Y$2:$Y$1780,0)),"")</f>
        <v>0.000467394801414702</v>
      </c>
      <c r="K19" s="22" t="n">
        <f aca="false">IFERROR(INDEX('SKU Data'!$L$2:$L$1780,MATCH($A19,'SKU Data'!$Y$2:$Y$1780,0)),"")</f>
        <v>0.0120320485299779</v>
      </c>
      <c r="L19" s="20"/>
      <c r="M19" s="20" t="n">
        <f aca="false">Settings!$B$3</f>
        <v>0.0309861510798204</v>
      </c>
    </row>
    <row r="20" customFormat="false" ht="15" hidden="false" customHeight="false" outlineLevel="0" collapsed="false">
      <c r="A20" s="18" t="n">
        <v>16</v>
      </c>
      <c r="B20" s="18" t="str">
        <f aca="false">IFERROR(INDEX('SKU Data'!$A$2:$A$1780,MATCH($A20,'SKU Data'!$Y$2:$Y$1780,0)),"")</f>
        <v>AURP04</v>
      </c>
      <c r="C20" s="18" t="str">
        <f aca="false">IFERROR(INDEX('SKU Data'!$B$2:$B$1780,MATCH($A20,'SKU Data'!$Y$2:$Y$1780,0)),"")</f>
        <v>Glass Vase (Hand blown)</v>
      </c>
      <c r="D20" s="18" t="str">
        <f aca="false">IFERROR(INDEX('SKU Data'!$D$2:$D$1780,MATCH($A20,'SKU Data'!$Y$2:$Y$1780,0)),"")</f>
        <v>AURP</v>
      </c>
      <c r="E20" s="19" t="n">
        <f aca="false">IFERROR(INDEX('SKU Data'!$E$2:$E$1780,MATCH($A20,'SKU Data'!$Y$2:$Y$1780,0)),"")</f>
        <v>1997</v>
      </c>
      <c r="F20" s="19" t="n">
        <f aca="false">IFERROR(INDEX('SKU Data'!$F$2:$F$1780,MATCH($A20,'SKU Data'!$Y$2:$Y$1780,0)),"")</f>
        <v>104</v>
      </c>
      <c r="G20" s="20" t="n">
        <f aca="false">IFERROR(INDEX('SKU Data'!$J$2:$J$1780,MATCH($A20,'SKU Data'!$Y$2:$Y$1780,0)),"")</f>
        <v>0.0520781171757637</v>
      </c>
      <c r="H20" s="21" t="n">
        <f aca="false">IFERROR(INDEX('SKU Data'!$H$2:$H$1780,MATCH($A20,'SKU Data'!$Y$2:$Y$1780,0)),"")</f>
        <v>811.9</v>
      </c>
      <c r="I20" s="20" t="n">
        <f aca="false">IFERROR(INDEX('SKU Data'!$K$2:$K$1780,MATCH($A20,'SKU Data'!$Y$2:$Y$1780,0)),"")</f>
        <v>0.0488099897257948</v>
      </c>
      <c r="J20" s="22" t="n">
        <f aca="false">IFERROR(INDEX('SKU Data'!$M$2:$M$1780,MATCH($A20,'SKU Data'!$Y$2:$Y$1780,0)),"")</f>
        <v>6.30313695745169E-005</v>
      </c>
      <c r="K20" s="22" t="n">
        <f aca="false">IFERROR(INDEX('SKU Data'!$L$2:$L$1780,MATCH($A20,'SKU Data'!$Y$2:$Y$1780,0)),"")</f>
        <v>0.0016226036218975</v>
      </c>
      <c r="L20" s="20"/>
      <c r="M20" s="20" t="n">
        <f aca="false">Settings!$B$3</f>
        <v>0.0309861510798204</v>
      </c>
    </row>
    <row r="21" customFormat="false" ht="15" hidden="false" customHeight="false" outlineLevel="0" collapsed="false">
      <c r="A21" s="18" t="n">
        <v>17</v>
      </c>
      <c r="B21" s="18" t="str">
        <f aca="false">IFERROR(INDEX('SKU Data'!$A$2:$A$1780,MATCH($A21,'SKU Data'!$Y$2:$Y$1780,0)),"")</f>
        <v>AU0511-17</v>
      </c>
      <c r="C21" s="18" t="str">
        <f aca="false">IFERROR(INDEX('SKU Data'!$B$2:$B$1780,MATCH($A21,'SKU Data'!$Y$2:$Y$1780,0)),"")</f>
        <v>Summer Blooms</v>
      </c>
      <c r="D21" s="18" t="str">
        <f aca="false">IFERROR(INDEX('SKU Data'!$D$2:$D$1780,MATCH($A21,'SKU Data'!$Y$2:$Y$1780,0)),"")</f>
        <v>AU</v>
      </c>
      <c r="E21" s="19" t="n">
        <f aca="false">IFERROR(INDEX('SKU Data'!$E$2:$E$1780,MATCH($A21,'SKU Data'!$Y$2:$Y$1780,0)),"")</f>
        <v>1560</v>
      </c>
      <c r="F21" s="19" t="n">
        <f aca="false">IFERROR(INDEX('SKU Data'!$F$2:$F$1780,MATCH($A21,'SKU Data'!$Y$2:$Y$1780,0)),"")</f>
        <v>97</v>
      </c>
      <c r="G21" s="20" t="n">
        <f aca="false">IFERROR(INDEX('SKU Data'!$J$2:$J$1780,MATCH($A21,'SKU Data'!$Y$2:$Y$1780,0)),"")</f>
        <v>0.0621794871794872</v>
      </c>
      <c r="H21" s="21" t="n">
        <f aca="false">IFERROR(INDEX('SKU Data'!$H$2:$H$1780,MATCH($A21,'SKU Data'!$Y$2:$Y$1780,0)),"")</f>
        <v>5315.16</v>
      </c>
      <c r="I21" s="20" t="n">
        <f aca="false">IFERROR(INDEX('SKU Data'!$K$2:$K$1780,MATCH($A21,'SKU Data'!$Y$2:$Y$1780,0)),"")</f>
        <v>0.0600104933346325</v>
      </c>
      <c r="J21" s="22" t="n">
        <f aca="false">IFERROR(INDEX('SKU Data'!$M$2:$M$1780,MATCH($A21,'SKU Data'!$Y$2:$Y$1780,0)),"")</f>
        <v>0.00041263925890835</v>
      </c>
      <c r="K21" s="22" t="n">
        <f aca="false">IFERROR(INDEX('SKU Data'!$L$2:$L$1780,MATCH($A21,'SKU Data'!$Y$2:$Y$1780,0)),"")</f>
        <v>0.0106224878272752</v>
      </c>
      <c r="L21" s="20"/>
      <c r="M21" s="20" t="n">
        <f aca="false">Settings!$B$3</f>
        <v>0.0309861510798204</v>
      </c>
    </row>
    <row r="22" customFormat="false" ht="15" hidden="false" customHeight="false" outlineLevel="0" collapsed="false">
      <c r="A22" s="18" t="n">
        <v>18</v>
      </c>
      <c r="B22" s="18" t="str">
        <f aca="false">IFERROR(INDEX('SKU Data'!$A$2:$A$1780,MATCH($A22,'SKU Data'!$Y$2:$Y$1780,0)),"")</f>
        <v>MJ100-04</v>
      </c>
      <c r="C22" s="18" t="str">
        <f aca="false">IFERROR(INDEX('SKU Data'!$B$2:$B$1780,MATCH($A22,'SKU Data'!$Y$2:$Y$1780,0)),"")</f>
        <v>What a Treat in Mason Jar</v>
      </c>
      <c r="D22" s="18" t="str">
        <f aca="false">IFERROR(INDEX('SKU Data'!$D$2:$D$1780,MATCH($A22,'SKU Data'!$Y$2:$Y$1780,0)),"")</f>
        <v>MJ</v>
      </c>
      <c r="E22" s="19" t="n">
        <f aca="false">IFERROR(INDEX('SKU Data'!$E$2:$E$1780,MATCH($A22,'SKU Data'!$Y$2:$Y$1780,0)),"")</f>
        <v>5316</v>
      </c>
      <c r="F22" s="19" t="n">
        <f aca="false">IFERROR(INDEX('SKU Data'!$F$2:$F$1780,MATCH($A22,'SKU Data'!$Y$2:$Y$1780,0)),"")</f>
        <v>97</v>
      </c>
      <c r="G22" s="20" t="n">
        <f aca="false">IFERROR(INDEX('SKU Data'!$J$2:$J$1780,MATCH($A22,'SKU Data'!$Y$2:$Y$1780,0)),"")</f>
        <v>0.0182468021068473</v>
      </c>
      <c r="H22" s="21" t="n">
        <f aca="false">IFERROR(INDEX('SKU Data'!$H$2:$H$1780,MATCH($A22,'SKU Data'!$Y$2:$Y$1780,0)),"")</f>
        <v>5347.79</v>
      </c>
      <c r="I22" s="20" t="n">
        <f aca="false">IFERROR(INDEX('SKU Data'!$K$2:$K$1780,MATCH($A22,'SKU Data'!$Y$2:$Y$1780,0)),"")</f>
        <v>0.0184347700310018</v>
      </c>
      <c r="J22" s="22" t="n">
        <f aca="false">IFERROR(INDEX('SKU Data'!$M$2:$M$1780,MATCH($A22,'SKU Data'!$Y$2:$Y$1780,0)),"")</f>
        <v>0.000415172469388971</v>
      </c>
      <c r="K22" s="22" t="n">
        <f aca="false">IFERROR(INDEX('SKU Data'!$L$2:$L$1780,MATCH($A22,'SKU Data'!$Y$2:$Y$1780,0)),"")</f>
        <v>0.0106876997452239</v>
      </c>
      <c r="L22" s="20"/>
      <c r="M22" s="20" t="n">
        <f aca="false">Settings!$B$3</f>
        <v>0.0309861510798204</v>
      </c>
    </row>
    <row r="23" customFormat="false" ht="15" hidden="false" customHeight="false" outlineLevel="0" collapsed="false">
      <c r="A23" s="18" t="n">
        <v>19</v>
      </c>
      <c r="B23" s="18" t="str">
        <f aca="false">IFERROR(INDEX('SKU Data'!$A$2:$A$1780,MATCH($A23,'SKU Data'!$Y$2:$Y$1780,0)),"")</f>
        <v>AURP-C02</v>
      </c>
      <c r="C23" s="18" t="str">
        <f aca="false">IFERROR(INDEX('SKU Data'!$B$2:$B$1780,MATCH($A23,'SKU Data'!$Y$2:$Y$1780,0)),"")</f>
        <v>Large Box of Premium Chocolates</v>
      </c>
      <c r="D23" s="18" t="str">
        <f aca="false">IFERROR(INDEX('SKU Data'!$D$2:$D$1780,MATCH($A23,'SKU Data'!$Y$2:$Y$1780,0)),"")</f>
        <v>AURP</v>
      </c>
      <c r="E23" s="19" t="n">
        <f aca="false">IFERROR(INDEX('SKU Data'!$E$2:$E$1780,MATCH($A23,'SKU Data'!$Y$2:$Y$1780,0)),"")</f>
        <v>2392</v>
      </c>
      <c r="F23" s="19" t="n">
        <f aca="false">IFERROR(INDEX('SKU Data'!$F$2:$F$1780,MATCH($A23,'SKU Data'!$Y$2:$Y$1780,0)),"")</f>
        <v>96</v>
      </c>
      <c r="G23" s="20" t="n">
        <f aca="false">IFERROR(INDEX('SKU Data'!$J$2:$J$1780,MATCH($A23,'SKU Data'!$Y$2:$Y$1780,0)),"")</f>
        <v>0.0401337792642141</v>
      </c>
      <c r="H23" s="21" t="n">
        <f aca="false">IFERROR(INDEX('SKU Data'!$H$2:$H$1780,MATCH($A23,'SKU Data'!$Y$2:$Y$1780,0)),"")</f>
        <v>1962.91</v>
      </c>
      <c r="I23" s="20" t="n">
        <f aca="false">IFERROR(INDEX('SKU Data'!$K$2:$K$1780,MATCH($A23,'SKU Data'!$Y$2:$Y$1780,0)),"")</f>
        <v>0.0372036859682983</v>
      </c>
      <c r="J23" s="22" t="n">
        <f aca="false">IFERROR(INDEX('SKU Data'!$M$2:$M$1780,MATCH($A23,'SKU Data'!$Y$2:$Y$1780,0)),"")</f>
        <v>0.000152389340622632</v>
      </c>
      <c r="K23" s="22" t="n">
        <f aca="false">IFERROR(INDEX('SKU Data'!$L$2:$L$1780,MATCH($A23,'SKU Data'!$Y$2:$Y$1780,0)),"")</f>
        <v>0.003922927547061</v>
      </c>
      <c r="L23" s="20"/>
      <c r="M23" s="20" t="n">
        <f aca="false">Settings!$B$3</f>
        <v>0.0309861510798204</v>
      </c>
    </row>
    <row r="24" customFormat="false" ht="15" hidden="false" customHeight="false" outlineLevel="0" collapsed="false">
      <c r="A24" s="18" t="n">
        <v>20</v>
      </c>
      <c r="B24" s="18" t="str">
        <f aca="false">IFERROR(INDEX('SKU Data'!$A$2:$A$1780,MATCH($A24,'SKU Data'!$Y$2:$Y$1780,0)),"")</f>
        <v>AURP02-30</v>
      </c>
      <c r="C24" s="18" t="str">
        <f aca="false">IFERROR(INDEX('SKU Data'!$B$2:$B$1780,MATCH($A24,'SKU Data'!$Y$2:$Y$1780,0)),"")</f>
        <v>Belgium Truffles</v>
      </c>
      <c r="D24" s="18" t="str">
        <f aca="false">IFERROR(INDEX('SKU Data'!$D$2:$D$1780,MATCH($A24,'SKU Data'!$Y$2:$Y$1780,0)),"")</f>
        <v>AURP</v>
      </c>
      <c r="E24" s="19" t="n">
        <f aca="false">IFERROR(INDEX('SKU Data'!$E$2:$E$1780,MATCH($A24,'SKU Data'!$Y$2:$Y$1780,0)),"")</f>
        <v>1815</v>
      </c>
      <c r="F24" s="19" t="n">
        <f aca="false">IFERROR(INDEX('SKU Data'!$F$2:$F$1780,MATCH($A24,'SKU Data'!$Y$2:$Y$1780,0)),"")</f>
        <v>93</v>
      </c>
      <c r="G24" s="20" t="n">
        <f aca="false">IFERROR(INDEX('SKU Data'!$J$2:$J$1780,MATCH($A24,'SKU Data'!$Y$2:$Y$1780,0)),"")</f>
        <v>0.0512396694214876</v>
      </c>
      <c r="H24" s="21" t="n">
        <f aca="false">IFERROR(INDEX('SKU Data'!$H$2:$H$1780,MATCH($A24,'SKU Data'!$Y$2:$Y$1780,0)),"")</f>
        <v>820.3</v>
      </c>
      <c r="I24" s="20" t="n">
        <f aca="false">IFERROR(INDEX('SKU Data'!$K$2:$K$1780,MATCH($A24,'SKU Data'!$Y$2:$Y$1780,0)),"")</f>
        <v>0.0476497513824992</v>
      </c>
      <c r="J24" s="22" t="n">
        <f aca="false">IFERROR(INDEX('SKU Data'!$M$2:$M$1780,MATCH($A24,'SKU Data'!$Y$2:$Y$1780,0)),"")</f>
        <v>6.36834985367363E-005</v>
      </c>
      <c r="K24" s="22" t="n">
        <f aca="false">IFERROR(INDEX('SKU Data'!$L$2:$L$1780,MATCH($A24,'SKU Data'!$Y$2:$Y$1780,0)),"")</f>
        <v>0.00163939124404794</v>
      </c>
      <c r="L24" s="20"/>
      <c r="M24" s="20" t="n">
        <f aca="false">Settings!$B$3</f>
        <v>0.0309861510798204</v>
      </c>
    </row>
    <row r="25" customFormat="false" ht="15" hidden="false" customHeight="false" outlineLevel="0" collapsed="false">
      <c r="A25" s="18" t="n">
        <v>21</v>
      </c>
      <c r="B25" s="18" t="str">
        <f aca="false">IFERROR(INDEX('SKU Data'!$A$2:$A$1780,MATCH($A25,'SKU Data'!$Y$2:$Y$1780,0)),"")</f>
        <v>AURP-B1</v>
      </c>
      <c r="C25" s="18" t="str">
        <f aca="false">IFERROR(INDEX('SKU Data'!$B$2:$B$1780,MATCH($A25,'SKU Data'!$Y$2:$Y$1780,0)),"")</f>
        <v>I Love You Balloon</v>
      </c>
      <c r="D25" s="18" t="str">
        <f aca="false">IFERROR(INDEX('SKU Data'!$D$2:$D$1780,MATCH($A25,'SKU Data'!$Y$2:$Y$1780,0)),"")</f>
        <v>AURP</v>
      </c>
      <c r="E25" s="19" t="n">
        <f aca="false">IFERROR(INDEX('SKU Data'!$E$2:$E$1780,MATCH($A25,'SKU Data'!$Y$2:$Y$1780,0)),"")</f>
        <v>1872</v>
      </c>
      <c r="F25" s="19" t="n">
        <f aca="false">IFERROR(INDEX('SKU Data'!$F$2:$F$1780,MATCH($A25,'SKU Data'!$Y$2:$Y$1780,0)),"")</f>
        <v>92</v>
      </c>
      <c r="G25" s="20" t="n">
        <f aca="false">IFERROR(INDEX('SKU Data'!$J$2:$J$1780,MATCH($A25,'SKU Data'!$Y$2:$Y$1780,0)),"")</f>
        <v>0.0491452991452991</v>
      </c>
      <c r="H25" s="21" t="n">
        <f aca="false">IFERROR(INDEX('SKU Data'!$H$2:$H$1780,MATCH($A25,'SKU Data'!$Y$2:$Y$1780,0)),"")</f>
        <v>750.47</v>
      </c>
      <c r="I25" s="20" t="n">
        <f aca="false">IFERROR(INDEX('SKU Data'!$K$2:$K$1780,MATCH($A25,'SKU Data'!$Y$2:$Y$1780,0)),"")</f>
        <v>0.046376150644163</v>
      </c>
      <c r="J25" s="22" t="n">
        <f aca="false">IFERROR(INDEX('SKU Data'!$M$2:$M$1780,MATCH($A25,'SKU Data'!$Y$2:$Y$1780,0)),"")</f>
        <v>5.82622883662861E-005</v>
      </c>
      <c r="K25" s="22" t="n">
        <f aca="false">IFERROR(INDEX('SKU Data'!$L$2:$L$1780,MATCH($A25,'SKU Data'!$Y$2:$Y$1780,0)),"")</f>
        <v>0.00149983414229021</v>
      </c>
      <c r="L25" s="20"/>
      <c r="M25" s="20" t="n">
        <f aca="false">Settings!$B$3</f>
        <v>0.0309861510798204</v>
      </c>
    </row>
    <row r="26" customFormat="false" ht="15" hidden="false" customHeight="false" outlineLevel="0" collapsed="false">
      <c r="A26" s="18" t="n">
        <v>22</v>
      </c>
      <c r="B26" s="18" t="str">
        <f aca="false">IFERROR(INDEX('SKU Data'!$A$2:$A$1780,MATCH($A26,'SKU Data'!$Y$2:$Y$1780,0)),"")</f>
        <v>RP03S</v>
      </c>
      <c r="C26" s="18" t="str">
        <f aca="false">IFERROR(INDEX('SKU Data'!$B$2:$B$1780,MATCH($A26,'SKU Data'!$Y$2:$Y$1780,0)),"")</f>
        <v>Clear Glass Vase</v>
      </c>
      <c r="D26" s="18" t="str">
        <f aca="false">IFERROR(INDEX('SKU Data'!$D$2:$D$1780,MATCH($A26,'SKU Data'!$Y$2:$Y$1780,0)),"")</f>
        <v>RP</v>
      </c>
      <c r="E26" s="19" t="n">
        <f aca="false">IFERROR(INDEX('SKU Data'!$E$2:$E$1780,MATCH($A26,'SKU Data'!$Y$2:$Y$1780,0)),"")</f>
        <v>1096</v>
      </c>
      <c r="F26" s="19" t="n">
        <f aca="false">IFERROR(INDEX('SKU Data'!$F$2:$F$1780,MATCH($A26,'SKU Data'!$Y$2:$Y$1780,0)),"")</f>
        <v>88</v>
      </c>
      <c r="G26" s="20" t="n">
        <f aca="false">IFERROR(INDEX('SKU Data'!$J$2:$J$1780,MATCH($A26,'SKU Data'!$Y$2:$Y$1780,0)),"")</f>
        <v>0.0802919708029197</v>
      </c>
      <c r="H26" s="21" t="n">
        <f aca="false">IFERROR(INDEX('SKU Data'!$H$2:$H$1780,MATCH($A26,'SKU Data'!$Y$2:$Y$1780,0)),"")</f>
        <v>748.77</v>
      </c>
      <c r="I26" s="20" t="n">
        <f aca="false">IFERROR(INDEX('SKU Data'!$K$2:$K$1780,MATCH($A26,'SKU Data'!$Y$2:$Y$1780,0)),"")</f>
        <v>0.0752892841198403</v>
      </c>
      <c r="J26" s="22" t="n">
        <f aca="false">IFERROR(INDEX('SKU Data'!$M$2:$M$1780,MATCH($A26,'SKU Data'!$Y$2:$Y$1780,0)),"")</f>
        <v>5.8130309885837E-005</v>
      </c>
      <c r="K26" s="22" t="n">
        <f aca="false">IFERROR(INDEX('SKU Data'!$L$2:$L$1780,MATCH($A26,'SKU Data'!$Y$2:$Y$1780,0)),"")</f>
        <v>0.00149643664733119</v>
      </c>
      <c r="L26" s="20"/>
      <c r="M26" s="20" t="n">
        <f aca="false">Settings!$B$3</f>
        <v>0.0309861510798204</v>
      </c>
    </row>
    <row r="27" customFormat="false" ht="15" hidden="false" customHeight="false" outlineLevel="0" collapsed="false">
      <c r="A27" s="18" t="n">
        <v>23</v>
      </c>
      <c r="B27" s="18" t="str">
        <f aca="false">IFERROR(INDEX('SKU Data'!$A$2:$A$1780,MATCH($A27,'SKU Data'!$Y$2:$Y$1780,0)),"")</f>
        <v>AURP-13sp</v>
      </c>
      <c r="C27" s="18" t="str">
        <f aca="false">IFERROR(INDEX('SKU Data'!$B$2:$B$1780,MATCH($A27,'SKU Data'!$Y$2:$Y$1780,0)),"")</f>
        <v>Chocolates &amp; Teddy</v>
      </c>
      <c r="D27" s="18" t="str">
        <f aca="false">IFERROR(INDEX('SKU Data'!$D$2:$D$1780,MATCH($A27,'SKU Data'!$Y$2:$Y$1780,0)),"")</f>
        <v>AURP</v>
      </c>
      <c r="E27" s="19" t="n">
        <f aca="false">IFERROR(INDEX('SKU Data'!$E$2:$E$1780,MATCH($A27,'SKU Data'!$Y$2:$Y$1780,0)),"")</f>
        <v>1589</v>
      </c>
      <c r="F27" s="19" t="n">
        <f aca="false">IFERROR(INDEX('SKU Data'!$F$2:$F$1780,MATCH($A27,'SKU Data'!$Y$2:$Y$1780,0)),"")</f>
        <v>85</v>
      </c>
      <c r="G27" s="20" t="n">
        <f aca="false">IFERROR(INDEX('SKU Data'!$J$2:$J$1780,MATCH($A27,'SKU Data'!$Y$2:$Y$1780,0)),"")</f>
        <v>0.0534927627438641</v>
      </c>
      <c r="H27" s="21" t="n">
        <f aca="false">IFERROR(INDEX('SKU Data'!$H$2:$H$1780,MATCH($A27,'SKU Data'!$Y$2:$Y$1780,0)),"")</f>
        <v>1209.72</v>
      </c>
      <c r="I27" s="20" t="n">
        <f aca="false">IFERROR(INDEX('SKU Data'!$K$2:$K$1780,MATCH($A27,'SKU Data'!$Y$2:$Y$1780,0)),"")</f>
        <v>0.0502253397741828</v>
      </c>
      <c r="J27" s="22" t="n">
        <f aca="false">IFERROR(INDEX('SKU Data'!$M$2:$M$1780,MATCH($A27,'SKU Data'!$Y$2:$Y$1780,0)),"")</f>
        <v>9.39158866876273E-005</v>
      </c>
      <c r="K27" s="22" t="n">
        <f aca="false">IFERROR(INDEX('SKU Data'!$L$2:$L$1780,MATCH($A27,'SKU Data'!$Y$2:$Y$1780,0)),"")</f>
        <v>0.00241765741283637</v>
      </c>
      <c r="L27" s="20"/>
      <c r="M27" s="20" t="n">
        <f aca="false">Settings!$B$3</f>
        <v>0.0309861510798204</v>
      </c>
    </row>
    <row r="28" customFormat="false" ht="15" hidden="false" customHeight="false" outlineLevel="0" collapsed="false">
      <c r="A28" s="18" t="n">
        <v>24</v>
      </c>
      <c r="B28" s="18" t="str">
        <f aca="false">IFERROR(INDEX('SKU Data'!$A$2:$A$1780,MATCH($A28,'SKU Data'!$Y$2:$Y$1780,0)),"")</f>
        <v>MDM25-13</v>
      </c>
      <c r="C28" s="18" t="str">
        <f aca="false">IFERROR(INDEX('SKU Data'!$B$2:$B$1780,MATCH($A28,'SKU Data'!$Y$2:$Y$1780,0)),"")</f>
        <v>Blushing Muse Bouquet</v>
      </c>
      <c r="D28" s="18" t="str">
        <f aca="false">IFERROR(INDEX('SKU Data'!$D$2:$D$1780,MATCH($A28,'SKU Data'!$Y$2:$Y$1780,0)),"")</f>
        <v>MDM</v>
      </c>
      <c r="E28" s="19" t="n">
        <f aca="false">IFERROR(INDEX('SKU Data'!$E$2:$E$1780,MATCH($A28,'SKU Data'!$Y$2:$Y$1780,0)),"")</f>
        <v>4105</v>
      </c>
      <c r="F28" s="19" t="n">
        <f aca="false">IFERROR(INDEX('SKU Data'!$F$2:$F$1780,MATCH($A28,'SKU Data'!$Y$2:$Y$1780,0)),"")</f>
        <v>85</v>
      </c>
      <c r="G28" s="20" t="n">
        <f aca="false">IFERROR(INDEX('SKU Data'!$J$2:$J$1780,MATCH($A28,'SKU Data'!$Y$2:$Y$1780,0)),"")</f>
        <v>0.0207064555420219</v>
      </c>
      <c r="H28" s="21" t="n">
        <f aca="false">IFERROR(INDEX('SKU Data'!$H$2:$H$1780,MATCH($A28,'SKU Data'!$Y$2:$Y$1780,0)),"")</f>
        <v>5835.37</v>
      </c>
      <c r="I28" s="20" t="n">
        <f aca="false">IFERROR(INDEX('SKU Data'!$K$2:$K$1780,MATCH($A28,'SKU Data'!$Y$2:$Y$1780,0)),"")</f>
        <v>0.0231245101213744</v>
      </c>
      <c r="J28" s="22" t="n">
        <f aca="false">IFERROR(INDEX('SKU Data'!$M$2:$M$1780,MATCH($A28,'SKU Data'!$Y$2:$Y$1780,0)),"")</f>
        <v>0.000453025450269798</v>
      </c>
      <c r="K28" s="22" t="n">
        <f aca="false">IFERROR(INDEX('SKU Data'!$L$2:$L$1780,MATCH($A28,'SKU Data'!$Y$2:$Y$1780,0)),"")</f>
        <v>0.0116621412699988</v>
      </c>
      <c r="L28" s="20"/>
      <c r="M28" s="20" t="n">
        <f aca="false">Settings!$B$3</f>
        <v>0.0309861510798204</v>
      </c>
    </row>
    <row r="29" customFormat="false" ht="15" hidden="false" customHeight="false" outlineLevel="0" collapsed="false">
      <c r="A29" s="18" t="n">
        <v>25</v>
      </c>
      <c r="B29" s="18" t="str">
        <f aca="false">IFERROR(INDEX('SKU Data'!$A$2:$A$1780,MATCH($A29,'SKU Data'!$Y$2:$Y$1780,0)),"")</f>
        <v>AU222-80</v>
      </c>
      <c r="C29" s="18" t="str">
        <f aca="false">IFERROR(INDEX('SKU Data'!$B$2:$B$1780,MATCH($A29,'SKU Data'!$Y$2:$Y$1780,0)),"")</f>
        <v>Wild Spirits</v>
      </c>
      <c r="D29" s="18" t="str">
        <f aca="false">IFERROR(INDEX('SKU Data'!$D$2:$D$1780,MATCH($A29,'SKU Data'!$Y$2:$Y$1780,0)),"")</f>
        <v>AU</v>
      </c>
      <c r="E29" s="19" t="n">
        <f aca="false">IFERROR(INDEX('SKU Data'!$E$2:$E$1780,MATCH($A29,'SKU Data'!$Y$2:$Y$1780,0)),"")</f>
        <v>1727</v>
      </c>
      <c r="F29" s="19" t="n">
        <f aca="false">IFERROR(INDEX('SKU Data'!$F$2:$F$1780,MATCH($A29,'SKU Data'!$Y$2:$Y$1780,0)),"")</f>
        <v>80</v>
      </c>
      <c r="G29" s="20" t="n">
        <f aca="false">IFERROR(INDEX('SKU Data'!$J$2:$J$1780,MATCH($A29,'SKU Data'!$Y$2:$Y$1780,0)),"")</f>
        <v>0.0463231036479444</v>
      </c>
      <c r="H29" s="21" t="n">
        <f aca="false">IFERROR(INDEX('SKU Data'!$H$2:$H$1780,MATCH($A29,'SKU Data'!$Y$2:$Y$1780,0)),"")</f>
        <v>6215.17</v>
      </c>
      <c r="I29" s="20" t="n">
        <f aca="false">IFERROR(INDEX('SKU Data'!$K$2:$K$1780,MATCH($A29,'SKU Data'!$Y$2:$Y$1780,0)),"")</f>
        <v>0.0441329775808476</v>
      </c>
      <c r="J29" s="22" t="n">
        <f aca="false">IFERROR(INDEX('SKU Data'!$M$2:$M$1780,MATCH($A29,'SKU Data'!$Y$2:$Y$1780,0)),"")</f>
        <v>0.000482510995490147</v>
      </c>
      <c r="K29" s="22" t="n">
        <f aca="false">IFERROR(INDEX('SKU Data'!$L$2:$L$1780,MATCH($A29,'SKU Data'!$Y$2:$Y$1780,0)),"")</f>
        <v>0.0124211816143721</v>
      </c>
      <c r="L29" s="20"/>
      <c r="M29" s="20" t="n">
        <f aca="false">Settings!$B$3</f>
        <v>0.0309861510798204</v>
      </c>
    </row>
    <row r="32" customFormat="false" ht="21.75" hidden="false" customHeight="true" outlineLevel="0" collapsed="false">
      <c r="A32" s="16" t="s">
        <v>42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42" hidden="false" customHeight="true" outlineLevel="0" collapsed="false">
      <c r="A33" s="17" t="s">
        <v>38</v>
      </c>
      <c r="B33" s="17" t="s">
        <v>16</v>
      </c>
      <c r="C33" s="17" t="s">
        <v>17</v>
      </c>
      <c r="D33" s="17" t="s">
        <v>29</v>
      </c>
      <c r="E33" s="17" t="s">
        <v>19</v>
      </c>
      <c r="F33" s="17" t="s">
        <v>20</v>
      </c>
      <c r="G33" s="17" t="s">
        <v>5</v>
      </c>
      <c r="H33" s="17" t="s">
        <v>22</v>
      </c>
      <c r="I33" s="17" t="s">
        <v>30</v>
      </c>
      <c r="J33" s="17" t="s">
        <v>23</v>
      </c>
      <c r="K33" s="17" t="s">
        <v>39</v>
      </c>
      <c r="L33" s="17" t="s">
        <v>40</v>
      </c>
      <c r="M33" s="17" t="s">
        <v>41</v>
      </c>
    </row>
    <row r="34" customFormat="false" ht="15" hidden="false" customHeight="false" outlineLevel="0" collapsed="false">
      <c r="A34" s="18" t="n">
        <v>1</v>
      </c>
      <c r="B34" s="18" t="str">
        <f aca="false">IFERROR(INDEX('SKU Data'!$A$2:$A$1780,MATCH($A34,'SKU Data'!$Z$2:$Z$1780,0)),"")</f>
        <v>AUMJ-NW-005</v>
      </c>
      <c r="C34" s="18" t="str">
        <f aca="false">IFERROR(INDEX('SKU Data'!$B$2:$B$1780,MATCH($A34,'SKU Data'!$Z$2:$Z$1780,0)),"")</f>
        <v>Native Flowers Bouquet in Mason Jar</v>
      </c>
      <c r="D34" s="18" t="str">
        <f aca="false">IFERROR(INDEX('SKU Data'!$D$2:$D$1780,MATCH($A34,'SKU Data'!$Z$2:$Z$1780,0)),"")</f>
        <v>AUMJ</v>
      </c>
      <c r="E34" s="19" t="n">
        <f aca="false">IFERROR(INDEX('SKU Data'!$E$2:$E$1780,MATCH($A34,'SKU Data'!$Z$2:$Z$1780,0)),"")</f>
        <v>6304</v>
      </c>
      <c r="F34" s="19" t="n">
        <f aca="false">IFERROR(INDEX('SKU Data'!$F$2:$F$1780,MATCH($A34,'SKU Data'!$Z$2:$Z$1780,0)),"")</f>
        <v>335</v>
      </c>
      <c r="G34" s="20" t="n">
        <f aca="false">IFERROR(INDEX('SKU Data'!$J$2:$J$1780,MATCH($A34,'SKU Data'!$Z$2:$Z$1780,0)),"")</f>
        <v>0.0531408629441624</v>
      </c>
      <c r="H34" s="21" t="n">
        <f aca="false">IFERROR(INDEX('SKU Data'!$H$2:$H$1780,MATCH($A34,'SKU Data'!$Z$2:$Z$1780,0)),"")</f>
        <v>30439.34</v>
      </c>
      <c r="I34" s="20" t="n">
        <f aca="false">IFERROR(INDEX('SKU Data'!$K$2:$K$1780,MATCH($A34,'SKU Data'!$Z$2:$Z$1780,0)),"")</f>
        <v>0.0515220221390055</v>
      </c>
      <c r="J34" s="22" t="n">
        <f aca="false">IFERROR(INDEX('SKU Data'!$M$2:$M$1780,MATCH($A34,'SKU Data'!$Z$2:$Z$1780,0)),"")</f>
        <v>0.00236313990533856</v>
      </c>
      <c r="K34" s="22" t="n">
        <f aca="false">IFERROR(INDEX('SKU Data'!$L$2:$L$1780,MATCH($A34,'SKU Data'!$Z$2:$Z$1780,0)),"")</f>
        <v>0.0608338260034112</v>
      </c>
      <c r="L34" s="20" t="n">
        <f aca="false">SUM($K$34:K34)</f>
        <v>0.0608338260034112</v>
      </c>
      <c r="M34" s="20" t="n">
        <f aca="false">Settings!$B$3</f>
        <v>0.0309861510798204</v>
      </c>
    </row>
    <row r="35" customFormat="false" ht="15" hidden="false" customHeight="false" outlineLevel="0" collapsed="false">
      <c r="A35" s="18" t="n">
        <v>2</v>
      </c>
      <c r="B35" s="18" t="str">
        <f aca="false">IFERROR(INDEX('SKU Data'!$A$2:$A$1780,MATCH($A35,'SKU Data'!$Z$2:$Z$1780,0)),"")</f>
        <v>AUSGF16-115</v>
      </c>
      <c r="C35" s="18" t="str">
        <f aca="false">IFERROR(INDEX('SKU Data'!$B$2:$B$1780,MATCH($A35,'SKU Data'!$Z$2:$Z$1780,0)),"")</f>
        <v>Delicate Elegance</v>
      </c>
      <c r="D35" s="18" t="str">
        <f aca="false">IFERROR(INDEX('SKU Data'!$D$2:$D$1780,MATCH($A35,'SKU Data'!$Z$2:$Z$1780,0)),"")</f>
        <v>AUSGF</v>
      </c>
      <c r="E35" s="19" t="n">
        <f aca="false">IFERROR(INDEX('SKU Data'!$E$2:$E$1780,MATCH($A35,'SKU Data'!$Z$2:$Z$1780,0)),"")</f>
        <v>11490</v>
      </c>
      <c r="F35" s="19" t="n">
        <f aca="false">IFERROR(INDEX('SKU Data'!$F$2:$F$1780,MATCH($A35,'SKU Data'!$Z$2:$Z$1780,0)),"")</f>
        <v>419</v>
      </c>
      <c r="G35" s="20" t="n">
        <f aca="false">IFERROR(INDEX('SKU Data'!$J$2:$J$1780,MATCH($A35,'SKU Data'!$Z$2:$Z$1780,0)),"")</f>
        <v>0.0364664926022628</v>
      </c>
      <c r="H35" s="21" t="n">
        <f aca="false">IFERROR(INDEX('SKU Data'!$H$2:$H$1780,MATCH($A35,'SKU Data'!$Z$2:$Z$1780,0)),"")</f>
        <v>25834.89</v>
      </c>
      <c r="I35" s="20" t="n">
        <f aca="false">IFERROR(INDEX('SKU Data'!$K$2:$K$1780,MATCH($A35,'SKU Data'!$Z$2:$Z$1780,0)),"")</f>
        <v>0.0354592138726753</v>
      </c>
      <c r="J35" s="22" t="n">
        <f aca="false">IFERROR(INDEX('SKU Data'!$M$2:$M$1780,MATCH($A35,'SKU Data'!$Z$2:$Z$1780,0)),"")</f>
        <v>0.00200567619104199</v>
      </c>
      <c r="K35" s="22" t="n">
        <f aca="false">IFERROR(INDEX('SKU Data'!$L$2:$L$1780,MATCH($A35,'SKU Data'!$Z$2:$Z$1780,0)),"")</f>
        <v>0.0516317109069141</v>
      </c>
      <c r="L35" s="20" t="n">
        <f aca="false">SUM($K$34:K35)</f>
        <v>0.112465536910325</v>
      </c>
      <c r="M35" s="20" t="n">
        <f aca="false">Settings!$B$3</f>
        <v>0.0309861510798204</v>
      </c>
    </row>
    <row r="36" customFormat="false" ht="15" hidden="false" customHeight="false" outlineLevel="0" collapsed="false">
      <c r="A36" s="18" t="n">
        <v>3</v>
      </c>
      <c r="B36" s="18" t="str">
        <f aca="false">IFERROR(INDEX('SKU Data'!$A$2:$A$1780,MATCH($A36,'SKU Data'!$Z$2:$Z$1780,0)),"")</f>
        <v>AUMJ-NW-017</v>
      </c>
      <c r="C36" s="18" t="str">
        <f aca="false">IFERROR(INDEX('SKU Data'!$B$2:$B$1780,MATCH($A36,'SKU Data'!$Z$2:$Z$1780,0)),"")</f>
        <v>Pastel Buttercup Bouquet in Mason Jar</v>
      </c>
      <c r="D36" s="18" t="str">
        <f aca="false">IFERROR(INDEX('SKU Data'!$D$2:$D$1780,MATCH($A36,'SKU Data'!$Z$2:$Z$1780,0)),"")</f>
        <v>AUMJ</v>
      </c>
      <c r="E36" s="19" t="n">
        <f aca="false">IFERROR(INDEX('SKU Data'!$E$2:$E$1780,MATCH($A36,'SKU Data'!$Z$2:$Z$1780,0)),"")</f>
        <v>3907</v>
      </c>
      <c r="F36" s="19" t="n">
        <f aca="false">IFERROR(INDEX('SKU Data'!$F$2:$F$1780,MATCH($A36,'SKU Data'!$Z$2:$Z$1780,0)),"")</f>
        <v>172</v>
      </c>
      <c r="G36" s="20" t="n">
        <f aca="false">IFERROR(INDEX('SKU Data'!$J$2:$J$1780,MATCH($A36,'SKU Data'!$Z$2:$Z$1780,0)),"")</f>
        <v>0.0440235474788841</v>
      </c>
      <c r="H36" s="21" t="n">
        <f aca="false">IFERROR(INDEX('SKU Data'!$H$2:$H$1780,MATCH($A36,'SKU Data'!$Z$2:$Z$1780,0)),"")</f>
        <v>14074.44</v>
      </c>
      <c r="I36" s="20" t="n">
        <f aca="false">IFERROR(INDEX('SKU Data'!$K$2:$K$1780,MATCH($A36,'SKU Data'!$Z$2:$Z$1780,0)),"")</f>
        <v>0.040285179470245</v>
      </c>
      <c r="J36" s="22" t="n">
        <f aca="false">IFERROR(INDEX('SKU Data'!$M$2:$M$1780,MATCH($A36,'SKU Data'!$Z$2:$Z$1780,0)),"")</f>
        <v>0.00109266070845469</v>
      </c>
      <c r="K36" s="22" t="n">
        <f aca="false">IFERROR(INDEX('SKU Data'!$L$2:$L$1780,MATCH($A36,'SKU Data'!$Z$2:$Z$1780,0)),"")</f>
        <v>0.0281281405594027</v>
      </c>
      <c r="L36" s="20" t="n">
        <f aca="false">SUM($K$34:K36)</f>
        <v>0.140593677469728</v>
      </c>
      <c r="M36" s="20" t="n">
        <f aca="false">Settings!$B$3</f>
        <v>0.0309861510798204</v>
      </c>
    </row>
    <row r="37" customFormat="false" ht="15" hidden="false" customHeight="false" outlineLevel="0" collapsed="false">
      <c r="A37" s="18" t="n">
        <v>4</v>
      </c>
      <c r="B37" s="18" t="str">
        <f aca="false">IFERROR(INDEX('SKU Data'!$A$2:$A$1780,MATCH($A37,'SKU Data'!$Z$2:$Z$1780,0)),"")</f>
        <v>AUSMJ100-11</v>
      </c>
      <c r="C37" s="18" t="str">
        <f aca="false">IFERROR(INDEX('SKU Data'!$B$2:$B$1780,MATCH($A37,'SKU Data'!$Z$2:$Z$1780,0)),"")</f>
        <v>Breathtaking Blooms In Mason Jar</v>
      </c>
      <c r="D37" s="18" t="str">
        <f aca="false">IFERROR(INDEX('SKU Data'!$D$2:$D$1780,MATCH($A37,'SKU Data'!$Z$2:$Z$1780,0)),"")</f>
        <v>AUSMJ</v>
      </c>
      <c r="E37" s="19" t="n">
        <f aca="false">IFERROR(INDEX('SKU Data'!$E$2:$E$1780,MATCH($A37,'SKU Data'!$Z$2:$Z$1780,0)),"")</f>
        <v>4959</v>
      </c>
      <c r="F37" s="19" t="n">
        <f aca="false">IFERROR(INDEX('SKU Data'!$F$2:$F$1780,MATCH($A37,'SKU Data'!$Z$2:$Z$1780,0)),"")</f>
        <v>203</v>
      </c>
      <c r="G37" s="20" t="n">
        <f aca="false">IFERROR(INDEX('SKU Data'!$J$2:$J$1780,MATCH($A37,'SKU Data'!$Z$2:$Z$1780,0)),"")</f>
        <v>0.0409356725146199</v>
      </c>
      <c r="H37" s="21" t="n">
        <f aca="false">IFERROR(INDEX('SKU Data'!$H$2:$H$1780,MATCH($A37,'SKU Data'!$Z$2:$Z$1780,0)),"")</f>
        <v>13653.88</v>
      </c>
      <c r="I37" s="20" t="n">
        <f aca="false">IFERROR(INDEX('SKU Data'!$K$2:$K$1780,MATCH($A37,'SKU Data'!$Z$2:$Z$1780,0)),"")</f>
        <v>0.0390042878241221</v>
      </c>
      <c r="J37" s="22" t="n">
        <f aca="false">IFERROR(INDEX('SKU Data'!$M$2:$M$1780,MATCH($A37,'SKU Data'!$Z$2:$Z$1780,0)),"")</f>
        <v>0.00106001078507957</v>
      </c>
      <c r="K37" s="22" t="n">
        <f aca="false">IFERROR(INDEX('SKU Data'!$L$2:$L$1780,MATCH($A37,'SKU Data'!$Z$2:$Z$1780,0)),"")</f>
        <v>0.0272876402770709</v>
      </c>
      <c r="L37" s="20" t="n">
        <f aca="false">SUM($K$34:K37)</f>
        <v>0.167881317746799</v>
      </c>
      <c r="M37" s="20" t="n">
        <f aca="false">Settings!$B$3</f>
        <v>0.0309861510798204</v>
      </c>
    </row>
    <row r="38" customFormat="false" ht="15" hidden="false" customHeight="false" outlineLevel="0" collapsed="false">
      <c r="A38" s="18" t="n">
        <v>5</v>
      </c>
      <c r="B38" s="18" t="str">
        <f aca="false">IFERROR(INDEX('SKU Data'!$A$2:$A$1780,MATCH($A38,'SKU Data'!$Z$2:$Z$1780,0)),"")</f>
        <v>AU11-43</v>
      </c>
      <c r="C38" s="18" t="str">
        <f aca="false">IFERROR(INDEX('SKU Data'!$B$2:$B$1780,MATCH($A38,'SKU Data'!$Z$2:$Z$1780,0)),"")</f>
        <v>Warm Embrace</v>
      </c>
      <c r="D38" s="18" t="str">
        <f aca="false">IFERROR(INDEX('SKU Data'!$D$2:$D$1780,MATCH($A38,'SKU Data'!$Z$2:$Z$1780,0)),"")</f>
        <v>AU</v>
      </c>
      <c r="E38" s="19" t="n">
        <f aca="false">IFERROR(INDEX('SKU Data'!$E$2:$E$1780,MATCH($A38,'SKU Data'!$Z$2:$Z$1780,0)),"")</f>
        <v>2594</v>
      </c>
      <c r="F38" s="19" t="n">
        <f aca="false">IFERROR(INDEX('SKU Data'!$F$2:$F$1780,MATCH($A38,'SKU Data'!$Z$2:$Z$1780,0)),"")</f>
        <v>129</v>
      </c>
      <c r="G38" s="20" t="n">
        <f aca="false">IFERROR(INDEX('SKU Data'!$J$2:$J$1780,MATCH($A38,'SKU Data'!$Z$2:$Z$1780,0)),"")</f>
        <v>0.0497301464919044</v>
      </c>
      <c r="H38" s="21" t="n">
        <f aca="false">IFERROR(INDEX('SKU Data'!$H$2:$H$1780,MATCH($A38,'SKU Data'!$Z$2:$Z$1780,0)),"")</f>
        <v>11840.22</v>
      </c>
      <c r="I38" s="20" t="n">
        <f aca="false">IFERROR(INDEX('SKU Data'!$K$2:$K$1780,MATCH($A38,'SKU Data'!$Z$2:$Z$1780,0)),"")</f>
        <v>0.047722296220412</v>
      </c>
      <c r="J38" s="22" t="n">
        <f aca="false">IFERROR(INDEX('SKU Data'!$M$2:$M$1780,MATCH($A38,'SKU Data'!$Z$2:$Z$1780,0)),"")</f>
        <v>0.000919208378696375</v>
      </c>
      <c r="K38" s="22" t="n">
        <f aca="false">IFERROR(INDEX('SKU Data'!$L$2:$L$1780,MATCH($A38,'SKU Data'!$Z$2:$Z$1780,0)),"")</f>
        <v>0.0236629928021471</v>
      </c>
      <c r="L38" s="20" t="n">
        <f aca="false">SUM($K$34:K38)</f>
        <v>0.191544310548946</v>
      </c>
      <c r="M38" s="20" t="n">
        <f aca="false">Settings!$B$3</f>
        <v>0.0309861510798204</v>
      </c>
    </row>
    <row r="39" customFormat="false" ht="15" hidden="false" customHeight="false" outlineLevel="0" collapsed="false">
      <c r="A39" s="18" t="n">
        <v>6</v>
      </c>
      <c r="B39" s="18" t="str">
        <f aca="false">IFERROR(INDEX('SKU Data'!$A$2:$A$1780,MATCH($A39,'SKU Data'!$Z$2:$Z$1780,0)),"")</f>
        <v>AUMJ-NW-011</v>
      </c>
      <c r="C39" s="18" t="str">
        <f aca="false">IFERROR(INDEX('SKU Data'!$B$2:$B$1780,MATCH($A39,'SKU Data'!$Z$2:$Z$1780,0)),"")</f>
        <v>Best Birthday Ever Bouquet in Mason Jar</v>
      </c>
      <c r="D39" s="18" t="str">
        <f aca="false">IFERROR(INDEX('SKU Data'!$D$2:$D$1780,MATCH($A39,'SKU Data'!$Z$2:$Z$1780,0)),"")</f>
        <v>AUMJ</v>
      </c>
      <c r="E39" s="19" t="n">
        <f aca="false">IFERROR(INDEX('SKU Data'!$E$2:$E$1780,MATCH($A39,'SKU Data'!$Z$2:$Z$1780,0)),"")</f>
        <v>2143</v>
      </c>
      <c r="F39" s="19" t="n">
        <f aca="false">IFERROR(INDEX('SKU Data'!$F$2:$F$1780,MATCH($A39,'SKU Data'!$Z$2:$Z$1780,0)),"")</f>
        <v>115</v>
      </c>
      <c r="G39" s="20" t="n">
        <f aca="false">IFERROR(INDEX('SKU Data'!$J$2:$J$1780,MATCH($A39,'SKU Data'!$Z$2:$Z$1780,0)),"")</f>
        <v>0.0536630891273915</v>
      </c>
      <c r="H39" s="21" t="n">
        <f aca="false">IFERROR(INDEX('SKU Data'!$H$2:$H$1780,MATCH($A39,'SKU Data'!$Z$2:$Z$1780,0)),"")</f>
        <v>9879.04</v>
      </c>
      <c r="I39" s="20" t="n">
        <f aca="false">IFERROR(INDEX('SKU Data'!$K$2:$K$1780,MATCH($A39,'SKU Data'!$Z$2:$Z$1780,0)),"")</f>
        <v>0.0534904444762338</v>
      </c>
      <c r="J39" s="22" t="n">
        <f aca="false">IFERROR(INDEX('SKU Data'!$M$2:$M$1780,MATCH($A39,'SKU Data'!$Z$2:$Z$1780,0)),"")</f>
        <v>0.0007669533455862</v>
      </c>
      <c r="K39" s="22" t="n">
        <f aca="false">IFERROR(INDEX('SKU Data'!$L$2:$L$1780,MATCH($A39,'SKU Data'!$Z$2:$Z$1780,0)),"")</f>
        <v>0.0197435227058385</v>
      </c>
      <c r="L39" s="20" t="n">
        <f aca="false">SUM($K$34:K39)</f>
        <v>0.211287833254785</v>
      </c>
      <c r="M39" s="20" t="n">
        <f aca="false">Settings!$B$3</f>
        <v>0.0309861510798204</v>
      </c>
    </row>
    <row r="40" customFormat="false" ht="15" hidden="false" customHeight="false" outlineLevel="0" collapsed="false">
      <c r="A40" s="18" t="n">
        <v>7</v>
      </c>
      <c r="B40" s="18" t="str">
        <f aca="false">IFERROR(INDEX('SKU Data'!$A$2:$A$1780,MATCH($A40,'SKU Data'!$Z$2:$Z$1780,0)),"")</f>
        <v>AU112-10</v>
      </c>
      <c r="C40" s="18" t="str">
        <f aca="false">IFERROR(INDEX('SKU Data'!$B$2:$B$1780,MATCH($A40,'SKU Data'!$Z$2:$Z$1780,0)),"")</f>
        <v>Lavender Love</v>
      </c>
      <c r="D40" s="18" t="str">
        <f aca="false">IFERROR(INDEX('SKU Data'!$D$2:$D$1780,MATCH($A40,'SKU Data'!$Z$2:$Z$1780,0)),"")</f>
        <v>AU</v>
      </c>
      <c r="E40" s="19" t="n">
        <f aca="false">IFERROR(INDEX('SKU Data'!$E$2:$E$1780,MATCH($A40,'SKU Data'!$Z$2:$Z$1780,0)),"")</f>
        <v>2208</v>
      </c>
      <c r="F40" s="19" t="n">
        <f aca="false">IFERROR(INDEX('SKU Data'!$F$2:$F$1780,MATCH($A40,'SKU Data'!$Z$2:$Z$1780,0)),"")</f>
        <v>108</v>
      </c>
      <c r="G40" s="20" t="n">
        <f aca="false">IFERROR(INDEX('SKU Data'!$J$2:$J$1780,MATCH($A40,'SKU Data'!$Z$2:$Z$1780,0)),"")</f>
        <v>0.0489130434782609</v>
      </c>
      <c r="H40" s="21" t="n">
        <f aca="false">IFERROR(INDEX('SKU Data'!$H$2:$H$1780,MATCH($A40,'SKU Data'!$Z$2:$Z$1780,0)),"")</f>
        <v>9388.55</v>
      </c>
      <c r="I40" s="20" t="n">
        <f aca="false">IFERROR(INDEX('SKU Data'!$K$2:$K$1780,MATCH($A40,'SKU Data'!$Z$2:$Z$1780,0)),"")</f>
        <v>0.0460674613247113</v>
      </c>
      <c r="J40" s="22" t="n">
        <f aca="false">IFERROR(INDEX('SKU Data'!$M$2:$M$1780,MATCH($A40,'SKU Data'!$Z$2:$Z$1780,0)),"")</f>
        <v>0.000728874448600605</v>
      </c>
      <c r="K40" s="22" t="n">
        <f aca="false">IFERROR(INDEX('SKU Data'!$L$2:$L$1780,MATCH($A40,'SKU Data'!$Z$2:$Z$1780,0)),"")</f>
        <v>0.0187632654691043</v>
      </c>
      <c r="L40" s="20" t="n">
        <f aca="false">SUM($K$34:K40)</f>
        <v>0.230051098723889</v>
      </c>
      <c r="M40" s="20" t="n">
        <f aca="false">Settings!$B$3</f>
        <v>0.0309861510798204</v>
      </c>
    </row>
    <row r="41" customFormat="false" ht="15" hidden="false" customHeight="false" outlineLevel="0" collapsed="false">
      <c r="A41" s="18" t="n">
        <v>8</v>
      </c>
      <c r="B41" s="18" t="str">
        <f aca="false">IFERROR(INDEX('SKU Data'!$A$2:$A$1780,MATCH($A41,'SKU Data'!$Z$2:$Z$1780,0)),"")</f>
        <v>AUMJ-NW-003</v>
      </c>
      <c r="C41" s="18" t="str">
        <f aca="false">IFERROR(INDEX('SKU Data'!$B$2:$B$1780,MATCH($A41,'SKU Data'!$Z$2:$Z$1780,0)),"")</f>
        <v>50 Blooms of Surprise Bud Roses in Mason Jar</v>
      </c>
      <c r="D41" s="18" t="str">
        <f aca="false">IFERROR(INDEX('SKU Data'!$D$2:$D$1780,MATCH($A41,'SKU Data'!$Z$2:$Z$1780,0)),"")</f>
        <v>AUMJ</v>
      </c>
      <c r="E41" s="19" t="n">
        <f aca="false">IFERROR(INDEX('SKU Data'!$E$2:$E$1780,MATCH($A41,'SKU Data'!$Z$2:$Z$1780,0)),"")</f>
        <v>2769</v>
      </c>
      <c r="F41" s="19" t="n">
        <f aca="false">IFERROR(INDEX('SKU Data'!$F$2:$F$1780,MATCH($A41,'SKU Data'!$Z$2:$Z$1780,0)),"")</f>
        <v>106</v>
      </c>
      <c r="G41" s="20" t="n">
        <f aca="false">IFERROR(INDEX('SKU Data'!$J$2:$J$1780,MATCH($A41,'SKU Data'!$Z$2:$Z$1780,0)),"")</f>
        <v>0.0382809678584327</v>
      </c>
      <c r="H41" s="21" t="n">
        <f aca="false">IFERROR(INDEX('SKU Data'!$H$2:$H$1780,MATCH($A41,'SKU Data'!$Z$2:$Z$1780,0)),"")</f>
        <v>8978.84</v>
      </c>
      <c r="I41" s="20" t="n">
        <f aca="false">IFERROR(INDEX('SKU Data'!$K$2:$K$1780,MATCH($A41,'SKU Data'!$Z$2:$Z$1780,0)),"")</f>
        <v>0.0374015821830167</v>
      </c>
      <c r="J41" s="22" t="n">
        <f aca="false">IFERROR(INDEX('SKU Data'!$M$2:$M$1780,MATCH($A41,'SKU Data'!$Z$2:$Z$1780,0)),"")</f>
        <v>0.000697066858468353</v>
      </c>
      <c r="K41" s="22" t="n">
        <f aca="false">IFERROR(INDEX('SKU Data'!$L$2:$L$1780,MATCH($A41,'SKU Data'!$Z$2:$Z$1780,0)),"")</f>
        <v>0.0179444491987168</v>
      </c>
      <c r="L41" s="20" t="n">
        <f aca="false">SUM($K$34:K41)</f>
        <v>0.247995547922606</v>
      </c>
      <c r="M41" s="20" t="n">
        <f aca="false">Settings!$B$3</f>
        <v>0.0309861510798204</v>
      </c>
    </row>
    <row r="42" customFormat="false" ht="15" hidden="false" customHeight="false" outlineLevel="0" collapsed="false">
      <c r="A42" s="18" t="n">
        <v>9</v>
      </c>
      <c r="B42" s="18" t="str">
        <f aca="false">IFERROR(INDEX('SKU Data'!$A$2:$A$1780,MATCH($A42,'SKU Data'!$Z$2:$Z$1780,0)),"")</f>
        <v>DC-04S</v>
      </c>
      <c r="C42" s="18" t="str">
        <f aca="false">IFERROR(INDEX('SKU Data'!$B$2:$B$1780,MATCH($A42,'SKU Data'!$Z$2:$Z$1780,0)),"")</f>
        <v>Designer Sympathy Collection IV</v>
      </c>
      <c r="D42" s="18" t="str">
        <f aca="false">IFERROR(INDEX('SKU Data'!$D$2:$D$1780,MATCH($A42,'SKU Data'!$Z$2:$Z$1780,0)),"")</f>
        <v>DC</v>
      </c>
      <c r="E42" s="19" t="n">
        <f aca="false">IFERROR(INDEX('SKU Data'!$E$2:$E$1780,MATCH($A42,'SKU Data'!$Z$2:$Z$1780,0)),"")</f>
        <v>1695</v>
      </c>
      <c r="F42" s="19" t="n">
        <f aca="false">IFERROR(INDEX('SKU Data'!$F$2:$F$1780,MATCH($A42,'SKU Data'!$Z$2:$Z$1780,0)),"")</f>
        <v>75</v>
      </c>
      <c r="G42" s="20" t="n">
        <f aca="false">IFERROR(INDEX('SKU Data'!$J$2:$J$1780,MATCH($A42,'SKU Data'!$Z$2:$Z$1780,0)),"")</f>
        <v>0.0442477876106195</v>
      </c>
      <c r="H42" s="21" t="n">
        <f aca="false">IFERROR(INDEX('SKU Data'!$H$2:$H$1780,MATCH($A42,'SKU Data'!$Z$2:$Z$1780,0)),"")</f>
        <v>8683.47</v>
      </c>
      <c r="I42" s="20" t="n">
        <f aca="false">IFERROR(INDEX('SKU Data'!$K$2:$K$1780,MATCH($A42,'SKU Data'!$Z$2:$Z$1780,0)),"")</f>
        <v>0.038986140443168</v>
      </c>
      <c r="J42" s="22" t="n">
        <f aca="false">IFERROR(INDEX('SKU Data'!$M$2:$M$1780,MATCH($A42,'SKU Data'!$Z$2:$Z$1780,0)),"")</f>
        <v>0.000674135985662311</v>
      </c>
      <c r="K42" s="22" t="n">
        <f aca="false">IFERROR(INDEX('SKU Data'!$L$2:$L$1780,MATCH($A42,'SKU Data'!$Z$2:$Z$1780,0)),"")</f>
        <v>0.0173541444422199</v>
      </c>
      <c r="L42" s="20" t="n">
        <f aca="false">SUM($K$34:K42)</f>
        <v>0.265349692364826</v>
      </c>
      <c r="M42" s="20" t="n">
        <f aca="false">Settings!$B$3</f>
        <v>0.0309861510798204</v>
      </c>
    </row>
    <row r="43" customFormat="false" ht="15" hidden="false" customHeight="false" outlineLevel="0" collapsed="false">
      <c r="A43" s="18" t="n">
        <v>10</v>
      </c>
      <c r="B43" s="18" t="str">
        <f aca="false">IFERROR(INDEX('SKU Data'!$A$2:$A$1780,MATCH($A43,'SKU Data'!$Z$2:$Z$1780,0)),"")</f>
        <v>AUMJ-NW-019</v>
      </c>
      <c r="C43" s="18" t="str">
        <f aca="false">IFERROR(INDEX('SKU Data'!$B$2:$B$1780,MATCH($A43,'SKU Data'!$Z$2:$Z$1780,0)),"")</f>
        <v>Garden Party Bouquet in Mason Jar</v>
      </c>
      <c r="D43" s="18" t="str">
        <f aca="false">IFERROR(INDEX('SKU Data'!$D$2:$D$1780,MATCH($A43,'SKU Data'!$Z$2:$Z$1780,0)),"")</f>
        <v>AUMJ</v>
      </c>
      <c r="E43" s="19" t="n">
        <f aca="false">IFERROR(INDEX('SKU Data'!$E$2:$E$1780,MATCH($A43,'SKU Data'!$Z$2:$Z$1780,0)),"")</f>
        <v>1250</v>
      </c>
      <c r="F43" s="19" t="n">
        <f aca="false">IFERROR(INDEX('SKU Data'!$F$2:$F$1780,MATCH($A43,'SKU Data'!$Z$2:$Z$1780,0)),"")</f>
        <v>74</v>
      </c>
      <c r="G43" s="20" t="n">
        <f aca="false">IFERROR(INDEX('SKU Data'!$J$2:$J$1780,MATCH($A43,'SKU Data'!$Z$2:$Z$1780,0)),"")</f>
        <v>0.0592</v>
      </c>
      <c r="H43" s="21" t="n">
        <f aca="false">IFERROR(INDEX('SKU Data'!$H$2:$H$1780,MATCH($A43,'SKU Data'!$Z$2:$Z$1780,0)),"")</f>
        <v>8226.91</v>
      </c>
      <c r="I43" s="20" t="n">
        <f aca="false">IFERROR(INDEX('SKU Data'!$K$2:$K$1780,MATCH($A43,'SKU Data'!$Z$2:$Z$1780,0)),"")</f>
        <v>0.059694510526506</v>
      </c>
      <c r="J43" s="22" t="n">
        <f aca="false">IFERROR(INDEX('SKU Data'!$M$2:$M$1780,MATCH($A43,'SKU Data'!$Z$2:$Z$1780,0)),"")</f>
        <v>0.000638691223877681</v>
      </c>
      <c r="K43" s="22" t="n">
        <f aca="false">IFERROR(INDEX('SKU Data'!$L$2:$L$1780,MATCH($A43,'SKU Data'!$Z$2:$Z$1780,0)),"")</f>
        <v>0.0164416972078147</v>
      </c>
      <c r="L43" s="20" t="n">
        <f aca="false">SUM($K$34:K43)</f>
        <v>0.28179138957264</v>
      </c>
      <c r="M43" s="20" t="n">
        <f aca="false">Settings!$B$3</f>
        <v>0.0309861510798204</v>
      </c>
    </row>
    <row r="44" customFormat="false" ht="15" hidden="false" customHeight="false" outlineLevel="0" collapsed="false">
      <c r="A44" s="18" t="n">
        <v>11</v>
      </c>
      <c r="B44" s="18" t="str">
        <f aca="false">IFERROR(INDEX('SKU Data'!$A$2:$A$1780,MATCH($A44,'SKU Data'!$Z$2:$Z$1780,0)),"")</f>
        <v>GF16-100</v>
      </c>
      <c r="C44" s="18" t="str">
        <f aca="false">IFERROR(INDEX('SKU Data'!$B$2:$B$1780,MATCH($A44,'SKU Data'!$Z$2:$Z$1780,0)),"")</f>
        <v>Blushing Elegance</v>
      </c>
      <c r="D44" s="18" t="str">
        <f aca="false">IFERROR(INDEX('SKU Data'!$D$2:$D$1780,MATCH($A44,'SKU Data'!$Z$2:$Z$1780,0)),"")</f>
        <v>GF</v>
      </c>
      <c r="E44" s="19" t="n">
        <f aca="false">IFERROR(INDEX('SKU Data'!$E$2:$E$1780,MATCH($A44,'SKU Data'!$Z$2:$Z$1780,0)),"")</f>
        <v>1333</v>
      </c>
      <c r="F44" s="19" t="n">
        <f aca="false">IFERROR(INDEX('SKU Data'!$F$2:$F$1780,MATCH($A44,'SKU Data'!$Z$2:$Z$1780,0)),"")</f>
        <v>70</v>
      </c>
      <c r="G44" s="20" t="n">
        <f aca="false">IFERROR(INDEX('SKU Data'!$J$2:$J$1780,MATCH($A44,'SKU Data'!$Z$2:$Z$1780,0)),"")</f>
        <v>0.0525131282820705</v>
      </c>
      <c r="H44" s="21" t="n">
        <f aca="false">IFERROR(INDEX('SKU Data'!$H$2:$H$1780,MATCH($A44,'SKU Data'!$Z$2:$Z$1780,0)),"")</f>
        <v>6992.71</v>
      </c>
      <c r="I44" s="20" t="n">
        <f aca="false">IFERROR(INDEX('SKU Data'!$K$2:$K$1780,MATCH($A44,'SKU Data'!$Z$2:$Z$1780,0)),"")</f>
        <v>0.0466919520115297</v>
      </c>
      <c r="J44" s="22" t="n">
        <f aca="false">IFERROR(INDEX('SKU Data'!$M$2:$M$1780,MATCH($A44,'SKU Data'!$Z$2:$Z$1780,0)),"")</f>
        <v>0.000542874847071585</v>
      </c>
      <c r="K44" s="22" t="n">
        <f aca="false">IFERROR(INDEX('SKU Data'!$L$2:$L$1780,MATCH($A44,'SKU Data'!$Z$2:$Z$1780,0)),"")</f>
        <v>0.0139751158675685</v>
      </c>
      <c r="L44" s="20" t="n">
        <f aca="false">SUM($K$34:K44)</f>
        <v>0.295766505440209</v>
      </c>
      <c r="M44" s="20" t="n">
        <f aca="false">Settings!$B$3</f>
        <v>0.0309861510798204</v>
      </c>
    </row>
    <row r="45" customFormat="false" ht="15" hidden="false" customHeight="false" outlineLevel="0" collapsed="false">
      <c r="A45" s="18" t="n">
        <v>12</v>
      </c>
      <c r="B45" s="18" t="str">
        <f aca="false">IFERROR(INDEX('SKU Data'!$A$2:$A$1780,MATCH($A45,'SKU Data'!$Z$2:$Z$1780,0)),"")</f>
        <v>GF16-110</v>
      </c>
      <c r="C45" s="18" t="str">
        <f aca="false">IFERROR(INDEX('SKU Data'!$B$2:$B$1780,MATCH($A45,'SKU Data'!$Z$2:$Z$1780,0)),"")</f>
        <v>Pastel Harmony</v>
      </c>
      <c r="D45" s="18" t="str">
        <f aca="false">IFERROR(INDEX('SKU Data'!$D$2:$D$1780,MATCH($A45,'SKU Data'!$Z$2:$Z$1780,0)),"")</f>
        <v>GF</v>
      </c>
      <c r="E45" s="19" t="n">
        <f aca="false">IFERROR(INDEX('SKU Data'!$E$2:$E$1780,MATCH($A45,'SKU Data'!$Z$2:$Z$1780,0)),"")</f>
        <v>1130</v>
      </c>
      <c r="F45" s="19" t="n">
        <f aca="false">IFERROR(INDEX('SKU Data'!$F$2:$F$1780,MATCH($A45,'SKU Data'!$Z$2:$Z$1780,0)),"")</f>
        <v>56</v>
      </c>
      <c r="G45" s="20" t="n">
        <f aca="false">IFERROR(INDEX('SKU Data'!$J$2:$J$1780,MATCH($A45,'SKU Data'!$Z$2:$Z$1780,0)),"")</f>
        <v>0.0495575221238938</v>
      </c>
      <c r="H45" s="21" t="n">
        <f aca="false">IFERROR(INDEX('SKU Data'!$H$2:$H$1780,MATCH($A45,'SKU Data'!$Z$2:$Z$1780,0)),"")</f>
        <v>6386.94</v>
      </c>
      <c r="I45" s="20" t="n">
        <f aca="false">IFERROR(INDEX('SKU Data'!$K$2:$K$1780,MATCH($A45,'SKU Data'!$Z$2:$Z$1780,0)),"")</f>
        <v>0.0462274847886479</v>
      </c>
      <c r="J45" s="22" t="n">
        <f aca="false">IFERROR(INDEX('SKU Data'!$M$2:$M$1780,MATCH($A45,'SKU Data'!$Z$2:$Z$1780,0)),"")</f>
        <v>0.000495846256423531</v>
      </c>
      <c r="K45" s="22" t="n">
        <f aca="false">IFERROR(INDEX('SKU Data'!$L$2:$L$1780,MATCH($A45,'SKU Data'!$Z$2:$Z$1780,0)),"")</f>
        <v>0.012764468502084</v>
      </c>
      <c r="L45" s="20" t="n">
        <f aca="false">SUM($K$34:K45)</f>
        <v>0.308530973942293</v>
      </c>
      <c r="M45" s="20" t="n">
        <f aca="false">Settings!$B$3</f>
        <v>0.0309861510798204</v>
      </c>
    </row>
    <row r="46" customFormat="false" ht="15" hidden="false" customHeight="false" outlineLevel="0" collapsed="false">
      <c r="A46" s="18" t="n">
        <v>13</v>
      </c>
      <c r="B46" s="18" t="str">
        <f aca="false">IFERROR(INDEX('SKU Data'!$A$2:$A$1780,MATCH($A46,'SKU Data'!$Z$2:$Z$1780,0)),"")</f>
        <v>AU222-80</v>
      </c>
      <c r="C46" s="18" t="str">
        <f aca="false">IFERROR(INDEX('SKU Data'!$B$2:$B$1780,MATCH($A46,'SKU Data'!$Z$2:$Z$1780,0)),"")</f>
        <v>Wild Spirits</v>
      </c>
      <c r="D46" s="18" t="str">
        <f aca="false">IFERROR(INDEX('SKU Data'!$D$2:$D$1780,MATCH($A46,'SKU Data'!$Z$2:$Z$1780,0)),"")</f>
        <v>AU</v>
      </c>
      <c r="E46" s="19" t="n">
        <f aca="false">IFERROR(INDEX('SKU Data'!$E$2:$E$1780,MATCH($A46,'SKU Data'!$Z$2:$Z$1780,0)),"")</f>
        <v>1727</v>
      </c>
      <c r="F46" s="19" t="n">
        <f aca="false">IFERROR(INDEX('SKU Data'!$F$2:$F$1780,MATCH($A46,'SKU Data'!$Z$2:$Z$1780,0)),"")</f>
        <v>80</v>
      </c>
      <c r="G46" s="20" t="n">
        <f aca="false">IFERROR(INDEX('SKU Data'!$J$2:$J$1780,MATCH($A46,'SKU Data'!$Z$2:$Z$1780,0)),"")</f>
        <v>0.0463231036479444</v>
      </c>
      <c r="H46" s="21" t="n">
        <f aca="false">IFERROR(INDEX('SKU Data'!$H$2:$H$1780,MATCH($A46,'SKU Data'!$Z$2:$Z$1780,0)),"")</f>
        <v>6215.17</v>
      </c>
      <c r="I46" s="20" t="n">
        <f aca="false">IFERROR(INDEX('SKU Data'!$K$2:$K$1780,MATCH($A46,'SKU Data'!$Z$2:$Z$1780,0)),"")</f>
        <v>0.0441329775808476</v>
      </c>
      <c r="J46" s="22" t="n">
        <f aca="false">IFERROR(INDEX('SKU Data'!$M$2:$M$1780,MATCH($A46,'SKU Data'!$Z$2:$Z$1780,0)),"")</f>
        <v>0.000482510995490147</v>
      </c>
      <c r="K46" s="22" t="n">
        <f aca="false">IFERROR(INDEX('SKU Data'!$L$2:$L$1780,MATCH($A46,'SKU Data'!$Z$2:$Z$1780,0)),"")</f>
        <v>0.0124211816143721</v>
      </c>
      <c r="L46" s="20" t="n">
        <f aca="false">SUM($K$34:K46)</f>
        <v>0.320952155556665</v>
      </c>
      <c r="M46" s="20" t="n">
        <f aca="false">Settings!$B$3</f>
        <v>0.0309861510798204</v>
      </c>
    </row>
    <row r="47" customFormat="false" ht="15" hidden="false" customHeight="false" outlineLevel="0" collapsed="false">
      <c r="A47" s="18" t="n">
        <v>14</v>
      </c>
      <c r="B47" s="18" t="str">
        <f aca="false">IFERROR(INDEX('SKU Data'!$A$2:$A$1780,MATCH($A47,'SKU Data'!$Z$2:$Z$1780,0)),"")</f>
        <v>DC-02S</v>
      </c>
      <c r="C47" s="18" t="str">
        <f aca="false">IFERROR(INDEX('SKU Data'!$B$2:$B$1780,MATCH($A47,'SKU Data'!$Z$2:$Z$1780,0)),"")</f>
        <v>Designer Sympathy Collection II</v>
      </c>
      <c r="D47" s="18" t="str">
        <f aca="false">IFERROR(INDEX('SKU Data'!$D$2:$D$1780,MATCH($A47,'SKU Data'!$Z$2:$Z$1780,0)),"")</f>
        <v>DC</v>
      </c>
      <c r="E47" s="19" t="n">
        <f aca="false">IFERROR(INDEX('SKU Data'!$E$2:$E$1780,MATCH($A47,'SKU Data'!$Z$2:$Z$1780,0)),"")</f>
        <v>1482</v>
      </c>
      <c r="F47" s="19" t="n">
        <f aca="false">IFERROR(INDEX('SKU Data'!$F$2:$F$1780,MATCH($A47,'SKU Data'!$Z$2:$Z$1780,0)),"")</f>
        <v>62</v>
      </c>
      <c r="G47" s="20" t="n">
        <f aca="false">IFERROR(INDEX('SKU Data'!$J$2:$J$1780,MATCH($A47,'SKU Data'!$Z$2:$Z$1780,0)),"")</f>
        <v>0.0418353576248313</v>
      </c>
      <c r="H47" s="21" t="n">
        <f aca="false">IFERROR(INDEX('SKU Data'!$H$2:$H$1780,MATCH($A47,'SKU Data'!$Z$2:$Z$1780,0)),"")</f>
        <v>6122.41</v>
      </c>
      <c r="I47" s="20" t="n">
        <f aca="false">IFERROR(INDEX('SKU Data'!$K$2:$K$1780,MATCH($A47,'SKU Data'!$Z$2:$Z$1780,0)),"")</f>
        <v>0.0377796553210642</v>
      </c>
      <c r="J47" s="22" t="n">
        <f aca="false">IFERROR(INDEX('SKU Data'!$M$2:$M$1780,MATCH($A47,'SKU Data'!$Z$2:$Z$1780,0)),"")</f>
        <v>0.000475309628521638</v>
      </c>
      <c r="K47" s="22" t="n">
        <f aca="false">IFERROR(INDEX('SKU Data'!$L$2:$L$1780,MATCH($A47,'SKU Data'!$Z$2:$Z$1780,0)),"")</f>
        <v>0.0122357983011966</v>
      </c>
      <c r="L47" s="20" t="n">
        <f aca="false">SUM($K$34:K47)</f>
        <v>0.333187953857862</v>
      </c>
      <c r="M47" s="20" t="n">
        <f aca="false">Settings!$B$3</f>
        <v>0.0309861510798204</v>
      </c>
    </row>
    <row r="48" customFormat="false" ht="15" hidden="false" customHeight="false" outlineLevel="0" collapsed="false">
      <c r="A48" s="18" t="n">
        <v>15</v>
      </c>
      <c r="B48" s="18" t="str">
        <f aca="false">IFERROR(INDEX('SKU Data'!$A$2:$A$1780,MATCH($A48,'SKU Data'!$Z$2:$Z$1780,0)),"")</f>
        <v>AUDNAT-02</v>
      </c>
      <c r="C48" s="18" t="str">
        <f aca="false">IFERROR(INDEX('SKU Data'!$B$2:$B$1780,MATCH($A48,'SKU Data'!$Z$2:$Z$1780,0)),"")</f>
        <v>Native Flowers Bouquet Designer Collection II</v>
      </c>
      <c r="D48" s="18" t="str">
        <f aca="false">IFERROR(INDEX('SKU Data'!$D$2:$D$1780,MATCH($A48,'SKU Data'!$Z$2:$Z$1780,0)),"")</f>
        <v>AUDNAT</v>
      </c>
      <c r="E48" s="19" t="n">
        <f aca="false">IFERROR(INDEX('SKU Data'!$E$2:$E$1780,MATCH($A48,'SKU Data'!$Z$2:$Z$1780,0)),"")</f>
        <v>1279</v>
      </c>
      <c r="F48" s="19" t="n">
        <f aca="false">IFERROR(INDEX('SKU Data'!$F$2:$F$1780,MATCH($A48,'SKU Data'!$Z$2:$Z$1780,0)),"")</f>
        <v>62</v>
      </c>
      <c r="G48" s="20" t="n">
        <f aca="false">IFERROR(INDEX('SKU Data'!$J$2:$J$1780,MATCH($A48,'SKU Data'!$Z$2:$Z$1780,0)),"")</f>
        <v>0.0484753713838937</v>
      </c>
      <c r="H48" s="21" t="n">
        <f aca="false">IFERROR(INDEX('SKU Data'!$H$2:$H$1780,MATCH($A48,'SKU Data'!$Z$2:$Z$1780,0)),"")</f>
        <v>6090.57</v>
      </c>
      <c r="I48" s="20" t="n">
        <f aca="false">IFERROR(INDEX('SKU Data'!$K$2:$K$1780,MATCH($A48,'SKU Data'!$Z$2:$Z$1780,0)),"")</f>
        <v>0.0437480668971043</v>
      </c>
      <c r="J48" s="22" t="n">
        <f aca="false">IFERROR(INDEX('SKU Data'!$M$2:$M$1780,MATCH($A48,'SKU Data'!$Z$2:$Z$1780,0)),"")</f>
        <v>0.000472837749217226</v>
      </c>
      <c r="K48" s="22" t="n">
        <f aca="false">IFERROR(INDEX('SKU Data'!$L$2:$L$1780,MATCH($A48,'SKU Data'!$Z$2:$Z$1780,0)),"")</f>
        <v>0.0121721652191406</v>
      </c>
      <c r="L48" s="20" t="n">
        <f aca="false">SUM($K$34:K48)</f>
        <v>0.345360119077002</v>
      </c>
      <c r="M48" s="20" t="n">
        <f aca="false">Settings!$B$3</f>
        <v>0.0309861510798204</v>
      </c>
    </row>
    <row r="49" customFormat="false" ht="15" hidden="false" customHeight="false" outlineLevel="0" collapsed="false">
      <c r="A49" s="18" t="n">
        <v>16</v>
      </c>
      <c r="B49" s="18" t="str">
        <f aca="false">IFERROR(INDEX('SKU Data'!$A$2:$A$1780,MATCH($A49,'SKU Data'!$Z$2:$Z$1780,0)),"")</f>
        <v>MJ100-17</v>
      </c>
      <c r="C49" s="18" t="str">
        <f aca="false">IFERROR(INDEX('SKU Data'!$B$2:$B$1780,MATCH($A49,'SKU Data'!$Z$2:$Z$1780,0)),"")</f>
        <v>Thirty Blooms of Alstroemeria in Mason Jar</v>
      </c>
      <c r="D49" s="18" t="str">
        <f aca="false">IFERROR(INDEX('SKU Data'!$D$2:$D$1780,MATCH($A49,'SKU Data'!$Z$2:$Z$1780,0)),"")</f>
        <v>MJ</v>
      </c>
      <c r="E49" s="19" t="n">
        <f aca="false">IFERROR(INDEX('SKU Data'!$E$2:$E$1780,MATCH($A49,'SKU Data'!$Z$2:$Z$1780,0)),"")</f>
        <v>2096</v>
      </c>
      <c r="F49" s="19" t="n">
        <f aca="false">IFERROR(INDEX('SKU Data'!$F$2:$F$1780,MATCH($A49,'SKU Data'!$Z$2:$Z$1780,0)),"")</f>
        <v>104</v>
      </c>
      <c r="G49" s="20" t="n">
        <f aca="false">IFERROR(INDEX('SKU Data'!$J$2:$J$1780,MATCH($A49,'SKU Data'!$Z$2:$Z$1780,0)),"")</f>
        <v>0.049618320610687</v>
      </c>
      <c r="H49" s="21" t="n">
        <f aca="false">IFERROR(INDEX('SKU Data'!$H$2:$H$1780,MATCH($A49,'SKU Data'!$Z$2:$Z$1780,0)),"")</f>
        <v>6020.46</v>
      </c>
      <c r="I49" s="20" t="n">
        <f aca="false">IFERROR(INDEX('SKU Data'!$K$2:$K$1780,MATCH($A49,'SKU Data'!$Z$2:$Z$1780,0)),"")</f>
        <v>0.0459822209044714</v>
      </c>
      <c r="J49" s="22" t="n">
        <f aca="false">IFERROR(INDEX('SKU Data'!$M$2:$M$1780,MATCH($A49,'SKU Data'!$Z$2:$Z$1780,0)),"")</f>
        <v>0.000467394801414702</v>
      </c>
      <c r="K49" s="22" t="n">
        <f aca="false">IFERROR(INDEX('SKU Data'!$L$2:$L$1780,MATCH($A49,'SKU Data'!$Z$2:$Z$1780,0)),"")</f>
        <v>0.0120320485299779</v>
      </c>
      <c r="L49" s="20" t="n">
        <f aca="false">SUM($K$34:K49)</f>
        <v>0.35739216760698</v>
      </c>
      <c r="M49" s="20" t="n">
        <f aca="false">Settings!$B$3</f>
        <v>0.0309861510798204</v>
      </c>
    </row>
    <row r="50" customFormat="false" ht="15" hidden="false" customHeight="false" outlineLevel="0" collapsed="false">
      <c r="A50" s="18" t="n">
        <v>17</v>
      </c>
      <c r="B50" s="18" t="str">
        <f aca="false">IFERROR(INDEX('SKU Data'!$A$2:$A$1780,MATCH($A50,'SKU Data'!$Z$2:$Z$1780,0)),"")</f>
        <v>MDM25-13</v>
      </c>
      <c r="C50" s="18" t="str">
        <f aca="false">IFERROR(INDEX('SKU Data'!$B$2:$B$1780,MATCH($A50,'SKU Data'!$Z$2:$Z$1780,0)),"")</f>
        <v>Blushing Muse Bouquet</v>
      </c>
      <c r="D50" s="18" t="str">
        <f aca="false">IFERROR(INDEX('SKU Data'!$D$2:$D$1780,MATCH($A50,'SKU Data'!$Z$2:$Z$1780,0)),"")</f>
        <v>MDM</v>
      </c>
      <c r="E50" s="19" t="n">
        <f aca="false">IFERROR(INDEX('SKU Data'!$E$2:$E$1780,MATCH($A50,'SKU Data'!$Z$2:$Z$1780,0)),"")</f>
        <v>4105</v>
      </c>
      <c r="F50" s="19" t="n">
        <f aca="false">IFERROR(INDEX('SKU Data'!$F$2:$F$1780,MATCH($A50,'SKU Data'!$Z$2:$Z$1780,0)),"")</f>
        <v>85</v>
      </c>
      <c r="G50" s="20" t="n">
        <f aca="false">IFERROR(INDEX('SKU Data'!$J$2:$J$1780,MATCH($A50,'SKU Data'!$Z$2:$Z$1780,0)),"")</f>
        <v>0.0207064555420219</v>
      </c>
      <c r="H50" s="21" t="n">
        <f aca="false">IFERROR(INDEX('SKU Data'!$H$2:$H$1780,MATCH($A50,'SKU Data'!$Z$2:$Z$1780,0)),"")</f>
        <v>5835.37</v>
      </c>
      <c r="I50" s="20" t="n">
        <f aca="false">IFERROR(INDEX('SKU Data'!$K$2:$K$1780,MATCH($A50,'SKU Data'!$Z$2:$Z$1780,0)),"")</f>
        <v>0.0231245101213744</v>
      </c>
      <c r="J50" s="22" t="n">
        <f aca="false">IFERROR(INDEX('SKU Data'!$M$2:$M$1780,MATCH($A50,'SKU Data'!$Z$2:$Z$1780,0)),"")</f>
        <v>0.000453025450269798</v>
      </c>
      <c r="K50" s="22" t="n">
        <f aca="false">IFERROR(INDEX('SKU Data'!$L$2:$L$1780,MATCH($A50,'SKU Data'!$Z$2:$Z$1780,0)),"")</f>
        <v>0.0116621412699988</v>
      </c>
      <c r="L50" s="20" t="n">
        <f aca="false">SUM($K$34:K50)</f>
        <v>0.369054308876979</v>
      </c>
      <c r="M50" s="20" t="n">
        <f aca="false">Settings!$B$3</f>
        <v>0.0309861510798204</v>
      </c>
    </row>
    <row r="51" customFormat="false" ht="15" hidden="false" customHeight="false" outlineLevel="0" collapsed="false">
      <c r="A51" s="18" t="n">
        <v>18</v>
      </c>
      <c r="B51" s="18" t="str">
        <f aca="false">IFERROR(INDEX('SKU Data'!$A$2:$A$1780,MATCH($A51,'SKU Data'!$Z$2:$Z$1780,0)),"")</f>
        <v>AUMJ-NW-030</v>
      </c>
      <c r="C51" s="18" t="str">
        <f aca="false">IFERROR(INDEX('SKU Data'!$B$2:$B$1780,MATCH($A51,'SKU Data'!$Z$2:$Z$1780,0)),"")</f>
        <v>Cloud Nine Bouquet in Mason Jar</v>
      </c>
      <c r="D51" s="18" t="str">
        <f aca="false">IFERROR(INDEX('SKU Data'!$D$2:$D$1780,MATCH($A51,'SKU Data'!$Z$2:$Z$1780,0)),"")</f>
        <v>AUMJ</v>
      </c>
      <c r="E51" s="19" t="n">
        <f aca="false">IFERROR(INDEX('SKU Data'!$E$2:$E$1780,MATCH($A51,'SKU Data'!$Z$2:$Z$1780,0)),"")</f>
        <v>1600</v>
      </c>
      <c r="F51" s="19" t="n">
        <f aca="false">IFERROR(INDEX('SKU Data'!$F$2:$F$1780,MATCH($A51,'SKU Data'!$Z$2:$Z$1780,0)),"")</f>
        <v>55</v>
      </c>
      <c r="G51" s="20" t="n">
        <f aca="false">IFERROR(INDEX('SKU Data'!$J$2:$J$1780,MATCH($A51,'SKU Data'!$Z$2:$Z$1780,0)),"")</f>
        <v>0.034375</v>
      </c>
      <c r="H51" s="21" t="n">
        <f aca="false">IFERROR(INDEX('SKU Data'!$H$2:$H$1780,MATCH($A51,'SKU Data'!$Z$2:$Z$1780,0)),"")</f>
        <v>5585.45</v>
      </c>
      <c r="I51" s="20" t="n">
        <f aca="false">IFERROR(INDEX('SKU Data'!$K$2:$K$1780,MATCH($A51,'SKU Data'!$Z$2:$Z$1780,0)),"")</f>
        <v>0.0326838270339186</v>
      </c>
      <c r="J51" s="22" t="n">
        <f aca="false">IFERROR(INDEX('SKU Data'!$M$2:$M$1780,MATCH($A51,'SKU Data'!$Z$2:$Z$1780,0)),"")</f>
        <v>0.000433623060955765</v>
      </c>
      <c r="K51" s="22" t="n">
        <f aca="false">IFERROR(INDEX('SKU Data'!$L$2:$L$1780,MATCH($A51,'SKU Data'!$Z$2:$Z$1780,0)),"")</f>
        <v>0.0111626695404944</v>
      </c>
      <c r="L51" s="20" t="n">
        <f aca="false">SUM($K$34:K51)</f>
        <v>0.380216978417473</v>
      </c>
      <c r="M51" s="20" t="n">
        <f aca="false">Settings!$B$3</f>
        <v>0.0309861510798204</v>
      </c>
    </row>
    <row r="52" customFormat="false" ht="15" hidden="false" customHeight="false" outlineLevel="0" collapsed="false">
      <c r="A52" s="18" t="n">
        <v>19</v>
      </c>
      <c r="B52" s="18" t="str">
        <f aca="false">IFERROR(INDEX('SKU Data'!$A$2:$A$1780,MATCH($A52,'SKU Data'!$Z$2:$Z$1780,0)),"")</f>
        <v>MJ100-04</v>
      </c>
      <c r="C52" s="18" t="str">
        <f aca="false">IFERROR(INDEX('SKU Data'!$B$2:$B$1780,MATCH($A52,'SKU Data'!$Z$2:$Z$1780,0)),"")</f>
        <v>What a Treat in Mason Jar</v>
      </c>
      <c r="D52" s="18" t="str">
        <f aca="false">IFERROR(INDEX('SKU Data'!$D$2:$D$1780,MATCH($A52,'SKU Data'!$Z$2:$Z$1780,0)),"")</f>
        <v>MJ</v>
      </c>
      <c r="E52" s="19" t="n">
        <f aca="false">IFERROR(INDEX('SKU Data'!$E$2:$E$1780,MATCH($A52,'SKU Data'!$Z$2:$Z$1780,0)),"")</f>
        <v>5316</v>
      </c>
      <c r="F52" s="19" t="n">
        <f aca="false">IFERROR(INDEX('SKU Data'!$F$2:$F$1780,MATCH($A52,'SKU Data'!$Z$2:$Z$1780,0)),"")</f>
        <v>97</v>
      </c>
      <c r="G52" s="20" t="n">
        <f aca="false">IFERROR(INDEX('SKU Data'!$J$2:$J$1780,MATCH($A52,'SKU Data'!$Z$2:$Z$1780,0)),"")</f>
        <v>0.0182468021068473</v>
      </c>
      <c r="H52" s="21" t="n">
        <f aca="false">IFERROR(INDEX('SKU Data'!$H$2:$H$1780,MATCH($A52,'SKU Data'!$Z$2:$Z$1780,0)),"")</f>
        <v>5347.79</v>
      </c>
      <c r="I52" s="20" t="n">
        <f aca="false">IFERROR(INDEX('SKU Data'!$K$2:$K$1780,MATCH($A52,'SKU Data'!$Z$2:$Z$1780,0)),"")</f>
        <v>0.0184347700310018</v>
      </c>
      <c r="J52" s="22" t="n">
        <f aca="false">IFERROR(INDEX('SKU Data'!$M$2:$M$1780,MATCH($A52,'SKU Data'!$Z$2:$Z$1780,0)),"")</f>
        <v>0.000415172469388971</v>
      </c>
      <c r="K52" s="22" t="n">
        <f aca="false">IFERROR(INDEX('SKU Data'!$L$2:$L$1780,MATCH($A52,'SKU Data'!$Z$2:$Z$1780,0)),"")</f>
        <v>0.0106876997452239</v>
      </c>
      <c r="L52" s="20" t="n">
        <f aca="false">SUM($K$34:K52)</f>
        <v>0.390904678162697</v>
      </c>
      <c r="M52" s="20" t="n">
        <f aca="false">Settings!$B$3</f>
        <v>0.0309861510798204</v>
      </c>
    </row>
    <row r="53" customFormat="false" ht="15" hidden="false" customHeight="false" outlineLevel="0" collapsed="false">
      <c r="A53" s="18" t="n">
        <v>20</v>
      </c>
      <c r="B53" s="18" t="str">
        <f aca="false">IFERROR(INDEX('SKU Data'!$A$2:$A$1780,MATCH($A53,'SKU Data'!$Z$2:$Z$1780,0)),"")</f>
        <v>AU0511-17</v>
      </c>
      <c r="C53" s="18" t="str">
        <f aca="false">IFERROR(INDEX('SKU Data'!$B$2:$B$1780,MATCH($A53,'SKU Data'!$Z$2:$Z$1780,0)),"")</f>
        <v>Summer Blooms</v>
      </c>
      <c r="D53" s="18" t="str">
        <f aca="false">IFERROR(INDEX('SKU Data'!$D$2:$D$1780,MATCH($A53,'SKU Data'!$Z$2:$Z$1780,0)),"")</f>
        <v>AU</v>
      </c>
      <c r="E53" s="19" t="n">
        <f aca="false">IFERROR(INDEX('SKU Data'!$E$2:$E$1780,MATCH($A53,'SKU Data'!$Z$2:$Z$1780,0)),"")</f>
        <v>1560</v>
      </c>
      <c r="F53" s="19" t="n">
        <f aca="false">IFERROR(INDEX('SKU Data'!$F$2:$F$1780,MATCH($A53,'SKU Data'!$Z$2:$Z$1780,0)),"")</f>
        <v>97</v>
      </c>
      <c r="G53" s="20" t="n">
        <f aca="false">IFERROR(INDEX('SKU Data'!$J$2:$J$1780,MATCH($A53,'SKU Data'!$Z$2:$Z$1780,0)),"")</f>
        <v>0.0621794871794872</v>
      </c>
      <c r="H53" s="21" t="n">
        <f aca="false">IFERROR(INDEX('SKU Data'!$H$2:$H$1780,MATCH($A53,'SKU Data'!$Z$2:$Z$1780,0)),"")</f>
        <v>5315.16</v>
      </c>
      <c r="I53" s="20" t="n">
        <f aca="false">IFERROR(INDEX('SKU Data'!$K$2:$K$1780,MATCH($A53,'SKU Data'!$Z$2:$Z$1780,0)),"")</f>
        <v>0.0600104933346325</v>
      </c>
      <c r="J53" s="22" t="n">
        <f aca="false">IFERROR(INDEX('SKU Data'!$M$2:$M$1780,MATCH($A53,'SKU Data'!$Z$2:$Z$1780,0)),"")</f>
        <v>0.00041263925890835</v>
      </c>
      <c r="K53" s="22" t="n">
        <f aca="false">IFERROR(INDEX('SKU Data'!$L$2:$L$1780,MATCH($A53,'SKU Data'!$Z$2:$Z$1780,0)),"")</f>
        <v>0.0106224878272752</v>
      </c>
      <c r="L53" s="20" t="n">
        <f aca="false">SUM($K$34:K53)</f>
        <v>0.401527165989972</v>
      </c>
      <c r="M53" s="20" t="n">
        <f aca="false">Settings!$B$3</f>
        <v>0.0309861510798204</v>
      </c>
    </row>
    <row r="54" customFormat="false" ht="15" hidden="false" customHeight="false" outlineLevel="0" collapsed="false">
      <c r="A54" s="18" t="n">
        <v>21</v>
      </c>
      <c r="B54" s="18" t="str">
        <f aca="false">IFERROR(INDEX('SKU Data'!$A$2:$A$1780,MATCH($A54,'SKU Data'!$Z$2:$Z$1780,0)),"")</f>
        <v>AUCH25-04</v>
      </c>
      <c r="C54" s="18" t="str">
        <f aca="false">IFERROR(INDEX('SKU Data'!$B$2:$B$1780,MATCH($A54,'SKU Data'!$Z$2:$Z$1780,0)),"")</f>
        <v>Snowy Rose in Mason Jar</v>
      </c>
      <c r="D54" s="18" t="str">
        <f aca="false">IFERROR(INDEX('SKU Data'!$D$2:$D$1780,MATCH($A54,'SKU Data'!$Z$2:$Z$1780,0)),"")</f>
        <v>AUCH</v>
      </c>
      <c r="E54" s="19" t="n">
        <f aca="false">IFERROR(INDEX('SKU Data'!$E$2:$E$1780,MATCH($A54,'SKU Data'!$Z$2:$Z$1780,0)),"")</f>
        <v>2531</v>
      </c>
      <c r="F54" s="19" t="n">
        <f aca="false">IFERROR(INDEX('SKU Data'!$F$2:$F$1780,MATCH($A54,'SKU Data'!$Z$2:$Z$1780,0)),"")</f>
        <v>116</v>
      </c>
      <c r="G54" s="20" t="n">
        <f aca="false">IFERROR(INDEX('SKU Data'!$J$2:$J$1780,MATCH($A54,'SKU Data'!$Z$2:$Z$1780,0)),"")</f>
        <v>0.0458316870802055</v>
      </c>
      <c r="H54" s="21" t="n">
        <f aca="false">IFERROR(INDEX('SKU Data'!$H$2:$H$1780,MATCH($A54,'SKU Data'!$Z$2:$Z$1780,0)),"")</f>
        <v>5309.56</v>
      </c>
      <c r="I54" s="20" t="n">
        <f aca="false">IFERROR(INDEX('SKU Data'!$K$2:$K$1780,MATCH($A54,'SKU Data'!$Z$2:$Z$1780,0)),"")</f>
        <v>0.0429300375640659</v>
      </c>
      <c r="J54" s="22" t="n">
        <f aca="false">IFERROR(INDEX('SKU Data'!$M$2:$M$1780,MATCH($A54,'SKU Data'!$Z$2:$Z$1780,0)),"")</f>
        <v>0.00041220450626687</v>
      </c>
      <c r="K54" s="22" t="n">
        <f aca="false">IFERROR(INDEX('SKU Data'!$L$2:$L$1780,MATCH($A54,'SKU Data'!$Z$2:$Z$1780,0)),"")</f>
        <v>0.0106112960791749</v>
      </c>
      <c r="L54" s="20" t="n">
        <f aca="false">SUM($K$34:K54)</f>
        <v>0.412138462069147</v>
      </c>
      <c r="M54" s="20" t="n">
        <f aca="false">Settings!$B$3</f>
        <v>0.0309861510798204</v>
      </c>
    </row>
    <row r="55" customFormat="false" ht="15" hidden="false" customHeight="false" outlineLevel="0" collapsed="false">
      <c r="A55" s="18" t="n">
        <v>22</v>
      </c>
      <c r="B55" s="18" t="str">
        <f aca="false">IFERROR(INDEX('SKU Data'!$A$2:$A$1780,MATCH($A55,'SKU Data'!$Z$2:$Z$1780,0)),"")</f>
        <v>DC-03S</v>
      </c>
      <c r="C55" s="18" t="str">
        <f aca="false">IFERROR(INDEX('SKU Data'!$B$2:$B$1780,MATCH($A55,'SKU Data'!$Z$2:$Z$1780,0)),"")</f>
        <v>Designer Sympathy Collection III</v>
      </c>
      <c r="D55" s="18" t="str">
        <f aca="false">IFERROR(INDEX('SKU Data'!$D$2:$D$1780,MATCH($A55,'SKU Data'!$Z$2:$Z$1780,0)),"")</f>
        <v>DC</v>
      </c>
      <c r="E55" s="19" t="n">
        <f aca="false">IFERROR(INDEX('SKU Data'!$E$2:$E$1780,MATCH($A55,'SKU Data'!$Z$2:$Z$1780,0)),"")</f>
        <v>995</v>
      </c>
      <c r="F55" s="19" t="n">
        <f aca="false">IFERROR(INDEX('SKU Data'!$F$2:$F$1780,MATCH($A55,'SKU Data'!$Z$2:$Z$1780,0)),"")</f>
        <v>39</v>
      </c>
      <c r="G55" s="20" t="n">
        <f aca="false">IFERROR(INDEX('SKU Data'!$J$2:$J$1780,MATCH($A55,'SKU Data'!$Z$2:$Z$1780,0)),"")</f>
        <v>0.0391959798994975</v>
      </c>
      <c r="H55" s="21" t="n">
        <f aca="false">IFERROR(INDEX('SKU Data'!$H$2:$H$1780,MATCH($A55,'SKU Data'!$Z$2:$Z$1780,0)),"")</f>
        <v>4565.17</v>
      </c>
      <c r="I55" s="20" t="n">
        <f aca="false">IFERROR(INDEX('SKU Data'!$K$2:$K$1780,MATCH($A55,'SKU Data'!$Z$2:$Z$1780,0)),"")</f>
        <v>0.035758936561779</v>
      </c>
      <c r="J55" s="22" t="n">
        <f aca="false">IFERROR(INDEX('SKU Data'!$M$2:$M$1780,MATCH($A55,'SKU Data'!$Z$2:$Z$1780,0)),"")</f>
        <v>0.000354414235054191</v>
      </c>
      <c r="K55" s="22" t="n">
        <f aca="false">IFERROR(INDEX('SKU Data'!$L$2:$L$1780,MATCH($A55,'SKU Data'!$Z$2:$Z$1780,0)),"")</f>
        <v>0.0091236129776793</v>
      </c>
      <c r="L55" s="20" t="n">
        <f aca="false">SUM($K$34:K55)</f>
        <v>0.421262075046826</v>
      </c>
      <c r="M55" s="20" t="n">
        <f aca="false">Settings!$B$3</f>
        <v>0.0309861510798204</v>
      </c>
    </row>
    <row r="56" customFormat="false" ht="15" hidden="false" customHeight="false" outlineLevel="0" collapsed="false">
      <c r="A56" s="18" t="n">
        <v>23</v>
      </c>
      <c r="B56" s="18" t="str">
        <f aca="false">IFERROR(INDEX('SKU Data'!$A$2:$A$1780,MATCH($A56,'SKU Data'!$Z$2:$Z$1780,0)),"")</f>
        <v>MJ100-62</v>
      </c>
      <c r="C56" s="18" t="str">
        <f aca="false">IFERROR(INDEX('SKU Data'!$B$2:$B$1780,MATCH($A56,'SKU Data'!$Z$2:$Z$1780,0)),"")</f>
        <v>Peaceful Clouds in Mason Jar</v>
      </c>
      <c r="D56" s="18" t="str">
        <f aca="false">IFERROR(INDEX('SKU Data'!$D$2:$D$1780,MATCH($A56,'SKU Data'!$Z$2:$Z$1780,0)),"")</f>
        <v>MJ</v>
      </c>
      <c r="E56" s="19" t="n">
        <f aca="false">IFERROR(INDEX('SKU Data'!$E$2:$E$1780,MATCH($A56,'SKU Data'!$Z$2:$Z$1780,0)),"")</f>
        <v>3090</v>
      </c>
      <c r="F56" s="19" t="n">
        <f aca="false">IFERROR(INDEX('SKU Data'!$F$2:$F$1780,MATCH($A56,'SKU Data'!$Z$2:$Z$1780,0)),"")</f>
        <v>70</v>
      </c>
      <c r="G56" s="20" t="n">
        <f aca="false">IFERROR(INDEX('SKU Data'!$J$2:$J$1780,MATCH($A56,'SKU Data'!$Z$2:$Z$1780,0)),"")</f>
        <v>0.0226537216828479</v>
      </c>
      <c r="H56" s="21" t="n">
        <f aca="false">IFERROR(INDEX('SKU Data'!$H$2:$H$1780,MATCH($A56,'SKU Data'!$Z$2:$Z$1780,0)),"")</f>
        <v>4429.38</v>
      </c>
      <c r="I56" s="20" t="n">
        <f aca="false">IFERROR(INDEX('SKU Data'!$K$2:$K$1780,MATCH($A56,'SKU Data'!$Z$2:$Z$1780,0)),"")</f>
        <v>0.0242193749203396</v>
      </c>
      <c r="J56" s="22" t="n">
        <f aca="false">IFERROR(INDEX('SKU Data'!$M$2:$M$1780,MATCH($A56,'SKU Data'!$Z$2:$Z$1780,0)),"")</f>
        <v>0.000343872259842313</v>
      </c>
      <c r="K56" s="22" t="n">
        <f aca="false">IFERROR(INDEX('SKU Data'!$L$2:$L$1780,MATCH($A56,'SKU Data'!$Z$2:$Z$1780,0)),"")</f>
        <v>0.00885223307151171</v>
      </c>
      <c r="L56" s="20" t="n">
        <f aca="false">SUM($K$34:K56)</f>
        <v>0.430114308118338</v>
      </c>
      <c r="M56" s="20" t="n">
        <f aca="false">Settings!$B$3</f>
        <v>0.0309861510798204</v>
      </c>
    </row>
    <row r="57" customFormat="false" ht="15" hidden="false" customHeight="false" outlineLevel="0" collapsed="false">
      <c r="A57" s="18" t="n">
        <v>24</v>
      </c>
      <c r="B57" s="18" t="str">
        <f aca="false">IFERROR(INDEX('SKU Data'!$A$2:$A$1780,MATCH($A57,'SKU Data'!$Z$2:$Z$1780,0)),"")</f>
        <v>AUBC-02</v>
      </c>
      <c r="C57" s="18" t="str">
        <f aca="false">IFERROR(INDEX('SKU Data'!$B$2:$B$1780,MATCH($A57,'SKU Data'!$Z$2:$Z$1780,0)),"")</f>
        <v>Birthday Combo II</v>
      </c>
      <c r="D57" s="18" t="str">
        <f aca="false">IFERROR(INDEX('SKU Data'!$D$2:$D$1780,MATCH($A57,'SKU Data'!$Z$2:$Z$1780,0)),"")</f>
        <v>AUBC</v>
      </c>
      <c r="E57" s="19" t="n">
        <f aca="false">IFERROR(INDEX('SKU Data'!$E$2:$E$1780,MATCH($A57,'SKU Data'!$Z$2:$Z$1780,0)),"")</f>
        <v>621</v>
      </c>
      <c r="F57" s="19" t="n">
        <f aca="false">IFERROR(INDEX('SKU Data'!$F$2:$F$1780,MATCH($A57,'SKU Data'!$Z$2:$Z$1780,0)),"")</f>
        <v>36</v>
      </c>
      <c r="G57" s="20" t="n">
        <f aca="false">IFERROR(INDEX('SKU Data'!$J$2:$J$1780,MATCH($A57,'SKU Data'!$Z$2:$Z$1780,0)),"")</f>
        <v>0.0579710144927536</v>
      </c>
      <c r="H57" s="21" t="n">
        <f aca="false">IFERROR(INDEX('SKU Data'!$H$2:$H$1780,MATCH($A57,'SKU Data'!$Z$2:$Z$1780,0)),"")</f>
        <v>4334.25</v>
      </c>
      <c r="I57" s="20" t="n">
        <f aca="false">IFERROR(INDEX('SKU Data'!$K$2:$K$1780,MATCH($A57,'SKU Data'!$Z$2:$Z$1780,0)),"")</f>
        <v>0.0546852831516084</v>
      </c>
      <c r="J57" s="22" t="n">
        <f aca="false">IFERROR(INDEX('SKU Data'!$M$2:$M$1780,MATCH($A57,'SKU Data'!$Z$2:$Z$1780,0)),"")</f>
        <v>0.000336486899345178</v>
      </c>
      <c r="K57" s="22" t="n">
        <f aca="false">IFERROR(INDEX('SKU Data'!$L$2:$L$1780,MATCH($A57,'SKU Data'!$Z$2:$Z$1780,0)),"")</f>
        <v>0.00866211325065803</v>
      </c>
      <c r="L57" s="20" t="n">
        <f aca="false">SUM($K$34:K57)</f>
        <v>0.438776421368996</v>
      </c>
      <c r="M57" s="20" t="n">
        <f aca="false">Settings!$B$3</f>
        <v>0.0309861510798204</v>
      </c>
    </row>
    <row r="58" customFormat="false" ht="15" hidden="false" customHeight="false" outlineLevel="0" collapsed="false">
      <c r="A58" s="18" t="n">
        <v>25</v>
      </c>
      <c r="B58" s="18" t="str">
        <f aca="false">IFERROR(INDEX('SKU Data'!$A$2:$A$1780,MATCH($A58,'SKU Data'!$Z$2:$Z$1780,0)),"")</f>
        <v>DC-01S</v>
      </c>
      <c r="C58" s="18" t="str">
        <f aca="false">IFERROR(INDEX('SKU Data'!$B$2:$B$1780,MATCH($A58,'SKU Data'!$Z$2:$Z$1780,0)),"")</f>
        <v>Designer Sympathy Collection I</v>
      </c>
      <c r="D58" s="18" t="str">
        <f aca="false">IFERROR(INDEX('SKU Data'!$D$2:$D$1780,MATCH($A58,'SKU Data'!$Z$2:$Z$1780,0)),"")</f>
        <v>DC</v>
      </c>
      <c r="E58" s="19" t="n">
        <f aca="false">IFERROR(INDEX('SKU Data'!$E$2:$E$1780,MATCH($A58,'SKU Data'!$Z$2:$Z$1780,0)),"")</f>
        <v>1991</v>
      </c>
      <c r="F58" s="19" t="n">
        <f aca="false">IFERROR(INDEX('SKU Data'!$F$2:$F$1780,MATCH($A58,'SKU Data'!$Z$2:$Z$1780,0)),"")</f>
        <v>60</v>
      </c>
      <c r="G58" s="20" t="n">
        <f aca="false">IFERROR(INDEX('SKU Data'!$J$2:$J$1780,MATCH($A58,'SKU Data'!$Z$2:$Z$1780,0)),"")</f>
        <v>0.0301356102461075</v>
      </c>
      <c r="H58" s="21" t="n">
        <f aca="false">IFERROR(INDEX('SKU Data'!$H$2:$H$1780,MATCH($A58,'SKU Data'!$Z$2:$Z$1780,0)),"")</f>
        <v>4255.73</v>
      </c>
      <c r="I58" s="20" t="n">
        <f aca="false">IFERROR(INDEX('SKU Data'!$K$2:$K$1780,MATCH($A58,'SKU Data'!$Z$2:$Z$1780,0)),"")</f>
        <v>0.0269018970454204</v>
      </c>
      <c r="J58" s="22" t="n">
        <f aca="false">IFERROR(INDEX('SKU Data'!$M$2:$M$1780,MATCH($A58,'SKU Data'!$Z$2:$Z$1780,0)),"")</f>
        <v>0.000330391046236432</v>
      </c>
      <c r="K58" s="22" t="n">
        <f aca="false">IFERROR(INDEX('SKU Data'!$L$2:$L$1780,MATCH($A58,'SKU Data'!$Z$2:$Z$1780,0)),"")</f>
        <v>0.00850518895408038</v>
      </c>
      <c r="L58" s="20" t="n">
        <f aca="false">SUM($K$34:K58)</f>
        <v>0.447281610323077</v>
      </c>
      <c r="M58" s="20" t="n">
        <f aca="false">Settings!$B$3</f>
        <v>0.0309861510798204</v>
      </c>
    </row>
    <row r="61" customFormat="false" ht="21.75" hidden="false" customHeight="true" outlineLevel="0" collapsed="false">
      <c r="A61" s="16" t="s">
        <v>43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customFormat="false" ht="42" hidden="false" customHeight="true" outlineLevel="0" collapsed="false">
      <c r="A62" s="17" t="s">
        <v>38</v>
      </c>
      <c r="B62" s="17" t="s">
        <v>16</v>
      </c>
      <c r="C62" s="17" t="s">
        <v>17</v>
      </c>
      <c r="D62" s="17" t="s">
        <v>29</v>
      </c>
      <c r="E62" s="17" t="s">
        <v>19</v>
      </c>
      <c r="F62" s="17" t="s">
        <v>20</v>
      </c>
      <c r="G62" s="17" t="s">
        <v>5</v>
      </c>
      <c r="H62" s="17" t="s">
        <v>22</v>
      </c>
      <c r="I62" s="17" t="s">
        <v>30</v>
      </c>
      <c r="J62" s="17" t="s">
        <v>23</v>
      </c>
      <c r="K62" s="17" t="s">
        <v>39</v>
      </c>
      <c r="L62" s="17" t="s">
        <v>40</v>
      </c>
      <c r="M62" s="17" t="s">
        <v>41</v>
      </c>
    </row>
    <row r="63" customFormat="false" ht="15" hidden="false" customHeight="false" outlineLevel="0" collapsed="false">
      <c r="A63" s="18" t="n">
        <v>1</v>
      </c>
      <c r="B63" s="18" t="str">
        <f aca="false">IFERROR(INDEX('SKU Data'!$A$2:$A$1780,MATCH($A63,'SKU Data'!$AA$2:$AA$1780,0)),"")</f>
        <v>DCA-02-00</v>
      </c>
      <c r="C63" s="18" t="str">
        <f aca="false">IFERROR(INDEX('SKU Data'!$B$2:$B$1780,MATCH($A63,'SKU Data'!$AA$2:$AA$1780,0)),"")</f>
        <v>Anniversary Designer Collection II</v>
      </c>
      <c r="D63" s="18" t="str">
        <f aca="false">IFERROR(INDEX('SKU Data'!$D$2:$D$1780,MATCH($A63,'SKU Data'!$AA$2:$AA$1780,0)),"")</f>
        <v>Other (small prefixes)</v>
      </c>
      <c r="E63" s="19" t="n">
        <f aca="false">IFERROR(INDEX('SKU Data'!$E$2:$E$1780,MATCH($A63,'SKU Data'!$AA$2:$AA$1780,0)),"")</f>
        <v>38</v>
      </c>
      <c r="F63" s="19" t="n">
        <f aca="false">IFERROR(INDEX('SKU Data'!$F$2:$F$1780,MATCH($A63,'SKU Data'!$AA$2:$AA$1780,0)),"")</f>
        <v>8</v>
      </c>
      <c r="G63" s="20" t="n">
        <f aca="false">IFERROR(INDEX('SKU Data'!$J$2:$J$1780,MATCH($A63,'SKU Data'!$AA$2:$AA$1780,0)),"")</f>
        <v>0.210526315789474</v>
      </c>
      <c r="H63" s="21" t="n">
        <f aca="false">IFERROR(INDEX('SKU Data'!$H$2:$H$1780,MATCH($A63,'SKU Data'!$AA$2:$AA$1780,0)),"")</f>
        <v>735.3</v>
      </c>
      <c r="I63" s="20" t="n">
        <f aca="false">IFERROR(INDEX('SKU Data'!$K$2:$K$1780,MATCH($A63,'SKU Data'!$AA$2:$AA$1780,0)),"")</f>
        <v>0.182174950386871</v>
      </c>
      <c r="J63" s="22" t="n">
        <f aca="false">IFERROR(INDEX('SKU Data'!$M$2:$M$1780,MATCH($A63,'SKU Data'!$AA$2:$AA$1780,0)),"")</f>
        <v>5.7084574514278E-005</v>
      </c>
      <c r="K63" s="22" t="n">
        <f aca="false">IFERROR(INDEX('SKU Data'!$L$2:$L$1780,MATCH($A63,'SKU Data'!$AA$2:$AA$1780,0)),"")</f>
        <v>0.0014695164960971</v>
      </c>
      <c r="L63" s="20"/>
      <c r="M63" s="20" t="n">
        <f aca="false">Settings!$B$3</f>
        <v>0.0309861510798204</v>
      </c>
    </row>
    <row r="64" customFormat="false" ht="15" hidden="false" customHeight="false" outlineLevel="0" collapsed="false">
      <c r="A64" s="18" t="n">
        <v>2</v>
      </c>
      <c r="B64" s="18" t="str">
        <f aca="false">IFERROR(INDEX('SKU Data'!$A$2:$A$1780,MATCH($A64,'SKU Data'!$AA$2:$AA$1780,0)),"")</f>
        <v>AU100-571</v>
      </c>
      <c r="C64" s="18" t="str">
        <f aca="false">IFERROR(INDEX('SKU Data'!$B$2:$B$1780,MATCH($A64,'SKU Data'!$AA$2:$AA$1780,0)),"")</f>
        <v>Hope &amp; Honour Cross</v>
      </c>
      <c r="D64" s="18" t="str">
        <f aca="false">IFERROR(INDEX('SKU Data'!$D$2:$D$1780,MATCH($A64,'SKU Data'!$AA$2:$AA$1780,0)),"")</f>
        <v>AU</v>
      </c>
      <c r="E64" s="19" t="n">
        <f aca="false">IFERROR(INDEX('SKU Data'!$E$2:$E$1780,MATCH($A64,'SKU Data'!$AA$2:$AA$1780,0)),"")</f>
        <v>37</v>
      </c>
      <c r="F64" s="19" t="n">
        <f aca="false">IFERROR(INDEX('SKU Data'!$F$2:$F$1780,MATCH($A64,'SKU Data'!$AA$2:$AA$1780,0)),"")</f>
        <v>7</v>
      </c>
      <c r="G64" s="20" t="n">
        <f aca="false">IFERROR(INDEX('SKU Data'!$J$2:$J$1780,MATCH($A64,'SKU Data'!$AA$2:$AA$1780,0)),"")</f>
        <v>0.189189189189189</v>
      </c>
      <c r="H64" s="21" t="n">
        <f aca="false">IFERROR(INDEX('SKU Data'!$H$2:$H$1780,MATCH($A64,'SKU Data'!$AA$2:$AA$1780,0)),"")</f>
        <v>1720.43</v>
      </c>
      <c r="I64" s="20" t="n">
        <f aca="false">IFERROR(INDEX('SKU Data'!$K$2:$K$1780,MATCH($A64,'SKU Data'!$AA$2:$AA$1780,0)),"")</f>
        <v>0.18258994287</v>
      </c>
      <c r="J64" s="22" t="n">
        <f aca="false">IFERROR(INDEX('SKU Data'!$M$2:$M$1780,MATCH($A64,'SKU Data'!$AA$2:$AA$1780,0)),"")</f>
        <v>0.000133564551246565</v>
      </c>
      <c r="K64" s="22" t="n">
        <f aca="false">IFERROR(INDEX('SKU Data'!$L$2:$L$1780,MATCH($A64,'SKU Data'!$AA$2:$AA$1780,0)),"")</f>
        <v>0.00343832485431841</v>
      </c>
      <c r="L64" s="20"/>
      <c r="M64" s="20" t="n">
        <f aca="false">Settings!$B$3</f>
        <v>0.0309861510798204</v>
      </c>
    </row>
    <row r="65" customFormat="false" ht="15" hidden="false" customHeight="false" outlineLevel="0" collapsed="false">
      <c r="A65" s="18" t="n">
        <v>3</v>
      </c>
      <c r="B65" s="18" t="str">
        <f aca="false">IFERROR(INDEX('SKU Data'!$A$2:$A$1780,MATCH($A65,'SKU Data'!$AA$2:$AA$1780,0)),"")</f>
        <v>AU100-582</v>
      </c>
      <c r="C65" s="18" t="str">
        <f aca="false">IFERROR(INDEX('SKU Data'!$B$2:$B$1780,MATCH($A65,'SKU Data'!$AA$2:$AA$1780,0)),"")</f>
        <v>Rose Garden Heart</v>
      </c>
      <c r="D65" s="18" t="str">
        <f aca="false">IFERROR(INDEX('SKU Data'!$D$2:$D$1780,MATCH($A65,'SKU Data'!$AA$2:$AA$1780,0)),"")</f>
        <v>AU</v>
      </c>
      <c r="E65" s="19" t="n">
        <f aca="false">IFERROR(INDEX('SKU Data'!$E$2:$E$1780,MATCH($A65,'SKU Data'!$AA$2:$AA$1780,0)),"")</f>
        <v>40</v>
      </c>
      <c r="F65" s="19" t="n">
        <f aca="false">IFERROR(INDEX('SKU Data'!$F$2:$F$1780,MATCH($A65,'SKU Data'!$AA$2:$AA$1780,0)),"")</f>
        <v>6</v>
      </c>
      <c r="G65" s="20" t="n">
        <f aca="false">IFERROR(INDEX('SKU Data'!$J$2:$J$1780,MATCH($A65,'SKU Data'!$AA$2:$AA$1780,0)),"")</f>
        <v>0.15</v>
      </c>
      <c r="H65" s="21" t="n">
        <f aca="false">IFERROR(INDEX('SKU Data'!$H$2:$H$1780,MATCH($A65,'SKU Data'!$AA$2:$AA$1780,0)),"")</f>
        <v>1504.25</v>
      </c>
      <c r="I65" s="20" t="n">
        <f aca="false">IFERROR(INDEX('SKU Data'!$K$2:$K$1780,MATCH($A65,'SKU Data'!$AA$2:$AA$1780,0)),"")</f>
        <v>0.134220792199356</v>
      </c>
      <c r="J65" s="22" t="n">
        <f aca="false">IFERROR(INDEX('SKU Data'!$M$2:$M$1780,MATCH($A65,'SKU Data'!$AA$2:$AA$1780,0)),"")</f>
        <v>0.000116781546597447</v>
      </c>
      <c r="K65" s="22" t="n">
        <f aca="false">IFERROR(INDEX('SKU Data'!$L$2:$L$1780,MATCH($A65,'SKU Data'!$AA$2:$AA$1780,0)),"")</f>
        <v>0.00300628340711826</v>
      </c>
      <c r="L65" s="20"/>
      <c r="M65" s="20" t="n">
        <f aca="false">Settings!$B$3</f>
        <v>0.0309861510798204</v>
      </c>
    </row>
    <row r="66" customFormat="false" ht="15" hidden="false" customHeight="false" outlineLevel="0" collapsed="false">
      <c r="A66" s="18" t="n">
        <v>4</v>
      </c>
      <c r="B66" s="18" t="str">
        <f aca="false">IFERROR(INDEX('SKU Data'!$A$2:$A$1780,MATCH($A66,'SKU Data'!$AA$2:$AA$1780,0)),"")</f>
        <v>DCB-03</v>
      </c>
      <c r="C66" s="18" t="str">
        <f aca="false">IFERROR(INDEX('SKU Data'!$B$2:$B$1780,MATCH($A66,'SKU Data'!$AA$2:$AA$1780,0)),"")</f>
        <v>Birthday Designer Collection III</v>
      </c>
      <c r="D66" s="18" t="str">
        <f aca="false">IFERROR(INDEX('SKU Data'!$D$2:$D$1780,MATCH($A66,'SKU Data'!$AA$2:$AA$1780,0)),"")</f>
        <v>DCB</v>
      </c>
      <c r="E66" s="19" t="n">
        <f aca="false">IFERROR(INDEX('SKU Data'!$E$2:$E$1780,MATCH($A66,'SKU Data'!$AA$2:$AA$1780,0)),"")</f>
        <v>35</v>
      </c>
      <c r="F66" s="19" t="n">
        <f aca="false">IFERROR(INDEX('SKU Data'!$F$2:$F$1780,MATCH($A66,'SKU Data'!$AA$2:$AA$1780,0)),"")</f>
        <v>5</v>
      </c>
      <c r="G66" s="20" t="n">
        <f aca="false">IFERROR(INDEX('SKU Data'!$J$2:$J$1780,MATCH($A66,'SKU Data'!$AA$2:$AA$1780,0)),"")</f>
        <v>0.142857142857143</v>
      </c>
      <c r="H66" s="21" t="n">
        <f aca="false">IFERROR(INDEX('SKU Data'!$H$2:$H$1780,MATCH($A66,'SKU Data'!$AA$2:$AA$1780,0)),"")</f>
        <v>619.12</v>
      </c>
      <c r="I66" s="20" t="n">
        <f aca="false">IFERROR(INDEX('SKU Data'!$K$2:$K$1780,MATCH($A66,'SKU Data'!$AA$2:$AA$1780,0)),"")</f>
        <v>0.117739460176974</v>
      </c>
      <c r="J66" s="22" t="n">
        <f aca="false">IFERROR(INDEX('SKU Data'!$M$2:$M$1780,MATCH($A66,'SKU Data'!$AA$2:$AA$1780,0)),"")</f>
        <v>4.80650098915814E-005</v>
      </c>
      <c r="K66" s="22" t="n">
        <f aca="false">IFERROR(INDEX('SKU Data'!$L$2:$L$1780,MATCH($A66,'SKU Data'!$AA$2:$AA$1780,0)),"")</f>
        <v>0.001237327693545</v>
      </c>
      <c r="L66" s="20"/>
      <c r="M66" s="20" t="n">
        <f aca="false">Settings!$B$3</f>
        <v>0.0309861510798204</v>
      </c>
    </row>
    <row r="67" customFormat="false" ht="15" hidden="false" customHeight="false" outlineLevel="0" collapsed="false">
      <c r="A67" s="18" t="n">
        <v>5</v>
      </c>
      <c r="B67" s="18" t="str">
        <f aca="false">IFERROR(INDEX('SKU Data'!$A$2:$A$1780,MATCH($A67,'SKU Data'!$AA$2:$AA$1780,0)),"")</f>
        <v>AU1211-02</v>
      </c>
      <c r="C67" s="18" t="str">
        <f aca="false">IFERROR(INDEX('SKU Data'!$B$2:$B$1780,MATCH($A67,'SKU Data'!$AA$2:$AA$1780,0)),"")</f>
        <v>Three Dozen White Roses</v>
      </c>
      <c r="D67" s="18" t="str">
        <f aca="false">IFERROR(INDEX('SKU Data'!$D$2:$D$1780,MATCH($A67,'SKU Data'!$AA$2:$AA$1780,0)),"")</f>
        <v>AU</v>
      </c>
      <c r="E67" s="19" t="n">
        <f aca="false">IFERROR(INDEX('SKU Data'!$E$2:$E$1780,MATCH($A67,'SKU Data'!$AA$2:$AA$1780,0)),"")</f>
        <v>40</v>
      </c>
      <c r="F67" s="19" t="n">
        <f aca="false">IFERROR(INDEX('SKU Data'!$F$2:$F$1780,MATCH($A67,'SKU Data'!$AA$2:$AA$1780,0)),"")</f>
        <v>5</v>
      </c>
      <c r="G67" s="20" t="n">
        <f aca="false">IFERROR(INDEX('SKU Data'!$J$2:$J$1780,MATCH($A67,'SKU Data'!$AA$2:$AA$1780,0)),"")</f>
        <v>0.125</v>
      </c>
      <c r="H67" s="21" t="n">
        <f aca="false">IFERROR(INDEX('SKU Data'!$H$2:$H$1780,MATCH($A67,'SKU Data'!$AA$2:$AA$1780,0)),"")</f>
        <v>1187.73</v>
      </c>
      <c r="I67" s="20" t="n">
        <f aca="false">IFERROR(INDEX('SKU Data'!$K$2:$K$1780,MATCH($A67,'SKU Data'!$AA$2:$AA$1780,0)),"")</f>
        <v>0.117323700329826</v>
      </c>
      <c r="J67" s="22" t="n">
        <f aca="false">IFERROR(INDEX('SKU Data'!$M$2:$M$1780,MATCH($A67,'SKU Data'!$AA$2:$AA$1780,0)),"")</f>
        <v>9.22087062258172E-005</v>
      </c>
      <c r="K67" s="22" t="n">
        <f aca="false">IFERROR(INDEX('SKU Data'!$L$2:$L$1780,MATCH($A67,'SKU Data'!$AA$2:$AA$1780,0)),"")</f>
        <v>0.00237370981627826</v>
      </c>
      <c r="L67" s="20"/>
      <c r="M67" s="20" t="n">
        <f aca="false">Settings!$B$3</f>
        <v>0.0309861510798204</v>
      </c>
    </row>
    <row r="68" customFormat="false" ht="15" hidden="false" customHeight="false" outlineLevel="0" collapsed="false">
      <c r="A68" s="18" t="n">
        <v>6</v>
      </c>
      <c r="B68" s="18" t="str">
        <f aca="false">IFERROR(INDEX('SKU Data'!$A$2:$A$1780,MATCH($A68,'SKU Data'!$AA$2:$AA$1780,0)),"")</f>
        <v>DCA-01-00</v>
      </c>
      <c r="C68" s="18" t="str">
        <f aca="false">IFERROR(INDEX('SKU Data'!$B$2:$B$1780,MATCH($A68,'SKU Data'!$AA$2:$AA$1780,0)),"")</f>
        <v>Anniversary Designer Collection I</v>
      </c>
      <c r="D68" s="18" t="str">
        <f aca="false">IFERROR(INDEX('SKU Data'!$D$2:$D$1780,MATCH($A68,'SKU Data'!$AA$2:$AA$1780,0)),"")</f>
        <v>Other (small prefixes)</v>
      </c>
      <c r="E68" s="19" t="n">
        <f aca="false">IFERROR(INDEX('SKU Data'!$E$2:$E$1780,MATCH($A68,'SKU Data'!$AA$2:$AA$1780,0)),"")</f>
        <v>41</v>
      </c>
      <c r="F68" s="19" t="n">
        <f aca="false">IFERROR(INDEX('SKU Data'!$F$2:$F$1780,MATCH($A68,'SKU Data'!$AA$2:$AA$1780,0)),"")</f>
        <v>5</v>
      </c>
      <c r="G68" s="20" t="n">
        <f aca="false">IFERROR(INDEX('SKU Data'!$J$2:$J$1780,MATCH($A68,'SKU Data'!$AA$2:$AA$1780,0)),"")</f>
        <v>0.121951219512195</v>
      </c>
      <c r="H68" s="21" t="n">
        <f aca="false">IFERROR(INDEX('SKU Data'!$H$2:$H$1780,MATCH($A68,'SKU Data'!$AA$2:$AA$1780,0)),"")</f>
        <v>381.59</v>
      </c>
      <c r="I68" s="20" t="n">
        <f aca="false">IFERROR(INDEX('SKU Data'!$K$2:$K$1780,MATCH($A68,'SKU Data'!$AA$2:$AA$1780,0)),"")</f>
        <v>0.119252837641882</v>
      </c>
      <c r="J68" s="22" t="n">
        <f aca="false">IFERROR(INDEX('SKU Data'!$M$2:$M$1780,MATCH($A68,'SKU Data'!$AA$2:$AA$1780,0)),"")</f>
        <v>2.96245107968222E-005</v>
      </c>
      <c r="K68" s="22" t="n">
        <f aca="false">IFERROR(INDEX('SKU Data'!$L$2:$L$1780,MATCH($A68,'SKU Data'!$AA$2:$AA$1780,0)),"")</f>
        <v>0.000762617706712487</v>
      </c>
      <c r="L68" s="20"/>
      <c r="M68" s="20" t="n">
        <f aca="false">Settings!$B$3</f>
        <v>0.0309861510798204</v>
      </c>
    </row>
    <row r="69" customFormat="false" ht="15" hidden="false" customHeight="false" outlineLevel="0" collapsed="false">
      <c r="A69" s="18" t="n">
        <v>7</v>
      </c>
      <c r="B69" s="18" t="str">
        <f aca="false">IFERROR(INDEX('SKU Data'!$A$2:$A$1780,MATCH($A69,'SKU Data'!$AA$2:$AA$1780,0)),"")</f>
        <v>AU100-545</v>
      </c>
      <c r="C69" s="18" t="str">
        <f aca="false">IFERROR(INDEX('SKU Data'!$B$2:$B$1780,MATCH($A69,'SKU Data'!$AA$2:$AA$1780,0)),"")</f>
        <v>Gentle Thoughts Spray</v>
      </c>
      <c r="D69" s="18" t="str">
        <f aca="false">IFERROR(INDEX('SKU Data'!$D$2:$D$1780,MATCH($A69,'SKU Data'!$AA$2:$AA$1780,0)),"")</f>
        <v>AU</v>
      </c>
      <c r="E69" s="19" t="n">
        <f aca="false">IFERROR(INDEX('SKU Data'!$E$2:$E$1780,MATCH($A69,'SKU Data'!$AA$2:$AA$1780,0)),"")</f>
        <v>128</v>
      </c>
      <c r="F69" s="19" t="n">
        <f aca="false">IFERROR(INDEX('SKU Data'!$F$2:$F$1780,MATCH($A69,'SKU Data'!$AA$2:$AA$1780,0)),"")</f>
        <v>15</v>
      </c>
      <c r="G69" s="20" t="n">
        <f aca="false">IFERROR(INDEX('SKU Data'!$J$2:$J$1780,MATCH($A69,'SKU Data'!$AA$2:$AA$1780,0)),"")</f>
        <v>0.1171875</v>
      </c>
      <c r="H69" s="21" t="n">
        <f aca="false">IFERROR(INDEX('SKU Data'!$H$2:$H$1780,MATCH($A69,'SKU Data'!$AA$2:$AA$1780,0)),"")</f>
        <v>2729.11</v>
      </c>
      <c r="I69" s="20" t="n">
        <f aca="false">IFERROR(INDEX('SKU Data'!$K$2:$K$1780,MATCH($A69,'SKU Data'!$AA$2:$AA$1780,0)),"")</f>
        <v>0.106513991057713</v>
      </c>
      <c r="J69" s="22" t="n">
        <f aca="false">IFERROR(INDEX('SKU Data'!$M$2:$M$1780,MATCH($A69,'SKU Data'!$AA$2:$AA$1780,0)),"")</f>
        <v>0.000211872818105074</v>
      </c>
      <c r="K69" s="22" t="n">
        <f aca="false">IFERROR(INDEX('SKU Data'!$L$2:$L$1780,MATCH($A69,'SKU Data'!$AA$2:$AA$1780,0)),"")</f>
        <v>0.00545419851035435</v>
      </c>
      <c r="L69" s="20"/>
      <c r="M69" s="20" t="n">
        <f aca="false">Settings!$B$3</f>
        <v>0.0309861510798204</v>
      </c>
    </row>
    <row r="70" customFormat="false" ht="15" hidden="false" customHeight="false" outlineLevel="0" collapsed="false">
      <c r="A70" s="18" t="n">
        <v>8</v>
      </c>
      <c r="B70" s="18" t="str">
        <f aca="false">IFERROR(INDEX('SKU Data'!$A$2:$A$1780,MATCH($A70,'SKU Data'!$AA$2:$AA$1780,0)),"")</f>
        <v>GF60-10</v>
      </c>
      <c r="C70" s="18" t="str">
        <f aca="false">IFERROR(INDEX('SKU Data'!$B$2:$B$1780,MATCH($A70,'SKU Data'!$AA$2:$AA$1780,0)),"")</f>
        <v>Gorgeous Gerberas</v>
      </c>
      <c r="D70" s="18" t="str">
        <f aca="false">IFERROR(INDEX('SKU Data'!$D$2:$D$1780,MATCH($A70,'SKU Data'!$AA$2:$AA$1780,0)),"")</f>
        <v>GF</v>
      </c>
      <c r="E70" s="19" t="n">
        <f aca="false">IFERROR(INDEX('SKU Data'!$E$2:$E$1780,MATCH($A70,'SKU Data'!$AA$2:$AA$1780,0)),"")</f>
        <v>77</v>
      </c>
      <c r="F70" s="19" t="n">
        <f aca="false">IFERROR(INDEX('SKU Data'!$F$2:$F$1780,MATCH($A70,'SKU Data'!$AA$2:$AA$1780,0)),"")</f>
        <v>9</v>
      </c>
      <c r="G70" s="20" t="n">
        <f aca="false">IFERROR(INDEX('SKU Data'!$J$2:$J$1780,MATCH($A70,'SKU Data'!$AA$2:$AA$1780,0)),"")</f>
        <v>0.116883116883117</v>
      </c>
      <c r="H70" s="21" t="n">
        <f aca="false">IFERROR(INDEX('SKU Data'!$H$2:$H$1780,MATCH($A70,'SKU Data'!$AA$2:$AA$1780,0)),"")</f>
        <v>417.6</v>
      </c>
      <c r="I70" s="20" t="n">
        <f aca="false">IFERROR(INDEX('SKU Data'!$K$2:$K$1780,MATCH($A70,'SKU Data'!$AA$2:$AA$1780,0)),"")</f>
        <v>0.111038432698904</v>
      </c>
      <c r="J70" s="22" t="n">
        <f aca="false">IFERROR(INDEX('SKU Data'!$M$2:$M$1780,MATCH($A70,'SKU Data'!$AA$2:$AA$1780,0)),"")</f>
        <v>3.24201255503366E-005</v>
      </c>
      <c r="K70" s="22" t="n">
        <f aca="false">IFERROR(INDEX('SKU Data'!$L$2:$L$1780,MATCH($A70,'SKU Data'!$AA$2:$AA$1780,0)),"")</f>
        <v>0.000834584644050249</v>
      </c>
      <c r="L70" s="20"/>
      <c r="M70" s="20" t="n">
        <f aca="false">Settings!$B$3</f>
        <v>0.0309861510798204</v>
      </c>
    </row>
    <row r="71" customFormat="false" ht="15" hidden="false" customHeight="false" outlineLevel="0" collapsed="false">
      <c r="A71" s="18" t="n">
        <v>9</v>
      </c>
      <c r="B71" s="18" t="str">
        <f aca="false">IFERROR(INDEX('SKU Data'!$A$2:$A$1780,MATCH($A71,'SKU Data'!$AA$2:$AA$1780,0)),"")</f>
        <v>AU189-01</v>
      </c>
      <c r="C71" s="18" t="str">
        <f aca="false">IFERROR(INDEX('SKU Data'!$B$2:$B$1780,MATCH($A71,'SKU Data'!$AA$2:$AA$1780,0)),"")</f>
        <v>Classic Sympathy Wreath</v>
      </c>
      <c r="D71" s="18" t="str">
        <f aca="false">IFERROR(INDEX('SKU Data'!$D$2:$D$1780,MATCH($A71,'SKU Data'!$AA$2:$AA$1780,0)),"")</f>
        <v>AU</v>
      </c>
      <c r="E71" s="19" t="n">
        <f aca="false">IFERROR(INDEX('SKU Data'!$E$2:$E$1780,MATCH($A71,'SKU Data'!$AA$2:$AA$1780,0)),"")</f>
        <v>97</v>
      </c>
      <c r="F71" s="19" t="n">
        <f aca="false">IFERROR(INDEX('SKU Data'!$F$2:$F$1780,MATCH($A71,'SKU Data'!$AA$2:$AA$1780,0)),"")</f>
        <v>11</v>
      </c>
      <c r="G71" s="20" t="n">
        <f aca="false">IFERROR(INDEX('SKU Data'!$J$2:$J$1780,MATCH($A71,'SKU Data'!$AA$2:$AA$1780,0)),"")</f>
        <v>0.11340206185567</v>
      </c>
      <c r="H71" s="21" t="n">
        <f aca="false">IFERROR(INDEX('SKU Data'!$H$2:$H$1780,MATCH($A71,'SKU Data'!$AA$2:$AA$1780,0)),"")</f>
        <v>2932.31</v>
      </c>
      <c r="I71" s="20" t="n">
        <f aca="false">IFERROR(INDEX('SKU Data'!$K$2:$K$1780,MATCH($A71,'SKU Data'!$AA$2:$AA$1780,0)),"")</f>
        <v>0.102506422578953</v>
      </c>
      <c r="J71" s="22" t="n">
        <f aca="false">IFERROR(INDEX('SKU Data'!$M$2:$M$1780,MATCH($A71,'SKU Data'!$AA$2:$AA$1780,0)),"")</f>
        <v>0.000227648128238763</v>
      </c>
      <c r="K71" s="22" t="n">
        <f aca="false">IFERROR(INDEX('SKU Data'!$L$2:$L$1780,MATCH($A71,'SKU Data'!$AA$2:$AA$1780,0)),"")</f>
        <v>0.00586029908427918</v>
      </c>
      <c r="L71" s="20"/>
      <c r="M71" s="20" t="n">
        <f aca="false">Settings!$B$3</f>
        <v>0.0309861510798204</v>
      </c>
    </row>
    <row r="72" customFormat="false" ht="15" hidden="false" customHeight="false" outlineLevel="0" collapsed="false">
      <c r="A72" s="18" t="n">
        <v>10</v>
      </c>
      <c r="B72" s="18" t="str">
        <f aca="false">IFERROR(INDEX('SKU Data'!$A$2:$A$1780,MATCH($A72,'SKU Data'!$AA$2:$AA$1780,0)),"")</f>
        <v>RP-10</v>
      </c>
      <c r="C72" s="18" t="str">
        <f aca="false">IFERROR(INDEX('SKU Data'!$B$2:$B$1780,MATCH($A72,'SKU Data'!$AA$2:$AA$1780,0)),"")</f>
        <v>Vase and Card Combo</v>
      </c>
      <c r="D72" s="18" t="str">
        <f aca="false">IFERROR(INDEX('SKU Data'!$D$2:$D$1780,MATCH($A72,'SKU Data'!$AA$2:$AA$1780,0)),"")</f>
        <v>RP</v>
      </c>
      <c r="E72" s="19" t="n">
        <f aca="false">IFERROR(INDEX('SKU Data'!$E$2:$E$1780,MATCH($A72,'SKU Data'!$AA$2:$AA$1780,0)),"")</f>
        <v>54</v>
      </c>
      <c r="F72" s="19" t="n">
        <f aca="false">IFERROR(INDEX('SKU Data'!$F$2:$F$1780,MATCH($A72,'SKU Data'!$AA$2:$AA$1780,0)),"")</f>
        <v>6</v>
      </c>
      <c r="G72" s="20" t="n">
        <f aca="false">IFERROR(INDEX('SKU Data'!$J$2:$J$1780,MATCH($A72,'SKU Data'!$AA$2:$AA$1780,0)),"")</f>
        <v>0.111111111111111</v>
      </c>
      <c r="H72" s="21" t="n">
        <f aca="false">IFERROR(INDEX('SKU Data'!$H$2:$H$1780,MATCH($A72,'SKU Data'!$AA$2:$AA$1780,0)),"")</f>
        <v>70.62</v>
      </c>
      <c r="I72" s="20" t="n">
        <f aca="false">IFERROR(INDEX('SKU Data'!$K$2:$K$1780,MATCH($A72,'SKU Data'!$AA$2:$AA$1780,0)),"")</f>
        <v>0.110089168797157</v>
      </c>
      <c r="J72" s="22" t="n">
        <f aca="false">IFERROR(INDEX('SKU Data'!$M$2:$M$1780,MATCH($A72,'SKU Data'!$AA$2:$AA$1780,0)),"")</f>
        <v>5.48254134665893E-006</v>
      </c>
      <c r="K72" s="22" t="n">
        <f aca="false">IFERROR(INDEX('SKU Data'!$L$2:$L$1780,MATCH($A72,'SKU Data'!$AA$2:$AA$1780,0)),"")</f>
        <v>0.000141135937650452</v>
      </c>
      <c r="L72" s="20"/>
      <c r="M72" s="20" t="n">
        <f aca="false">Settings!$B$3</f>
        <v>0.0309861510798204</v>
      </c>
    </row>
    <row r="73" customFormat="false" ht="15" hidden="false" customHeight="false" outlineLevel="0" collapsed="false">
      <c r="A73" s="18" t="n">
        <v>11</v>
      </c>
      <c r="B73" s="18" t="str">
        <f aca="false">IFERROR(INDEX('SKU Data'!$A$2:$A$1780,MATCH($A73,'SKU Data'!$AA$2:$AA$1780,0)),"")</f>
        <v>GF10-01</v>
      </c>
      <c r="C73" s="18" t="str">
        <f aca="false">IFERROR(INDEX('SKU Data'!$B$2:$B$1780,MATCH($A73,'SKU Data'!$AA$2:$AA$1780,0)),"")</f>
        <v>Half Dozen Long Stem Red Roses</v>
      </c>
      <c r="D73" s="18" t="str">
        <f aca="false">IFERROR(INDEX('SKU Data'!$D$2:$D$1780,MATCH($A73,'SKU Data'!$AA$2:$AA$1780,0)),"")</f>
        <v>GF</v>
      </c>
      <c r="E73" s="19" t="n">
        <f aca="false">IFERROR(INDEX('SKU Data'!$E$2:$E$1780,MATCH($A73,'SKU Data'!$AA$2:$AA$1780,0)),"")</f>
        <v>38</v>
      </c>
      <c r="F73" s="19" t="n">
        <f aca="false">IFERROR(INDEX('SKU Data'!$F$2:$F$1780,MATCH($A73,'SKU Data'!$AA$2:$AA$1780,0)),"")</f>
        <v>4</v>
      </c>
      <c r="G73" s="20" t="n">
        <f aca="false">IFERROR(INDEX('SKU Data'!$J$2:$J$1780,MATCH($A73,'SKU Data'!$AA$2:$AA$1780,0)),"")</f>
        <v>0.105263157894737</v>
      </c>
      <c r="H73" s="21" t="n">
        <f aca="false">IFERROR(INDEX('SKU Data'!$H$2:$H$1780,MATCH($A73,'SKU Data'!$AA$2:$AA$1780,0)),"")</f>
        <v>276.64</v>
      </c>
      <c r="I73" s="20" t="n">
        <f aca="false">IFERROR(INDEX('SKU Data'!$K$2:$K$1780,MATCH($A73,'SKU Data'!$AA$2:$AA$1780,0)),"")</f>
        <v>0.104661016949153</v>
      </c>
      <c r="J73" s="22" t="n">
        <f aca="false">IFERROR(INDEX('SKU Data'!$M$2:$M$1780,MATCH($A73,'SKU Data'!$AA$2:$AA$1780,0)),"")</f>
        <v>2.14767804890927E-005</v>
      </c>
      <c r="K73" s="22" t="n">
        <f aca="false">IFERROR(INDEX('SKU Data'!$L$2:$L$1780,MATCH($A73,'SKU Data'!$AA$2:$AA$1780,0)),"")</f>
        <v>0.00055287235615436</v>
      </c>
      <c r="L73" s="20"/>
      <c r="M73" s="20" t="n">
        <f aca="false">Settings!$B$3</f>
        <v>0.0309861510798204</v>
      </c>
    </row>
    <row r="74" customFormat="false" ht="15" hidden="false" customHeight="false" outlineLevel="0" collapsed="false">
      <c r="A74" s="18" t="n">
        <v>12</v>
      </c>
      <c r="B74" s="18" t="str">
        <f aca="false">IFERROR(INDEX('SKU Data'!$A$2:$A$1780,MATCH($A74,'SKU Data'!$AA$2:$AA$1780,0)),"")</f>
        <v>AU11-97</v>
      </c>
      <c r="C74" s="18" t="str">
        <f aca="false">IFERROR(INDEX('SKU Data'!$B$2:$B$1780,MATCH($A74,'SKU Data'!$AA$2:$AA$1780,0)),"")</f>
        <v>Premium White and Red Roses</v>
      </c>
      <c r="D74" s="18" t="str">
        <f aca="false">IFERROR(INDEX('SKU Data'!$D$2:$D$1780,MATCH($A74,'SKU Data'!$AA$2:$AA$1780,0)),"")</f>
        <v>AU</v>
      </c>
      <c r="E74" s="19" t="n">
        <f aca="false">IFERROR(INDEX('SKU Data'!$E$2:$E$1780,MATCH($A74,'SKU Data'!$AA$2:$AA$1780,0)),"")</f>
        <v>115</v>
      </c>
      <c r="F74" s="19" t="n">
        <f aca="false">IFERROR(INDEX('SKU Data'!$F$2:$F$1780,MATCH($A74,'SKU Data'!$AA$2:$AA$1780,0)),"")</f>
        <v>12</v>
      </c>
      <c r="G74" s="20" t="n">
        <f aca="false">IFERROR(INDEX('SKU Data'!$J$2:$J$1780,MATCH($A74,'SKU Data'!$AA$2:$AA$1780,0)),"")</f>
        <v>0.104347826086957</v>
      </c>
      <c r="H74" s="21" t="n">
        <f aca="false">IFERROR(INDEX('SKU Data'!$H$2:$H$1780,MATCH($A74,'SKU Data'!$AA$2:$AA$1780,0)),"")</f>
        <v>2215.18</v>
      </c>
      <c r="I74" s="20" t="n">
        <f aca="false">IFERROR(INDEX('SKU Data'!$K$2:$K$1780,MATCH($A74,'SKU Data'!$AA$2:$AA$1780,0)),"")</f>
        <v>0.100438174105289</v>
      </c>
      <c r="J74" s="22" t="n">
        <f aca="false">IFERROR(INDEX('SKU Data'!$M$2:$M$1780,MATCH($A74,'SKU Data'!$AA$2:$AA$1780,0)),"")</f>
        <v>0.000171974170777286</v>
      </c>
      <c r="K74" s="22" t="n">
        <f aca="false">IFERROR(INDEX('SKU Data'!$L$2:$L$1780,MATCH($A74,'SKU Data'!$AA$2:$AA$1780,0)),"")</f>
        <v>0.00442709581371463</v>
      </c>
      <c r="L74" s="20"/>
      <c r="M74" s="20" t="n">
        <f aca="false">Settings!$B$3</f>
        <v>0.0309861510798204</v>
      </c>
    </row>
    <row r="75" customFormat="false" ht="15" hidden="false" customHeight="false" outlineLevel="0" collapsed="false">
      <c r="A75" s="18" t="n">
        <v>13</v>
      </c>
      <c r="B75" s="18" t="str">
        <f aca="false">IFERROR(INDEX('SKU Data'!$A$2:$A$1780,MATCH($A75,'SKU Data'!$AA$2:$AA$1780,0)),"")</f>
        <v>AU111-78</v>
      </c>
      <c r="C75" s="18" t="str">
        <f aca="false">IFERROR(INDEX('SKU Data'!$B$2:$B$1780,MATCH($A75,'SKU Data'!$AA$2:$AA$1780,0)),"")</f>
        <v>Lots of Love</v>
      </c>
      <c r="D75" s="18" t="str">
        <f aca="false">IFERROR(INDEX('SKU Data'!$D$2:$D$1780,MATCH($A75,'SKU Data'!$AA$2:$AA$1780,0)),"")</f>
        <v>AU</v>
      </c>
      <c r="E75" s="19" t="n">
        <f aca="false">IFERROR(INDEX('SKU Data'!$E$2:$E$1780,MATCH($A75,'SKU Data'!$AA$2:$AA$1780,0)),"")</f>
        <v>39</v>
      </c>
      <c r="F75" s="19" t="n">
        <f aca="false">IFERROR(INDEX('SKU Data'!$F$2:$F$1780,MATCH($A75,'SKU Data'!$AA$2:$AA$1780,0)),"")</f>
        <v>4</v>
      </c>
      <c r="G75" s="20" t="n">
        <f aca="false">IFERROR(INDEX('SKU Data'!$J$2:$J$1780,MATCH($A75,'SKU Data'!$AA$2:$AA$1780,0)),"")</f>
        <v>0.102564102564103</v>
      </c>
      <c r="H75" s="21" t="n">
        <f aca="false">IFERROR(INDEX('SKU Data'!$H$2:$H$1780,MATCH($A75,'SKU Data'!$AA$2:$AA$1780,0)),"")</f>
        <v>339.38</v>
      </c>
      <c r="I75" s="20" t="n">
        <f aca="false">IFERROR(INDEX('SKU Data'!$K$2:$K$1780,MATCH($A75,'SKU Data'!$AA$2:$AA$1780,0)),"")</f>
        <v>0.0871129866062949</v>
      </c>
      <c r="J75" s="22" t="n">
        <f aca="false">IFERROR(INDEX('SKU Data'!$M$2:$M$1780,MATCH($A75,'SKU Data'!$AA$2:$AA$1780,0)),"")</f>
        <v>2.63475627616696E-005</v>
      </c>
      <c r="K75" s="22" t="n">
        <f aca="false">IFERROR(INDEX('SKU Data'!$L$2:$L$1780,MATCH($A75,'SKU Data'!$AA$2:$AA$1780,0)),"")</f>
        <v>0.000678259905406546</v>
      </c>
      <c r="L75" s="20"/>
      <c r="M75" s="20" t="n">
        <f aca="false">Settings!$B$3</f>
        <v>0.0309861510798204</v>
      </c>
    </row>
    <row r="76" customFormat="false" ht="15" hidden="false" customHeight="false" outlineLevel="0" collapsed="false">
      <c r="A76" s="18" t="n">
        <v>14</v>
      </c>
      <c r="B76" s="18" t="str">
        <f aca="false">IFERROR(INDEX('SKU Data'!$A$2:$A$1780,MATCH($A76,'SKU Data'!$AA$2:$AA$1780,0)),"")</f>
        <v>AU112-54</v>
      </c>
      <c r="C76" s="18" t="str">
        <f aca="false">IFERROR(INDEX('SKU Data'!$B$2:$B$1780,MATCH($A76,'SKU Data'!$AA$2:$AA$1780,0)),"")</f>
        <v>Captivating</v>
      </c>
      <c r="D76" s="18" t="str">
        <f aca="false">IFERROR(INDEX('SKU Data'!$D$2:$D$1780,MATCH($A76,'SKU Data'!$AA$2:$AA$1780,0)),"")</f>
        <v>AU</v>
      </c>
      <c r="E76" s="19" t="n">
        <f aca="false">IFERROR(INDEX('SKU Data'!$E$2:$E$1780,MATCH($A76,'SKU Data'!$AA$2:$AA$1780,0)),"")</f>
        <v>130</v>
      </c>
      <c r="F76" s="19" t="n">
        <f aca="false">IFERROR(INDEX('SKU Data'!$F$2:$F$1780,MATCH($A76,'SKU Data'!$AA$2:$AA$1780,0)),"")</f>
        <v>13</v>
      </c>
      <c r="G76" s="20" t="n">
        <f aca="false">IFERROR(INDEX('SKU Data'!$J$2:$J$1780,MATCH($A76,'SKU Data'!$AA$2:$AA$1780,0)),"")</f>
        <v>0.1</v>
      </c>
      <c r="H76" s="21" t="n">
        <f aca="false">IFERROR(INDEX('SKU Data'!$H$2:$H$1780,MATCH($A76,'SKU Data'!$AA$2:$AA$1780,0)),"")</f>
        <v>911.98</v>
      </c>
      <c r="I76" s="20" t="n">
        <f aca="false">IFERROR(INDEX('SKU Data'!$K$2:$K$1780,MATCH($A76,'SKU Data'!$AA$2:$AA$1780,0)),"")</f>
        <v>0.0949462896216849</v>
      </c>
      <c r="J76" s="22" t="n">
        <f aca="false">IFERROR(INDEX('SKU Data'!$M$2:$M$1780,MATCH($A76,'SKU Data'!$AA$2:$AA$1780,0)),"")</f>
        <v>7.08010203529597E-005</v>
      </c>
      <c r="K76" s="22" t="n">
        <f aca="false">IFERROR(INDEX('SKU Data'!$L$2:$L$1780,MATCH($A76,'SKU Data'!$AA$2:$AA$1780,0)),"")</f>
        <v>0.00182261614866127</v>
      </c>
      <c r="L76" s="20"/>
      <c r="M76" s="20" t="n">
        <f aca="false">Settings!$B$3</f>
        <v>0.0309861510798204</v>
      </c>
    </row>
    <row r="77" customFormat="false" ht="15" hidden="false" customHeight="false" outlineLevel="0" collapsed="false">
      <c r="A77" s="18" t="n">
        <v>15</v>
      </c>
      <c r="B77" s="18" t="str">
        <f aca="false">IFERROR(INDEX('SKU Data'!$A$2:$A$1780,MATCH($A77,'SKU Data'!$AA$2:$AA$1780,0)),"")</f>
        <v>WBAU85-01</v>
      </c>
      <c r="C77" s="18" t="str">
        <f aca="false">IFERROR(INDEX('SKU Data'!$B$2:$B$1780,MATCH($A77,'SKU Data'!$AA$2:$AA$1780,0)),"")</f>
        <v>Deluxe Red Wine &amp; Cheese Hamper</v>
      </c>
      <c r="D77" s="18" t="str">
        <f aca="false">IFERROR(INDEX('SKU Data'!$D$2:$D$1780,MATCH($A77,'SKU Data'!$AA$2:$AA$1780,0)),"")</f>
        <v>WBAU</v>
      </c>
      <c r="E77" s="19" t="n">
        <f aca="false">IFERROR(INDEX('SKU Data'!$E$2:$E$1780,MATCH($A77,'SKU Data'!$AA$2:$AA$1780,0)),"")</f>
        <v>30</v>
      </c>
      <c r="F77" s="19" t="n">
        <f aca="false">IFERROR(INDEX('SKU Data'!$F$2:$F$1780,MATCH($A77,'SKU Data'!$AA$2:$AA$1780,0)),"")</f>
        <v>3</v>
      </c>
      <c r="G77" s="20" t="n">
        <f aca="false">IFERROR(INDEX('SKU Data'!$J$2:$J$1780,MATCH($A77,'SKU Data'!$AA$2:$AA$1780,0)),"")</f>
        <v>0.1</v>
      </c>
      <c r="H77" s="21" t="n">
        <f aca="false">IFERROR(INDEX('SKU Data'!$H$2:$H$1780,MATCH($A77,'SKU Data'!$AA$2:$AA$1780,0)),"")</f>
        <v>274.38</v>
      </c>
      <c r="I77" s="20" t="n">
        <f aca="false">IFERROR(INDEX('SKU Data'!$K$2:$K$1780,MATCH($A77,'SKU Data'!$AA$2:$AA$1780,0)),"")</f>
        <v>0.0814041458617037</v>
      </c>
      <c r="J77" s="22" t="n">
        <f aca="false">IFERROR(INDEX('SKU Data'!$M$2:$M$1780,MATCH($A77,'SKU Data'!$AA$2:$AA$1780,0)),"")</f>
        <v>2.13013267444956E-005</v>
      </c>
      <c r="K77" s="22" t="n">
        <f aca="false">IFERROR(INDEX('SKU Data'!$L$2:$L$1780,MATCH($A77,'SKU Data'!$AA$2:$AA$1780,0)),"")</f>
        <v>0.000548355686385314</v>
      </c>
      <c r="L77" s="20"/>
      <c r="M77" s="20" t="n">
        <f aca="false">Settings!$B$3</f>
        <v>0.0309861510798204</v>
      </c>
    </row>
    <row r="78" customFormat="false" ht="15" hidden="false" customHeight="false" outlineLevel="0" collapsed="false">
      <c r="A78" s="18" t="n">
        <v>16</v>
      </c>
      <c r="B78" s="18" t="str">
        <f aca="false">IFERROR(INDEX('SKU Data'!$A$2:$A$1780,MATCH($A78,'SKU Data'!$AA$2:$AA$1780,0)),"")</f>
        <v>RBC-03B</v>
      </c>
      <c r="C78" s="18" t="str">
        <f aca="false">IFERROR(INDEX('SKU Data'!$B$2:$B$1780,MATCH($A78,'SKU Data'!$AA$2:$AA$1780,0)),"")</f>
        <v>Bunches Mixed Collection II</v>
      </c>
      <c r="D78" s="18" t="str">
        <f aca="false">IFERROR(INDEX('SKU Data'!$D$2:$D$1780,MATCH($A78,'SKU Data'!$AA$2:$AA$1780,0)),"")</f>
        <v>RBC</v>
      </c>
      <c r="E78" s="19" t="n">
        <f aca="false">IFERROR(INDEX('SKU Data'!$E$2:$E$1780,MATCH($A78,'SKU Data'!$AA$2:$AA$1780,0)),"")</f>
        <v>51</v>
      </c>
      <c r="F78" s="19" t="n">
        <f aca="false">IFERROR(INDEX('SKU Data'!$F$2:$F$1780,MATCH($A78,'SKU Data'!$AA$2:$AA$1780,0)),"")</f>
        <v>5</v>
      </c>
      <c r="G78" s="20" t="n">
        <f aca="false">IFERROR(INDEX('SKU Data'!$J$2:$J$1780,MATCH($A78,'SKU Data'!$AA$2:$AA$1780,0)),"")</f>
        <v>0.0980392156862745</v>
      </c>
      <c r="H78" s="21" t="n">
        <f aca="false">IFERROR(INDEX('SKU Data'!$H$2:$H$1780,MATCH($A78,'SKU Data'!$AA$2:$AA$1780,0)),"")</f>
        <v>268.69</v>
      </c>
      <c r="I78" s="20" t="n">
        <f aca="false">IFERROR(INDEX('SKU Data'!$K$2:$K$1780,MATCH($A78,'SKU Data'!$AA$2:$AA$1780,0)),"")</f>
        <v>0.0719430431942079</v>
      </c>
      <c r="J78" s="22" t="n">
        <f aca="false">IFERROR(INDEX('SKU Data'!$M$2:$M$1780,MATCH($A78,'SKU Data'!$AA$2:$AA$1780,0)),"")</f>
        <v>2.08595870069922E-005</v>
      </c>
      <c r="K78" s="22" t="n">
        <f aca="false">IFERROR(INDEX('SKU Data'!$L$2:$L$1780,MATCH($A78,'SKU Data'!$AA$2:$AA$1780,0)),"")</f>
        <v>0.000536984070904841</v>
      </c>
      <c r="L78" s="20"/>
      <c r="M78" s="20" t="n">
        <f aca="false">Settings!$B$3</f>
        <v>0.0309861510798204</v>
      </c>
    </row>
    <row r="79" customFormat="false" ht="15" hidden="false" customHeight="false" outlineLevel="0" collapsed="false">
      <c r="A79" s="18" t="n">
        <v>17</v>
      </c>
      <c r="B79" s="18" t="str">
        <f aca="false">IFERROR(INDEX('SKU Data'!$A$2:$A$1780,MATCH($A79,'SKU Data'!$AA$2:$AA$1780,0)),"")</f>
        <v>AU115-12</v>
      </c>
      <c r="C79" s="18" t="str">
        <f aca="false">IFERROR(INDEX('SKU Data'!$B$2:$B$1780,MATCH($A79,'SKU Data'!$AA$2:$AA$1780,0)),"")</f>
        <v>12 Red Roses, Chocolates, Card &amp; Wine</v>
      </c>
      <c r="D79" s="18" t="str">
        <f aca="false">IFERROR(INDEX('SKU Data'!$D$2:$D$1780,MATCH($A79,'SKU Data'!$AA$2:$AA$1780,0)),"")</f>
        <v>AU</v>
      </c>
      <c r="E79" s="19" t="n">
        <f aca="false">IFERROR(INDEX('SKU Data'!$E$2:$E$1780,MATCH($A79,'SKU Data'!$AA$2:$AA$1780,0)),"")</f>
        <v>31</v>
      </c>
      <c r="F79" s="19" t="n">
        <f aca="false">IFERROR(INDEX('SKU Data'!$F$2:$F$1780,MATCH($A79,'SKU Data'!$AA$2:$AA$1780,0)),"")</f>
        <v>3</v>
      </c>
      <c r="G79" s="20" t="n">
        <f aca="false">IFERROR(INDEX('SKU Data'!$J$2:$J$1780,MATCH($A79,'SKU Data'!$AA$2:$AA$1780,0)),"")</f>
        <v>0.0967741935483871</v>
      </c>
      <c r="H79" s="21" t="n">
        <f aca="false">IFERROR(INDEX('SKU Data'!$H$2:$H$1780,MATCH($A79,'SKU Data'!$AA$2:$AA$1780,0)),"")</f>
        <v>412.26</v>
      </c>
      <c r="I79" s="20" t="n">
        <f aca="false">IFERROR(INDEX('SKU Data'!$K$2:$K$1780,MATCH($A79,'SKU Data'!$AA$2:$AA$1780,0)),"")</f>
        <v>0.0826246855928891</v>
      </c>
      <c r="J79" s="22" t="n">
        <f aca="false">IFERROR(INDEX('SKU Data'!$M$2:$M$1780,MATCH($A79,'SKU Data'!$AA$2:$AA$1780,0)),"")</f>
        <v>3.20055578529257E-005</v>
      </c>
      <c r="K79" s="22" t="n">
        <f aca="false">IFERROR(INDEX('SKU Data'!$L$2:$L$1780,MATCH($A79,'SKU Data'!$AA$2:$AA$1780,0)),"")</f>
        <v>0.000823912512826043</v>
      </c>
      <c r="L79" s="20"/>
      <c r="M79" s="20" t="n">
        <f aca="false">Settings!$B$3</f>
        <v>0.0309861510798204</v>
      </c>
    </row>
    <row r="80" customFormat="false" ht="15" hidden="false" customHeight="false" outlineLevel="0" collapsed="false">
      <c r="A80" s="18" t="n">
        <v>18</v>
      </c>
      <c r="B80" s="18" t="str">
        <f aca="false">IFERROR(INDEX('SKU Data'!$A$2:$A$1780,MATCH($A80,'SKU Data'!$AA$2:$AA$1780,0)),"")</f>
        <v>AU81-81</v>
      </c>
      <c r="C80" s="18" t="str">
        <f aca="false">IFERROR(INDEX('SKU Data'!$B$2:$B$1780,MATCH($A80,'SKU Data'!$AA$2:$AA$1780,0)),"")</f>
        <v>Always and Forever</v>
      </c>
      <c r="D80" s="18" t="str">
        <f aca="false">IFERROR(INDEX('SKU Data'!$D$2:$D$1780,MATCH($A80,'SKU Data'!$AA$2:$AA$1780,0)),"")</f>
        <v>AU</v>
      </c>
      <c r="E80" s="19" t="n">
        <f aca="false">IFERROR(INDEX('SKU Data'!$E$2:$E$1780,MATCH($A80,'SKU Data'!$AA$2:$AA$1780,0)),"")</f>
        <v>31</v>
      </c>
      <c r="F80" s="19" t="n">
        <f aca="false">IFERROR(INDEX('SKU Data'!$F$2:$F$1780,MATCH($A80,'SKU Data'!$AA$2:$AA$1780,0)),"")</f>
        <v>3</v>
      </c>
      <c r="G80" s="20" t="n">
        <f aca="false">IFERROR(INDEX('SKU Data'!$J$2:$J$1780,MATCH($A80,'SKU Data'!$AA$2:$AA$1780,0)),"")</f>
        <v>0.0967741935483871</v>
      </c>
      <c r="H80" s="21" t="n">
        <f aca="false">IFERROR(INDEX('SKU Data'!$H$2:$H$1780,MATCH($A80,'SKU Data'!$AA$2:$AA$1780,0)),"")</f>
        <v>349.87</v>
      </c>
      <c r="I80" s="20" t="n">
        <f aca="false">IFERROR(INDEX('SKU Data'!$K$2:$K$1780,MATCH($A80,'SKU Data'!$AA$2:$AA$1780,0)),"")</f>
        <v>0.0988464570154795</v>
      </c>
      <c r="J80" s="22" t="n">
        <f aca="false">IFERROR(INDEX('SKU Data'!$M$2:$M$1780,MATCH($A80,'SKU Data'!$AA$2:$AA$1780,0)),"")</f>
        <v>2.71619476204412E-005</v>
      </c>
      <c r="K80" s="22" t="n">
        <f aca="false">IFERROR(INDEX('SKU Data'!$L$2:$L$1780,MATCH($A80,'SKU Data'!$AA$2:$AA$1780,0)),"")</f>
        <v>0.000699224447830126</v>
      </c>
      <c r="L80" s="20"/>
      <c r="M80" s="20" t="n">
        <f aca="false">Settings!$B$3</f>
        <v>0.0309861510798204</v>
      </c>
    </row>
    <row r="81" customFormat="false" ht="15" hidden="false" customHeight="false" outlineLevel="0" collapsed="false">
      <c r="A81" s="18" t="n">
        <v>19</v>
      </c>
      <c r="B81" s="18" t="str">
        <f aca="false">IFERROR(INDEX('SKU Data'!$A$2:$A$1780,MATCH($A81,'SKU Data'!$AA$2:$AA$1780,0)),"")</f>
        <v>AU0611-01</v>
      </c>
      <c r="C81" s="18" t="str">
        <f aca="false">IFERROR(INDEX('SKU Data'!$B$2:$B$1780,MATCH($A81,'SKU Data'!$AA$2:$AA$1780,0)),"")</f>
        <v>Beauty Bounty</v>
      </c>
      <c r="D81" s="18" t="str">
        <f aca="false">IFERROR(INDEX('SKU Data'!$D$2:$D$1780,MATCH($A81,'SKU Data'!$AA$2:$AA$1780,0)),"")</f>
        <v>AU</v>
      </c>
      <c r="E81" s="19" t="n">
        <f aca="false">IFERROR(INDEX('SKU Data'!$E$2:$E$1780,MATCH($A81,'SKU Data'!$AA$2:$AA$1780,0)),"")</f>
        <v>53</v>
      </c>
      <c r="F81" s="19" t="n">
        <f aca="false">IFERROR(INDEX('SKU Data'!$F$2:$F$1780,MATCH($A81,'SKU Data'!$AA$2:$AA$1780,0)),"")</f>
        <v>5</v>
      </c>
      <c r="G81" s="20" t="n">
        <f aca="false">IFERROR(INDEX('SKU Data'!$J$2:$J$1780,MATCH($A81,'SKU Data'!$AA$2:$AA$1780,0)),"")</f>
        <v>0.0943396226415094</v>
      </c>
      <c r="H81" s="21" t="n">
        <f aca="false">IFERROR(INDEX('SKU Data'!$H$2:$H$1780,MATCH($A81,'SKU Data'!$AA$2:$AA$1780,0)),"")</f>
        <v>549.35</v>
      </c>
      <c r="I81" s="20" t="n">
        <f aca="false">IFERROR(INDEX('SKU Data'!$K$2:$K$1780,MATCH($A81,'SKU Data'!$AA$2:$AA$1780,0)),"")</f>
        <v>0.083727827786025</v>
      </c>
      <c r="J81" s="22" t="n">
        <f aca="false">IFERROR(INDEX('SKU Data'!$M$2:$M$1780,MATCH($A81,'SKU Data'!$AA$2:$AA$1780,0)),"")</f>
        <v>4.2648457785147E-005</v>
      </c>
      <c r="K81" s="22" t="n">
        <f aca="false">IFERROR(INDEX('SKU Data'!$L$2:$L$1780,MATCH($A81,'SKU Data'!$AA$2:$AA$1780,0)),"")</f>
        <v>0.00109789050337405</v>
      </c>
      <c r="L81" s="20"/>
      <c r="M81" s="20" t="n">
        <f aca="false">Settings!$B$3</f>
        <v>0.0309861510798204</v>
      </c>
    </row>
    <row r="82" customFormat="false" ht="15" hidden="false" customHeight="false" outlineLevel="0" collapsed="false">
      <c r="A82" s="18" t="n">
        <v>20</v>
      </c>
      <c r="B82" s="18" t="str">
        <f aca="false">IFERROR(INDEX('SKU Data'!$A$2:$A$1780,MATCH($A82,'SKU Data'!$AA$2:$AA$1780,0)),"")</f>
        <v>AU112-56</v>
      </c>
      <c r="C82" s="18" t="str">
        <f aca="false">IFERROR(INDEX('SKU Data'!$B$2:$B$1780,MATCH($A82,'SKU Data'!$AA$2:$AA$1780,0)),"")</f>
        <v>Rose Impression</v>
      </c>
      <c r="D82" s="18" t="str">
        <f aca="false">IFERROR(INDEX('SKU Data'!$D$2:$D$1780,MATCH($A82,'SKU Data'!$AA$2:$AA$1780,0)),"")</f>
        <v>AU</v>
      </c>
      <c r="E82" s="19" t="n">
        <f aca="false">IFERROR(INDEX('SKU Data'!$E$2:$E$1780,MATCH($A82,'SKU Data'!$AA$2:$AA$1780,0)),"")</f>
        <v>32</v>
      </c>
      <c r="F82" s="19" t="n">
        <f aca="false">IFERROR(INDEX('SKU Data'!$F$2:$F$1780,MATCH($A82,'SKU Data'!$AA$2:$AA$1780,0)),"")</f>
        <v>3</v>
      </c>
      <c r="G82" s="20" t="n">
        <f aca="false">IFERROR(INDEX('SKU Data'!$J$2:$J$1780,MATCH($A82,'SKU Data'!$AA$2:$AA$1780,0)),"")</f>
        <v>0.09375</v>
      </c>
      <c r="H82" s="21" t="n">
        <f aca="false">IFERROR(INDEX('SKU Data'!$H$2:$H$1780,MATCH($A82,'SKU Data'!$AA$2:$AA$1780,0)),"")</f>
        <v>374.87</v>
      </c>
      <c r="I82" s="20" t="n">
        <f aca="false">IFERROR(INDEX('SKU Data'!$K$2:$K$1780,MATCH($A82,'SKU Data'!$AA$2:$AA$1780,0)),"")</f>
        <v>0.086888901250707</v>
      </c>
      <c r="J82" s="22" t="n">
        <f aca="false">IFERROR(INDEX('SKU Data'!$M$2:$M$1780,MATCH($A82,'SKU Data'!$AA$2:$AA$1780,0)),"")</f>
        <v>2.91028076270466E-005</v>
      </c>
      <c r="K82" s="22" t="n">
        <f aca="false">IFERROR(INDEX('SKU Data'!$L$2:$L$1780,MATCH($A82,'SKU Data'!$AA$2:$AA$1780,0)),"")</f>
        <v>0.000749187608992138</v>
      </c>
      <c r="L82" s="20"/>
      <c r="M82" s="20" t="n">
        <f aca="false">Settings!$B$3</f>
        <v>0.0309861510798204</v>
      </c>
    </row>
    <row r="83" customFormat="false" ht="15" hidden="false" customHeight="false" outlineLevel="0" collapsed="false">
      <c r="A83" s="18" t="n">
        <v>21</v>
      </c>
      <c r="B83" s="18" t="str">
        <f aca="false">IFERROR(INDEX('SKU Data'!$A$2:$A$1780,MATCH($A83,'SKU Data'!$AA$2:$AA$1780,0)),"")</f>
        <v>AUMJ-NW-024</v>
      </c>
      <c r="C83" s="18" t="str">
        <f aca="false">IFERROR(INDEX('SKU Data'!$B$2:$B$1780,MATCH($A83,'SKU Data'!$AA$2:$AA$1780,0)),"")</f>
        <v>Cherry Bomb Bouquet in Mason Jar</v>
      </c>
      <c r="D83" s="18" t="str">
        <f aca="false">IFERROR(INDEX('SKU Data'!$D$2:$D$1780,MATCH($A83,'SKU Data'!$AA$2:$AA$1780,0)),"")</f>
        <v>AUMJ</v>
      </c>
      <c r="E83" s="19" t="n">
        <f aca="false">IFERROR(INDEX('SKU Data'!$E$2:$E$1780,MATCH($A83,'SKU Data'!$AA$2:$AA$1780,0)),"")</f>
        <v>171</v>
      </c>
      <c r="F83" s="19" t="n">
        <f aca="false">IFERROR(INDEX('SKU Data'!$F$2:$F$1780,MATCH($A83,'SKU Data'!$AA$2:$AA$1780,0)),"")</f>
        <v>16</v>
      </c>
      <c r="G83" s="20" t="n">
        <f aca="false">IFERROR(INDEX('SKU Data'!$J$2:$J$1780,MATCH($A83,'SKU Data'!$AA$2:$AA$1780,0)),"")</f>
        <v>0.0935672514619883</v>
      </c>
      <c r="H83" s="21" t="n">
        <f aca="false">IFERROR(INDEX('SKU Data'!$H$2:$H$1780,MATCH($A83,'SKU Data'!$AA$2:$AA$1780,0)),"")</f>
        <v>1832.99</v>
      </c>
      <c r="I83" s="20" t="n">
        <f aca="false">IFERROR(INDEX('SKU Data'!$K$2:$K$1780,MATCH($A83,'SKU Data'!$AA$2:$AA$1780,0)),"")</f>
        <v>0.0946395416798326</v>
      </c>
      <c r="J83" s="22" t="n">
        <f aca="false">IFERROR(INDEX('SKU Data'!$M$2:$M$1780,MATCH($A83,'SKU Data'!$AA$2:$AA$1780,0)),"")</f>
        <v>0.000142303079340305</v>
      </c>
      <c r="K83" s="22" t="n">
        <f aca="false">IFERROR(INDEX('SKU Data'!$L$2:$L$1780,MATCH($A83,'SKU Data'!$AA$2:$AA$1780,0)),"")</f>
        <v>0.00366327899113426</v>
      </c>
      <c r="L83" s="20"/>
      <c r="M83" s="20" t="n">
        <f aca="false">Settings!$B$3</f>
        <v>0.0309861510798204</v>
      </c>
    </row>
    <row r="84" customFormat="false" ht="15" hidden="false" customHeight="false" outlineLevel="0" collapsed="false">
      <c r="A84" s="18" t="n">
        <v>22</v>
      </c>
      <c r="B84" s="18" t="str">
        <f aca="false">IFERROR(INDEX('SKU Data'!$A$2:$A$1780,MATCH($A84,'SKU Data'!$AA$2:$AA$1780,0)),"")</f>
        <v>AU11-93</v>
      </c>
      <c r="C84" s="18" t="str">
        <f aca="false">IFERROR(INDEX('SKU Data'!$B$2:$B$1780,MATCH($A84,'SKU Data'!$AA$2:$AA$1780,0)),"")</f>
        <v>Three Dozen Long Stem Red Roses</v>
      </c>
      <c r="D84" s="18" t="str">
        <f aca="false">IFERROR(INDEX('SKU Data'!$D$2:$D$1780,MATCH($A84,'SKU Data'!$AA$2:$AA$1780,0)),"")</f>
        <v>AU</v>
      </c>
      <c r="E84" s="19" t="n">
        <f aca="false">IFERROR(INDEX('SKU Data'!$E$2:$E$1780,MATCH($A84,'SKU Data'!$AA$2:$AA$1780,0)),"")</f>
        <v>33</v>
      </c>
      <c r="F84" s="19" t="n">
        <f aca="false">IFERROR(INDEX('SKU Data'!$F$2:$F$1780,MATCH($A84,'SKU Data'!$AA$2:$AA$1780,0)),"")</f>
        <v>3</v>
      </c>
      <c r="G84" s="20" t="n">
        <f aca="false">IFERROR(INDEX('SKU Data'!$J$2:$J$1780,MATCH($A84,'SKU Data'!$AA$2:$AA$1780,0)),"")</f>
        <v>0.0909090909090909</v>
      </c>
      <c r="H84" s="21" t="n">
        <f aca="false">IFERROR(INDEX('SKU Data'!$H$2:$H$1780,MATCH($A84,'SKU Data'!$AA$2:$AA$1780,0)),"")</f>
        <v>882.16</v>
      </c>
      <c r="I84" s="20" t="n">
        <f aca="false">IFERROR(INDEX('SKU Data'!$K$2:$K$1780,MATCH($A84,'SKU Data'!$AA$2:$AA$1780,0)),"")</f>
        <v>0.10004139284074</v>
      </c>
      <c r="J84" s="22" t="n">
        <f aca="false">IFERROR(INDEX('SKU Data'!$M$2:$M$1780,MATCH($A84,'SKU Data'!$AA$2:$AA$1780,0)),"")</f>
        <v>6.84859625370807E-005</v>
      </c>
      <c r="K84" s="22" t="n">
        <f aca="false">IFERROR(INDEX('SKU Data'!$L$2:$L$1780,MATCH($A84,'SKU Data'!$AA$2:$AA$1780,0)),"")</f>
        <v>0.00176302009002722</v>
      </c>
      <c r="L84" s="20"/>
      <c r="M84" s="20" t="n">
        <f aca="false">Settings!$B$3</f>
        <v>0.0309861510798204</v>
      </c>
    </row>
    <row r="85" customFormat="false" ht="15" hidden="false" customHeight="false" outlineLevel="0" collapsed="false">
      <c r="A85" s="18" t="n">
        <v>23</v>
      </c>
      <c r="B85" s="18" t="str">
        <f aca="false">IFERROR(INDEX('SKU Data'!$A$2:$A$1780,MATCH($A85,'SKU Data'!$AA$2:$AA$1780,0)),"")</f>
        <v>AU501-05</v>
      </c>
      <c r="C85" s="18" t="str">
        <f aca="false">IFERROR(INDEX('SKU Data'!$B$2:$B$1780,MATCH($A85,'SKU Data'!$AA$2:$AA$1780,0)),"")</f>
        <v>Half Dozen Red Roses, Card &amp; Teddy</v>
      </c>
      <c r="D85" s="18" t="str">
        <f aca="false">IFERROR(INDEX('SKU Data'!$D$2:$D$1780,MATCH($A85,'SKU Data'!$AA$2:$AA$1780,0)),"")</f>
        <v>AU</v>
      </c>
      <c r="E85" s="19" t="n">
        <f aca="false">IFERROR(INDEX('SKU Data'!$E$2:$E$1780,MATCH($A85,'SKU Data'!$AA$2:$AA$1780,0)),"")</f>
        <v>390</v>
      </c>
      <c r="F85" s="19" t="n">
        <f aca="false">IFERROR(INDEX('SKU Data'!$F$2:$F$1780,MATCH($A85,'SKU Data'!$AA$2:$AA$1780,0)),"")</f>
        <v>34</v>
      </c>
      <c r="G85" s="20" t="n">
        <f aca="false">IFERROR(INDEX('SKU Data'!$J$2:$J$1780,MATCH($A85,'SKU Data'!$AA$2:$AA$1780,0)),"")</f>
        <v>0.0871794871794872</v>
      </c>
      <c r="H85" s="21" t="n">
        <f aca="false">IFERROR(INDEX('SKU Data'!$H$2:$H$1780,MATCH($A85,'SKU Data'!$AA$2:$AA$1780,0)),"")</f>
        <v>2661.08</v>
      </c>
      <c r="I85" s="20" t="n">
        <f aca="false">IFERROR(INDEX('SKU Data'!$K$2:$K$1780,MATCH($A85,'SKU Data'!$AA$2:$AA$1780,0)),"")</f>
        <v>0.0788409280255222</v>
      </c>
      <c r="J85" s="22" t="n">
        <f aca="false">IFERROR(INDEX('SKU Data'!$M$2:$M$1780,MATCH($A85,'SKU Data'!$AA$2:$AA$1780,0)),"")</f>
        <v>0.0002065913498551</v>
      </c>
      <c r="K85" s="22" t="n">
        <f aca="false">IFERROR(INDEX('SKU Data'!$L$2:$L$1780,MATCH($A85,'SKU Data'!$AA$2:$AA$1780,0)),"")</f>
        <v>0.00531823875620028</v>
      </c>
      <c r="L85" s="20"/>
      <c r="M85" s="20" t="n">
        <f aca="false">Settings!$B$3</f>
        <v>0.0309861510798204</v>
      </c>
    </row>
    <row r="86" customFormat="false" ht="15" hidden="false" customHeight="false" outlineLevel="0" collapsed="false">
      <c r="A86" s="18" t="n">
        <v>24</v>
      </c>
      <c r="B86" s="18" t="str">
        <f aca="false">IFERROR(INDEX('SKU Data'!$A$2:$A$1780,MATCH($A86,'SKU Data'!$AA$2:$AA$1780,0)),"")</f>
        <v>DC-02B</v>
      </c>
      <c r="C86" s="18" t="str">
        <f aca="false">IFERROR(INDEX('SKU Data'!$B$2:$B$1780,MATCH($A86,'SKU Data'!$AA$2:$AA$1780,0)),"")</f>
        <v>Birthday Designer Collection II</v>
      </c>
      <c r="D86" s="18" t="str">
        <f aca="false">IFERROR(INDEX('SKU Data'!$D$2:$D$1780,MATCH($A86,'SKU Data'!$AA$2:$AA$1780,0)),"")</f>
        <v>DC</v>
      </c>
      <c r="E86" s="19" t="n">
        <f aca="false">IFERROR(INDEX('SKU Data'!$E$2:$E$1780,MATCH($A86,'SKU Data'!$AA$2:$AA$1780,0)),"")</f>
        <v>322</v>
      </c>
      <c r="F86" s="19" t="n">
        <f aca="false">IFERROR(INDEX('SKU Data'!$F$2:$F$1780,MATCH($A86,'SKU Data'!$AA$2:$AA$1780,0)),"")</f>
        <v>28</v>
      </c>
      <c r="G86" s="20" t="n">
        <f aca="false">IFERROR(INDEX('SKU Data'!$J$2:$J$1780,MATCH($A86,'SKU Data'!$AA$2:$AA$1780,0)),"")</f>
        <v>0.0869565217391304</v>
      </c>
      <c r="H86" s="21" t="n">
        <f aca="false">IFERROR(INDEX('SKU Data'!$H$2:$H$1780,MATCH($A86,'SKU Data'!$AA$2:$AA$1780,0)),"")</f>
        <v>2889.28</v>
      </c>
      <c r="I86" s="20" t="n">
        <f aca="false">IFERROR(INDEX('SKU Data'!$K$2:$K$1780,MATCH($A86,'SKU Data'!$AA$2:$AA$1780,0)),"")</f>
        <v>0.0830972811214314</v>
      </c>
      <c r="J86" s="22" t="n">
        <f aca="false">IFERROR(INDEX('SKU Data'!$M$2:$M$1780,MATCH($A86,'SKU Data'!$AA$2:$AA$1780,0)),"")</f>
        <v>0.000224307519995394</v>
      </c>
      <c r="K86" s="22" t="n">
        <f aca="false">IFERROR(INDEX('SKU Data'!$L$2:$L$1780,MATCH($A86,'SKU Data'!$AA$2:$AA$1780,0)),"")</f>
        <v>0.00577430249128713</v>
      </c>
      <c r="L86" s="20"/>
      <c r="M86" s="20" t="n">
        <f aca="false">Settings!$B$3</f>
        <v>0.0309861510798204</v>
      </c>
    </row>
    <row r="87" customFormat="false" ht="15" hidden="false" customHeight="false" outlineLevel="0" collapsed="false">
      <c r="A87" s="18" t="n">
        <v>25</v>
      </c>
      <c r="B87" s="18" t="str">
        <f aca="false">IFERROR(INDEX('SKU Data'!$A$2:$A$1780,MATCH($A87,'SKU Data'!$AA$2:$AA$1780,0)),"")</f>
        <v>RP02-50</v>
      </c>
      <c r="C87" s="18" t="str">
        <f aca="false">IFERROR(INDEX('SKU Data'!$B$2:$B$1780,MATCH($A87,'SKU Data'!$AA$2:$AA$1780,0)),"")</f>
        <v>Blue Vase</v>
      </c>
      <c r="D87" s="18" t="str">
        <f aca="false">IFERROR(INDEX('SKU Data'!$D$2:$D$1780,MATCH($A87,'SKU Data'!$AA$2:$AA$1780,0)),"")</f>
        <v>RP</v>
      </c>
      <c r="E87" s="19" t="n">
        <f aca="false">IFERROR(INDEX('SKU Data'!$E$2:$E$1780,MATCH($A87,'SKU Data'!$AA$2:$AA$1780,0)),"")</f>
        <v>406</v>
      </c>
      <c r="F87" s="19" t="n">
        <f aca="false">IFERROR(INDEX('SKU Data'!$F$2:$F$1780,MATCH($A87,'SKU Data'!$AA$2:$AA$1780,0)),"")</f>
        <v>35</v>
      </c>
      <c r="G87" s="20" t="n">
        <f aca="false">IFERROR(INDEX('SKU Data'!$J$2:$J$1780,MATCH($A87,'SKU Data'!$AA$2:$AA$1780,0)),"")</f>
        <v>0.0862068965517241</v>
      </c>
      <c r="H87" s="21" t="n">
        <f aca="false">IFERROR(INDEX('SKU Data'!$H$2:$H$1780,MATCH($A87,'SKU Data'!$AA$2:$AA$1780,0)),"")</f>
        <v>358.96</v>
      </c>
      <c r="I87" s="20" t="n">
        <f aca="false">IFERROR(INDEX('SKU Data'!$K$2:$K$1780,MATCH($A87,'SKU Data'!$AA$2:$AA$1780,0)),"")</f>
        <v>0.0813920267739317</v>
      </c>
      <c r="J87" s="22" t="n">
        <f aca="false">IFERROR(INDEX('SKU Data'!$M$2:$M$1780,MATCH($A87,'SKU Data'!$AA$2:$AA$1780,0)),"")</f>
        <v>2.7867644318843E-005</v>
      </c>
      <c r="K87" s="22" t="n">
        <f aca="false">IFERROR(INDEX('SKU Data'!$L$2:$L$1780,MATCH($A87,'SKU Data'!$AA$2:$AA$1780,0)),"")</f>
        <v>0.000717391053228634</v>
      </c>
      <c r="L87" s="20"/>
      <c r="M87" s="20" t="n">
        <f aca="false">Settings!$B$3</f>
        <v>0.0309861510798204</v>
      </c>
    </row>
  </sheetData>
  <conditionalFormatting sqref="F5:F29">
    <cfRule type="dataBar" priority="2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{C6CF372D-9E67-4A5E-BC90-7E72F8FDD286}</x14:id>
        </ext>
      </extLst>
    </cfRule>
  </conditionalFormatting>
  <conditionalFormatting sqref="H5:H29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{489558DD-5BDA-4421-ABCA-7630DC72A7BB}</x14:id>
        </ext>
      </extLst>
    </cfRule>
  </conditionalFormatting>
  <conditionalFormatting sqref="G5:G29">
    <cfRule type="colorScale" priority="4">
      <colorScale>
        <cfvo type="num" val="0.03"/>
        <cfvo type="num" val="0.15"/>
        <color rgb="FFFFFFFF"/>
        <color rgb="FFF08A80"/>
      </colorScale>
    </cfRule>
  </conditionalFormatting>
  <conditionalFormatting sqref="F34:F58">
    <cfRule type="dataBar" priority="5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{DD87BB6E-32A6-4EB1-826B-1474D6FB3C3C}</x14:id>
        </ext>
      </extLst>
    </cfRule>
  </conditionalFormatting>
  <conditionalFormatting sqref="H34:H58">
    <cfRule type="dataBar" priority="6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{2C94E37F-79F2-47B5-B036-8B63704C32CD}</x14:id>
        </ext>
      </extLst>
    </cfRule>
  </conditionalFormatting>
  <conditionalFormatting sqref="G34:G58">
    <cfRule type="colorScale" priority="7">
      <colorScale>
        <cfvo type="num" val="0.03"/>
        <cfvo type="num" val="0.15"/>
        <color rgb="FFFFFFFF"/>
        <color rgb="FFF08A80"/>
      </colorScale>
    </cfRule>
  </conditionalFormatting>
  <conditionalFormatting sqref="F63:F87">
    <cfRule type="dataBar" priority="8">
      <dataBar showValue="1" minLength="10" maxLength="90">
        <cfvo type="num" val="0"/>
        <cfvo type="max" val="0"/>
        <color rgb="FF8FB996"/>
      </dataBar>
      <extLst>
        <ext xmlns:x14="http://schemas.microsoft.com/office/spreadsheetml/2009/9/main" uri="{B025F937-C7B1-47D3-B67F-A62EFF666E3E}">
          <x14:id>{90A68E2D-A922-4AA5-BFF7-FDBECDC800F9}</x14:id>
        </ext>
      </extLst>
    </cfRule>
  </conditionalFormatting>
  <conditionalFormatting sqref="H63:H87">
    <cfRule type="dataBar" priority="9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{A1104770-F0AC-4E80-A4D0-80AEA24CBEE0}</x14:id>
        </ext>
      </extLst>
    </cfRule>
  </conditionalFormatting>
  <conditionalFormatting sqref="G63:G87">
    <cfRule type="colorScale" priority="10">
      <colorScale>
        <cfvo type="num" val="0.03"/>
        <cfvo type="num" val="0.15"/>
        <color rgb="FFFFFFFF"/>
        <color rgb="FFF08A8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CF372D-9E67-4A5E-BC90-7E72F8FDD286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F5:F29</xm:sqref>
        </x14:conditionalFormatting>
        <x14:conditionalFormatting xmlns:xm="http://schemas.microsoft.com/office/excel/2006/main">
          <x14:cfRule type="dataBar" id="{489558DD-5BDA-4421-ABCA-7630DC72A7BB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H5:H29</xm:sqref>
        </x14:conditionalFormatting>
        <x14:conditionalFormatting xmlns:xm="http://schemas.microsoft.com/office/excel/2006/main">
          <x14:cfRule type="dataBar" id="{DD87BB6E-32A6-4EB1-826B-1474D6FB3C3C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F34:F58</xm:sqref>
        </x14:conditionalFormatting>
        <x14:conditionalFormatting xmlns:xm="http://schemas.microsoft.com/office/excel/2006/main">
          <x14:cfRule type="dataBar" id="{2C94E37F-79F2-47B5-B036-8B63704C32CD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H34:H58</xm:sqref>
        </x14:conditionalFormatting>
        <x14:conditionalFormatting xmlns:xm="http://schemas.microsoft.com/office/excel/2006/main">
          <x14:cfRule type="dataBar" id="{90A68E2D-A922-4AA5-BFF7-FDBECDC800F9}">
            <x14:dataBar minLength="10" maxLength="90" axisPosition="none" gradient="true">
              <x14:cfvo type="num">
                <xm:f>0</xm:f>
              </x14:cfvo>
              <x14:cfvo type="max"/>
              <x14:negativeFillColor rgb="FF8FB996"/>
              <x14:axisColor rgb="FF000000"/>
            </x14:dataBar>
          </x14:cfRule>
          <xm:sqref>F63:F87</xm:sqref>
        </x14:conditionalFormatting>
        <x14:conditionalFormatting xmlns:xm="http://schemas.microsoft.com/office/excel/2006/main">
          <x14:cfRule type="dataBar" id="{A1104770-F0AC-4E80-A4D0-80AEA24CBEE0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H63:H87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11" min="9" style="0" width="9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6" min="14" style="0" width="42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25" t="s">
        <v>44</v>
      </c>
    </row>
    <row r="2" customFormat="false" ht="15" hidden="false" customHeight="false" outlineLevel="0" collapsed="false">
      <c r="A2" s="24" t="s">
        <v>45</v>
      </c>
    </row>
    <row r="4" customFormat="false" ht="42" hidden="false" customHeight="true" outlineLevel="0" collapsed="false">
      <c r="A4" s="17" t="s">
        <v>29</v>
      </c>
      <c r="B4" s="17" t="s">
        <v>46</v>
      </c>
      <c r="C4" s="17" t="s">
        <v>19</v>
      </c>
      <c r="D4" s="17" t="s">
        <v>20</v>
      </c>
      <c r="E4" s="17" t="s">
        <v>47</v>
      </c>
      <c r="F4" s="17" t="s">
        <v>22</v>
      </c>
      <c r="G4" s="17" t="s">
        <v>5</v>
      </c>
      <c r="H4" s="17" t="s">
        <v>30</v>
      </c>
      <c r="I4" s="17" t="s">
        <v>31</v>
      </c>
      <c r="J4" s="17" t="s">
        <v>23</v>
      </c>
      <c r="K4" s="17" t="s">
        <v>32</v>
      </c>
      <c r="L4" s="17" t="s">
        <v>33</v>
      </c>
      <c r="M4" s="17" t="s">
        <v>34</v>
      </c>
      <c r="N4" s="17" t="s">
        <v>48</v>
      </c>
      <c r="O4" s="17" t="s">
        <v>49</v>
      </c>
      <c r="P4" s="17" t="s">
        <v>50</v>
      </c>
      <c r="Q4" s="30" t="s">
        <v>41</v>
      </c>
    </row>
    <row r="5" customFormat="false" ht="61.5" hidden="false" customHeight="true" outlineLevel="0" collapsed="false">
      <c r="A5" s="18" t="s">
        <v>51</v>
      </c>
      <c r="B5" s="19" t="n">
        <f aca="false">COUNTIF('SKU Data'!$D$2:$D$1780,$A5)</f>
        <v>663</v>
      </c>
      <c r="C5" s="19" t="n">
        <f aca="false">SUMIFS('SKU Data'!$E$2:$E$1780,'SKU Data'!$D$2:$D$1780,$A5)</f>
        <v>34789</v>
      </c>
      <c r="D5" s="19" t="n">
        <f aca="false">SUMIFS('SKU Data'!$F$2:$F$1780,'SKU Data'!$D$2:$D$1780,$A5)</f>
        <v>1495</v>
      </c>
      <c r="E5" s="21" t="n">
        <f aca="false">SUMIFS('SKU Data'!$G$2:$G$1780,'SKU Data'!$D$2:$D$1780,$A5)</f>
        <v>3320223.9</v>
      </c>
      <c r="F5" s="21" t="n">
        <f aca="false">SUMIFS('SKU Data'!$H$2:$H$1780,'SKU Data'!$D$2:$D$1780,$A5)</f>
        <v>140542.79</v>
      </c>
      <c r="G5" s="20" t="n">
        <f aca="false">IF(C5&gt;0,D5/C5,0)</f>
        <v>0.0429733536462675</v>
      </c>
      <c r="H5" s="20" t="n">
        <f aca="false">IF(E5&gt;0,F5/E5,0)</f>
        <v>0.0423293109841177</v>
      </c>
      <c r="I5" s="20" t="n">
        <f aca="false">F5/Settings!$B$16</f>
        <v>0.280878482677153</v>
      </c>
      <c r="J5" s="22" t="n">
        <f aca="false">F5/Settings!$B$20</f>
        <v>0.0109109552131096</v>
      </c>
      <c r="K5" s="28" t="n">
        <f aca="false">G5/Settings!$B$3</f>
        <v>1.38685677790598</v>
      </c>
      <c r="L5" s="29" t="n">
        <f aca="false">IF(C5&gt;0,(D5-C5*Settings!$B$3)/SQRT(C5*Settings!$B$3*(1-Settings!$B$3)),0)</f>
        <v>12.9029795209416</v>
      </c>
      <c r="M5" s="23" t="str">
        <f aca="false">IF(AND(C5&gt;=Settings!$B$4,D5&gt;=Settings!$B$5,L5&gt;=Settings!$B$6),"HIGH RATE",IF(AND(C5&gt;=Settings!$B$4,L5&lt;=-Settings!$B$6),"BEST-IN-CLASS",""))</f>
        <v>HIGH RATE</v>
      </c>
      <c r="N5" s="31" t="s">
        <v>52</v>
      </c>
      <c r="O5" s="31" t="s">
        <v>53</v>
      </c>
      <c r="P5" s="31" t="s">
        <v>54</v>
      </c>
      <c r="Q5" s="32" t="n">
        <f aca="false">Settings!$B$3</f>
        <v>0.0309861510798204</v>
      </c>
    </row>
    <row r="6" customFormat="false" ht="61.5" hidden="false" customHeight="true" outlineLevel="0" collapsed="false">
      <c r="A6" s="18" t="s">
        <v>55</v>
      </c>
      <c r="B6" s="19" t="n">
        <f aca="false">COUNTIF('SKU Data'!$D$2:$D$1780,$A6)</f>
        <v>179</v>
      </c>
      <c r="C6" s="19" t="n">
        <f aca="false">SUMIFS('SKU Data'!$E$2:$E$1780,'SKU Data'!$D$2:$D$1780,$A6)</f>
        <v>27140</v>
      </c>
      <c r="D6" s="19" t="n">
        <f aca="false">SUMIFS('SKU Data'!$F$2:$F$1780,'SKU Data'!$D$2:$D$1780,$A6)</f>
        <v>1290</v>
      </c>
      <c r="E6" s="21" t="n">
        <f aca="false">SUMIFS('SKU Data'!$G$2:$G$1780,'SKU Data'!$D$2:$D$1780,$A6)</f>
        <v>2546998.74</v>
      </c>
      <c r="F6" s="21" t="n">
        <f aca="false">SUMIFS('SKU Data'!$H$2:$H$1780,'SKU Data'!$D$2:$D$1780,$A6)</f>
        <v>116048.49</v>
      </c>
      <c r="G6" s="20" t="n">
        <f aca="false">IF(C6&gt;0,D6/C6,0)</f>
        <v>0.0475313190862196</v>
      </c>
      <c r="H6" s="20" t="n">
        <f aca="false">IF(E6&gt;0,F6/E6,0)</f>
        <v>0.0455628376164803</v>
      </c>
      <c r="I6" s="20" t="n">
        <f aca="false">F6/Settings!$B$16</f>
        <v>0.231925976339126</v>
      </c>
      <c r="J6" s="22" t="n">
        <f aca="false">F6/Settings!$B$20</f>
        <v>0.00900935492271786</v>
      </c>
      <c r="K6" s="28" t="n">
        <f aca="false">G6/Settings!$B$3</f>
        <v>1.53395363508616</v>
      </c>
      <c r="L6" s="29" t="n">
        <f aca="false">IF(C6&gt;0,(D6-C6*Settings!$B$3)/SQRT(C6*Settings!$B$3*(1-Settings!$B$3)),0)</f>
        <v>15.7299482629323</v>
      </c>
      <c r="M6" s="23" t="str">
        <f aca="false">IF(AND(C6&gt;=Settings!$B$4,D6&gt;=Settings!$B$5,L6&gt;=Settings!$B$6),"HIGH RATE",IF(AND(C6&gt;=Settings!$B$4,L6&lt;=-Settings!$B$6),"BEST-IN-CLASS",""))</f>
        <v>HIGH RATE</v>
      </c>
      <c r="N6" s="31" t="s">
        <v>56</v>
      </c>
      <c r="O6" s="31" t="s">
        <v>57</v>
      </c>
      <c r="P6" s="31" t="s">
        <v>58</v>
      </c>
      <c r="Q6" s="32" t="n">
        <f aca="false">Settings!$B$3</f>
        <v>0.0309861510798204</v>
      </c>
    </row>
    <row r="7" customFormat="false" ht="61.5" hidden="false" customHeight="true" outlineLevel="0" collapsed="false">
      <c r="A7" s="18" t="s">
        <v>59</v>
      </c>
      <c r="B7" s="19" t="n">
        <f aca="false">COUNTIF('SKU Data'!$D$2:$D$1780,$A7)</f>
        <v>17</v>
      </c>
      <c r="C7" s="19" t="n">
        <f aca="false">SUMIFS('SKU Data'!$E$2:$E$1780,'SKU Data'!$D$2:$D$1780,$A7)</f>
        <v>8500</v>
      </c>
      <c r="D7" s="19" t="n">
        <f aca="false">SUMIFS('SKU Data'!$F$2:$F$1780,'SKU Data'!$D$2:$D$1780,$A7)</f>
        <v>322</v>
      </c>
      <c r="E7" s="21" t="n">
        <f aca="false">SUMIFS('SKU Data'!$G$2:$G$1780,'SKU Data'!$D$2:$D$1780,$A7)</f>
        <v>882818.48</v>
      </c>
      <c r="F7" s="21" t="n">
        <f aca="false">SUMIFS('SKU Data'!$H$2:$H$1780,'SKU Data'!$D$2:$D$1780,$A7)</f>
        <v>30948.36</v>
      </c>
      <c r="G7" s="20" t="n">
        <f aca="false">IF(C7&gt;0,D7/C7,0)</f>
        <v>0.0378823529411765</v>
      </c>
      <c r="H7" s="20" t="n">
        <f aca="false">IF(E7&gt;0,F7/E7,0)</f>
        <v>0.0350563119158992</v>
      </c>
      <c r="I7" s="20" t="n">
        <f aca="false">F7/Settings!$B$16</f>
        <v>0.0618511159351987</v>
      </c>
      <c r="J7" s="22" t="n">
        <f aca="false">F7/Settings!$B$20</f>
        <v>0.00240265736776105</v>
      </c>
      <c r="K7" s="28" t="n">
        <f aca="false">G7/Settings!$B$3</f>
        <v>1.22255754977736</v>
      </c>
      <c r="L7" s="29" t="n">
        <f aca="false">IF(C7&gt;0,(D7-C7*Settings!$B$3)/SQRT(C7*Settings!$B$3*(1-Settings!$B$3)),0)</f>
        <v>3.66919353202754</v>
      </c>
      <c r="M7" s="23" t="str">
        <f aca="false">IF(AND(C7&gt;=Settings!$B$4,D7&gt;=Settings!$B$5,L7&gt;=Settings!$B$6),"HIGH RATE",IF(AND(C7&gt;=Settings!$B$4,L7&lt;=-Settings!$B$6),"BEST-IN-CLASS",""))</f>
        <v>HIGH RATE</v>
      </c>
      <c r="N7" s="31" t="s">
        <v>60</v>
      </c>
      <c r="O7" s="31" t="s">
        <v>61</v>
      </c>
      <c r="P7" s="31" t="s">
        <v>62</v>
      </c>
      <c r="Q7" s="32" t="n">
        <f aca="false">Settings!$B$3</f>
        <v>0.0309861510798204</v>
      </c>
    </row>
    <row r="8" customFormat="false" ht="61.5" hidden="false" customHeight="true" outlineLevel="0" collapsed="false">
      <c r="A8" s="18" t="s">
        <v>63</v>
      </c>
      <c r="B8" s="19" t="n">
        <f aca="false">COUNTIF('SKU Data'!$D$2:$D$1780,$A8)</f>
        <v>10</v>
      </c>
      <c r="C8" s="19" t="n">
        <f aca="false">SUMIFS('SKU Data'!$E$2:$E$1780,'SKU Data'!$D$2:$D$1780,$A8)</f>
        <v>12849</v>
      </c>
      <c r="D8" s="19" t="n">
        <f aca="false">SUMIFS('SKU Data'!$F$2:$F$1780,'SKU Data'!$D$2:$D$1780,$A8)</f>
        <v>461</v>
      </c>
      <c r="E8" s="21" t="n">
        <f aca="false">SUMIFS('SKU Data'!$G$2:$G$1780,'SKU Data'!$D$2:$D$1780,$A8)</f>
        <v>846240.52</v>
      </c>
      <c r="F8" s="21" t="n">
        <f aca="false">SUMIFS('SKU Data'!$H$2:$H$1780,'SKU Data'!$D$2:$D$1780,$A8)</f>
        <v>29423.06</v>
      </c>
      <c r="G8" s="20" t="n">
        <f aca="false">IF(C8&gt;0,D8/C8,0)</f>
        <v>0.0358782784652502</v>
      </c>
      <c r="H8" s="20" t="n">
        <f aca="false">IF(E8&gt;0,F8/E8,0)</f>
        <v>0.0347691457743007</v>
      </c>
      <c r="I8" s="20" t="n">
        <f aca="false">F8/Settings!$B$16</f>
        <v>0.058802763546382</v>
      </c>
      <c r="J8" s="22" t="n">
        <f aca="false">F8/Settings!$B$20</f>
        <v>0.00228424161703804</v>
      </c>
      <c r="K8" s="28" t="n">
        <f aca="false">G8/Settings!$B$3</f>
        <v>1.15788109251864</v>
      </c>
      <c r="L8" s="29" t="n">
        <f aca="false">IF(C8&gt;0,(D8-C8*Settings!$B$3)/SQRT(C8*Settings!$B$3*(1-Settings!$B$3)),0)</f>
        <v>3.20024783624848</v>
      </c>
      <c r="M8" s="23" t="str">
        <f aca="false">IF(AND(C8&gt;=Settings!$B$4,D8&gt;=Settings!$B$5,L8&gt;=Settings!$B$6),"HIGH RATE",IF(AND(C8&gt;=Settings!$B$4,L8&lt;=-Settings!$B$6),"BEST-IN-CLASS",""))</f>
        <v>HIGH RATE</v>
      </c>
      <c r="N8" s="31" t="s">
        <v>64</v>
      </c>
      <c r="O8" s="31" t="s">
        <v>65</v>
      </c>
      <c r="P8" s="31" t="s">
        <v>66</v>
      </c>
      <c r="Q8" s="32" t="n">
        <f aca="false">Settings!$B$3</f>
        <v>0.0309861510798204</v>
      </c>
    </row>
    <row r="9" customFormat="false" ht="61.5" hidden="false" customHeight="true" outlineLevel="0" collapsed="false">
      <c r="A9" s="18" t="s">
        <v>67</v>
      </c>
      <c r="B9" s="19" t="n">
        <f aca="false">COUNTIF('SKU Data'!$D$2:$D$1780,$A9)</f>
        <v>36</v>
      </c>
      <c r="C9" s="19" t="n">
        <f aca="false">SUMIFS('SKU Data'!$E$2:$E$1780,'SKU Data'!$D$2:$D$1780,$A9)</f>
        <v>14780</v>
      </c>
      <c r="D9" s="19" t="n">
        <f aca="false">SUMIFS('SKU Data'!$F$2:$F$1780,'SKU Data'!$D$2:$D$1780,$A9)</f>
        <v>456</v>
      </c>
      <c r="E9" s="21" t="n">
        <f aca="false">SUMIFS('SKU Data'!$G$2:$G$1780,'SKU Data'!$D$2:$D$1780,$A9)</f>
        <v>922462.45</v>
      </c>
      <c r="F9" s="21" t="n">
        <f aca="false">SUMIFS('SKU Data'!$H$2:$H$1780,'SKU Data'!$D$2:$D$1780,$A9)</f>
        <v>28997.07</v>
      </c>
      <c r="G9" s="20" t="n">
        <f aca="false">IF(C9&gt;0,D9/C9,0)</f>
        <v>0.0308525033829499</v>
      </c>
      <c r="H9" s="20" t="n">
        <f aca="false">IF(E9&gt;0,F9/E9,0)</f>
        <v>0.0314344177370038</v>
      </c>
      <c r="I9" s="20" t="n">
        <f aca="false">F9/Settings!$B$16</f>
        <v>0.0579514112654458</v>
      </c>
      <c r="J9" s="22" t="n">
        <f aca="false">F9/Settings!$B$20</f>
        <v>0.00225117013886949</v>
      </c>
      <c r="K9" s="28" t="n">
        <f aca="false">G9/Settings!$B$3</f>
        <v>0.995686857121228</v>
      </c>
      <c r="L9" s="29" t="n">
        <f aca="false">IF(C9&gt;0,(D9-C9*Settings!$B$3)/SQRT(C9*Settings!$B$3*(1-Settings!$B$3)),0)</f>
        <v>-0.0937669710133608</v>
      </c>
      <c r="M9" s="23" t="str">
        <f aca="false">IF(AND(C9&gt;=Settings!$B$4,D9&gt;=Settings!$B$5,L9&gt;=Settings!$B$6),"HIGH RATE",IF(AND(C9&gt;=Settings!$B$4,L9&lt;=-Settings!$B$6),"BEST-IN-CLASS",""))</f>
        <v/>
      </c>
      <c r="N9" s="31" t="s">
        <v>68</v>
      </c>
      <c r="O9" s="31" t="s">
        <v>69</v>
      </c>
      <c r="P9" s="31" t="s">
        <v>70</v>
      </c>
      <c r="Q9" s="32" t="n">
        <f aca="false">Settings!$B$3</f>
        <v>0.0309861510798204</v>
      </c>
    </row>
    <row r="10" customFormat="false" ht="61.5" hidden="false" customHeight="true" outlineLevel="0" collapsed="false">
      <c r="A10" s="18" t="s">
        <v>71</v>
      </c>
      <c r="B10" s="19" t="n">
        <f aca="false">COUNTIF('SKU Data'!$D$2:$D$1780,$A10)</f>
        <v>35</v>
      </c>
      <c r="C10" s="19" t="n">
        <f aca="false">SUMIFS('SKU Data'!$E$2:$E$1780,'SKU Data'!$D$2:$D$1780,$A10)</f>
        <v>4520</v>
      </c>
      <c r="D10" s="19" t="n">
        <f aca="false">SUMIFS('SKU Data'!$F$2:$F$1780,'SKU Data'!$D$2:$D$1780,$A10)</f>
        <v>234</v>
      </c>
      <c r="E10" s="21" t="n">
        <f aca="false">SUMIFS('SKU Data'!$G$2:$G$1780,'SKU Data'!$D$2:$D$1780,$A10)</f>
        <v>437700.62</v>
      </c>
      <c r="F10" s="21" t="n">
        <f aca="false">SUMIFS('SKU Data'!$H$2:$H$1780,'SKU Data'!$D$2:$D$1780,$A10)</f>
        <v>21202.65</v>
      </c>
      <c r="G10" s="20" t="n">
        <f aca="false">IF(C10&gt;0,D10/C10,0)</f>
        <v>0.0517699115044248</v>
      </c>
      <c r="H10" s="20" t="n">
        <f aca="false">IF(E10&gt;0,F10/E10,0)</f>
        <v>0.0484409869010466</v>
      </c>
      <c r="I10" s="20" t="n">
        <f aca="false">F10/Settings!$B$16</f>
        <v>0.0423740567604694</v>
      </c>
      <c r="J10" s="22" t="n">
        <f aca="false">F10/Settings!$B$20</f>
        <v>0.00164605501676208</v>
      </c>
      <c r="K10" s="28" t="n">
        <f aca="false">G10/Settings!$B$3</f>
        <v>1.67074353220138</v>
      </c>
      <c r="L10" s="29" t="n">
        <f aca="false">IF(C10&gt;0,(D10-C10*Settings!$B$3)/SQRT(C10*Settings!$B$3*(1-Settings!$B$3)),0)</f>
        <v>8.06388890705204</v>
      </c>
      <c r="M10" s="23" t="str">
        <f aca="false">IF(AND(C10&gt;=Settings!$B$4,D10&gt;=Settings!$B$5,L10&gt;=Settings!$B$6),"HIGH RATE",IF(AND(C10&gt;=Settings!$B$4,L10&lt;=-Settings!$B$6),"BEST-IN-CLASS",""))</f>
        <v>HIGH RATE</v>
      </c>
      <c r="N10" s="31" t="s">
        <v>72</v>
      </c>
      <c r="O10" s="31" t="s">
        <v>73</v>
      </c>
      <c r="P10" s="31" t="s">
        <v>74</v>
      </c>
      <c r="Q10" s="32" t="n">
        <f aca="false">Settings!$B$3</f>
        <v>0.0309861510798204</v>
      </c>
    </row>
    <row r="11" customFormat="false" ht="61.5" hidden="false" customHeight="true" outlineLevel="0" collapsed="false">
      <c r="A11" s="18" t="s">
        <v>75</v>
      </c>
      <c r="B11" s="19" t="n">
        <f aca="false">COUNTIF('SKU Data'!$D$2:$D$1780,$A11)</f>
        <v>40</v>
      </c>
      <c r="C11" s="19" t="n">
        <f aca="false">SUMIFS('SKU Data'!$E$2:$E$1780,'SKU Data'!$D$2:$D$1780,$A11)</f>
        <v>36296</v>
      </c>
      <c r="D11" s="19" t="n">
        <f aca="false">SUMIFS('SKU Data'!$F$2:$F$1780,'SKU Data'!$D$2:$D$1780,$A11)</f>
        <v>1515</v>
      </c>
      <c r="E11" s="21" t="n">
        <f aca="false">SUMIFS('SKU Data'!$G$2:$G$1780,'SKU Data'!$D$2:$D$1780,$A11)</f>
        <v>477893.02</v>
      </c>
      <c r="F11" s="21" t="n">
        <f aca="false">SUMIFS('SKU Data'!$H$2:$H$1780,'SKU Data'!$D$2:$D$1780,$A11)</f>
        <v>17576.19</v>
      </c>
      <c r="G11" s="20" t="n">
        <f aca="false">IF(C11&gt;0,D11/C11,0)</f>
        <v>0.0417401366541768</v>
      </c>
      <c r="H11" s="20" t="n">
        <f aca="false">IF(E11&gt;0,F11/E11,0)</f>
        <v>0.0367785032725525</v>
      </c>
      <c r="I11" s="20" t="n">
        <f aca="false">F11/Settings!$B$16</f>
        <v>0.0351264805433658</v>
      </c>
      <c r="J11" s="22" t="n">
        <f aca="false">F11/Settings!$B$20</f>
        <v>0.00136451696957991</v>
      </c>
      <c r="K11" s="28" t="n">
        <f aca="false">G11/Settings!$B$3</f>
        <v>1.34705780484495</v>
      </c>
      <c r="L11" s="29" t="n">
        <f aca="false">IF(C11&gt;0,(D11-C11*Settings!$B$3)/SQRT(C11*Settings!$B$3*(1-Settings!$B$3)),0)</f>
        <v>11.8236080278682</v>
      </c>
      <c r="M11" s="23" t="str">
        <f aca="false">IF(AND(C11&gt;=Settings!$B$4,D11&gt;=Settings!$B$5,L11&gt;=Settings!$B$6),"HIGH RATE",IF(AND(C11&gt;=Settings!$B$4,L11&lt;=-Settings!$B$6),"BEST-IN-CLASS",""))</f>
        <v>HIGH RATE</v>
      </c>
      <c r="N11" s="31" t="s">
        <v>76</v>
      </c>
      <c r="O11" s="31" t="s">
        <v>77</v>
      </c>
      <c r="P11" s="31" t="s">
        <v>78</v>
      </c>
      <c r="Q11" s="32" t="n">
        <f aca="false">Settings!$B$3</f>
        <v>0.0309861510798204</v>
      </c>
    </row>
    <row r="12" customFormat="false" ht="61.5" hidden="false" customHeight="true" outlineLevel="0" collapsed="false">
      <c r="A12" s="18" t="s">
        <v>79</v>
      </c>
      <c r="B12" s="19" t="n">
        <f aca="false">COUNTIF('SKU Data'!$D$2:$D$1780,$A12)</f>
        <v>5</v>
      </c>
      <c r="C12" s="19" t="n">
        <f aca="false">SUMIFS('SKU Data'!$E$2:$E$1780,'SKU Data'!$D$2:$D$1780,$A12)</f>
        <v>5043</v>
      </c>
      <c r="D12" s="19" t="n">
        <f aca="false">SUMIFS('SKU Data'!$F$2:$F$1780,'SKU Data'!$D$2:$D$1780,$A12)</f>
        <v>205</v>
      </c>
      <c r="E12" s="21" t="n">
        <f aca="false">SUMIFS('SKU Data'!$G$2:$G$1780,'SKU Data'!$D$2:$D$1780,$A12)</f>
        <v>355681.8</v>
      </c>
      <c r="F12" s="21" t="n">
        <f aca="false">SUMIFS('SKU Data'!$H$2:$H$1780,'SKU Data'!$D$2:$D$1780,$A12)</f>
        <v>13788.78</v>
      </c>
      <c r="G12" s="20" t="n">
        <f aca="false">IF(C12&gt;0,D12/C12,0)</f>
        <v>0.040650406504065</v>
      </c>
      <c r="H12" s="20" t="n">
        <f aca="false">IF(E12&gt;0,F12/E12,0)</f>
        <v>0.0387671789785139</v>
      </c>
      <c r="I12" s="20" t="n">
        <f aca="false">F12/Settings!$B$16</f>
        <v>0.0275572414947011</v>
      </c>
      <c r="J12" s="22" t="n">
        <f aca="false">F12/Settings!$B$20</f>
        <v>0.00107048366567522</v>
      </c>
      <c r="K12" s="28" t="n">
        <f aca="false">G12/Settings!$B$3</f>
        <v>1.31188950829516</v>
      </c>
      <c r="L12" s="29" t="n">
        <f aca="false">IF(C12&gt;0,(D12-C12*Settings!$B$3)/SQRT(C12*Settings!$B$3*(1-Settings!$B$3)),0)</f>
        <v>3.96062819520163</v>
      </c>
      <c r="M12" s="23" t="str">
        <f aca="false">IF(AND(C12&gt;=Settings!$B$4,D12&gt;=Settings!$B$5,L12&gt;=Settings!$B$6),"HIGH RATE",IF(AND(C12&gt;=Settings!$B$4,L12&lt;=-Settings!$B$6),"BEST-IN-CLASS",""))</f>
        <v>HIGH RATE</v>
      </c>
      <c r="N12" s="31" t="s">
        <v>80</v>
      </c>
      <c r="O12" s="31" t="s">
        <v>81</v>
      </c>
      <c r="P12" s="31" t="s">
        <v>82</v>
      </c>
      <c r="Q12" s="32" t="n">
        <f aca="false">Settings!$B$3</f>
        <v>0.0309861510798204</v>
      </c>
    </row>
    <row r="13" customFormat="false" ht="61.5" hidden="false" customHeight="true" outlineLevel="0" collapsed="false">
      <c r="A13" s="18" t="s">
        <v>83</v>
      </c>
      <c r="B13" s="19" t="n">
        <f aca="false">COUNTIF('SKU Data'!$D$2:$D$1780,$A13)</f>
        <v>6</v>
      </c>
      <c r="C13" s="19" t="n">
        <f aca="false">SUMIFS('SKU Data'!$E$2:$E$1780,'SKU Data'!$D$2:$D$1780,$A13)</f>
        <v>3058</v>
      </c>
      <c r="D13" s="19" t="n">
        <f aca="false">SUMIFS('SKU Data'!$F$2:$F$1780,'SKU Data'!$D$2:$D$1780,$A13)</f>
        <v>133</v>
      </c>
      <c r="E13" s="21" t="n">
        <f aca="false">SUMIFS('SKU Data'!$G$2:$G$1780,'SKU Data'!$D$2:$D$1780,$A13)</f>
        <v>336513.04</v>
      </c>
      <c r="F13" s="21" t="n">
        <f aca="false">SUMIFS('SKU Data'!$H$2:$H$1780,'SKU Data'!$D$2:$D$1780,$A13)</f>
        <v>13631.3</v>
      </c>
      <c r="G13" s="20" t="n">
        <f aca="false">IF(C13&gt;0,D13/C13,0)</f>
        <v>0.0434924787442773</v>
      </c>
      <c r="H13" s="20" t="n">
        <f aca="false">IF(E13&gt;0,F13/E13,0)</f>
        <v>0.0405074941523811</v>
      </c>
      <c r="I13" s="20" t="n">
        <f aca="false">F13/Settings!$B$16</f>
        <v>0.0272425135499094</v>
      </c>
      <c r="J13" s="22" t="n">
        <f aca="false">F13/Settings!$B$20</f>
        <v>0.00105825780032161</v>
      </c>
      <c r="K13" s="28" t="n">
        <f aca="false">G13/Settings!$B$3</f>
        <v>1.40361023323744</v>
      </c>
      <c r="L13" s="29" t="n">
        <f aca="false">IF(C13&gt;0,(D13-C13*Settings!$B$3)/SQRT(C13*Settings!$B$3*(1-Settings!$B$3)),0)</f>
        <v>3.99116547837913</v>
      </c>
      <c r="M13" s="23" t="str">
        <f aca="false">IF(AND(C13&gt;=Settings!$B$4,D13&gt;=Settings!$B$5,L13&gt;=Settings!$B$6),"HIGH RATE",IF(AND(C13&gt;=Settings!$B$4,L13&lt;=-Settings!$B$6),"BEST-IN-CLASS",""))</f>
        <v>HIGH RATE</v>
      </c>
      <c r="N13" s="31" t="s">
        <v>84</v>
      </c>
      <c r="O13" s="31" t="s">
        <v>85</v>
      </c>
      <c r="P13" s="31" t="s">
        <v>86</v>
      </c>
      <c r="Q13" s="32" t="n">
        <f aca="false">Settings!$B$3</f>
        <v>0.0309861510798204</v>
      </c>
    </row>
    <row r="14" customFormat="false" ht="61.5" hidden="false" customHeight="true" outlineLevel="0" collapsed="false">
      <c r="A14" s="18" t="s">
        <v>87</v>
      </c>
      <c r="B14" s="19" t="n">
        <f aca="false">COUNTIF('SKU Data'!$D$2:$D$1780,$A14)</f>
        <v>257</v>
      </c>
      <c r="C14" s="19" t="n">
        <f aca="false">SUMIFS('SKU Data'!$E$2:$E$1780,'SKU Data'!$D$2:$D$1780,$A14)</f>
        <v>2106</v>
      </c>
      <c r="D14" s="19" t="n">
        <f aca="false">SUMIFS('SKU Data'!$F$2:$F$1780,'SKU Data'!$D$2:$D$1780,$A14)</f>
        <v>92</v>
      </c>
      <c r="E14" s="21" t="n">
        <f aca="false">SUMIFS('SKU Data'!$G$2:$G$1780,'SKU Data'!$D$2:$D$1780,$A14)</f>
        <v>199931.55</v>
      </c>
      <c r="F14" s="21" t="n">
        <f aca="false">SUMIFS('SKU Data'!$H$2:$H$1780,'SKU Data'!$D$2:$D$1780,$A14)</f>
        <v>8627.52</v>
      </c>
      <c r="G14" s="20" t="n">
        <f aca="false">IF(C14&gt;0,D14/C14,0)</f>
        <v>0.043684710351377</v>
      </c>
      <c r="H14" s="20" t="n">
        <f aca="false">IF(E14&gt;0,F14/E14,0)</f>
        <v>0.0431523688982554</v>
      </c>
      <c r="I14" s="20" t="n">
        <f aca="false">F14/Settings!$B$16</f>
        <v>0.0172423268875393</v>
      </c>
      <c r="J14" s="22" t="n">
        <f aca="false">F14/Settings!$B$20</f>
        <v>0.000669792340967528</v>
      </c>
      <c r="K14" s="28" t="n">
        <f aca="false">G14/Settings!$B$3</f>
        <v>1.40981402429895</v>
      </c>
      <c r="L14" s="29" t="n">
        <f aca="false">IF(C14&gt;0,(D14-C14*Settings!$B$3)/SQRT(C14*Settings!$B$3*(1-Settings!$B$3)),0)</f>
        <v>3.3630616204784</v>
      </c>
      <c r="M14" s="23" t="str">
        <f aca="false">IF(AND(C14&gt;=Settings!$B$4,D14&gt;=Settings!$B$5,L14&gt;=Settings!$B$6),"HIGH RATE",IF(AND(C14&gt;=Settings!$B$4,L14&lt;=-Settings!$B$6),"BEST-IN-CLASS",""))</f>
        <v>HIGH RATE</v>
      </c>
      <c r="N14" s="31" t="s">
        <v>88</v>
      </c>
      <c r="O14" s="31" t="s">
        <v>89</v>
      </c>
      <c r="P14" s="31" t="s">
        <v>90</v>
      </c>
      <c r="Q14" s="32" t="n">
        <f aca="false">Settings!$B$3</f>
        <v>0.0309861510798204</v>
      </c>
    </row>
    <row r="15" customFormat="false" ht="61.5" hidden="false" customHeight="true" outlineLevel="0" collapsed="false">
      <c r="A15" s="18" t="s">
        <v>91</v>
      </c>
      <c r="B15" s="19" t="n">
        <f aca="false">COUNTIF('SKU Data'!$D$2:$D$1780,$A15)</f>
        <v>8</v>
      </c>
      <c r="C15" s="19" t="n">
        <f aca="false">SUMIFS('SKU Data'!$E$2:$E$1780,'SKU Data'!$D$2:$D$1780,$A15)</f>
        <v>1395</v>
      </c>
      <c r="D15" s="19" t="n">
        <f aca="false">SUMIFS('SKU Data'!$F$2:$F$1780,'SKU Data'!$D$2:$D$1780,$A15)</f>
        <v>71</v>
      </c>
      <c r="E15" s="21" t="n">
        <f aca="false">SUMIFS('SKU Data'!$G$2:$G$1780,'SKU Data'!$D$2:$D$1780,$A15)</f>
        <v>173710.23</v>
      </c>
      <c r="F15" s="21" t="n">
        <f aca="false">SUMIFS('SKU Data'!$H$2:$H$1780,'SKU Data'!$D$2:$D$1780,$A15)</f>
        <v>8477.07</v>
      </c>
      <c r="G15" s="20" t="n">
        <f aca="false">IF(C15&gt;0,D15/C15,0)</f>
        <v>0.0508960573476703</v>
      </c>
      <c r="H15" s="20" t="n">
        <f aca="false">IF(E15&gt;0,F15/E15,0)</f>
        <v>0.0488000620343431</v>
      </c>
      <c r="I15" s="20" t="n">
        <f aca="false">F15/Settings!$B$16</f>
        <v>0.0169416485836663</v>
      </c>
      <c r="J15" s="22" t="n">
        <f aca="false">F15/Settings!$B$20</f>
        <v>0.000658112245447777</v>
      </c>
      <c r="K15" s="28" t="n">
        <f aca="false">G15/Settings!$B$3</f>
        <v>1.64254208974073</v>
      </c>
      <c r="L15" s="29" t="n">
        <f aca="false">IF(C15&gt;0,(D15-C15*Settings!$B$3)/SQRT(C15*Settings!$B$3*(1-Settings!$B$3)),0)</f>
        <v>4.29148412444351</v>
      </c>
      <c r="M15" s="23" t="str">
        <f aca="false">IF(AND(C15&gt;=Settings!$B$4,D15&gt;=Settings!$B$5,L15&gt;=Settings!$B$6),"HIGH RATE",IF(AND(C15&gt;=Settings!$B$4,L15&lt;=-Settings!$B$6),"BEST-IN-CLASS",""))</f>
        <v>HIGH RATE</v>
      </c>
      <c r="N15" s="31" t="s">
        <v>92</v>
      </c>
      <c r="O15" s="31" t="s">
        <v>93</v>
      </c>
      <c r="P15" s="31" t="s">
        <v>94</v>
      </c>
      <c r="Q15" s="32" t="n">
        <f aca="false">Settings!$B$3</f>
        <v>0.0309861510798204</v>
      </c>
    </row>
    <row r="16" customFormat="false" ht="61.5" hidden="false" customHeight="true" outlineLevel="0" collapsed="false">
      <c r="A16" s="18" t="s">
        <v>95</v>
      </c>
      <c r="B16" s="19" t="n">
        <f aca="false">COUNTIF('SKU Data'!$D$2:$D$1780,$A16)</f>
        <v>220</v>
      </c>
      <c r="C16" s="19" t="n">
        <f aca="false">SUMIFS('SKU Data'!$E$2:$E$1780,'SKU Data'!$D$2:$D$1780,$A16)</f>
        <v>5567</v>
      </c>
      <c r="D16" s="19" t="n">
        <f aca="false">SUMIFS('SKU Data'!$F$2:$F$1780,'SKU Data'!$D$2:$D$1780,$A16)</f>
        <v>144</v>
      </c>
      <c r="E16" s="21" t="n">
        <f aca="false">SUMIFS('SKU Data'!$G$2:$G$1780,'SKU Data'!$D$2:$D$1780,$A16)</f>
        <v>350462.46</v>
      </c>
      <c r="F16" s="21" t="n">
        <f aca="false">SUMIFS('SKU Data'!$H$2:$H$1780,'SKU Data'!$D$2:$D$1780,$A16)</f>
        <v>8443.98</v>
      </c>
      <c r="G16" s="20" t="n">
        <f aca="false">IF(C16&gt;0,D16/C16,0)</f>
        <v>0.0258667145679899</v>
      </c>
      <c r="H16" s="20" t="n">
        <f aca="false">IF(E16&gt;0,F16/E16,0)</f>
        <v>0.0240938216321371</v>
      </c>
      <c r="I16" s="20" t="n">
        <f aca="false">F16/Settings!$B$16</f>
        <v>0.0168755173435523</v>
      </c>
      <c r="J16" s="22" t="n">
        <f aca="false">F16/Settings!$B$20</f>
        <v>0.000655543323143034</v>
      </c>
      <c r="K16" s="28" t="n">
        <f aca="false">G16/Settings!$B$3</f>
        <v>0.834783077812963</v>
      </c>
      <c r="L16" s="29" t="n">
        <f aca="false">IF(C16&gt;0,(D16-C16*Settings!$B$3)/SQRT(C16*Settings!$B$3*(1-Settings!$B$3)),0)</f>
        <v>-2.20436731613947</v>
      </c>
      <c r="M16" s="23" t="str">
        <f aca="false">IF(AND(C16&gt;=Settings!$B$4,D16&gt;=Settings!$B$5,L16&gt;=Settings!$B$6),"HIGH RATE",IF(AND(C16&gt;=Settings!$B$4,L16&lt;=-Settings!$B$6),"BEST-IN-CLASS",""))</f>
        <v/>
      </c>
      <c r="N16" s="31" t="s">
        <v>96</v>
      </c>
      <c r="O16" s="31" t="s">
        <v>97</v>
      </c>
      <c r="P16" s="31" t="s">
        <v>98</v>
      </c>
      <c r="Q16" s="32" t="n">
        <f aca="false">Settings!$B$3</f>
        <v>0.0309861510798204</v>
      </c>
    </row>
    <row r="17" customFormat="false" ht="61.5" hidden="false" customHeight="true" outlineLevel="0" collapsed="false">
      <c r="A17" s="18" t="s">
        <v>99</v>
      </c>
      <c r="B17" s="19" t="n">
        <f aca="false">COUNTIF('SKU Data'!$D$2:$D$1780,$A17)</f>
        <v>10</v>
      </c>
      <c r="C17" s="19" t="n">
        <f aca="false">SUMIFS('SKU Data'!$E$2:$E$1780,'SKU Data'!$D$2:$D$1780,$A17)</f>
        <v>3112</v>
      </c>
      <c r="D17" s="19" t="n">
        <f aca="false">SUMIFS('SKU Data'!$F$2:$F$1780,'SKU Data'!$D$2:$D$1780,$A17)</f>
        <v>139</v>
      </c>
      <c r="E17" s="21" t="n">
        <f aca="false">SUMIFS('SKU Data'!$G$2:$G$1780,'SKU Data'!$D$2:$D$1780,$A17)</f>
        <v>164249.35</v>
      </c>
      <c r="F17" s="21" t="n">
        <f aca="false">SUMIFS('SKU Data'!$H$2:$H$1780,'SKU Data'!$D$2:$D$1780,$A17)</f>
        <v>6846.87</v>
      </c>
      <c r="G17" s="20" t="n">
        <f aca="false">IF(C17&gt;0,D17/C17,0)</f>
        <v>0.0446658097686375</v>
      </c>
      <c r="H17" s="20" t="n">
        <f aca="false">IF(E17&gt;0,F17/E17,0)</f>
        <v>0.0416858270672</v>
      </c>
      <c r="I17" s="20" t="n">
        <f aca="false">F17/Settings!$B$16</f>
        <v>0.0136836507706138</v>
      </c>
      <c r="J17" s="22" t="n">
        <f aca="false">F17/Settings!$B$20</f>
        <v>0.000531552646137052</v>
      </c>
      <c r="K17" s="28" t="n">
        <f aca="false">G17/Settings!$B$3</f>
        <v>1.44147653748858</v>
      </c>
      <c r="L17" s="29" t="n">
        <f aca="false">IF(C17&gt;0,(D17-C17*Settings!$B$3)/SQRT(C17*Settings!$B$3*(1-Settings!$B$3)),0)</f>
        <v>4.40398921677803</v>
      </c>
      <c r="M17" s="23" t="str">
        <f aca="false">IF(AND(C17&gt;=Settings!$B$4,D17&gt;=Settings!$B$5,L17&gt;=Settings!$B$6),"HIGH RATE",IF(AND(C17&gt;=Settings!$B$4,L17&lt;=-Settings!$B$6),"BEST-IN-CLASS",""))</f>
        <v>HIGH RATE</v>
      </c>
      <c r="N17" s="31" t="s">
        <v>100</v>
      </c>
      <c r="O17" s="31" t="s">
        <v>101</v>
      </c>
      <c r="P17" s="31" t="s">
        <v>102</v>
      </c>
      <c r="Q17" s="32" t="n">
        <f aca="false">Settings!$B$3</f>
        <v>0.0309861510798204</v>
      </c>
    </row>
    <row r="18" customFormat="false" ht="61.5" hidden="false" customHeight="true" outlineLevel="0" collapsed="false">
      <c r="A18" s="18" t="s">
        <v>103</v>
      </c>
      <c r="B18" s="19" t="n">
        <f aca="false">COUNTIF('SKU Data'!$D$2:$D$1780,$A18)</f>
        <v>1</v>
      </c>
      <c r="C18" s="19" t="n">
        <f aca="false">SUMIFS('SKU Data'!$E$2:$E$1780,'SKU Data'!$D$2:$D$1780,$A18)</f>
        <v>4105</v>
      </c>
      <c r="D18" s="19" t="n">
        <f aca="false">SUMIFS('SKU Data'!$F$2:$F$1780,'SKU Data'!$D$2:$D$1780,$A18)</f>
        <v>85</v>
      </c>
      <c r="E18" s="21" t="n">
        <f aca="false">SUMIFS('SKU Data'!$G$2:$G$1780,'SKU Data'!$D$2:$D$1780,$A18)</f>
        <v>252345.67</v>
      </c>
      <c r="F18" s="21" t="n">
        <f aca="false">SUMIFS('SKU Data'!$H$2:$H$1780,'SKU Data'!$D$2:$D$1780,$A18)</f>
        <v>5835.37</v>
      </c>
      <c r="G18" s="20" t="n">
        <f aca="false">IF(C18&gt;0,D18/C18,0)</f>
        <v>0.0207064555420219</v>
      </c>
      <c r="H18" s="20" t="n">
        <f aca="false">IF(E18&gt;0,F18/E18,0)</f>
        <v>0.0231245101213744</v>
      </c>
      <c r="I18" s="20" t="n">
        <f aca="false">F18/Settings!$B$16</f>
        <v>0.0116621412699988</v>
      </c>
      <c r="J18" s="22" t="n">
        <f aca="false">F18/Settings!$B$20</f>
        <v>0.000453025450269798</v>
      </c>
      <c r="K18" s="28" t="n">
        <f aca="false">G18/Settings!$B$3</f>
        <v>0.668248711777143</v>
      </c>
      <c r="L18" s="29" t="n">
        <f aca="false">IF(C18&gt;0,(D18-C18*Settings!$B$3)/SQRT(C18*Settings!$B$3*(1-Settings!$B$3)),0)</f>
        <v>-3.800913828679</v>
      </c>
      <c r="M18" s="23" t="str">
        <f aca="false">IF(AND(C18&gt;=Settings!$B$4,D18&gt;=Settings!$B$5,L18&gt;=Settings!$B$6),"HIGH RATE",IF(AND(C18&gt;=Settings!$B$4,L18&lt;=-Settings!$B$6),"BEST-IN-CLASS",""))</f>
        <v>BEST-IN-CLASS</v>
      </c>
      <c r="N18" s="31" t="s">
        <v>104</v>
      </c>
      <c r="O18" s="31" t="s">
        <v>105</v>
      </c>
      <c r="P18" s="31" t="s">
        <v>106</v>
      </c>
      <c r="Q18" s="32" t="n">
        <f aca="false">Settings!$B$3</f>
        <v>0.0309861510798204</v>
      </c>
    </row>
    <row r="19" customFormat="false" ht="61.5" hidden="false" customHeight="true" outlineLevel="0" collapsed="false">
      <c r="A19" s="18" t="s">
        <v>107</v>
      </c>
      <c r="B19" s="19" t="n">
        <f aca="false">COUNTIF('SKU Data'!$D$2:$D$1780,$A19)</f>
        <v>8</v>
      </c>
      <c r="C19" s="19" t="n">
        <f aca="false">SUMIFS('SKU Data'!$E$2:$E$1780,'SKU Data'!$D$2:$D$1780,$A19)</f>
        <v>2805</v>
      </c>
      <c r="D19" s="19" t="n">
        <f aca="false">SUMIFS('SKU Data'!$F$2:$F$1780,'SKU Data'!$D$2:$D$1780,$A19)</f>
        <v>71</v>
      </c>
      <c r="E19" s="21" t="n">
        <f aca="false">SUMIFS('SKU Data'!$G$2:$G$1780,'SKU Data'!$D$2:$D$1780,$A19)</f>
        <v>202399.46</v>
      </c>
      <c r="F19" s="21" t="n">
        <f aca="false">SUMIFS('SKU Data'!$H$2:$H$1780,'SKU Data'!$D$2:$D$1780,$A19)</f>
        <v>4861.26</v>
      </c>
      <c r="G19" s="20" t="n">
        <f aca="false">IF(C19&gt;0,D19/C19,0)</f>
        <v>0.0253119429590018</v>
      </c>
      <c r="H19" s="20" t="n">
        <f aca="false">IF(E19&gt;0,F19/E19,0)</f>
        <v>0.0240181470839893</v>
      </c>
      <c r="I19" s="20" t="n">
        <f aca="false">F19/Settings!$B$16</f>
        <v>0.0097153566732177</v>
      </c>
      <c r="J19" s="22" t="n">
        <f aca="false">F19/Settings!$B$20</f>
        <v>0.000377401004628422</v>
      </c>
      <c r="K19" s="28" t="n">
        <f aca="false">G19/Settings!$B$3</f>
        <v>0.816879221101005</v>
      </c>
      <c r="L19" s="29" t="n">
        <f aca="false">IF(C19&gt;0,(D19-C19*Settings!$B$3)/SQRT(C19*Settings!$B$3*(1-Settings!$B$3)),0)</f>
        <v>-1.7342946516352</v>
      </c>
      <c r="M19" s="23" t="str">
        <f aca="false">IF(AND(C19&gt;=Settings!$B$4,D19&gt;=Settings!$B$5,L19&gt;=Settings!$B$6),"HIGH RATE",IF(AND(C19&gt;=Settings!$B$4,L19&lt;=-Settings!$B$6),"BEST-IN-CLASS",""))</f>
        <v/>
      </c>
      <c r="N19" s="31" t="s">
        <v>108</v>
      </c>
      <c r="O19" s="31" t="s">
        <v>109</v>
      </c>
      <c r="P19" s="31" t="s">
        <v>110</v>
      </c>
      <c r="Q19" s="32" t="n">
        <f aca="false">Settings!$B$3</f>
        <v>0.0309861510798204</v>
      </c>
    </row>
    <row r="20" customFormat="false" ht="61.5" hidden="false" customHeight="true" outlineLevel="0" collapsed="false">
      <c r="A20" s="18" t="s">
        <v>111</v>
      </c>
      <c r="B20" s="19" t="n">
        <f aca="false">COUNTIF('SKU Data'!$D$2:$D$1780,$A20)</f>
        <v>21</v>
      </c>
      <c r="C20" s="19" t="n">
        <f aca="false">SUMIFS('SKU Data'!$E$2:$E$1780,'SKU Data'!$D$2:$D$1780,$A20)</f>
        <v>737</v>
      </c>
      <c r="D20" s="19" t="n">
        <f aca="false">SUMIFS('SKU Data'!$F$2:$F$1780,'SKU Data'!$D$2:$D$1780,$A20)</f>
        <v>35</v>
      </c>
      <c r="E20" s="21" t="n">
        <f aca="false">SUMIFS('SKU Data'!$G$2:$G$1780,'SKU Data'!$D$2:$D$1780,$A20)</f>
        <v>99103.09</v>
      </c>
      <c r="F20" s="21" t="n">
        <f aca="false">SUMIFS('SKU Data'!$H$2:$H$1780,'SKU Data'!$D$2:$D$1780,$A20)</f>
        <v>4408.47</v>
      </c>
      <c r="G20" s="20" t="n">
        <f aca="false">IF(C20&gt;0,D20/C20,0)</f>
        <v>0.0474898236092266</v>
      </c>
      <c r="H20" s="20" t="n">
        <f aca="false">IF(E20&gt;0,F20/E20,0)</f>
        <v>0.0444836785613849</v>
      </c>
      <c r="I20" s="20" t="n">
        <f aca="false">F20/Settings!$B$16</f>
        <v>0.00881044388351581</v>
      </c>
      <c r="J20" s="22" t="n">
        <f aca="false">F20/Settings!$B$20</f>
        <v>0.000342248924532788</v>
      </c>
      <c r="K20" s="28" t="n">
        <f aca="false">G20/Settings!$B$3</f>
        <v>1.53261447305581</v>
      </c>
      <c r="L20" s="29" t="n">
        <f aca="false">IF(C20&gt;0,(D20-C20*Settings!$B$3)/SQRT(C20*Settings!$B$3*(1-Settings!$B$3)),0)</f>
        <v>2.58562496640597</v>
      </c>
      <c r="M20" s="23" t="str">
        <f aca="false">IF(AND(C20&gt;=Settings!$B$4,D20&gt;=Settings!$B$5,L20&gt;=Settings!$B$6),"HIGH RATE",IF(AND(C20&gt;=Settings!$B$4,L20&lt;=-Settings!$B$6),"BEST-IN-CLASS",""))</f>
        <v/>
      </c>
      <c r="N20" s="31" t="s">
        <v>112</v>
      </c>
      <c r="O20" s="31" t="s">
        <v>113</v>
      </c>
      <c r="P20" s="31" t="s">
        <v>90</v>
      </c>
      <c r="Q20" s="32" t="n">
        <f aca="false">Settings!$B$3</f>
        <v>0.0309861510798204</v>
      </c>
    </row>
    <row r="21" customFormat="false" ht="61.5" hidden="false" customHeight="true" outlineLevel="0" collapsed="false">
      <c r="A21" s="18" t="s">
        <v>114</v>
      </c>
      <c r="B21" s="19" t="n">
        <f aca="false">COUNTIF('SKU Data'!$D$2:$D$1780,$A21)</f>
        <v>11</v>
      </c>
      <c r="C21" s="19" t="n">
        <f aca="false">SUMIFS('SKU Data'!$E$2:$E$1780,'SKU Data'!$D$2:$D$1780,$A21)</f>
        <v>1055</v>
      </c>
      <c r="D21" s="19" t="n">
        <f aca="false">SUMIFS('SKU Data'!$F$2:$F$1780,'SKU Data'!$D$2:$D$1780,$A21)</f>
        <v>51</v>
      </c>
      <c r="E21" s="21" t="n">
        <f aca="false">SUMIFS('SKU Data'!$G$2:$G$1780,'SKU Data'!$D$2:$D$1780,$A21)</f>
        <v>98180.44</v>
      </c>
      <c r="F21" s="21" t="n">
        <f aca="false">SUMIFS('SKU Data'!$H$2:$H$1780,'SKU Data'!$D$2:$D$1780,$A21)</f>
        <v>4337.3</v>
      </c>
      <c r="G21" s="20" t="n">
        <f aca="false">IF(C21&gt;0,D21/C21,0)</f>
        <v>0.0483412322274882</v>
      </c>
      <c r="H21" s="20" t="n">
        <f aca="false">IF(E21&gt;0,F21/E21,0)</f>
        <v>0.0441768238154158</v>
      </c>
      <c r="I21" s="20" t="n">
        <f aca="false">F21/Settings!$B$16</f>
        <v>0.00866820875631979</v>
      </c>
      <c r="J21" s="22" t="n">
        <f aca="false">F21/Settings!$B$20</f>
        <v>0.000336723684265984</v>
      </c>
      <c r="K21" s="28" t="n">
        <f aca="false">G21/Settings!$B$3</f>
        <v>1.56009154228161</v>
      </c>
      <c r="L21" s="29" t="n">
        <f aca="false">IF(C21&gt;0,(D21-C21*Settings!$B$3)/SQRT(C21*Settings!$B$3*(1-Settings!$B$3)),0)</f>
        <v>3.2531498561004</v>
      </c>
      <c r="M21" s="23" t="str">
        <f aca="false">IF(AND(C21&gt;=Settings!$B$4,D21&gt;=Settings!$B$5,L21&gt;=Settings!$B$6),"HIGH RATE",IF(AND(C21&gt;=Settings!$B$4,L21&lt;=-Settings!$B$6),"BEST-IN-CLASS",""))</f>
        <v>HIGH RATE</v>
      </c>
      <c r="N21" s="31" t="s">
        <v>115</v>
      </c>
      <c r="O21" s="31" t="s">
        <v>116</v>
      </c>
      <c r="P21" s="31" t="s">
        <v>90</v>
      </c>
      <c r="Q21" s="32" t="n">
        <f aca="false">Settings!$B$3</f>
        <v>0.0309861510798204</v>
      </c>
    </row>
    <row r="22" customFormat="false" ht="61.5" hidden="false" customHeight="true" outlineLevel="0" collapsed="false">
      <c r="A22" s="18" t="s">
        <v>117</v>
      </c>
      <c r="B22" s="19" t="n">
        <f aca="false">COUNTIF('SKU Data'!$D$2:$D$1780,$A22)</f>
        <v>19</v>
      </c>
      <c r="C22" s="19" t="n">
        <f aca="false">SUMIFS('SKU Data'!$E$2:$E$1780,'SKU Data'!$D$2:$D$1780,$A22)</f>
        <v>819</v>
      </c>
      <c r="D22" s="19" t="n">
        <f aca="false">SUMIFS('SKU Data'!$F$2:$F$1780,'SKU Data'!$D$2:$D$1780,$A22)</f>
        <v>48</v>
      </c>
      <c r="E22" s="21" t="n">
        <f aca="false">SUMIFS('SKU Data'!$G$2:$G$1780,'SKU Data'!$D$2:$D$1780,$A22)</f>
        <v>76548.87</v>
      </c>
      <c r="F22" s="21" t="n">
        <f aca="false">SUMIFS('SKU Data'!$H$2:$H$1780,'SKU Data'!$D$2:$D$1780,$A22)</f>
        <v>4215.14</v>
      </c>
      <c r="G22" s="20" t="n">
        <f aca="false">IF(C22&gt;0,D22/C22,0)</f>
        <v>0.0586080586080586</v>
      </c>
      <c r="H22" s="20" t="n">
        <f aca="false">IF(E22&gt;0,F22/E22,0)</f>
        <v>0.0550646926597349</v>
      </c>
      <c r="I22" s="20" t="n">
        <f aca="false">F22/Settings!$B$16</f>
        <v>0.00842406876561774</v>
      </c>
      <c r="J22" s="22" t="n">
        <f aca="false">F22/Settings!$B$20</f>
        <v>0.000327239865929707</v>
      </c>
      <c r="K22" s="28" t="n">
        <f aca="false">G22/Settings!$B$3</f>
        <v>1.89142751086071</v>
      </c>
      <c r="L22" s="29" t="n">
        <f aca="false">IF(C22&gt;0,(D22-C22*Settings!$B$3)/SQRT(C22*Settings!$B$3*(1-Settings!$B$3)),0)</f>
        <v>4.56191100730393</v>
      </c>
      <c r="M22" s="23" t="str">
        <f aca="false">IF(AND(C22&gt;=Settings!$B$4,D22&gt;=Settings!$B$5,L22&gt;=Settings!$B$6),"HIGH RATE",IF(AND(C22&gt;=Settings!$B$4,L22&lt;=-Settings!$B$6),"BEST-IN-CLASS",""))</f>
        <v>HIGH RATE</v>
      </c>
      <c r="N22" s="31" t="s">
        <v>118</v>
      </c>
      <c r="O22" s="31" t="s">
        <v>119</v>
      </c>
      <c r="P22" s="31" t="s">
        <v>120</v>
      </c>
      <c r="Q22" s="32" t="n">
        <f aca="false">Settings!$B$3</f>
        <v>0.0309861510798204</v>
      </c>
    </row>
    <row r="23" customFormat="false" ht="61.5" hidden="false" customHeight="true" outlineLevel="0" collapsed="false">
      <c r="A23" s="18" t="s">
        <v>121</v>
      </c>
      <c r="B23" s="19" t="n">
        <f aca="false">COUNTIF('SKU Data'!$D$2:$D$1780,$A23)</f>
        <v>8</v>
      </c>
      <c r="C23" s="19" t="n">
        <f aca="false">SUMIFS('SKU Data'!$E$2:$E$1780,'SKU Data'!$D$2:$D$1780,$A23)</f>
        <v>652</v>
      </c>
      <c r="D23" s="19" t="n">
        <f aca="false">SUMIFS('SKU Data'!$F$2:$F$1780,'SKU Data'!$D$2:$D$1780,$A23)</f>
        <v>40</v>
      </c>
      <c r="E23" s="21" t="n">
        <f aca="false">SUMIFS('SKU Data'!$G$2:$G$1780,'SKU Data'!$D$2:$D$1780,$A23)</f>
        <v>66368.01</v>
      </c>
      <c r="F23" s="21" t="n">
        <f aca="false">SUMIFS('SKU Data'!$H$2:$H$1780,'SKU Data'!$D$2:$D$1780,$A23)</f>
        <v>3859.2</v>
      </c>
      <c r="G23" s="20" t="n">
        <f aca="false">IF(C23&gt;0,D23/C23,0)</f>
        <v>0.0613496932515337</v>
      </c>
      <c r="H23" s="20" t="n">
        <f aca="false">IF(E23&gt;0,F23/E23,0)</f>
        <v>0.0581484965422347</v>
      </c>
      <c r="I23" s="20" t="n">
        <f aca="false">F23/Settings!$B$16</f>
        <v>0.00771271326225747</v>
      </c>
      <c r="J23" s="22" t="n">
        <f aca="false">F23/Settings!$B$20</f>
        <v>0.000299606677499662</v>
      </c>
      <c r="K23" s="28" t="n">
        <f aca="false">G23/Settings!$B$3</f>
        <v>1.97990686527981</v>
      </c>
      <c r="L23" s="29" t="n">
        <f aca="false">IF(C23&gt;0,(D23-C23*Settings!$B$3)/SQRT(C23*Settings!$B$3*(1-Settings!$B$3)),0)</f>
        <v>4.47432393561862</v>
      </c>
      <c r="M23" s="23" t="str">
        <f aca="false">IF(AND(C23&gt;=Settings!$B$4,D23&gt;=Settings!$B$5,L23&gt;=Settings!$B$6),"HIGH RATE",IF(AND(C23&gt;=Settings!$B$4,L23&lt;=-Settings!$B$6),"BEST-IN-CLASS",""))</f>
        <v>HIGH RATE</v>
      </c>
      <c r="N23" s="31" t="s">
        <v>122</v>
      </c>
      <c r="O23" s="31" t="s">
        <v>123</v>
      </c>
      <c r="P23" s="31" t="s">
        <v>124</v>
      </c>
      <c r="Q23" s="32" t="n">
        <f aca="false">Settings!$B$3</f>
        <v>0.0309861510798204</v>
      </c>
    </row>
    <row r="24" customFormat="false" ht="61.5" hidden="false" customHeight="true" outlineLevel="0" collapsed="false">
      <c r="A24" s="18" t="s">
        <v>125</v>
      </c>
      <c r="B24" s="19" t="n">
        <f aca="false">COUNTIF('SKU Data'!$D$2:$D$1780,$A24)</f>
        <v>8</v>
      </c>
      <c r="C24" s="19" t="n">
        <f aca="false">SUMIFS('SKU Data'!$E$2:$E$1780,'SKU Data'!$D$2:$D$1780,$A24)</f>
        <v>604</v>
      </c>
      <c r="D24" s="19" t="n">
        <f aca="false">SUMIFS('SKU Data'!$F$2:$F$1780,'SKU Data'!$D$2:$D$1780,$A24)</f>
        <v>34</v>
      </c>
      <c r="E24" s="21" t="n">
        <f aca="false">SUMIFS('SKU Data'!$G$2:$G$1780,'SKU Data'!$D$2:$D$1780,$A24)</f>
        <v>64138.28</v>
      </c>
      <c r="F24" s="21" t="n">
        <f aca="false">SUMIFS('SKU Data'!$H$2:$H$1780,'SKU Data'!$D$2:$D$1780,$A24)</f>
        <v>3221</v>
      </c>
      <c r="G24" s="20" t="n">
        <f aca="false">IF(C24&gt;0,D24/C24,0)</f>
        <v>0.0562913907284768</v>
      </c>
      <c r="H24" s="20" t="n">
        <f aca="false">IF(E24&gt;0,F24/E24,0)</f>
        <v>0.05021961923519</v>
      </c>
      <c r="I24" s="20" t="n">
        <f aca="false">F24/Settings!$B$16</f>
        <v>0.00643725368411363</v>
      </c>
      <c r="J24" s="22" t="n">
        <f aca="false">F24/Settings!$B$20</f>
        <v>0.00025006040325104</v>
      </c>
      <c r="K24" s="28" t="n">
        <f aca="false">G24/Settings!$B$3</f>
        <v>1.81666288863919</v>
      </c>
      <c r="L24" s="29" t="n">
        <f aca="false">IF(C24&gt;0,(D24-C24*Settings!$B$3)/SQRT(C24*Settings!$B$3*(1-Settings!$B$3)),0)</f>
        <v>3.5890550100908</v>
      </c>
      <c r="M24" s="23" t="str">
        <f aca="false">IF(AND(C24&gt;=Settings!$B$4,D24&gt;=Settings!$B$5,L24&gt;=Settings!$B$6),"HIGH RATE",IF(AND(C24&gt;=Settings!$B$4,L24&lt;=-Settings!$B$6),"BEST-IN-CLASS",""))</f>
        <v>HIGH RATE</v>
      </c>
      <c r="N24" s="31" t="s">
        <v>126</v>
      </c>
      <c r="O24" s="31" t="s">
        <v>127</v>
      </c>
      <c r="P24" s="31" t="s">
        <v>128</v>
      </c>
      <c r="Q24" s="32" t="n">
        <f aca="false">Settings!$B$3</f>
        <v>0.0309861510798204</v>
      </c>
    </row>
    <row r="25" customFormat="false" ht="61.5" hidden="false" customHeight="true" outlineLevel="0" collapsed="false">
      <c r="A25" s="18" t="s">
        <v>129</v>
      </c>
      <c r="B25" s="19" t="n">
        <f aca="false">COUNTIF('SKU Data'!$D$2:$D$1780,$A25)</f>
        <v>25</v>
      </c>
      <c r="C25" s="19" t="n">
        <f aca="false">SUMIFS('SKU Data'!$E$2:$E$1780,'SKU Data'!$D$2:$D$1780,$A25)</f>
        <v>531</v>
      </c>
      <c r="D25" s="19" t="n">
        <f aca="false">SUMIFS('SKU Data'!$F$2:$F$1780,'SKU Data'!$D$2:$D$1780,$A25)</f>
        <v>24</v>
      </c>
      <c r="E25" s="21" t="n">
        <f aca="false">SUMIFS('SKU Data'!$G$2:$G$1780,'SKU Data'!$D$2:$D$1780,$A25)</f>
        <v>69354.06</v>
      </c>
      <c r="F25" s="21" t="n">
        <f aca="false">SUMIFS('SKU Data'!$H$2:$H$1780,'SKU Data'!$D$2:$D$1780,$A25)</f>
        <v>3167.34</v>
      </c>
      <c r="G25" s="20" t="n">
        <f aca="false">IF(C25&gt;0,D25/C25,0)</f>
        <v>0.0451977401129944</v>
      </c>
      <c r="H25" s="20" t="n">
        <f aca="false">IF(E25&gt;0,F25/E25,0)</f>
        <v>0.045669136024625</v>
      </c>
      <c r="I25" s="20" t="n">
        <f aca="false">F25/Settings!$B$16</f>
        <v>0.00633001275499549</v>
      </c>
      <c r="J25" s="22" t="n">
        <f aca="false">F25/Settings!$B$20</f>
        <v>0.000245894541332862</v>
      </c>
      <c r="K25" s="28" t="n">
        <f aca="false">G25/Settings!$B$3</f>
        <v>1.45864324990106</v>
      </c>
      <c r="L25" s="29" t="n">
        <f aca="false">IF(C25&gt;0,(D25-C25*Settings!$B$3)/SQRT(C25*Settings!$B$3*(1-Settings!$B$3)),0)</f>
        <v>1.88990986401952</v>
      </c>
      <c r="M25" s="23" t="str">
        <f aca="false">IF(AND(C25&gt;=Settings!$B$4,D25&gt;=Settings!$B$5,L25&gt;=Settings!$B$6),"HIGH RATE",IF(AND(C25&gt;=Settings!$B$4,L25&lt;=-Settings!$B$6),"BEST-IN-CLASS",""))</f>
        <v/>
      </c>
      <c r="N25" s="31" t="s">
        <v>130</v>
      </c>
      <c r="O25" s="31" t="s">
        <v>131</v>
      </c>
      <c r="P25" s="31" t="s">
        <v>90</v>
      </c>
      <c r="Q25" s="32" t="n">
        <f aca="false">Settings!$B$3</f>
        <v>0.0309861510798204</v>
      </c>
    </row>
    <row r="26" customFormat="false" ht="61.5" hidden="false" customHeight="true" outlineLevel="0" collapsed="false">
      <c r="A26" s="18" t="s">
        <v>132</v>
      </c>
      <c r="B26" s="19" t="n">
        <f aca="false">COUNTIF('SKU Data'!$D$2:$D$1780,$A26)</f>
        <v>12</v>
      </c>
      <c r="C26" s="19" t="n">
        <f aca="false">SUMIFS('SKU Data'!$E$2:$E$1780,'SKU Data'!$D$2:$D$1780,$A26)</f>
        <v>8537</v>
      </c>
      <c r="D26" s="19" t="n">
        <f aca="false">SUMIFS('SKU Data'!$F$2:$F$1780,'SKU Data'!$D$2:$D$1780,$A26)</f>
        <v>490</v>
      </c>
      <c r="E26" s="21" t="n">
        <f aca="false">SUMIFS('SKU Data'!$G$2:$G$1780,'SKU Data'!$D$2:$D$1780,$A26)</f>
        <v>41445.15</v>
      </c>
      <c r="F26" s="21" t="n">
        <f aca="false">SUMIFS('SKU Data'!$H$2:$H$1780,'SKU Data'!$D$2:$D$1780,$A26)</f>
        <v>2446.9</v>
      </c>
      <c r="G26" s="20" t="n">
        <f aca="false">IF(C26&gt;0,D26/C26,0)</f>
        <v>0.0573972121354106</v>
      </c>
      <c r="H26" s="20" t="n">
        <f aca="false">IF(E26&gt;0,F26/E26,0)</f>
        <v>0.0590394774780644</v>
      </c>
      <c r="I26" s="20" t="n">
        <f aca="false">F26/Settings!$B$16</f>
        <v>0.00489019436189309</v>
      </c>
      <c r="J26" s="22" t="n">
        <f aca="false">F26/Settings!$B$20</f>
        <v>0.00018996361400651</v>
      </c>
      <c r="K26" s="28" t="n">
        <f aca="false">G26/Settings!$B$3</f>
        <v>1.85235048998358</v>
      </c>
      <c r="L26" s="29" t="n">
        <f aca="false">IF(C26&gt;0,(D26-C26*Settings!$B$3)/SQRT(C26*Settings!$B$3*(1-Settings!$B$3)),0)</f>
        <v>14.0828217038597</v>
      </c>
      <c r="M26" s="23" t="str">
        <f aca="false">IF(AND(C26&gt;=Settings!$B$4,D26&gt;=Settings!$B$5,L26&gt;=Settings!$B$6),"HIGH RATE",IF(AND(C26&gt;=Settings!$B$4,L26&lt;=-Settings!$B$6),"BEST-IN-CLASS",""))</f>
        <v>HIGH RATE</v>
      </c>
      <c r="N26" s="31" t="s">
        <v>133</v>
      </c>
      <c r="O26" s="31" t="s">
        <v>134</v>
      </c>
      <c r="P26" s="31" t="s">
        <v>135</v>
      </c>
      <c r="Q26" s="32" t="n">
        <f aca="false">Settings!$B$3</f>
        <v>0.0309861510798204</v>
      </c>
    </row>
    <row r="27" customFormat="false" ht="61.5" hidden="false" customHeight="true" outlineLevel="0" collapsed="false">
      <c r="A27" s="18" t="s">
        <v>136</v>
      </c>
      <c r="B27" s="19" t="n">
        <f aca="false">COUNTIF('SKU Data'!$D$2:$D$1780,$A27)</f>
        <v>3</v>
      </c>
      <c r="C27" s="19" t="n">
        <f aca="false">SUMIFS('SKU Data'!$E$2:$E$1780,'SKU Data'!$D$2:$D$1780,$A27)</f>
        <v>325</v>
      </c>
      <c r="D27" s="19" t="n">
        <f aca="false">SUMIFS('SKU Data'!$F$2:$F$1780,'SKU Data'!$D$2:$D$1780,$A27)</f>
        <v>22</v>
      </c>
      <c r="E27" s="21" t="n">
        <f aca="false">SUMIFS('SKU Data'!$G$2:$G$1780,'SKU Data'!$D$2:$D$1780,$A27)</f>
        <v>39213.73</v>
      </c>
      <c r="F27" s="21" t="n">
        <f aca="false">SUMIFS('SKU Data'!$H$2:$H$1780,'SKU Data'!$D$2:$D$1780,$A27)</f>
        <v>2376.04</v>
      </c>
      <c r="G27" s="20" t="n">
        <f aca="false">IF(C27&gt;0,D27/C27,0)</f>
        <v>0.0676923076923077</v>
      </c>
      <c r="H27" s="20" t="n">
        <f aca="false">IF(E27&gt;0,F27/E27,0)</f>
        <v>0.0605920426340468</v>
      </c>
      <c r="I27" s="20" t="n">
        <f aca="false">F27/Settings!$B$16</f>
        <v>0.00474857877789548</v>
      </c>
      <c r="J27" s="22" t="n">
        <f aca="false">F27/Settings!$B$20</f>
        <v>0.000184462440403788</v>
      </c>
      <c r="K27" s="28" t="n">
        <f aca="false">G27/Settings!$B$3</f>
        <v>2.18459877504412</v>
      </c>
      <c r="L27" s="29" t="n">
        <f aca="false">IF(C27&gt;0,(D27-C27*Settings!$B$3)/SQRT(C27*Settings!$B$3*(1-Settings!$B$3)),0)</f>
        <v>3.8188428303339</v>
      </c>
      <c r="M27" s="23" t="str">
        <f aca="false">IF(AND(C27&gt;=Settings!$B$4,D27&gt;=Settings!$B$5,L27&gt;=Settings!$B$6),"HIGH RATE",IF(AND(C27&gt;=Settings!$B$4,L27&lt;=-Settings!$B$6),"BEST-IN-CLASS",""))</f>
        <v>HIGH RATE</v>
      </c>
      <c r="N27" s="31" t="s">
        <v>137</v>
      </c>
      <c r="O27" s="31" t="s">
        <v>138</v>
      </c>
      <c r="P27" s="31" t="s">
        <v>90</v>
      </c>
      <c r="Q27" s="32" t="n">
        <f aca="false">Settings!$B$3</f>
        <v>0.0309861510798204</v>
      </c>
    </row>
    <row r="28" customFormat="false" ht="61.5" hidden="false" customHeight="true" outlineLevel="0" collapsed="false">
      <c r="A28" s="18" t="s">
        <v>139</v>
      </c>
      <c r="B28" s="19" t="n">
        <f aca="false">COUNTIF('SKU Data'!$D$2:$D$1780,$A28)</f>
        <v>11</v>
      </c>
      <c r="C28" s="19" t="n">
        <f aca="false">SUMIFS('SKU Data'!$E$2:$E$1780,'SKU Data'!$D$2:$D$1780,$A28)</f>
        <v>1848</v>
      </c>
      <c r="D28" s="19" t="n">
        <f aca="false">SUMIFS('SKU Data'!$F$2:$F$1780,'SKU Data'!$D$2:$D$1780,$A28)</f>
        <v>63</v>
      </c>
      <c r="E28" s="21" t="n">
        <f aca="false">SUMIFS('SKU Data'!$G$2:$G$1780,'SKU Data'!$D$2:$D$1780,$A28)</f>
        <v>68922.99</v>
      </c>
      <c r="F28" s="21" t="n">
        <f aca="false">SUMIFS('SKU Data'!$H$2:$H$1780,'SKU Data'!$D$2:$D$1780,$A28)</f>
        <v>2228.78</v>
      </c>
      <c r="G28" s="20" t="n">
        <f aca="false">IF(C28&gt;0,D28/C28,0)</f>
        <v>0.0340909090909091</v>
      </c>
      <c r="H28" s="20" t="n">
        <f aca="false">IF(E28&gt;0,F28/E28,0)</f>
        <v>0.0323372506038986</v>
      </c>
      <c r="I28" s="20" t="n">
        <f aca="false">F28/Settings!$B$16</f>
        <v>0.00445427577338677</v>
      </c>
      <c r="J28" s="22" t="n">
        <f aca="false">F28/Settings!$B$20</f>
        <v>0.000173029998620879</v>
      </c>
      <c r="K28" s="28" t="n">
        <f aca="false">G28/Settings!$B$3</f>
        <v>1.10019824672935</v>
      </c>
      <c r="L28" s="29" t="n">
        <f aca="false">IF(C28&gt;0,(D28-C28*Settings!$B$3)/SQRT(C28*Settings!$B$3*(1-Settings!$B$3)),0)</f>
        <v>0.770246849825687</v>
      </c>
      <c r="M28" s="23" t="str">
        <f aca="false">IF(AND(C28&gt;=Settings!$B$4,D28&gt;=Settings!$B$5,L28&gt;=Settings!$B$6),"HIGH RATE",IF(AND(C28&gt;=Settings!$B$4,L28&lt;=-Settings!$B$6),"BEST-IN-CLASS",""))</f>
        <v/>
      </c>
      <c r="N28" s="31" t="s">
        <v>140</v>
      </c>
      <c r="O28" s="31" t="s">
        <v>141</v>
      </c>
      <c r="P28" s="31" t="s">
        <v>90</v>
      </c>
      <c r="Q28" s="32" t="n">
        <f aca="false">Settings!$B$3</f>
        <v>0.0309861510798204</v>
      </c>
    </row>
    <row r="29" customFormat="false" ht="61.5" hidden="false" customHeight="true" outlineLevel="0" collapsed="false">
      <c r="A29" s="18" t="s">
        <v>142</v>
      </c>
      <c r="B29" s="19" t="n">
        <f aca="false">COUNTIF('SKU Data'!$D$2:$D$1780,$A29)</f>
        <v>5</v>
      </c>
      <c r="C29" s="19" t="n">
        <f aca="false">SUMIFS('SKU Data'!$E$2:$E$1780,'SKU Data'!$D$2:$D$1780,$A29)</f>
        <v>1002</v>
      </c>
      <c r="D29" s="19" t="n">
        <f aca="false">SUMIFS('SKU Data'!$F$2:$F$1780,'SKU Data'!$D$2:$D$1780,$A29)</f>
        <v>41</v>
      </c>
      <c r="E29" s="21" t="n">
        <f aca="false">SUMIFS('SKU Data'!$G$2:$G$1780,'SKU Data'!$D$2:$D$1780,$A29)</f>
        <v>53657.95</v>
      </c>
      <c r="F29" s="21" t="n">
        <f aca="false">SUMIFS('SKU Data'!$H$2:$H$1780,'SKU Data'!$D$2:$D$1780,$A29)</f>
        <v>1877.95</v>
      </c>
      <c r="G29" s="20" t="n">
        <f aca="false">IF(C29&gt;0,D29/C29,0)</f>
        <v>0.0409181636726547</v>
      </c>
      <c r="H29" s="20" t="n">
        <f aca="false">IF(E29&gt;0,F29/E29,0)</f>
        <v>0.0349985416886035</v>
      </c>
      <c r="I29" s="20" t="n">
        <f aca="false">F29/Settings!$B$16</f>
        <v>0.00375313274016802</v>
      </c>
      <c r="J29" s="22" t="n">
        <f aca="false">F29/Settings!$B$20</f>
        <v>0.000145793521976184</v>
      </c>
      <c r="K29" s="28" t="n">
        <f aca="false">G29/Settings!$B$3</f>
        <v>1.32053069667315</v>
      </c>
      <c r="L29" s="29" t="n">
        <f aca="false">IF(C29&gt;0,(D29-C29*Settings!$B$3)/SQRT(C29*Settings!$B$3*(1-Settings!$B$3)),0)</f>
        <v>1.81435519809661</v>
      </c>
      <c r="M29" s="23" t="str">
        <f aca="false">IF(AND(C29&gt;=Settings!$B$4,D29&gt;=Settings!$B$5,L29&gt;=Settings!$B$6),"HIGH RATE",IF(AND(C29&gt;=Settings!$B$4,L29&lt;=-Settings!$B$6),"BEST-IN-CLASS",""))</f>
        <v/>
      </c>
      <c r="N29" s="31" t="s">
        <v>143</v>
      </c>
      <c r="O29" s="31" t="s">
        <v>144</v>
      </c>
      <c r="P29" s="31" t="s">
        <v>90</v>
      </c>
      <c r="Q29" s="32" t="n">
        <f aca="false">Settings!$B$3</f>
        <v>0.0309861510798204</v>
      </c>
    </row>
    <row r="30" customFormat="false" ht="61.5" hidden="false" customHeight="true" outlineLevel="0" collapsed="false">
      <c r="A30" s="18" t="s">
        <v>145</v>
      </c>
      <c r="B30" s="19" t="n">
        <f aca="false">COUNTIF('SKU Data'!$D$2:$D$1780,$A30)</f>
        <v>6</v>
      </c>
      <c r="C30" s="19" t="n">
        <f aca="false">SUMIFS('SKU Data'!$E$2:$E$1780,'SKU Data'!$D$2:$D$1780,$A30)</f>
        <v>630</v>
      </c>
      <c r="D30" s="19" t="n">
        <f aca="false">SUMIFS('SKU Data'!$F$2:$F$1780,'SKU Data'!$D$2:$D$1780,$A30)</f>
        <v>15</v>
      </c>
      <c r="E30" s="21" t="n">
        <f aca="false">SUMIFS('SKU Data'!$G$2:$G$1780,'SKU Data'!$D$2:$D$1780,$A30)</f>
        <v>67618.83</v>
      </c>
      <c r="F30" s="21" t="n">
        <f aca="false">SUMIFS('SKU Data'!$H$2:$H$1780,'SKU Data'!$D$2:$D$1780,$A30)</f>
        <v>1842.3</v>
      </c>
      <c r="G30" s="20" t="n">
        <f aca="false">IF(C30&gt;0,D30/C30,0)</f>
        <v>0.0238095238095238</v>
      </c>
      <c r="H30" s="20" t="n">
        <f aca="false">IF(E30&gt;0,F30/E30,0)</f>
        <v>0.0272453693741817</v>
      </c>
      <c r="I30" s="20" t="n">
        <f aca="false">F30/Settings!$B$16</f>
        <v>0.00368188527235099</v>
      </c>
      <c r="J30" s="22" t="n">
        <f aca="false">F30/Settings!$B$20</f>
        <v>0.000143025855606765</v>
      </c>
      <c r="K30" s="28" t="n">
        <f aca="false">G30/Settings!$B$3</f>
        <v>0.768392426287163</v>
      </c>
      <c r="L30" s="29" t="n">
        <f aca="false">IF(C30&gt;0,(D30-C30*Settings!$B$3)/SQRT(C30*Settings!$B$3*(1-Settings!$B$3)),0)</f>
        <v>-1.03954156007038</v>
      </c>
      <c r="M30" s="23" t="str">
        <f aca="false">IF(AND(C30&gt;=Settings!$B$4,D30&gt;=Settings!$B$5,L30&gt;=Settings!$B$6),"HIGH RATE",IF(AND(C30&gt;=Settings!$B$4,L30&lt;=-Settings!$B$6),"BEST-IN-CLASS",""))</f>
        <v/>
      </c>
      <c r="N30" s="31" t="s">
        <v>146</v>
      </c>
      <c r="O30" s="31" t="s">
        <v>147</v>
      </c>
      <c r="P30" s="31" t="s">
        <v>90</v>
      </c>
      <c r="Q30" s="32" t="n">
        <f aca="false">Settings!$B$3</f>
        <v>0.0309861510798204</v>
      </c>
    </row>
    <row r="31" customFormat="false" ht="61.5" hidden="false" customHeight="true" outlineLevel="0" collapsed="false">
      <c r="A31" s="18" t="s">
        <v>148</v>
      </c>
      <c r="B31" s="19" t="n">
        <f aca="false">COUNTIF('SKU Data'!$D$2:$D$1780,$A31)</f>
        <v>15</v>
      </c>
      <c r="C31" s="19" t="n">
        <f aca="false">SUMIFS('SKU Data'!$E$2:$E$1780,'SKU Data'!$D$2:$D$1780,$A31)</f>
        <v>1271</v>
      </c>
      <c r="D31" s="19" t="n">
        <f aca="false">SUMIFS('SKU Data'!$F$2:$F$1780,'SKU Data'!$D$2:$D$1780,$A31)</f>
        <v>24</v>
      </c>
      <c r="E31" s="21" t="n">
        <f aca="false">SUMIFS('SKU Data'!$G$2:$G$1780,'SKU Data'!$D$2:$D$1780,$A31)</f>
        <v>107812.57</v>
      </c>
      <c r="F31" s="21" t="n">
        <f aca="false">SUMIFS('SKU Data'!$H$2:$H$1780,'SKU Data'!$D$2:$D$1780,$A31)</f>
        <v>1765.25</v>
      </c>
      <c r="G31" s="20" t="n">
        <f aca="false">IF(C31&gt;0,D31/C31,0)</f>
        <v>0.018882769472856</v>
      </c>
      <c r="H31" s="20" t="n">
        <f aca="false">IF(E31&gt;0,F31/E31,0)</f>
        <v>0.0163733227025383</v>
      </c>
      <c r="I31" s="20" t="n">
        <f aca="false">F31/Settings!$B$16</f>
        <v>0.00352789880964967</v>
      </c>
      <c r="J31" s="22" t="n">
        <f aca="false">F31/Settings!$B$20</f>
        <v>0.000137044125066407</v>
      </c>
      <c r="K31" s="28" t="n">
        <f aca="false">G31/Settings!$B$3</f>
        <v>0.609393836111299</v>
      </c>
      <c r="L31" s="29" t="n">
        <f aca="false">IF(C31&gt;0,(D31-C31*Settings!$B$3)/SQRT(C31*Settings!$B$3*(1-Settings!$B$3)),0)</f>
        <v>-2.49017972420908</v>
      </c>
      <c r="M31" s="23" t="str">
        <f aca="false">IF(AND(C31&gt;=Settings!$B$4,D31&gt;=Settings!$B$5,L31&gt;=Settings!$B$6),"HIGH RATE",IF(AND(C31&gt;=Settings!$B$4,L31&lt;=-Settings!$B$6),"BEST-IN-CLASS",""))</f>
        <v/>
      </c>
      <c r="N31" s="31" t="s">
        <v>149</v>
      </c>
      <c r="O31" s="31" t="s">
        <v>150</v>
      </c>
      <c r="P31" s="31" t="s">
        <v>90</v>
      </c>
      <c r="Q31" s="32" t="n">
        <f aca="false">Settings!$B$3</f>
        <v>0.0309861510798204</v>
      </c>
    </row>
    <row r="32" customFormat="false" ht="61.5" hidden="false" customHeight="true" outlineLevel="0" collapsed="false">
      <c r="A32" s="18" t="s">
        <v>151</v>
      </c>
      <c r="B32" s="19" t="n">
        <f aca="false">COUNTIF('SKU Data'!$D$2:$D$1780,$A32)</f>
        <v>13</v>
      </c>
      <c r="C32" s="19" t="n">
        <f aca="false">SUMIFS('SKU Data'!$E$2:$E$1780,'SKU Data'!$D$2:$D$1780,$A32)</f>
        <v>484</v>
      </c>
      <c r="D32" s="19" t="n">
        <f aca="false">SUMIFS('SKU Data'!$F$2:$F$1780,'SKU Data'!$D$2:$D$1780,$A32)</f>
        <v>15</v>
      </c>
      <c r="E32" s="21" t="n">
        <f aca="false">SUMIFS('SKU Data'!$G$2:$G$1780,'SKU Data'!$D$2:$D$1780,$A32)</f>
        <v>48392.19</v>
      </c>
      <c r="F32" s="21" t="n">
        <f aca="false">SUMIFS('SKU Data'!$H$2:$H$1780,'SKU Data'!$D$2:$D$1780,$A32)</f>
        <v>1470.66</v>
      </c>
      <c r="G32" s="20" t="n">
        <f aca="false">IF(C32&gt;0,D32/C32,0)</f>
        <v>0.0309917355371901</v>
      </c>
      <c r="H32" s="20" t="n">
        <f aca="false">IF(E32&gt;0,F32/E32,0)</f>
        <v>0.0303904411021696</v>
      </c>
      <c r="I32" s="20" t="n">
        <f aca="false">F32/Settings!$B$16</f>
        <v>0.00293915290378098</v>
      </c>
      <c r="J32" s="22" t="n">
        <f aca="false">F32/Settings!$B$20</f>
        <v>0.000114173807092572</v>
      </c>
      <c r="K32" s="28" t="n">
        <f aca="false">G32/Settings!$B$3</f>
        <v>1.00018022429941</v>
      </c>
      <c r="L32" s="29" t="n">
        <f aca="false">IF(C32&gt;0,(D32-C32*Settings!$B$3)/SQRT(C32*Settings!$B$3*(1-Settings!$B$3)),0)</f>
        <v>0.000709014067093652</v>
      </c>
      <c r="M32" s="23" t="str">
        <f aca="false">IF(AND(C32&gt;=Settings!$B$4,D32&gt;=Settings!$B$5,L32&gt;=Settings!$B$6),"HIGH RATE",IF(AND(C32&gt;=Settings!$B$4,L32&lt;=-Settings!$B$6),"BEST-IN-CLASS",""))</f>
        <v/>
      </c>
      <c r="N32" s="31" t="s">
        <v>152</v>
      </c>
      <c r="O32" s="31" t="s">
        <v>153</v>
      </c>
      <c r="P32" s="31" t="s">
        <v>90</v>
      </c>
      <c r="Q32" s="32" t="n">
        <f aca="false">Settings!$B$3</f>
        <v>0.0309861510798204</v>
      </c>
    </row>
    <row r="33" customFormat="false" ht="61.5" hidden="false" customHeight="true" outlineLevel="0" collapsed="false">
      <c r="A33" s="18" t="s">
        <v>154</v>
      </c>
      <c r="B33" s="19" t="n">
        <f aca="false">COUNTIF('SKU Data'!$D$2:$D$1780,$A33)</f>
        <v>4</v>
      </c>
      <c r="C33" s="19" t="n">
        <f aca="false">SUMIFS('SKU Data'!$E$2:$E$1780,'SKU Data'!$D$2:$D$1780,$A33)</f>
        <v>2946</v>
      </c>
      <c r="D33" s="19" t="n">
        <f aca="false">SUMIFS('SKU Data'!$F$2:$F$1780,'SKU Data'!$D$2:$D$1780,$A33)</f>
        <v>154</v>
      </c>
      <c r="E33" s="21" t="n">
        <f aca="false">SUMIFS('SKU Data'!$G$2:$G$1780,'SKU Data'!$D$2:$D$1780,$A33)</f>
        <v>29393.26</v>
      </c>
      <c r="F33" s="21" t="n">
        <f aca="false">SUMIFS('SKU Data'!$H$2:$H$1780,'SKU Data'!$D$2:$D$1780,$A33)</f>
        <v>1405.91</v>
      </c>
      <c r="G33" s="20" t="n">
        <f aca="false">IF(C33&gt;0,D33/C33,0)</f>
        <v>0.0522742701968771</v>
      </c>
      <c r="H33" s="20" t="n">
        <f aca="false">IF(E33&gt;0,F33/E33,0)</f>
        <v>0.0478310333729569</v>
      </c>
      <c r="I33" s="20" t="n">
        <f aca="false">F33/Settings!$B$16</f>
        <v>0.00280974831637137</v>
      </c>
      <c r="J33" s="22" t="n">
        <f aca="false">F33/Settings!$B$20</f>
        <v>0.000109146979675464</v>
      </c>
      <c r="K33" s="28" t="n">
        <f aca="false">G33/Settings!$B$3</f>
        <v>1.6870204389767</v>
      </c>
      <c r="L33" s="29" t="n">
        <f aca="false">IF(C33&gt;0,(D33-C33*Settings!$B$3)/SQRT(C33*Settings!$B$3*(1-Settings!$B$3)),0)</f>
        <v>6.66814221829835</v>
      </c>
      <c r="M33" s="23" t="str">
        <f aca="false">IF(AND(C33&gt;=Settings!$B$4,D33&gt;=Settings!$B$5,L33&gt;=Settings!$B$6),"HIGH RATE",IF(AND(C33&gt;=Settings!$B$4,L33&lt;=-Settings!$B$6),"BEST-IN-CLASS",""))</f>
        <v>HIGH RATE</v>
      </c>
      <c r="N33" s="31" t="s">
        <v>155</v>
      </c>
      <c r="O33" s="31" t="s">
        <v>156</v>
      </c>
      <c r="P33" s="31" t="s">
        <v>157</v>
      </c>
      <c r="Q33" s="32" t="n">
        <f aca="false">Settings!$B$3</f>
        <v>0.0309861510798204</v>
      </c>
    </row>
    <row r="34" customFormat="false" ht="61.5" hidden="false" customHeight="true" outlineLevel="0" collapsed="false">
      <c r="A34" s="18" t="s">
        <v>158</v>
      </c>
      <c r="B34" s="19" t="n">
        <f aca="false">COUNTIF('SKU Data'!$D$2:$D$1780,$A34)</f>
        <v>2</v>
      </c>
      <c r="C34" s="19" t="n">
        <f aca="false">SUMIFS('SKU Data'!$E$2:$E$1780,'SKU Data'!$D$2:$D$1780,$A34)</f>
        <v>8369</v>
      </c>
      <c r="D34" s="19" t="n">
        <f aca="false">SUMIFS('SKU Data'!$F$2:$F$1780,'SKU Data'!$D$2:$D$1780,$A34)</f>
        <v>330</v>
      </c>
      <c r="E34" s="21" t="n">
        <f aca="false">SUMIFS('SKU Data'!$G$2:$G$1780,'SKU Data'!$D$2:$D$1780,$A34)</f>
        <v>31736.25</v>
      </c>
      <c r="F34" s="21" t="n">
        <f aca="false">SUMIFS('SKU Data'!$H$2:$H$1780,'SKU Data'!$D$2:$D$1780,$A34)</f>
        <v>1193.02</v>
      </c>
      <c r="G34" s="20" t="n">
        <f aca="false">IF(C34&gt;0,D34/C34,0)</f>
        <v>0.0394312343171227</v>
      </c>
      <c r="H34" s="20" t="n">
        <f aca="false">IF(E34&gt;0,F34/E34,0)</f>
        <v>0.0375917129465517</v>
      </c>
      <c r="I34" s="20" t="n">
        <f aca="false">F34/Settings!$B$16</f>
        <v>0.00238428202118014</v>
      </c>
      <c r="J34" s="22" t="n">
        <f aca="false">F34/Settings!$B$20</f>
        <v>9.26193922032149E-005</v>
      </c>
      <c r="K34" s="28" t="n">
        <f aca="false">G34/Settings!$B$3</f>
        <v>1.27254379595413</v>
      </c>
      <c r="L34" s="29" t="n">
        <f aca="false">IF(C34&gt;0,(D34-C34*Settings!$B$3)/SQRT(C34*Settings!$B$3*(1-Settings!$B$3)),0)</f>
        <v>4.45853221947557</v>
      </c>
      <c r="M34" s="23" t="str">
        <f aca="false">IF(AND(C34&gt;=Settings!$B$4,D34&gt;=Settings!$B$5,L34&gt;=Settings!$B$6),"HIGH RATE",IF(AND(C34&gt;=Settings!$B$4,L34&lt;=-Settings!$B$6),"BEST-IN-CLASS",""))</f>
        <v>HIGH RATE</v>
      </c>
      <c r="N34" s="31" t="s">
        <v>159</v>
      </c>
      <c r="O34" s="31" t="s">
        <v>160</v>
      </c>
      <c r="P34" s="31" t="s">
        <v>161</v>
      </c>
      <c r="Q34" s="32" t="n">
        <f aca="false">Settings!$B$3</f>
        <v>0.0309861510798204</v>
      </c>
    </row>
    <row r="35" customFormat="false" ht="61.5" hidden="false" customHeight="true" outlineLevel="0" collapsed="false">
      <c r="A35" s="18" t="s">
        <v>162</v>
      </c>
      <c r="B35" s="19" t="n">
        <f aca="false">COUNTIF('SKU Data'!$D$2:$D$1780,$A35)</f>
        <v>42</v>
      </c>
      <c r="C35" s="19" t="n">
        <f aca="false">SUMIFS('SKU Data'!$E$2:$E$1780,'SKU Data'!$D$2:$D$1780,$A35)</f>
        <v>789</v>
      </c>
      <c r="D35" s="19" t="n">
        <f aca="false">SUMIFS('SKU Data'!$F$2:$F$1780,'SKU Data'!$D$2:$D$1780,$A35)</f>
        <v>12</v>
      </c>
      <c r="E35" s="21" t="n">
        <f aca="false">SUMIFS('SKU Data'!$G$2:$G$1780,'SKU Data'!$D$2:$D$1780,$A35)</f>
        <v>63399.09</v>
      </c>
      <c r="F35" s="21" t="n">
        <f aca="false">SUMIFS('SKU Data'!$H$2:$H$1780,'SKU Data'!$D$2:$D$1780,$A35)</f>
        <v>1134.36</v>
      </c>
      <c r="G35" s="20" t="n">
        <f aca="false">IF(C35&gt;0,D35/C35,0)</f>
        <v>0.0152091254752852</v>
      </c>
      <c r="H35" s="20" t="n">
        <f aca="false">IF(E35&gt;0,F35/E35,0)</f>
        <v>0.0178923703794487</v>
      </c>
      <c r="I35" s="20" t="n">
        <f aca="false">F35/Settings!$B$16</f>
        <v>0.0022670484598296</v>
      </c>
      <c r="J35" s="22" t="n">
        <f aca="false">F35/Settings!$B$20</f>
        <v>8.8065358283716E-005</v>
      </c>
      <c r="K35" s="28" t="n">
        <f aca="false">G35/Settings!$B$3</f>
        <v>0.490836226677732</v>
      </c>
      <c r="L35" s="29" t="n">
        <f aca="false">IF(C35&gt;0,(D35-C35*Settings!$B$3)/SQRT(C35*Settings!$B$3*(1-Settings!$B$3)),0)</f>
        <v>-2.55749517457138</v>
      </c>
      <c r="M35" s="23" t="str">
        <f aca="false">IF(AND(C35&gt;=Settings!$B$4,D35&gt;=Settings!$B$5,L35&gt;=Settings!$B$6),"HIGH RATE",IF(AND(C35&gt;=Settings!$B$4,L35&lt;=-Settings!$B$6),"BEST-IN-CLASS",""))</f>
        <v/>
      </c>
      <c r="N35" s="31" t="s">
        <v>163</v>
      </c>
      <c r="O35" s="31" t="s">
        <v>164</v>
      </c>
      <c r="P35" s="31" t="s">
        <v>90</v>
      </c>
      <c r="Q35" s="32" t="n">
        <f aca="false">Settings!$B$3</f>
        <v>0.0309861510798204</v>
      </c>
    </row>
    <row r="36" customFormat="false" ht="61.5" hidden="false" customHeight="true" outlineLevel="0" collapsed="false">
      <c r="A36" s="18" t="s">
        <v>165</v>
      </c>
      <c r="B36" s="19" t="n">
        <f aca="false">COUNTIF('SKU Data'!$D$2:$D$1780,$A36)</f>
        <v>4</v>
      </c>
      <c r="C36" s="19" t="n">
        <f aca="false">SUMIFS('SKU Data'!$E$2:$E$1780,'SKU Data'!$D$2:$D$1780,$A36)</f>
        <v>158</v>
      </c>
      <c r="D36" s="19" t="n">
        <f aca="false">SUMIFS('SKU Data'!$F$2:$F$1780,'SKU Data'!$D$2:$D$1780,$A36)</f>
        <v>6</v>
      </c>
      <c r="E36" s="21" t="n">
        <f aca="false">SUMIFS('SKU Data'!$G$2:$G$1780,'SKU Data'!$D$2:$D$1780,$A36)</f>
        <v>27011.77</v>
      </c>
      <c r="F36" s="21" t="n">
        <f aca="false">SUMIFS('SKU Data'!$H$2:$H$1780,'SKU Data'!$D$2:$D$1780,$A36)</f>
        <v>921.02</v>
      </c>
      <c r="G36" s="20" t="n">
        <f aca="false">IF(C36&gt;0,D36/C36,0)</f>
        <v>0.0379746835443038</v>
      </c>
      <c r="H36" s="20" t="n">
        <f aca="false">IF(E36&gt;0,F36/E36,0)</f>
        <v>0.0340969880907471</v>
      </c>
      <c r="I36" s="20" t="n">
        <f aca="false">F36/Settings!$B$16</f>
        <v>0.00184068282773745</v>
      </c>
      <c r="J36" s="22" t="n">
        <f aca="false">F36/Settings!$B$20</f>
        <v>7.15028353313482E-005</v>
      </c>
      <c r="K36" s="28" t="n">
        <f aca="false">G36/Settings!$B$3</f>
        <v>1.22553728749598</v>
      </c>
      <c r="L36" s="29" t="n">
        <f aca="false">IF(C36&gt;0,(D36-C36*Settings!$B$3)/SQRT(C36*Settings!$B$3*(1-Settings!$B$3)),0)</f>
        <v>0.506950693462863</v>
      </c>
      <c r="M36" s="23" t="str">
        <f aca="false">IF(AND(C36&gt;=Settings!$B$4,D36&gt;=Settings!$B$5,L36&gt;=Settings!$B$6),"HIGH RATE",IF(AND(C36&gt;=Settings!$B$4,L36&lt;=-Settings!$B$6),"BEST-IN-CLASS",""))</f>
        <v/>
      </c>
      <c r="N36" s="31" t="s">
        <v>166</v>
      </c>
      <c r="O36" s="31" t="s">
        <v>167</v>
      </c>
      <c r="P36" s="31" t="s">
        <v>90</v>
      </c>
      <c r="Q36" s="32" t="n">
        <f aca="false">Settings!$B$3</f>
        <v>0.0309861510798204</v>
      </c>
    </row>
    <row r="37" customFormat="false" ht="61.5" hidden="false" customHeight="true" outlineLevel="0" collapsed="false">
      <c r="A37" s="18" t="s">
        <v>168</v>
      </c>
      <c r="B37" s="19" t="n">
        <f aca="false">COUNTIF('SKU Data'!$D$2:$D$1780,$A37)</f>
        <v>8</v>
      </c>
      <c r="C37" s="19" t="n">
        <f aca="false">SUMIFS('SKU Data'!$E$2:$E$1780,'SKU Data'!$D$2:$D$1780,$A37)</f>
        <v>753</v>
      </c>
      <c r="D37" s="19" t="n">
        <f aca="false">SUMIFS('SKU Data'!$F$2:$F$1780,'SKU Data'!$D$2:$D$1780,$A37)</f>
        <v>8</v>
      </c>
      <c r="E37" s="21" t="n">
        <f aca="false">SUMIFS('SKU Data'!$G$2:$G$1780,'SKU Data'!$D$2:$D$1780,$A37)</f>
        <v>54718.47</v>
      </c>
      <c r="F37" s="21" t="n">
        <f aca="false">SUMIFS('SKU Data'!$H$2:$H$1780,'SKU Data'!$D$2:$D$1780,$A37)</f>
        <v>761.32</v>
      </c>
      <c r="G37" s="20" t="n">
        <f aca="false">IF(C37&gt;0,D37/C37,0)</f>
        <v>0.0106241699867198</v>
      </c>
      <c r="H37" s="20" t="n">
        <f aca="false">IF(E37&gt;0,F37/E37,0)</f>
        <v>0.0139134007219135</v>
      </c>
      <c r="I37" s="20" t="n">
        <f aca="false">F37/Settings!$B$16</f>
        <v>0.00152151815423452</v>
      </c>
      <c r="J37" s="22" t="n">
        <f aca="false">F37/Settings!$B$20</f>
        <v>5.91046216091529E-005</v>
      </c>
      <c r="K37" s="28" t="n">
        <f aca="false">G37/Settings!$B$3</f>
        <v>0.342868333642081</v>
      </c>
      <c r="L37" s="29" t="n">
        <f aca="false">IF(C37&gt;0,(D37-C37*Settings!$B$3)/SQRT(C37*Settings!$B$3*(1-Settings!$B$3)),0)</f>
        <v>-3.22454698145062</v>
      </c>
      <c r="M37" s="23" t="str">
        <f aca="false">IF(AND(C37&gt;=Settings!$B$4,D37&gt;=Settings!$B$5,L37&gt;=Settings!$B$6),"HIGH RATE",IF(AND(C37&gt;=Settings!$B$4,L37&lt;=-Settings!$B$6),"BEST-IN-CLASS",""))</f>
        <v>BEST-IN-CLASS</v>
      </c>
      <c r="N37" s="31" t="s">
        <v>169</v>
      </c>
      <c r="O37" s="31" t="s">
        <v>170</v>
      </c>
      <c r="P37" s="31" t="s">
        <v>106</v>
      </c>
      <c r="Q37" s="32" t="n">
        <f aca="false">Settings!$B$3</f>
        <v>0.0309861510798204</v>
      </c>
    </row>
    <row r="38" customFormat="false" ht="61.5" hidden="false" customHeight="true" outlineLevel="0" collapsed="false">
      <c r="A38" s="18" t="s">
        <v>171</v>
      </c>
      <c r="B38" s="19" t="n">
        <f aca="false">COUNTIF('SKU Data'!$D$2:$D$1780,$A38)</f>
        <v>2</v>
      </c>
      <c r="C38" s="19" t="n">
        <f aca="false">SUMIFS('SKU Data'!$E$2:$E$1780,'SKU Data'!$D$2:$D$1780,$A38)</f>
        <v>499</v>
      </c>
      <c r="D38" s="19" t="n">
        <f aca="false">SUMIFS('SKU Data'!$F$2:$F$1780,'SKU Data'!$D$2:$D$1780,$A38)</f>
        <v>8</v>
      </c>
      <c r="E38" s="21" t="n">
        <f aca="false">SUMIFS('SKU Data'!$G$2:$G$1780,'SKU Data'!$D$2:$D$1780,$A38)</f>
        <v>45617.12</v>
      </c>
      <c r="F38" s="21" t="n">
        <f aca="false">SUMIFS('SKU Data'!$H$2:$H$1780,'SKU Data'!$D$2:$D$1780,$A38)</f>
        <v>709.45</v>
      </c>
      <c r="G38" s="20" t="n">
        <f aca="false">IF(C38&gt;0,D38/C38,0)</f>
        <v>0.0160320641282565</v>
      </c>
      <c r="H38" s="20" t="n">
        <f aca="false">IF(E38&gt;0,F38/E38,0)</f>
        <v>0.0155522751107479</v>
      </c>
      <c r="I38" s="20" t="n">
        <f aca="false">F38/Settings!$B$16</f>
        <v>0.00141785458745558</v>
      </c>
      <c r="J38" s="22" t="n">
        <f aca="false">F38/Settings!$B$20</f>
        <v>5.5077725267448E-005</v>
      </c>
      <c r="K38" s="28" t="n">
        <f aca="false">G38/Settings!$B$3</f>
        <v>0.517394499463901</v>
      </c>
      <c r="L38" s="29" t="n">
        <f aca="false">IF(C38&gt;0,(D38-C38*Settings!$B$3)/SQRT(C38*Settings!$B$3*(1-Settings!$B$3)),0)</f>
        <v>-1.92779728978091</v>
      </c>
      <c r="M38" s="23" t="str">
        <f aca="false">IF(AND(C38&gt;=Settings!$B$4,D38&gt;=Settings!$B$5,L38&gt;=Settings!$B$6),"HIGH RATE",IF(AND(C38&gt;=Settings!$B$4,L38&lt;=-Settings!$B$6),"BEST-IN-CLASS",""))</f>
        <v/>
      </c>
      <c r="N38" s="31" t="s">
        <v>172</v>
      </c>
      <c r="O38" s="31" t="s">
        <v>173</v>
      </c>
      <c r="P38" s="31" t="s">
        <v>90</v>
      </c>
      <c r="Q38" s="32" t="n">
        <f aca="false">Settings!$B$3</f>
        <v>0.0309861510798204</v>
      </c>
    </row>
    <row r="39" customFormat="false" ht="61.5" hidden="false" customHeight="true" outlineLevel="0" collapsed="false">
      <c r="A39" s="18" t="s">
        <v>174</v>
      </c>
      <c r="B39" s="19" t="n">
        <f aca="false">COUNTIF('SKU Data'!$D$2:$D$1780,$A39)</f>
        <v>12</v>
      </c>
      <c r="C39" s="19" t="n">
        <f aca="false">SUMIFS('SKU Data'!$E$2:$E$1780,'SKU Data'!$D$2:$D$1780,$A39)</f>
        <v>423</v>
      </c>
      <c r="D39" s="19" t="n">
        <f aca="false">SUMIFS('SKU Data'!$F$2:$F$1780,'SKU Data'!$D$2:$D$1780,$A39)</f>
        <v>5</v>
      </c>
      <c r="E39" s="21" t="n">
        <f aca="false">SUMIFS('SKU Data'!$G$2:$G$1780,'SKU Data'!$D$2:$D$1780,$A39)</f>
        <v>53408.85</v>
      </c>
      <c r="F39" s="21" t="n">
        <f aca="false">SUMIFS('SKU Data'!$H$2:$H$1780,'SKU Data'!$D$2:$D$1780,$A39)</f>
        <v>654.75</v>
      </c>
      <c r="G39" s="20" t="n">
        <f aca="false">IF(C39&gt;0,D39/C39,0)</f>
        <v>0.0118203309692671</v>
      </c>
      <c r="H39" s="20" t="n">
        <f aca="false">IF(E39&gt;0,F39/E39,0)</f>
        <v>0.0122592042330063</v>
      </c>
      <c r="I39" s="20" t="n">
        <f aca="false">F39/Settings!$B$16</f>
        <v>0.0013085351908331</v>
      </c>
      <c r="J39" s="22" t="n">
        <f aca="false">F39/Settings!$B$20</f>
        <v>5.08311235729954E-005</v>
      </c>
      <c r="K39" s="28" t="n">
        <f aca="false">G39/Settings!$B$3</f>
        <v>0.381471417305684</v>
      </c>
      <c r="L39" s="29" t="n">
        <f aca="false">IF(C39&gt;0,(D39-C39*Settings!$B$3)/SQRT(C39*Settings!$B$3*(1-Settings!$B$3)),0)</f>
        <v>-2.27482913708523</v>
      </c>
      <c r="M39" s="23" t="str">
        <f aca="false">IF(AND(C39&gt;=Settings!$B$4,D39&gt;=Settings!$B$5,L39&gt;=Settings!$B$6),"HIGH RATE",IF(AND(C39&gt;=Settings!$B$4,L39&lt;=-Settings!$B$6),"BEST-IN-CLASS",""))</f>
        <v/>
      </c>
      <c r="N39" s="31" t="s">
        <v>175</v>
      </c>
      <c r="O39" s="31" t="s">
        <v>176</v>
      </c>
      <c r="P39" s="31" t="s">
        <v>90</v>
      </c>
      <c r="Q39" s="32" t="n">
        <f aca="false">Settings!$B$3</f>
        <v>0.0309861510798204</v>
      </c>
    </row>
    <row r="40" customFormat="false" ht="61.5" hidden="false" customHeight="true" outlineLevel="0" collapsed="false">
      <c r="A40" s="18" t="s">
        <v>177</v>
      </c>
      <c r="B40" s="19" t="n">
        <f aca="false">COUNTIF('SKU Data'!$D$2:$D$1780,$A40)</f>
        <v>4</v>
      </c>
      <c r="C40" s="19" t="n">
        <f aca="false">SUMIFS('SKU Data'!$E$2:$E$1780,'SKU Data'!$D$2:$D$1780,$A40)</f>
        <v>262</v>
      </c>
      <c r="D40" s="19" t="n">
        <f aca="false">SUMIFS('SKU Data'!$F$2:$F$1780,'SKU Data'!$D$2:$D$1780,$A40)</f>
        <v>5</v>
      </c>
      <c r="E40" s="21" t="n">
        <f aca="false">SUMIFS('SKU Data'!$G$2:$G$1780,'SKU Data'!$D$2:$D$1780,$A40)</f>
        <v>29228.37</v>
      </c>
      <c r="F40" s="21" t="n">
        <f aca="false">SUMIFS('SKU Data'!$H$2:$H$1780,'SKU Data'!$D$2:$D$1780,$A40)</f>
        <v>459.96</v>
      </c>
      <c r="G40" s="20" t="n">
        <f aca="false">IF(C40&gt;0,D40/C40,0)</f>
        <v>0.0190839694656489</v>
      </c>
      <c r="H40" s="20" t="n">
        <f aca="false">IF(E40&gt;0,F40/E40,0)</f>
        <v>0.0157367653413447</v>
      </c>
      <c r="I40" s="20" t="n">
        <f aca="false">F40/Settings!$B$16</f>
        <v>0.000919242224323162</v>
      </c>
      <c r="J40" s="22" t="n">
        <f aca="false">F40/Settings!$B$20</f>
        <v>3.57087187455288E-005</v>
      </c>
      <c r="K40" s="28" t="n">
        <f aca="false">G40/Settings!$B$3</f>
        <v>0.615887059237803</v>
      </c>
      <c r="L40" s="29" t="n">
        <f aca="false">IF(C40&gt;0,(D40-C40*Settings!$B$3)/SQRT(C40*Settings!$B$3*(1-Settings!$B$3)),0)</f>
        <v>-1.11180445393169</v>
      </c>
      <c r="M40" s="23" t="str">
        <f aca="false">IF(AND(C40&gt;=Settings!$B$4,D40&gt;=Settings!$B$5,L40&gt;=Settings!$B$6),"HIGH RATE",IF(AND(C40&gt;=Settings!$B$4,L40&lt;=-Settings!$B$6),"BEST-IN-CLASS",""))</f>
        <v/>
      </c>
      <c r="N40" s="31" t="s">
        <v>178</v>
      </c>
      <c r="O40" s="31" t="s">
        <v>179</v>
      </c>
      <c r="P40" s="31" t="s">
        <v>90</v>
      </c>
      <c r="Q40" s="32" t="n">
        <f aca="false">Settings!$B$3</f>
        <v>0.0309861510798204</v>
      </c>
    </row>
    <row r="41" customFormat="false" ht="61.5" hidden="false" customHeight="true" outlineLevel="0" collapsed="false">
      <c r="A41" s="18" t="s">
        <v>180</v>
      </c>
      <c r="B41" s="19" t="n">
        <f aca="false">COUNTIF('SKU Data'!$D$2:$D$1780,$A41)</f>
        <v>14</v>
      </c>
      <c r="C41" s="19" t="n">
        <f aca="false">SUMIFS('SKU Data'!$E$2:$E$1780,'SKU Data'!$D$2:$D$1780,$A41)</f>
        <v>406</v>
      </c>
      <c r="D41" s="19" t="n">
        <f aca="false">SUMIFS('SKU Data'!$F$2:$F$1780,'SKU Data'!$D$2:$D$1780,$A41)</f>
        <v>3</v>
      </c>
      <c r="E41" s="21" t="n">
        <f aca="false">SUMIFS('SKU Data'!$G$2:$G$1780,'SKU Data'!$D$2:$D$1780,$A41)</f>
        <v>32115.57</v>
      </c>
      <c r="F41" s="21" t="n">
        <f aca="false">SUMIFS('SKU Data'!$H$2:$H$1780,'SKU Data'!$D$2:$D$1780,$A41)</f>
        <v>266.8</v>
      </c>
      <c r="G41" s="20" t="n">
        <f aca="false">IF(C41&gt;0,D41/C41,0)</f>
        <v>0.00738916256157635</v>
      </c>
      <c r="H41" s="20" t="n">
        <f aca="false">IF(E41&gt;0,F41/E41,0)</f>
        <v>0.00830749695552656</v>
      </c>
      <c r="I41" s="20" t="n">
        <f aca="false">F41/Settings!$B$16</f>
        <v>0.000533206855920992</v>
      </c>
      <c r="J41" s="22" t="n">
        <f aca="false">F41/Settings!$B$20</f>
        <v>2.07128579904928E-005</v>
      </c>
      <c r="K41" s="28" t="n">
        <f aca="false">G41/Settings!$B$3</f>
        <v>0.238466615054637</v>
      </c>
      <c r="L41" s="29" t="n">
        <f aca="false">IF(C41&gt;0,(D41-C41*Settings!$B$3)/SQRT(C41*Settings!$B$3*(1-Settings!$B$3)),0)</f>
        <v>-2.7439158541541</v>
      </c>
      <c r="M41" s="23" t="str">
        <f aca="false">IF(AND(C41&gt;=Settings!$B$4,D41&gt;=Settings!$B$5,L41&gt;=Settings!$B$6),"HIGH RATE",IF(AND(C41&gt;=Settings!$B$4,L41&lt;=-Settings!$B$6),"BEST-IN-CLASS",""))</f>
        <v/>
      </c>
      <c r="N41" s="31" t="s">
        <v>181</v>
      </c>
      <c r="O41" s="31" t="s">
        <v>182</v>
      </c>
      <c r="P41" s="31" t="s">
        <v>90</v>
      </c>
      <c r="Q41" s="32" t="n">
        <f aca="false">Settings!$B$3</f>
        <v>0.0309861510798204</v>
      </c>
    </row>
    <row r="42" customFormat="false" ht="61.5" hidden="false" customHeight="true" outlineLevel="0" collapsed="false">
      <c r="A42" s="18" t="s">
        <v>183</v>
      </c>
      <c r="B42" s="19" t="n">
        <f aca="false">COUNTIF('SKU Data'!$D$2:$D$1780,$A42)</f>
        <v>4</v>
      </c>
      <c r="C42" s="19" t="n">
        <f aca="false">SUMIFS('SKU Data'!$E$2:$E$1780,'SKU Data'!$D$2:$D$1780,$A42)</f>
        <v>265</v>
      </c>
      <c r="D42" s="19" t="n">
        <f aca="false">SUMIFS('SKU Data'!$F$2:$F$1780,'SKU Data'!$D$2:$D$1780,$A42)</f>
        <v>2</v>
      </c>
      <c r="E42" s="21" t="n">
        <f aca="false">SUMIFS('SKU Data'!$G$2:$G$1780,'SKU Data'!$D$2:$D$1780,$A42)</f>
        <v>32498.04</v>
      </c>
      <c r="F42" s="21" t="n">
        <f aca="false">SUMIFS('SKU Data'!$H$2:$H$1780,'SKU Data'!$D$2:$D$1780,$A42)</f>
        <v>199.67</v>
      </c>
      <c r="G42" s="20" t="n">
        <f aca="false">IF(C42&gt;0,D42/C42,0)</f>
        <v>0.00754716981132076</v>
      </c>
      <c r="H42" s="20" t="n">
        <f aca="false">IF(E42&gt;0,F42/E42,0)</f>
        <v>0.0061440628419437</v>
      </c>
      <c r="I42" s="20" t="n">
        <f aca="false">F42/Settings!$B$16</f>
        <v>0.000399045775568758</v>
      </c>
      <c r="J42" s="22" t="n">
        <f aca="false">F42/Settings!$B$20</f>
        <v>1.5501260700756E-005</v>
      </c>
      <c r="K42" s="28" t="n">
        <f aca="false">G42/Settings!$B$3</f>
        <v>0.243565901162723</v>
      </c>
      <c r="L42" s="29" t="n">
        <f aca="false">IF(C42&gt;0,(D42-C42*Settings!$B$3)/SQRT(C42*Settings!$B$3*(1-Settings!$B$3)),0)</f>
        <v>-2.20197741350192</v>
      </c>
      <c r="M42" s="23" t="str">
        <f aca="false">IF(AND(C42&gt;=Settings!$B$4,D42&gt;=Settings!$B$5,L42&gt;=Settings!$B$6),"HIGH RATE",IF(AND(C42&gt;=Settings!$B$4,L42&lt;=-Settings!$B$6),"BEST-IN-CLASS",""))</f>
        <v/>
      </c>
      <c r="N42" s="31" t="s">
        <v>184</v>
      </c>
      <c r="O42" s="31" t="s">
        <v>185</v>
      </c>
      <c r="P42" s="31" t="s">
        <v>90</v>
      </c>
      <c r="Q42" s="32" t="n">
        <f aca="false">Settings!$B$3</f>
        <v>0.0309861510798204</v>
      </c>
    </row>
    <row r="43" customFormat="false" ht="61.5" hidden="false" customHeight="true" outlineLevel="0" collapsed="false">
      <c r="A43" s="18" t="s">
        <v>186</v>
      </c>
      <c r="B43" s="19" t="n">
        <f aca="false">COUNTIF('SKU Data'!$D$2:$D$1780,$A43)</f>
        <v>11</v>
      </c>
      <c r="C43" s="19" t="n">
        <f aca="false">SUMIFS('SKU Data'!$E$2:$E$1780,'SKU Data'!$D$2:$D$1780,$A43)</f>
        <v>388</v>
      </c>
      <c r="D43" s="19" t="n">
        <f aca="false">SUMIFS('SKU Data'!$F$2:$F$1780,'SKU Data'!$D$2:$D$1780,$A43)</f>
        <v>1</v>
      </c>
      <c r="E43" s="21" t="n">
        <f aca="false">SUMIFS('SKU Data'!$G$2:$G$1780,'SKU Data'!$D$2:$D$1780,$A43)</f>
        <v>29351.98</v>
      </c>
      <c r="F43" s="21" t="n">
        <f aca="false">SUMIFS('SKU Data'!$H$2:$H$1780,'SKU Data'!$D$2:$D$1780,$A43)</f>
        <v>85.41</v>
      </c>
      <c r="G43" s="20" t="n">
        <f aca="false">IF(C43&gt;0,D43/C43,0)</f>
        <v>0.00257731958762887</v>
      </c>
      <c r="H43" s="20" t="n">
        <f aca="false">IF(E43&gt;0,F43/E43,0)</f>
        <v>0.00290985480366231</v>
      </c>
      <c r="I43" s="20" t="n">
        <f aca="false">F43/Settings!$B$16</f>
        <v>0.000170694143793898</v>
      </c>
      <c r="J43" s="22" t="n">
        <f aca="false">F43/Settings!$B$20</f>
        <v>6.63075412656668E-006</v>
      </c>
      <c r="K43" s="28" t="n">
        <f aca="false">G43/Settings!$B$3</f>
        <v>0.0831764997527342</v>
      </c>
      <c r="L43" s="29" t="n">
        <f aca="false">IF(C43&gt;0,(D43-C43*Settings!$B$3)/SQRT(C43*Settings!$B$3*(1-Settings!$B$3)),0)</f>
        <v>-3.22938946789244</v>
      </c>
      <c r="M43" s="23" t="str">
        <f aca="false">IF(AND(C43&gt;=Settings!$B$4,D43&gt;=Settings!$B$5,L43&gt;=Settings!$B$6),"HIGH RATE",IF(AND(C43&gt;=Settings!$B$4,L43&lt;=-Settings!$B$6),"BEST-IN-CLASS",""))</f>
        <v>BEST-IN-CLASS</v>
      </c>
      <c r="N43" s="31" t="s">
        <v>187</v>
      </c>
      <c r="O43" s="31" t="s">
        <v>188</v>
      </c>
      <c r="P43" s="31" t="s">
        <v>106</v>
      </c>
      <c r="Q43" s="32" t="n">
        <f aca="false">Settings!$B$3</f>
        <v>0.0309861510798204</v>
      </c>
    </row>
    <row r="44" customFormat="false" ht="61.5" hidden="false" customHeight="true" outlineLevel="0" collapsed="false">
      <c r="A44" s="18" t="s">
        <v>189</v>
      </c>
      <c r="B44" s="19" t="n">
        <f aca="false">COUNTIF('SKU Data'!$D$2:$D$1780,$A44)</f>
        <v>18</v>
      </c>
      <c r="C44" s="19" t="n">
        <f aca="false">SUMIFS('SKU Data'!$E$2:$E$1780,'SKU Data'!$D$2:$D$1780,$A44)</f>
        <v>63216</v>
      </c>
      <c r="D44" s="19" t="n">
        <f aca="false">SUMIFS('SKU Data'!$F$2:$F$1780,'SKU Data'!$D$2:$D$1780,$A44)</f>
        <v>0</v>
      </c>
      <c r="E44" s="21" t="n">
        <f aca="false">SUMIFS('SKU Data'!$G$2:$G$1780,'SKU Data'!$D$2:$D$1780,$A44)</f>
        <v>56344.7</v>
      </c>
      <c r="F44" s="21" t="n">
        <f aca="false">SUMIFS('SKU Data'!$H$2:$H$1780,'SKU Data'!$D$2:$D$1780,$A44)</f>
        <v>0</v>
      </c>
      <c r="G44" s="20" t="n">
        <f aca="false">IF(C44&gt;0,D44/C44,0)</f>
        <v>0</v>
      </c>
      <c r="H44" s="20" t="n">
        <f aca="false">IF(E44&gt;0,F44/E44,0)</f>
        <v>0</v>
      </c>
      <c r="I44" s="20" t="n">
        <f aca="false">F44/Settings!$B$16</f>
        <v>0</v>
      </c>
      <c r="J44" s="22" t="n">
        <f aca="false">F44/Settings!$B$20</f>
        <v>0</v>
      </c>
      <c r="K44" s="28" t="n">
        <f aca="false">G44/Settings!$B$3</f>
        <v>0</v>
      </c>
      <c r="L44" s="29" t="n">
        <f aca="false">IF(C44&gt;0,(D44-C44*Settings!$B$3)/SQRT(C44*Settings!$B$3*(1-Settings!$B$3)),0)</f>
        <v>-44.9606241171817</v>
      </c>
      <c r="M44" s="23" t="str">
        <f aca="false">IF(AND(C44&gt;=Settings!$B$4,D44&gt;=Settings!$B$5,L44&gt;=Settings!$B$6),"HIGH RATE",IF(AND(C44&gt;=Settings!$B$4,L44&lt;=-Settings!$B$6),"BEST-IN-CLASS",""))</f>
        <v>BEST-IN-CLASS</v>
      </c>
      <c r="N44" s="31" t="s">
        <v>190</v>
      </c>
      <c r="O44" s="31" t="s">
        <v>191</v>
      </c>
      <c r="P44" s="31" t="s">
        <v>106</v>
      </c>
      <c r="Q44" s="32" t="n">
        <f aca="false">Settings!$B$3</f>
        <v>0.0309861510798204</v>
      </c>
    </row>
  </sheetData>
  <conditionalFormatting sqref="G5:G44">
    <cfRule type="colorScale" priority="2">
      <colorScale>
        <cfvo type="num" val="0.02"/>
        <cfvo type="num" val="0.031"/>
        <cfvo type="num" val="0.06"/>
        <color rgb="FFC8E6C9"/>
        <color rgb="FFFFFFFF"/>
        <color rgb="FFF08A80"/>
      </colorScale>
    </cfRule>
  </conditionalFormatting>
  <conditionalFormatting sqref="F5:F44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{6840F56E-1260-4F2F-A9A1-26CFB4198A8F}</x14:id>
        </ext>
      </extLst>
    </cfRule>
  </conditionalFormatting>
  <conditionalFormatting sqref="K5:K44">
    <cfRule type="colorScale" priority="4">
      <colorScale>
        <cfvo type="num" val="0.6"/>
        <cfvo type="num" val="1"/>
        <cfvo type="num" val="2"/>
        <color rgb="FFC8E6C9"/>
        <color rgb="FFFFFFFF"/>
        <color rgb="FFF08A80"/>
      </colorScale>
    </cfRule>
  </conditionalFormatting>
  <conditionalFormatting sqref="M5:M44">
    <cfRule type="cellIs" priority="5" operator="equal" aboveAverage="0" equalAverage="0" bottom="0" percent="0" rank="0" text="" dxfId="108">
      <formula>"HIGH RATE"</formula>
    </cfRule>
    <cfRule type="cellIs" priority="6" operator="equal" aboveAverage="0" equalAverage="0" bottom="0" percent="0" rank="0" text="" dxfId="109">
      <formula>"BEST-IN-CLASS"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40F56E-1260-4F2F-A9A1-26CFB4198A8F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F5:F44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192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Brands!E5</f>
        <v>3320223.9</v>
      </c>
      <c r="B4" s="34" t="n">
        <f aca="false">Brands!F5</f>
        <v>140542.79</v>
      </c>
      <c r="C4" s="35" t="n">
        <f aca="false">Brands!D5</f>
        <v>1495</v>
      </c>
      <c r="D4" s="36" t="n">
        <f aca="false">Brands!G5</f>
        <v>0.0429733536462675</v>
      </c>
      <c r="E4" s="37" t="n">
        <f aca="false">Brands!K5</f>
        <v>1.38685677790598</v>
      </c>
      <c r="F4" s="36" t="n">
        <f aca="false">Brands!I5</f>
        <v>0.280878482677153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195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196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197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200</v>
      </c>
      <c r="B13" s="18" t="str">
        <f aca="false">IFERROR(INDEX('SKU Data'!$B$2:$B$1780,MATCH($A13,'SKU Data'!$A$2:$A$1780,0)),"")</f>
        <v>Warm Embrace</v>
      </c>
      <c r="C13" s="19" t="n">
        <f aca="false">IFERROR(INDEX('SKU Data'!$E$2:$E$1780,MATCH($A13,'SKU Data'!$A$2:$A$1780,0)),"")</f>
        <v>2594</v>
      </c>
      <c r="D13" s="19" t="n">
        <f aca="false">IFERROR(INDEX('SKU Data'!$F$2:$F$1780,MATCH($A13,'SKU Data'!$A$2:$A$1780,0)),"")</f>
        <v>129</v>
      </c>
      <c r="E13" s="20" t="n">
        <f aca="false">IFERROR(INDEX('SKU Data'!$J$2:$J$1780,MATCH($A13,'SKU Data'!$A$2:$A$1780,0)),"")</f>
        <v>0.0497301464919044</v>
      </c>
      <c r="F13" s="21" t="n">
        <f aca="false">IFERROR(INDEX('SKU Data'!$H$2:$H$1780,MATCH($A13,'SKU Data'!$A$2:$A$1780,0)),"")</f>
        <v>11840.22</v>
      </c>
      <c r="G13" s="20" t="n">
        <f aca="false">IFERROR(INDEX('SKU Data'!$K$2:$K$1780,MATCH($A13,'SKU Data'!$A$2:$A$1780,0)),"")</f>
        <v>0.047722296220412</v>
      </c>
      <c r="H13" s="29" t="n">
        <f aca="false">IFERROR(INDEX('SKU Data'!$O$2:$O$1780,MATCH($A13,'SKU Data'!$A$2:$A$1780,0)),"")</f>
        <v>5.50932441171328</v>
      </c>
      <c r="I13" s="23" t="str">
        <f aca="false">IFERROR(INDEX('SKU Data'!$W$2:$W$1780,MATCH($A13,'SKU Data'!$A$2:$A$1780,0)),"")</f>
        <v>1 - Fix first</v>
      </c>
      <c r="J13" s="23" t="str">
        <f aca="false">IFERROR(INDEX('SKU Data'!$X$2:$X$1780,MATCH($A13,'SKU Data'!$A$2:$A$1780,0)),"")</f>
        <v>HIGH RATE</v>
      </c>
    </row>
    <row r="14" customFormat="false" ht="15" hidden="false" customHeight="false" outlineLevel="0" collapsed="false">
      <c r="A14" s="18" t="s">
        <v>201</v>
      </c>
      <c r="B14" s="18" t="str">
        <f aca="false">IFERROR(INDEX('SKU Data'!$B$2:$B$1780,MATCH($A14,'SKU Data'!$A$2:$A$1780,0)),"")</f>
        <v>Lavender Love</v>
      </c>
      <c r="C14" s="19" t="n">
        <f aca="false">IFERROR(INDEX('SKU Data'!$E$2:$E$1780,MATCH($A14,'SKU Data'!$A$2:$A$1780,0)),"")</f>
        <v>2208</v>
      </c>
      <c r="D14" s="19" t="n">
        <f aca="false">IFERROR(INDEX('SKU Data'!$F$2:$F$1780,MATCH($A14,'SKU Data'!$A$2:$A$1780,0)),"")</f>
        <v>108</v>
      </c>
      <c r="E14" s="20" t="n">
        <f aca="false">IFERROR(INDEX('SKU Data'!$J$2:$J$1780,MATCH($A14,'SKU Data'!$A$2:$A$1780,0)),"")</f>
        <v>0.0489130434782609</v>
      </c>
      <c r="F14" s="21" t="n">
        <f aca="false">IFERROR(INDEX('SKU Data'!$H$2:$H$1780,MATCH($A14,'SKU Data'!$A$2:$A$1780,0)),"")</f>
        <v>9388.55</v>
      </c>
      <c r="G14" s="20" t="n">
        <f aca="false">IFERROR(INDEX('SKU Data'!$K$2:$K$1780,MATCH($A14,'SKU Data'!$A$2:$A$1780,0)),"")</f>
        <v>0.0460674613247113</v>
      </c>
      <c r="H14" s="29" t="n">
        <f aca="false">IFERROR(INDEX('SKU Data'!$O$2:$O$1780,MATCH($A14,'SKU Data'!$A$2:$A$1780,0)),"")</f>
        <v>4.86133709846121</v>
      </c>
      <c r="I14" s="23" t="str">
        <f aca="false">IFERROR(INDEX('SKU Data'!$W$2:$W$1780,MATCH($A14,'SKU Data'!$A$2:$A$1780,0)),"")</f>
        <v>2 - Review</v>
      </c>
      <c r="J14" s="23" t="str">
        <f aca="false">IFERROR(INDEX('SKU Data'!$X$2:$X$1780,MATCH($A14,'SKU Data'!$A$2:$A$1780,0)),"")</f>
        <v>HIGH RATE</v>
      </c>
    </row>
    <row r="15" customFormat="false" ht="15" hidden="false" customHeight="false" outlineLevel="0" collapsed="false">
      <c r="A15" s="18" t="s">
        <v>202</v>
      </c>
      <c r="B15" s="18" t="str">
        <f aca="false">IFERROR(INDEX('SKU Data'!$B$2:$B$1780,MATCH($A15,'SKU Data'!$A$2:$A$1780,0)),"")</f>
        <v>Wild Spirits</v>
      </c>
      <c r="C15" s="19" t="n">
        <f aca="false">IFERROR(INDEX('SKU Data'!$E$2:$E$1780,MATCH($A15,'SKU Data'!$A$2:$A$1780,0)),"")</f>
        <v>1727</v>
      </c>
      <c r="D15" s="19" t="n">
        <f aca="false">IFERROR(INDEX('SKU Data'!$F$2:$F$1780,MATCH($A15,'SKU Data'!$A$2:$A$1780,0)),"")</f>
        <v>80</v>
      </c>
      <c r="E15" s="20" t="n">
        <f aca="false">IFERROR(INDEX('SKU Data'!$J$2:$J$1780,MATCH($A15,'SKU Data'!$A$2:$A$1780,0)),"")</f>
        <v>0.0463231036479444</v>
      </c>
      <c r="F15" s="21" t="n">
        <f aca="false">IFERROR(INDEX('SKU Data'!$H$2:$H$1780,MATCH($A15,'SKU Data'!$A$2:$A$1780,0)),"")</f>
        <v>6215.17</v>
      </c>
      <c r="G15" s="20" t="n">
        <f aca="false">IFERROR(INDEX('SKU Data'!$K$2:$K$1780,MATCH($A15,'SKU Data'!$A$2:$A$1780,0)),"")</f>
        <v>0.0441329775808476</v>
      </c>
      <c r="H15" s="29" t="n">
        <f aca="false">IFERROR(INDEX('SKU Data'!$O$2:$O$1780,MATCH($A15,'SKU Data'!$A$2:$A$1780,0)),"")</f>
        <v>3.6782092671536</v>
      </c>
      <c r="I15" s="23" t="str">
        <f aca="false">IFERROR(INDEX('SKU Data'!$W$2:$W$1780,MATCH($A15,'SKU Data'!$A$2:$A$1780,0)),"")</f>
        <v>2 - Review</v>
      </c>
      <c r="J15" s="23" t="str">
        <f aca="false">IFERROR(INDEX('SKU Data'!$X$2:$X$1780,MATCH($A15,'SKU Data'!$A$2:$A$1780,0)),"")</f>
        <v>HIGH RATE</v>
      </c>
    </row>
    <row r="16" customFormat="false" ht="15" hidden="false" customHeight="false" outlineLevel="0" collapsed="false">
      <c r="A16" s="18" t="s">
        <v>203</v>
      </c>
      <c r="B16" s="18" t="str">
        <f aca="false">IFERROR(INDEX('SKU Data'!$B$2:$B$1780,MATCH($A16,'SKU Data'!$A$2:$A$1780,0)),"")</f>
        <v>Summer Blooms</v>
      </c>
      <c r="C16" s="19" t="n">
        <f aca="false">IFERROR(INDEX('SKU Data'!$E$2:$E$1780,MATCH($A16,'SKU Data'!$A$2:$A$1780,0)),"")</f>
        <v>1560</v>
      </c>
      <c r="D16" s="19" t="n">
        <f aca="false">IFERROR(INDEX('SKU Data'!$F$2:$F$1780,MATCH($A16,'SKU Data'!$A$2:$A$1780,0)),"")</f>
        <v>97</v>
      </c>
      <c r="E16" s="20" t="n">
        <f aca="false">IFERROR(INDEX('SKU Data'!$J$2:$J$1780,MATCH($A16,'SKU Data'!$A$2:$A$1780,0)),"")</f>
        <v>0.0621794871794872</v>
      </c>
      <c r="F16" s="21" t="n">
        <f aca="false">IFERROR(INDEX('SKU Data'!$H$2:$H$1780,MATCH($A16,'SKU Data'!$A$2:$A$1780,0)),"")</f>
        <v>5315.16</v>
      </c>
      <c r="G16" s="20" t="n">
        <f aca="false">IFERROR(INDEX('SKU Data'!$K$2:$K$1780,MATCH($A16,'SKU Data'!$A$2:$A$1780,0)),"")</f>
        <v>0.0600104933346325</v>
      </c>
      <c r="H16" s="29" t="n">
        <f aca="false">IFERROR(INDEX('SKU Data'!$O$2:$O$1780,MATCH($A16,'SKU Data'!$A$2:$A$1780,0)),"")</f>
        <v>7.11009354849753</v>
      </c>
      <c r="I16" s="23" t="str">
        <f aca="false">IFERROR(INDEX('SKU Data'!$W$2:$W$1780,MATCH($A16,'SKU Data'!$A$2:$A$1780,0)),"")</f>
        <v>1 - Fix first</v>
      </c>
      <c r="J16" s="23" t="str">
        <f aca="false">IFERROR(INDEX('SKU Data'!$X$2:$X$1780,MATCH($A16,'SKU Data'!$A$2:$A$1780,0)),"")</f>
        <v>HIGH RATE</v>
      </c>
    </row>
    <row r="17" customFormat="false" ht="15" hidden="false" customHeight="false" outlineLevel="0" collapsed="false">
      <c r="A17" s="18" t="s">
        <v>204</v>
      </c>
      <c r="B17" s="18" t="str">
        <f aca="false">IFERROR(INDEX('SKU Data'!$B$2:$B$1780,MATCH($A17,'SKU Data'!$A$2:$A$1780,0)),"")</f>
        <v>Ten Long Stemmed Red Roses</v>
      </c>
      <c r="C17" s="19" t="n">
        <f aca="false">IFERROR(INDEX('SKU Data'!$E$2:$E$1780,MATCH($A17,'SKU Data'!$A$2:$A$1780,0)),"")</f>
        <v>651</v>
      </c>
      <c r="D17" s="19" t="n">
        <f aca="false">IFERROR(INDEX('SKU Data'!$F$2:$F$1780,MATCH($A17,'SKU Data'!$A$2:$A$1780,0)),"")</f>
        <v>41</v>
      </c>
      <c r="E17" s="20" t="n">
        <f aca="false">IFERROR(INDEX('SKU Data'!$J$2:$J$1780,MATCH($A17,'SKU Data'!$A$2:$A$1780,0)),"")</f>
        <v>0.0629800307219662</v>
      </c>
      <c r="F17" s="21" t="n">
        <f aca="false">IFERROR(INDEX('SKU Data'!$H$2:$H$1780,MATCH($A17,'SKU Data'!$A$2:$A$1780,0)),"")</f>
        <v>3718.19</v>
      </c>
      <c r="G17" s="20" t="n">
        <f aca="false">IFERROR(INDEX('SKU Data'!$K$2:$K$1780,MATCH($A17,'SKU Data'!$A$2:$A$1780,0)),"")</f>
        <v>0.0591467585478447</v>
      </c>
      <c r="H17" s="29" t="n">
        <f aca="false">IFERROR(INDEX('SKU Data'!$O$2:$O$1780,MATCH($A17,'SKU Data'!$A$2:$A$1780,0)),"")</f>
        <v>4.71095105379844</v>
      </c>
      <c r="I17" s="23" t="str">
        <f aca="false">IFERROR(INDEX('SKU Data'!$W$2:$W$1780,MATCH($A17,'SKU Data'!$A$2:$A$1780,0)),"")</f>
        <v>1 - Fix first</v>
      </c>
      <c r="J17" s="23" t="str">
        <f aca="false">IFERROR(INDEX('SKU Data'!$X$2:$X$1780,MATCH($A17,'SKU Data'!$A$2:$A$1780,0)),"")</f>
        <v>HIGH RATE</v>
      </c>
    </row>
    <row r="18" customFormat="false" ht="15" hidden="false" customHeight="false" outlineLevel="0" collapsed="false">
      <c r="A18" s="18" t="s">
        <v>205</v>
      </c>
      <c r="B18" s="18" t="str">
        <f aca="false">IFERROR(INDEX('SKU Data'!$B$2:$B$1780,MATCH($A18,'SKU Data'!$A$2:$A$1780,0)),"")</f>
        <v>50 Blooms of Peruvian Lilies</v>
      </c>
      <c r="C18" s="19" t="n">
        <f aca="false">IFERROR(INDEX('SKU Data'!$E$2:$E$1780,MATCH($A18,'SKU Data'!$A$2:$A$1780,0)),"")</f>
        <v>1158</v>
      </c>
      <c r="D18" s="19" t="n">
        <f aca="false">IFERROR(INDEX('SKU Data'!$F$2:$F$1780,MATCH($A18,'SKU Data'!$A$2:$A$1780,0)),"")</f>
        <v>55</v>
      </c>
      <c r="E18" s="20" t="n">
        <f aca="false">IFERROR(INDEX('SKU Data'!$J$2:$J$1780,MATCH($A18,'SKU Data'!$A$2:$A$1780,0)),"")</f>
        <v>0.0474956822107081</v>
      </c>
      <c r="F18" s="21" t="n">
        <f aca="false">IFERROR(INDEX('SKU Data'!$H$2:$H$1780,MATCH($A18,'SKU Data'!$A$2:$A$1780,0)),"")</f>
        <v>3653.51</v>
      </c>
      <c r="G18" s="20" t="n">
        <f aca="false">IFERROR(INDEX('SKU Data'!$K$2:$K$1780,MATCH($A18,'SKU Data'!$A$2:$A$1780,0)),"")</f>
        <v>0.0430862171301179</v>
      </c>
      <c r="H18" s="29" t="n">
        <f aca="false">IFERROR(INDEX('SKU Data'!$O$2:$O$1780,MATCH($A18,'SKU Data'!$A$2:$A$1780,0)),"")</f>
        <v>3.24220305168427</v>
      </c>
      <c r="I18" s="23" t="str">
        <f aca="false">IFERROR(INDEX('SKU Data'!$W$2:$W$1780,MATCH($A18,'SKU Data'!$A$2:$A$1780,0)),"")</f>
        <v>2 - Review</v>
      </c>
      <c r="J18" s="23" t="str">
        <f aca="false">IFERROR(INDEX('SKU Data'!$X$2:$X$1780,MATCH($A18,'SKU Data'!$A$2:$A$1780,0)),"")</f>
        <v>HIGH RATE</v>
      </c>
    </row>
    <row r="19" customFormat="false" ht="15" hidden="false" customHeight="false" outlineLevel="0" collapsed="false">
      <c r="A19" s="18" t="s">
        <v>206</v>
      </c>
      <c r="B19" s="18" t="str">
        <f aca="false">IFERROR(INDEX('SKU Data'!$B$2:$B$1780,MATCH($A19,'SKU Data'!$A$2:$A$1780,0)),"")</f>
        <v>Pretty in Pink</v>
      </c>
      <c r="C19" s="19" t="n">
        <f aca="false">IFERROR(INDEX('SKU Data'!$E$2:$E$1780,MATCH($A19,'SKU Data'!$A$2:$A$1780,0)),"")</f>
        <v>598</v>
      </c>
      <c r="D19" s="19" t="n">
        <f aca="false">IFERROR(INDEX('SKU Data'!$F$2:$F$1780,MATCH($A19,'SKU Data'!$A$2:$A$1780,0)),"")</f>
        <v>36</v>
      </c>
      <c r="E19" s="20" t="n">
        <f aca="false">IFERROR(INDEX('SKU Data'!$J$2:$J$1780,MATCH($A19,'SKU Data'!$A$2:$A$1780,0)),"")</f>
        <v>0.0602006688963211</v>
      </c>
      <c r="F19" s="21" t="n">
        <f aca="false">IFERROR(INDEX('SKU Data'!$H$2:$H$1780,MATCH($A19,'SKU Data'!$A$2:$A$1780,0)),"")</f>
        <v>3306.37</v>
      </c>
      <c r="G19" s="20" t="n">
        <f aca="false">IFERROR(INDEX('SKU Data'!$K$2:$K$1780,MATCH($A19,'SKU Data'!$A$2:$A$1780,0)),"")</f>
        <v>0.0569165003058102</v>
      </c>
      <c r="H19" s="29" t="n">
        <f aca="false">IFERROR(INDEX('SKU Data'!$O$2:$O$1780,MATCH($A19,'SKU Data'!$A$2:$A$1780,0)),"")</f>
        <v>4.1228782080997</v>
      </c>
      <c r="I19" s="23" t="str">
        <f aca="false">IFERROR(INDEX('SKU Data'!$W$2:$W$1780,MATCH($A19,'SKU Data'!$A$2:$A$1780,0)),"")</f>
        <v>1 - Fix first</v>
      </c>
      <c r="J19" s="23" t="str">
        <f aca="false">IFERROR(INDEX('SKU Data'!$X$2:$X$1780,MATCH($A19,'SKU Data'!$A$2:$A$1780,0)),"")</f>
        <v>HIGH RATE</v>
      </c>
    </row>
    <row r="20" customFormat="false" ht="15" hidden="false" customHeight="false" outlineLevel="0" collapsed="false">
      <c r="A20" s="18" t="s">
        <v>207</v>
      </c>
      <c r="B20" s="18" t="str">
        <f aca="false">IFERROR(INDEX('SKU Data'!$B$2:$B$1780,MATCH($A20,'SKU Data'!$A$2:$A$1780,0)),"")</f>
        <v>Country Roads</v>
      </c>
      <c r="C20" s="19" t="n">
        <f aca="false">IFERROR(INDEX('SKU Data'!$E$2:$E$1780,MATCH($A20,'SKU Data'!$A$2:$A$1780,0)),"")</f>
        <v>360</v>
      </c>
      <c r="D20" s="19" t="n">
        <f aca="false">IFERROR(INDEX('SKU Data'!$F$2:$F$1780,MATCH($A20,'SKU Data'!$A$2:$A$1780,0)),"")</f>
        <v>25</v>
      </c>
      <c r="E20" s="20" t="n">
        <f aca="false">IFERROR(INDEX('SKU Data'!$J$2:$J$1780,MATCH($A20,'SKU Data'!$A$2:$A$1780,0)),"")</f>
        <v>0.0694444444444445</v>
      </c>
      <c r="F20" s="21" t="n">
        <f aca="false">IFERROR(INDEX('SKU Data'!$H$2:$H$1780,MATCH($A20,'SKU Data'!$A$2:$A$1780,0)),"")</f>
        <v>3303.38</v>
      </c>
      <c r="G20" s="20" t="n">
        <f aca="false">IFERROR(INDEX('SKU Data'!$K$2:$K$1780,MATCH($A20,'SKU Data'!$A$2:$A$1780,0)),"")</f>
        <v>0.0691555473305115</v>
      </c>
      <c r="H20" s="29" t="n">
        <f aca="false">IFERROR(INDEX('SKU Data'!$O$2:$O$1780,MATCH($A20,'SKU Data'!$A$2:$A$1780,0)),"")</f>
        <v>4.21106989009751</v>
      </c>
      <c r="I20" s="23" t="str">
        <f aca="false">IFERROR(INDEX('SKU Data'!$W$2:$W$1780,MATCH($A20,'SKU Data'!$A$2:$A$1780,0)),"")</f>
        <v>1 - Fix first</v>
      </c>
      <c r="J20" s="23" t="str">
        <f aca="false">IFERROR(INDEX('SKU Data'!$X$2:$X$1780,MATCH($A20,'SKU Data'!$A$2:$A$1780,0)),"")</f>
        <v>HIGH RATE</v>
      </c>
    </row>
    <row r="21" customFormat="false" ht="15" hidden="false" customHeight="false" outlineLevel="0" collapsed="false">
      <c r="A21" s="18" t="s">
        <v>208</v>
      </c>
      <c r="B21" s="18" t="str">
        <f aca="false">IFERROR(INDEX('SKU Data'!$B$2:$B$1780,MATCH($A21,'SKU Data'!$A$2:$A$1780,0)),"")</f>
        <v>Half Dozen Red Roses</v>
      </c>
      <c r="C21" s="19" t="n">
        <f aca="false">IFERROR(INDEX('SKU Data'!$E$2:$E$1780,MATCH($A21,'SKU Data'!$A$2:$A$1780,0)),"")</f>
        <v>959</v>
      </c>
      <c r="D21" s="19" t="n">
        <f aca="false">IFERROR(INDEX('SKU Data'!$F$2:$F$1780,MATCH($A21,'SKU Data'!$A$2:$A$1780,0)),"")</f>
        <v>46</v>
      </c>
      <c r="E21" s="20" t="n">
        <f aca="false">IFERROR(INDEX('SKU Data'!$J$2:$J$1780,MATCH($A21,'SKU Data'!$A$2:$A$1780,0)),"")</f>
        <v>0.0479666319082377</v>
      </c>
      <c r="F21" s="21" t="n">
        <f aca="false">IFERROR(INDEX('SKU Data'!$H$2:$H$1780,MATCH($A21,'SKU Data'!$A$2:$A$1780,0)),"")</f>
        <v>3175.22</v>
      </c>
      <c r="G21" s="20" t="n">
        <f aca="false">IFERROR(INDEX('SKU Data'!$K$2:$K$1780,MATCH($A21,'SKU Data'!$A$2:$A$1780,0)),"")</f>
        <v>0.0461376524289682</v>
      </c>
      <c r="H21" s="29" t="n">
        <f aca="false">IFERROR(INDEX('SKU Data'!$O$2:$O$1780,MATCH($A21,'SKU Data'!$A$2:$A$1780,0)),"")</f>
        <v>3.03466306152684</v>
      </c>
      <c r="I21" s="23" t="str">
        <f aca="false">IFERROR(INDEX('SKU Data'!$W$2:$W$1780,MATCH($A21,'SKU Data'!$A$2:$A$1780,0)),"")</f>
        <v>2 - Review</v>
      </c>
      <c r="J21" s="23" t="str">
        <f aca="false">IFERROR(INDEX('SKU Data'!$X$2:$X$1780,MATCH($A21,'SKU Data'!$A$2:$A$1780,0)),"")</f>
        <v>HIGH RATE</v>
      </c>
    </row>
    <row r="22" customFormat="false" ht="15" hidden="false" customHeight="false" outlineLevel="0" collapsed="false">
      <c r="A22" s="18" t="s">
        <v>209</v>
      </c>
      <c r="B22" s="18" t="str">
        <f aca="false">IFERROR(INDEX('SKU Data'!$B$2:$B$1780,MATCH($A22,'SKU Data'!$A$2:$A$1780,0)),"")</f>
        <v>Beautiful in Blue</v>
      </c>
      <c r="C22" s="19" t="n">
        <f aca="false">IFERROR(INDEX('SKU Data'!$E$2:$E$1780,MATCH($A22,'SKU Data'!$A$2:$A$1780,0)),"")</f>
        <v>495</v>
      </c>
      <c r="D22" s="19" t="n">
        <f aca="false">IFERROR(INDEX('SKU Data'!$F$2:$F$1780,MATCH($A22,'SKU Data'!$A$2:$A$1780,0)),"")</f>
        <v>24</v>
      </c>
      <c r="E22" s="20" t="n">
        <f aca="false">IFERROR(INDEX('SKU Data'!$J$2:$J$1780,MATCH($A22,'SKU Data'!$A$2:$A$1780,0)),"")</f>
        <v>0.0484848484848485</v>
      </c>
      <c r="F22" s="21" t="n">
        <f aca="false">IFERROR(INDEX('SKU Data'!$H$2:$H$1780,MATCH($A22,'SKU Data'!$A$2:$A$1780,0)),"")</f>
        <v>3157.91</v>
      </c>
      <c r="G22" s="20" t="n">
        <f aca="false">IFERROR(INDEX('SKU Data'!$K$2:$K$1780,MATCH($A22,'SKU Data'!$A$2:$A$1780,0)),"")</f>
        <v>0.0454997281897292</v>
      </c>
      <c r="H22" s="29" t="n">
        <f aca="false">IFERROR(INDEX('SKU Data'!$O$2:$O$1780,MATCH($A22,'SKU Data'!$A$2:$A$1780,0)),"")</f>
        <v>2.24677463205373</v>
      </c>
      <c r="I22" s="23" t="str">
        <f aca="false">IFERROR(INDEX('SKU Data'!$W$2:$W$1780,MATCH($A22,'SKU Data'!$A$2:$A$1780,0)),"")</f>
        <v>2 - Review</v>
      </c>
      <c r="J22" s="23" t="str">
        <f aca="false">IFERROR(INDEX('SKU Data'!$X$2:$X$1780,MATCH($A22,'SKU Data'!$A$2:$A$1780,0)),"")</f>
        <v/>
      </c>
    </row>
    <row r="23" customFormat="false" ht="15" hidden="false" customHeight="false" outlineLevel="0" collapsed="false">
      <c r="A23" s="18" t="s">
        <v>210</v>
      </c>
      <c r="B23" s="18" t="str">
        <f aca="false">IFERROR(INDEX('SKU Data'!$B$2:$B$1780,MATCH($A23,'SKU Data'!$A$2:$A$1780,0)),"")</f>
        <v>Classic Sympathy Wreath</v>
      </c>
      <c r="C23" s="19" t="n">
        <f aca="false">IFERROR(INDEX('SKU Data'!$E$2:$E$1780,MATCH($A23,'SKU Data'!$A$2:$A$1780,0)),"")</f>
        <v>97</v>
      </c>
      <c r="D23" s="19" t="n">
        <f aca="false">IFERROR(INDEX('SKU Data'!$F$2:$F$1780,MATCH($A23,'SKU Data'!$A$2:$A$1780,0)),"")</f>
        <v>11</v>
      </c>
      <c r="E23" s="20" t="n">
        <f aca="false">IFERROR(INDEX('SKU Data'!$J$2:$J$1780,MATCH($A23,'SKU Data'!$A$2:$A$1780,0)),"")</f>
        <v>0.11340206185567</v>
      </c>
      <c r="F23" s="21" t="n">
        <f aca="false">IFERROR(INDEX('SKU Data'!$H$2:$H$1780,MATCH($A23,'SKU Data'!$A$2:$A$1780,0)),"")</f>
        <v>2932.31</v>
      </c>
      <c r="G23" s="20" t="n">
        <f aca="false">IFERROR(INDEX('SKU Data'!$K$2:$K$1780,MATCH($A23,'SKU Data'!$A$2:$A$1780,0)),"")</f>
        <v>0.102506422578953</v>
      </c>
      <c r="H23" s="29" t="n">
        <f aca="false">IFERROR(INDEX('SKU Data'!$O$2:$O$1780,MATCH($A23,'SKU Data'!$A$2:$A$1780,0)),"")</f>
        <v>4.68433688163919</v>
      </c>
      <c r="I23" s="23" t="str">
        <f aca="false">IFERROR(INDEX('SKU Data'!$W$2:$W$1780,MATCH($A23,'SKU Data'!$A$2:$A$1780,0)),"")</f>
        <v>1 - Fix first</v>
      </c>
      <c r="J23" s="23" t="str">
        <f aca="false">IFERROR(INDEX('SKU Data'!$X$2:$X$1780,MATCH($A23,'SKU Data'!$A$2:$A$1780,0)),"")</f>
        <v>HIGH RATE</v>
      </c>
    </row>
    <row r="24" customFormat="false" ht="15" hidden="false" customHeight="false" outlineLevel="0" collapsed="false">
      <c r="A24" s="18" t="s">
        <v>211</v>
      </c>
      <c r="B24" s="18" t="str">
        <f aca="false">IFERROR(INDEX('SKU Data'!$B$2:$B$1780,MATCH($A24,'SKU Data'!$A$2:$A$1780,0)),"")</f>
        <v>Gentle Thoughts Spray</v>
      </c>
      <c r="C24" s="19" t="n">
        <f aca="false">IFERROR(INDEX('SKU Data'!$E$2:$E$1780,MATCH($A24,'SKU Data'!$A$2:$A$1780,0)),"")</f>
        <v>128</v>
      </c>
      <c r="D24" s="19" t="n">
        <f aca="false">IFERROR(INDEX('SKU Data'!$F$2:$F$1780,MATCH($A24,'SKU Data'!$A$2:$A$1780,0)),"")</f>
        <v>15</v>
      </c>
      <c r="E24" s="20" t="n">
        <f aca="false">IFERROR(INDEX('SKU Data'!$J$2:$J$1780,MATCH($A24,'SKU Data'!$A$2:$A$1780,0)),"")</f>
        <v>0.1171875</v>
      </c>
      <c r="F24" s="21" t="n">
        <f aca="false">IFERROR(INDEX('SKU Data'!$H$2:$H$1780,MATCH($A24,'SKU Data'!$A$2:$A$1780,0)),"")</f>
        <v>2729.11</v>
      </c>
      <c r="G24" s="20" t="n">
        <f aca="false">IFERROR(INDEX('SKU Data'!$K$2:$K$1780,MATCH($A24,'SKU Data'!$A$2:$A$1780,0)),"")</f>
        <v>0.106513991057713</v>
      </c>
      <c r="H24" s="29" t="n">
        <f aca="false">IFERROR(INDEX('SKU Data'!$O$2:$O$1780,MATCH($A24,'SKU Data'!$A$2:$A$1780,0)),"")</f>
        <v>5.62820927796152</v>
      </c>
      <c r="I24" s="23" t="str">
        <f aca="false">IFERROR(INDEX('SKU Data'!$W$2:$W$1780,MATCH($A24,'SKU Data'!$A$2:$A$1780,0)),"")</f>
        <v>1 - Fix first</v>
      </c>
      <c r="J24" s="23" t="str">
        <f aca="false">IFERROR(INDEX('SKU Data'!$X$2:$X$1780,MATCH($A24,'SKU Data'!$A$2:$A$1780,0)),"")</f>
        <v>HIGH RATE</v>
      </c>
    </row>
    <row r="25" customFormat="false" ht="15" hidden="false" customHeight="false" outlineLevel="0" collapsed="false">
      <c r="A25" s="18" t="s">
        <v>212</v>
      </c>
      <c r="B25" s="18" t="str">
        <f aca="false">IFERROR(INDEX('SKU Data'!$B$2:$B$1780,MATCH($A25,'SKU Data'!$A$2:$A$1780,0)),"")</f>
        <v>Half Dozen Red Roses, Card &amp; Teddy</v>
      </c>
      <c r="C25" s="19" t="n">
        <f aca="false">IFERROR(INDEX('SKU Data'!$E$2:$E$1780,MATCH($A25,'SKU Data'!$A$2:$A$1780,0)),"")</f>
        <v>390</v>
      </c>
      <c r="D25" s="19" t="n">
        <f aca="false">IFERROR(INDEX('SKU Data'!$F$2:$F$1780,MATCH($A25,'SKU Data'!$A$2:$A$1780,0)),"")</f>
        <v>34</v>
      </c>
      <c r="E25" s="20" t="n">
        <f aca="false">IFERROR(INDEX('SKU Data'!$J$2:$J$1780,MATCH($A25,'SKU Data'!$A$2:$A$1780,0)),"")</f>
        <v>0.0871794871794872</v>
      </c>
      <c r="F25" s="21" t="n">
        <f aca="false">IFERROR(INDEX('SKU Data'!$H$2:$H$1780,MATCH($A25,'SKU Data'!$A$2:$A$1780,0)),"")</f>
        <v>2661.08</v>
      </c>
      <c r="G25" s="20" t="n">
        <f aca="false">IFERROR(INDEX('SKU Data'!$K$2:$K$1780,MATCH($A25,'SKU Data'!$A$2:$A$1780,0)),"")</f>
        <v>0.0788409280255222</v>
      </c>
      <c r="H25" s="29" t="n">
        <f aca="false">IFERROR(INDEX('SKU Data'!$O$2:$O$1780,MATCH($A25,'SKU Data'!$A$2:$A$1780,0)),"")</f>
        <v>6.40425049751351</v>
      </c>
      <c r="I25" s="23" t="str">
        <f aca="false">IFERROR(INDEX('SKU Data'!$W$2:$W$1780,MATCH($A25,'SKU Data'!$A$2:$A$1780,0)),"")</f>
        <v>1 - Fix first</v>
      </c>
      <c r="J25" s="23" t="str">
        <f aca="false">IFERROR(INDEX('SKU Data'!$X$2:$X$1780,MATCH($A25,'SKU Data'!$A$2:$A$1780,0)),"")</f>
        <v>HIGH RATE</v>
      </c>
    </row>
    <row r="26" customFormat="false" ht="15" hidden="false" customHeight="false" outlineLevel="0" collapsed="false">
      <c r="A26" s="18" t="s">
        <v>213</v>
      </c>
      <c r="B26" s="18" t="str">
        <f aca="false">IFERROR(INDEX('SKU Data'!$B$2:$B$1780,MATCH($A26,'SKU Data'!$A$2:$A$1780,0)),"")</f>
        <v>Sunset Serenity</v>
      </c>
      <c r="C26" s="19" t="n">
        <f aca="false">IFERROR(INDEX('SKU Data'!$E$2:$E$1780,MATCH($A26,'SKU Data'!$A$2:$A$1780,0)),"")</f>
        <v>689</v>
      </c>
      <c r="D26" s="19" t="n">
        <f aca="false">IFERROR(INDEX('SKU Data'!$F$2:$F$1780,MATCH($A26,'SKU Data'!$A$2:$A$1780,0)),"")</f>
        <v>29</v>
      </c>
      <c r="E26" s="20" t="n">
        <f aca="false">IFERROR(INDEX('SKU Data'!$J$2:$J$1780,MATCH($A26,'SKU Data'!$A$2:$A$1780,0)),"")</f>
        <v>0.0420899854862119</v>
      </c>
      <c r="F26" s="21" t="n">
        <f aca="false">IFERROR(INDEX('SKU Data'!$H$2:$H$1780,MATCH($A26,'SKU Data'!$A$2:$A$1780,0)),"")</f>
        <v>2324.71</v>
      </c>
      <c r="G26" s="20" t="n">
        <f aca="false">IFERROR(INDEX('SKU Data'!$K$2:$K$1780,MATCH($A26,'SKU Data'!$A$2:$A$1780,0)),"")</f>
        <v>0.0416116101746187</v>
      </c>
      <c r="H26" s="29" t="n">
        <f aca="false">IFERROR(INDEX('SKU Data'!$O$2:$O$1780,MATCH($A26,'SKU Data'!$A$2:$A$1780,0)),"")</f>
        <v>1.6820301587102</v>
      </c>
      <c r="I26" s="23" t="str">
        <f aca="false">IFERROR(INDEX('SKU Data'!$W$2:$W$1780,MATCH($A26,'SKU Data'!$A$2:$A$1780,0)),"")</f>
        <v>3 - Monitor</v>
      </c>
      <c r="J26" s="23" t="str">
        <f aca="false">IFERROR(INDEX('SKU Data'!$X$2:$X$1780,MATCH($A26,'SKU Data'!$A$2:$A$1780,0)),"")</f>
        <v/>
      </c>
    </row>
    <row r="27" customFormat="false" ht="15" hidden="false" customHeight="false" outlineLevel="0" collapsed="false">
      <c r="A27" s="18" t="s">
        <v>214</v>
      </c>
      <c r="B27" s="18" t="str">
        <f aca="false">IFERROR(INDEX('SKU Data'!$B$2:$B$1780,MATCH($A27,'SKU Data'!$A$2:$A$1780,0)),"")</f>
        <v>Sizzling Bouquet</v>
      </c>
      <c r="C27" s="19" t="n">
        <f aca="false">IFERROR(INDEX('SKU Data'!$E$2:$E$1780,MATCH($A27,'SKU Data'!$A$2:$A$1780,0)),"")</f>
        <v>342</v>
      </c>
      <c r="D27" s="19" t="n">
        <f aca="false">IFERROR(INDEX('SKU Data'!$F$2:$F$1780,MATCH($A27,'SKU Data'!$A$2:$A$1780,0)),"")</f>
        <v>23</v>
      </c>
      <c r="E27" s="20" t="n">
        <f aca="false">IFERROR(INDEX('SKU Data'!$J$2:$J$1780,MATCH($A27,'SKU Data'!$A$2:$A$1780,0)),"")</f>
        <v>0.0672514619883041</v>
      </c>
      <c r="F27" s="21" t="n">
        <f aca="false">IFERROR(INDEX('SKU Data'!$H$2:$H$1780,MATCH($A27,'SKU Data'!$A$2:$A$1780,0)),"")</f>
        <v>2216.75</v>
      </c>
      <c r="G27" s="20" t="n">
        <f aca="false">IFERROR(INDEX('SKU Data'!$K$2:$K$1780,MATCH($A27,'SKU Data'!$A$2:$A$1780,0)),"")</f>
        <v>0.0622215747679199</v>
      </c>
      <c r="H27" s="29" t="n">
        <f aca="false">IFERROR(INDEX('SKU Data'!$O$2:$O$1780,MATCH($A27,'SKU Data'!$A$2:$A$1780,0)),"")</f>
        <v>3.8703982008108</v>
      </c>
      <c r="I27" s="23" t="str">
        <f aca="false">IFERROR(INDEX('SKU Data'!$W$2:$W$1780,MATCH($A27,'SKU Data'!$A$2:$A$1780,0)),"")</f>
        <v>1 - Fix first</v>
      </c>
      <c r="J27" s="23" t="str">
        <f aca="false">IFERROR(INDEX('SKU Data'!$X$2:$X$1780,MATCH($A27,'SKU Data'!$A$2:$A$1780,0)),"")</f>
        <v>HIGH RATE</v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{9464283D-6DE9-4178-985D-2DDC18DD39F9}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64283D-6DE9-4178-985D-2DDC18DD39F9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215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Brands!E6</f>
        <v>2546998.74</v>
      </c>
      <c r="B4" s="34" t="n">
        <f aca="false">Brands!F6</f>
        <v>116048.49</v>
      </c>
      <c r="C4" s="35" t="n">
        <f aca="false">Brands!D6</f>
        <v>1290</v>
      </c>
      <c r="D4" s="36" t="n">
        <f aca="false">Brands!G6</f>
        <v>0.0475313190862196</v>
      </c>
      <c r="E4" s="37" t="n">
        <f aca="false">Brands!K6</f>
        <v>1.53395363508616</v>
      </c>
      <c r="F4" s="36" t="n">
        <f aca="false">Brands!I6</f>
        <v>0.231925976339126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216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217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218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219</v>
      </c>
      <c r="B13" s="18" t="str">
        <f aca="false">IFERROR(INDEX('SKU Data'!$B$2:$B$1780,MATCH($A13,'SKU Data'!$A$2:$A$1780,0)),"")</f>
        <v>Native Flowers Bouquet in Mason Jar</v>
      </c>
      <c r="C13" s="19" t="n">
        <f aca="false">IFERROR(INDEX('SKU Data'!$E$2:$E$1780,MATCH($A13,'SKU Data'!$A$2:$A$1780,0)),"")</f>
        <v>6304</v>
      </c>
      <c r="D13" s="19" t="n">
        <f aca="false">IFERROR(INDEX('SKU Data'!$F$2:$F$1780,MATCH($A13,'SKU Data'!$A$2:$A$1780,0)),"")</f>
        <v>335</v>
      </c>
      <c r="E13" s="20" t="n">
        <f aca="false">IFERROR(INDEX('SKU Data'!$J$2:$J$1780,MATCH($A13,'SKU Data'!$A$2:$A$1780,0)),"")</f>
        <v>0.0531408629441624</v>
      </c>
      <c r="F13" s="21" t="n">
        <f aca="false">IFERROR(INDEX('SKU Data'!$H$2:$H$1780,MATCH($A13,'SKU Data'!$A$2:$A$1780,0)),"")</f>
        <v>30439.34</v>
      </c>
      <c r="G13" s="20" t="n">
        <f aca="false">IFERROR(INDEX('SKU Data'!$K$2:$K$1780,MATCH($A13,'SKU Data'!$A$2:$A$1780,0)),"")</f>
        <v>0.0515220221390055</v>
      </c>
      <c r="H13" s="29" t="n">
        <f aca="false">IFERROR(INDEX('SKU Data'!$O$2:$O$1780,MATCH($A13,'SKU Data'!$A$2:$A$1780,0)),"")</f>
        <v>10.1513873447209</v>
      </c>
      <c r="I13" s="23" t="str">
        <f aca="false">IFERROR(INDEX('SKU Data'!$W$2:$W$1780,MATCH($A13,'SKU Data'!$A$2:$A$1780,0)),"")</f>
        <v>1 - Fix first</v>
      </c>
      <c r="J13" s="23" t="str">
        <f aca="false">IFERROR(INDEX('SKU Data'!$X$2:$X$1780,MATCH($A13,'SKU Data'!$A$2:$A$1780,0)),"")</f>
        <v>HIGH RATE</v>
      </c>
    </row>
    <row r="14" customFormat="false" ht="15" hidden="false" customHeight="false" outlineLevel="0" collapsed="false">
      <c r="A14" s="18" t="s">
        <v>220</v>
      </c>
      <c r="B14" s="18" t="str">
        <f aca="false">IFERROR(INDEX('SKU Data'!$B$2:$B$1780,MATCH($A14,'SKU Data'!$A$2:$A$1780,0)),"")</f>
        <v>Pastel Buttercup Bouquet in Mason Jar</v>
      </c>
      <c r="C14" s="19" t="n">
        <f aca="false">IFERROR(INDEX('SKU Data'!$E$2:$E$1780,MATCH($A14,'SKU Data'!$A$2:$A$1780,0)),"")</f>
        <v>3907</v>
      </c>
      <c r="D14" s="19" t="n">
        <f aca="false">IFERROR(INDEX('SKU Data'!$F$2:$F$1780,MATCH($A14,'SKU Data'!$A$2:$A$1780,0)),"")</f>
        <v>172</v>
      </c>
      <c r="E14" s="20" t="n">
        <f aca="false">IFERROR(INDEX('SKU Data'!$J$2:$J$1780,MATCH($A14,'SKU Data'!$A$2:$A$1780,0)),"")</f>
        <v>0.0440235474788841</v>
      </c>
      <c r="F14" s="21" t="n">
        <f aca="false">IFERROR(INDEX('SKU Data'!$H$2:$H$1780,MATCH($A14,'SKU Data'!$A$2:$A$1780,0)),"")</f>
        <v>14074.44</v>
      </c>
      <c r="G14" s="20" t="n">
        <f aca="false">IFERROR(INDEX('SKU Data'!$K$2:$K$1780,MATCH($A14,'SKU Data'!$A$2:$A$1780,0)),"")</f>
        <v>0.040285179470245</v>
      </c>
      <c r="H14" s="29" t="n">
        <f aca="false">IFERROR(INDEX('SKU Data'!$O$2:$O$1780,MATCH($A14,'SKU Data'!$A$2:$A$1780,0)),"")</f>
        <v>4.70287858866548</v>
      </c>
      <c r="I14" s="23" t="str">
        <f aca="false">IFERROR(INDEX('SKU Data'!$W$2:$W$1780,MATCH($A14,'SKU Data'!$A$2:$A$1780,0)),"")</f>
        <v>2 - Review</v>
      </c>
      <c r="J14" s="23" t="str">
        <f aca="false">IFERROR(INDEX('SKU Data'!$X$2:$X$1780,MATCH($A14,'SKU Data'!$A$2:$A$1780,0)),"")</f>
        <v>HIGH RATE</v>
      </c>
    </row>
    <row r="15" customFormat="false" ht="15" hidden="false" customHeight="false" outlineLevel="0" collapsed="false">
      <c r="A15" s="18" t="s">
        <v>221</v>
      </c>
      <c r="B15" s="18" t="str">
        <f aca="false">IFERROR(INDEX('SKU Data'!$B$2:$B$1780,MATCH($A15,'SKU Data'!$A$2:$A$1780,0)),"")</f>
        <v>Best Birthday Ever Bouquet in Mason Jar</v>
      </c>
      <c r="C15" s="19" t="n">
        <f aca="false">IFERROR(INDEX('SKU Data'!$E$2:$E$1780,MATCH($A15,'SKU Data'!$A$2:$A$1780,0)),"")</f>
        <v>2143</v>
      </c>
      <c r="D15" s="19" t="n">
        <f aca="false">IFERROR(INDEX('SKU Data'!$F$2:$F$1780,MATCH($A15,'SKU Data'!$A$2:$A$1780,0)),"")</f>
        <v>115</v>
      </c>
      <c r="E15" s="20" t="n">
        <f aca="false">IFERROR(INDEX('SKU Data'!$J$2:$J$1780,MATCH($A15,'SKU Data'!$A$2:$A$1780,0)),"")</f>
        <v>0.0536630891273915</v>
      </c>
      <c r="F15" s="21" t="n">
        <f aca="false">IFERROR(INDEX('SKU Data'!$H$2:$H$1780,MATCH($A15,'SKU Data'!$A$2:$A$1780,0)),"")</f>
        <v>9879.04</v>
      </c>
      <c r="G15" s="20" t="n">
        <f aca="false">IFERROR(INDEX('SKU Data'!$K$2:$K$1780,MATCH($A15,'SKU Data'!$A$2:$A$1780,0)),"")</f>
        <v>0.0534904444762338</v>
      </c>
      <c r="H15" s="29" t="n">
        <f aca="false">IFERROR(INDEX('SKU Data'!$O$2:$O$1780,MATCH($A15,'SKU Data'!$A$2:$A$1780,0)),"")</f>
        <v>6.05824301320141</v>
      </c>
      <c r="I15" s="23" t="str">
        <f aca="false">IFERROR(INDEX('SKU Data'!$W$2:$W$1780,MATCH($A15,'SKU Data'!$A$2:$A$1780,0)),"")</f>
        <v>1 - Fix first</v>
      </c>
      <c r="J15" s="23" t="str">
        <f aca="false">IFERROR(INDEX('SKU Data'!$X$2:$X$1780,MATCH($A15,'SKU Data'!$A$2:$A$1780,0)),"")</f>
        <v>HIGH RATE</v>
      </c>
    </row>
    <row r="16" customFormat="false" ht="15" hidden="false" customHeight="false" outlineLevel="0" collapsed="false">
      <c r="A16" s="18" t="s">
        <v>222</v>
      </c>
      <c r="B16" s="18" t="str">
        <f aca="false">IFERROR(INDEX('SKU Data'!$B$2:$B$1780,MATCH($A16,'SKU Data'!$A$2:$A$1780,0)),"")</f>
        <v>50 Blooms of Surprise Bud Roses in Mason Jar</v>
      </c>
      <c r="C16" s="19" t="n">
        <f aca="false">IFERROR(INDEX('SKU Data'!$E$2:$E$1780,MATCH($A16,'SKU Data'!$A$2:$A$1780,0)),"")</f>
        <v>2769</v>
      </c>
      <c r="D16" s="19" t="n">
        <f aca="false">IFERROR(INDEX('SKU Data'!$F$2:$F$1780,MATCH($A16,'SKU Data'!$A$2:$A$1780,0)),"")</f>
        <v>106</v>
      </c>
      <c r="E16" s="20" t="n">
        <f aca="false">IFERROR(INDEX('SKU Data'!$J$2:$J$1780,MATCH($A16,'SKU Data'!$A$2:$A$1780,0)),"")</f>
        <v>0.0382809678584327</v>
      </c>
      <c r="F16" s="21" t="n">
        <f aca="false">IFERROR(INDEX('SKU Data'!$H$2:$H$1780,MATCH($A16,'SKU Data'!$A$2:$A$1780,0)),"")</f>
        <v>8978.84</v>
      </c>
      <c r="G16" s="20" t="n">
        <f aca="false">IFERROR(INDEX('SKU Data'!$K$2:$K$1780,MATCH($A16,'SKU Data'!$A$2:$A$1780,0)),"")</f>
        <v>0.0374015821830167</v>
      </c>
      <c r="H16" s="29" t="n">
        <f aca="false">IFERROR(INDEX('SKU Data'!$O$2:$O$1780,MATCH($A16,'SKU Data'!$A$2:$A$1780,0)),"")</f>
        <v>2.21527199475757</v>
      </c>
      <c r="I16" s="23" t="str">
        <f aca="false">IFERROR(INDEX('SKU Data'!$W$2:$W$1780,MATCH($A16,'SKU Data'!$A$2:$A$1780,0)),"")</f>
        <v>2 - Review</v>
      </c>
      <c r="J16" s="23" t="str">
        <f aca="false">IFERROR(INDEX('SKU Data'!$X$2:$X$1780,MATCH($A16,'SKU Data'!$A$2:$A$1780,0)),"")</f>
        <v/>
      </c>
    </row>
    <row r="17" customFormat="false" ht="15" hidden="false" customHeight="false" outlineLevel="0" collapsed="false">
      <c r="A17" s="18" t="s">
        <v>223</v>
      </c>
      <c r="B17" s="18" t="str">
        <f aca="false">IFERROR(INDEX('SKU Data'!$B$2:$B$1780,MATCH($A17,'SKU Data'!$A$2:$A$1780,0)),"")</f>
        <v>Garden Party Bouquet in Mason Jar</v>
      </c>
      <c r="C17" s="19" t="n">
        <f aca="false">IFERROR(INDEX('SKU Data'!$E$2:$E$1780,MATCH($A17,'SKU Data'!$A$2:$A$1780,0)),"")</f>
        <v>1250</v>
      </c>
      <c r="D17" s="19" t="n">
        <f aca="false">IFERROR(INDEX('SKU Data'!$F$2:$F$1780,MATCH($A17,'SKU Data'!$A$2:$A$1780,0)),"")</f>
        <v>74</v>
      </c>
      <c r="E17" s="20" t="n">
        <f aca="false">IFERROR(INDEX('SKU Data'!$J$2:$J$1780,MATCH($A17,'SKU Data'!$A$2:$A$1780,0)),"")</f>
        <v>0.0592</v>
      </c>
      <c r="F17" s="21" t="n">
        <f aca="false">IFERROR(INDEX('SKU Data'!$H$2:$H$1780,MATCH($A17,'SKU Data'!$A$2:$A$1780,0)),"")</f>
        <v>8226.91</v>
      </c>
      <c r="G17" s="20" t="n">
        <f aca="false">IFERROR(INDEX('SKU Data'!$K$2:$K$1780,MATCH($A17,'SKU Data'!$A$2:$A$1780,0)),"")</f>
        <v>0.059694510526506</v>
      </c>
      <c r="H17" s="29" t="n">
        <f aca="false">IFERROR(INDEX('SKU Data'!$O$2:$O$1780,MATCH($A17,'SKU Data'!$A$2:$A$1780,0)),"")</f>
        <v>5.75663288077568</v>
      </c>
      <c r="I17" s="23" t="str">
        <f aca="false">IFERROR(INDEX('SKU Data'!$W$2:$W$1780,MATCH($A17,'SKU Data'!$A$2:$A$1780,0)),"")</f>
        <v>1 - Fix first</v>
      </c>
      <c r="J17" s="23" t="str">
        <f aca="false">IFERROR(INDEX('SKU Data'!$X$2:$X$1780,MATCH($A17,'SKU Data'!$A$2:$A$1780,0)),"")</f>
        <v>HIGH RATE</v>
      </c>
    </row>
    <row r="18" customFormat="false" ht="15" hidden="false" customHeight="false" outlineLevel="0" collapsed="false">
      <c r="A18" s="18" t="s">
        <v>224</v>
      </c>
      <c r="B18" s="18" t="str">
        <f aca="false">IFERROR(INDEX('SKU Data'!$B$2:$B$1780,MATCH($A18,'SKU Data'!$A$2:$A$1780,0)),"")</f>
        <v>Cloud Nine Bouquet in Mason Jar</v>
      </c>
      <c r="C18" s="19" t="n">
        <f aca="false">IFERROR(INDEX('SKU Data'!$E$2:$E$1780,MATCH($A18,'SKU Data'!$A$2:$A$1780,0)),"")</f>
        <v>1600</v>
      </c>
      <c r="D18" s="19" t="n">
        <f aca="false">IFERROR(INDEX('SKU Data'!$F$2:$F$1780,MATCH($A18,'SKU Data'!$A$2:$A$1780,0)),"")</f>
        <v>55</v>
      </c>
      <c r="E18" s="20" t="n">
        <f aca="false">IFERROR(INDEX('SKU Data'!$J$2:$J$1780,MATCH($A18,'SKU Data'!$A$2:$A$1780,0)),"")</f>
        <v>0.034375</v>
      </c>
      <c r="F18" s="21" t="n">
        <f aca="false">IFERROR(INDEX('SKU Data'!$H$2:$H$1780,MATCH($A18,'SKU Data'!$A$2:$A$1780,0)),"")</f>
        <v>5585.45</v>
      </c>
      <c r="G18" s="20" t="n">
        <f aca="false">IFERROR(INDEX('SKU Data'!$K$2:$K$1780,MATCH($A18,'SKU Data'!$A$2:$A$1780,0)),"")</f>
        <v>0.0326838270339186</v>
      </c>
      <c r="H18" s="29" t="n">
        <f aca="false">IFERROR(INDEX('SKU Data'!$O$2:$O$1780,MATCH($A18,'SKU Data'!$A$2:$A$1780,0)),"")</f>
        <v>0.782282094949045</v>
      </c>
      <c r="I18" s="23" t="str">
        <f aca="false">IFERROR(INDEX('SKU Data'!$W$2:$W$1780,MATCH($A18,'SKU Data'!$A$2:$A$1780,0)),"")</f>
        <v>3 - Monitor</v>
      </c>
      <c r="J18" s="23" t="str">
        <f aca="false">IFERROR(INDEX('SKU Data'!$X$2:$X$1780,MATCH($A18,'SKU Data'!$A$2:$A$1780,0)),"")</f>
        <v/>
      </c>
    </row>
    <row r="19" customFormat="false" ht="15" hidden="false" customHeight="false" outlineLevel="0" collapsed="false">
      <c r="A19" s="18" t="s">
        <v>225</v>
      </c>
      <c r="B19" s="18" t="str">
        <f aca="false">IFERROR(INDEX('SKU Data'!$B$2:$B$1780,MATCH($A19,'SKU Data'!$A$2:$A$1780,0)),"")</f>
        <v>Golden Hour Bouquet in Mason Jar</v>
      </c>
      <c r="C19" s="19" t="n">
        <f aca="false">IFERROR(INDEX('SKU Data'!$E$2:$E$1780,MATCH($A19,'SKU Data'!$A$2:$A$1780,0)),"")</f>
        <v>503</v>
      </c>
      <c r="D19" s="19" t="n">
        <f aca="false">IFERROR(INDEX('SKU Data'!$F$2:$F$1780,MATCH($A19,'SKU Data'!$A$2:$A$1780,0)),"")</f>
        <v>40</v>
      </c>
      <c r="E19" s="20" t="n">
        <f aca="false">IFERROR(INDEX('SKU Data'!$J$2:$J$1780,MATCH($A19,'SKU Data'!$A$2:$A$1780,0)),"")</f>
        <v>0.0795228628230616</v>
      </c>
      <c r="F19" s="21" t="n">
        <f aca="false">IFERROR(INDEX('SKU Data'!$H$2:$H$1780,MATCH($A19,'SKU Data'!$A$2:$A$1780,0)),"")</f>
        <v>3723.61</v>
      </c>
      <c r="G19" s="20" t="n">
        <f aca="false">IFERROR(INDEX('SKU Data'!$K$2:$K$1780,MATCH($A19,'SKU Data'!$A$2:$A$1780,0)),"")</f>
        <v>0.0759846129327358</v>
      </c>
      <c r="H19" s="29" t="n">
        <f aca="false">IFERROR(INDEX('SKU Data'!$O$2:$O$1780,MATCH($A19,'SKU Data'!$A$2:$A$1780,0)),"")</f>
        <v>6.28210996213405</v>
      </c>
      <c r="I19" s="23" t="str">
        <f aca="false">IFERROR(INDEX('SKU Data'!$W$2:$W$1780,MATCH($A19,'SKU Data'!$A$2:$A$1780,0)),"")</f>
        <v>1 - Fix first</v>
      </c>
      <c r="J19" s="23" t="str">
        <f aca="false">IFERROR(INDEX('SKU Data'!$X$2:$X$1780,MATCH($A19,'SKU Data'!$A$2:$A$1780,0)),"")</f>
        <v>HIGH RATE</v>
      </c>
    </row>
    <row r="20" customFormat="false" ht="15" hidden="false" customHeight="false" outlineLevel="0" collapsed="false">
      <c r="A20" s="18" t="s">
        <v>226</v>
      </c>
      <c r="B20" s="18" t="str">
        <f aca="false">IFERROR(INDEX('SKU Data'!$B$2:$B$1780,MATCH($A20,'SKU Data'!$A$2:$A$1780,0)),"")</f>
        <v>New Baby Girl Bouquet in Mason Jar</v>
      </c>
      <c r="C20" s="19" t="n">
        <f aca="false">IFERROR(INDEX('SKU Data'!$E$2:$E$1780,MATCH($A20,'SKU Data'!$A$2:$A$1780,0)),"")</f>
        <v>852</v>
      </c>
      <c r="D20" s="19" t="n">
        <f aca="false">IFERROR(INDEX('SKU Data'!$F$2:$F$1780,MATCH($A20,'SKU Data'!$A$2:$A$1780,0)),"")</f>
        <v>34</v>
      </c>
      <c r="E20" s="20" t="n">
        <f aca="false">IFERROR(INDEX('SKU Data'!$J$2:$J$1780,MATCH($A20,'SKU Data'!$A$2:$A$1780,0)),"")</f>
        <v>0.039906103286385</v>
      </c>
      <c r="F20" s="21" t="n">
        <f aca="false">IFERROR(INDEX('SKU Data'!$H$2:$H$1780,MATCH($A20,'SKU Data'!$A$2:$A$1780,0)),"")</f>
        <v>3293.44</v>
      </c>
      <c r="G20" s="20" t="n">
        <f aca="false">IFERROR(INDEX('SKU Data'!$K$2:$K$1780,MATCH($A20,'SKU Data'!$A$2:$A$1780,0)),"")</f>
        <v>0.0360908359386018</v>
      </c>
      <c r="H20" s="29" t="n">
        <f aca="false">IFERROR(INDEX('SKU Data'!$O$2:$O$1780,MATCH($A20,'SKU Data'!$A$2:$A$1780,0)),"")</f>
        <v>1.50256585605308</v>
      </c>
      <c r="I20" s="23" t="str">
        <f aca="false">IFERROR(INDEX('SKU Data'!$W$2:$W$1780,MATCH($A20,'SKU Data'!$A$2:$A$1780,0)),"")</f>
        <v>3 - Monitor</v>
      </c>
      <c r="J20" s="23" t="str">
        <f aca="false">IFERROR(INDEX('SKU Data'!$X$2:$X$1780,MATCH($A20,'SKU Data'!$A$2:$A$1780,0)),"")</f>
        <v/>
      </c>
    </row>
    <row r="21" customFormat="false" ht="15" hidden="false" customHeight="false" outlineLevel="0" collapsed="false">
      <c r="A21" s="18" t="s">
        <v>227</v>
      </c>
      <c r="B21" s="18" t="str">
        <f aca="false">IFERROR(INDEX('SKU Data'!$B$2:$B$1780,MATCH($A21,'SKU Data'!$A$2:$A$1780,0)),"")</f>
        <v>Pick-Me-Up Bouquet in Mason Jar</v>
      </c>
      <c r="C21" s="19" t="n">
        <f aca="false">IFERROR(INDEX('SKU Data'!$E$2:$E$1780,MATCH($A21,'SKU Data'!$A$2:$A$1780,0)),"")</f>
        <v>789</v>
      </c>
      <c r="D21" s="19" t="n">
        <f aca="false">IFERROR(INDEX('SKU Data'!$F$2:$F$1780,MATCH($A21,'SKU Data'!$A$2:$A$1780,0)),"")</f>
        <v>48</v>
      </c>
      <c r="E21" s="20" t="n">
        <f aca="false">IFERROR(INDEX('SKU Data'!$J$2:$J$1780,MATCH($A21,'SKU Data'!$A$2:$A$1780,0)),"")</f>
        <v>0.0608365019011407</v>
      </c>
      <c r="F21" s="21" t="n">
        <f aca="false">IFERROR(INDEX('SKU Data'!$H$2:$H$1780,MATCH($A21,'SKU Data'!$A$2:$A$1780,0)),"")</f>
        <v>3223.36</v>
      </c>
      <c r="G21" s="20" t="n">
        <f aca="false">IFERROR(INDEX('SKU Data'!$K$2:$K$1780,MATCH($A21,'SKU Data'!$A$2:$A$1780,0)),"")</f>
        <v>0.0576692213860751</v>
      </c>
      <c r="H21" s="29" t="n">
        <f aca="false">IFERROR(INDEX('SKU Data'!$O$2:$O$1780,MATCH($A21,'SKU Data'!$A$2:$A$1780,0)),"")</f>
        <v>4.83881626983251</v>
      </c>
      <c r="I21" s="23" t="str">
        <f aca="false">IFERROR(INDEX('SKU Data'!$W$2:$W$1780,MATCH($A21,'SKU Data'!$A$2:$A$1780,0)),"")</f>
        <v>1 - Fix first</v>
      </c>
      <c r="J21" s="23" t="str">
        <f aca="false">IFERROR(INDEX('SKU Data'!$X$2:$X$1780,MATCH($A21,'SKU Data'!$A$2:$A$1780,0)),"")</f>
        <v>HIGH RATE</v>
      </c>
    </row>
    <row r="22" customFormat="false" ht="15" hidden="false" customHeight="false" outlineLevel="0" collapsed="false">
      <c r="A22" s="18" t="s">
        <v>228</v>
      </c>
      <c r="B22" s="18" t="str">
        <f aca="false">IFERROR(INDEX('SKU Data'!$B$2:$B$1780,MATCH($A22,'SKU Data'!$A$2:$A$1780,0)),"")</f>
        <v>Mellow Yellow Bouquet in Mason Jar</v>
      </c>
      <c r="C22" s="19" t="n">
        <f aca="false">IFERROR(INDEX('SKU Data'!$E$2:$E$1780,MATCH($A22,'SKU Data'!$A$2:$A$1780,0)),"")</f>
        <v>373</v>
      </c>
      <c r="D22" s="19" t="n">
        <f aca="false">IFERROR(INDEX('SKU Data'!$F$2:$F$1780,MATCH($A22,'SKU Data'!$A$2:$A$1780,0)),"")</f>
        <v>25</v>
      </c>
      <c r="E22" s="20" t="n">
        <f aca="false">IFERROR(INDEX('SKU Data'!$J$2:$J$1780,MATCH($A22,'SKU Data'!$A$2:$A$1780,0)),"")</f>
        <v>0.0670241286863271</v>
      </c>
      <c r="F22" s="21" t="n">
        <f aca="false">IFERROR(INDEX('SKU Data'!$H$2:$H$1780,MATCH($A22,'SKU Data'!$A$2:$A$1780,0)),"")</f>
        <v>2874.25</v>
      </c>
      <c r="G22" s="20" t="n">
        <f aca="false">IFERROR(INDEX('SKU Data'!$K$2:$K$1780,MATCH($A22,'SKU Data'!$A$2:$A$1780,0)),"")</f>
        <v>0.0611972496421954</v>
      </c>
      <c r="H22" s="29" t="n">
        <f aca="false">IFERROR(INDEX('SKU Data'!$O$2:$O$1780,MATCH($A22,'SKU Data'!$A$2:$A$1780,0)),"")</f>
        <v>4.01666875508832</v>
      </c>
      <c r="I22" s="23" t="str">
        <f aca="false">IFERROR(INDEX('SKU Data'!$W$2:$W$1780,MATCH($A22,'SKU Data'!$A$2:$A$1780,0)),"")</f>
        <v>1 - Fix first</v>
      </c>
      <c r="J22" s="23" t="str">
        <f aca="false">IFERROR(INDEX('SKU Data'!$X$2:$X$1780,MATCH($A22,'SKU Data'!$A$2:$A$1780,0)),"")</f>
        <v>HIGH RATE</v>
      </c>
    </row>
    <row r="23" customFormat="false" ht="15" hidden="false" customHeight="false" outlineLevel="0" collapsed="false">
      <c r="A23" s="18" t="s">
        <v>229</v>
      </c>
      <c r="B23" s="18" t="str">
        <f aca="false">IFERROR(INDEX('SKU Data'!$B$2:$B$1780,MATCH($A23,'SKU Data'!$A$2:$A$1780,0)),"")</f>
        <v>Spring Fling Bouquet in Mason Jar</v>
      </c>
      <c r="C23" s="19" t="n">
        <f aca="false">IFERROR(INDEX('SKU Data'!$E$2:$E$1780,MATCH($A23,'SKU Data'!$A$2:$A$1780,0)),"")</f>
        <v>509</v>
      </c>
      <c r="D23" s="19" t="n">
        <f aca="false">IFERROR(INDEX('SKU Data'!$F$2:$F$1780,MATCH($A23,'SKU Data'!$A$2:$A$1780,0)),"")</f>
        <v>24</v>
      </c>
      <c r="E23" s="20" t="n">
        <f aca="false">IFERROR(INDEX('SKU Data'!$J$2:$J$1780,MATCH($A23,'SKU Data'!$A$2:$A$1780,0)),"")</f>
        <v>0.0471512770137525</v>
      </c>
      <c r="F23" s="21" t="n">
        <f aca="false">IFERROR(INDEX('SKU Data'!$H$2:$H$1780,MATCH($A23,'SKU Data'!$A$2:$A$1780,0)),"")</f>
        <v>2561.34</v>
      </c>
      <c r="G23" s="20" t="n">
        <f aca="false">IFERROR(INDEX('SKU Data'!$K$2:$K$1780,MATCH($A23,'SKU Data'!$A$2:$A$1780,0)),"")</f>
        <v>0.0457631879111172</v>
      </c>
      <c r="H23" s="29" t="n">
        <f aca="false">IFERROR(INDEX('SKU Data'!$O$2:$O$1780,MATCH($A23,'SKU Data'!$A$2:$A$1780,0)),"")</f>
        <v>2.10469502503574</v>
      </c>
      <c r="I23" s="23" t="str">
        <f aca="false">IFERROR(INDEX('SKU Data'!$W$2:$W$1780,MATCH($A23,'SKU Data'!$A$2:$A$1780,0)),"")</f>
        <v>2 - Review</v>
      </c>
      <c r="J23" s="23" t="str">
        <f aca="false">IFERROR(INDEX('SKU Data'!$X$2:$X$1780,MATCH($A23,'SKU Data'!$A$2:$A$1780,0)),"")</f>
        <v/>
      </c>
    </row>
    <row r="24" customFormat="false" ht="15" hidden="false" customHeight="false" outlineLevel="0" collapsed="false">
      <c r="A24" s="18" t="s">
        <v>230</v>
      </c>
      <c r="B24" s="18" t="str">
        <f aca="false">IFERROR(INDEX('SKU Data'!$B$2:$B$1780,MATCH($A24,'SKU Data'!$A$2:$A$1780,0)),"")</f>
        <v>Grandeur Bouquet in Mason Jar</v>
      </c>
      <c r="C24" s="19" t="n">
        <f aca="false">IFERROR(INDEX('SKU Data'!$E$2:$E$1780,MATCH($A24,'SKU Data'!$A$2:$A$1780,0)),"")</f>
        <v>554</v>
      </c>
      <c r="D24" s="19" t="n">
        <f aca="false">IFERROR(INDEX('SKU Data'!$F$2:$F$1780,MATCH($A24,'SKU Data'!$A$2:$A$1780,0)),"")</f>
        <v>27</v>
      </c>
      <c r="E24" s="20" t="n">
        <f aca="false">IFERROR(INDEX('SKU Data'!$J$2:$J$1780,MATCH($A24,'SKU Data'!$A$2:$A$1780,0)),"")</f>
        <v>0.0487364620938628</v>
      </c>
      <c r="F24" s="21" t="n">
        <f aca="false">IFERROR(INDEX('SKU Data'!$H$2:$H$1780,MATCH($A24,'SKU Data'!$A$2:$A$1780,0)),"")</f>
        <v>2469.52</v>
      </c>
      <c r="G24" s="20" t="n">
        <f aca="false">IFERROR(INDEX('SKU Data'!$K$2:$K$1780,MATCH($A24,'SKU Data'!$A$2:$A$1780,0)),"")</f>
        <v>0.0459828072802512</v>
      </c>
      <c r="H24" s="29" t="n">
        <f aca="false">IFERROR(INDEX('SKU Data'!$O$2:$O$1780,MATCH($A24,'SKU Data'!$A$2:$A$1780,0)),"")</f>
        <v>2.41108233061123</v>
      </c>
      <c r="I24" s="23" t="str">
        <f aca="false">IFERROR(INDEX('SKU Data'!$W$2:$W$1780,MATCH($A24,'SKU Data'!$A$2:$A$1780,0)),"")</f>
        <v>2 - Review</v>
      </c>
      <c r="J24" s="23" t="str">
        <f aca="false">IFERROR(INDEX('SKU Data'!$X$2:$X$1780,MATCH($A24,'SKU Data'!$A$2:$A$1780,0)),"")</f>
        <v/>
      </c>
    </row>
    <row r="25" customFormat="false" ht="15" hidden="false" customHeight="false" outlineLevel="0" collapsed="false">
      <c r="A25" s="18" t="s">
        <v>231</v>
      </c>
      <c r="B25" s="18" t="str">
        <f aca="false">IFERROR(INDEX('SKU Data'!$B$2:$B$1780,MATCH($A25,'SKU Data'!$A$2:$A$1780,0)),"")</f>
        <v>Walking on Sunshine Bouquet in Mason Jar</v>
      </c>
      <c r="C25" s="19" t="n">
        <f aca="false">IFERROR(INDEX('SKU Data'!$E$2:$E$1780,MATCH($A25,'SKU Data'!$A$2:$A$1780,0)),"")</f>
        <v>487</v>
      </c>
      <c r="D25" s="19" t="n">
        <f aca="false">IFERROR(INDEX('SKU Data'!$F$2:$F$1780,MATCH($A25,'SKU Data'!$A$2:$A$1780,0)),"")</f>
        <v>33</v>
      </c>
      <c r="E25" s="20" t="n">
        <f aca="false">IFERROR(INDEX('SKU Data'!$J$2:$J$1780,MATCH($A25,'SKU Data'!$A$2:$A$1780,0)),"")</f>
        <v>0.0677618069815195</v>
      </c>
      <c r="F25" s="21" t="n">
        <f aca="false">IFERROR(INDEX('SKU Data'!$H$2:$H$1780,MATCH($A25,'SKU Data'!$A$2:$A$1780,0)),"")</f>
        <v>2389.19</v>
      </c>
      <c r="G25" s="20" t="n">
        <f aca="false">IFERROR(INDEX('SKU Data'!$K$2:$K$1780,MATCH($A25,'SKU Data'!$A$2:$A$1780,0)),"")</f>
        <v>0.0598853921341567</v>
      </c>
      <c r="H25" s="29" t="n">
        <f aca="false">IFERROR(INDEX('SKU Data'!$O$2:$O$1780,MATCH($A25,'SKU Data'!$A$2:$A$1780,0)),"")</f>
        <v>4.68356011405258</v>
      </c>
      <c r="I25" s="23" t="str">
        <f aca="false">IFERROR(INDEX('SKU Data'!$W$2:$W$1780,MATCH($A25,'SKU Data'!$A$2:$A$1780,0)),"")</f>
        <v>1 - Fix first</v>
      </c>
      <c r="J25" s="23" t="str">
        <f aca="false">IFERROR(INDEX('SKU Data'!$X$2:$X$1780,MATCH($A25,'SKU Data'!$A$2:$A$1780,0)),"")</f>
        <v>HIGH RATE</v>
      </c>
    </row>
    <row r="26" customFormat="false" ht="15" hidden="false" customHeight="false" outlineLevel="0" collapsed="false">
      <c r="A26" s="18" t="s">
        <v>232</v>
      </c>
      <c r="B26" s="18" t="str">
        <f aca="false">IFERROR(INDEX('SKU Data'!$B$2:$B$1780,MATCH($A26,'SKU Data'!$A$2:$A$1780,0)),"")</f>
        <v>Sending Solace Bouquet in Mason Jar</v>
      </c>
      <c r="C26" s="19" t="n">
        <f aca="false">IFERROR(INDEX('SKU Data'!$E$2:$E$1780,MATCH($A26,'SKU Data'!$A$2:$A$1780,0)),"")</f>
        <v>512</v>
      </c>
      <c r="D26" s="19" t="n">
        <f aca="false">IFERROR(INDEX('SKU Data'!$F$2:$F$1780,MATCH($A26,'SKU Data'!$A$2:$A$1780,0)),"")</f>
        <v>24</v>
      </c>
      <c r="E26" s="20" t="n">
        <f aca="false">IFERROR(INDEX('SKU Data'!$J$2:$J$1780,MATCH($A26,'SKU Data'!$A$2:$A$1780,0)),"")</f>
        <v>0.046875</v>
      </c>
      <c r="F26" s="21" t="n">
        <f aca="false">IFERROR(INDEX('SKU Data'!$H$2:$H$1780,MATCH($A26,'SKU Data'!$A$2:$A$1780,0)),"")</f>
        <v>2079.38</v>
      </c>
      <c r="G26" s="20" t="n">
        <f aca="false">IFERROR(INDEX('SKU Data'!$K$2:$K$1780,MATCH($A26,'SKU Data'!$A$2:$A$1780,0)),"")</f>
        <v>0.0455777496728602</v>
      </c>
      <c r="H26" s="29" t="n">
        <f aca="false">IFERROR(INDEX('SKU Data'!$O$2:$O$1780,MATCH($A26,'SKU Data'!$A$2:$A$1780,0)),"")</f>
        <v>2.07481131163016</v>
      </c>
      <c r="I26" s="23" t="str">
        <f aca="false">IFERROR(INDEX('SKU Data'!$W$2:$W$1780,MATCH($A26,'SKU Data'!$A$2:$A$1780,0)),"")</f>
        <v>2 - Review</v>
      </c>
      <c r="J26" s="23" t="str">
        <f aca="false">IFERROR(INDEX('SKU Data'!$X$2:$X$1780,MATCH($A26,'SKU Data'!$A$2:$A$1780,0)),"")</f>
        <v/>
      </c>
    </row>
    <row r="27" customFormat="false" ht="15" hidden="false" customHeight="false" outlineLevel="0" collapsed="false">
      <c r="A27" s="18" t="s">
        <v>233</v>
      </c>
      <c r="B27" s="18" t="str">
        <f aca="false">IFERROR(INDEX('SKU Data'!$B$2:$B$1780,MATCH($A27,'SKU Data'!$A$2:$A$1780,0)),"")</f>
        <v>Cherry Bomb Bouquet in Mason Jar</v>
      </c>
      <c r="C27" s="19" t="n">
        <f aca="false">IFERROR(INDEX('SKU Data'!$E$2:$E$1780,MATCH($A27,'SKU Data'!$A$2:$A$1780,0)),"")</f>
        <v>171</v>
      </c>
      <c r="D27" s="19" t="n">
        <f aca="false">IFERROR(INDEX('SKU Data'!$F$2:$F$1780,MATCH($A27,'SKU Data'!$A$2:$A$1780,0)),"")</f>
        <v>16</v>
      </c>
      <c r="E27" s="20" t="n">
        <f aca="false">IFERROR(INDEX('SKU Data'!$J$2:$J$1780,MATCH($A27,'SKU Data'!$A$2:$A$1780,0)),"")</f>
        <v>0.0935672514619883</v>
      </c>
      <c r="F27" s="21" t="n">
        <f aca="false">IFERROR(INDEX('SKU Data'!$H$2:$H$1780,MATCH($A27,'SKU Data'!$A$2:$A$1780,0)),"")</f>
        <v>1832.99</v>
      </c>
      <c r="G27" s="20" t="n">
        <f aca="false">IFERROR(INDEX('SKU Data'!$K$2:$K$1780,MATCH($A27,'SKU Data'!$A$2:$A$1780,0)),"")</f>
        <v>0.0946395416798326</v>
      </c>
      <c r="H27" s="29" t="n">
        <f aca="false">IFERROR(INDEX('SKU Data'!$O$2:$O$1780,MATCH($A27,'SKU Data'!$A$2:$A$1780,0)),"")</f>
        <v>4.72272264759713</v>
      </c>
      <c r="I27" s="23" t="str">
        <f aca="false">IFERROR(INDEX('SKU Data'!$W$2:$W$1780,MATCH($A27,'SKU Data'!$A$2:$A$1780,0)),"")</f>
        <v>1 - Fix first</v>
      </c>
      <c r="J27" s="23" t="str">
        <f aca="false">IFERROR(INDEX('SKU Data'!$X$2:$X$1780,MATCH($A27,'SKU Data'!$A$2:$A$1780,0)),"")</f>
        <v>HIGH RATE</v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{8D3C9122-B890-41AB-804E-AE37160060A8}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3C9122-B890-41AB-804E-AE37160060A8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234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Brands!E7</f>
        <v>882818.48</v>
      </c>
      <c r="B4" s="34" t="n">
        <f aca="false">Brands!F7</f>
        <v>30948.36</v>
      </c>
      <c r="C4" s="35" t="n">
        <f aca="false">Brands!D7</f>
        <v>322</v>
      </c>
      <c r="D4" s="36" t="n">
        <f aca="false">Brands!G7</f>
        <v>0.0378823529411765</v>
      </c>
      <c r="E4" s="37" t="n">
        <f aca="false">Brands!K7</f>
        <v>1.22255754977736</v>
      </c>
      <c r="F4" s="36" t="n">
        <f aca="false">Brands!I7</f>
        <v>0.0618511159351987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236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237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238</v>
      </c>
      <c r="B13" s="18" t="str">
        <f aca="false">IFERROR(INDEX('SKU Data'!$B$2:$B$1780,MATCH($A13,'SKU Data'!$A$2:$A$1780,0)),"")</f>
        <v>Designer Sympathy Collection IV</v>
      </c>
      <c r="C13" s="19" t="n">
        <f aca="false">IFERROR(INDEX('SKU Data'!$E$2:$E$1780,MATCH($A13,'SKU Data'!$A$2:$A$1780,0)),"")</f>
        <v>1695</v>
      </c>
      <c r="D13" s="19" t="n">
        <f aca="false">IFERROR(INDEX('SKU Data'!$F$2:$F$1780,MATCH($A13,'SKU Data'!$A$2:$A$1780,0)),"")</f>
        <v>75</v>
      </c>
      <c r="E13" s="20" t="n">
        <f aca="false">IFERROR(INDEX('SKU Data'!$J$2:$J$1780,MATCH($A13,'SKU Data'!$A$2:$A$1780,0)),"")</f>
        <v>0.0442477876106195</v>
      </c>
      <c r="F13" s="21" t="n">
        <f aca="false">IFERROR(INDEX('SKU Data'!$H$2:$H$1780,MATCH($A13,'SKU Data'!$A$2:$A$1780,0)),"")</f>
        <v>8683.47</v>
      </c>
      <c r="G13" s="20" t="n">
        <f aca="false">IFERROR(INDEX('SKU Data'!$K$2:$K$1780,MATCH($A13,'SKU Data'!$A$2:$A$1780,0)),"")</f>
        <v>0.038986140443168</v>
      </c>
      <c r="H13" s="29" t="n">
        <f aca="false">IFERROR(INDEX('SKU Data'!$O$2:$O$1780,MATCH($A13,'SKU Data'!$A$2:$A$1780,0)),"")</f>
        <v>3.15088942816152</v>
      </c>
      <c r="I13" s="23" t="str">
        <f aca="false">IFERROR(INDEX('SKU Data'!$W$2:$W$1780,MATCH($A13,'SKU Data'!$A$2:$A$1780,0)),"")</f>
        <v>2 - Review</v>
      </c>
      <c r="J13" s="23" t="str">
        <f aca="false">IFERROR(INDEX('SKU Data'!$X$2:$X$1780,MATCH($A13,'SKU Data'!$A$2:$A$1780,0)),"")</f>
        <v>HIGH RATE</v>
      </c>
    </row>
    <row r="14" customFormat="false" ht="15" hidden="false" customHeight="false" outlineLevel="0" collapsed="false">
      <c r="A14" s="18" t="s">
        <v>239</v>
      </c>
      <c r="B14" s="18" t="str">
        <f aca="false">IFERROR(INDEX('SKU Data'!$B$2:$B$1780,MATCH($A14,'SKU Data'!$A$2:$A$1780,0)),"")</f>
        <v>Designer Sympathy Collection II</v>
      </c>
      <c r="C14" s="19" t="n">
        <f aca="false">IFERROR(INDEX('SKU Data'!$E$2:$E$1780,MATCH($A14,'SKU Data'!$A$2:$A$1780,0)),"")</f>
        <v>1482</v>
      </c>
      <c r="D14" s="19" t="n">
        <f aca="false">IFERROR(INDEX('SKU Data'!$F$2:$F$1780,MATCH($A14,'SKU Data'!$A$2:$A$1780,0)),"")</f>
        <v>62</v>
      </c>
      <c r="E14" s="20" t="n">
        <f aca="false">IFERROR(INDEX('SKU Data'!$J$2:$J$1780,MATCH($A14,'SKU Data'!$A$2:$A$1780,0)),"")</f>
        <v>0.0418353576248313</v>
      </c>
      <c r="F14" s="21" t="n">
        <f aca="false">IFERROR(INDEX('SKU Data'!$H$2:$H$1780,MATCH($A14,'SKU Data'!$A$2:$A$1780,0)),"")</f>
        <v>6122.41</v>
      </c>
      <c r="G14" s="20" t="n">
        <f aca="false">IFERROR(INDEX('SKU Data'!$K$2:$K$1780,MATCH($A14,'SKU Data'!$A$2:$A$1780,0)),"")</f>
        <v>0.0377796553210642</v>
      </c>
      <c r="H14" s="29" t="n">
        <f aca="false">IFERROR(INDEX('SKU Data'!$O$2:$O$1780,MATCH($A14,'SKU Data'!$A$2:$A$1780,0)),"")</f>
        <v>2.41031203979615</v>
      </c>
      <c r="I14" s="23" t="str">
        <f aca="false">IFERROR(INDEX('SKU Data'!$W$2:$W$1780,MATCH($A14,'SKU Data'!$A$2:$A$1780,0)),"")</f>
        <v>2 - Review</v>
      </c>
      <c r="J14" s="23" t="str">
        <f aca="false">IFERROR(INDEX('SKU Data'!$X$2:$X$1780,MATCH($A14,'SKU Data'!$A$2:$A$1780,0)),"")</f>
        <v/>
      </c>
    </row>
    <row r="15" customFormat="false" ht="15" hidden="false" customHeight="false" outlineLevel="0" collapsed="false">
      <c r="A15" s="18" t="s">
        <v>240</v>
      </c>
      <c r="B15" s="18" t="str">
        <f aca="false">IFERROR(INDEX('SKU Data'!$B$2:$B$1780,MATCH($A15,'SKU Data'!$A$2:$A$1780,0)),"")</f>
        <v>Designer Sympathy Collection III</v>
      </c>
      <c r="C15" s="19" t="n">
        <f aca="false">IFERROR(INDEX('SKU Data'!$E$2:$E$1780,MATCH($A15,'SKU Data'!$A$2:$A$1780,0)),"")</f>
        <v>995</v>
      </c>
      <c r="D15" s="19" t="n">
        <f aca="false">IFERROR(INDEX('SKU Data'!$F$2:$F$1780,MATCH($A15,'SKU Data'!$A$2:$A$1780,0)),"")</f>
        <v>39</v>
      </c>
      <c r="E15" s="20" t="n">
        <f aca="false">IFERROR(INDEX('SKU Data'!$J$2:$J$1780,MATCH($A15,'SKU Data'!$A$2:$A$1780,0)),"")</f>
        <v>0.0391959798994975</v>
      </c>
      <c r="F15" s="21" t="n">
        <f aca="false">IFERROR(INDEX('SKU Data'!$H$2:$H$1780,MATCH($A15,'SKU Data'!$A$2:$A$1780,0)),"")</f>
        <v>4565.17</v>
      </c>
      <c r="G15" s="20" t="n">
        <f aca="false">IFERROR(INDEX('SKU Data'!$K$2:$K$1780,MATCH($A15,'SKU Data'!$A$2:$A$1780,0)),"")</f>
        <v>0.035758936561779</v>
      </c>
      <c r="H15" s="29" t="n">
        <f aca="false">IFERROR(INDEX('SKU Data'!$O$2:$O$1780,MATCH($A15,'SKU Data'!$A$2:$A$1780,0)),"")</f>
        <v>1.49450314492304</v>
      </c>
      <c r="I15" s="23" t="str">
        <f aca="false">IFERROR(INDEX('SKU Data'!$W$2:$W$1780,MATCH($A15,'SKU Data'!$A$2:$A$1780,0)),"")</f>
        <v>2 - Review</v>
      </c>
      <c r="J15" s="23" t="str">
        <f aca="false">IFERROR(INDEX('SKU Data'!$X$2:$X$1780,MATCH($A15,'SKU Data'!$A$2:$A$1780,0)),"")</f>
        <v/>
      </c>
    </row>
    <row r="16" customFormat="false" ht="15" hidden="false" customHeight="false" outlineLevel="0" collapsed="false">
      <c r="A16" s="18" t="s">
        <v>241</v>
      </c>
      <c r="B16" s="18" t="str">
        <f aca="false">IFERROR(INDEX('SKU Data'!$B$2:$B$1780,MATCH($A16,'SKU Data'!$A$2:$A$1780,0)),"")</f>
        <v>Designer Sympathy Collection I</v>
      </c>
      <c r="C16" s="19" t="n">
        <f aca="false">IFERROR(INDEX('SKU Data'!$E$2:$E$1780,MATCH($A16,'SKU Data'!$A$2:$A$1780,0)),"")</f>
        <v>1991</v>
      </c>
      <c r="D16" s="19" t="n">
        <f aca="false">IFERROR(INDEX('SKU Data'!$F$2:$F$1780,MATCH($A16,'SKU Data'!$A$2:$A$1780,0)),"")</f>
        <v>60</v>
      </c>
      <c r="E16" s="20" t="n">
        <f aca="false">IFERROR(INDEX('SKU Data'!$J$2:$J$1780,MATCH($A16,'SKU Data'!$A$2:$A$1780,0)),"")</f>
        <v>0.0301356102461075</v>
      </c>
      <c r="F16" s="21" t="n">
        <f aca="false">IFERROR(INDEX('SKU Data'!$H$2:$H$1780,MATCH($A16,'SKU Data'!$A$2:$A$1780,0)),"")</f>
        <v>4255.73</v>
      </c>
      <c r="G16" s="20" t="n">
        <f aca="false">IFERROR(INDEX('SKU Data'!$K$2:$K$1780,MATCH($A16,'SKU Data'!$A$2:$A$1780,0)),"")</f>
        <v>0.0269018970454204</v>
      </c>
      <c r="H16" s="29" t="n">
        <f aca="false">IFERROR(INDEX('SKU Data'!$O$2:$O$1780,MATCH($A16,'SKU Data'!$A$2:$A$1780,0)),"")</f>
        <v>-0.219019099775949</v>
      </c>
      <c r="I16" s="23" t="str">
        <f aca="false">IFERROR(INDEX('SKU Data'!$W$2:$W$1780,MATCH($A16,'SKU Data'!$A$2:$A$1780,0)),"")</f>
        <v>3 - Monitor</v>
      </c>
      <c r="J16" s="23" t="str">
        <f aca="false">IFERROR(INDEX('SKU Data'!$X$2:$X$1780,MATCH($A16,'SKU Data'!$A$2:$A$1780,0)),"")</f>
        <v/>
      </c>
    </row>
    <row r="17" customFormat="false" ht="15" hidden="false" customHeight="false" outlineLevel="0" collapsed="false">
      <c r="A17" s="18" t="s">
        <v>242</v>
      </c>
      <c r="B17" s="18" t="str">
        <f aca="false">IFERROR(INDEX('SKU Data'!$B$2:$B$1780,MATCH($A17,'SKU Data'!$A$2:$A$1780,0)),"")</f>
        <v>Birthday Designer Collection II</v>
      </c>
      <c r="C17" s="19" t="n">
        <f aca="false">IFERROR(INDEX('SKU Data'!$E$2:$E$1780,MATCH($A17,'SKU Data'!$A$2:$A$1780,0)),"")</f>
        <v>322</v>
      </c>
      <c r="D17" s="19" t="n">
        <f aca="false">IFERROR(INDEX('SKU Data'!$F$2:$F$1780,MATCH($A17,'SKU Data'!$A$2:$A$1780,0)),"")</f>
        <v>28</v>
      </c>
      <c r="E17" s="20" t="n">
        <f aca="false">IFERROR(INDEX('SKU Data'!$J$2:$J$1780,MATCH($A17,'SKU Data'!$A$2:$A$1780,0)),"")</f>
        <v>0.0869565217391304</v>
      </c>
      <c r="F17" s="21" t="n">
        <f aca="false">IFERROR(INDEX('SKU Data'!$H$2:$H$1780,MATCH($A17,'SKU Data'!$A$2:$A$1780,0)),"")</f>
        <v>2889.28</v>
      </c>
      <c r="G17" s="20" t="n">
        <f aca="false">IFERROR(INDEX('SKU Data'!$K$2:$K$1780,MATCH($A17,'SKU Data'!$A$2:$A$1780,0)),"")</f>
        <v>0.0830972811214314</v>
      </c>
      <c r="H17" s="29" t="n">
        <f aca="false">IFERROR(INDEX('SKU Data'!$O$2:$O$1780,MATCH($A17,'SKU Data'!$A$2:$A$1780,0)),"")</f>
        <v>5.79611921987906</v>
      </c>
      <c r="I17" s="23" t="str">
        <f aca="false">IFERROR(INDEX('SKU Data'!$W$2:$W$1780,MATCH($A17,'SKU Data'!$A$2:$A$1780,0)),"")</f>
        <v>1 - Fix first</v>
      </c>
      <c r="J17" s="23" t="str">
        <f aca="false">IFERROR(INDEX('SKU Data'!$X$2:$X$1780,MATCH($A17,'SKU Data'!$A$2:$A$1780,0)),"")</f>
        <v>HIGH RATE</v>
      </c>
    </row>
    <row r="18" customFormat="false" ht="15" hidden="false" customHeight="false" outlineLevel="0" collapsed="false">
      <c r="A18" s="18" t="s">
        <v>243</v>
      </c>
      <c r="B18" s="18" t="str">
        <f aca="false">IFERROR(INDEX('SKU Data'!$B$2:$B$1780,MATCH($A18,'SKU Data'!$A$2:$A$1780,0)),"")</f>
        <v>Birthday Designer Collection I</v>
      </c>
      <c r="C18" s="19" t="n">
        <f aca="false">IFERROR(INDEX('SKU Data'!$E$2:$E$1780,MATCH($A18,'SKU Data'!$A$2:$A$1780,0)),"")</f>
        <v>906</v>
      </c>
      <c r="D18" s="19" t="n">
        <f aca="false">IFERROR(INDEX('SKU Data'!$F$2:$F$1780,MATCH($A18,'SKU Data'!$A$2:$A$1780,0)),"")</f>
        <v>36</v>
      </c>
      <c r="E18" s="20" t="n">
        <f aca="false">IFERROR(INDEX('SKU Data'!$J$2:$J$1780,MATCH($A18,'SKU Data'!$A$2:$A$1780,0)),"")</f>
        <v>0.0397350993377483</v>
      </c>
      <c r="F18" s="21" t="n">
        <f aca="false">IFERROR(INDEX('SKU Data'!$H$2:$H$1780,MATCH($A18,'SKU Data'!$A$2:$A$1780,0)),"")</f>
        <v>2433.11</v>
      </c>
      <c r="G18" s="20" t="n">
        <f aca="false">IFERROR(INDEX('SKU Data'!$K$2:$K$1780,MATCH($A18,'SKU Data'!$A$2:$A$1780,0)),"")</f>
        <v>0.0344859843418315</v>
      </c>
      <c r="H18" s="29" t="n">
        <f aca="false">IFERROR(INDEX('SKU Data'!$O$2:$O$1780,MATCH($A18,'SKU Data'!$A$2:$A$1780,0)),"")</f>
        <v>1.51974645122457</v>
      </c>
      <c r="I18" s="23" t="str">
        <f aca="false">IFERROR(INDEX('SKU Data'!$W$2:$W$1780,MATCH($A18,'SKU Data'!$A$2:$A$1780,0)),"")</f>
        <v>3 - Monitor</v>
      </c>
      <c r="J18" s="23" t="str">
        <f aca="false">IFERROR(INDEX('SKU Data'!$X$2:$X$1780,MATCH($A18,'SKU Data'!$A$2:$A$1780,0)),"")</f>
        <v/>
      </c>
    </row>
    <row r="19" customFormat="false" ht="15" hidden="false" customHeight="false" outlineLevel="0" collapsed="false">
      <c r="A19" s="18" t="s">
        <v>244</v>
      </c>
      <c r="B19" s="18" t="str">
        <f aca="false">IFERROR(INDEX('SKU Data'!$B$2:$B$1780,MATCH($A19,'SKU Data'!$A$2:$A$1780,0)),"")</f>
        <v>Designer Collection Anniversary I</v>
      </c>
      <c r="C19" s="19" t="n">
        <f aca="false">IFERROR(INDEX('SKU Data'!$E$2:$E$1780,MATCH($A19,'SKU Data'!$A$2:$A$1780,0)),"")</f>
        <v>801</v>
      </c>
      <c r="D19" s="19" t="n">
        <f aca="false">IFERROR(INDEX('SKU Data'!$F$2:$F$1780,MATCH($A19,'SKU Data'!$A$2:$A$1780,0)),"")</f>
        <v>9</v>
      </c>
      <c r="E19" s="20" t="n">
        <f aca="false">IFERROR(INDEX('SKU Data'!$J$2:$J$1780,MATCH($A19,'SKU Data'!$A$2:$A$1780,0)),"")</f>
        <v>0.0112359550561798</v>
      </c>
      <c r="F19" s="21" t="n">
        <f aca="false">IFERROR(INDEX('SKU Data'!$H$2:$H$1780,MATCH($A19,'SKU Data'!$A$2:$A$1780,0)),"")</f>
        <v>669.8</v>
      </c>
      <c r="G19" s="20" t="n">
        <f aca="false">IFERROR(INDEX('SKU Data'!$K$2:$K$1780,MATCH($A19,'SKU Data'!$A$2:$A$1780,0)),"")</f>
        <v>0.00971047194227416</v>
      </c>
      <c r="H19" s="29" t="n">
        <f aca="false">IFERROR(INDEX('SKU Data'!$O$2:$O$1780,MATCH($A19,'SKU Data'!$A$2:$A$1780,0)),"")</f>
        <v>-3.22581056143293</v>
      </c>
      <c r="I19" s="23" t="str">
        <f aca="false">IFERROR(INDEX('SKU Data'!$W$2:$W$1780,MATCH($A19,'SKU Data'!$A$2:$A$1780,0)),"")</f>
        <v>3 - Monitor</v>
      </c>
      <c r="J19" s="23" t="str">
        <f aca="false">IFERROR(INDEX('SKU Data'!$X$2:$X$1780,MATCH($A19,'SKU Data'!$A$2:$A$1780,0)),"")</f>
        <v/>
      </c>
    </row>
    <row r="20" customFormat="false" ht="15" hidden="false" customHeight="false" outlineLevel="0" collapsed="false">
      <c r="A20" s="18" t="s">
        <v>245</v>
      </c>
      <c r="B20" s="18" t="str">
        <f aca="false">IFERROR(INDEX('SKU Data'!$B$2:$B$1780,MATCH($A20,'SKU Data'!$A$2:$A$1780,0)),"")</f>
        <v>Designer Collection Anniversary II</v>
      </c>
      <c r="C20" s="19" t="n">
        <f aca="false">IFERROR(INDEX('SKU Data'!$E$2:$E$1780,MATCH($A20,'SKU Data'!$A$2:$A$1780,0)),"")</f>
        <v>119</v>
      </c>
      <c r="D20" s="19" t="n">
        <f aca="false">IFERROR(INDEX('SKU Data'!$F$2:$F$1780,MATCH($A20,'SKU Data'!$A$2:$A$1780,0)),"")</f>
        <v>6</v>
      </c>
      <c r="E20" s="20" t="n">
        <f aca="false">IFERROR(INDEX('SKU Data'!$J$2:$J$1780,MATCH($A20,'SKU Data'!$A$2:$A$1780,0)),"")</f>
        <v>0.0504201680672269</v>
      </c>
      <c r="F20" s="21" t="n">
        <f aca="false">IFERROR(INDEX('SKU Data'!$H$2:$H$1780,MATCH($A20,'SKU Data'!$A$2:$A$1780,0)),"")</f>
        <v>466.03</v>
      </c>
      <c r="G20" s="20" t="n">
        <f aca="false">IFERROR(INDEX('SKU Data'!$K$2:$K$1780,MATCH($A20,'SKU Data'!$A$2:$A$1780,0)),"")</f>
        <v>0.043523901582543</v>
      </c>
      <c r="H20" s="29" t="n">
        <f aca="false">IFERROR(INDEX('SKU Data'!$O$2:$O$1780,MATCH($A20,'SKU Data'!$A$2:$A$1780,0)),"")</f>
        <v>1.22345288593636</v>
      </c>
      <c r="I20" s="23" t="str">
        <f aca="false">IFERROR(INDEX('SKU Data'!$W$2:$W$1780,MATCH($A20,'SKU Data'!$A$2:$A$1780,0)),"")</f>
        <v>3 - Monitor</v>
      </c>
      <c r="J20" s="23" t="str">
        <f aca="false">IFERROR(INDEX('SKU Data'!$X$2:$X$1780,MATCH($A20,'SKU Data'!$A$2:$A$1780,0)),"")</f>
        <v/>
      </c>
    </row>
    <row r="21" customFormat="false" ht="15" hidden="false" customHeight="false" outlineLevel="0" collapsed="false">
      <c r="A21" s="18" t="s">
        <v>246</v>
      </c>
      <c r="B21" s="18" t="str">
        <f aca="false">IFERROR(INDEX('SKU Data'!$B$2:$B$1780,MATCH($A21,'SKU Data'!$A$2:$A$1780,0)),"")</f>
        <v>Birthday Designer Collection IV</v>
      </c>
      <c r="C21" s="19" t="n">
        <f aca="false">IFERROR(INDEX('SKU Data'!$E$2:$E$1780,MATCH($A21,'SKU Data'!$A$2:$A$1780,0)),"")</f>
        <v>72</v>
      </c>
      <c r="D21" s="19" t="n">
        <f aca="false">IFERROR(INDEX('SKU Data'!$F$2:$F$1780,MATCH($A21,'SKU Data'!$A$2:$A$1780,0)),"")</f>
        <v>3</v>
      </c>
      <c r="E21" s="20" t="n">
        <f aca="false">IFERROR(INDEX('SKU Data'!$J$2:$J$1780,MATCH($A21,'SKU Data'!$A$2:$A$1780,0)),"")</f>
        <v>0.0416666666666667</v>
      </c>
      <c r="F21" s="21" t="n">
        <f aca="false">IFERROR(INDEX('SKU Data'!$H$2:$H$1780,MATCH($A21,'SKU Data'!$A$2:$A$1780,0)),"")</f>
        <v>374.66</v>
      </c>
      <c r="G21" s="20" t="n">
        <f aca="false">IFERROR(INDEX('SKU Data'!$K$2:$K$1780,MATCH($A21,'SKU Data'!$A$2:$A$1780,0)),"")</f>
        <v>0.0326332164439497</v>
      </c>
      <c r="H21" s="29" t="n">
        <f aca="false">IFERROR(INDEX('SKU Data'!$O$2:$O$1780,MATCH($A21,'SKU Data'!$A$2:$A$1780,0)),"")</f>
        <v>0.52300959618651</v>
      </c>
      <c r="I21" s="23" t="str">
        <f aca="false">IFERROR(INDEX('SKU Data'!$W$2:$W$1780,MATCH($A21,'SKU Data'!$A$2:$A$1780,0)),"")</f>
        <v>3 - Monitor</v>
      </c>
      <c r="J21" s="23" t="str">
        <f aca="false">IFERROR(INDEX('SKU Data'!$X$2:$X$1780,MATCH($A21,'SKU Data'!$A$2:$A$1780,0)),"")</f>
        <v/>
      </c>
    </row>
    <row r="22" customFormat="false" ht="15" hidden="false" customHeight="false" outlineLevel="0" collapsed="false">
      <c r="A22" s="18" t="s">
        <v>247</v>
      </c>
      <c r="B22" s="18" t="str">
        <f aca="false">IFERROR(INDEX('SKU Data'!$B$2:$B$1780,MATCH($A22,'SKU Data'!$A$2:$A$1780,0)),"")</f>
        <v>Birthday Designer Collection III</v>
      </c>
      <c r="C22" s="19" t="n">
        <f aca="false">IFERROR(INDEX('SKU Data'!$E$2:$E$1780,MATCH($A22,'SKU Data'!$A$2:$A$1780,0)),"")</f>
        <v>64</v>
      </c>
      <c r="D22" s="19" t="n">
        <f aca="false">IFERROR(INDEX('SKU Data'!$F$2:$F$1780,MATCH($A22,'SKU Data'!$A$2:$A$1780,0)),"")</f>
        <v>2</v>
      </c>
      <c r="E22" s="20" t="n">
        <f aca="false">IFERROR(INDEX('SKU Data'!$J$2:$J$1780,MATCH($A22,'SKU Data'!$A$2:$A$1780,0)),"")</f>
        <v>0.03125</v>
      </c>
      <c r="F22" s="21" t="n">
        <f aca="false">IFERROR(INDEX('SKU Data'!$H$2:$H$1780,MATCH($A22,'SKU Data'!$A$2:$A$1780,0)),"")</f>
        <v>251.51</v>
      </c>
      <c r="G22" s="20" t="n">
        <f aca="false">IFERROR(INDEX('SKU Data'!$K$2:$K$1780,MATCH($A22,'SKU Data'!$A$2:$A$1780,0)),"")</f>
        <v>0.0287060751738275</v>
      </c>
      <c r="H22" s="29" t="n">
        <f aca="false">IFERROR(INDEX('SKU Data'!$O$2:$O$1780,MATCH($A22,'SKU Data'!$A$2:$A$1780,0)),"")</f>
        <v>0.0121813802202306</v>
      </c>
      <c r="I22" s="23" t="str">
        <f aca="false">IFERROR(INDEX('SKU Data'!$W$2:$W$1780,MATCH($A22,'SKU Data'!$A$2:$A$1780,0)),"")</f>
        <v>3 - Monitor</v>
      </c>
      <c r="J22" s="23" t="str">
        <f aca="false">IFERROR(INDEX('SKU Data'!$X$2:$X$1780,MATCH($A22,'SKU Data'!$A$2:$A$1780,0)),"")</f>
        <v/>
      </c>
    </row>
    <row r="23" customFormat="false" ht="15" hidden="false" customHeight="false" outlineLevel="0" collapsed="false">
      <c r="A23" s="18" t="s">
        <v>248</v>
      </c>
      <c r="B23" s="18" t="str">
        <f aca="false">IFERROR(INDEX('SKU Data'!$B$2:$B$1780,MATCH($A23,'SKU Data'!$A$2:$A$1780,0)),"")</f>
        <v>Designer Collection Anniversary III</v>
      </c>
      <c r="C23" s="19" t="n">
        <f aca="false">IFERROR(INDEX('SKU Data'!$E$2:$E$1780,MATCH($A23,'SKU Data'!$A$2:$A$1780,0)),"")</f>
        <v>47</v>
      </c>
      <c r="D23" s="19" t="n">
        <f aca="false">IFERROR(INDEX('SKU Data'!$F$2:$F$1780,MATCH($A23,'SKU Data'!$A$2:$A$1780,0)),"")</f>
        <v>2</v>
      </c>
      <c r="E23" s="20" t="n">
        <f aca="false">IFERROR(INDEX('SKU Data'!$J$2:$J$1780,MATCH($A23,'SKU Data'!$A$2:$A$1780,0)),"")</f>
        <v>0.0425531914893617</v>
      </c>
      <c r="F23" s="21" t="n">
        <f aca="false">IFERROR(INDEX('SKU Data'!$H$2:$H$1780,MATCH($A23,'SKU Data'!$A$2:$A$1780,0)),"")</f>
        <v>237.19</v>
      </c>
      <c r="G23" s="20" t="n">
        <f aca="false">IFERROR(INDEX('SKU Data'!$K$2:$K$1780,MATCH($A23,'SKU Data'!$A$2:$A$1780,0)),"")</f>
        <v>0.0390274322420987</v>
      </c>
      <c r="H23" s="29" t="n">
        <f aca="false">IFERROR(INDEX('SKU Data'!$O$2:$O$1780,MATCH($A23,'SKU Data'!$A$2:$A$1780,0)),"")</f>
        <v>0.45763830961727</v>
      </c>
      <c r="I23" s="23" t="str">
        <f aca="false">IFERROR(INDEX('SKU Data'!$W$2:$W$1780,MATCH($A23,'SKU Data'!$A$2:$A$1780,0)),"")</f>
        <v>3 - Monitor</v>
      </c>
      <c r="J23" s="23" t="str">
        <f aca="false">IFERROR(INDEX('SKU Data'!$X$2:$X$1780,MATCH($A23,'SKU Data'!$A$2:$A$1780,0)),"")</f>
        <v/>
      </c>
    </row>
    <row r="24" customFormat="false" ht="15" hidden="false" customHeight="false" outlineLevel="0" collapsed="false">
      <c r="A24" s="18" t="s">
        <v>249</v>
      </c>
      <c r="B24" s="18" t="str">
        <f aca="false">IFERROR(INDEX('SKU Data'!$B$2:$B$1780,MATCH($A24,'SKU Data'!$A$2:$A$1780,0)),"")</f>
        <v>Designer Collection Anniversary III</v>
      </c>
      <c r="C24" s="19" t="n">
        <f aca="false">IFERROR(INDEX('SKU Data'!$E$2:$E$1780,MATCH($A24,'SKU Data'!$A$2:$A$1780,0)),"")</f>
        <v>1</v>
      </c>
      <c r="D24" s="19" t="n">
        <f aca="false">IFERROR(INDEX('SKU Data'!$F$2:$F$1780,MATCH($A24,'SKU Data'!$A$2:$A$1780,0)),"")</f>
        <v>0</v>
      </c>
      <c r="E24" s="20" t="n">
        <f aca="false">IFERROR(INDEX('SKU Data'!$J$2:$J$1780,MATCH($A24,'SKU Data'!$A$2:$A$1780,0)),"")</f>
        <v>0</v>
      </c>
      <c r="F24" s="21" t="n">
        <f aca="false">IFERROR(INDEX('SKU Data'!$H$2:$H$1780,MATCH($A24,'SKU Data'!$A$2:$A$1780,0)),"")</f>
        <v>-0</v>
      </c>
      <c r="G24" s="20" t="n">
        <f aca="false">IFERROR(INDEX('SKU Data'!$K$2:$K$1780,MATCH($A24,'SKU Data'!$A$2:$A$1780,0)),"")</f>
        <v>-0</v>
      </c>
      <c r="H24" s="29" t="n">
        <f aca="false">IFERROR(INDEX('SKU Data'!$O$2:$O$1780,MATCH($A24,'SKU Data'!$A$2:$A$1780,0)),"")</f>
        <v>-0.178821125934444</v>
      </c>
      <c r="I24" s="23" t="str">
        <f aca="false">IFERROR(INDEX('SKU Data'!$W$2:$W$1780,MATCH($A24,'SKU Data'!$A$2:$A$1780,0)),"")</f>
        <v/>
      </c>
      <c r="J24" s="23" t="str">
        <f aca="false">IFERROR(INDEX('SKU Data'!$X$2:$X$1780,MATCH($A24,'SKU Data'!$A$2:$A$1780,0)),"")</f>
        <v/>
      </c>
    </row>
    <row r="25" customFormat="false" ht="15" hidden="false" customHeight="false" outlineLevel="0" collapsed="false">
      <c r="A25" s="18" t="s">
        <v>250</v>
      </c>
      <c r="B25" s="18" t="str">
        <f aca="false">IFERROR(INDEX('SKU Data'!$B$2:$B$1780,MATCH($A25,'SKU Data'!$A$2:$A$1780,0)),"")</f>
        <v>Designer Collection Anniversary III</v>
      </c>
      <c r="C25" s="19" t="n">
        <f aca="false">IFERROR(INDEX('SKU Data'!$E$2:$E$1780,MATCH($A25,'SKU Data'!$A$2:$A$1780,0)),"")</f>
        <v>1</v>
      </c>
      <c r="D25" s="19" t="n">
        <f aca="false">IFERROR(INDEX('SKU Data'!$F$2:$F$1780,MATCH($A25,'SKU Data'!$A$2:$A$1780,0)),"")</f>
        <v>0</v>
      </c>
      <c r="E25" s="20" t="n">
        <f aca="false">IFERROR(INDEX('SKU Data'!$J$2:$J$1780,MATCH($A25,'SKU Data'!$A$2:$A$1780,0)),"")</f>
        <v>0</v>
      </c>
      <c r="F25" s="21" t="n">
        <f aca="false">IFERROR(INDEX('SKU Data'!$H$2:$H$1780,MATCH($A25,'SKU Data'!$A$2:$A$1780,0)),"")</f>
        <v>-0</v>
      </c>
      <c r="G25" s="20" t="n">
        <f aca="false">IFERROR(INDEX('SKU Data'!$K$2:$K$1780,MATCH($A25,'SKU Data'!$A$2:$A$1780,0)),"")</f>
        <v>-0</v>
      </c>
      <c r="H25" s="29" t="n">
        <f aca="false">IFERROR(INDEX('SKU Data'!$O$2:$O$1780,MATCH($A25,'SKU Data'!$A$2:$A$1780,0)),"")</f>
        <v>-0.178821125934444</v>
      </c>
      <c r="I25" s="23" t="str">
        <f aca="false">IFERROR(INDEX('SKU Data'!$W$2:$W$1780,MATCH($A25,'SKU Data'!$A$2:$A$1780,0)),"")</f>
        <v/>
      </c>
      <c r="J25" s="23" t="str">
        <f aca="false">IFERROR(INDEX('SKU Data'!$X$2:$X$1780,MATCH($A25,'SKU Data'!$A$2:$A$1780,0)),"")</f>
        <v/>
      </c>
    </row>
    <row r="26" customFormat="false" ht="15" hidden="false" customHeight="false" outlineLevel="0" collapsed="false">
      <c r="A26" s="18" t="s">
        <v>251</v>
      </c>
      <c r="B26" s="18" t="str">
        <f aca="false">IFERROR(INDEX('SKU Data'!$B$2:$B$1780,MATCH($A26,'SKU Data'!$A$2:$A$1780,0)),"")</f>
        <v>Designers Collection I (supersize)</v>
      </c>
      <c r="C26" s="19" t="n">
        <f aca="false">IFERROR(INDEX('SKU Data'!$E$2:$E$1780,MATCH($A26,'SKU Data'!$A$2:$A$1780,0)),"")</f>
        <v>1</v>
      </c>
      <c r="D26" s="19" t="n">
        <f aca="false">IFERROR(INDEX('SKU Data'!$F$2:$F$1780,MATCH($A26,'SKU Data'!$A$2:$A$1780,0)),"")</f>
        <v>0</v>
      </c>
      <c r="E26" s="20" t="n">
        <f aca="false">IFERROR(INDEX('SKU Data'!$J$2:$J$1780,MATCH($A26,'SKU Data'!$A$2:$A$1780,0)),"")</f>
        <v>0</v>
      </c>
      <c r="F26" s="21" t="n">
        <f aca="false">IFERROR(INDEX('SKU Data'!$H$2:$H$1780,MATCH($A26,'SKU Data'!$A$2:$A$1780,0)),"")</f>
        <v>-0</v>
      </c>
      <c r="G26" s="20" t="n">
        <f aca="false">IFERROR(INDEX('SKU Data'!$K$2:$K$1780,MATCH($A26,'SKU Data'!$A$2:$A$1780,0)),"")</f>
        <v>-0</v>
      </c>
      <c r="H26" s="29" t="n">
        <f aca="false">IFERROR(INDEX('SKU Data'!$O$2:$O$1780,MATCH($A26,'SKU Data'!$A$2:$A$1780,0)),"")</f>
        <v>-0.178821125934444</v>
      </c>
      <c r="I26" s="23" t="str">
        <f aca="false">IFERROR(INDEX('SKU Data'!$W$2:$W$1780,MATCH($A26,'SKU Data'!$A$2:$A$1780,0)),"")</f>
        <v/>
      </c>
      <c r="J26" s="23" t="str">
        <f aca="false">IFERROR(INDEX('SKU Data'!$X$2:$X$1780,MATCH($A26,'SKU Data'!$A$2:$A$1780,0)),"")</f>
        <v/>
      </c>
    </row>
    <row r="27" customFormat="false" ht="15" hidden="false" customHeight="false" outlineLevel="0" collapsed="false">
      <c r="A27" s="18" t="s">
        <v>252</v>
      </c>
      <c r="B27" s="18" t="str">
        <f aca="false">IFERROR(INDEX('SKU Data'!$B$2:$B$1780,MATCH($A27,'SKU Data'!$A$2:$A$1780,0)),"")</f>
        <v>Designers Collection II</v>
      </c>
      <c r="C27" s="19" t="n">
        <f aca="false">IFERROR(INDEX('SKU Data'!$E$2:$E$1780,MATCH($A27,'SKU Data'!$A$2:$A$1780,0)),"")</f>
        <v>1</v>
      </c>
      <c r="D27" s="19" t="n">
        <f aca="false">IFERROR(INDEX('SKU Data'!$F$2:$F$1780,MATCH($A27,'SKU Data'!$A$2:$A$1780,0)),"")</f>
        <v>0</v>
      </c>
      <c r="E27" s="20" t="n">
        <f aca="false">IFERROR(INDEX('SKU Data'!$J$2:$J$1780,MATCH($A27,'SKU Data'!$A$2:$A$1780,0)),"")</f>
        <v>0</v>
      </c>
      <c r="F27" s="21" t="n">
        <f aca="false">IFERROR(INDEX('SKU Data'!$H$2:$H$1780,MATCH($A27,'SKU Data'!$A$2:$A$1780,0)),"")</f>
        <v>-0</v>
      </c>
      <c r="G27" s="20" t="n">
        <f aca="false">IFERROR(INDEX('SKU Data'!$K$2:$K$1780,MATCH($A27,'SKU Data'!$A$2:$A$1780,0)),"")</f>
        <v>-0</v>
      </c>
      <c r="H27" s="29" t="n">
        <f aca="false">IFERROR(INDEX('SKU Data'!$O$2:$O$1780,MATCH($A27,'SKU Data'!$A$2:$A$1780,0)),"")</f>
        <v>-0.178821125934444</v>
      </c>
      <c r="I27" s="23" t="str">
        <f aca="false">IFERROR(INDEX('SKU Data'!$W$2:$W$1780,MATCH($A27,'SKU Data'!$A$2:$A$1780,0)),"")</f>
        <v/>
      </c>
      <c r="J27" s="23" t="str">
        <f aca="false">IFERROR(INDEX('SKU Data'!$X$2:$X$1780,MATCH($A27,'SKU Data'!$A$2:$A$1780,0)),"")</f>
        <v/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{F762EE3D-8030-442C-AD9F-CC4AC93D11EB}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62EE3D-8030-442C-AD9F-CC4AC93D11EB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253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Brands!E8</f>
        <v>846240.52</v>
      </c>
      <c r="B4" s="34" t="n">
        <f aca="false">Brands!F8</f>
        <v>29423.06</v>
      </c>
      <c r="C4" s="35" t="n">
        <f aca="false">Brands!D8</f>
        <v>461</v>
      </c>
      <c r="D4" s="36" t="n">
        <f aca="false">Brands!G8</f>
        <v>0.0358782784652502</v>
      </c>
      <c r="E4" s="37" t="n">
        <f aca="false">Brands!K8</f>
        <v>1.15788109251864</v>
      </c>
      <c r="F4" s="36" t="n">
        <f aca="false">Brands!I8</f>
        <v>0.058802763546382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254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255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256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257</v>
      </c>
      <c r="B13" s="18" t="str">
        <f aca="false">IFERROR(INDEX('SKU Data'!$B$2:$B$1780,MATCH($A13,'SKU Data'!$A$2:$A$1780,0)),"")</f>
        <v>Delicate Elegance</v>
      </c>
      <c r="C13" s="19" t="n">
        <f aca="false">IFERROR(INDEX('SKU Data'!$E$2:$E$1780,MATCH($A13,'SKU Data'!$A$2:$A$1780,0)),"")</f>
        <v>11490</v>
      </c>
      <c r="D13" s="19" t="n">
        <f aca="false">IFERROR(INDEX('SKU Data'!$F$2:$F$1780,MATCH($A13,'SKU Data'!$A$2:$A$1780,0)),"")</f>
        <v>419</v>
      </c>
      <c r="E13" s="20" t="n">
        <f aca="false">IFERROR(INDEX('SKU Data'!$J$2:$J$1780,MATCH($A13,'SKU Data'!$A$2:$A$1780,0)),"")</f>
        <v>0.0364664926022628</v>
      </c>
      <c r="F13" s="21" t="n">
        <f aca="false">IFERROR(INDEX('SKU Data'!$H$2:$H$1780,MATCH($A13,'SKU Data'!$A$2:$A$1780,0)),"")</f>
        <v>25834.89</v>
      </c>
      <c r="G13" s="20" t="n">
        <f aca="false">IFERROR(INDEX('SKU Data'!$K$2:$K$1780,MATCH($A13,'SKU Data'!$A$2:$A$1780,0)),"")</f>
        <v>0.0354592138726753</v>
      </c>
      <c r="H13" s="29" t="n">
        <f aca="false">IFERROR(INDEX('SKU Data'!$O$2:$O$1780,MATCH($A13,'SKU Data'!$A$2:$A$1780,0)),"")</f>
        <v>3.39014933322057</v>
      </c>
      <c r="I13" s="23" t="str">
        <f aca="false">IFERROR(INDEX('SKU Data'!$W$2:$W$1780,MATCH($A13,'SKU Data'!$A$2:$A$1780,0)),"")</f>
        <v>2 - Review</v>
      </c>
      <c r="J13" s="23" t="str">
        <f aca="false">IFERROR(INDEX('SKU Data'!$X$2:$X$1780,MATCH($A13,'SKU Data'!$A$2:$A$1780,0)),"")</f>
        <v>HIGH RATE</v>
      </c>
    </row>
    <row r="14" customFormat="false" ht="15" hidden="false" customHeight="false" outlineLevel="0" collapsed="false">
      <c r="A14" s="18" t="s">
        <v>258</v>
      </c>
      <c r="B14" s="18" t="str">
        <f aca="false">IFERROR(INDEX('SKU Data'!$B$2:$B$1780,MATCH($A14,'SKU Data'!$A$2:$A$1780,0)),"")</f>
        <v>Pastel Harmony</v>
      </c>
      <c r="C14" s="19" t="n">
        <f aca="false">IFERROR(INDEX('SKU Data'!$E$2:$E$1780,MATCH($A14,'SKU Data'!$A$2:$A$1780,0)),"")</f>
        <v>1106</v>
      </c>
      <c r="D14" s="19" t="n">
        <f aca="false">IFERROR(INDEX('SKU Data'!$F$2:$F$1780,MATCH($A14,'SKU Data'!$A$2:$A$1780,0)),"")</f>
        <v>40</v>
      </c>
      <c r="E14" s="20" t="n">
        <f aca="false">IFERROR(INDEX('SKU Data'!$J$2:$J$1780,MATCH($A14,'SKU Data'!$A$2:$A$1780,0)),"")</f>
        <v>0.0361663652802893</v>
      </c>
      <c r="F14" s="21" t="n">
        <f aca="false">IFERROR(INDEX('SKU Data'!$H$2:$H$1780,MATCH($A14,'SKU Data'!$A$2:$A$1780,0)),"")</f>
        <v>3482.27</v>
      </c>
      <c r="G14" s="20" t="n">
        <f aca="false">IFERROR(INDEX('SKU Data'!$K$2:$K$1780,MATCH($A14,'SKU Data'!$A$2:$A$1780,0)),"")</f>
        <v>0.0345406000115854</v>
      </c>
      <c r="H14" s="29" t="n">
        <f aca="false">IFERROR(INDEX('SKU Data'!$O$2:$O$1780,MATCH($A14,'SKU Data'!$A$2:$A$1780,0)),"")</f>
        <v>0.994206212464704</v>
      </c>
      <c r="I14" s="23" t="str">
        <f aca="false">IFERROR(INDEX('SKU Data'!$W$2:$W$1780,MATCH($A14,'SKU Data'!$A$2:$A$1780,0)),"")</f>
        <v>3 - Monitor</v>
      </c>
      <c r="J14" s="23" t="str">
        <f aca="false">IFERROR(INDEX('SKU Data'!$X$2:$X$1780,MATCH($A14,'SKU Data'!$A$2:$A$1780,0)),"")</f>
        <v/>
      </c>
    </row>
    <row r="15" customFormat="false" ht="15" hidden="false" customHeight="false" outlineLevel="0" collapsed="false">
      <c r="A15" s="18" t="s">
        <v>259</v>
      </c>
      <c r="B15" s="18" t="str">
        <f aca="false">IFERROR(INDEX('SKU Data'!$B$2:$B$1780,MATCH($A15,'SKU Data'!$A$2:$A$1780,0)),"")</f>
        <v>Delicate Elegance</v>
      </c>
      <c r="C15" s="19" t="n">
        <f aca="false">IFERROR(INDEX('SKU Data'!$E$2:$E$1780,MATCH($A15,'SKU Data'!$A$2:$A$1780,0)),"")</f>
        <v>134</v>
      </c>
      <c r="D15" s="19" t="n">
        <f aca="false">IFERROR(INDEX('SKU Data'!$F$2:$F$1780,MATCH($A15,'SKU Data'!$A$2:$A$1780,0)),"")</f>
        <v>2</v>
      </c>
      <c r="E15" s="20" t="n">
        <f aca="false">IFERROR(INDEX('SKU Data'!$J$2:$J$1780,MATCH($A15,'SKU Data'!$A$2:$A$1780,0)),"")</f>
        <v>0.0149253731343284</v>
      </c>
      <c r="F15" s="21" t="n">
        <f aca="false">IFERROR(INDEX('SKU Data'!$H$2:$H$1780,MATCH($A15,'SKU Data'!$A$2:$A$1780,0)),"")</f>
        <v>105.9</v>
      </c>
      <c r="G15" s="20" t="n">
        <f aca="false">IFERROR(INDEX('SKU Data'!$K$2:$K$1780,MATCH($A15,'SKU Data'!$A$2:$A$1780,0)),"")</f>
        <v>0.0149253731343284</v>
      </c>
      <c r="H15" s="29" t="n">
        <f aca="false">IFERROR(INDEX('SKU Data'!$O$2:$O$1780,MATCH($A15,'SKU Data'!$A$2:$A$1780,0)),"")</f>
        <v>-1.07292698384991</v>
      </c>
      <c r="I15" s="23" t="str">
        <f aca="false">IFERROR(INDEX('SKU Data'!$W$2:$W$1780,MATCH($A15,'SKU Data'!$A$2:$A$1780,0)),"")</f>
        <v>3 - Monitor</v>
      </c>
      <c r="J15" s="23" t="str">
        <f aca="false">IFERROR(INDEX('SKU Data'!$X$2:$X$1780,MATCH($A15,'SKU Data'!$A$2:$A$1780,0)),"")</f>
        <v/>
      </c>
    </row>
    <row r="16" customFormat="false" ht="15" hidden="false" customHeight="false" outlineLevel="0" collapsed="false">
      <c r="A16" s="18" t="s">
        <v>260</v>
      </c>
      <c r="B16" s="18" t="str">
        <f aca="false">IFERROR(INDEX('SKU Data'!$B$2:$B$1780,MATCH($A16,'SKU Data'!$A$2:$A$1780,0)),"")</f>
        <v>Pastel Harmony</v>
      </c>
      <c r="C16" s="19" t="n">
        <f aca="false">IFERROR(INDEX('SKU Data'!$E$2:$E$1780,MATCH($A16,'SKU Data'!$A$2:$A$1780,0)),"")</f>
        <v>10</v>
      </c>
      <c r="D16" s="19" t="n">
        <f aca="false">IFERROR(INDEX('SKU Data'!$F$2:$F$1780,MATCH($A16,'SKU Data'!$A$2:$A$1780,0)),"")</f>
        <v>0</v>
      </c>
      <c r="E16" s="20" t="n">
        <f aca="false">IFERROR(INDEX('SKU Data'!$J$2:$J$1780,MATCH($A16,'SKU Data'!$A$2:$A$1780,0)),"")</f>
        <v>0</v>
      </c>
      <c r="F16" s="21" t="n">
        <f aca="false">IFERROR(INDEX('SKU Data'!$H$2:$H$1780,MATCH($A16,'SKU Data'!$A$2:$A$1780,0)),"")</f>
        <v>-0</v>
      </c>
      <c r="G16" s="20" t="n">
        <f aca="false">IFERROR(INDEX('SKU Data'!$K$2:$K$1780,MATCH($A16,'SKU Data'!$A$2:$A$1780,0)),"")</f>
        <v>-0</v>
      </c>
      <c r="H16" s="29" t="n">
        <f aca="false">IFERROR(INDEX('SKU Data'!$O$2:$O$1780,MATCH($A16,'SKU Data'!$A$2:$A$1780,0)),"")</f>
        <v>-0.565482051708649</v>
      </c>
      <c r="I16" s="23" t="str">
        <f aca="false">IFERROR(INDEX('SKU Data'!$W$2:$W$1780,MATCH($A16,'SKU Data'!$A$2:$A$1780,0)),"")</f>
        <v/>
      </c>
      <c r="J16" s="23" t="str">
        <f aca="false">IFERROR(INDEX('SKU Data'!$X$2:$X$1780,MATCH($A16,'SKU Data'!$A$2:$A$1780,0)),"")</f>
        <v/>
      </c>
    </row>
    <row r="17" customFormat="false" ht="15" hidden="false" customHeight="false" outlineLevel="0" collapsed="false">
      <c r="A17" s="18" t="s">
        <v>261</v>
      </c>
      <c r="B17" s="18" t="str">
        <f aca="false">IFERROR(INDEX('SKU Data'!$B$2:$B$1780,MATCH($A17,'SKU Data'!$A$2:$A$1780,0)),"")</f>
        <v>Pastel Harmony</v>
      </c>
      <c r="C17" s="19" t="n">
        <f aca="false">IFERROR(INDEX('SKU Data'!$E$2:$E$1780,MATCH($A17,'SKU Data'!$A$2:$A$1780,0)),"")</f>
        <v>5</v>
      </c>
      <c r="D17" s="19" t="n">
        <f aca="false">IFERROR(INDEX('SKU Data'!$F$2:$F$1780,MATCH($A17,'SKU Data'!$A$2:$A$1780,0)),"")</f>
        <v>0</v>
      </c>
      <c r="E17" s="20" t="n">
        <f aca="false">IFERROR(INDEX('SKU Data'!$J$2:$J$1780,MATCH($A17,'SKU Data'!$A$2:$A$1780,0)),"")</f>
        <v>0</v>
      </c>
      <c r="F17" s="21" t="n">
        <f aca="false">IFERROR(INDEX('SKU Data'!$H$2:$H$1780,MATCH($A17,'SKU Data'!$A$2:$A$1780,0)),"")</f>
        <v>-0</v>
      </c>
      <c r="G17" s="20" t="n">
        <f aca="false">IFERROR(INDEX('SKU Data'!$K$2:$K$1780,MATCH($A17,'SKU Data'!$A$2:$A$1780,0)),"")</f>
        <v>-0</v>
      </c>
      <c r="H17" s="29" t="n">
        <f aca="false">IFERROR(INDEX('SKU Data'!$O$2:$O$1780,MATCH($A17,'SKU Data'!$A$2:$A$1780,0)),"")</f>
        <v>-0.399856193402468</v>
      </c>
      <c r="I17" s="23" t="str">
        <f aca="false">IFERROR(INDEX('SKU Data'!$W$2:$W$1780,MATCH($A17,'SKU Data'!$A$2:$A$1780,0)),"")</f>
        <v/>
      </c>
      <c r="J17" s="23" t="str">
        <f aca="false">IFERROR(INDEX('SKU Data'!$X$2:$X$1780,MATCH($A17,'SKU Data'!$A$2:$A$1780,0)),"")</f>
        <v/>
      </c>
    </row>
    <row r="18" customFormat="false" ht="15" hidden="false" customHeight="false" outlineLevel="0" collapsed="false">
      <c r="A18" s="18" t="s">
        <v>262</v>
      </c>
      <c r="B18" s="18" t="str">
        <f aca="false">IFERROR(INDEX('SKU Data'!$B$2:$B$1780,MATCH($A18,'SKU Data'!$A$2:$A$1780,0)),"")</f>
        <v>Pastel Harmony</v>
      </c>
      <c r="C18" s="19" t="n">
        <f aca="false">IFERROR(INDEX('SKU Data'!$E$2:$E$1780,MATCH($A18,'SKU Data'!$A$2:$A$1780,0)),"")</f>
        <v>3</v>
      </c>
      <c r="D18" s="19" t="n">
        <f aca="false">IFERROR(INDEX('SKU Data'!$F$2:$F$1780,MATCH($A18,'SKU Data'!$A$2:$A$1780,0)),"")</f>
        <v>0</v>
      </c>
      <c r="E18" s="20" t="n">
        <f aca="false">IFERROR(INDEX('SKU Data'!$J$2:$J$1780,MATCH($A18,'SKU Data'!$A$2:$A$1780,0)),"")</f>
        <v>0</v>
      </c>
      <c r="F18" s="21" t="n">
        <f aca="false">IFERROR(INDEX('SKU Data'!$H$2:$H$1780,MATCH($A18,'SKU Data'!$A$2:$A$1780,0)),"")</f>
        <v>-0</v>
      </c>
      <c r="G18" s="20" t="n">
        <f aca="false">IFERROR(INDEX('SKU Data'!$K$2:$K$1780,MATCH($A18,'SKU Data'!$A$2:$A$1780,0)),"")</f>
        <v>-0</v>
      </c>
      <c r="H18" s="29" t="n">
        <f aca="false">IFERROR(INDEX('SKU Data'!$O$2:$O$1780,MATCH($A18,'SKU Data'!$A$2:$A$1780,0)),"")</f>
        <v>-0.30972727558513</v>
      </c>
      <c r="I18" s="23" t="str">
        <f aca="false">IFERROR(INDEX('SKU Data'!$W$2:$W$1780,MATCH($A18,'SKU Data'!$A$2:$A$1780,0)),"")</f>
        <v/>
      </c>
      <c r="J18" s="23" t="str">
        <f aca="false">IFERROR(INDEX('SKU Data'!$X$2:$X$1780,MATCH($A18,'SKU Data'!$A$2:$A$1780,0)),"")</f>
        <v/>
      </c>
    </row>
    <row r="19" customFormat="false" ht="15" hidden="false" customHeight="false" outlineLevel="0" collapsed="false">
      <c r="A19" s="18" t="s">
        <v>263</v>
      </c>
      <c r="B19" s="18" t="str">
        <f aca="false">IFERROR(INDEX('SKU Data'!$B$2:$B$1780,MATCH($A19,'SKU Data'!$A$2:$A$1780,0)),"")</f>
        <v>Pastel Harmony</v>
      </c>
      <c r="C19" s="19" t="n">
        <f aca="false">IFERROR(INDEX('SKU Data'!$E$2:$E$1780,MATCH($A19,'SKU Data'!$A$2:$A$1780,0)),"")</f>
        <v>19</v>
      </c>
      <c r="D19" s="19" t="n">
        <f aca="false">IFERROR(INDEX('SKU Data'!$F$2:$F$1780,MATCH($A19,'SKU Data'!$A$2:$A$1780,0)),"")</f>
        <v>0</v>
      </c>
      <c r="E19" s="20" t="n">
        <f aca="false">IFERROR(INDEX('SKU Data'!$J$2:$J$1780,MATCH($A19,'SKU Data'!$A$2:$A$1780,0)),"")</f>
        <v>0</v>
      </c>
      <c r="F19" s="21" t="n">
        <f aca="false">IFERROR(INDEX('SKU Data'!$H$2:$H$1780,MATCH($A19,'SKU Data'!$A$2:$A$1780,0)),"")</f>
        <v>-0</v>
      </c>
      <c r="G19" s="20" t="n">
        <f aca="false">IFERROR(INDEX('SKU Data'!$K$2:$K$1780,MATCH($A19,'SKU Data'!$A$2:$A$1780,0)),"")</f>
        <v>-0</v>
      </c>
      <c r="H19" s="29" t="n">
        <f aca="false">IFERROR(INDEX('SKU Data'!$O$2:$O$1780,MATCH($A19,'SKU Data'!$A$2:$A$1780,0)),"")</f>
        <v>-0.779463216918402</v>
      </c>
      <c r="I19" s="23" t="str">
        <f aca="false">IFERROR(INDEX('SKU Data'!$W$2:$W$1780,MATCH($A19,'SKU Data'!$A$2:$A$1780,0)),"")</f>
        <v/>
      </c>
      <c r="J19" s="23" t="str">
        <f aca="false">IFERROR(INDEX('SKU Data'!$X$2:$X$1780,MATCH($A19,'SKU Data'!$A$2:$A$1780,0)),"")</f>
        <v/>
      </c>
    </row>
    <row r="20" customFormat="false" ht="15" hidden="false" customHeight="false" outlineLevel="0" collapsed="false">
      <c r="A20" s="18" t="s">
        <v>264</v>
      </c>
      <c r="B20" s="18" t="str">
        <f aca="false">IFERROR(INDEX('SKU Data'!$B$2:$B$1780,MATCH($A20,'SKU Data'!$A$2:$A$1780,0)),"")</f>
        <v>Delicate Elegance</v>
      </c>
      <c r="C20" s="19" t="n">
        <f aca="false">IFERROR(INDEX('SKU Data'!$E$2:$E$1780,MATCH($A20,'SKU Data'!$A$2:$A$1780,0)),"")</f>
        <v>60</v>
      </c>
      <c r="D20" s="19" t="n">
        <f aca="false">IFERROR(INDEX('SKU Data'!$F$2:$F$1780,MATCH($A20,'SKU Data'!$A$2:$A$1780,0)),"")</f>
        <v>0</v>
      </c>
      <c r="E20" s="20" t="n">
        <f aca="false">IFERROR(INDEX('SKU Data'!$J$2:$J$1780,MATCH($A20,'SKU Data'!$A$2:$A$1780,0)),"")</f>
        <v>0</v>
      </c>
      <c r="F20" s="21" t="n">
        <f aca="false">IFERROR(INDEX('SKU Data'!$H$2:$H$1780,MATCH($A20,'SKU Data'!$A$2:$A$1780,0)),"")</f>
        <v>-0</v>
      </c>
      <c r="G20" s="20" t="n">
        <f aca="false">IFERROR(INDEX('SKU Data'!$K$2:$K$1780,MATCH($A20,'SKU Data'!$A$2:$A$1780,0)),"")</f>
        <v>-0</v>
      </c>
      <c r="H20" s="29" t="n">
        <f aca="false">IFERROR(INDEX('SKU Data'!$O$2:$O$1780,MATCH($A20,'SKU Data'!$A$2:$A$1780,0)),"")</f>
        <v>-1.38514248538832</v>
      </c>
      <c r="I20" s="23" t="str">
        <f aca="false">IFERROR(INDEX('SKU Data'!$W$2:$W$1780,MATCH($A20,'SKU Data'!$A$2:$A$1780,0)),"")</f>
        <v/>
      </c>
      <c r="J20" s="23" t="str">
        <f aca="false">IFERROR(INDEX('SKU Data'!$X$2:$X$1780,MATCH($A20,'SKU Data'!$A$2:$A$1780,0)),"")</f>
        <v/>
      </c>
    </row>
    <row r="21" customFormat="false" ht="15" hidden="false" customHeight="false" outlineLevel="0" collapsed="false">
      <c r="A21" s="18" t="s">
        <v>265</v>
      </c>
      <c r="B21" s="18" t="str">
        <f aca="false">IFERROR(INDEX('SKU Data'!$B$2:$B$1780,MATCH($A21,'SKU Data'!$A$2:$A$1780,0)),"")</f>
        <v>Delicate Elegance</v>
      </c>
      <c r="C21" s="19" t="n">
        <f aca="false">IFERROR(INDEX('SKU Data'!$E$2:$E$1780,MATCH($A21,'SKU Data'!$A$2:$A$1780,0)),"")</f>
        <v>14</v>
      </c>
      <c r="D21" s="19" t="n">
        <f aca="false">IFERROR(INDEX('SKU Data'!$F$2:$F$1780,MATCH($A21,'SKU Data'!$A$2:$A$1780,0)),"")</f>
        <v>0</v>
      </c>
      <c r="E21" s="20" t="n">
        <f aca="false">IFERROR(INDEX('SKU Data'!$J$2:$J$1780,MATCH($A21,'SKU Data'!$A$2:$A$1780,0)),"")</f>
        <v>0</v>
      </c>
      <c r="F21" s="21" t="n">
        <f aca="false">IFERROR(INDEX('SKU Data'!$H$2:$H$1780,MATCH($A21,'SKU Data'!$A$2:$A$1780,0)),"")</f>
        <v>-0</v>
      </c>
      <c r="G21" s="20" t="n">
        <f aca="false">IFERROR(INDEX('SKU Data'!$K$2:$K$1780,MATCH($A21,'SKU Data'!$A$2:$A$1780,0)),"")</f>
        <v>-0</v>
      </c>
      <c r="H21" s="29" t="n">
        <f aca="false">IFERROR(INDEX('SKU Data'!$O$2:$O$1780,MATCH($A21,'SKU Data'!$A$2:$A$1780,0)),"")</f>
        <v>-0.669087386763846</v>
      </c>
      <c r="I21" s="23" t="str">
        <f aca="false">IFERROR(INDEX('SKU Data'!$W$2:$W$1780,MATCH($A21,'SKU Data'!$A$2:$A$1780,0)),"")</f>
        <v/>
      </c>
      <c r="J21" s="23" t="str">
        <f aca="false">IFERROR(INDEX('SKU Data'!$X$2:$X$1780,MATCH($A21,'SKU Data'!$A$2:$A$1780,0)),"")</f>
        <v/>
      </c>
    </row>
    <row r="22" customFormat="false" ht="15" hidden="false" customHeight="false" outlineLevel="0" collapsed="false">
      <c r="A22" s="18" t="s">
        <v>266</v>
      </c>
      <c r="B22" s="18" t="str">
        <f aca="false">IFERROR(INDEX('SKU Data'!$B$2:$B$1780,MATCH($A22,'SKU Data'!$A$2:$A$1780,0)),"")</f>
        <v>Delicate Elegance</v>
      </c>
      <c r="C22" s="19" t="n">
        <f aca="false">IFERROR(INDEX('SKU Data'!$E$2:$E$1780,MATCH($A22,'SKU Data'!$A$2:$A$1780,0)),"")</f>
        <v>8</v>
      </c>
      <c r="D22" s="19" t="n">
        <f aca="false">IFERROR(INDEX('SKU Data'!$F$2:$F$1780,MATCH($A22,'SKU Data'!$A$2:$A$1780,0)),"")</f>
        <v>0</v>
      </c>
      <c r="E22" s="20" t="n">
        <f aca="false">IFERROR(INDEX('SKU Data'!$J$2:$J$1780,MATCH($A22,'SKU Data'!$A$2:$A$1780,0)),"")</f>
        <v>0</v>
      </c>
      <c r="F22" s="21" t="n">
        <f aca="false">IFERROR(INDEX('SKU Data'!$H$2:$H$1780,MATCH($A22,'SKU Data'!$A$2:$A$1780,0)),"")</f>
        <v>-0</v>
      </c>
      <c r="G22" s="20" t="n">
        <f aca="false">IFERROR(INDEX('SKU Data'!$K$2:$K$1780,MATCH($A22,'SKU Data'!$A$2:$A$1780,0)),"")</f>
        <v>-0</v>
      </c>
      <c r="H22" s="29" t="n">
        <f aca="false">IFERROR(INDEX('SKU Data'!$O$2:$O$1780,MATCH($A22,'SKU Data'!$A$2:$A$1780,0)),"")</f>
        <v>-0.505782523070636</v>
      </c>
      <c r="I22" s="23" t="str">
        <f aca="false">IFERROR(INDEX('SKU Data'!$W$2:$W$1780,MATCH($A22,'SKU Data'!$A$2:$A$1780,0)),"")</f>
        <v/>
      </c>
      <c r="J22" s="23" t="str">
        <f aca="false">IFERROR(INDEX('SKU Data'!$X$2:$X$1780,MATCH($A22,'SKU Data'!$A$2:$A$1780,0)),"")</f>
        <v/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{EB1430D7-339E-4A69-B48C-E08C9226F0CD}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1430D7-339E-4A69-B48C-E08C9226F0CD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267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Brands!E9</f>
        <v>922462.45</v>
      </c>
      <c r="B4" s="34" t="n">
        <f aca="false">Brands!F9</f>
        <v>28997.07</v>
      </c>
      <c r="C4" s="35" t="n">
        <f aca="false">Brands!D9</f>
        <v>456</v>
      </c>
      <c r="D4" s="36" t="n">
        <f aca="false">Brands!G9</f>
        <v>0.0308525033829499</v>
      </c>
      <c r="E4" s="37" t="n">
        <f aca="false">Brands!K9</f>
        <v>0.995686857121228</v>
      </c>
      <c r="F4" s="36" t="n">
        <f aca="false">Brands!I9</f>
        <v>0.0579514112654458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268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269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270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271</v>
      </c>
      <c r="B13" s="18" t="str">
        <f aca="false">IFERROR(INDEX('SKU Data'!$B$2:$B$1780,MATCH($A13,'SKU Data'!$A$2:$A$1780,0)),"")</f>
        <v>Thirty Blooms of Alstroemeria in Mason Jar</v>
      </c>
      <c r="C13" s="19" t="n">
        <f aca="false">IFERROR(INDEX('SKU Data'!$E$2:$E$1780,MATCH($A13,'SKU Data'!$A$2:$A$1780,0)),"")</f>
        <v>2096</v>
      </c>
      <c r="D13" s="19" t="n">
        <f aca="false">IFERROR(INDEX('SKU Data'!$F$2:$F$1780,MATCH($A13,'SKU Data'!$A$2:$A$1780,0)),"")</f>
        <v>104</v>
      </c>
      <c r="E13" s="20" t="n">
        <f aca="false">IFERROR(INDEX('SKU Data'!$J$2:$J$1780,MATCH($A13,'SKU Data'!$A$2:$A$1780,0)),"")</f>
        <v>0.049618320610687</v>
      </c>
      <c r="F13" s="21" t="n">
        <f aca="false">IFERROR(INDEX('SKU Data'!$H$2:$H$1780,MATCH($A13,'SKU Data'!$A$2:$A$1780,0)),"")</f>
        <v>6020.46</v>
      </c>
      <c r="G13" s="20" t="n">
        <f aca="false">IFERROR(INDEX('SKU Data'!$K$2:$K$1780,MATCH($A13,'SKU Data'!$A$2:$A$1780,0)),"")</f>
        <v>0.0459822209044714</v>
      </c>
      <c r="H13" s="29" t="n">
        <f aca="false">IFERROR(INDEX('SKU Data'!$O$2:$O$1780,MATCH($A13,'SKU Data'!$A$2:$A$1780,0)),"")</f>
        <v>4.92277807055216</v>
      </c>
      <c r="I13" s="23" t="str">
        <f aca="false">IFERROR(INDEX('SKU Data'!$W$2:$W$1780,MATCH($A13,'SKU Data'!$A$2:$A$1780,0)),"")</f>
        <v>2 - Review</v>
      </c>
      <c r="J13" s="23" t="str">
        <f aca="false">IFERROR(INDEX('SKU Data'!$X$2:$X$1780,MATCH($A13,'SKU Data'!$A$2:$A$1780,0)),"")</f>
        <v>HIGH RATE</v>
      </c>
    </row>
    <row r="14" customFormat="false" ht="15" hidden="false" customHeight="false" outlineLevel="0" collapsed="false">
      <c r="A14" s="18" t="s">
        <v>272</v>
      </c>
      <c r="B14" s="18" t="str">
        <f aca="false">IFERROR(INDEX('SKU Data'!$B$2:$B$1780,MATCH($A14,'SKU Data'!$A$2:$A$1780,0)),"")</f>
        <v>What a Treat in Mason Jar</v>
      </c>
      <c r="C14" s="19" t="n">
        <f aca="false">IFERROR(INDEX('SKU Data'!$E$2:$E$1780,MATCH($A14,'SKU Data'!$A$2:$A$1780,0)),"")</f>
        <v>5316</v>
      </c>
      <c r="D14" s="19" t="n">
        <f aca="false">IFERROR(INDEX('SKU Data'!$F$2:$F$1780,MATCH($A14,'SKU Data'!$A$2:$A$1780,0)),"")</f>
        <v>97</v>
      </c>
      <c r="E14" s="20" t="n">
        <f aca="false">IFERROR(INDEX('SKU Data'!$J$2:$J$1780,MATCH($A14,'SKU Data'!$A$2:$A$1780,0)),"")</f>
        <v>0.0182468021068473</v>
      </c>
      <c r="F14" s="21" t="n">
        <f aca="false">IFERROR(INDEX('SKU Data'!$H$2:$H$1780,MATCH($A14,'SKU Data'!$A$2:$A$1780,0)),"")</f>
        <v>5347.79</v>
      </c>
      <c r="G14" s="20" t="n">
        <f aca="false">IFERROR(INDEX('SKU Data'!$K$2:$K$1780,MATCH($A14,'SKU Data'!$A$2:$A$1780,0)),"")</f>
        <v>0.0184347700310018</v>
      </c>
      <c r="H14" s="29" t="n">
        <f aca="false">IFERROR(INDEX('SKU Data'!$O$2:$O$1780,MATCH($A14,'SKU Data'!$A$2:$A$1780,0)),"")</f>
        <v>-5.36032240359934</v>
      </c>
      <c r="I14" s="23" t="str">
        <f aca="false">IFERROR(INDEX('SKU Data'!$W$2:$W$1780,MATCH($A14,'SKU Data'!$A$2:$A$1780,0)),"")</f>
        <v>3 - Monitor</v>
      </c>
      <c r="J14" s="23" t="str">
        <f aca="false">IFERROR(INDEX('SKU Data'!$X$2:$X$1780,MATCH($A14,'SKU Data'!$A$2:$A$1780,0)),"")</f>
        <v/>
      </c>
    </row>
    <row r="15" customFormat="false" ht="15" hidden="false" customHeight="false" outlineLevel="0" collapsed="false">
      <c r="A15" s="18" t="s">
        <v>273</v>
      </c>
      <c r="B15" s="18" t="str">
        <f aca="false">IFERROR(INDEX('SKU Data'!$B$2:$B$1780,MATCH($A15,'SKU Data'!$A$2:$A$1780,0)),"")</f>
        <v>Peaceful Clouds in Mason Jar</v>
      </c>
      <c r="C15" s="19" t="n">
        <f aca="false">IFERROR(INDEX('SKU Data'!$E$2:$E$1780,MATCH($A15,'SKU Data'!$A$2:$A$1780,0)),"")</f>
        <v>3090</v>
      </c>
      <c r="D15" s="19" t="n">
        <f aca="false">IFERROR(INDEX('SKU Data'!$F$2:$F$1780,MATCH($A15,'SKU Data'!$A$2:$A$1780,0)),"")</f>
        <v>70</v>
      </c>
      <c r="E15" s="20" t="n">
        <f aca="false">IFERROR(INDEX('SKU Data'!$J$2:$J$1780,MATCH($A15,'SKU Data'!$A$2:$A$1780,0)),"")</f>
        <v>0.0226537216828479</v>
      </c>
      <c r="F15" s="21" t="n">
        <f aca="false">IFERROR(INDEX('SKU Data'!$H$2:$H$1780,MATCH($A15,'SKU Data'!$A$2:$A$1780,0)),"")</f>
        <v>4429.38</v>
      </c>
      <c r="G15" s="20" t="n">
        <f aca="false">IFERROR(INDEX('SKU Data'!$K$2:$K$1780,MATCH($A15,'SKU Data'!$A$2:$A$1780,0)),"")</f>
        <v>0.0242193749203396</v>
      </c>
      <c r="H15" s="29" t="n">
        <f aca="false">IFERROR(INDEX('SKU Data'!$O$2:$O$1780,MATCH($A15,'SKU Data'!$A$2:$A$1780,0)),"")</f>
        <v>-2.67301916871042</v>
      </c>
      <c r="I15" s="23" t="str">
        <f aca="false">IFERROR(INDEX('SKU Data'!$W$2:$W$1780,MATCH($A15,'SKU Data'!$A$2:$A$1780,0)),"")</f>
        <v>3 - Monitor</v>
      </c>
      <c r="J15" s="23" t="str">
        <f aca="false">IFERROR(INDEX('SKU Data'!$X$2:$X$1780,MATCH($A15,'SKU Data'!$A$2:$A$1780,0)),"")</f>
        <v/>
      </c>
    </row>
    <row r="16" customFormat="false" ht="15" hidden="false" customHeight="false" outlineLevel="0" collapsed="false">
      <c r="A16" s="18" t="s">
        <v>274</v>
      </c>
      <c r="B16" s="18" t="str">
        <f aca="false">IFERROR(INDEX('SKU Data'!$B$2:$B$1780,MATCH($A16,'SKU Data'!$A$2:$A$1780,0)),"")</f>
        <v>Beautiful in Blue in Mason Jar</v>
      </c>
      <c r="C16" s="19" t="n">
        <f aca="false">IFERROR(INDEX('SKU Data'!$E$2:$E$1780,MATCH($A16,'SKU Data'!$A$2:$A$1780,0)),"")</f>
        <v>743</v>
      </c>
      <c r="D16" s="19" t="n">
        <f aca="false">IFERROR(INDEX('SKU Data'!$F$2:$F$1780,MATCH($A16,'SKU Data'!$A$2:$A$1780,0)),"")</f>
        <v>41</v>
      </c>
      <c r="E16" s="20" t="n">
        <f aca="false">IFERROR(INDEX('SKU Data'!$J$2:$J$1780,MATCH($A16,'SKU Data'!$A$2:$A$1780,0)),"")</f>
        <v>0.0551816958277254</v>
      </c>
      <c r="F16" s="21" t="n">
        <f aca="false">IFERROR(INDEX('SKU Data'!$H$2:$H$1780,MATCH($A16,'SKU Data'!$A$2:$A$1780,0)),"")</f>
        <v>3521.71</v>
      </c>
      <c r="G16" s="20" t="n">
        <f aca="false">IFERROR(INDEX('SKU Data'!$K$2:$K$1780,MATCH($A16,'SKU Data'!$A$2:$A$1780,0)),"")</f>
        <v>0.051146571975267</v>
      </c>
      <c r="H16" s="29" t="n">
        <f aca="false">IFERROR(INDEX('SKU Data'!$O$2:$O$1780,MATCH($A16,'SKU Data'!$A$2:$A$1780,0)),"")</f>
        <v>3.80610707889846</v>
      </c>
      <c r="I16" s="23" t="str">
        <f aca="false">IFERROR(INDEX('SKU Data'!$W$2:$W$1780,MATCH($A16,'SKU Data'!$A$2:$A$1780,0)),"")</f>
        <v>1 - Fix first</v>
      </c>
      <c r="J16" s="23" t="str">
        <f aca="false">IFERROR(INDEX('SKU Data'!$X$2:$X$1780,MATCH($A16,'SKU Data'!$A$2:$A$1780,0)),"")</f>
        <v>HIGH RATE</v>
      </c>
    </row>
    <row r="17" customFormat="false" ht="15" hidden="false" customHeight="false" outlineLevel="0" collapsed="false">
      <c r="A17" s="18" t="s">
        <v>275</v>
      </c>
      <c r="B17" s="18" t="str">
        <f aca="false">IFERROR(INDEX('SKU Data'!$B$2:$B$1780,MATCH($A17,'SKU Data'!$A$2:$A$1780,0)),"")</f>
        <v>Blooms of Love in Mason Jar</v>
      </c>
      <c r="C17" s="19" t="n">
        <f aca="false">IFERROR(INDEX('SKU Data'!$E$2:$E$1780,MATCH($A17,'SKU Data'!$A$2:$A$1780,0)),"")</f>
        <v>1206</v>
      </c>
      <c r="D17" s="19" t="n">
        <f aca="false">IFERROR(INDEX('SKU Data'!$F$2:$F$1780,MATCH($A17,'SKU Data'!$A$2:$A$1780,0)),"")</f>
        <v>47</v>
      </c>
      <c r="E17" s="20" t="n">
        <f aca="false">IFERROR(INDEX('SKU Data'!$J$2:$J$1780,MATCH($A17,'SKU Data'!$A$2:$A$1780,0)),"")</f>
        <v>0.0389718076285241</v>
      </c>
      <c r="F17" s="21" t="n">
        <f aca="false">IFERROR(INDEX('SKU Data'!$H$2:$H$1780,MATCH($A17,'SKU Data'!$A$2:$A$1780,0)),"")</f>
        <v>3421.93</v>
      </c>
      <c r="G17" s="20" t="n">
        <f aca="false">IFERROR(INDEX('SKU Data'!$K$2:$K$1780,MATCH($A17,'SKU Data'!$A$2:$A$1780,0)),"")</f>
        <v>0.0339238403127957</v>
      </c>
      <c r="H17" s="29" t="n">
        <f aca="false">IFERROR(INDEX('SKU Data'!$O$2:$O$1780,MATCH($A17,'SKU Data'!$A$2:$A$1780,0)),"")</f>
        <v>1.60042553802945</v>
      </c>
      <c r="I17" s="23" t="str">
        <f aca="false">IFERROR(INDEX('SKU Data'!$W$2:$W$1780,MATCH($A17,'SKU Data'!$A$2:$A$1780,0)),"")</f>
        <v>3 - Monitor</v>
      </c>
      <c r="J17" s="23" t="str">
        <f aca="false">IFERROR(INDEX('SKU Data'!$X$2:$X$1780,MATCH($A17,'SKU Data'!$A$2:$A$1780,0)),"")</f>
        <v/>
      </c>
    </row>
    <row r="18" customFormat="false" ht="15" hidden="false" customHeight="false" outlineLevel="0" collapsed="false">
      <c r="A18" s="18" t="s">
        <v>276</v>
      </c>
      <c r="B18" s="18" t="str">
        <f aca="false">IFERROR(INDEX('SKU Data'!$B$2:$B$1780,MATCH($A18,'SKU Data'!$A$2:$A$1780,0)),"")</f>
        <v>Big Garden Energy</v>
      </c>
      <c r="C18" s="19" t="n">
        <f aca="false">IFERROR(INDEX('SKU Data'!$E$2:$E$1780,MATCH($A18,'SKU Data'!$A$2:$A$1780,0)),"")</f>
        <v>384</v>
      </c>
      <c r="D18" s="19" t="n">
        <f aca="false">IFERROR(INDEX('SKU Data'!$F$2:$F$1780,MATCH($A18,'SKU Data'!$A$2:$A$1780,0)),"")</f>
        <v>20</v>
      </c>
      <c r="E18" s="20" t="n">
        <f aca="false">IFERROR(INDEX('SKU Data'!$J$2:$J$1780,MATCH($A18,'SKU Data'!$A$2:$A$1780,0)),"")</f>
        <v>0.0520833333333333</v>
      </c>
      <c r="F18" s="21" t="n">
        <f aca="false">IFERROR(INDEX('SKU Data'!$H$2:$H$1780,MATCH($A18,'SKU Data'!$A$2:$A$1780,0)),"")</f>
        <v>1238.24</v>
      </c>
      <c r="G18" s="20" t="n">
        <f aca="false">IFERROR(INDEX('SKU Data'!$K$2:$K$1780,MATCH($A18,'SKU Data'!$A$2:$A$1780,0)),"")</f>
        <v>0.0505147384288392</v>
      </c>
      <c r="H18" s="29" t="n">
        <f aca="false">IFERROR(INDEX('SKU Data'!$O$2:$O$1780,MATCH($A18,'SKU Data'!$A$2:$A$1780,0)),"")</f>
        <v>2.38583968327391</v>
      </c>
      <c r="I18" s="23" t="str">
        <f aca="false">IFERROR(INDEX('SKU Data'!$W$2:$W$1780,MATCH($A18,'SKU Data'!$A$2:$A$1780,0)),"")</f>
        <v>2 - Review</v>
      </c>
      <c r="J18" s="23" t="str">
        <f aca="false">IFERROR(INDEX('SKU Data'!$X$2:$X$1780,MATCH($A18,'SKU Data'!$A$2:$A$1780,0)),"")</f>
        <v/>
      </c>
    </row>
    <row r="19" customFormat="false" ht="15" hidden="false" customHeight="false" outlineLevel="0" collapsed="false">
      <c r="A19" s="18" t="s">
        <v>277</v>
      </c>
      <c r="B19" s="18" t="str">
        <f aca="false">IFERROR(INDEX('SKU Data'!$B$2:$B$1780,MATCH($A19,'SKU Data'!$A$2:$A$1780,0)),"")</f>
        <v>Loud and Lovely</v>
      </c>
      <c r="C19" s="19" t="n">
        <f aca="false">IFERROR(INDEX('SKU Data'!$E$2:$E$1780,MATCH($A19,'SKU Data'!$A$2:$A$1780,0)),"")</f>
        <v>199</v>
      </c>
      <c r="D19" s="19" t="n">
        <f aca="false">IFERROR(INDEX('SKU Data'!$F$2:$F$1780,MATCH($A19,'SKU Data'!$A$2:$A$1780,0)),"")</f>
        <v>11</v>
      </c>
      <c r="E19" s="20" t="n">
        <f aca="false">IFERROR(INDEX('SKU Data'!$J$2:$J$1780,MATCH($A19,'SKU Data'!$A$2:$A$1780,0)),"")</f>
        <v>0.0552763819095477</v>
      </c>
      <c r="F19" s="21" t="n">
        <f aca="false">IFERROR(INDEX('SKU Data'!$H$2:$H$1780,MATCH($A19,'SKU Data'!$A$2:$A$1780,0)),"")</f>
        <v>1085.95</v>
      </c>
      <c r="G19" s="20" t="n">
        <f aca="false">IFERROR(INDEX('SKU Data'!$K$2:$K$1780,MATCH($A19,'SKU Data'!$A$2:$A$1780,0)),"")</f>
        <v>0.0575523135399376</v>
      </c>
      <c r="H19" s="29" t="n">
        <f aca="false">IFERROR(INDEX('SKU Data'!$O$2:$O$1780,MATCH($A19,'SKU Data'!$A$2:$A$1780,0)),"")</f>
        <v>1.97746757562275</v>
      </c>
      <c r="I19" s="23" t="str">
        <f aca="false">IFERROR(INDEX('SKU Data'!$W$2:$W$1780,MATCH($A19,'SKU Data'!$A$2:$A$1780,0)),"")</f>
        <v>2 - Review</v>
      </c>
      <c r="J19" s="23" t="str">
        <f aca="false">IFERROR(INDEX('SKU Data'!$X$2:$X$1780,MATCH($A19,'SKU Data'!$A$2:$A$1780,0)),"")</f>
        <v/>
      </c>
    </row>
    <row r="20" customFormat="false" ht="15" hidden="false" customHeight="false" outlineLevel="0" collapsed="false">
      <c r="A20" s="18" t="s">
        <v>278</v>
      </c>
      <c r="B20" s="18" t="str">
        <f aca="false">IFERROR(INDEX('SKU Data'!$B$2:$B$1780,MATCH($A20,'SKU Data'!$A$2:$A$1780,0)),"")</f>
        <v>Autumn Breeze In Mason Jar</v>
      </c>
      <c r="C20" s="19" t="n">
        <f aca="false">IFERROR(INDEX('SKU Data'!$E$2:$E$1780,MATCH($A20,'SKU Data'!$A$2:$A$1780,0)),"")</f>
        <v>496</v>
      </c>
      <c r="D20" s="19" t="n">
        <f aca="false">IFERROR(INDEX('SKU Data'!$F$2:$F$1780,MATCH($A20,'SKU Data'!$A$2:$A$1780,0)),"")</f>
        <v>25</v>
      </c>
      <c r="E20" s="20" t="n">
        <f aca="false">IFERROR(INDEX('SKU Data'!$J$2:$J$1780,MATCH($A20,'SKU Data'!$A$2:$A$1780,0)),"")</f>
        <v>0.0504032258064516</v>
      </c>
      <c r="F20" s="21" t="n">
        <f aca="false">IFERROR(INDEX('SKU Data'!$H$2:$H$1780,MATCH($A20,'SKU Data'!$A$2:$A$1780,0)),"")</f>
        <v>1085.57</v>
      </c>
      <c r="G20" s="20" t="n">
        <f aca="false">IFERROR(INDEX('SKU Data'!$K$2:$K$1780,MATCH($A20,'SKU Data'!$A$2:$A$1780,0)),"")</f>
        <v>0.0493363316496587</v>
      </c>
      <c r="H20" s="29" t="n">
        <f aca="false">IFERROR(INDEX('SKU Data'!$O$2:$O$1780,MATCH($A20,'SKU Data'!$A$2:$A$1780,0)),"")</f>
        <v>2.49560490908794</v>
      </c>
      <c r="I20" s="23" t="str">
        <f aca="false">IFERROR(INDEX('SKU Data'!$W$2:$W$1780,MATCH($A20,'SKU Data'!$A$2:$A$1780,0)),"")</f>
        <v>2 - Review</v>
      </c>
      <c r="J20" s="23" t="str">
        <f aca="false">IFERROR(INDEX('SKU Data'!$X$2:$X$1780,MATCH($A20,'SKU Data'!$A$2:$A$1780,0)),"")</f>
        <v/>
      </c>
    </row>
    <row r="21" customFormat="false" ht="15" hidden="false" customHeight="false" outlineLevel="0" collapsed="false">
      <c r="A21" s="18" t="s">
        <v>279</v>
      </c>
      <c r="B21" s="18" t="str">
        <f aca="false">IFERROR(INDEX('SKU Data'!$B$2:$B$1780,MATCH($A21,'SKU Data'!$A$2:$A$1780,0)),"")</f>
        <v>All the Pinks</v>
      </c>
      <c r="C21" s="19" t="n">
        <f aca="false">IFERROR(INDEX('SKU Data'!$E$2:$E$1780,MATCH($A21,'SKU Data'!$A$2:$A$1780,0)),"")</f>
        <v>204</v>
      </c>
      <c r="D21" s="19" t="n">
        <f aca="false">IFERROR(INDEX('SKU Data'!$F$2:$F$1780,MATCH($A21,'SKU Data'!$A$2:$A$1780,0)),"")</f>
        <v>12</v>
      </c>
      <c r="E21" s="20" t="n">
        <f aca="false">IFERROR(INDEX('SKU Data'!$J$2:$J$1780,MATCH($A21,'SKU Data'!$A$2:$A$1780,0)),"")</f>
        <v>0.0588235294117647</v>
      </c>
      <c r="F21" s="21" t="n">
        <f aca="false">IFERROR(INDEX('SKU Data'!$H$2:$H$1780,MATCH($A21,'SKU Data'!$A$2:$A$1780,0)),"")</f>
        <v>913.78</v>
      </c>
      <c r="G21" s="20" t="n">
        <f aca="false">IFERROR(INDEX('SKU Data'!$K$2:$K$1780,MATCH($A21,'SKU Data'!$A$2:$A$1780,0)),"")</f>
        <v>0.0616334503346814</v>
      </c>
      <c r="H21" s="29" t="n">
        <f aca="false">IFERROR(INDEX('SKU Data'!$O$2:$O$1780,MATCH($A21,'SKU Data'!$A$2:$A$1780,0)),"")</f>
        <v>2.29453457712927</v>
      </c>
      <c r="I21" s="23" t="str">
        <f aca="false">IFERROR(INDEX('SKU Data'!$W$2:$W$1780,MATCH($A21,'SKU Data'!$A$2:$A$1780,0)),"")</f>
        <v>2 - Review</v>
      </c>
      <c r="J21" s="23" t="str">
        <f aca="false">IFERROR(INDEX('SKU Data'!$X$2:$X$1780,MATCH($A21,'SKU Data'!$A$2:$A$1780,0)),"")</f>
        <v/>
      </c>
    </row>
    <row r="22" customFormat="false" ht="15" hidden="false" customHeight="false" outlineLevel="0" collapsed="false">
      <c r="A22" s="18" t="s">
        <v>280</v>
      </c>
      <c r="B22" s="18" t="str">
        <f aca="false">IFERROR(INDEX('SKU Data'!$B$2:$B$1780,MATCH($A22,'SKU Data'!$A$2:$A$1780,0)),"")</f>
        <v>Blow Out the Candles Bundle</v>
      </c>
      <c r="C22" s="19" t="n">
        <f aca="false">IFERROR(INDEX('SKU Data'!$E$2:$E$1780,MATCH($A22,'SKU Data'!$A$2:$A$1780,0)),"")</f>
        <v>130</v>
      </c>
      <c r="D22" s="19" t="n">
        <f aca="false">IFERROR(INDEX('SKU Data'!$F$2:$F$1780,MATCH($A22,'SKU Data'!$A$2:$A$1780,0)),"")</f>
        <v>6</v>
      </c>
      <c r="E22" s="20" t="n">
        <f aca="false">IFERROR(INDEX('SKU Data'!$J$2:$J$1780,MATCH($A22,'SKU Data'!$A$2:$A$1780,0)),"")</f>
        <v>0.0461538461538462</v>
      </c>
      <c r="F22" s="21" t="n">
        <f aca="false">IFERROR(INDEX('SKU Data'!$H$2:$H$1780,MATCH($A22,'SKU Data'!$A$2:$A$1780,0)),"")</f>
        <v>537.66</v>
      </c>
      <c r="G22" s="20" t="n">
        <f aca="false">IFERROR(INDEX('SKU Data'!$K$2:$K$1780,MATCH($A22,'SKU Data'!$A$2:$A$1780,0)),"")</f>
        <v>0.0438968832282163</v>
      </c>
      <c r="H22" s="29" t="n">
        <f aca="false">IFERROR(INDEX('SKU Data'!$O$2:$O$1780,MATCH($A22,'SKU Data'!$A$2:$A$1780,0)),"")</f>
        <v>0.998027380938476</v>
      </c>
      <c r="I22" s="23" t="str">
        <f aca="false">IFERROR(INDEX('SKU Data'!$W$2:$W$1780,MATCH($A22,'SKU Data'!$A$2:$A$1780,0)),"")</f>
        <v>3 - Monitor</v>
      </c>
      <c r="J22" s="23" t="str">
        <f aca="false">IFERROR(INDEX('SKU Data'!$X$2:$X$1780,MATCH($A22,'SKU Data'!$A$2:$A$1780,0)),"")</f>
        <v/>
      </c>
    </row>
    <row r="23" customFormat="false" ht="15" hidden="false" customHeight="false" outlineLevel="0" collapsed="false">
      <c r="A23" s="18" t="s">
        <v>281</v>
      </c>
      <c r="B23" s="18" t="str">
        <f aca="false">IFERROR(INDEX('SKU Data'!$B$2:$B$1780,MATCH($A23,'SKU Data'!$A$2:$A$1780,0)),"")</f>
        <v>Sweetheart Roses in Mason Jar</v>
      </c>
      <c r="C23" s="19" t="n">
        <f aca="false">IFERROR(INDEX('SKU Data'!$E$2:$E$1780,MATCH($A23,'SKU Data'!$A$2:$A$1780,0)),"")</f>
        <v>73</v>
      </c>
      <c r="D23" s="19" t="n">
        <f aca="false">IFERROR(INDEX('SKU Data'!$F$2:$F$1780,MATCH($A23,'SKU Data'!$A$2:$A$1780,0)),"")</f>
        <v>4</v>
      </c>
      <c r="E23" s="20" t="n">
        <f aca="false">IFERROR(INDEX('SKU Data'!$J$2:$J$1780,MATCH($A23,'SKU Data'!$A$2:$A$1780,0)),"")</f>
        <v>0.0547945205479452</v>
      </c>
      <c r="F23" s="21" t="n">
        <f aca="false">IFERROR(INDEX('SKU Data'!$H$2:$H$1780,MATCH($A23,'SKU Data'!$A$2:$A$1780,0)),"")</f>
        <v>272.1</v>
      </c>
      <c r="G23" s="20" t="n">
        <f aca="false">IFERROR(INDEX('SKU Data'!$K$2:$K$1780,MATCH($A23,'SKU Data'!$A$2:$A$1780,0)),"")</f>
        <v>0.0536700152074905</v>
      </c>
      <c r="H23" s="29" t="n">
        <f aca="false">IFERROR(INDEX('SKU Data'!$O$2:$O$1780,MATCH($A23,'SKU Data'!$A$2:$A$1780,0)),"")</f>
        <v>1.17393019817144</v>
      </c>
      <c r="I23" s="23" t="str">
        <f aca="false">IFERROR(INDEX('SKU Data'!$W$2:$W$1780,MATCH($A23,'SKU Data'!$A$2:$A$1780,0)),"")</f>
        <v>3 - Monitor</v>
      </c>
      <c r="J23" s="23" t="str">
        <f aca="false">IFERROR(INDEX('SKU Data'!$X$2:$X$1780,MATCH($A23,'SKU Data'!$A$2:$A$1780,0)),"")</f>
        <v/>
      </c>
    </row>
    <row r="24" customFormat="false" ht="15" hidden="false" customHeight="false" outlineLevel="0" collapsed="false">
      <c r="A24" s="18" t="s">
        <v>282</v>
      </c>
      <c r="B24" s="18" t="str">
        <f aca="false">IFERROR(INDEX('SKU Data'!$B$2:$B$1780,MATCH($A24,'SKU Data'!$A$2:$A$1780,0)),"")</f>
        <v>Enchanted Cottage in Mason Jar</v>
      </c>
      <c r="C24" s="19" t="n">
        <f aca="false">IFERROR(INDEX('SKU Data'!$E$2:$E$1780,MATCH($A24,'SKU Data'!$A$2:$A$1780,0)),"")</f>
        <v>57</v>
      </c>
      <c r="D24" s="19" t="n">
        <f aca="false">IFERROR(INDEX('SKU Data'!$F$2:$F$1780,MATCH($A24,'SKU Data'!$A$2:$A$1780,0)),"")</f>
        <v>3</v>
      </c>
      <c r="E24" s="20" t="n">
        <f aca="false">IFERROR(INDEX('SKU Data'!$J$2:$J$1780,MATCH($A24,'SKU Data'!$A$2:$A$1780,0)),"")</f>
        <v>0.0526315789473684</v>
      </c>
      <c r="F24" s="21" t="n">
        <f aca="false">IFERROR(INDEX('SKU Data'!$H$2:$H$1780,MATCH($A24,'SKU Data'!$A$2:$A$1780,0)),"")</f>
        <v>260.41</v>
      </c>
      <c r="G24" s="20" t="n">
        <f aca="false">IFERROR(INDEX('SKU Data'!$K$2:$K$1780,MATCH($A24,'SKU Data'!$A$2:$A$1780,0)),"")</f>
        <v>0.0477346174503288</v>
      </c>
      <c r="H24" s="29" t="n">
        <f aca="false">IFERROR(INDEX('SKU Data'!$O$2:$O$1780,MATCH($A24,'SKU Data'!$A$2:$A$1780,0)),"")</f>
        <v>0.943093591671689</v>
      </c>
      <c r="I24" s="23" t="str">
        <f aca="false">IFERROR(INDEX('SKU Data'!$W$2:$W$1780,MATCH($A24,'SKU Data'!$A$2:$A$1780,0)),"")</f>
        <v>3 - Monitor</v>
      </c>
      <c r="J24" s="23" t="str">
        <f aca="false">IFERROR(INDEX('SKU Data'!$X$2:$X$1780,MATCH($A24,'SKU Data'!$A$2:$A$1780,0)),"")</f>
        <v/>
      </c>
    </row>
    <row r="25" customFormat="false" ht="15" hidden="false" customHeight="false" outlineLevel="0" collapsed="false">
      <c r="A25" s="18" t="s">
        <v>283</v>
      </c>
      <c r="B25" s="18" t="str">
        <f aca="false">IFERROR(INDEX('SKU Data'!$B$2:$B$1780,MATCH($A25,'SKU Data'!$A$2:$A$1780,0)),"")</f>
        <v>Hooray Bouquet in Mason Jar</v>
      </c>
      <c r="C25" s="19" t="n">
        <f aca="false">IFERROR(INDEX('SKU Data'!$E$2:$E$1780,MATCH($A25,'SKU Data'!$A$2:$A$1780,0)),"")</f>
        <v>132</v>
      </c>
      <c r="D25" s="19" t="n">
        <f aca="false">IFERROR(INDEX('SKU Data'!$F$2:$F$1780,MATCH($A25,'SKU Data'!$A$2:$A$1780,0)),"")</f>
        <v>3</v>
      </c>
      <c r="E25" s="20" t="n">
        <f aca="false">IFERROR(INDEX('SKU Data'!$J$2:$J$1780,MATCH($A25,'SKU Data'!$A$2:$A$1780,0)),"")</f>
        <v>0.0227272727272727</v>
      </c>
      <c r="F25" s="21" t="n">
        <f aca="false">IFERROR(INDEX('SKU Data'!$H$2:$H$1780,MATCH($A25,'SKU Data'!$A$2:$A$1780,0)),"")</f>
        <v>216.32</v>
      </c>
      <c r="G25" s="20" t="n">
        <f aca="false">IFERROR(INDEX('SKU Data'!$K$2:$K$1780,MATCH($A25,'SKU Data'!$A$2:$A$1780,0)),"")</f>
        <v>0.0202057753471233</v>
      </c>
      <c r="H25" s="29" t="n">
        <f aca="false">IFERROR(INDEX('SKU Data'!$O$2:$O$1780,MATCH($A25,'SKU Data'!$A$2:$A$1780,0)),"")</f>
        <v>-0.547594687194223</v>
      </c>
      <c r="I25" s="23" t="str">
        <f aca="false">IFERROR(INDEX('SKU Data'!$W$2:$W$1780,MATCH($A25,'SKU Data'!$A$2:$A$1780,0)),"")</f>
        <v>3 - Monitor</v>
      </c>
      <c r="J25" s="23" t="str">
        <f aca="false">IFERROR(INDEX('SKU Data'!$X$2:$X$1780,MATCH($A25,'SKU Data'!$A$2:$A$1780,0)),"")</f>
        <v/>
      </c>
    </row>
    <row r="26" customFormat="false" ht="15" hidden="false" customHeight="false" outlineLevel="0" collapsed="false">
      <c r="A26" s="18" t="s">
        <v>284</v>
      </c>
      <c r="B26" s="18" t="str">
        <f aca="false">IFERROR(INDEX('SKU Data'!$B$2:$B$1780,MATCH($A26,'SKU Data'!$A$2:$A$1780,0)),"")</f>
        <v>Assorted Roses in Mason Jar</v>
      </c>
      <c r="C26" s="19" t="n">
        <f aca="false">IFERROR(INDEX('SKU Data'!$E$2:$E$1780,MATCH($A26,'SKU Data'!$A$2:$A$1780,0)),"")</f>
        <v>152</v>
      </c>
      <c r="D26" s="19" t="n">
        <f aca="false">IFERROR(INDEX('SKU Data'!$F$2:$F$1780,MATCH($A26,'SKU Data'!$A$2:$A$1780,0)),"")</f>
        <v>3</v>
      </c>
      <c r="E26" s="20" t="n">
        <f aca="false">IFERROR(INDEX('SKU Data'!$J$2:$J$1780,MATCH($A26,'SKU Data'!$A$2:$A$1780,0)),"")</f>
        <v>0.0197368421052632</v>
      </c>
      <c r="F26" s="21" t="n">
        <f aca="false">IFERROR(INDEX('SKU Data'!$H$2:$H$1780,MATCH($A26,'SKU Data'!$A$2:$A$1780,0)),"")</f>
        <v>149.85</v>
      </c>
      <c r="G26" s="20" t="n">
        <f aca="false">IFERROR(INDEX('SKU Data'!$K$2:$K$1780,MATCH($A26,'SKU Data'!$A$2:$A$1780,0)),"")</f>
        <v>0.0212394723936467</v>
      </c>
      <c r="H26" s="29" t="n">
        <f aca="false">IFERROR(INDEX('SKU Data'!$O$2:$O$1780,MATCH($A26,'SKU Data'!$A$2:$A$1780,0)),"")</f>
        <v>-0.80038479610012</v>
      </c>
      <c r="I26" s="23" t="str">
        <f aca="false">IFERROR(INDEX('SKU Data'!$W$2:$W$1780,MATCH($A26,'SKU Data'!$A$2:$A$1780,0)),"")</f>
        <v>3 - Monitor</v>
      </c>
      <c r="J26" s="23" t="str">
        <f aca="false">IFERROR(INDEX('SKU Data'!$X$2:$X$1780,MATCH($A26,'SKU Data'!$A$2:$A$1780,0)),"")</f>
        <v/>
      </c>
    </row>
    <row r="27" customFormat="false" ht="15" hidden="false" customHeight="false" outlineLevel="0" collapsed="false">
      <c r="A27" s="18" t="s">
        <v>285</v>
      </c>
      <c r="B27" s="18" t="str">
        <f aca="false">IFERROR(INDEX('SKU Data'!$B$2:$B$1780,MATCH($A27,'SKU Data'!$A$2:$A$1780,0)),"")</f>
        <v>50 Festive Peruvian Lilies</v>
      </c>
      <c r="C27" s="19" t="n">
        <f aca="false">IFERROR(INDEX('SKU Data'!$E$2:$E$1780,MATCH($A27,'SKU Data'!$A$2:$A$1780,0)),"")</f>
        <v>24</v>
      </c>
      <c r="D27" s="19" t="n">
        <f aca="false">IFERROR(INDEX('SKU Data'!$F$2:$F$1780,MATCH($A27,'SKU Data'!$A$2:$A$1780,0)),"")</f>
        <v>1</v>
      </c>
      <c r="E27" s="20" t="n">
        <f aca="false">IFERROR(INDEX('SKU Data'!$J$2:$J$1780,MATCH($A27,'SKU Data'!$A$2:$A$1780,0)),"")</f>
        <v>0.0416666666666667</v>
      </c>
      <c r="F27" s="21" t="n">
        <f aca="false">IFERROR(INDEX('SKU Data'!$H$2:$H$1780,MATCH($A27,'SKU Data'!$A$2:$A$1780,0)),"")</f>
        <v>114.71</v>
      </c>
      <c r="G27" s="20" t="n">
        <f aca="false">IFERROR(INDEX('SKU Data'!$K$2:$K$1780,MATCH($A27,'SKU Data'!$A$2:$A$1780,0)),"")</f>
        <v>0.0405139561413733</v>
      </c>
      <c r="H27" s="29" t="n">
        <f aca="false">IFERROR(INDEX('SKU Data'!$O$2:$O$1780,MATCH($A27,'SKU Data'!$A$2:$A$1780,0)),"")</f>
        <v>0.301959731147039</v>
      </c>
      <c r="I27" s="23" t="str">
        <f aca="false">IFERROR(INDEX('SKU Data'!$W$2:$W$1780,MATCH($A27,'SKU Data'!$A$2:$A$1780,0)),"")</f>
        <v>3 - Monitor</v>
      </c>
      <c r="J27" s="23" t="str">
        <f aca="false">IFERROR(INDEX('SKU Data'!$X$2:$X$1780,MATCH($A27,'SKU Data'!$A$2:$A$1780,0)),"")</f>
        <v/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{95FE8D9F-67B2-45CA-9E1C-F1F1E24DB530}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FE8D9F-67B2-45CA-9E1C-F1F1E24DB530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286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Brands!E10</f>
        <v>437700.62</v>
      </c>
      <c r="B4" s="34" t="n">
        <f aca="false">Brands!F10</f>
        <v>21202.65</v>
      </c>
      <c r="C4" s="35" t="n">
        <f aca="false">Brands!D10</f>
        <v>234</v>
      </c>
      <c r="D4" s="36" t="n">
        <f aca="false">Brands!G10</f>
        <v>0.0517699115044248</v>
      </c>
      <c r="E4" s="37" t="n">
        <f aca="false">Brands!K10</f>
        <v>1.67074353220138</v>
      </c>
      <c r="F4" s="36" t="n">
        <f aca="false">Brands!I10</f>
        <v>0.0423740567604694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287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288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289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290</v>
      </c>
      <c r="B13" s="18" t="str">
        <f aca="false">IFERROR(INDEX('SKU Data'!$B$2:$B$1780,MATCH($A13,'SKU Data'!$A$2:$A$1780,0)),"")</f>
        <v>Blushing Elegance</v>
      </c>
      <c r="C13" s="19" t="n">
        <f aca="false">IFERROR(INDEX('SKU Data'!$E$2:$E$1780,MATCH($A13,'SKU Data'!$A$2:$A$1780,0)),"")</f>
        <v>1333</v>
      </c>
      <c r="D13" s="19" t="n">
        <f aca="false">IFERROR(INDEX('SKU Data'!$F$2:$F$1780,MATCH($A13,'SKU Data'!$A$2:$A$1780,0)),"")</f>
        <v>70</v>
      </c>
      <c r="E13" s="20" t="n">
        <f aca="false">IFERROR(INDEX('SKU Data'!$J$2:$J$1780,MATCH($A13,'SKU Data'!$A$2:$A$1780,0)),"")</f>
        <v>0.0525131282820705</v>
      </c>
      <c r="F13" s="21" t="n">
        <f aca="false">IFERROR(INDEX('SKU Data'!$H$2:$H$1780,MATCH($A13,'SKU Data'!$A$2:$A$1780,0)),"")</f>
        <v>6992.71</v>
      </c>
      <c r="G13" s="20" t="n">
        <f aca="false">IFERROR(INDEX('SKU Data'!$K$2:$K$1780,MATCH($A13,'SKU Data'!$A$2:$A$1780,0)),"")</f>
        <v>0.0466919520115297</v>
      </c>
      <c r="H13" s="29" t="n">
        <f aca="false">IFERROR(INDEX('SKU Data'!$O$2:$O$1780,MATCH($A13,'SKU Data'!$A$2:$A$1780,0)),"")</f>
        <v>4.53575216568104</v>
      </c>
      <c r="I13" s="23" t="str">
        <f aca="false">IFERROR(INDEX('SKU Data'!$W$2:$W$1780,MATCH($A13,'SKU Data'!$A$2:$A$1780,0)),"")</f>
        <v>1 - Fix first</v>
      </c>
      <c r="J13" s="23" t="str">
        <f aca="false">IFERROR(INDEX('SKU Data'!$X$2:$X$1780,MATCH($A13,'SKU Data'!$A$2:$A$1780,0)),"")</f>
        <v>HIGH RATE</v>
      </c>
    </row>
    <row r="14" customFormat="false" ht="15" hidden="false" customHeight="false" outlineLevel="0" collapsed="false">
      <c r="A14" s="18" t="s">
        <v>291</v>
      </c>
      <c r="B14" s="18" t="str">
        <f aca="false">IFERROR(INDEX('SKU Data'!$B$2:$B$1780,MATCH($A14,'SKU Data'!$A$2:$A$1780,0)),"")</f>
        <v>Pastel Harmony</v>
      </c>
      <c r="C14" s="19" t="n">
        <f aca="false">IFERROR(INDEX('SKU Data'!$E$2:$E$1780,MATCH($A14,'SKU Data'!$A$2:$A$1780,0)),"")</f>
        <v>1130</v>
      </c>
      <c r="D14" s="19" t="n">
        <f aca="false">IFERROR(INDEX('SKU Data'!$F$2:$F$1780,MATCH($A14,'SKU Data'!$A$2:$A$1780,0)),"")</f>
        <v>56</v>
      </c>
      <c r="E14" s="20" t="n">
        <f aca="false">IFERROR(INDEX('SKU Data'!$J$2:$J$1780,MATCH($A14,'SKU Data'!$A$2:$A$1780,0)),"")</f>
        <v>0.0495575221238938</v>
      </c>
      <c r="F14" s="21" t="n">
        <f aca="false">IFERROR(INDEX('SKU Data'!$H$2:$H$1780,MATCH($A14,'SKU Data'!$A$2:$A$1780,0)),"")</f>
        <v>6386.94</v>
      </c>
      <c r="G14" s="20" t="n">
        <f aca="false">IFERROR(INDEX('SKU Data'!$K$2:$K$1780,MATCH($A14,'SKU Data'!$A$2:$A$1780,0)),"")</f>
        <v>0.0462274847886479</v>
      </c>
      <c r="H14" s="29" t="n">
        <f aca="false">IFERROR(INDEX('SKU Data'!$O$2:$O$1780,MATCH($A14,'SKU Data'!$A$2:$A$1780,0)),"")</f>
        <v>3.6027520980699</v>
      </c>
      <c r="I14" s="23" t="str">
        <f aca="false">IFERROR(INDEX('SKU Data'!$W$2:$W$1780,MATCH($A14,'SKU Data'!$A$2:$A$1780,0)),"")</f>
        <v>2 - Review</v>
      </c>
      <c r="J14" s="23" t="str">
        <f aca="false">IFERROR(INDEX('SKU Data'!$X$2:$X$1780,MATCH($A14,'SKU Data'!$A$2:$A$1780,0)),"")</f>
        <v>HIGH RATE</v>
      </c>
    </row>
    <row r="15" customFormat="false" ht="15" hidden="false" customHeight="false" outlineLevel="0" collapsed="false">
      <c r="A15" s="18" t="s">
        <v>292</v>
      </c>
      <c r="B15" s="18" t="str">
        <f aca="false">IFERROR(INDEX('SKU Data'!$B$2:$B$1780,MATCH($A15,'SKU Data'!$A$2:$A$1780,0)),"")</f>
        <v>Sunset Serenade</v>
      </c>
      <c r="C15" s="19" t="n">
        <f aca="false">IFERROR(INDEX('SKU Data'!$E$2:$E$1780,MATCH($A15,'SKU Data'!$A$2:$A$1780,0)),"")</f>
        <v>946</v>
      </c>
      <c r="D15" s="19" t="n">
        <f aca="false">IFERROR(INDEX('SKU Data'!$F$2:$F$1780,MATCH($A15,'SKU Data'!$A$2:$A$1780,0)),"")</f>
        <v>49</v>
      </c>
      <c r="E15" s="20" t="n">
        <f aca="false">IFERROR(INDEX('SKU Data'!$J$2:$J$1780,MATCH($A15,'SKU Data'!$A$2:$A$1780,0)),"")</f>
        <v>0.0517970401691332</v>
      </c>
      <c r="F15" s="21" t="n">
        <f aca="false">IFERROR(INDEX('SKU Data'!$H$2:$H$1780,MATCH($A15,'SKU Data'!$A$2:$A$1780,0)),"")</f>
        <v>2843.02</v>
      </c>
      <c r="G15" s="20" t="n">
        <f aca="false">IFERROR(INDEX('SKU Data'!$K$2:$K$1780,MATCH($A15,'SKU Data'!$A$2:$A$1780,0)),"")</f>
        <v>0.0503557556861486</v>
      </c>
      <c r="H15" s="29" t="n">
        <f aca="false">IFERROR(INDEX('SKU Data'!$O$2:$O$1780,MATCH($A15,'SKU Data'!$A$2:$A$1780,0)),"")</f>
        <v>3.69391921992419</v>
      </c>
      <c r="I15" s="23" t="str">
        <f aca="false">IFERROR(INDEX('SKU Data'!$W$2:$W$1780,MATCH($A15,'SKU Data'!$A$2:$A$1780,0)),"")</f>
        <v>2 - Review</v>
      </c>
      <c r="J15" s="23" t="str">
        <f aca="false">IFERROR(INDEX('SKU Data'!$X$2:$X$1780,MATCH($A15,'SKU Data'!$A$2:$A$1780,0)),"")</f>
        <v>HIGH RATE</v>
      </c>
    </row>
    <row r="16" customFormat="false" ht="15" hidden="false" customHeight="false" outlineLevel="0" collapsed="false">
      <c r="A16" s="18" t="s">
        <v>293</v>
      </c>
      <c r="B16" s="18" t="str">
        <f aca="false">IFERROR(INDEX('SKU Data'!$B$2:$B$1780,MATCH($A16,'SKU Data'!$A$2:$A$1780,0)),"")</f>
        <v>Delicate Elegance</v>
      </c>
      <c r="C16" s="19" t="n">
        <f aca="false">IFERROR(INDEX('SKU Data'!$E$2:$E$1780,MATCH($A16,'SKU Data'!$A$2:$A$1780,0)),"")</f>
        <v>685</v>
      </c>
      <c r="D16" s="19" t="n">
        <f aca="false">IFERROR(INDEX('SKU Data'!$F$2:$F$1780,MATCH($A16,'SKU Data'!$A$2:$A$1780,0)),"")</f>
        <v>31</v>
      </c>
      <c r="E16" s="20" t="n">
        <f aca="false">IFERROR(INDEX('SKU Data'!$J$2:$J$1780,MATCH($A16,'SKU Data'!$A$2:$A$1780,0)),"")</f>
        <v>0.0452554744525548</v>
      </c>
      <c r="F16" s="21" t="n">
        <f aca="false">IFERROR(INDEX('SKU Data'!$H$2:$H$1780,MATCH($A16,'SKU Data'!$A$2:$A$1780,0)),"")</f>
        <v>2403.45</v>
      </c>
      <c r="G16" s="20" t="n">
        <f aca="false">IFERROR(INDEX('SKU Data'!$K$2:$K$1780,MATCH($A16,'SKU Data'!$A$2:$A$1780,0)),"")</f>
        <v>0.0437127133801334</v>
      </c>
      <c r="H16" s="29" t="n">
        <f aca="false">IFERROR(INDEX('SKU Data'!$O$2:$O$1780,MATCH($A16,'SKU Data'!$A$2:$A$1780,0)),"")</f>
        <v>2.15526093315444</v>
      </c>
      <c r="I16" s="23" t="str">
        <f aca="false">IFERROR(INDEX('SKU Data'!$W$2:$W$1780,MATCH($A16,'SKU Data'!$A$2:$A$1780,0)),"")</f>
        <v>2 - Review</v>
      </c>
      <c r="J16" s="23" t="str">
        <f aca="false">IFERROR(INDEX('SKU Data'!$X$2:$X$1780,MATCH($A16,'SKU Data'!$A$2:$A$1780,0)),"")</f>
        <v/>
      </c>
    </row>
    <row r="17" customFormat="false" ht="15" hidden="false" customHeight="false" outlineLevel="0" collapsed="false">
      <c r="A17" s="18" t="s">
        <v>294</v>
      </c>
      <c r="B17" s="18" t="str">
        <f aca="false">IFERROR(INDEX('SKU Data'!$B$2:$B$1780,MATCH($A17,'SKU Data'!$A$2:$A$1780,0)),"")</f>
        <v>Two Dozen Long Stem Red Roses</v>
      </c>
      <c r="C17" s="19" t="n">
        <f aca="false">IFERROR(INDEX('SKU Data'!$E$2:$E$1780,MATCH($A17,'SKU Data'!$A$2:$A$1780,0)),"")</f>
        <v>26</v>
      </c>
      <c r="D17" s="19" t="n">
        <f aca="false">IFERROR(INDEX('SKU Data'!$F$2:$F$1780,MATCH($A17,'SKU Data'!$A$2:$A$1780,0)),"")</f>
        <v>5</v>
      </c>
      <c r="E17" s="20" t="n">
        <f aca="false">IFERROR(INDEX('SKU Data'!$J$2:$J$1780,MATCH($A17,'SKU Data'!$A$2:$A$1780,0)),"")</f>
        <v>0.192307692307692</v>
      </c>
      <c r="F17" s="21" t="n">
        <f aca="false">IFERROR(INDEX('SKU Data'!$H$2:$H$1780,MATCH($A17,'SKU Data'!$A$2:$A$1780,0)),"")</f>
        <v>751.83</v>
      </c>
      <c r="G17" s="20" t="n">
        <f aca="false">IFERROR(INDEX('SKU Data'!$K$2:$K$1780,MATCH($A17,'SKU Data'!$A$2:$A$1780,0)),"")</f>
        <v>0.179839973209267</v>
      </c>
      <c r="H17" s="29" t="n">
        <f aca="false">IFERROR(INDEX('SKU Data'!$O$2:$O$1780,MATCH($A17,'SKU Data'!$A$2:$A$1780,0)),"")</f>
        <v>4.74712018949791</v>
      </c>
      <c r="I17" s="23" t="str">
        <f aca="false">IFERROR(INDEX('SKU Data'!$W$2:$W$1780,MATCH($A17,'SKU Data'!$A$2:$A$1780,0)),"")</f>
        <v>2 - Review</v>
      </c>
      <c r="J17" s="23" t="str">
        <f aca="false">IFERROR(INDEX('SKU Data'!$X$2:$X$1780,MATCH($A17,'SKU Data'!$A$2:$A$1780,0)),"")</f>
        <v/>
      </c>
    </row>
    <row r="18" customFormat="false" ht="15" hidden="false" customHeight="false" outlineLevel="0" collapsed="false">
      <c r="A18" s="18" t="s">
        <v>295</v>
      </c>
      <c r="B18" s="18" t="str">
        <f aca="false">IFERROR(INDEX('SKU Data'!$B$2:$B$1780,MATCH($A18,'SKU Data'!$A$2:$A$1780,0)),"")</f>
        <v>Gorgeous Gerberas</v>
      </c>
      <c r="C18" s="19" t="n">
        <f aca="false">IFERROR(INDEX('SKU Data'!$E$2:$E$1780,MATCH($A18,'SKU Data'!$A$2:$A$1780,0)),"")</f>
        <v>77</v>
      </c>
      <c r="D18" s="19" t="n">
        <f aca="false">IFERROR(INDEX('SKU Data'!$F$2:$F$1780,MATCH($A18,'SKU Data'!$A$2:$A$1780,0)),"")</f>
        <v>9</v>
      </c>
      <c r="E18" s="20" t="n">
        <f aca="false">IFERROR(INDEX('SKU Data'!$J$2:$J$1780,MATCH($A18,'SKU Data'!$A$2:$A$1780,0)),"")</f>
        <v>0.116883116883117</v>
      </c>
      <c r="F18" s="21" t="n">
        <f aca="false">IFERROR(INDEX('SKU Data'!$H$2:$H$1780,MATCH($A18,'SKU Data'!$A$2:$A$1780,0)),"")</f>
        <v>417.6</v>
      </c>
      <c r="G18" s="20" t="n">
        <f aca="false">IFERROR(INDEX('SKU Data'!$K$2:$K$1780,MATCH($A18,'SKU Data'!$A$2:$A$1780,0)),"")</f>
        <v>0.111038432698904</v>
      </c>
      <c r="H18" s="29" t="n">
        <f aca="false">IFERROR(INDEX('SKU Data'!$O$2:$O$1780,MATCH($A18,'SKU Data'!$A$2:$A$1780,0)),"")</f>
        <v>4.34985095950228</v>
      </c>
      <c r="I18" s="23" t="str">
        <f aca="false">IFERROR(INDEX('SKU Data'!$W$2:$W$1780,MATCH($A18,'SKU Data'!$A$2:$A$1780,0)),"")</f>
        <v>2 - Review</v>
      </c>
      <c r="J18" s="23" t="str">
        <f aca="false">IFERROR(INDEX('SKU Data'!$X$2:$X$1780,MATCH($A18,'SKU Data'!$A$2:$A$1780,0)),"")</f>
        <v>HIGH RATE</v>
      </c>
    </row>
    <row r="19" customFormat="false" ht="15" hidden="false" customHeight="false" outlineLevel="0" collapsed="false">
      <c r="A19" s="18" t="s">
        <v>296</v>
      </c>
      <c r="B19" s="18" t="str">
        <f aca="false">IFERROR(INDEX('SKU Data'!$B$2:$B$1780,MATCH($A19,'SKU Data'!$A$2:$A$1780,0)),"")</f>
        <v>Three Dozen Long Stem Pink Roses</v>
      </c>
      <c r="C19" s="19" t="n">
        <f aca="false">IFERROR(INDEX('SKU Data'!$E$2:$E$1780,MATCH($A19,'SKU Data'!$A$2:$A$1780,0)),"")</f>
        <v>2</v>
      </c>
      <c r="D19" s="19" t="n">
        <f aca="false">IFERROR(INDEX('SKU Data'!$F$2:$F$1780,MATCH($A19,'SKU Data'!$A$2:$A$1780,0)),"")</f>
        <v>1</v>
      </c>
      <c r="E19" s="20" t="n">
        <f aca="false">IFERROR(INDEX('SKU Data'!$J$2:$J$1780,MATCH($A19,'SKU Data'!$A$2:$A$1780,0)),"")</f>
        <v>0.5</v>
      </c>
      <c r="F19" s="21" t="n">
        <f aca="false">IFERROR(INDEX('SKU Data'!$H$2:$H$1780,MATCH($A19,'SKU Data'!$A$2:$A$1780,0)),"")</f>
        <v>290.86</v>
      </c>
      <c r="G19" s="20" t="n">
        <f aca="false">IFERROR(INDEX('SKU Data'!$K$2:$K$1780,MATCH($A19,'SKU Data'!$A$2:$A$1780,0)),"")</f>
        <v>0.551738528368458</v>
      </c>
      <c r="H19" s="29" t="n">
        <f aca="false">IFERROR(INDEX('SKU Data'!$O$2:$O$1780,MATCH($A19,'SKU Data'!$A$2:$A$1780,0)),"")</f>
        <v>3.82782306926152</v>
      </c>
      <c r="I19" s="23" t="str">
        <f aca="false">IFERROR(INDEX('SKU Data'!$W$2:$W$1780,MATCH($A19,'SKU Data'!$A$2:$A$1780,0)),"")</f>
        <v>3 - Monitor</v>
      </c>
      <c r="J19" s="23" t="str">
        <f aca="false">IFERROR(INDEX('SKU Data'!$X$2:$X$1780,MATCH($A19,'SKU Data'!$A$2:$A$1780,0)),"")</f>
        <v/>
      </c>
    </row>
    <row r="20" customFormat="false" ht="15" hidden="false" customHeight="false" outlineLevel="0" collapsed="false">
      <c r="A20" s="18" t="s">
        <v>297</v>
      </c>
      <c r="B20" s="18" t="str">
        <f aca="false">IFERROR(INDEX('SKU Data'!$B$2:$B$1780,MATCH($A20,'SKU Data'!$A$2:$A$1780,0)),"")</f>
        <v>Half Dozen Long Stem Red Roses</v>
      </c>
      <c r="C20" s="19" t="n">
        <f aca="false">IFERROR(INDEX('SKU Data'!$E$2:$E$1780,MATCH($A20,'SKU Data'!$A$2:$A$1780,0)),"")</f>
        <v>38</v>
      </c>
      <c r="D20" s="19" t="n">
        <f aca="false">IFERROR(INDEX('SKU Data'!$F$2:$F$1780,MATCH($A20,'SKU Data'!$A$2:$A$1780,0)),"")</f>
        <v>4</v>
      </c>
      <c r="E20" s="20" t="n">
        <f aca="false">IFERROR(INDEX('SKU Data'!$J$2:$J$1780,MATCH($A20,'SKU Data'!$A$2:$A$1780,0)),"")</f>
        <v>0.105263157894737</v>
      </c>
      <c r="F20" s="21" t="n">
        <f aca="false">IFERROR(INDEX('SKU Data'!$H$2:$H$1780,MATCH($A20,'SKU Data'!$A$2:$A$1780,0)),"")</f>
        <v>276.64</v>
      </c>
      <c r="G20" s="20" t="n">
        <f aca="false">IFERROR(INDEX('SKU Data'!$K$2:$K$1780,MATCH($A20,'SKU Data'!$A$2:$A$1780,0)),"")</f>
        <v>0.104661016949153</v>
      </c>
      <c r="H20" s="29" t="n">
        <f aca="false">IFERROR(INDEX('SKU Data'!$O$2:$O$1780,MATCH($A20,'SKU Data'!$A$2:$A$1780,0)),"")</f>
        <v>2.64239283892653</v>
      </c>
      <c r="I20" s="23" t="str">
        <f aca="false">IFERROR(INDEX('SKU Data'!$W$2:$W$1780,MATCH($A20,'SKU Data'!$A$2:$A$1780,0)),"")</f>
        <v>3 - Monitor</v>
      </c>
      <c r="J20" s="23" t="str">
        <f aca="false">IFERROR(INDEX('SKU Data'!$X$2:$X$1780,MATCH($A20,'SKU Data'!$A$2:$A$1780,0)),"")</f>
        <v/>
      </c>
    </row>
    <row r="21" customFormat="false" ht="15" hidden="false" customHeight="false" outlineLevel="0" collapsed="false">
      <c r="A21" s="18" t="s">
        <v>298</v>
      </c>
      <c r="B21" s="18" t="str">
        <f aca="false">IFERROR(INDEX('SKU Data'!$B$2:$B$1780,MATCH($A21,'SKU Data'!$A$2:$A$1780,0)),"")</f>
        <v>Three Dozen Long Stemmed White Roses</v>
      </c>
      <c r="C21" s="19" t="n">
        <f aca="false">IFERROR(INDEX('SKU Data'!$E$2:$E$1780,MATCH($A21,'SKU Data'!$A$2:$A$1780,0)),"")</f>
        <v>6</v>
      </c>
      <c r="D21" s="19" t="n">
        <f aca="false">IFERROR(INDEX('SKU Data'!$F$2:$F$1780,MATCH($A21,'SKU Data'!$A$2:$A$1780,0)),"")</f>
        <v>1</v>
      </c>
      <c r="E21" s="20" t="n">
        <f aca="false">IFERROR(INDEX('SKU Data'!$J$2:$J$1780,MATCH($A21,'SKU Data'!$A$2:$A$1780,0)),"")</f>
        <v>0.166666666666667</v>
      </c>
      <c r="F21" s="21" t="n">
        <f aca="false">IFERROR(INDEX('SKU Data'!$H$2:$H$1780,MATCH($A21,'SKU Data'!$A$2:$A$1780,0)),"")</f>
        <v>231.78</v>
      </c>
      <c r="G21" s="20" t="n">
        <f aca="false">IFERROR(INDEX('SKU Data'!$K$2:$K$1780,MATCH($A21,'SKU Data'!$A$2:$A$1780,0)),"")</f>
        <v>0.15269881216689</v>
      </c>
      <c r="H21" s="29" t="n">
        <f aca="false">IFERROR(INDEX('SKU Data'!$O$2:$O$1780,MATCH($A21,'SKU Data'!$A$2:$A$1780,0)),"")</f>
        <v>1.91798100360216</v>
      </c>
      <c r="I21" s="23" t="str">
        <f aca="false">IFERROR(INDEX('SKU Data'!$W$2:$W$1780,MATCH($A21,'SKU Data'!$A$2:$A$1780,0)),"")</f>
        <v>3 - Monitor</v>
      </c>
      <c r="J21" s="23" t="str">
        <f aca="false">IFERROR(INDEX('SKU Data'!$X$2:$X$1780,MATCH($A21,'SKU Data'!$A$2:$A$1780,0)),"")</f>
        <v/>
      </c>
    </row>
    <row r="22" customFormat="false" ht="15" hidden="false" customHeight="false" outlineLevel="0" collapsed="false">
      <c r="A22" s="18" t="s">
        <v>299</v>
      </c>
      <c r="B22" s="18" t="str">
        <f aca="false">IFERROR(INDEX('SKU Data'!$B$2:$B$1780,MATCH($A22,'SKU Data'!$A$2:$A$1780,0)),"")</f>
        <v>Gerbera Brights</v>
      </c>
      <c r="C22" s="19" t="n">
        <f aca="false">IFERROR(INDEX('SKU Data'!$E$2:$E$1780,MATCH($A22,'SKU Data'!$A$2:$A$1780,0)),"")</f>
        <v>11</v>
      </c>
      <c r="D22" s="19" t="n">
        <f aca="false">IFERROR(INDEX('SKU Data'!$F$2:$F$1780,MATCH($A22,'SKU Data'!$A$2:$A$1780,0)),"")</f>
        <v>3</v>
      </c>
      <c r="E22" s="20" t="n">
        <f aca="false">IFERROR(INDEX('SKU Data'!$J$2:$J$1780,MATCH($A22,'SKU Data'!$A$2:$A$1780,0)),"")</f>
        <v>0.272727272727273</v>
      </c>
      <c r="F22" s="21" t="n">
        <f aca="false">IFERROR(INDEX('SKU Data'!$H$2:$H$1780,MATCH($A22,'SKU Data'!$A$2:$A$1780,0)),"")</f>
        <v>189.87</v>
      </c>
      <c r="G22" s="20" t="n">
        <f aca="false">IFERROR(INDEX('SKU Data'!$K$2:$K$1780,MATCH($A22,'SKU Data'!$A$2:$A$1780,0)),"")</f>
        <v>0.280943432520012</v>
      </c>
      <c r="H22" s="29" t="n">
        <f aca="false">IFERROR(INDEX('SKU Data'!$O$2:$O$1780,MATCH($A22,'SKU Data'!$A$2:$A$1780,0)),"")</f>
        <v>4.6269847320975</v>
      </c>
      <c r="I22" s="23" t="str">
        <f aca="false">IFERROR(INDEX('SKU Data'!$W$2:$W$1780,MATCH($A22,'SKU Data'!$A$2:$A$1780,0)),"")</f>
        <v>3 - Monitor</v>
      </c>
      <c r="J22" s="23" t="str">
        <f aca="false">IFERROR(INDEX('SKU Data'!$X$2:$X$1780,MATCH($A22,'SKU Data'!$A$2:$A$1780,0)),"")</f>
        <v/>
      </c>
    </row>
    <row r="23" customFormat="false" ht="15" hidden="false" customHeight="false" outlineLevel="0" collapsed="false">
      <c r="A23" s="18" t="s">
        <v>300</v>
      </c>
      <c r="B23" s="18" t="str">
        <f aca="false">IFERROR(INDEX('SKU Data'!$B$2:$B$1780,MATCH($A23,'SKU Data'!$A$2:$A$1780,0)),"")</f>
        <v>Pastel Harmony</v>
      </c>
      <c r="C23" s="19" t="n">
        <f aca="false">IFERROR(INDEX('SKU Data'!$E$2:$E$1780,MATCH($A23,'SKU Data'!$A$2:$A$1780,0)),"")</f>
        <v>14</v>
      </c>
      <c r="D23" s="19" t="n">
        <f aca="false">IFERROR(INDEX('SKU Data'!$F$2:$F$1780,MATCH($A23,'SKU Data'!$A$2:$A$1780,0)),"")</f>
        <v>1</v>
      </c>
      <c r="E23" s="20" t="n">
        <f aca="false">IFERROR(INDEX('SKU Data'!$J$2:$J$1780,MATCH($A23,'SKU Data'!$A$2:$A$1780,0)),"")</f>
        <v>0.0714285714285714</v>
      </c>
      <c r="F23" s="21" t="n">
        <f aca="false">IFERROR(INDEX('SKU Data'!$H$2:$H$1780,MATCH($A23,'SKU Data'!$A$2:$A$1780,0)),"")</f>
        <v>124.95</v>
      </c>
      <c r="G23" s="20" t="n">
        <f aca="false">IFERROR(INDEX('SKU Data'!$K$2:$K$1780,MATCH($A23,'SKU Data'!$A$2:$A$1780,0)),"")</f>
        <v>0.0714285714285714</v>
      </c>
      <c r="H23" s="29" t="n">
        <f aca="false">IFERROR(INDEX('SKU Data'!$O$2:$O$1780,MATCH($A23,'SKU Data'!$A$2:$A$1780,0)),"")</f>
        <v>0.873277654776981</v>
      </c>
      <c r="I23" s="23" t="str">
        <f aca="false">IFERROR(INDEX('SKU Data'!$W$2:$W$1780,MATCH($A23,'SKU Data'!$A$2:$A$1780,0)),"")</f>
        <v>3 - Monitor</v>
      </c>
      <c r="J23" s="23" t="str">
        <f aca="false">IFERROR(INDEX('SKU Data'!$X$2:$X$1780,MATCH($A23,'SKU Data'!$A$2:$A$1780,0)),"")</f>
        <v/>
      </c>
    </row>
    <row r="24" customFormat="false" ht="15" hidden="false" customHeight="false" outlineLevel="0" collapsed="false">
      <c r="A24" s="18" t="s">
        <v>301</v>
      </c>
      <c r="B24" s="18" t="str">
        <f aca="false">IFERROR(INDEX('SKU Data'!$B$2:$B$1780,MATCH($A24,'SKU Data'!$A$2:$A$1780,0)),"")</f>
        <v>Harmony Blooms</v>
      </c>
      <c r="C24" s="19" t="n">
        <f aca="false">IFERROR(INDEX('SKU Data'!$E$2:$E$1780,MATCH($A24,'SKU Data'!$A$2:$A$1780,0)),"")</f>
        <v>52</v>
      </c>
      <c r="D24" s="19" t="n">
        <f aca="false">IFERROR(INDEX('SKU Data'!$F$2:$F$1780,MATCH($A24,'SKU Data'!$A$2:$A$1780,0)),"")</f>
        <v>2</v>
      </c>
      <c r="E24" s="20" t="n">
        <f aca="false">IFERROR(INDEX('SKU Data'!$J$2:$J$1780,MATCH($A24,'SKU Data'!$A$2:$A$1780,0)),"")</f>
        <v>0.0384615384615385</v>
      </c>
      <c r="F24" s="21" t="n">
        <f aca="false">IFERROR(INDEX('SKU Data'!$H$2:$H$1780,MATCH($A24,'SKU Data'!$A$2:$A$1780,0)),"")</f>
        <v>117.64</v>
      </c>
      <c r="G24" s="20" t="n">
        <f aca="false">IFERROR(INDEX('SKU Data'!$K$2:$K$1780,MATCH($A24,'SKU Data'!$A$2:$A$1780,0)),"")</f>
        <v>0.0329029803991766</v>
      </c>
      <c r="H24" s="29" t="n">
        <f aca="false">IFERROR(INDEX('SKU Data'!$O$2:$O$1780,MATCH($A24,'SKU Data'!$A$2:$A$1780,0)),"")</f>
        <v>0.31109036893207</v>
      </c>
      <c r="I24" s="23" t="str">
        <f aca="false">IFERROR(INDEX('SKU Data'!$W$2:$W$1780,MATCH($A24,'SKU Data'!$A$2:$A$1780,0)),"")</f>
        <v>3 - Monitor</v>
      </c>
      <c r="J24" s="23" t="str">
        <f aca="false">IFERROR(INDEX('SKU Data'!$X$2:$X$1780,MATCH($A24,'SKU Data'!$A$2:$A$1780,0)),"")</f>
        <v/>
      </c>
    </row>
    <row r="25" customFormat="false" ht="15" hidden="false" customHeight="false" outlineLevel="0" collapsed="false">
      <c r="A25" s="18" t="s">
        <v>302</v>
      </c>
      <c r="B25" s="18" t="str">
        <f aca="false">IFERROR(INDEX('SKU Data'!$B$2:$B$1780,MATCH($A25,'SKU Data'!$A$2:$A$1780,0)),"")</f>
        <v>One Dozen Long Stem Yellow Roses</v>
      </c>
      <c r="C25" s="19" t="n">
        <f aca="false">IFERROR(INDEX('SKU Data'!$E$2:$E$1780,MATCH($A25,'SKU Data'!$A$2:$A$1780,0)),"")</f>
        <v>36</v>
      </c>
      <c r="D25" s="19" t="n">
        <f aca="false">IFERROR(INDEX('SKU Data'!$F$2:$F$1780,MATCH($A25,'SKU Data'!$A$2:$A$1780,0)),"")</f>
        <v>1</v>
      </c>
      <c r="E25" s="20" t="n">
        <f aca="false">IFERROR(INDEX('SKU Data'!$J$2:$J$1780,MATCH($A25,'SKU Data'!$A$2:$A$1780,0)),"")</f>
        <v>0.0277777777777778</v>
      </c>
      <c r="F25" s="21" t="n">
        <f aca="false">IFERROR(INDEX('SKU Data'!$H$2:$H$1780,MATCH($A25,'SKU Data'!$A$2:$A$1780,0)),"")</f>
        <v>95.41</v>
      </c>
      <c r="G25" s="20" t="n">
        <f aca="false">IFERROR(INDEX('SKU Data'!$K$2:$K$1780,MATCH($A25,'SKU Data'!$A$2:$A$1780,0)),"")</f>
        <v>0.0259204320705918</v>
      </c>
      <c r="H25" s="29" t="n">
        <f aca="false">IFERROR(INDEX('SKU Data'!$O$2:$O$1780,MATCH($A25,'SKU Data'!$A$2:$A$1780,0)),"")</f>
        <v>-0.111093163809476</v>
      </c>
      <c r="I25" s="23" t="str">
        <f aca="false">IFERROR(INDEX('SKU Data'!$W$2:$W$1780,MATCH($A25,'SKU Data'!$A$2:$A$1780,0)),"")</f>
        <v>3 - Monitor</v>
      </c>
      <c r="J25" s="23" t="str">
        <f aca="false">IFERROR(INDEX('SKU Data'!$X$2:$X$1780,MATCH($A25,'SKU Data'!$A$2:$A$1780,0)),"")</f>
        <v/>
      </c>
    </row>
    <row r="26" customFormat="false" ht="15" hidden="false" customHeight="false" outlineLevel="0" collapsed="false">
      <c r="A26" s="18" t="s">
        <v>303</v>
      </c>
      <c r="B26" s="18" t="str">
        <f aca="false">IFERROR(INDEX('SKU Data'!$B$2:$B$1780,MATCH($A26,'SKU Data'!$A$2:$A$1780,0)),"")</f>
        <v>Delicate Elegance</v>
      </c>
      <c r="C26" s="19" t="n">
        <f aca="false">IFERROR(INDEX('SKU Data'!$E$2:$E$1780,MATCH($A26,'SKU Data'!$A$2:$A$1780,0)),"")</f>
        <v>14</v>
      </c>
      <c r="D26" s="19" t="n">
        <f aca="false">IFERROR(INDEX('SKU Data'!$F$2:$F$1780,MATCH($A26,'SKU Data'!$A$2:$A$1780,0)),"")</f>
        <v>1</v>
      </c>
      <c r="E26" s="20" t="n">
        <f aca="false">IFERROR(INDEX('SKU Data'!$J$2:$J$1780,MATCH($A26,'SKU Data'!$A$2:$A$1780,0)),"")</f>
        <v>0.0714285714285714</v>
      </c>
      <c r="F26" s="21" t="n">
        <f aca="false">IFERROR(INDEX('SKU Data'!$H$2:$H$1780,MATCH($A26,'SKU Data'!$A$2:$A$1780,0)),"")</f>
        <v>79.95</v>
      </c>
      <c r="G26" s="20" t="n">
        <f aca="false">IFERROR(INDEX('SKU Data'!$K$2:$K$1780,MATCH($A26,'SKU Data'!$A$2:$A$1780,0)),"")</f>
        <v>0.0714285714285714</v>
      </c>
      <c r="H26" s="29" t="n">
        <f aca="false">IFERROR(INDEX('SKU Data'!$O$2:$O$1780,MATCH($A26,'SKU Data'!$A$2:$A$1780,0)),"")</f>
        <v>0.873277654776981</v>
      </c>
      <c r="I26" s="23" t="str">
        <f aca="false">IFERROR(INDEX('SKU Data'!$W$2:$W$1780,MATCH($A26,'SKU Data'!$A$2:$A$1780,0)),"")</f>
        <v>3 - Monitor</v>
      </c>
      <c r="J26" s="23" t="str">
        <f aca="false">IFERROR(INDEX('SKU Data'!$X$2:$X$1780,MATCH($A26,'SKU Data'!$A$2:$A$1780,0)),"")</f>
        <v/>
      </c>
    </row>
    <row r="27" customFormat="false" ht="15" hidden="false" customHeight="false" outlineLevel="0" collapsed="false">
      <c r="A27" s="18" t="s">
        <v>304</v>
      </c>
      <c r="B27" s="18" t="str">
        <f aca="false">IFERROR(INDEX('SKU Data'!$B$2:$B$1780,MATCH($A27,'SKU Data'!$A$2:$A$1780,0)),"")</f>
        <v>One Dozen Boxed Red Roses</v>
      </c>
      <c r="C27" s="19" t="n">
        <f aca="false">IFERROR(INDEX('SKU Data'!$E$2:$E$1780,MATCH($A27,'SKU Data'!$A$2:$A$1780,0)),"")</f>
        <v>1</v>
      </c>
      <c r="D27" s="19" t="n">
        <f aca="false">IFERROR(INDEX('SKU Data'!$F$2:$F$1780,MATCH($A27,'SKU Data'!$A$2:$A$1780,0)),"")</f>
        <v>0</v>
      </c>
      <c r="E27" s="20" t="n">
        <f aca="false">IFERROR(INDEX('SKU Data'!$J$2:$J$1780,MATCH($A27,'SKU Data'!$A$2:$A$1780,0)),"")</f>
        <v>0</v>
      </c>
      <c r="F27" s="21" t="n">
        <f aca="false">IFERROR(INDEX('SKU Data'!$H$2:$H$1780,MATCH($A27,'SKU Data'!$A$2:$A$1780,0)),"")</f>
        <v>-0</v>
      </c>
      <c r="G27" s="20" t="n">
        <f aca="false">IFERROR(INDEX('SKU Data'!$K$2:$K$1780,MATCH($A27,'SKU Data'!$A$2:$A$1780,0)),"")</f>
        <v>-0</v>
      </c>
      <c r="H27" s="29" t="n">
        <f aca="false">IFERROR(INDEX('SKU Data'!$O$2:$O$1780,MATCH($A27,'SKU Data'!$A$2:$A$1780,0)),"")</f>
        <v>-0.178821125934444</v>
      </c>
      <c r="I27" s="23" t="str">
        <f aca="false">IFERROR(INDEX('SKU Data'!$W$2:$W$1780,MATCH($A27,'SKU Data'!$A$2:$A$1780,0)),"")</f>
        <v/>
      </c>
      <c r="J27" s="23" t="str">
        <f aca="false">IFERROR(INDEX('SKU Data'!$X$2:$X$1780,MATCH($A27,'SKU Data'!$A$2:$A$1780,0)),"")</f>
        <v/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{B860CD89-B449-4D1D-A895-57E2AB5F4BD2}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60CD89-B449-4D1D-A895-57E2AB5F4BD2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305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Brands!E11</f>
        <v>477893.02</v>
      </c>
      <c r="B4" s="34" t="n">
        <f aca="false">Brands!F11</f>
        <v>17576.19</v>
      </c>
      <c r="C4" s="35" t="n">
        <f aca="false">Brands!D11</f>
        <v>1515</v>
      </c>
      <c r="D4" s="36" t="n">
        <f aca="false">Brands!G11</f>
        <v>0.0417401366541768</v>
      </c>
      <c r="E4" s="37" t="n">
        <f aca="false">Brands!K11</f>
        <v>1.34705780484495</v>
      </c>
      <c r="F4" s="36" t="n">
        <f aca="false">Brands!I11</f>
        <v>0.0351264805433658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307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308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309</v>
      </c>
      <c r="B13" s="18" t="str">
        <f aca="false">IFERROR(INDEX('SKU Data'!$B$2:$B$1780,MATCH($A13,'SKU Data'!$A$2:$A$1780,0)),"")</f>
        <v>The Birthday Bundle</v>
      </c>
      <c r="C13" s="19" t="n">
        <f aca="false">IFERROR(INDEX('SKU Data'!$E$2:$E$1780,MATCH($A13,'SKU Data'!$A$2:$A$1780,0)),"")</f>
        <v>1309</v>
      </c>
      <c r="D13" s="19" t="n">
        <f aca="false">IFERROR(INDEX('SKU Data'!$F$2:$F$1780,MATCH($A13,'SKU Data'!$A$2:$A$1780,0)),"")</f>
        <v>41</v>
      </c>
      <c r="E13" s="20" t="n">
        <f aca="false">IFERROR(INDEX('SKU Data'!$J$2:$J$1780,MATCH($A13,'SKU Data'!$A$2:$A$1780,0)),"")</f>
        <v>0.0313216195569137</v>
      </c>
      <c r="F13" s="21" t="n">
        <f aca="false">IFERROR(INDEX('SKU Data'!$H$2:$H$1780,MATCH($A13,'SKU Data'!$A$2:$A$1780,0)),"")</f>
        <v>2915.48</v>
      </c>
      <c r="G13" s="20" t="n">
        <f aca="false">IFERROR(INDEX('SKU Data'!$K$2:$K$1780,MATCH($A13,'SKU Data'!$A$2:$A$1780,0)),"")</f>
        <v>0.026656982129139</v>
      </c>
      <c r="H13" s="29" t="n">
        <f aca="false">IFERROR(INDEX('SKU Data'!$O$2:$O$1780,MATCH($A13,'SKU Data'!$A$2:$A$1780,0)),"")</f>
        <v>0.070044289031285</v>
      </c>
      <c r="I13" s="23" t="str">
        <f aca="false">IFERROR(INDEX('SKU Data'!$W$2:$W$1780,MATCH($A13,'SKU Data'!$A$2:$A$1780,0)),"")</f>
        <v>3 - Monitor</v>
      </c>
      <c r="J13" s="23" t="str">
        <f aca="false">IFERROR(INDEX('SKU Data'!$X$2:$X$1780,MATCH($A13,'SKU Data'!$A$2:$A$1780,0)),"")</f>
        <v/>
      </c>
    </row>
    <row r="14" customFormat="false" ht="15" hidden="false" customHeight="false" outlineLevel="0" collapsed="false">
      <c r="A14" s="18" t="s">
        <v>310</v>
      </c>
      <c r="B14" s="18" t="str">
        <f aca="false">IFERROR(INDEX('SKU Data'!$B$2:$B$1780,MATCH($A14,'SKU Data'!$A$2:$A$1780,0)),"")</f>
        <v>Large Box of Premium Chocolates</v>
      </c>
      <c r="C14" s="19" t="n">
        <f aca="false">IFERROR(INDEX('SKU Data'!$E$2:$E$1780,MATCH($A14,'SKU Data'!$A$2:$A$1780,0)),"")</f>
        <v>2392</v>
      </c>
      <c r="D14" s="19" t="n">
        <f aca="false">IFERROR(INDEX('SKU Data'!$F$2:$F$1780,MATCH($A14,'SKU Data'!$A$2:$A$1780,0)),"")</f>
        <v>96</v>
      </c>
      <c r="E14" s="20" t="n">
        <f aca="false">IFERROR(INDEX('SKU Data'!$J$2:$J$1780,MATCH($A14,'SKU Data'!$A$2:$A$1780,0)),"")</f>
        <v>0.0401337792642141</v>
      </c>
      <c r="F14" s="21" t="n">
        <f aca="false">IFERROR(INDEX('SKU Data'!$H$2:$H$1780,MATCH($A14,'SKU Data'!$A$2:$A$1780,0)),"")</f>
        <v>1962.91</v>
      </c>
      <c r="G14" s="20" t="n">
        <f aca="false">IFERROR(INDEX('SKU Data'!$K$2:$K$1780,MATCH($A14,'SKU Data'!$A$2:$A$1780,0)),"")</f>
        <v>0.0372036859682983</v>
      </c>
      <c r="H14" s="29" t="n">
        <f aca="false">IFERROR(INDEX('SKU Data'!$O$2:$O$1780,MATCH($A14,'SKU Data'!$A$2:$A$1780,0)),"")</f>
        <v>2.58190514278716</v>
      </c>
      <c r="I14" s="23" t="str">
        <f aca="false">IFERROR(INDEX('SKU Data'!$W$2:$W$1780,MATCH($A14,'SKU Data'!$A$2:$A$1780,0)),"")</f>
        <v>2 - Review</v>
      </c>
      <c r="J14" s="23" t="str">
        <f aca="false">IFERROR(INDEX('SKU Data'!$X$2:$X$1780,MATCH($A14,'SKU Data'!$A$2:$A$1780,0)),"")</f>
        <v/>
      </c>
    </row>
    <row r="15" customFormat="false" ht="15" hidden="false" customHeight="false" outlineLevel="0" collapsed="false">
      <c r="A15" s="18" t="s">
        <v>311</v>
      </c>
      <c r="B15" s="18" t="str">
        <f aca="false">IFERROR(INDEX('SKU Data'!$B$2:$B$1780,MATCH($A15,'SKU Data'!$A$2:$A$1780,0)),"")</f>
        <v>Full Size Greeting Card</v>
      </c>
      <c r="C15" s="19" t="n">
        <f aca="false">IFERROR(INDEX('SKU Data'!$E$2:$E$1780,MATCH($A15,'SKU Data'!$A$2:$A$1780,0)),"")</f>
        <v>11080</v>
      </c>
      <c r="D15" s="19" t="n">
        <f aca="false">IFERROR(INDEX('SKU Data'!$F$2:$F$1780,MATCH($A15,'SKU Data'!$A$2:$A$1780,0)),"")</f>
        <v>410</v>
      </c>
      <c r="E15" s="20" t="n">
        <f aca="false">IFERROR(INDEX('SKU Data'!$J$2:$J$1780,MATCH($A15,'SKU Data'!$A$2:$A$1780,0)),"")</f>
        <v>0.0370036101083033</v>
      </c>
      <c r="F15" s="21" t="n">
        <f aca="false">IFERROR(INDEX('SKU Data'!$H$2:$H$1780,MATCH($A15,'SKU Data'!$A$2:$A$1780,0)),"")</f>
        <v>1427.63</v>
      </c>
      <c r="G15" s="20" t="n">
        <f aca="false">IFERROR(INDEX('SKU Data'!$K$2:$K$1780,MATCH($A15,'SKU Data'!$A$2:$A$1780,0)),"")</f>
        <v>0.0343284098893367</v>
      </c>
      <c r="H15" s="29" t="n">
        <f aca="false">IFERROR(INDEX('SKU Data'!$O$2:$O$1780,MATCH($A15,'SKU Data'!$A$2:$A$1780,0)),"")</f>
        <v>3.65539415576429</v>
      </c>
      <c r="I15" s="23" t="str">
        <f aca="false">IFERROR(INDEX('SKU Data'!$W$2:$W$1780,MATCH($A15,'SKU Data'!$A$2:$A$1780,0)),"")</f>
        <v>3 - Monitor</v>
      </c>
      <c r="J15" s="23" t="str">
        <f aca="false">IFERROR(INDEX('SKU Data'!$X$2:$X$1780,MATCH($A15,'SKU Data'!$A$2:$A$1780,0)),"")</f>
        <v>HIGH RATE</v>
      </c>
    </row>
    <row r="16" customFormat="false" ht="15" hidden="false" customHeight="false" outlineLevel="0" collapsed="false">
      <c r="A16" s="18" t="s">
        <v>312</v>
      </c>
      <c r="B16" s="18" t="str">
        <f aca="false">IFERROR(INDEX('SKU Data'!$B$2:$B$1780,MATCH($A16,'SKU Data'!$A$2:$A$1780,0)),"")</f>
        <v>Chocolates &amp; Teddy</v>
      </c>
      <c r="C16" s="19" t="n">
        <f aca="false">IFERROR(INDEX('SKU Data'!$E$2:$E$1780,MATCH($A16,'SKU Data'!$A$2:$A$1780,0)),"")</f>
        <v>1589</v>
      </c>
      <c r="D16" s="19" t="n">
        <f aca="false">IFERROR(INDEX('SKU Data'!$F$2:$F$1780,MATCH($A16,'SKU Data'!$A$2:$A$1780,0)),"")</f>
        <v>85</v>
      </c>
      <c r="E16" s="20" t="n">
        <f aca="false">IFERROR(INDEX('SKU Data'!$J$2:$J$1780,MATCH($A16,'SKU Data'!$A$2:$A$1780,0)),"")</f>
        <v>0.0534927627438641</v>
      </c>
      <c r="F16" s="21" t="n">
        <f aca="false">IFERROR(INDEX('SKU Data'!$H$2:$H$1780,MATCH($A16,'SKU Data'!$A$2:$A$1780,0)),"")</f>
        <v>1209.72</v>
      </c>
      <c r="G16" s="20" t="n">
        <f aca="false">IFERROR(INDEX('SKU Data'!$K$2:$K$1780,MATCH($A16,'SKU Data'!$A$2:$A$1780,0)),"")</f>
        <v>0.0502253397741828</v>
      </c>
      <c r="H16" s="29" t="n">
        <f aca="false">IFERROR(INDEX('SKU Data'!$O$2:$O$1780,MATCH($A16,'SKU Data'!$A$2:$A$1780,0)),"")</f>
        <v>5.17753754854195</v>
      </c>
      <c r="I16" s="23" t="str">
        <f aca="false">IFERROR(INDEX('SKU Data'!$W$2:$W$1780,MATCH($A16,'SKU Data'!$A$2:$A$1780,0)),"")</f>
        <v>2 - Review</v>
      </c>
      <c r="J16" s="23" t="str">
        <f aca="false">IFERROR(INDEX('SKU Data'!$X$2:$X$1780,MATCH($A16,'SKU Data'!$A$2:$A$1780,0)),"")</f>
        <v>HIGH RATE</v>
      </c>
    </row>
    <row r="17" customFormat="false" ht="15" hidden="false" customHeight="false" outlineLevel="0" collapsed="false">
      <c r="A17" s="18" t="s">
        <v>313</v>
      </c>
      <c r="B17" s="18" t="str">
        <f aca="false">IFERROR(INDEX('SKU Data'!$B$2:$B$1780,MATCH($A17,'SKU Data'!$A$2:$A$1780,0)),"")</f>
        <v>Glass Vase</v>
      </c>
      <c r="C17" s="19" t="n">
        <f aca="false">IFERROR(INDEX('SKU Data'!$E$2:$E$1780,MATCH($A17,'SKU Data'!$A$2:$A$1780,0)),"")</f>
        <v>2409</v>
      </c>
      <c r="D17" s="19" t="n">
        <f aca="false">IFERROR(INDEX('SKU Data'!$F$2:$F$1780,MATCH($A17,'SKU Data'!$A$2:$A$1780,0)),"")</f>
        <v>112</v>
      </c>
      <c r="E17" s="20" t="n">
        <f aca="false">IFERROR(INDEX('SKU Data'!$J$2:$J$1780,MATCH($A17,'SKU Data'!$A$2:$A$1780,0)),"")</f>
        <v>0.0464923204649232</v>
      </c>
      <c r="F17" s="21" t="n">
        <f aca="false">IFERROR(INDEX('SKU Data'!$H$2:$H$1780,MATCH($A17,'SKU Data'!$A$2:$A$1780,0)),"")</f>
        <v>1180.39</v>
      </c>
      <c r="G17" s="20" t="n">
        <f aca="false">IFERROR(INDEX('SKU Data'!$K$2:$K$1780,MATCH($A17,'SKU Data'!$A$2:$A$1780,0)),"")</f>
        <v>0.0432418472088917</v>
      </c>
      <c r="H17" s="29" t="n">
        <f aca="false">IFERROR(INDEX('SKU Data'!$O$2:$O$1780,MATCH($A17,'SKU Data'!$A$2:$A$1780,0)),"")</f>
        <v>4.39211916600417</v>
      </c>
      <c r="I17" s="23" t="str">
        <f aca="false">IFERROR(INDEX('SKU Data'!$W$2:$W$1780,MATCH($A17,'SKU Data'!$A$2:$A$1780,0)),"")</f>
        <v>2 - Review</v>
      </c>
      <c r="J17" s="23" t="str">
        <f aca="false">IFERROR(INDEX('SKU Data'!$X$2:$X$1780,MATCH($A17,'SKU Data'!$A$2:$A$1780,0)),"")</f>
        <v>HIGH RATE</v>
      </c>
    </row>
    <row r="18" customFormat="false" ht="15" hidden="false" customHeight="false" outlineLevel="0" collapsed="false">
      <c r="A18" s="18" t="s">
        <v>314</v>
      </c>
      <c r="B18" s="18" t="str">
        <f aca="false">IFERROR(INDEX('SKU Data'!$B$2:$B$1780,MATCH($A18,'SKU Data'!$A$2:$A$1780,0)),"")</f>
        <v>Belgium Truffles</v>
      </c>
      <c r="C18" s="19" t="n">
        <f aca="false">IFERROR(INDEX('SKU Data'!$E$2:$E$1780,MATCH($A18,'SKU Data'!$A$2:$A$1780,0)),"")</f>
        <v>1815</v>
      </c>
      <c r="D18" s="19" t="n">
        <f aca="false">IFERROR(INDEX('SKU Data'!$F$2:$F$1780,MATCH($A18,'SKU Data'!$A$2:$A$1780,0)),"")</f>
        <v>93</v>
      </c>
      <c r="E18" s="20" t="n">
        <f aca="false">IFERROR(INDEX('SKU Data'!$J$2:$J$1780,MATCH($A18,'SKU Data'!$A$2:$A$1780,0)),"")</f>
        <v>0.0512396694214876</v>
      </c>
      <c r="F18" s="21" t="n">
        <f aca="false">IFERROR(INDEX('SKU Data'!$H$2:$H$1780,MATCH($A18,'SKU Data'!$A$2:$A$1780,0)),"")</f>
        <v>820.3</v>
      </c>
      <c r="G18" s="20" t="n">
        <f aca="false">IFERROR(INDEX('SKU Data'!$K$2:$K$1780,MATCH($A18,'SKU Data'!$A$2:$A$1780,0)),"")</f>
        <v>0.0476497513824992</v>
      </c>
      <c r="H18" s="29" t="n">
        <f aca="false">IFERROR(INDEX('SKU Data'!$O$2:$O$1780,MATCH($A18,'SKU Data'!$A$2:$A$1780,0)),"")</f>
        <v>4.97954869055928</v>
      </c>
      <c r="I18" s="23" t="str">
        <f aca="false">IFERROR(INDEX('SKU Data'!$W$2:$W$1780,MATCH($A18,'SKU Data'!$A$2:$A$1780,0)),"")</f>
        <v>2 - Review</v>
      </c>
      <c r="J18" s="23" t="str">
        <f aca="false">IFERROR(INDEX('SKU Data'!$X$2:$X$1780,MATCH($A18,'SKU Data'!$A$2:$A$1780,0)),"")</f>
        <v>HIGH RATE</v>
      </c>
    </row>
    <row r="19" customFormat="false" ht="15" hidden="false" customHeight="false" outlineLevel="0" collapsed="false">
      <c r="A19" s="18" t="s">
        <v>315</v>
      </c>
      <c r="B19" s="18" t="str">
        <f aca="false">IFERROR(INDEX('SKU Data'!$B$2:$B$1780,MATCH($A19,'SKU Data'!$A$2:$A$1780,0)),"")</f>
        <v>Glass Vase (Hand blown)</v>
      </c>
      <c r="C19" s="19" t="n">
        <f aca="false">IFERROR(INDEX('SKU Data'!$E$2:$E$1780,MATCH($A19,'SKU Data'!$A$2:$A$1780,0)),"")</f>
        <v>1997</v>
      </c>
      <c r="D19" s="19" t="n">
        <f aca="false">IFERROR(INDEX('SKU Data'!$F$2:$F$1780,MATCH($A19,'SKU Data'!$A$2:$A$1780,0)),"")</f>
        <v>104</v>
      </c>
      <c r="E19" s="20" t="n">
        <f aca="false">IFERROR(INDEX('SKU Data'!$J$2:$J$1780,MATCH($A19,'SKU Data'!$A$2:$A$1780,0)),"")</f>
        <v>0.0520781171757637</v>
      </c>
      <c r="F19" s="21" t="n">
        <f aca="false">IFERROR(INDEX('SKU Data'!$H$2:$H$1780,MATCH($A19,'SKU Data'!$A$2:$A$1780,0)),"")</f>
        <v>811.9</v>
      </c>
      <c r="G19" s="20" t="n">
        <f aca="false">IFERROR(INDEX('SKU Data'!$K$2:$K$1780,MATCH($A19,'SKU Data'!$A$2:$A$1780,0)),"")</f>
        <v>0.0488099897257948</v>
      </c>
      <c r="H19" s="29" t="n">
        <f aca="false">IFERROR(INDEX('SKU Data'!$O$2:$O$1780,MATCH($A19,'SKU Data'!$A$2:$A$1780,0)),"")</f>
        <v>5.43947879429042</v>
      </c>
      <c r="I19" s="23" t="str">
        <f aca="false">IFERROR(INDEX('SKU Data'!$W$2:$W$1780,MATCH($A19,'SKU Data'!$A$2:$A$1780,0)),"")</f>
        <v>2 - Review</v>
      </c>
      <c r="J19" s="23" t="str">
        <f aca="false">IFERROR(INDEX('SKU Data'!$X$2:$X$1780,MATCH($A19,'SKU Data'!$A$2:$A$1780,0)),"")</f>
        <v>HIGH RATE</v>
      </c>
    </row>
    <row r="20" customFormat="false" ht="15" hidden="false" customHeight="false" outlineLevel="0" collapsed="false">
      <c r="A20" s="18" t="s">
        <v>316</v>
      </c>
      <c r="B20" s="18" t="str">
        <f aca="false">IFERROR(INDEX('SKU Data'!$B$2:$B$1780,MATCH($A20,'SKU Data'!$A$2:$A$1780,0)),"")</f>
        <v>I Love You Balloon</v>
      </c>
      <c r="C20" s="19" t="n">
        <f aca="false">IFERROR(INDEX('SKU Data'!$E$2:$E$1780,MATCH($A20,'SKU Data'!$A$2:$A$1780,0)),"")</f>
        <v>1872</v>
      </c>
      <c r="D20" s="19" t="n">
        <f aca="false">IFERROR(INDEX('SKU Data'!$F$2:$F$1780,MATCH($A20,'SKU Data'!$A$2:$A$1780,0)),"")</f>
        <v>92</v>
      </c>
      <c r="E20" s="20" t="n">
        <f aca="false">IFERROR(INDEX('SKU Data'!$J$2:$J$1780,MATCH($A20,'SKU Data'!$A$2:$A$1780,0)),"")</f>
        <v>0.0491452991452991</v>
      </c>
      <c r="F20" s="21" t="n">
        <f aca="false">IFERROR(INDEX('SKU Data'!$H$2:$H$1780,MATCH($A20,'SKU Data'!$A$2:$A$1780,0)),"")</f>
        <v>750.47</v>
      </c>
      <c r="G20" s="20" t="n">
        <f aca="false">IFERROR(INDEX('SKU Data'!$K$2:$K$1780,MATCH($A20,'SKU Data'!$A$2:$A$1780,0)),"")</f>
        <v>0.046376150644163</v>
      </c>
      <c r="H20" s="29" t="n">
        <f aca="false">IFERROR(INDEX('SKU Data'!$O$2:$O$1780,MATCH($A20,'SKU Data'!$A$2:$A$1780,0)),"")</f>
        <v>4.534188624122</v>
      </c>
      <c r="I20" s="23" t="str">
        <f aca="false">IFERROR(INDEX('SKU Data'!$W$2:$W$1780,MATCH($A20,'SKU Data'!$A$2:$A$1780,0)),"")</f>
        <v>2 - Review</v>
      </c>
      <c r="J20" s="23" t="str">
        <f aca="false">IFERROR(INDEX('SKU Data'!$X$2:$X$1780,MATCH($A20,'SKU Data'!$A$2:$A$1780,0)),"")</f>
        <v>HIGH RATE</v>
      </c>
    </row>
    <row r="21" customFormat="false" ht="15" hidden="false" customHeight="false" outlineLevel="0" collapsed="false">
      <c r="A21" s="18" t="s">
        <v>317</v>
      </c>
      <c r="B21" s="18" t="str">
        <f aca="false">IFERROR(INDEX('SKU Data'!$B$2:$B$1780,MATCH($A21,'SKU Data'!$A$2:$A$1780,0)),"")</f>
        <v>Card &amp; Teddy</v>
      </c>
      <c r="C21" s="19" t="n">
        <f aca="false">IFERROR(INDEX('SKU Data'!$E$2:$E$1780,MATCH($A21,'SKU Data'!$A$2:$A$1780,0)),"")</f>
        <v>1443</v>
      </c>
      <c r="D21" s="19" t="n">
        <f aca="false">IFERROR(INDEX('SKU Data'!$F$2:$F$1780,MATCH($A21,'SKU Data'!$A$2:$A$1780,0)),"")</f>
        <v>48</v>
      </c>
      <c r="E21" s="20" t="n">
        <f aca="false">IFERROR(INDEX('SKU Data'!$J$2:$J$1780,MATCH($A21,'SKU Data'!$A$2:$A$1780,0)),"")</f>
        <v>0.0332640332640333</v>
      </c>
      <c r="F21" s="21" t="n">
        <f aca="false">IFERROR(INDEX('SKU Data'!$H$2:$H$1780,MATCH($A21,'SKU Data'!$A$2:$A$1780,0)),"")</f>
        <v>743.79</v>
      </c>
      <c r="G21" s="20" t="n">
        <f aca="false">IFERROR(INDEX('SKU Data'!$K$2:$K$1780,MATCH($A21,'SKU Data'!$A$2:$A$1780,0)),"")</f>
        <v>0.0314957462386045</v>
      </c>
      <c r="H21" s="29" t="n">
        <f aca="false">IFERROR(INDEX('SKU Data'!$O$2:$O$1780,MATCH($A21,'SKU Data'!$A$2:$A$1780,0)),"")</f>
        <v>0.499362142280176</v>
      </c>
      <c r="I21" s="23" t="str">
        <f aca="false">IFERROR(INDEX('SKU Data'!$W$2:$W$1780,MATCH($A21,'SKU Data'!$A$2:$A$1780,0)),"")</f>
        <v>3 - Monitor</v>
      </c>
      <c r="J21" s="23" t="str">
        <f aca="false">IFERROR(INDEX('SKU Data'!$X$2:$X$1780,MATCH($A21,'SKU Data'!$A$2:$A$1780,0)),"")</f>
        <v/>
      </c>
    </row>
    <row r="22" customFormat="false" ht="15" hidden="false" customHeight="false" outlineLevel="0" collapsed="false">
      <c r="A22" s="18" t="s">
        <v>318</v>
      </c>
      <c r="B22" s="18" t="str">
        <f aca="false">IFERROR(INDEX('SKU Data'!$B$2:$B$1780,MATCH($A22,'SKU Data'!$A$2:$A$1780,0)),"")</f>
        <v>Premium Chocolates</v>
      </c>
      <c r="C22" s="19" t="n">
        <f aca="false">IFERROR(INDEX('SKU Data'!$E$2:$E$1780,MATCH($A22,'SKU Data'!$A$2:$A$1780,0)),"")</f>
        <v>1440</v>
      </c>
      <c r="D22" s="19" t="n">
        <f aca="false">IFERROR(INDEX('SKU Data'!$F$2:$F$1780,MATCH($A22,'SKU Data'!$A$2:$A$1780,0)),"")</f>
        <v>51</v>
      </c>
      <c r="E22" s="20" t="n">
        <f aca="false">IFERROR(INDEX('SKU Data'!$J$2:$J$1780,MATCH($A22,'SKU Data'!$A$2:$A$1780,0)),"")</f>
        <v>0.0354166666666667</v>
      </c>
      <c r="F22" s="21" t="n">
        <f aca="false">IFERROR(INDEX('SKU Data'!$H$2:$H$1780,MATCH($A22,'SKU Data'!$A$2:$A$1780,0)),"")</f>
        <v>710.97</v>
      </c>
      <c r="G22" s="20" t="n">
        <f aca="false">IFERROR(INDEX('SKU Data'!$K$2:$K$1780,MATCH($A22,'SKU Data'!$A$2:$A$1780,0)),"")</f>
        <v>0.0311840573003818</v>
      </c>
      <c r="H22" s="29" t="n">
        <f aca="false">IFERROR(INDEX('SKU Data'!$O$2:$O$1780,MATCH($A22,'SKU Data'!$A$2:$A$1780,0)),"")</f>
        <v>0.970256823852606</v>
      </c>
      <c r="I22" s="23" t="str">
        <f aca="false">IFERROR(INDEX('SKU Data'!$W$2:$W$1780,MATCH($A22,'SKU Data'!$A$2:$A$1780,0)),"")</f>
        <v>3 - Monitor</v>
      </c>
      <c r="J22" s="23" t="str">
        <f aca="false">IFERROR(INDEX('SKU Data'!$X$2:$X$1780,MATCH($A22,'SKU Data'!$A$2:$A$1780,0)),"")</f>
        <v/>
      </c>
    </row>
    <row r="23" customFormat="false" ht="15" hidden="false" customHeight="false" outlineLevel="0" collapsed="false">
      <c r="A23" s="18" t="s">
        <v>319</v>
      </c>
      <c r="B23" s="18" t="str">
        <f aca="false">IFERROR(INDEX('SKU Data'!$B$2:$B$1780,MATCH($A23,'SKU Data'!$A$2:$A$1780,0)),"")</f>
        <v>Teddy Bear</v>
      </c>
      <c r="C23" s="19" t="n">
        <f aca="false">IFERROR(INDEX('SKU Data'!$E$2:$E$1780,MATCH($A23,'SKU Data'!$A$2:$A$1780,0)),"")</f>
        <v>1548</v>
      </c>
      <c r="D23" s="19" t="n">
        <f aca="false">IFERROR(INDEX('SKU Data'!$F$2:$F$1780,MATCH($A23,'SKU Data'!$A$2:$A$1780,0)),"")</f>
        <v>67</v>
      </c>
      <c r="E23" s="20" t="n">
        <f aca="false">IFERROR(INDEX('SKU Data'!$J$2:$J$1780,MATCH($A23,'SKU Data'!$A$2:$A$1780,0)),"")</f>
        <v>0.04328165374677</v>
      </c>
      <c r="F23" s="21" t="n">
        <f aca="false">IFERROR(INDEX('SKU Data'!$H$2:$H$1780,MATCH($A23,'SKU Data'!$A$2:$A$1780,0)),"")</f>
        <v>700.65</v>
      </c>
      <c r="G23" s="20" t="n">
        <f aca="false">IFERROR(INDEX('SKU Data'!$K$2:$K$1780,MATCH($A23,'SKU Data'!$A$2:$A$1780,0)),"")</f>
        <v>0.0395204858991989</v>
      </c>
      <c r="H23" s="29" t="n">
        <f aca="false">IFERROR(INDEX('SKU Data'!$O$2:$O$1780,MATCH($A23,'SKU Data'!$A$2:$A$1780,0)),"")</f>
        <v>2.79179135137584</v>
      </c>
      <c r="I23" s="23" t="str">
        <f aca="false">IFERROR(INDEX('SKU Data'!$W$2:$W$1780,MATCH($A23,'SKU Data'!$A$2:$A$1780,0)),"")</f>
        <v>3 - Monitor</v>
      </c>
      <c r="J23" s="23" t="str">
        <f aca="false">IFERROR(INDEX('SKU Data'!$X$2:$X$1780,MATCH($A23,'SKU Data'!$A$2:$A$1780,0)),"")</f>
        <v/>
      </c>
    </row>
    <row r="24" customFormat="false" ht="15" hidden="false" customHeight="false" outlineLevel="0" collapsed="false">
      <c r="A24" s="18" t="s">
        <v>320</v>
      </c>
      <c r="B24" s="18" t="str">
        <f aca="false">IFERROR(INDEX('SKU Data'!$B$2:$B$1780,MATCH($A24,'SKU Data'!$A$2:$A$1780,0)),"")</f>
        <v>Vase &amp; Card</v>
      </c>
      <c r="C24" s="19" t="n">
        <f aca="false">IFERROR(INDEX('SKU Data'!$E$2:$E$1780,MATCH($A24,'SKU Data'!$A$2:$A$1780,0)),"")</f>
        <v>761</v>
      </c>
      <c r="D24" s="19" t="n">
        <f aca="false">IFERROR(INDEX('SKU Data'!$F$2:$F$1780,MATCH($A24,'SKU Data'!$A$2:$A$1780,0)),"")</f>
        <v>35</v>
      </c>
      <c r="E24" s="20" t="n">
        <f aca="false">IFERROR(INDEX('SKU Data'!$J$2:$J$1780,MATCH($A24,'SKU Data'!$A$2:$A$1780,0)),"")</f>
        <v>0.0459921156373193</v>
      </c>
      <c r="F24" s="21" t="n">
        <f aca="false">IFERROR(INDEX('SKU Data'!$H$2:$H$1780,MATCH($A24,'SKU Data'!$A$2:$A$1780,0)),"")</f>
        <v>612.2</v>
      </c>
      <c r="G24" s="20" t="n">
        <f aca="false">IFERROR(INDEX('SKU Data'!$K$2:$K$1780,MATCH($A24,'SKU Data'!$A$2:$A$1780,0)),"")</f>
        <v>0.0524296905175227</v>
      </c>
      <c r="H24" s="29" t="n">
        <f aca="false">IFERROR(INDEX('SKU Data'!$O$2:$O$1780,MATCH($A24,'SKU Data'!$A$2:$A$1780,0)),"")</f>
        <v>2.38895206587897</v>
      </c>
      <c r="I24" s="23" t="str">
        <f aca="false">IFERROR(INDEX('SKU Data'!$W$2:$W$1780,MATCH($A24,'SKU Data'!$A$2:$A$1780,0)),"")</f>
        <v>3 - Monitor</v>
      </c>
      <c r="J24" s="23" t="str">
        <f aca="false">IFERROR(INDEX('SKU Data'!$X$2:$X$1780,MATCH($A24,'SKU Data'!$A$2:$A$1780,0)),"")</f>
        <v/>
      </c>
    </row>
    <row r="25" customFormat="false" ht="15" hidden="false" customHeight="false" outlineLevel="0" collapsed="false">
      <c r="A25" s="18" t="s">
        <v>321</v>
      </c>
      <c r="B25" s="18" t="str">
        <f aca="false">IFERROR(INDEX('SKU Data'!$B$2:$B$1780,MATCH($A25,'SKU Data'!$A$2:$A$1780,0)),"")</f>
        <v>Vase &amp; Chocolates</v>
      </c>
      <c r="C25" s="19" t="n">
        <f aca="false">IFERROR(INDEX('SKU Data'!$E$2:$E$1780,MATCH($A25,'SKU Data'!$A$2:$A$1780,0)),"")</f>
        <v>854</v>
      </c>
      <c r="D25" s="19" t="n">
        <f aca="false">IFERROR(INDEX('SKU Data'!$F$2:$F$1780,MATCH($A25,'SKU Data'!$A$2:$A$1780,0)),"")</f>
        <v>38</v>
      </c>
      <c r="E25" s="20" t="n">
        <f aca="false">IFERROR(INDEX('SKU Data'!$J$2:$J$1780,MATCH($A25,'SKU Data'!$A$2:$A$1780,0)),"")</f>
        <v>0.0444964871194379</v>
      </c>
      <c r="F25" s="21" t="n">
        <f aca="false">IFERROR(INDEX('SKU Data'!$H$2:$H$1780,MATCH($A25,'SKU Data'!$A$2:$A$1780,0)),"")</f>
        <v>529.25</v>
      </c>
      <c r="G25" s="20" t="n">
        <f aca="false">IFERROR(INDEX('SKU Data'!$K$2:$K$1780,MATCH($A25,'SKU Data'!$A$2:$A$1780,0)),"")</f>
        <v>0.0421088393156926</v>
      </c>
      <c r="H25" s="29" t="n">
        <f aca="false">IFERROR(INDEX('SKU Data'!$O$2:$O$1780,MATCH($A25,'SKU Data'!$A$2:$A$1780,0)),"")</f>
        <v>2.27848554455988</v>
      </c>
      <c r="I25" s="23" t="str">
        <f aca="false">IFERROR(INDEX('SKU Data'!$W$2:$W$1780,MATCH($A25,'SKU Data'!$A$2:$A$1780,0)),"")</f>
        <v>3 - Monitor</v>
      </c>
      <c r="J25" s="23" t="str">
        <f aca="false">IFERROR(INDEX('SKU Data'!$X$2:$X$1780,MATCH($A25,'SKU Data'!$A$2:$A$1780,0)),"")</f>
        <v/>
      </c>
    </row>
    <row r="26" customFormat="false" ht="15" hidden="false" customHeight="false" outlineLevel="0" collapsed="false">
      <c r="A26" s="18" t="s">
        <v>322</v>
      </c>
      <c r="B26" s="18" t="str">
        <f aca="false">IFERROR(INDEX('SKU Data'!$B$2:$B$1780,MATCH($A26,'SKU Data'!$A$2:$A$1780,0)),"")</f>
        <v>Wolf Blass Shiraz Cabernet</v>
      </c>
      <c r="C26" s="19" t="n">
        <f aca="false">IFERROR(INDEX('SKU Data'!$E$2:$E$1780,MATCH($A26,'SKU Data'!$A$2:$A$1780,0)),"")</f>
        <v>458</v>
      </c>
      <c r="D26" s="19" t="n">
        <f aca="false">IFERROR(INDEX('SKU Data'!$F$2:$F$1780,MATCH($A26,'SKU Data'!$A$2:$A$1780,0)),"")</f>
        <v>19</v>
      </c>
      <c r="E26" s="20" t="n">
        <f aca="false">IFERROR(INDEX('SKU Data'!$J$2:$J$1780,MATCH($A26,'SKU Data'!$A$2:$A$1780,0)),"")</f>
        <v>0.0414847161572052</v>
      </c>
      <c r="F26" s="21" t="n">
        <f aca="false">IFERROR(INDEX('SKU Data'!$H$2:$H$1780,MATCH($A26,'SKU Data'!$A$2:$A$1780,0)),"")</f>
        <v>518.74</v>
      </c>
      <c r="G26" s="20" t="n">
        <f aca="false">IFERROR(INDEX('SKU Data'!$K$2:$K$1780,MATCH($A26,'SKU Data'!$A$2:$A$1780,0)),"")</f>
        <v>0.0381159938895669</v>
      </c>
      <c r="H26" s="29" t="n">
        <f aca="false">IFERROR(INDEX('SKU Data'!$O$2:$O$1780,MATCH($A26,'SKU Data'!$A$2:$A$1780,0)),"")</f>
        <v>1.29662345867938</v>
      </c>
      <c r="I26" s="23" t="str">
        <f aca="false">IFERROR(INDEX('SKU Data'!$W$2:$W$1780,MATCH($A26,'SKU Data'!$A$2:$A$1780,0)),"")</f>
        <v>3 - Monitor</v>
      </c>
      <c r="J26" s="23" t="str">
        <f aca="false">IFERROR(INDEX('SKU Data'!$X$2:$X$1780,MATCH($A26,'SKU Data'!$A$2:$A$1780,0)),"")</f>
        <v/>
      </c>
    </row>
    <row r="27" customFormat="false" ht="15" hidden="false" customHeight="false" outlineLevel="0" collapsed="false">
      <c r="A27" s="18" t="s">
        <v>323</v>
      </c>
      <c r="B27" s="18" t="str">
        <f aca="false">IFERROR(INDEX('SKU Data'!$B$2:$B$1780,MATCH($A27,'SKU Data'!$A$2:$A$1780,0)),"")</f>
        <v>Large Chocolates Special</v>
      </c>
      <c r="C27" s="19" t="n">
        <f aca="false">IFERROR(INDEX('SKU Data'!$E$2:$E$1780,MATCH($A27,'SKU Data'!$A$2:$A$1780,0)),"")</f>
        <v>505</v>
      </c>
      <c r="D27" s="19" t="n">
        <f aca="false">IFERROR(INDEX('SKU Data'!$F$2:$F$1780,MATCH($A27,'SKU Data'!$A$2:$A$1780,0)),"")</f>
        <v>24</v>
      </c>
      <c r="E27" s="20" t="n">
        <f aca="false">IFERROR(INDEX('SKU Data'!$J$2:$J$1780,MATCH($A27,'SKU Data'!$A$2:$A$1780,0)),"")</f>
        <v>0.0475247524752475</v>
      </c>
      <c r="F27" s="21" t="n">
        <f aca="false">IFERROR(INDEX('SKU Data'!$H$2:$H$1780,MATCH($A27,'SKU Data'!$A$2:$A$1780,0)),"")</f>
        <v>507.78</v>
      </c>
      <c r="G27" s="20" t="n">
        <f aca="false">IFERROR(INDEX('SKU Data'!$K$2:$K$1780,MATCH($A27,'SKU Data'!$A$2:$A$1780,0)),"")</f>
        <v>0.0451312662316308</v>
      </c>
      <c r="H27" s="29" t="n">
        <f aca="false">IFERROR(INDEX('SKU Data'!$O$2:$O$1780,MATCH($A27,'SKU Data'!$A$2:$A$1780,0)),"")</f>
        <v>2.14484375278507</v>
      </c>
      <c r="I27" s="23" t="str">
        <f aca="false">IFERROR(INDEX('SKU Data'!$W$2:$W$1780,MATCH($A27,'SKU Data'!$A$2:$A$1780,0)),"")</f>
        <v>3 - Monitor</v>
      </c>
      <c r="J27" s="23" t="str">
        <f aca="false">IFERROR(INDEX('SKU Data'!$X$2:$X$1780,MATCH($A27,'SKU Data'!$A$2:$A$1780,0)),"")</f>
        <v/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{CA867F33-FD37-4D77-B760-B29BE8A7905D}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867F33-FD37-4D77-B760-B29BE8A7905D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7" min="3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25" t="s">
        <v>324</v>
      </c>
    </row>
    <row r="3" customFormat="false" ht="27.75" hidden="false" customHeight="true" outlineLevel="0" collapsed="false">
      <c r="A3" s="33" t="s">
        <v>47</v>
      </c>
      <c r="B3" s="33" t="s">
        <v>22</v>
      </c>
      <c r="C3" s="33" t="s">
        <v>20</v>
      </c>
      <c r="D3" s="33" t="s">
        <v>5</v>
      </c>
      <c r="E3" s="33" t="s">
        <v>193</v>
      </c>
      <c r="F3" s="33" t="s">
        <v>31</v>
      </c>
    </row>
    <row r="4" customFormat="false" ht="25.5" hidden="false" customHeight="true" outlineLevel="0" collapsed="false">
      <c r="A4" s="34" t="n">
        <f aca="false">Brands!E12</f>
        <v>355681.8</v>
      </c>
      <c r="B4" s="34" t="n">
        <f aca="false">Brands!F12</f>
        <v>13788.78</v>
      </c>
      <c r="C4" s="35" t="n">
        <f aca="false">Brands!D12</f>
        <v>205</v>
      </c>
      <c r="D4" s="36" t="n">
        <f aca="false">Brands!G12</f>
        <v>0.040650406504065</v>
      </c>
      <c r="E4" s="37" t="n">
        <f aca="false">Brands!K12</f>
        <v>1.31188950829516</v>
      </c>
      <c r="F4" s="36" t="n">
        <f aca="false">Brands!I12</f>
        <v>0.0275572414947011</v>
      </c>
    </row>
    <row r="6" customFormat="false" ht="21.75" hidden="false" customHeight="true" outlineLevel="0" collapsed="false">
      <c r="A6" s="38" t="s">
        <v>194</v>
      </c>
      <c r="B6" s="14"/>
      <c r="C6" s="14"/>
      <c r="D6" s="14"/>
      <c r="E6" s="14"/>
      <c r="F6" s="14"/>
      <c r="G6" s="14"/>
      <c r="H6" s="14"/>
      <c r="I6" s="14"/>
      <c r="J6" s="14"/>
    </row>
    <row r="7" customFormat="false" ht="31.5" hidden="false" customHeight="true" outlineLevel="0" collapsed="false">
      <c r="A7" s="15" t="s">
        <v>325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31.5" hidden="false" customHeight="true" outlineLevel="0" collapsed="false">
      <c r="A8" s="15" t="s">
        <v>326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31.5" hidden="false" customHeight="true" outlineLevel="0" collapsed="false">
      <c r="A9" s="15" t="s">
        <v>327</v>
      </c>
      <c r="B9" s="15"/>
      <c r="C9" s="15"/>
      <c r="D9" s="15"/>
      <c r="E9" s="15"/>
      <c r="F9" s="15"/>
      <c r="G9" s="15"/>
      <c r="H9" s="15"/>
      <c r="I9" s="15"/>
      <c r="J9" s="15"/>
    </row>
    <row r="11" customFormat="false" ht="21.75" hidden="false" customHeight="true" outlineLevel="0" collapsed="false">
      <c r="A11" s="16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33.75" hidden="false" customHeight="true" outlineLevel="0" collapsed="false">
      <c r="A12" s="17" t="s">
        <v>16</v>
      </c>
      <c r="B12" s="17" t="s">
        <v>17</v>
      </c>
      <c r="C12" s="17" t="s">
        <v>19</v>
      </c>
      <c r="D12" s="17" t="s">
        <v>20</v>
      </c>
      <c r="E12" s="17" t="s">
        <v>5</v>
      </c>
      <c r="F12" s="17" t="s">
        <v>22</v>
      </c>
      <c r="G12" s="17" t="s">
        <v>199</v>
      </c>
      <c r="H12" s="17" t="s">
        <v>33</v>
      </c>
      <c r="I12" s="17" t="s">
        <v>24</v>
      </c>
      <c r="J12" s="17" t="s">
        <v>34</v>
      </c>
    </row>
    <row r="13" customFormat="false" ht="15" hidden="false" customHeight="false" outlineLevel="0" collapsed="false">
      <c r="A13" s="18" t="s">
        <v>328</v>
      </c>
      <c r="B13" s="18" t="str">
        <f aca="false">IFERROR(INDEX('SKU Data'!$B$2:$B$1780,MATCH($A13,'SKU Data'!$A$2:$A$1780,0)),"")</f>
        <v>Breathtaking Blooms In Mason Jar</v>
      </c>
      <c r="C13" s="19" t="n">
        <f aca="false">IFERROR(INDEX('SKU Data'!$E$2:$E$1780,MATCH($A13,'SKU Data'!$A$2:$A$1780,0)),"")</f>
        <v>4959</v>
      </c>
      <c r="D13" s="19" t="n">
        <f aca="false">IFERROR(INDEX('SKU Data'!$F$2:$F$1780,MATCH($A13,'SKU Data'!$A$2:$A$1780,0)),"")</f>
        <v>203</v>
      </c>
      <c r="E13" s="20" t="n">
        <f aca="false">IFERROR(INDEX('SKU Data'!$J$2:$J$1780,MATCH($A13,'SKU Data'!$A$2:$A$1780,0)),"")</f>
        <v>0.0409356725146199</v>
      </c>
      <c r="F13" s="21" t="n">
        <f aca="false">IFERROR(INDEX('SKU Data'!$H$2:$H$1780,MATCH($A13,'SKU Data'!$A$2:$A$1780,0)),"")</f>
        <v>13653.88</v>
      </c>
      <c r="G13" s="20" t="n">
        <f aca="false">IFERROR(INDEX('SKU Data'!$K$2:$K$1780,MATCH($A13,'SKU Data'!$A$2:$A$1780,0)),"")</f>
        <v>0.0390042878241221</v>
      </c>
      <c r="H13" s="29" t="n">
        <f aca="false">IFERROR(INDEX('SKU Data'!$O$2:$O$1780,MATCH($A13,'SKU Data'!$A$2:$A$1780,0)),"")</f>
        <v>4.04343473102185</v>
      </c>
      <c r="I13" s="23" t="str">
        <f aca="false">IFERROR(INDEX('SKU Data'!$W$2:$W$1780,MATCH($A13,'SKU Data'!$A$2:$A$1780,0)),"")</f>
        <v>2 - Review</v>
      </c>
      <c r="J13" s="23" t="str">
        <f aca="false">IFERROR(INDEX('SKU Data'!$X$2:$X$1780,MATCH($A13,'SKU Data'!$A$2:$A$1780,0)),"")</f>
        <v>HIGH RATE</v>
      </c>
    </row>
    <row r="14" customFormat="false" ht="15" hidden="false" customHeight="false" outlineLevel="0" collapsed="false">
      <c r="A14" s="18" t="s">
        <v>329</v>
      </c>
      <c r="B14" s="18" t="str">
        <f aca="false">IFERROR(INDEX('SKU Data'!$B$2:$B$1780,MATCH($A14,'SKU Data'!$A$2:$A$1780,0)),"")</f>
        <v>Breathtaking Blooms In Mason Jar</v>
      </c>
      <c r="C14" s="19" t="n">
        <f aca="false">IFERROR(INDEX('SKU Data'!$E$2:$E$1780,MATCH($A14,'SKU Data'!$A$2:$A$1780,0)),"")</f>
        <v>23</v>
      </c>
      <c r="D14" s="19" t="n">
        <f aca="false">IFERROR(INDEX('SKU Data'!$F$2:$F$1780,MATCH($A14,'SKU Data'!$A$2:$A$1780,0)),"")</f>
        <v>1</v>
      </c>
      <c r="E14" s="20" t="n">
        <f aca="false">IFERROR(INDEX('SKU Data'!$J$2:$J$1780,MATCH($A14,'SKU Data'!$A$2:$A$1780,0)),"")</f>
        <v>0.0434782608695652</v>
      </c>
      <c r="F14" s="21" t="n">
        <f aca="false">IFERROR(INDEX('SKU Data'!$H$2:$H$1780,MATCH($A14,'SKU Data'!$A$2:$A$1780,0)),"")</f>
        <v>74.95</v>
      </c>
      <c r="G14" s="20" t="n">
        <f aca="false">IFERROR(INDEX('SKU Data'!$K$2:$K$1780,MATCH($A14,'SKU Data'!$A$2:$A$1780,0)),"")</f>
        <v>0.0434782608695652</v>
      </c>
      <c r="H14" s="29" t="n">
        <f aca="false">IFERROR(INDEX('SKU Data'!$O$2:$O$1780,MATCH($A14,'SKU Data'!$A$2:$A$1780,0)),"")</f>
        <v>0.345741014093334</v>
      </c>
      <c r="I14" s="23" t="str">
        <f aca="false">IFERROR(INDEX('SKU Data'!$W$2:$W$1780,MATCH($A14,'SKU Data'!$A$2:$A$1780,0)),"")</f>
        <v>3 - Monitor</v>
      </c>
      <c r="J14" s="23" t="str">
        <f aca="false">IFERROR(INDEX('SKU Data'!$X$2:$X$1780,MATCH($A14,'SKU Data'!$A$2:$A$1780,0)),"")</f>
        <v/>
      </c>
    </row>
    <row r="15" customFormat="false" ht="15" hidden="false" customHeight="false" outlineLevel="0" collapsed="false">
      <c r="A15" s="18" t="s">
        <v>330</v>
      </c>
      <c r="B15" s="18" t="str">
        <f aca="false">IFERROR(INDEX('SKU Data'!$B$2:$B$1780,MATCH($A15,'SKU Data'!$A$2:$A$1780,0)),"")</f>
        <v>Breathtaking Blooms In Mason Jar</v>
      </c>
      <c r="C15" s="19" t="n">
        <f aca="false">IFERROR(INDEX('SKU Data'!$E$2:$E$1780,MATCH($A15,'SKU Data'!$A$2:$A$1780,0)),"")</f>
        <v>54</v>
      </c>
      <c r="D15" s="19" t="n">
        <f aca="false">IFERROR(INDEX('SKU Data'!$F$2:$F$1780,MATCH($A15,'SKU Data'!$A$2:$A$1780,0)),"")</f>
        <v>1</v>
      </c>
      <c r="E15" s="20" t="n">
        <f aca="false">IFERROR(INDEX('SKU Data'!$J$2:$J$1780,MATCH($A15,'SKU Data'!$A$2:$A$1780,0)),"")</f>
        <v>0.0185185185185185</v>
      </c>
      <c r="F15" s="21" t="n">
        <f aca="false">IFERROR(INDEX('SKU Data'!$H$2:$H$1780,MATCH($A15,'SKU Data'!$A$2:$A$1780,0)),"")</f>
        <v>59.95</v>
      </c>
      <c r="G15" s="20" t="n">
        <f aca="false">IFERROR(INDEX('SKU Data'!$K$2:$K$1780,MATCH($A15,'SKU Data'!$A$2:$A$1780,0)),"")</f>
        <v>0.0185185185185185</v>
      </c>
      <c r="H15" s="29" t="n">
        <f aca="false">IFERROR(INDEX('SKU Data'!$O$2:$O$1780,MATCH($A15,'SKU Data'!$A$2:$A$1780,0)),"")</f>
        <v>-0.52872770218424</v>
      </c>
      <c r="I15" s="23" t="str">
        <f aca="false">IFERROR(INDEX('SKU Data'!$W$2:$W$1780,MATCH($A15,'SKU Data'!$A$2:$A$1780,0)),"")</f>
        <v>3 - Monitor</v>
      </c>
      <c r="J15" s="23" t="str">
        <f aca="false">IFERROR(INDEX('SKU Data'!$X$2:$X$1780,MATCH($A15,'SKU Data'!$A$2:$A$1780,0)),"")</f>
        <v/>
      </c>
    </row>
    <row r="16" customFormat="false" ht="15" hidden="false" customHeight="false" outlineLevel="0" collapsed="false">
      <c r="A16" s="18" t="s">
        <v>331</v>
      </c>
      <c r="B16" s="18" t="str">
        <f aca="false">IFERROR(INDEX('SKU Data'!$B$2:$B$1780,MATCH($A16,'SKU Data'!$A$2:$A$1780,0)),"")</f>
        <v>Breathtaking Blooms In Mason Jar</v>
      </c>
      <c r="C16" s="19" t="n">
        <f aca="false">IFERROR(INDEX('SKU Data'!$E$2:$E$1780,MATCH($A16,'SKU Data'!$A$2:$A$1780,0)),"")</f>
        <v>5</v>
      </c>
      <c r="D16" s="19" t="n">
        <f aca="false">IFERROR(INDEX('SKU Data'!$F$2:$F$1780,MATCH($A16,'SKU Data'!$A$2:$A$1780,0)),"")</f>
        <v>0</v>
      </c>
      <c r="E16" s="20" t="n">
        <f aca="false">IFERROR(INDEX('SKU Data'!$J$2:$J$1780,MATCH($A16,'SKU Data'!$A$2:$A$1780,0)),"")</f>
        <v>0</v>
      </c>
      <c r="F16" s="21" t="n">
        <f aca="false">IFERROR(INDEX('SKU Data'!$H$2:$H$1780,MATCH($A16,'SKU Data'!$A$2:$A$1780,0)),"")</f>
        <v>-0</v>
      </c>
      <c r="G16" s="20" t="n">
        <f aca="false">IFERROR(INDEX('SKU Data'!$K$2:$K$1780,MATCH($A16,'SKU Data'!$A$2:$A$1780,0)),"")</f>
        <v>-0</v>
      </c>
      <c r="H16" s="29" t="n">
        <f aca="false">IFERROR(INDEX('SKU Data'!$O$2:$O$1780,MATCH($A16,'SKU Data'!$A$2:$A$1780,0)),"")</f>
        <v>-0.399856193402468</v>
      </c>
      <c r="I16" s="23" t="str">
        <f aca="false">IFERROR(INDEX('SKU Data'!$W$2:$W$1780,MATCH($A16,'SKU Data'!$A$2:$A$1780,0)),"")</f>
        <v/>
      </c>
      <c r="J16" s="23" t="str">
        <f aca="false">IFERROR(INDEX('SKU Data'!$X$2:$X$1780,MATCH($A16,'SKU Data'!$A$2:$A$1780,0)),"")</f>
        <v/>
      </c>
    </row>
    <row r="17" customFormat="false" ht="15" hidden="false" customHeight="false" outlineLevel="0" collapsed="false">
      <c r="A17" s="18" t="s">
        <v>332</v>
      </c>
      <c r="B17" s="18" t="str">
        <f aca="false">IFERROR(INDEX('SKU Data'!$B$2:$B$1780,MATCH($A17,'SKU Data'!$A$2:$A$1780,0)),"")</f>
        <v>Breathtaking Blooms In Mason Jar</v>
      </c>
      <c r="C17" s="19" t="n">
        <f aca="false">IFERROR(INDEX('SKU Data'!$E$2:$E$1780,MATCH($A17,'SKU Data'!$A$2:$A$1780,0)),"")</f>
        <v>2</v>
      </c>
      <c r="D17" s="19" t="n">
        <f aca="false">IFERROR(INDEX('SKU Data'!$F$2:$F$1780,MATCH($A17,'SKU Data'!$A$2:$A$1780,0)),"")</f>
        <v>0</v>
      </c>
      <c r="E17" s="20" t="n">
        <f aca="false">IFERROR(INDEX('SKU Data'!$J$2:$J$1780,MATCH($A17,'SKU Data'!$A$2:$A$1780,0)),"")</f>
        <v>0</v>
      </c>
      <c r="F17" s="21" t="n">
        <f aca="false">IFERROR(INDEX('SKU Data'!$H$2:$H$1780,MATCH($A17,'SKU Data'!$A$2:$A$1780,0)),"")</f>
        <v>-0</v>
      </c>
      <c r="G17" s="20" t="n">
        <f aca="false">IFERROR(INDEX('SKU Data'!$K$2:$K$1780,MATCH($A17,'SKU Data'!$A$2:$A$1780,0)),"")</f>
        <v>-0</v>
      </c>
      <c r="H17" s="29" t="n">
        <f aca="false">IFERROR(INDEX('SKU Data'!$O$2:$O$1780,MATCH($A17,'SKU Data'!$A$2:$A$1780,0)),"")</f>
        <v>-0.252891261535318</v>
      </c>
      <c r="I17" s="23" t="str">
        <f aca="false">IFERROR(INDEX('SKU Data'!$W$2:$W$1780,MATCH($A17,'SKU Data'!$A$2:$A$1780,0)),"")</f>
        <v/>
      </c>
      <c r="J17" s="23" t="str">
        <f aca="false">IFERROR(INDEX('SKU Data'!$X$2:$X$1780,MATCH($A17,'SKU Data'!$A$2:$A$1780,0)),"")</f>
        <v/>
      </c>
    </row>
  </sheetData>
  <mergeCells count="3">
    <mergeCell ref="A7:J7"/>
    <mergeCell ref="A8:J8"/>
    <mergeCell ref="A9:J9"/>
  </mergeCells>
  <conditionalFormatting sqref="E13:E27">
    <cfRule type="colorScale" priority="2">
      <colorScale>
        <cfvo type="num" val="0.03"/>
        <cfvo type="num" val="0.12"/>
        <color rgb="FFFFFFFF"/>
        <color rgb="FFF08A80"/>
      </colorScale>
    </cfRule>
  </conditionalFormatting>
  <conditionalFormatting sqref="F13:F27">
    <cfRule type="dataBar" priority="3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{FBE6D696-15E8-4ABB-B6EE-E41A58B57DF4}</x14:id>
        </ext>
      </extLst>
    </cfRule>
  </conditionalFormatting>
  <conditionalFormatting sqref="I13:I27">
    <cfRule type="expression" priority="4" aboveAverage="0" equalAverage="0" bottom="0" percent="0" rank="0" text="" dxfId="0">
      <formula>LEFT($I13,1)="1"</formula>
    </cfRule>
    <cfRule type="expression" priority="5" aboveAverage="0" equalAverage="0" bottom="0" percent="0" rank="0" text="" dxfId="106">
      <formula>LEFT($I13,1)="2"</formula>
    </cfRule>
  </conditionalFormatting>
  <conditionalFormatting sqref="J13:J27">
    <cfRule type="cellIs" priority="6" operator="equal" aboveAverage="0" equalAverage="0" bottom="0" percent="0" rank="0" text="" dxfId="108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E6D696-15E8-4ABB-B6EE-E41A58B57DF4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F13:F27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K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25" t="s">
        <v>333</v>
      </c>
    </row>
    <row r="2" customFormat="false" ht="43.5" hidden="false" customHeight="true" outlineLevel="0" collapsed="false">
      <c r="A2" s="26" t="s">
        <v>334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customFormat="false" ht="21.75" hidden="false" customHeight="true" outlineLevel="0" collapsed="false">
      <c r="A4" s="39" t="s">
        <v>335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customFormat="false" ht="61.5" hidden="false" customHeight="true" outlineLevel="0" collapsed="false">
      <c r="A5" s="15" t="s">
        <v>336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7" customFormat="false" ht="21.75" hidden="false" customHeight="true" outlineLevel="0" collapsed="false">
      <c r="A7" s="39" t="s">
        <v>337</v>
      </c>
      <c r="B7" s="40"/>
      <c r="C7" s="40"/>
      <c r="D7" s="40"/>
      <c r="E7" s="40"/>
      <c r="F7" s="40"/>
      <c r="G7" s="40"/>
      <c r="H7" s="40"/>
      <c r="I7" s="40"/>
      <c r="J7" s="40"/>
      <c r="K7" s="40"/>
    </row>
    <row r="8" customFormat="false" ht="19.5" hidden="false" customHeight="true" outlineLevel="0" collapsed="false">
      <c r="A8" s="17" t="s">
        <v>338</v>
      </c>
      <c r="B8" s="17"/>
      <c r="C8" s="17"/>
      <c r="D8" s="17"/>
      <c r="E8" s="17"/>
      <c r="F8" s="17" t="s">
        <v>339</v>
      </c>
      <c r="G8" s="17"/>
      <c r="H8" s="17"/>
      <c r="I8" s="17"/>
      <c r="J8" s="17"/>
      <c r="K8" s="17"/>
    </row>
    <row r="9" customFormat="false" ht="48" hidden="false" customHeight="true" outlineLevel="0" collapsed="false">
      <c r="A9" s="15" t="s">
        <v>340</v>
      </c>
      <c r="B9" s="15"/>
      <c r="C9" s="15"/>
      <c r="D9" s="15"/>
      <c r="E9" s="15"/>
      <c r="F9" s="15" t="s">
        <v>341</v>
      </c>
      <c r="G9" s="15"/>
      <c r="H9" s="15"/>
      <c r="I9" s="15"/>
      <c r="J9" s="15"/>
      <c r="K9" s="15"/>
    </row>
    <row r="10" customFormat="false" ht="48" hidden="false" customHeight="true" outlineLevel="0" collapsed="false">
      <c r="A10" s="15" t="s">
        <v>342</v>
      </c>
      <c r="B10" s="15"/>
      <c r="C10" s="15"/>
      <c r="D10" s="15"/>
      <c r="E10" s="15"/>
      <c r="F10" s="15" t="s">
        <v>343</v>
      </c>
      <c r="G10" s="15"/>
      <c r="H10" s="15"/>
      <c r="I10" s="15"/>
      <c r="J10" s="15"/>
      <c r="K10" s="15"/>
    </row>
    <row r="11" customFormat="false" ht="48" hidden="false" customHeight="true" outlineLevel="0" collapsed="false">
      <c r="A11" s="15" t="s">
        <v>344</v>
      </c>
      <c r="B11" s="15"/>
      <c r="C11" s="15"/>
      <c r="D11" s="15"/>
      <c r="E11" s="15"/>
      <c r="F11" s="15" t="s">
        <v>345</v>
      </c>
      <c r="G11" s="15"/>
      <c r="H11" s="15"/>
      <c r="I11" s="15"/>
      <c r="J11" s="15"/>
      <c r="K11" s="15"/>
    </row>
    <row r="12" customFormat="false" ht="48" hidden="false" customHeight="true" outlineLevel="0" collapsed="false">
      <c r="A12" s="15" t="s">
        <v>346</v>
      </c>
      <c r="B12" s="15"/>
      <c r="C12" s="15"/>
      <c r="D12" s="15"/>
      <c r="E12" s="15"/>
      <c r="F12" s="15" t="s">
        <v>347</v>
      </c>
      <c r="G12" s="15"/>
      <c r="H12" s="15"/>
      <c r="I12" s="15"/>
      <c r="J12" s="15"/>
      <c r="K12" s="15"/>
    </row>
    <row r="14" customFormat="false" ht="21.75" hidden="false" customHeight="true" outlineLevel="0" collapsed="false">
      <c r="A14" s="39" t="s">
        <v>348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</row>
    <row r="15" customFormat="false" ht="33.75" hidden="false" customHeight="true" outlineLevel="0" collapsed="false">
      <c r="A15" s="17" t="s">
        <v>38</v>
      </c>
      <c r="B15" s="17" t="s">
        <v>16</v>
      </c>
      <c r="C15" s="17" t="s">
        <v>17</v>
      </c>
      <c r="D15" s="17" t="s">
        <v>29</v>
      </c>
      <c r="E15" s="17" t="s">
        <v>19</v>
      </c>
      <c r="F15" s="17" t="s">
        <v>20</v>
      </c>
      <c r="G15" s="17" t="s">
        <v>21</v>
      </c>
      <c r="H15" s="17" t="s">
        <v>32</v>
      </c>
      <c r="I15" s="17" t="s">
        <v>33</v>
      </c>
      <c r="J15" s="17" t="s">
        <v>22</v>
      </c>
      <c r="K15" s="17" t="s">
        <v>24</v>
      </c>
    </row>
    <row r="16" customFormat="false" ht="15" hidden="false" customHeight="false" outlineLevel="0" collapsed="false">
      <c r="A16" s="18" t="n">
        <v>1</v>
      </c>
      <c r="B16" s="18" t="str">
        <f aca="false">IFERROR(INDEX('SKU Data'!$A$2:$A$1780,MATCH($A16,'SKU Data'!$AB$2:$AB$1780,0)),"")</f>
        <v>AUMJ-NW-005</v>
      </c>
      <c r="C16" s="18" t="str">
        <f aca="false">IFERROR(INDEX('SKU Data'!$B$2:$B$1780,MATCH($A16,'SKU Data'!$AB$2:$AB$1780,0)),"")</f>
        <v>Native Flowers Bouquet in Mason Jar</v>
      </c>
      <c r="D16" s="18" t="str">
        <f aca="false">IFERROR(INDEX('SKU Data'!$D$2:$D$1780,MATCH($A16,'SKU Data'!$AB$2:$AB$1780,0)),"")</f>
        <v>AUMJ</v>
      </c>
      <c r="E16" s="19" t="n">
        <f aca="false">IFERROR(INDEX('SKU Data'!$E$2:$E$1780,MATCH($A16,'SKU Data'!$AB$2:$AB$1780,0)),"")</f>
        <v>6304</v>
      </c>
      <c r="F16" s="19" t="n">
        <f aca="false">IFERROR(INDEX('SKU Data'!$F$2:$F$1780,MATCH($A16,'SKU Data'!$AB$2:$AB$1780,0)),"")</f>
        <v>335</v>
      </c>
      <c r="G16" s="20" t="n">
        <f aca="false">IFERROR(INDEX('SKU Data'!$J$2:$J$1780,MATCH($A16,'SKU Data'!$AB$2:$AB$1780,0)),"")</f>
        <v>0.0531408629441624</v>
      </c>
      <c r="H16" s="28" t="n">
        <f aca="false">IFERROR(G16/Settings!$B$3,"")</f>
        <v>1.71498753773166</v>
      </c>
      <c r="I16" s="29" t="n">
        <f aca="false">IFERROR(INDEX('SKU Data'!$O$2:$O$1780,MATCH($A16,'SKU Data'!$AB$2:$AB$1780,0)),"")</f>
        <v>10.1513873447209</v>
      </c>
      <c r="J16" s="21" t="n">
        <f aca="false">IFERROR(INDEX('SKU Data'!$H$2:$H$1780,MATCH($A16,'SKU Data'!$AB$2:$AB$1780,0)),"")</f>
        <v>30439.34</v>
      </c>
      <c r="K16" s="18" t="str">
        <f aca="false">IFERROR(INDEX('SKU Data'!$W$2:$W$1780,MATCH($A16,'SKU Data'!$AB$2:$AB$1780,0)),"")</f>
        <v>1 - Fix first</v>
      </c>
    </row>
    <row r="17" customFormat="false" ht="15" hidden="false" customHeight="false" outlineLevel="0" collapsed="false">
      <c r="A17" s="18" t="n">
        <v>2</v>
      </c>
      <c r="B17" s="18" t="str">
        <f aca="false">IFERROR(INDEX('SKU Data'!$A$2:$A$1780,MATCH($A17,'SKU Data'!$AB$2:$AB$1780,0)),"")</f>
        <v>RP19</v>
      </c>
      <c r="C17" s="18" t="str">
        <f aca="false">IFERROR(INDEX('SKU Data'!$B$2:$B$1780,MATCH($A17,'SKU Data'!$AB$2:$AB$1780,0)),"")</f>
        <v>Full Size Birthday Card</v>
      </c>
      <c r="D17" s="18" t="str">
        <f aca="false">IFERROR(INDEX('SKU Data'!$D$2:$D$1780,MATCH($A17,'SKU Data'!$AB$2:$AB$1780,0)),"")</f>
        <v>RP</v>
      </c>
      <c r="E17" s="19" t="n">
        <f aca="false">IFERROR(INDEX('SKU Data'!$E$2:$E$1780,MATCH($A17,'SKU Data'!$AB$2:$AB$1780,0)),"")</f>
        <v>6456</v>
      </c>
      <c r="F17" s="19" t="n">
        <f aca="false">IFERROR(INDEX('SKU Data'!$F$2:$F$1780,MATCH($A17,'SKU Data'!$AB$2:$AB$1780,0)),"")</f>
        <v>336</v>
      </c>
      <c r="G17" s="20" t="n">
        <f aca="false">IFERROR(INDEX('SKU Data'!$J$2:$J$1780,MATCH($A17,'SKU Data'!$AB$2:$AB$1780,0)),"")</f>
        <v>0.0520446096654275</v>
      </c>
      <c r="H17" s="28" t="n">
        <f aca="false">IFERROR(G17/Settings!$B$3,"")</f>
        <v>1.67960872363142</v>
      </c>
      <c r="I17" s="29" t="n">
        <f aca="false">IFERROR(INDEX('SKU Data'!$O$2:$O$1780,MATCH($A17,'SKU Data'!$AB$2:$AB$1780,0)),"")</f>
        <v>9.76471407105635</v>
      </c>
      <c r="J17" s="21" t="n">
        <f aca="false">IFERROR(INDEX('SKU Data'!$H$2:$H$1780,MATCH($A17,'SKU Data'!$AB$2:$AB$1780,0)),"")</f>
        <v>1172.41</v>
      </c>
      <c r="K17" s="18" t="str">
        <f aca="false">IFERROR(INDEX('SKU Data'!$W$2:$W$1780,MATCH($A17,'SKU Data'!$AB$2:$AB$1780,0)),"")</f>
        <v>2 - Review</v>
      </c>
    </row>
    <row r="18" customFormat="false" ht="15" hidden="false" customHeight="false" outlineLevel="0" collapsed="false">
      <c r="A18" s="18" t="n">
        <v>3</v>
      </c>
      <c r="B18" s="18" t="str">
        <f aca="false">IFERROR(INDEX('SKU Data'!$A$2:$A$1780,MATCH($A18,'SKU Data'!$AB$2:$AB$1780,0)),"")</f>
        <v>RP03S</v>
      </c>
      <c r="C18" s="18" t="str">
        <f aca="false">IFERROR(INDEX('SKU Data'!$B$2:$B$1780,MATCH($A18,'SKU Data'!$AB$2:$AB$1780,0)),"")</f>
        <v>Clear Glass Vase</v>
      </c>
      <c r="D18" s="18" t="str">
        <f aca="false">IFERROR(INDEX('SKU Data'!$D$2:$D$1780,MATCH($A18,'SKU Data'!$AB$2:$AB$1780,0)),"")</f>
        <v>RP</v>
      </c>
      <c r="E18" s="19" t="n">
        <f aca="false">IFERROR(INDEX('SKU Data'!$E$2:$E$1780,MATCH($A18,'SKU Data'!$AB$2:$AB$1780,0)),"")</f>
        <v>1096</v>
      </c>
      <c r="F18" s="19" t="n">
        <f aca="false">IFERROR(INDEX('SKU Data'!$F$2:$F$1780,MATCH($A18,'SKU Data'!$AB$2:$AB$1780,0)),"")</f>
        <v>88</v>
      </c>
      <c r="G18" s="20" t="n">
        <f aca="false">IFERROR(INDEX('SKU Data'!$J$2:$J$1780,MATCH($A18,'SKU Data'!$AB$2:$AB$1780,0)),"")</f>
        <v>0.0802919708029197</v>
      </c>
      <c r="H18" s="28" t="n">
        <f aca="false">IFERROR(G18/Settings!$B$3,"")</f>
        <v>2.59122117477861</v>
      </c>
      <c r="I18" s="29" t="n">
        <f aca="false">IFERROR(INDEX('SKU Data'!$O$2:$O$1780,MATCH($A18,'SKU Data'!$AB$2:$AB$1780,0)),"")</f>
        <v>9.42008131224312</v>
      </c>
      <c r="J18" s="21" t="n">
        <f aca="false">IFERROR(INDEX('SKU Data'!$H$2:$H$1780,MATCH($A18,'SKU Data'!$AB$2:$AB$1780,0)),"")</f>
        <v>748.77</v>
      </c>
      <c r="K18" s="18" t="str">
        <f aca="false">IFERROR(INDEX('SKU Data'!$W$2:$W$1780,MATCH($A18,'SKU Data'!$AB$2:$AB$1780,0)),"")</f>
        <v>1 - Fix first</v>
      </c>
    </row>
    <row r="19" customFormat="false" ht="15" hidden="false" customHeight="false" outlineLevel="0" collapsed="false">
      <c r="A19" s="18" t="n">
        <v>4</v>
      </c>
      <c r="B19" s="18" t="str">
        <f aca="false">IFERROR(INDEX('SKU Data'!$A$2:$A$1780,MATCH($A19,'SKU Data'!$AB$2:$AB$1780,0)),"")</f>
        <v>AU0511-17</v>
      </c>
      <c r="C19" s="18" t="str">
        <f aca="false">IFERROR(INDEX('SKU Data'!$B$2:$B$1780,MATCH($A19,'SKU Data'!$AB$2:$AB$1780,0)),"")</f>
        <v>Summer Blooms</v>
      </c>
      <c r="D19" s="18" t="str">
        <f aca="false">IFERROR(INDEX('SKU Data'!$D$2:$D$1780,MATCH($A19,'SKU Data'!$AB$2:$AB$1780,0)),"")</f>
        <v>AU</v>
      </c>
      <c r="E19" s="19" t="n">
        <f aca="false">IFERROR(INDEX('SKU Data'!$E$2:$E$1780,MATCH($A19,'SKU Data'!$AB$2:$AB$1780,0)),"")</f>
        <v>1560</v>
      </c>
      <c r="F19" s="19" t="n">
        <f aca="false">IFERROR(INDEX('SKU Data'!$F$2:$F$1780,MATCH($A19,'SKU Data'!$AB$2:$AB$1780,0)),"")</f>
        <v>97</v>
      </c>
      <c r="G19" s="20" t="n">
        <f aca="false">IFERROR(INDEX('SKU Data'!$J$2:$J$1780,MATCH($A19,'SKU Data'!$AB$2:$AB$1780,0)),"")</f>
        <v>0.0621794871794872</v>
      </c>
      <c r="H19" s="28" t="n">
        <f aca="false">IFERROR(G19/Settings!$B$3,"")</f>
        <v>2.00668637480378</v>
      </c>
      <c r="I19" s="29" t="n">
        <f aca="false">IFERROR(INDEX('SKU Data'!$O$2:$O$1780,MATCH($A19,'SKU Data'!$AB$2:$AB$1780,0)),"")</f>
        <v>7.11009354849753</v>
      </c>
      <c r="J19" s="21" t="n">
        <f aca="false">IFERROR(INDEX('SKU Data'!$H$2:$H$1780,MATCH($A19,'SKU Data'!$AB$2:$AB$1780,0)),"")</f>
        <v>5315.16</v>
      </c>
      <c r="K19" s="18" t="str">
        <f aca="false">IFERROR(INDEX('SKU Data'!$W$2:$W$1780,MATCH($A19,'SKU Data'!$AB$2:$AB$1780,0)),"")</f>
        <v>1 - Fix first</v>
      </c>
    </row>
    <row r="20" customFormat="false" ht="15" hidden="false" customHeight="false" outlineLevel="0" collapsed="false">
      <c r="A20" s="18" t="n">
        <v>5</v>
      </c>
      <c r="B20" s="18" t="str">
        <f aca="false">IFERROR(INDEX('SKU Data'!$A$2:$A$1780,MATCH($A20,'SKU Data'!$AB$2:$AB$1780,0)),"")</f>
        <v>AUSRP-16sp</v>
      </c>
      <c r="C20" s="18" t="str">
        <f aca="false">IFERROR(INDEX('SKU Data'!$B$2:$B$1780,MATCH($A20,'SKU Data'!$AB$2:$AB$1780,0)),"")</f>
        <v>Truffles &amp; Card</v>
      </c>
      <c r="D20" s="18" t="str">
        <f aca="false">IFERROR(INDEX('SKU Data'!$D$2:$D$1780,MATCH($A20,'SKU Data'!$AB$2:$AB$1780,0)),"")</f>
        <v>AUSRP</v>
      </c>
      <c r="E20" s="19" t="n">
        <f aca="false">IFERROR(INDEX('SKU Data'!$E$2:$E$1780,MATCH($A20,'SKU Data'!$AB$2:$AB$1780,0)),"")</f>
        <v>2919</v>
      </c>
      <c r="F20" s="19" t="n">
        <f aca="false">IFERROR(INDEX('SKU Data'!$F$2:$F$1780,MATCH($A20,'SKU Data'!$AB$2:$AB$1780,0)),"")</f>
        <v>152</v>
      </c>
      <c r="G20" s="20" t="n">
        <f aca="false">IFERROR(INDEX('SKU Data'!$J$2:$J$1780,MATCH($A20,'SKU Data'!$AB$2:$AB$1780,0)),"")</f>
        <v>0.052072627612196</v>
      </c>
      <c r="H20" s="28" t="n">
        <f aca="false">IFERROR(G20/Settings!$B$3,"")</f>
        <v>1.68051293231149</v>
      </c>
      <c r="I20" s="29" t="n">
        <f aca="false">IFERROR(INDEX('SKU Data'!$O$2:$O$1780,MATCH($A20,'SKU Data'!$AB$2:$AB$1780,0)),"")</f>
        <v>6.57464420479701</v>
      </c>
      <c r="J20" s="21" t="n">
        <f aca="false">IFERROR(INDEX('SKU Data'!$H$2:$H$1780,MATCH($A20,'SKU Data'!$AB$2:$AB$1780,0)),"")</f>
        <v>1385.93</v>
      </c>
      <c r="K20" s="18" t="str">
        <f aca="false">IFERROR(INDEX('SKU Data'!$W$2:$W$1780,MATCH($A20,'SKU Data'!$AB$2:$AB$1780,0)),"")</f>
        <v>2 - Review</v>
      </c>
    </row>
    <row r="21" customFormat="false" ht="15" hidden="false" customHeight="false" outlineLevel="0" collapsed="false">
      <c r="A21" s="18" t="n">
        <v>6</v>
      </c>
      <c r="B21" s="18" t="str">
        <f aca="false">IFERROR(INDEX('SKU Data'!$A$2:$A$1780,MATCH($A21,'SKU Data'!$AB$2:$AB$1780,0)),"")</f>
        <v>RP02-50</v>
      </c>
      <c r="C21" s="18" t="str">
        <f aca="false">IFERROR(INDEX('SKU Data'!$B$2:$B$1780,MATCH($A21,'SKU Data'!$AB$2:$AB$1780,0)),"")</f>
        <v>Blue Vase</v>
      </c>
      <c r="D21" s="18" t="str">
        <f aca="false">IFERROR(INDEX('SKU Data'!$D$2:$D$1780,MATCH($A21,'SKU Data'!$AB$2:$AB$1780,0)),"")</f>
        <v>RP</v>
      </c>
      <c r="E21" s="19" t="n">
        <f aca="false">IFERROR(INDEX('SKU Data'!$E$2:$E$1780,MATCH($A21,'SKU Data'!$AB$2:$AB$1780,0)),"")</f>
        <v>406</v>
      </c>
      <c r="F21" s="19" t="n">
        <f aca="false">IFERROR(INDEX('SKU Data'!$F$2:$F$1780,MATCH($A21,'SKU Data'!$AB$2:$AB$1780,0)),"")</f>
        <v>35</v>
      </c>
      <c r="G21" s="20" t="n">
        <f aca="false">IFERROR(INDEX('SKU Data'!$J$2:$J$1780,MATCH($A21,'SKU Data'!$AB$2:$AB$1780,0)),"")</f>
        <v>0.0862068965517241</v>
      </c>
      <c r="H21" s="28" t="n">
        <f aca="false">IFERROR(G21/Settings!$B$3,"")</f>
        <v>2.78211050897076</v>
      </c>
      <c r="I21" s="29" t="n">
        <f aca="false">IFERROR(INDEX('SKU Data'!$O$2:$O$1780,MATCH($A21,'SKU Data'!$AB$2:$AB$1780,0)),"")</f>
        <v>6.42120408125027</v>
      </c>
      <c r="J21" s="21" t="n">
        <f aca="false">IFERROR(INDEX('SKU Data'!$H$2:$H$1780,MATCH($A21,'SKU Data'!$AB$2:$AB$1780,0)),"")</f>
        <v>358.96</v>
      </c>
      <c r="K21" s="18" t="str">
        <f aca="false">IFERROR(INDEX('SKU Data'!$W$2:$W$1780,MATCH($A21,'SKU Data'!$AB$2:$AB$1780,0)),"")</f>
        <v>2 - Review</v>
      </c>
    </row>
    <row r="22" customFormat="false" ht="15" hidden="false" customHeight="false" outlineLevel="0" collapsed="false">
      <c r="A22" s="18" t="n">
        <v>7</v>
      </c>
      <c r="B22" s="18" t="str">
        <f aca="false">IFERROR(INDEX('SKU Data'!$A$2:$A$1780,MATCH($A22,'SKU Data'!$AB$2:$AB$1780,0)),"")</f>
        <v>AU501-05</v>
      </c>
      <c r="C22" s="18" t="str">
        <f aca="false">IFERROR(INDEX('SKU Data'!$B$2:$B$1780,MATCH($A22,'SKU Data'!$AB$2:$AB$1780,0)),"")</f>
        <v>Half Dozen Red Roses, Card &amp; Teddy</v>
      </c>
      <c r="D22" s="18" t="str">
        <f aca="false">IFERROR(INDEX('SKU Data'!$D$2:$D$1780,MATCH($A22,'SKU Data'!$AB$2:$AB$1780,0)),"")</f>
        <v>AU</v>
      </c>
      <c r="E22" s="19" t="n">
        <f aca="false">IFERROR(INDEX('SKU Data'!$E$2:$E$1780,MATCH($A22,'SKU Data'!$AB$2:$AB$1780,0)),"")</f>
        <v>390</v>
      </c>
      <c r="F22" s="19" t="n">
        <f aca="false">IFERROR(INDEX('SKU Data'!$F$2:$F$1780,MATCH($A22,'SKU Data'!$AB$2:$AB$1780,0)),"")</f>
        <v>34</v>
      </c>
      <c r="G22" s="20" t="n">
        <f aca="false">IFERROR(INDEX('SKU Data'!$J$2:$J$1780,MATCH($A22,'SKU Data'!$AB$2:$AB$1780,0)),"")</f>
        <v>0.0871794871794872</v>
      </c>
      <c r="H22" s="28" t="n">
        <f aca="false">IFERROR(G22/Settings!$B$3,"")</f>
        <v>2.8134984224053</v>
      </c>
      <c r="I22" s="29" t="n">
        <f aca="false">IFERROR(INDEX('SKU Data'!$O$2:$O$1780,MATCH($A22,'SKU Data'!$AB$2:$AB$1780,0)),"")</f>
        <v>6.40425049751351</v>
      </c>
      <c r="J22" s="21" t="n">
        <f aca="false">IFERROR(INDEX('SKU Data'!$H$2:$H$1780,MATCH($A22,'SKU Data'!$AB$2:$AB$1780,0)),"")</f>
        <v>2661.08</v>
      </c>
      <c r="K22" s="18" t="str">
        <f aca="false">IFERROR(INDEX('SKU Data'!$W$2:$W$1780,MATCH($A22,'SKU Data'!$AB$2:$AB$1780,0)),"")</f>
        <v>1 - Fix first</v>
      </c>
    </row>
    <row r="23" customFormat="false" ht="15" hidden="false" customHeight="false" outlineLevel="0" collapsed="false">
      <c r="A23" s="18" t="n">
        <v>8</v>
      </c>
      <c r="B23" s="18" t="str">
        <f aca="false">IFERROR(INDEX('SKU Data'!$A$2:$A$1780,MATCH($A23,'SKU Data'!$AB$2:$AB$1780,0)),"")</f>
        <v>DCA-02-00</v>
      </c>
      <c r="C23" s="18" t="str">
        <f aca="false">IFERROR(INDEX('SKU Data'!$B$2:$B$1780,MATCH($A23,'SKU Data'!$AB$2:$AB$1780,0)),"")</f>
        <v>Anniversary Designer Collection II</v>
      </c>
      <c r="D23" s="18" t="str">
        <f aca="false">IFERROR(INDEX('SKU Data'!$D$2:$D$1780,MATCH($A23,'SKU Data'!$AB$2:$AB$1780,0)),"")</f>
        <v>Other (small prefixes)</v>
      </c>
      <c r="E23" s="19" t="n">
        <f aca="false">IFERROR(INDEX('SKU Data'!$E$2:$E$1780,MATCH($A23,'SKU Data'!$AB$2:$AB$1780,0)),"")</f>
        <v>38</v>
      </c>
      <c r="F23" s="19" t="n">
        <f aca="false">IFERROR(INDEX('SKU Data'!$F$2:$F$1780,MATCH($A23,'SKU Data'!$AB$2:$AB$1780,0)),"")</f>
        <v>8</v>
      </c>
      <c r="G23" s="20" t="n">
        <f aca="false">IFERROR(INDEX('SKU Data'!$J$2:$J$1780,MATCH($A23,'SKU Data'!$AB$2:$AB$1780,0)),"")</f>
        <v>0.210526315789474</v>
      </c>
      <c r="H23" s="28" t="n">
        <f aca="false">IFERROR(G23/Settings!$B$3,"")</f>
        <v>6.79420671664439</v>
      </c>
      <c r="I23" s="29" t="n">
        <f aca="false">IFERROR(INDEX('SKU Data'!$O$2:$O$1780,MATCH($A23,'SKU Data'!$AB$2:$AB$1780,0)),"")</f>
        <v>6.38711313059003</v>
      </c>
      <c r="J23" s="21" t="n">
        <f aca="false">IFERROR(INDEX('SKU Data'!$H$2:$H$1780,MATCH($A23,'SKU Data'!$AB$2:$AB$1780,0)),"")</f>
        <v>735.3</v>
      </c>
      <c r="K23" s="18" t="str">
        <f aca="false">IFERROR(INDEX('SKU Data'!$W$2:$W$1780,MATCH($A23,'SKU Data'!$AB$2:$AB$1780,0)),"")</f>
        <v>2 - Review</v>
      </c>
    </row>
    <row r="24" customFormat="false" ht="15" hidden="false" customHeight="false" outlineLevel="0" collapsed="false">
      <c r="A24" s="18" t="n">
        <v>9</v>
      </c>
      <c r="B24" s="18" t="str">
        <f aca="false">IFERROR(INDEX('SKU Data'!$A$2:$A$1780,MATCH($A24,'SKU Data'!$AB$2:$AB$1780,0)),"")</f>
        <v>AUMJ-NW-008</v>
      </c>
      <c r="C24" s="18" t="str">
        <f aca="false">IFERROR(INDEX('SKU Data'!$B$2:$B$1780,MATCH($A24,'SKU Data'!$AB$2:$AB$1780,0)),"")</f>
        <v>Golden Hour Bouquet in Mason Jar</v>
      </c>
      <c r="D24" s="18" t="str">
        <f aca="false">IFERROR(INDEX('SKU Data'!$D$2:$D$1780,MATCH($A24,'SKU Data'!$AB$2:$AB$1780,0)),"")</f>
        <v>AUMJ</v>
      </c>
      <c r="E24" s="19" t="n">
        <f aca="false">IFERROR(INDEX('SKU Data'!$E$2:$E$1780,MATCH($A24,'SKU Data'!$AB$2:$AB$1780,0)),"")</f>
        <v>503</v>
      </c>
      <c r="F24" s="19" t="n">
        <f aca="false">IFERROR(INDEX('SKU Data'!$F$2:$F$1780,MATCH($A24,'SKU Data'!$AB$2:$AB$1780,0)),"")</f>
        <v>40</v>
      </c>
      <c r="G24" s="20" t="n">
        <f aca="false">IFERROR(INDEX('SKU Data'!$J$2:$J$1780,MATCH($A24,'SKU Data'!$AB$2:$AB$1780,0)),"")</f>
        <v>0.0795228628230616</v>
      </c>
      <c r="H24" s="28" t="n">
        <f aca="false">IFERROR(G24/Settings!$B$3,"")</f>
        <v>2.56640015141637</v>
      </c>
      <c r="I24" s="29" t="n">
        <f aca="false">IFERROR(INDEX('SKU Data'!$O$2:$O$1780,MATCH($A24,'SKU Data'!$AB$2:$AB$1780,0)),"")</f>
        <v>6.28210996213405</v>
      </c>
      <c r="J24" s="21" t="n">
        <f aca="false">IFERROR(INDEX('SKU Data'!$H$2:$H$1780,MATCH($A24,'SKU Data'!$AB$2:$AB$1780,0)),"")</f>
        <v>3723.61</v>
      </c>
      <c r="K24" s="18" t="str">
        <f aca="false">IFERROR(INDEX('SKU Data'!$W$2:$W$1780,MATCH($A24,'SKU Data'!$AB$2:$AB$1780,0)),"")</f>
        <v>1 - Fix first</v>
      </c>
    </row>
    <row r="25" customFormat="false" ht="15" hidden="false" customHeight="false" outlineLevel="0" collapsed="false">
      <c r="A25" s="18" t="n">
        <v>10</v>
      </c>
      <c r="B25" s="18" t="str">
        <f aca="false">IFERROR(INDEX('SKU Data'!$A$2:$A$1780,MATCH($A25,'SKU Data'!$AB$2:$AB$1780,0)),"")</f>
        <v>AUMJ-NW-011</v>
      </c>
      <c r="C25" s="18" t="str">
        <f aca="false">IFERROR(INDEX('SKU Data'!$B$2:$B$1780,MATCH($A25,'SKU Data'!$AB$2:$AB$1780,0)),"")</f>
        <v>Best Birthday Ever Bouquet in Mason Jar</v>
      </c>
      <c r="D25" s="18" t="str">
        <f aca="false">IFERROR(INDEX('SKU Data'!$D$2:$D$1780,MATCH($A25,'SKU Data'!$AB$2:$AB$1780,0)),"")</f>
        <v>AUMJ</v>
      </c>
      <c r="E25" s="19" t="n">
        <f aca="false">IFERROR(INDEX('SKU Data'!$E$2:$E$1780,MATCH($A25,'SKU Data'!$AB$2:$AB$1780,0)),"")</f>
        <v>2143</v>
      </c>
      <c r="F25" s="19" t="n">
        <f aca="false">IFERROR(INDEX('SKU Data'!$F$2:$F$1780,MATCH($A25,'SKU Data'!$AB$2:$AB$1780,0)),"")</f>
        <v>115</v>
      </c>
      <c r="G25" s="20" t="n">
        <f aca="false">IFERROR(INDEX('SKU Data'!$J$2:$J$1780,MATCH($A25,'SKU Data'!$AB$2:$AB$1780,0)),"")</f>
        <v>0.0536630891273915</v>
      </c>
      <c r="H25" s="28" t="n">
        <f aca="false">IFERROR(G25/Settings!$B$3,"")</f>
        <v>1.73184107277975</v>
      </c>
      <c r="I25" s="29" t="n">
        <f aca="false">IFERROR(INDEX('SKU Data'!$O$2:$O$1780,MATCH($A25,'SKU Data'!$AB$2:$AB$1780,0)),"")</f>
        <v>6.05824301320141</v>
      </c>
      <c r="J25" s="21" t="n">
        <f aca="false">IFERROR(INDEX('SKU Data'!$H$2:$H$1780,MATCH($A25,'SKU Data'!$AB$2:$AB$1780,0)),"")</f>
        <v>9879.04</v>
      </c>
      <c r="K25" s="18" t="str">
        <f aca="false">IFERROR(INDEX('SKU Data'!$W$2:$W$1780,MATCH($A25,'SKU Data'!$AB$2:$AB$1780,0)),"")</f>
        <v>1 - Fix first</v>
      </c>
    </row>
    <row r="26" customFormat="false" ht="15" hidden="false" customHeight="false" outlineLevel="0" collapsed="false">
      <c r="A26" s="18" t="n">
        <v>11</v>
      </c>
      <c r="B26" s="18" t="str">
        <f aca="false">IFERROR(INDEX('SKU Data'!$A$2:$A$1780,MATCH($A26,'SKU Data'!$AB$2:$AB$1780,0)),"")</f>
        <v>DC-02B</v>
      </c>
      <c r="C26" s="18" t="str">
        <f aca="false">IFERROR(INDEX('SKU Data'!$B$2:$B$1780,MATCH($A26,'SKU Data'!$AB$2:$AB$1780,0)),"")</f>
        <v>Birthday Designer Collection II</v>
      </c>
      <c r="D26" s="18" t="str">
        <f aca="false">IFERROR(INDEX('SKU Data'!$D$2:$D$1780,MATCH($A26,'SKU Data'!$AB$2:$AB$1780,0)),"")</f>
        <v>DC</v>
      </c>
      <c r="E26" s="19" t="n">
        <f aca="false">IFERROR(INDEX('SKU Data'!$E$2:$E$1780,MATCH($A26,'SKU Data'!$AB$2:$AB$1780,0)),"")</f>
        <v>322</v>
      </c>
      <c r="F26" s="19" t="n">
        <f aca="false">IFERROR(INDEX('SKU Data'!$F$2:$F$1780,MATCH($A26,'SKU Data'!$AB$2:$AB$1780,0)),"")</f>
        <v>28</v>
      </c>
      <c r="G26" s="20" t="n">
        <f aca="false">IFERROR(INDEX('SKU Data'!$J$2:$J$1780,MATCH($A26,'SKU Data'!$AB$2:$AB$1780,0)),"")</f>
        <v>0.0869565217391304</v>
      </c>
      <c r="H26" s="28" t="n">
        <f aca="false">IFERROR(G26/Settings!$B$3,"")</f>
        <v>2.80630277426616</v>
      </c>
      <c r="I26" s="29" t="n">
        <f aca="false">IFERROR(INDEX('SKU Data'!$O$2:$O$1780,MATCH($A26,'SKU Data'!$AB$2:$AB$1780,0)),"")</f>
        <v>5.79611921987906</v>
      </c>
      <c r="J26" s="21" t="n">
        <f aca="false">IFERROR(INDEX('SKU Data'!$H$2:$H$1780,MATCH($A26,'SKU Data'!$AB$2:$AB$1780,0)),"")</f>
        <v>2889.28</v>
      </c>
      <c r="K26" s="18" t="str">
        <f aca="false">IFERROR(INDEX('SKU Data'!$W$2:$W$1780,MATCH($A26,'SKU Data'!$AB$2:$AB$1780,0)),"")</f>
        <v>1 - Fix first</v>
      </c>
    </row>
    <row r="27" customFormat="false" ht="15" hidden="false" customHeight="false" outlineLevel="0" collapsed="false">
      <c r="A27" s="18" t="n">
        <v>12</v>
      </c>
      <c r="B27" s="18" t="str">
        <f aca="false">IFERROR(INDEX('SKU Data'!$A$2:$A$1780,MATCH($A27,'SKU Data'!$AB$2:$AB$1780,0)),"")</f>
        <v>AUMJ-NW-019</v>
      </c>
      <c r="C27" s="18" t="str">
        <f aca="false">IFERROR(INDEX('SKU Data'!$B$2:$B$1780,MATCH($A27,'SKU Data'!$AB$2:$AB$1780,0)),"")</f>
        <v>Garden Party Bouquet in Mason Jar</v>
      </c>
      <c r="D27" s="18" t="str">
        <f aca="false">IFERROR(INDEX('SKU Data'!$D$2:$D$1780,MATCH($A27,'SKU Data'!$AB$2:$AB$1780,0)),"")</f>
        <v>AUMJ</v>
      </c>
      <c r="E27" s="19" t="n">
        <f aca="false">IFERROR(INDEX('SKU Data'!$E$2:$E$1780,MATCH($A27,'SKU Data'!$AB$2:$AB$1780,0)),"")</f>
        <v>1250</v>
      </c>
      <c r="F27" s="19" t="n">
        <f aca="false">IFERROR(INDEX('SKU Data'!$F$2:$F$1780,MATCH($A27,'SKU Data'!$AB$2:$AB$1780,0)),"")</f>
        <v>74</v>
      </c>
      <c r="G27" s="20" t="n">
        <f aca="false">IFERROR(INDEX('SKU Data'!$J$2:$J$1780,MATCH($A27,'SKU Data'!$AB$2:$AB$1780,0)),"")</f>
        <v>0.0592</v>
      </c>
      <c r="H27" s="28" t="n">
        <f aca="false">IFERROR(G27/Settings!$B$3,"")</f>
        <v>1.9105309287204</v>
      </c>
      <c r="I27" s="29" t="n">
        <f aca="false">IFERROR(INDEX('SKU Data'!$O$2:$O$1780,MATCH($A27,'SKU Data'!$AB$2:$AB$1780,0)),"")</f>
        <v>5.75663288077568</v>
      </c>
      <c r="J27" s="21" t="n">
        <f aca="false">IFERROR(INDEX('SKU Data'!$H$2:$H$1780,MATCH($A27,'SKU Data'!$AB$2:$AB$1780,0)),"")</f>
        <v>8226.91</v>
      </c>
      <c r="K27" s="18" t="str">
        <f aca="false">IFERROR(INDEX('SKU Data'!$W$2:$W$1780,MATCH($A27,'SKU Data'!$AB$2:$AB$1780,0)),"")</f>
        <v>1 - Fix first</v>
      </c>
    </row>
    <row r="28" customFormat="false" ht="15" hidden="false" customHeight="false" outlineLevel="0" collapsed="false">
      <c r="A28" s="18" t="n">
        <v>13</v>
      </c>
      <c r="B28" s="18" t="str">
        <f aca="false">IFERROR(INDEX('SKU Data'!$A$2:$A$1780,MATCH($A28,'SKU Data'!$AB$2:$AB$1780,0)),"")</f>
        <v>AU100-545</v>
      </c>
      <c r="C28" s="18" t="str">
        <f aca="false">IFERROR(INDEX('SKU Data'!$B$2:$B$1780,MATCH($A28,'SKU Data'!$AB$2:$AB$1780,0)),"")</f>
        <v>Gentle Thoughts Spray</v>
      </c>
      <c r="D28" s="18" t="str">
        <f aca="false">IFERROR(INDEX('SKU Data'!$D$2:$D$1780,MATCH($A28,'SKU Data'!$AB$2:$AB$1780,0)),"")</f>
        <v>AU</v>
      </c>
      <c r="E28" s="19" t="n">
        <f aca="false">IFERROR(INDEX('SKU Data'!$E$2:$E$1780,MATCH($A28,'SKU Data'!$AB$2:$AB$1780,0)),"")</f>
        <v>128</v>
      </c>
      <c r="F28" s="19" t="n">
        <f aca="false">IFERROR(INDEX('SKU Data'!$F$2:$F$1780,MATCH($A28,'SKU Data'!$AB$2:$AB$1780,0)),"")</f>
        <v>15</v>
      </c>
      <c r="G28" s="20" t="n">
        <f aca="false">IFERROR(INDEX('SKU Data'!$J$2:$J$1780,MATCH($A28,'SKU Data'!$AB$2:$AB$1780,0)),"")</f>
        <v>0.1171875</v>
      </c>
      <c r="H28" s="28" t="n">
        <f aca="false">IFERROR(G28/Settings!$B$3,"")</f>
        <v>3.78193147313213</v>
      </c>
      <c r="I28" s="29" t="n">
        <f aca="false">IFERROR(INDEX('SKU Data'!$O$2:$O$1780,MATCH($A28,'SKU Data'!$AB$2:$AB$1780,0)),"")</f>
        <v>5.62820927796152</v>
      </c>
      <c r="J28" s="21" t="n">
        <f aca="false">IFERROR(INDEX('SKU Data'!$H$2:$H$1780,MATCH($A28,'SKU Data'!$AB$2:$AB$1780,0)),"")</f>
        <v>2729.11</v>
      </c>
      <c r="K28" s="18" t="str">
        <f aca="false">IFERROR(INDEX('SKU Data'!$W$2:$W$1780,MATCH($A28,'SKU Data'!$AB$2:$AB$1780,0)),"")</f>
        <v>1 - Fix first</v>
      </c>
    </row>
    <row r="29" customFormat="false" ht="15" hidden="false" customHeight="false" outlineLevel="0" collapsed="false">
      <c r="A29" s="18" t="n">
        <v>14</v>
      </c>
      <c r="B29" s="18" t="str">
        <f aca="false">IFERROR(INDEX('SKU Data'!$A$2:$A$1780,MATCH($A29,'SKU Data'!$AB$2:$AB$1780,0)),"")</f>
        <v>AU100-571</v>
      </c>
      <c r="C29" s="18" t="str">
        <f aca="false">IFERROR(INDEX('SKU Data'!$B$2:$B$1780,MATCH($A29,'SKU Data'!$AB$2:$AB$1780,0)),"")</f>
        <v>Hope &amp; Honour Cross</v>
      </c>
      <c r="D29" s="18" t="str">
        <f aca="false">IFERROR(INDEX('SKU Data'!$D$2:$D$1780,MATCH($A29,'SKU Data'!$AB$2:$AB$1780,0)),"")</f>
        <v>AU</v>
      </c>
      <c r="E29" s="19" t="n">
        <f aca="false">IFERROR(INDEX('SKU Data'!$E$2:$E$1780,MATCH($A29,'SKU Data'!$AB$2:$AB$1780,0)),"")</f>
        <v>37</v>
      </c>
      <c r="F29" s="19" t="n">
        <f aca="false">IFERROR(INDEX('SKU Data'!$F$2:$F$1780,MATCH($A29,'SKU Data'!$AB$2:$AB$1780,0)),"")</f>
        <v>7</v>
      </c>
      <c r="G29" s="20" t="n">
        <f aca="false">IFERROR(INDEX('SKU Data'!$J$2:$J$1780,MATCH($A29,'SKU Data'!$AB$2:$AB$1780,0)),"")</f>
        <v>0.189189189189189</v>
      </c>
      <c r="H29" s="28" t="n">
        <f aca="false">IFERROR(G29/Settings!$B$3,"")</f>
        <v>6.10560468455205</v>
      </c>
      <c r="I29" s="29" t="n">
        <f aca="false">IFERROR(INDEX('SKU Data'!$O$2:$O$1780,MATCH($A29,'SKU Data'!$AB$2:$AB$1780,0)),"")</f>
        <v>5.55350123034498</v>
      </c>
      <c r="J29" s="21" t="n">
        <f aca="false">IFERROR(INDEX('SKU Data'!$H$2:$H$1780,MATCH($A29,'SKU Data'!$AB$2:$AB$1780,0)),"")</f>
        <v>1720.43</v>
      </c>
      <c r="K29" s="18" t="str">
        <f aca="false">IFERROR(INDEX('SKU Data'!$W$2:$W$1780,MATCH($A29,'SKU Data'!$AB$2:$AB$1780,0)),"")</f>
        <v>2 - Review</v>
      </c>
    </row>
    <row r="30" customFormat="false" ht="15" hidden="false" customHeight="false" outlineLevel="0" collapsed="false">
      <c r="A30" s="18" t="n">
        <v>15</v>
      </c>
      <c r="B30" s="18" t="str">
        <f aca="false">IFERROR(INDEX('SKU Data'!$A$2:$A$1780,MATCH($A30,'SKU Data'!$AB$2:$AB$1780,0)),"")</f>
        <v>AU11-43</v>
      </c>
      <c r="C30" s="18" t="str">
        <f aca="false">IFERROR(INDEX('SKU Data'!$B$2:$B$1780,MATCH($A30,'SKU Data'!$AB$2:$AB$1780,0)),"")</f>
        <v>Warm Embrace</v>
      </c>
      <c r="D30" s="18" t="str">
        <f aca="false">IFERROR(INDEX('SKU Data'!$D$2:$D$1780,MATCH($A30,'SKU Data'!$AB$2:$AB$1780,0)),"")</f>
        <v>AU</v>
      </c>
      <c r="E30" s="19" t="n">
        <f aca="false">IFERROR(INDEX('SKU Data'!$E$2:$E$1780,MATCH($A30,'SKU Data'!$AB$2:$AB$1780,0)),"")</f>
        <v>2594</v>
      </c>
      <c r="F30" s="19" t="n">
        <f aca="false">IFERROR(INDEX('SKU Data'!$F$2:$F$1780,MATCH($A30,'SKU Data'!$AB$2:$AB$1780,0)),"")</f>
        <v>129</v>
      </c>
      <c r="G30" s="20" t="n">
        <f aca="false">IFERROR(INDEX('SKU Data'!$J$2:$J$1780,MATCH($A30,'SKU Data'!$AB$2:$AB$1780,0)),"")</f>
        <v>0.0497301464919044</v>
      </c>
      <c r="H30" s="28" t="n">
        <f aca="false">IFERROR(G30/Settings!$B$3,"")</f>
        <v>1.60491525274628</v>
      </c>
      <c r="I30" s="29" t="n">
        <f aca="false">IFERROR(INDEX('SKU Data'!$O$2:$O$1780,MATCH($A30,'SKU Data'!$AB$2:$AB$1780,0)),"")</f>
        <v>5.50932441171328</v>
      </c>
      <c r="J30" s="21" t="n">
        <f aca="false">IFERROR(INDEX('SKU Data'!$H$2:$H$1780,MATCH($A30,'SKU Data'!$AB$2:$AB$1780,0)),"")</f>
        <v>11840.22</v>
      </c>
      <c r="K30" s="18" t="str">
        <f aca="false">IFERROR(INDEX('SKU Data'!$W$2:$W$1780,MATCH($A30,'SKU Data'!$AB$2:$AB$1780,0)),"")</f>
        <v>1 - Fix first</v>
      </c>
    </row>
    <row r="31" customFormat="false" ht="15" hidden="false" customHeight="false" outlineLevel="0" collapsed="false">
      <c r="A31" s="18" t="n">
        <v>16</v>
      </c>
      <c r="B31" s="18" t="str">
        <f aca="false">IFERROR(INDEX('SKU Data'!$A$2:$A$1780,MATCH($A31,'SKU Data'!$AB$2:$AB$1780,0)),"")</f>
        <v>AURP04</v>
      </c>
      <c r="C31" s="18" t="str">
        <f aca="false">IFERROR(INDEX('SKU Data'!$B$2:$B$1780,MATCH($A31,'SKU Data'!$AB$2:$AB$1780,0)),"")</f>
        <v>Glass Vase (Hand blown)</v>
      </c>
      <c r="D31" s="18" t="str">
        <f aca="false">IFERROR(INDEX('SKU Data'!$D$2:$D$1780,MATCH($A31,'SKU Data'!$AB$2:$AB$1780,0)),"")</f>
        <v>AURP</v>
      </c>
      <c r="E31" s="19" t="n">
        <f aca="false">IFERROR(INDEX('SKU Data'!$E$2:$E$1780,MATCH($A31,'SKU Data'!$AB$2:$AB$1780,0)),"")</f>
        <v>1997</v>
      </c>
      <c r="F31" s="19" t="n">
        <f aca="false">IFERROR(INDEX('SKU Data'!$F$2:$F$1780,MATCH($A31,'SKU Data'!$AB$2:$AB$1780,0)),"")</f>
        <v>104</v>
      </c>
      <c r="G31" s="20" t="n">
        <f aca="false">IFERROR(INDEX('SKU Data'!$J$2:$J$1780,MATCH($A31,'SKU Data'!$AB$2:$AB$1780,0)),"")</f>
        <v>0.0520781171757637</v>
      </c>
      <c r="H31" s="28" t="n">
        <f aca="false">IFERROR(G31/Settings!$B$3,"")</f>
        <v>1.68069009415239</v>
      </c>
      <c r="I31" s="29" t="n">
        <f aca="false">IFERROR(INDEX('SKU Data'!$O$2:$O$1780,MATCH($A31,'SKU Data'!$AB$2:$AB$1780,0)),"")</f>
        <v>5.43947879429042</v>
      </c>
      <c r="J31" s="21" t="n">
        <f aca="false">IFERROR(INDEX('SKU Data'!$H$2:$H$1780,MATCH($A31,'SKU Data'!$AB$2:$AB$1780,0)),"")</f>
        <v>811.9</v>
      </c>
      <c r="K31" s="18" t="str">
        <f aca="false">IFERROR(INDEX('SKU Data'!$W$2:$W$1780,MATCH($A31,'SKU Data'!$AB$2:$AB$1780,0)),"")</f>
        <v>2 - Review</v>
      </c>
    </row>
    <row r="32" customFormat="false" ht="15" hidden="false" customHeight="false" outlineLevel="0" collapsed="false">
      <c r="A32" s="18" t="n">
        <v>17</v>
      </c>
      <c r="B32" s="18" t="str">
        <f aca="false">IFERROR(INDEX('SKU Data'!$A$2:$A$1780,MATCH($A32,'SKU Data'!$AB$2:$AB$1780,0)),"")</f>
        <v>AURP-B3</v>
      </c>
      <c r="C32" s="18" t="str">
        <f aca="false">IFERROR(INDEX('SKU Data'!$B$2:$B$1780,MATCH($A32,'SKU Data'!$AB$2:$AB$1780,0)),"")</f>
        <v>Baby Girl Balloon</v>
      </c>
      <c r="D32" s="18" t="str">
        <f aca="false">IFERROR(INDEX('SKU Data'!$D$2:$D$1780,MATCH($A32,'SKU Data'!$AB$2:$AB$1780,0)),"")</f>
        <v>AURP</v>
      </c>
      <c r="E32" s="19" t="n">
        <f aca="false">IFERROR(INDEX('SKU Data'!$E$2:$E$1780,MATCH($A32,'SKU Data'!$AB$2:$AB$1780,0)),"")</f>
        <v>459</v>
      </c>
      <c r="F32" s="19" t="n">
        <f aca="false">IFERROR(INDEX('SKU Data'!$F$2:$F$1780,MATCH($A32,'SKU Data'!$AB$2:$AB$1780,0)),"")</f>
        <v>34</v>
      </c>
      <c r="G32" s="20" t="n">
        <f aca="false">IFERROR(INDEX('SKU Data'!$J$2:$J$1780,MATCH($A32,'SKU Data'!$AB$2:$AB$1780,0)),"")</f>
        <v>0.0740740740740741</v>
      </c>
      <c r="H32" s="28" t="n">
        <f aca="false">IFERROR(G32/Settings!$B$3,"")</f>
        <v>2.39055421511562</v>
      </c>
      <c r="I32" s="29" t="n">
        <f aca="false">IFERROR(INDEX('SKU Data'!$O$2:$O$1780,MATCH($A32,'SKU Data'!$AB$2:$AB$1780,0)),"")</f>
        <v>5.32737285753372</v>
      </c>
      <c r="J32" s="21" t="n">
        <f aca="false">IFERROR(INDEX('SKU Data'!$H$2:$H$1780,MATCH($A32,'SKU Data'!$AB$2:$AB$1780,0)),"")</f>
        <v>271.41</v>
      </c>
      <c r="K32" s="18" t="str">
        <f aca="false">IFERROR(INDEX('SKU Data'!$W$2:$W$1780,MATCH($A32,'SKU Data'!$AB$2:$AB$1780,0)),"")</f>
        <v>2 - Review</v>
      </c>
    </row>
    <row r="33" customFormat="false" ht="15" hidden="false" customHeight="false" outlineLevel="0" collapsed="false">
      <c r="A33" s="18" t="n">
        <v>18</v>
      </c>
      <c r="B33" s="18" t="str">
        <f aca="false">IFERROR(INDEX('SKU Data'!$A$2:$A$1780,MATCH($A33,'SKU Data'!$AB$2:$AB$1780,0)),"")</f>
        <v>AURP-13sp</v>
      </c>
      <c r="C33" s="18" t="str">
        <f aca="false">IFERROR(INDEX('SKU Data'!$B$2:$B$1780,MATCH($A33,'SKU Data'!$AB$2:$AB$1780,0)),"")</f>
        <v>Chocolates &amp; Teddy</v>
      </c>
      <c r="D33" s="18" t="str">
        <f aca="false">IFERROR(INDEX('SKU Data'!$D$2:$D$1780,MATCH($A33,'SKU Data'!$AB$2:$AB$1780,0)),"")</f>
        <v>AURP</v>
      </c>
      <c r="E33" s="19" t="n">
        <f aca="false">IFERROR(INDEX('SKU Data'!$E$2:$E$1780,MATCH($A33,'SKU Data'!$AB$2:$AB$1780,0)),"")</f>
        <v>1589</v>
      </c>
      <c r="F33" s="19" t="n">
        <f aca="false">IFERROR(INDEX('SKU Data'!$F$2:$F$1780,MATCH($A33,'SKU Data'!$AB$2:$AB$1780,0)),"")</f>
        <v>85</v>
      </c>
      <c r="G33" s="20" t="n">
        <f aca="false">IFERROR(INDEX('SKU Data'!$J$2:$J$1780,MATCH($A33,'SKU Data'!$AB$2:$AB$1780,0)),"")</f>
        <v>0.0534927627438641</v>
      </c>
      <c r="H33" s="28" t="n">
        <f aca="false">IFERROR(G33/Settings!$B$3,"")</f>
        <v>1.72634421764957</v>
      </c>
      <c r="I33" s="29" t="n">
        <f aca="false">IFERROR(INDEX('SKU Data'!$O$2:$O$1780,MATCH($A33,'SKU Data'!$AB$2:$AB$1780,0)),"")</f>
        <v>5.17753754854195</v>
      </c>
      <c r="J33" s="21" t="n">
        <f aca="false">IFERROR(INDEX('SKU Data'!$H$2:$H$1780,MATCH($A33,'SKU Data'!$AB$2:$AB$1780,0)),"")</f>
        <v>1209.72</v>
      </c>
      <c r="K33" s="18" t="str">
        <f aca="false">IFERROR(INDEX('SKU Data'!$W$2:$W$1780,MATCH($A33,'SKU Data'!$AB$2:$AB$1780,0)),"")</f>
        <v>2 - Review</v>
      </c>
    </row>
    <row r="34" customFormat="false" ht="15" hidden="false" customHeight="false" outlineLevel="0" collapsed="false">
      <c r="A34" s="18" t="n">
        <v>19</v>
      </c>
      <c r="B34" s="18" t="str">
        <f aca="false">IFERROR(INDEX('SKU Data'!$A$2:$A$1780,MATCH($A34,'SKU Data'!$AB$2:$AB$1780,0)),"")</f>
        <v>AURP02-30</v>
      </c>
      <c r="C34" s="18" t="str">
        <f aca="false">IFERROR(INDEX('SKU Data'!$B$2:$B$1780,MATCH($A34,'SKU Data'!$AB$2:$AB$1780,0)),"")</f>
        <v>Belgium Truffles</v>
      </c>
      <c r="D34" s="18" t="str">
        <f aca="false">IFERROR(INDEX('SKU Data'!$D$2:$D$1780,MATCH($A34,'SKU Data'!$AB$2:$AB$1780,0)),"")</f>
        <v>AURP</v>
      </c>
      <c r="E34" s="19" t="n">
        <f aca="false">IFERROR(INDEX('SKU Data'!$E$2:$E$1780,MATCH($A34,'SKU Data'!$AB$2:$AB$1780,0)),"")</f>
        <v>1815</v>
      </c>
      <c r="F34" s="19" t="n">
        <f aca="false">IFERROR(INDEX('SKU Data'!$F$2:$F$1780,MATCH($A34,'SKU Data'!$AB$2:$AB$1780,0)),"")</f>
        <v>93</v>
      </c>
      <c r="G34" s="20" t="n">
        <f aca="false">IFERROR(INDEX('SKU Data'!$J$2:$J$1780,MATCH($A34,'SKU Data'!$AB$2:$AB$1780,0)),"")</f>
        <v>0.0512396694214876</v>
      </c>
      <c r="H34" s="28" t="n">
        <f aca="false">IFERROR(G34/Settings!$B$3,"")</f>
        <v>1.65363130417502</v>
      </c>
      <c r="I34" s="29" t="n">
        <f aca="false">IFERROR(INDEX('SKU Data'!$O$2:$O$1780,MATCH($A34,'SKU Data'!$AB$2:$AB$1780,0)),"")</f>
        <v>4.97954869055928</v>
      </c>
      <c r="J34" s="21" t="n">
        <f aca="false">IFERROR(INDEX('SKU Data'!$H$2:$H$1780,MATCH($A34,'SKU Data'!$AB$2:$AB$1780,0)),"")</f>
        <v>820.3</v>
      </c>
      <c r="K34" s="18" t="str">
        <f aca="false">IFERROR(INDEX('SKU Data'!$W$2:$W$1780,MATCH($A34,'SKU Data'!$AB$2:$AB$1780,0)),"")</f>
        <v>2 - Review</v>
      </c>
    </row>
    <row r="35" customFormat="false" ht="15" hidden="false" customHeight="false" outlineLevel="0" collapsed="false">
      <c r="A35" s="18" t="n">
        <v>20</v>
      </c>
      <c r="B35" s="18" t="str">
        <f aca="false">IFERROR(INDEX('SKU Data'!$A$2:$A$1780,MATCH($A35,'SKU Data'!$AB$2:$AB$1780,0)),"")</f>
        <v>MJ100-17</v>
      </c>
      <c r="C35" s="18" t="str">
        <f aca="false">IFERROR(INDEX('SKU Data'!$B$2:$B$1780,MATCH($A35,'SKU Data'!$AB$2:$AB$1780,0)),"")</f>
        <v>Thirty Blooms of Alstroemeria in Mason Jar</v>
      </c>
      <c r="D35" s="18" t="str">
        <f aca="false">IFERROR(INDEX('SKU Data'!$D$2:$D$1780,MATCH($A35,'SKU Data'!$AB$2:$AB$1780,0)),"")</f>
        <v>MJ</v>
      </c>
      <c r="E35" s="19" t="n">
        <f aca="false">IFERROR(INDEX('SKU Data'!$E$2:$E$1780,MATCH($A35,'SKU Data'!$AB$2:$AB$1780,0)),"")</f>
        <v>2096</v>
      </c>
      <c r="F35" s="19" t="n">
        <f aca="false">IFERROR(INDEX('SKU Data'!$F$2:$F$1780,MATCH($A35,'SKU Data'!$AB$2:$AB$1780,0)),"")</f>
        <v>104</v>
      </c>
      <c r="G35" s="20" t="n">
        <f aca="false">IFERROR(INDEX('SKU Data'!$J$2:$J$1780,MATCH($A35,'SKU Data'!$AB$2:$AB$1780,0)),"")</f>
        <v>0.049618320610687</v>
      </c>
      <c r="H35" s="28" t="n">
        <f aca="false">IFERROR(G35/Settings!$B$3,"")</f>
        <v>1.60130635401829</v>
      </c>
      <c r="I35" s="29" t="n">
        <f aca="false">IFERROR(INDEX('SKU Data'!$O$2:$O$1780,MATCH($A35,'SKU Data'!$AB$2:$AB$1780,0)),"")</f>
        <v>4.92277807055216</v>
      </c>
      <c r="J35" s="21" t="n">
        <f aca="false">IFERROR(INDEX('SKU Data'!$H$2:$H$1780,MATCH($A35,'SKU Data'!$AB$2:$AB$1780,0)),"")</f>
        <v>6020.46</v>
      </c>
      <c r="K35" s="18" t="str">
        <f aca="false">IFERROR(INDEX('SKU Data'!$W$2:$W$1780,MATCH($A35,'SKU Data'!$AB$2:$AB$1780,0)),"")</f>
        <v>2 - Review</v>
      </c>
    </row>
    <row r="36" customFormat="false" ht="15" hidden="false" customHeight="false" outlineLevel="0" collapsed="false">
      <c r="A36" s="18" t="n">
        <v>21</v>
      </c>
      <c r="B36" s="18" t="str">
        <f aca="false">IFERROR(INDEX('SKU Data'!$A$2:$A$1780,MATCH($A36,'SKU Data'!$AB$2:$AB$1780,0)),"")</f>
        <v>AU112-10</v>
      </c>
      <c r="C36" s="18" t="str">
        <f aca="false">IFERROR(INDEX('SKU Data'!$B$2:$B$1780,MATCH($A36,'SKU Data'!$AB$2:$AB$1780,0)),"")</f>
        <v>Lavender Love</v>
      </c>
      <c r="D36" s="18" t="str">
        <f aca="false">IFERROR(INDEX('SKU Data'!$D$2:$D$1780,MATCH($A36,'SKU Data'!$AB$2:$AB$1780,0)),"")</f>
        <v>AU</v>
      </c>
      <c r="E36" s="19" t="n">
        <f aca="false">IFERROR(INDEX('SKU Data'!$E$2:$E$1780,MATCH($A36,'SKU Data'!$AB$2:$AB$1780,0)),"")</f>
        <v>2208</v>
      </c>
      <c r="F36" s="19" t="n">
        <f aca="false">IFERROR(INDEX('SKU Data'!$F$2:$F$1780,MATCH($A36,'SKU Data'!$AB$2:$AB$1780,0)),"")</f>
        <v>108</v>
      </c>
      <c r="G36" s="20" t="n">
        <f aca="false">IFERROR(INDEX('SKU Data'!$J$2:$J$1780,MATCH($A36,'SKU Data'!$AB$2:$AB$1780,0)),"")</f>
        <v>0.0489130434782609</v>
      </c>
      <c r="H36" s="28" t="n">
        <f aca="false">IFERROR(G36/Settings!$B$3,"")</f>
        <v>1.57854531052472</v>
      </c>
      <c r="I36" s="29" t="n">
        <f aca="false">IFERROR(INDEX('SKU Data'!$O$2:$O$1780,MATCH($A36,'SKU Data'!$AB$2:$AB$1780,0)),"")</f>
        <v>4.86133709846121</v>
      </c>
      <c r="J36" s="21" t="n">
        <f aca="false">IFERROR(INDEX('SKU Data'!$H$2:$H$1780,MATCH($A36,'SKU Data'!$AB$2:$AB$1780,0)),"")</f>
        <v>9388.55</v>
      </c>
      <c r="K36" s="18" t="str">
        <f aca="false">IFERROR(INDEX('SKU Data'!$W$2:$W$1780,MATCH($A36,'SKU Data'!$AB$2:$AB$1780,0)),"")</f>
        <v>2 - Review</v>
      </c>
    </row>
    <row r="37" customFormat="false" ht="15" hidden="false" customHeight="false" outlineLevel="0" collapsed="false">
      <c r="A37" s="18" t="n">
        <v>22</v>
      </c>
      <c r="B37" s="18" t="str">
        <f aca="false">IFERROR(INDEX('SKU Data'!$A$2:$A$1780,MATCH($A37,'SKU Data'!$AB$2:$AB$1780,0)),"")</f>
        <v>AUMJ-NW-007</v>
      </c>
      <c r="C37" s="18" t="str">
        <f aca="false">IFERROR(INDEX('SKU Data'!$B$2:$B$1780,MATCH($A37,'SKU Data'!$AB$2:$AB$1780,0)),"")</f>
        <v>Pick-Me-Up Bouquet in Mason Jar</v>
      </c>
      <c r="D37" s="18" t="str">
        <f aca="false">IFERROR(INDEX('SKU Data'!$D$2:$D$1780,MATCH($A37,'SKU Data'!$AB$2:$AB$1780,0)),"")</f>
        <v>AUMJ</v>
      </c>
      <c r="E37" s="19" t="n">
        <f aca="false">IFERROR(INDEX('SKU Data'!$E$2:$E$1780,MATCH($A37,'SKU Data'!$AB$2:$AB$1780,0)),"")</f>
        <v>789</v>
      </c>
      <c r="F37" s="19" t="n">
        <f aca="false">IFERROR(INDEX('SKU Data'!$F$2:$F$1780,MATCH($A37,'SKU Data'!$AB$2:$AB$1780,0)),"")</f>
        <v>48</v>
      </c>
      <c r="G37" s="20" t="n">
        <f aca="false">IFERROR(INDEX('SKU Data'!$J$2:$J$1780,MATCH($A37,'SKU Data'!$AB$2:$AB$1780,0)),"")</f>
        <v>0.0608365019011407</v>
      </c>
      <c r="H37" s="28" t="n">
        <f aca="false">IFERROR(G37/Settings!$B$3,"")</f>
        <v>1.96334490671093</v>
      </c>
      <c r="I37" s="29" t="n">
        <f aca="false">IFERROR(INDEX('SKU Data'!$O$2:$O$1780,MATCH($A37,'SKU Data'!$AB$2:$AB$1780,0)),"")</f>
        <v>4.83881626983251</v>
      </c>
      <c r="J37" s="21" t="n">
        <f aca="false">IFERROR(INDEX('SKU Data'!$H$2:$H$1780,MATCH($A37,'SKU Data'!$AB$2:$AB$1780,0)),"")</f>
        <v>3223.36</v>
      </c>
      <c r="K37" s="18" t="str">
        <f aca="false">IFERROR(INDEX('SKU Data'!$W$2:$W$1780,MATCH($A37,'SKU Data'!$AB$2:$AB$1780,0)),"")</f>
        <v>1 - Fix first</v>
      </c>
    </row>
    <row r="38" customFormat="false" ht="15" hidden="false" customHeight="false" outlineLevel="0" collapsed="false">
      <c r="A38" s="18" t="n">
        <v>23</v>
      </c>
      <c r="B38" s="18" t="str">
        <f aca="false">IFERROR(INDEX('SKU Data'!$A$2:$A$1780,MATCH($A38,'SKU Data'!$AB$2:$AB$1780,0)),"")</f>
        <v>AUMJ-NW-024</v>
      </c>
      <c r="C38" s="18" t="str">
        <f aca="false">IFERROR(INDEX('SKU Data'!$B$2:$B$1780,MATCH($A38,'SKU Data'!$AB$2:$AB$1780,0)),"")</f>
        <v>Cherry Bomb Bouquet in Mason Jar</v>
      </c>
      <c r="D38" s="18" t="str">
        <f aca="false">IFERROR(INDEX('SKU Data'!$D$2:$D$1780,MATCH($A38,'SKU Data'!$AB$2:$AB$1780,0)),"")</f>
        <v>AUMJ</v>
      </c>
      <c r="E38" s="19" t="n">
        <f aca="false">IFERROR(INDEX('SKU Data'!$E$2:$E$1780,MATCH($A38,'SKU Data'!$AB$2:$AB$1780,0)),"")</f>
        <v>171</v>
      </c>
      <c r="F38" s="19" t="n">
        <f aca="false">IFERROR(INDEX('SKU Data'!$F$2:$F$1780,MATCH($A38,'SKU Data'!$AB$2:$AB$1780,0)),"")</f>
        <v>16</v>
      </c>
      <c r="G38" s="20" t="n">
        <f aca="false">IFERROR(INDEX('SKU Data'!$J$2:$J$1780,MATCH($A38,'SKU Data'!$AB$2:$AB$1780,0)),"")</f>
        <v>0.0935672514619883</v>
      </c>
      <c r="H38" s="28" t="n">
        <f aca="false">IFERROR(G38/Settings!$B$3,"")</f>
        <v>3.01964742961973</v>
      </c>
      <c r="I38" s="29" t="n">
        <f aca="false">IFERROR(INDEX('SKU Data'!$O$2:$O$1780,MATCH($A38,'SKU Data'!$AB$2:$AB$1780,0)),"")</f>
        <v>4.72272264759713</v>
      </c>
      <c r="J38" s="21" t="n">
        <f aca="false">IFERROR(INDEX('SKU Data'!$H$2:$H$1780,MATCH($A38,'SKU Data'!$AB$2:$AB$1780,0)),"")</f>
        <v>1832.99</v>
      </c>
      <c r="K38" s="18" t="str">
        <f aca="false">IFERROR(INDEX('SKU Data'!$W$2:$W$1780,MATCH($A38,'SKU Data'!$AB$2:$AB$1780,0)),"")</f>
        <v>1 - Fix first</v>
      </c>
    </row>
    <row r="39" customFormat="false" ht="15" hidden="false" customHeight="false" outlineLevel="0" collapsed="false">
      <c r="A39" s="18" t="n">
        <v>24</v>
      </c>
      <c r="B39" s="18" t="str">
        <f aca="false">IFERROR(INDEX('SKU Data'!$A$2:$A$1780,MATCH($A39,'SKU Data'!$AB$2:$AB$1780,0)),"")</f>
        <v>AU11-10</v>
      </c>
      <c r="C39" s="18" t="str">
        <f aca="false">IFERROR(INDEX('SKU Data'!$B$2:$B$1780,MATCH($A39,'SKU Data'!$AB$2:$AB$1780,0)),"")</f>
        <v>Ten Long Stemmed Red Roses</v>
      </c>
      <c r="D39" s="18" t="str">
        <f aca="false">IFERROR(INDEX('SKU Data'!$D$2:$D$1780,MATCH($A39,'SKU Data'!$AB$2:$AB$1780,0)),"")</f>
        <v>AU</v>
      </c>
      <c r="E39" s="19" t="n">
        <f aca="false">IFERROR(INDEX('SKU Data'!$E$2:$E$1780,MATCH($A39,'SKU Data'!$AB$2:$AB$1780,0)),"")</f>
        <v>651</v>
      </c>
      <c r="F39" s="19" t="n">
        <f aca="false">IFERROR(INDEX('SKU Data'!$F$2:$F$1780,MATCH($A39,'SKU Data'!$AB$2:$AB$1780,0)),"")</f>
        <v>41</v>
      </c>
      <c r="G39" s="20" t="n">
        <f aca="false">IFERROR(INDEX('SKU Data'!$J$2:$J$1780,MATCH($A39,'SKU Data'!$AB$2:$AB$1780,0)),"")</f>
        <v>0.0629800307219662</v>
      </c>
      <c r="H39" s="28" t="n">
        <f aca="false">IFERROR(G39/Settings!$B$3,"")</f>
        <v>2.03252190179185</v>
      </c>
      <c r="I39" s="29" t="n">
        <f aca="false">IFERROR(INDEX('SKU Data'!$O$2:$O$1780,MATCH($A39,'SKU Data'!$AB$2:$AB$1780,0)),"")</f>
        <v>4.71095105379844</v>
      </c>
      <c r="J39" s="21" t="n">
        <f aca="false">IFERROR(INDEX('SKU Data'!$H$2:$H$1780,MATCH($A39,'SKU Data'!$AB$2:$AB$1780,0)),"")</f>
        <v>3718.19</v>
      </c>
      <c r="K39" s="18" t="str">
        <f aca="false">IFERROR(INDEX('SKU Data'!$W$2:$W$1780,MATCH($A39,'SKU Data'!$AB$2:$AB$1780,0)),"")</f>
        <v>1 - Fix first</v>
      </c>
    </row>
    <row r="40" customFormat="false" ht="15" hidden="false" customHeight="false" outlineLevel="0" collapsed="false">
      <c r="A40" s="18" t="n">
        <v>25</v>
      </c>
      <c r="B40" s="18" t="str">
        <f aca="false">IFERROR(INDEX('SKU Data'!$A$2:$A$1780,MATCH($A40,'SKU Data'!$AB$2:$AB$1780,0)),"")</f>
        <v>AUMJ-NW-017</v>
      </c>
      <c r="C40" s="18" t="str">
        <f aca="false">IFERROR(INDEX('SKU Data'!$B$2:$B$1780,MATCH($A40,'SKU Data'!$AB$2:$AB$1780,0)),"")</f>
        <v>Pastel Buttercup Bouquet in Mason Jar</v>
      </c>
      <c r="D40" s="18" t="str">
        <f aca="false">IFERROR(INDEX('SKU Data'!$D$2:$D$1780,MATCH($A40,'SKU Data'!$AB$2:$AB$1780,0)),"")</f>
        <v>AUMJ</v>
      </c>
      <c r="E40" s="19" t="n">
        <f aca="false">IFERROR(INDEX('SKU Data'!$E$2:$E$1780,MATCH($A40,'SKU Data'!$AB$2:$AB$1780,0)),"")</f>
        <v>3907</v>
      </c>
      <c r="F40" s="19" t="n">
        <f aca="false">IFERROR(INDEX('SKU Data'!$F$2:$F$1780,MATCH($A40,'SKU Data'!$AB$2:$AB$1780,0)),"")</f>
        <v>172</v>
      </c>
      <c r="G40" s="20" t="n">
        <f aca="false">IFERROR(INDEX('SKU Data'!$J$2:$J$1780,MATCH($A40,'SKU Data'!$AB$2:$AB$1780,0)),"")</f>
        <v>0.0440235474788841</v>
      </c>
      <c r="H40" s="28" t="n">
        <f aca="false">IFERROR(G40/Settings!$B$3,"")</f>
        <v>1.42074913936485</v>
      </c>
      <c r="I40" s="29" t="n">
        <f aca="false">IFERROR(INDEX('SKU Data'!$O$2:$O$1780,MATCH($A40,'SKU Data'!$AB$2:$AB$1780,0)),"")</f>
        <v>4.70287858866548</v>
      </c>
      <c r="J40" s="21" t="n">
        <f aca="false">IFERROR(INDEX('SKU Data'!$H$2:$H$1780,MATCH($A40,'SKU Data'!$AB$2:$AB$1780,0)),"")</f>
        <v>14074.44</v>
      </c>
      <c r="K40" s="18" t="str">
        <f aca="false">IFERROR(INDEX('SKU Data'!$W$2:$W$1780,MATCH($A40,'SKU Data'!$AB$2:$AB$1780,0)),"")</f>
        <v>2 - Review</v>
      </c>
    </row>
    <row r="41" customFormat="false" ht="15" hidden="false" customHeight="false" outlineLevel="0" collapsed="false">
      <c r="A41" s="18" t="n">
        <v>26</v>
      </c>
      <c r="B41" s="18" t="str">
        <f aca="false">IFERROR(INDEX('SKU Data'!$A$2:$A$1780,MATCH($A41,'SKU Data'!$AB$2:$AB$1780,0)),"")</f>
        <v>AU189-01</v>
      </c>
      <c r="C41" s="18" t="str">
        <f aca="false">IFERROR(INDEX('SKU Data'!$B$2:$B$1780,MATCH($A41,'SKU Data'!$AB$2:$AB$1780,0)),"")</f>
        <v>Classic Sympathy Wreath</v>
      </c>
      <c r="D41" s="18" t="str">
        <f aca="false">IFERROR(INDEX('SKU Data'!$D$2:$D$1780,MATCH($A41,'SKU Data'!$AB$2:$AB$1780,0)),"")</f>
        <v>AU</v>
      </c>
      <c r="E41" s="19" t="n">
        <f aca="false">IFERROR(INDEX('SKU Data'!$E$2:$E$1780,MATCH($A41,'SKU Data'!$AB$2:$AB$1780,0)),"")</f>
        <v>97</v>
      </c>
      <c r="F41" s="19" t="n">
        <f aca="false">IFERROR(INDEX('SKU Data'!$F$2:$F$1780,MATCH($A41,'SKU Data'!$AB$2:$AB$1780,0)),"")</f>
        <v>11</v>
      </c>
      <c r="G41" s="20" t="n">
        <f aca="false">IFERROR(INDEX('SKU Data'!$J$2:$J$1780,MATCH($A41,'SKU Data'!$AB$2:$AB$1780,0)),"")</f>
        <v>0.11340206185567</v>
      </c>
      <c r="H41" s="28" t="n">
        <f aca="false">IFERROR(G41/Settings!$B$3,"")</f>
        <v>3.6597659891203</v>
      </c>
      <c r="I41" s="29" t="n">
        <f aca="false">IFERROR(INDEX('SKU Data'!$O$2:$O$1780,MATCH($A41,'SKU Data'!$AB$2:$AB$1780,0)),"")</f>
        <v>4.68433688163919</v>
      </c>
      <c r="J41" s="21" t="n">
        <f aca="false">IFERROR(INDEX('SKU Data'!$H$2:$H$1780,MATCH($A41,'SKU Data'!$AB$2:$AB$1780,0)),"")</f>
        <v>2932.31</v>
      </c>
      <c r="K41" s="18" t="str">
        <f aca="false">IFERROR(INDEX('SKU Data'!$W$2:$W$1780,MATCH($A41,'SKU Data'!$AB$2:$AB$1780,0)),"")</f>
        <v>1 - Fix first</v>
      </c>
    </row>
    <row r="42" customFormat="false" ht="15" hidden="false" customHeight="false" outlineLevel="0" collapsed="false">
      <c r="A42" s="18" t="n">
        <v>27</v>
      </c>
      <c r="B42" s="18" t="str">
        <f aca="false">IFERROR(INDEX('SKU Data'!$A$2:$A$1780,MATCH($A42,'SKU Data'!$AB$2:$AB$1780,0)),"")</f>
        <v>AUMJ-NW-015</v>
      </c>
      <c r="C42" s="18" t="str">
        <f aca="false">IFERROR(INDEX('SKU Data'!$B$2:$B$1780,MATCH($A42,'SKU Data'!$AB$2:$AB$1780,0)),"")</f>
        <v>Walking on Sunshine Bouquet in Mason Jar</v>
      </c>
      <c r="D42" s="18" t="str">
        <f aca="false">IFERROR(INDEX('SKU Data'!$D$2:$D$1780,MATCH($A42,'SKU Data'!$AB$2:$AB$1780,0)),"")</f>
        <v>AUMJ</v>
      </c>
      <c r="E42" s="19" t="n">
        <f aca="false">IFERROR(INDEX('SKU Data'!$E$2:$E$1780,MATCH($A42,'SKU Data'!$AB$2:$AB$1780,0)),"")</f>
        <v>487</v>
      </c>
      <c r="F42" s="19" t="n">
        <f aca="false">IFERROR(INDEX('SKU Data'!$F$2:$F$1780,MATCH($A42,'SKU Data'!$AB$2:$AB$1780,0)),"")</f>
        <v>33</v>
      </c>
      <c r="G42" s="20" t="n">
        <f aca="false">IFERROR(INDEX('SKU Data'!$J$2:$J$1780,MATCH($A42,'SKU Data'!$AB$2:$AB$1780,0)),"")</f>
        <v>0.0677618069815195</v>
      </c>
      <c r="H42" s="28" t="n">
        <f aca="false">IFERROR(G42/Settings!$B$3,"")</f>
        <v>2.18684168959755</v>
      </c>
      <c r="I42" s="29" t="n">
        <f aca="false">IFERROR(INDEX('SKU Data'!$O$2:$O$1780,MATCH($A42,'SKU Data'!$AB$2:$AB$1780,0)),"")</f>
        <v>4.68356011405258</v>
      </c>
      <c r="J42" s="21" t="n">
        <f aca="false">IFERROR(INDEX('SKU Data'!$H$2:$H$1780,MATCH($A42,'SKU Data'!$AB$2:$AB$1780,0)),"")</f>
        <v>2389.19</v>
      </c>
      <c r="K42" s="18" t="str">
        <f aca="false">IFERROR(INDEX('SKU Data'!$W$2:$W$1780,MATCH($A42,'SKU Data'!$AB$2:$AB$1780,0)),"")</f>
        <v>1 - Fix first</v>
      </c>
    </row>
    <row r="43" customFormat="false" ht="15" hidden="false" customHeight="false" outlineLevel="0" collapsed="false">
      <c r="A43" s="18" t="n">
        <v>28</v>
      </c>
      <c r="B43" s="18" t="str">
        <f aca="false">IFERROR(INDEX('SKU Data'!$A$2:$A$1780,MATCH($A43,'SKU Data'!$AB$2:$AB$1780,0)),"")</f>
        <v>DCMJ-01</v>
      </c>
      <c r="C43" s="18" t="str">
        <f aca="false">IFERROR(INDEX('SKU Data'!$B$2:$B$1780,MATCH($A43,'SKU Data'!$AB$2:$AB$1780,0)),"")</f>
        <v>Designer Collection Mason Jar I</v>
      </c>
      <c r="D43" s="18" t="str">
        <f aca="false">IFERROR(INDEX('SKU Data'!$D$2:$D$1780,MATCH($A43,'SKU Data'!$AB$2:$AB$1780,0)),"")</f>
        <v>DCMJ</v>
      </c>
      <c r="E43" s="19" t="n">
        <f aca="false">IFERROR(INDEX('SKU Data'!$E$2:$E$1780,MATCH($A43,'SKU Data'!$AB$2:$AB$1780,0)),"")</f>
        <v>209</v>
      </c>
      <c r="F43" s="19" t="n">
        <f aca="false">IFERROR(INDEX('SKU Data'!$F$2:$F$1780,MATCH($A43,'SKU Data'!$AB$2:$AB$1780,0)),"")</f>
        <v>18</v>
      </c>
      <c r="G43" s="20" t="n">
        <f aca="false">IFERROR(INDEX('SKU Data'!$J$2:$J$1780,MATCH($A43,'SKU Data'!$AB$2:$AB$1780,0)),"")</f>
        <v>0.0861244019138756</v>
      </c>
      <c r="H43" s="28" t="n">
        <f aca="false">IFERROR(G43/Settings!$B$3,"")</f>
        <v>2.77944820226361</v>
      </c>
      <c r="I43" s="29" t="n">
        <f aca="false">IFERROR(INDEX('SKU Data'!$O$2:$O$1780,MATCH($A43,'SKU Data'!$AB$2:$AB$1780,0)),"")</f>
        <v>4.60020641020469</v>
      </c>
      <c r="J43" s="21" t="n">
        <f aca="false">IFERROR(INDEX('SKU Data'!$H$2:$H$1780,MATCH($A43,'SKU Data'!$AB$2:$AB$1780,0)),"")</f>
        <v>941.68</v>
      </c>
      <c r="K43" s="18" t="str">
        <f aca="false">IFERROR(INDEX('SKU Data'!$W$2:$W$1780,MATCH($A43,'SKU Data'!$AB$2:$AB$1780,0)),"")</f>
        <v>1 - Fix first</v>
      </c>
    </row>
    <row r="44" customFormat="false" ht="15" hidden="false" customHeight="false" outlineLevel="0" collapsed="false">
      <c r="A44" s="18" t="n">
        <v>29</v>
      </c>
      <c r="B44" s="18" t="str">
        <f aca="false">IFERROR(INDEX('SKU Data'!$A$2:$A$1780,MATCH($A44,'SKU Data'!$AB$2:$AB$1780,0)),"")</f>
        <v>AU112-54</v>
      </c>
      <c r="C44" s="18" t="str">
        <f aca="false">IFERROR(INDEX('SKU Data'!$B$2:$B$1780,MATCH($A44,'SKU Data'!$AB$2:$AB$1780,0)),"")</f>
        <v>Captivating</v>
      </c>
      <c r="D44" s="18" t="str">
        <f aca="false">IFERROR(INDEX('SKU Data'!$D$2:$D$1780,MATCH($A44,'SKU Data'!$AB$2:$AB$1780,0)),"")</f>
        <v>AU</v>
      </c>
      <c r="E44" s="19" t="n">
        <f aca="false">IFERROR(INDEX('SKU Data'!$E$2:$E$1780,MATCH($A44,'SKU Data'!$AB$2:$AB$1780,0)),"")</f>
        <v>130</v>
      </c>
      <c r="F44" s="19" t="n">
        <f aca="false">IFERROR(INDEX('SKU Data'!$F$2:$F$1780,MATCH($A44,'SKU Data'!$AB$2:$AB$1780,0)),"")</f>
        <v>13</v>
      </c>
      <c r="G44" s="20" t="n">
        <f aca="false">IFERROR(INDEX('SKU Data'!$J$2:$J$1780,MATCH($A44,'SKU Data'!$AB$2:$AB$1780,0)),"")</f>
        <v>0.1</v>
      </c>
      <c r="H44" s="28" t="n">
        <f aca="false">IFERROR(G44/Settings!$B$3,"")</f>
        <v>3.22724819040609</v>
      </c>
      <c r="I44" s="29" t="n">
        <f aca="false">IFERROR(INDEX('SKU Data'!$O$2:$O$1780,MATCH($A44,'SKU Data'!$AB$2:$AB$1780,0)),"")</f>
        <v>4.54107961362183</v>
      </c>
      <c r="J44" s="21" t="n">
        <f aca="false">IFERROR(INDEX('SKU Data'!$H$2:$H$1780,MATCH($A44,'SKU Data'!$AB$2:$AB$1780,0)),"")</f>
        <v>911.98</v>
      </c>
      <c r="K44" s="18" t="str">
        <f aca="false">IFERROR(INDEX('SKU Data'!$W$2:$W$1780,MATCH($A44,'SKU Data'!$AB$2:$AB$1780,0)),"")</f>
        <v>2 - Review</v>
      </c>
    </row>
    <row r="45" customFormat="false" ht="15" hidden="false" customHeight="false" outlineLevel="0" collapsed="false">
      <c r="A45" s="18" t="n">
        <v>30</v>
      </c>
      <c r="B45" s="18" t="str">
        <f aca="false">IFERROR(INDEX('SKU Data'!$A$2:$A$1780,MATCH($A45,'SKU Data'!$AB$2:$AB$1780,0)),"")</f>
        <v>AU11-97</v>
      </c>
      <c r="C45" s="18" t="str">
        <f aca="false">IFERROR(INDEX('SKU Data'!$B$2:$B$1780,MATCH($A45,'SKU Data'!$AB$2:$AB$1780,0)),"")</f>
        <v>Premium White and Red Roses</v>
      </c>
      <c r="D45" s="18" t="str">
        <f aca="false">IFERROR(INDEX('SKU Data'!$D$2:$D$1780,MATCH($A45,'SKU Data'!$AB$2:$AB$1780,0)),"")</f>
        <v>AU</v>
      </c>
      <c r="E45" s="19" t="n">
        <f aca="false">IFERROR(INDEX('SKU Data'!$E$2:$E$1780,MATCH($A45,'SKU Data'!$AB$2:$AB$1780,0)),"")</f>
        <v>115</v>
      </c>
      <c r="F45" s="19" t="n">
        <f aca="false">IFERROR(INDEX('SKU Data'!$F$2:$F$1780,MATCH($A45,'SKU Data'!$AB$2:$AB$1780,0)),"")</f>
        <v>12</v>
      </c>
      <c r="G45" s="20" t="n">
        <f aca="false">IFERROR(INDEX('SKU Data'!$J$2:$J$1780,MATCH($A45,'SKU Data'!$AB$2:$AB$1780,0)),"")</f>
        <v>0.104347826086957</v>
      </c>
      <c r="H45" s="28" t="n">
        <f aca="false">IFERROR(G45/Settings!$B$3,"")</f>
        <v>3.36756332911939</v>
      </c>
      <c r="I45" s="29" t="n">
        <f aca="false">IFERROR(INDEX('SKU Data'!$O$2:$O$1780,MATCH($A45,'SKU Data'!$AB$2:$AB$1780,0)),"")</f>
        <v>4.54014109624971</v>
      </c>
      <c r="J45" s="21" t="n">
        <f aca="false">IFERROR(INDEX('SKU Data'!$H$2:$H$1780,MATCH($A45,'SKU Data'!$AB$2:$AB$1780,0)),"")</f>
        <v>2215.18</v>
      </c>
      <c r="K45" s="18" t="str">
        <f aca="false">IFERROR(INDEX('SKU Data'!$W$2:$W$1780,MATCH($A45,'SKU Data'!$AB$2:$AB$1780,0)),"")</f>
        <v>1 - Fix first</v>
      </c>
    </row>
    <row r="46" customFormat="false" ht="15" hidden="false" customHeight="false" outlineLevel="0" collapsed="false">
      <c r="A46" s="18" t="n">
        <v>31</v>
      </c>
      <c r="B46" s="18" t="str">
        <f aca="false">IFERROR(INDEX('SKU Data'!$A$2:$A$1780,MATCH($A46,'SKU Data'!$AB$2:$AB$1780,0)),"")</f>
        <v>GF16-100</v>
      </c>
      <c r="C46" s="18" t="str">
        <f aca="false">IFERROR(INDEX('SKU Data'!$B$2:$B$1780,MATCH($A46,'SKU Data'!$AB$2:$AB$1780,0)),"")</f>
        <v>Blushing Elegance</v>
      </c>
      <c r="D46" s="18" t="str">
        <f aca="false">IFERROR(INDEX('SKU Data'!$D$2:$D$1780,MATCH($A46,'SKU Data'!$AB$2:$AB$1780,0)),"")</f>
        <v>GF</v>
      </c>
      <c r="E46" s="19" t="n">
        <f aca="false">IFERROR(INDEX('SKU Data'!$E$2:$E$1780,MATCH($A46,'SKU Data'!$AB$2:$AB$1780,0)),"")</f>
        <v>1333</v>
      </c>
      <c r="F46" s="19" t="n">
        <f aca="false">IFERROR(INDEX('SKU Data'!$F$2:$F$1780,MATCH($A46,'SKU Data'!$AB$2:$AB$1780,0)),"")</f>
        <v>70</v>
      </c>
      <c r="G46" s="20" t="n">
        <f aca="false">IFERROR(INDEX('SKU Data'!$J$2:$J$1780,MATCH($A46,'SKU Data'!$AB$2:$AB$1780,0)),"")</f>
        <v>0.0525131282820705</v>
      </c>
      <c r="H46" s="28" t="n">
        <f aca="false">IFERROR(G46/Settings!$B$3,"")</f>
        <v>1.69472898220875</v>
      </c>
      <c r="I46" s="29" t="n">
        <f aca="false">IFERROR(INDEX('SKU Data'!$O$2:$O$1780,MATCH($A46,'SKU Data'!$AB$2:$AB$1780,0)),"")</f>
        <v>4.53575216568104</v>
      </c>
      <c r="J46" s="21" t="n">
        <f aca="false">IFERROR(INDEX('SKU Data'!$H$2:$H$1780,MATCH($A46,'SKU Data'!$AB$2:$AB$1780,0)),"")</f>
        <v>6992.71</v>
      </c>
      <c r="K46" s="18" t="str">
        <f aca="false">IFERROR(INDEX('SKU Data'!$W$2:$W$1780,MATCH($A46,'SKU Data'!$AB$2:$AB$1780,0)),"")</f>
        <v>1 - Fix first</v>
      </c>
    </row>
    <row r="47" customFormat="false" ht="15" hidden="false" customHeight="false" outlineLevel="0" collapsed="false">
      <c r="A47" s="18" t="n">
        <v>32</v>
      </c>
      <c r="B47" s="18" t="str">
        <f aca="false">IFERROR(INDEX('SKU Data'!$A$2:$A$1780,MATCH($A47,'SKU Data'!$AB$2:$AB$1780,0)),"")</f>
        <v>AURP-B1</v>
      </c>
      <c r="C47" s="18" t="str">
        <f aca="false">IFERROR(INDEX('SKU Data'!$B$2:$B$1780,MATCH($A47,'SKU Data'!$AB$2:$AB$1780,0)),"")</f>
        <v>I Love You Balloon</v>
      </c>
      <c r="D47" s="18" t="str">
        <f aca="false">IFERROR(INDEX('SKU Data'!$D$2:$D$1780,MATCH($A47,'SKU Data'!$AB$2:$AB$1780,0)),"")</f>
        <v>AURP</v>
      </c>
      <c r="E47" s="19" t="n">
        <f aca="false">IFERROR(INDEX('SKU Data'!$E$2:$E$1780,MATCH($A47,'SKU Data'!$AB$2:$AB$1780,0)),"")</f>
        <v>1872</v>
      </c>
      <c r="F47" s="19" t="n">
        <f aca="false">IFERROR(INDEX('SKU Data'!$F$2:$F$1780,MATCH($A47,'SKU Data'!$AB$2:$AB$1780,0)),"")</f>
        <v>92</v>
      </c>
      <c r="G47" s="20" t="n">
        <f aca="false">IFERROR(INDEX('SKU Data'!$J$2:$J$1780,MATCH($A47,'SKU Data'!$AB$2:$AB$1780,0)),"")</f>
        <v>0.0491452991452991</v>
      </c>
      <c r="H47" s="28" t="n">
        <f aca="false">IFERROR(G47/Settings!$B$3,"")</f>
        <v>1.58604077733632</v>
      </c>
      <c r="I47" s="29" t="n">
        <f aca="false">IFERROR(INDEX('SKU Data'!$O$2:$O$1780,MATCH($A47,'SKU Data'!$AB$2:$AB$1780,0)),"")</f>
        <v>4.534188624122</v>
      </c>
      <c r="J47" s="21" t="n">
        <f aca="false">IFERROR(INDEX('SKU Data'!$H$2:$H$1780,MATCH($A47,'SKU Data'!$AB$2:$AB$1780,0)),"")</f>
        <v>750.47</v>
      </c>
      <c r="K47" s="18" t="str">
        <f aca="false">IFERROR(INDEX('SKU Data'!$W$2:$W$1780,MATCH($A47,'SKU Data'!$AB$2:$AB$1780,0)),"")</f>
        <v>2 - Review</v>
      </c>
    </row>
    <row r="48" customFormat="false" ht="15" hidden="false" customHeight="false" outlineLevel="0" collapsed="false">
      <c r="A48" s="18" t="n">
        <v>33</v>
      </c>
      <c r="B48" s="18" t="str">
        <f aca="false">IFERROR(INDEX('SKU Data'!$A$2:$A$1780,MATCH($A48,'SKU Data'!$AB$2:$AB$1780,0)),"")</f>
        <v>SC01</v>
      </c>
      <c r="C48" s="18" t="str">
        <f aca="false">IFERROR(INDEX('SKU Data'!$B$2:$B$1780,MATCH($A48,'SKU Data'!$AB$2:$AB$1780,0)),"")</f>
        <v>Full Size Sympathy Card</v>
      </c>
      <c r="D48" s="18" t="str">
        <f aca="false">IFERROR(INDEX('SKU Data'!$D$2:$D$1780,MATCH($A48,'SKU Data'!$AB$2:$AB$1780,0)),"")</f>
        <v>SC</v>
      </c>
      <c r="E48" s="19" t="n">
        <f aca="false">IFERROR(INDEX('SKU Data'!$E$2:$E$1780,MATCH($A48,'SKU Data'!$AB$2:$AB$1780,0)),"")</f>
        <v>8341</v>
      </c>
      <c r="F48" s="19" t="n">
        <f aca="false">IFERROR(INDEX('SKU Data'!$F$2:$F$1780,MATCH($A48,'SKU Data'!$AB$2:$AB$1780,0)),"")</f>
        <v>329</v>
      </c>
      <c r="G48" s="20" t="n">
        <f aca="false">IFERROR(INDEX('SKU Data'!$J$2:$J$1780,MATCH($A48,'SKU Data'!$AB$2:$AB$1780,0)),"")</f>
        <v>0.0394437117851577</v>
      </c>
      <c r="H48" s="28" t="n">
        <f aca="false">IFERROR(G48/Settings!$B$3,"")</f>
        <v>1.27294647481549</v>
      </c>
      <c r="I48" s="29" t="n">
        <f aca="false">IFERROR(INDEX('SKU Data'!$O$2:$O$1780,MATCH($A48,'SKU Data'!$AB$2:$AB$1780,0)),"")</f>
        <v>4.45764393576606</v>
      </c>
      <c r="J48" s="21" t="n">
        <f aca="false">IFERROR(INDEX('SKU Data'!$H$2:$H$1780,MATCH($A48,'SKU Data'!$AB$2:$AB$1780,0)),"")</f>
        <v>1189.07</v>
      </c>
      <c r="K48" s="18" t="str">
        <f aca="false">IFERROR(INDEX('SKU Data'!$W$2:$W$1780,MATCH($A48,'SKU Data'!$AB$2:$AB$1780,0)),"")</f>
        <v>3 - Monitor</v>
      </c>
    </row>
    <row r="49" customFormat="false" ht="15" hidden="false" customHeight="false" outlineLevel="0" collapsed="false">
      <c r="A49" s="18" t="n">
        <v>34</v>
      </c>
      <c r="B49" s="18" t="str">
        <f aca="false">IFERROR(INDEX('SKU Data'!$A$2:$A$1780,MATCH($A49,'SKU Data'!$AB$2:$AB$1780,0)),"")</f>
        <v>AURP03</v>
      </c>
      <c r="C49" s="18" t="str">
        <f aca="false">IFERROR(INDEX('SKU Data'!$B$2:$B$1780,MATCH($A49,'SKU Data'!$AB$2:$AB$1780,0)),"")</f>
        <v>Glass Vase</v>
      </c>
      <c r="D49" s="18" t="str">
        <f aca="false">IFERROR(INDEX('SKU Data'!$D$2:$D$1780,MATCH($A49,'SKU Data'!$AB$2:$AB$1780,0)),"")</f>
        <v>AURP</v>
      </c>
      <c r="E49" s="19" t="n">
        <f aca="false">IFERROR(INDEX('SKU Data'!$E$2:$E$1780,MATCH($A49,'SKU Data'!$AB$2:$AB$1780,0)),"")</f>
        <v>2409</v>
      </c>
      <c r="F49" s="19" t="n">
        <f aca="false">IFERROR(INDEX('SKU Data'!$F$2:$F$1780,MATCH($A49,'SKU Data'!$AB$2:$AB$1780,0)),"")</f>
        <v>112</v>
      </c>
      <c r="G49" s="20" t="n">
        <f aca="false">IFERROR(INDEX('SKU Data'!$J$2:$J$1780,MATCH($A49,'SKU Data'!$AB$2:$AB$1780,0)),"")</f>
        <v>0.0464923204649232</v>
      </c>
      <c r="H49" s="28" t="n">
        <f aca="false">IFERROR(G49/Settings!$B$3,"")</f>
        <v>1.50042257088203</v>
      </c>
      <c r="I49" s="29" t="n">
        <f aca="false">IFERROR(INDEX('SKU Data'!$O$2:$O$1780,MATCH($A49,'SKU Data'!$AB$2:$AB$1780,0)),"")</f>
        <v>4.39211916600417</v>
      </c>
      <c r="J49" s="21" t="n">
        <f aca="false">IFERROR(INDEX('SKU Data'!$H$2:$H$1780,MATCH($A49,'SKU Data'!$AB$2:$AB$1780,0)),"")</f>
        <v>1180.39</v>
      </c>
      <c r="K49" s="18" t="str">
        <f aca="false">IFERROR(INDEX('SKU Data'!$W$2:$W$1780,MATCH($A49,'SKU Data'!$AB$2:$AB$1780,0)),"")</f>
        <v>2 - Review</v>
      </c>
    </row>
    <row r="50" customFormat="false" ht="15" hidden="false" customHeight="false" outlineLevel="0" collapsed="false">
      <c r="A50" s="18" t="n">
        <v>35</v>
      </c>
      <c r="B50" s="18" t="str">
        <f aca="false">IFERROR(INDEX('SKU Data'!$A$2:$A$1780,MATCH($A50,'SKU Data'!$AB$2:$AB$1780,0)),"")</f>
        <v>GF60-10</v>
      </c>
      <c r="C50" s="18" t="str">
        <f aca="false">IFERROR(INDEX('SKU Data'!$B$2:$B$1780,MATCH($A50,'SKU Data'!$AB$2:$AB$1780,0)),"")</f>
        <v>Gorgeous Gerberas</v>
      </c>
      <c r="D50" s="18" t="str">
        <f aca="false">IFERROR(INDEX('SKU Data'!$D$2:$D$1780,MATCH($A50,'SKU Data'!$AB$2:$AB$1780,0)),"")</f>
        <v>GF</v>
      </c>
      <c r="E50" s="19" t="n">
        <f aca="false">IFERROR(INDEX('SKU Data'!$E$2:$E$1780,MATCH($A50,'SKU Data'!$AB$2:$AB$1780,0)),"")</f>
        <v>77</v>
      </c>
      <c r="F50" s="19" t="n">
        <f aca="false">IFERROR(INDEX('SKU Data'!$F$2:$F$1780,MATCH($A50,'SKU Data'!$AB$2:$AB$1780,0)),"")</f>
        <v>9</v>
      </c>
      <c r="G50" s="20" t="n">
        <f aca="false">IFERROR(INDEX('SKU Data'!$J$2:$J$1780,MATCH($A50,'SKU Data'!$AB$2:$AB$1780,0)),"")</f>
        <v>0.116883116883117</v>
      </c>
      <c r="H50" s="28" t="n">
        <f aca="false">IFERROR(G50/Settings!$B$3,"")</f>
        <v>3.77210827450062</v>
      </c>
      <c r="I50" s="29" t="n">
        <f aca="false">IFERROR(INDEX('SKU Data'!$O$2:$O$1780,MATCH($A50,'SKU Data'!$AB$2:$AB$1780,0)),"")</f>
        <v>4.34985095950228</v>
      </c>
      <c r="J50" s="21" t="n">
        <f aca="false">IFERROR(INDEX('SKU Data'!$H$2:$H$1780,MATCH($A50,'SKU Data'!$AB$2:$AB$1780,0)),"")</f>
        <v>417.6</v>
      </c>
      <c r="K50" s="18" t="str">
        <f aca="false">IFERROR(INDEX('SKU Data'!$W$2:$W$1780,MATCH($A50,'SKU Data'!$AB$2:$AB$1780,0)),"")</f>
        <v>2 - Review</v>
      </c>
    </row>
    <row r="51" customFormat="false" ht="15" hidden="false" customHeight="false" outlineLevel="0" collapsed="false">
      <c r="A51" s="18" t="n">
        <v>36</v>
      </c>
      <c r="B51" s="18" t="str">
        <f aca="false">IFERROR(INDEX('SKU Data'!$A$2:$A$1780,MATCH($A51,'SKU Data'!$AB$2:$AB$1780,0)),"")</f>
        <v>AU100-582</v>
      </c>
      <c r="C51" s="18" t="str">
        <f aca="false">IFERROR(INDEX('SKU Data'!$B$2:$B$1780,MATCH($A51,'SKU Data'!$AB$2:$AB$1780,0)),"")</f>
        <v>Rose Garden Heart</v>
      </c>
      <c r="D51" s="18" t="str">
        <f aca="false">IFERROR(INDEX('SKU Data'!$D$2:$D$1780,MATCH($A51,'SKU Data'!$AB$2:$AB$1780,0)),"")</f>
        <v>AU</v>
      </c>
      <c r="E51" s="19" t="n">
        <f aca="false">IFERROR(INDEX('SKU Data'!$E$2:$E$1780,MATCH($A51,'SKU Data'!$AB$2:$AB$1780,0)),"")</f>
        <v>40</v>
      </c>
      <c r="F51" s="19" t="n">
        <f aca="false">IFERROR(INDEX('SKU Data'!$F$2:$F$1780,MATCH($A51,'SKU Data'!$AB$2:$AB$1780,0)),"")</f>
        <v>6</v>
      </c>
      <c r="G51" s="20" t="n">
        <f aca="false">IFERROR(INDEX('SKU Data'!$J$2:$J$1780,MATCH($A51,'SKU Data'!$AB$2:$AB$1780,0)),"")</f>
        <v>0.15</v>
      </c>
      <c r="H51" s="28" t="n">
        <f aca="false">IFERROR(G51/Settings!$B$3,"")</f>
        <v>4.84087228560913</v>
      </c>
      <c r="I51" s="29" t="n">
        <f aca="false">IFERROR(INDEX('SKU Data'!$O$2:$O$1780,MATCH($A51,'SKU Data'!$AB$2:$AB$1780,0)),"")</f>
        <v>4.34388868083427</v>
      </c>
      <c r="J51" s="21" t="n">
        <f aca="false">IFERROR(INDEX('SKU Data'!$H$2:$H$1780,MATCH($A51,'SKU Data'!$AB$2:$AB$1780,0)),"")</f>
        <v>1504.25</v>
      </c>
      <c r="K51" s="18" t="str">
        <f aca="false">IFERROR(INDEX('SKU Data'!$W$2:$W$1780,MATCH($A51,'SKU Data'!$AB$2:$AB$1780,0)),"")</f>
        <v>2 - Review</v>
      </c>
    </row>
    <row r="52" customFormat="false" ht="15" hidden="false" customHeight="false" outlineLevel="0" collapsed="false">
      <c r="A52" s="18" t="n">
        <v>37</v>
      </c>
      <c r="B52" s="18" t="str">
        <f aca="false">IFERROR(INDEX('SKU Data'!$A$2:$A$1780,MATCH($A52,'SKU Data'!$AB$2:$AB$1780,0)),"")</f>
        <v>AUCH25-04</v>
      </c>
      <c r="C52" s="18" t="str">
        <f aca="false">IFERROR(INDEX('SKU Data'!$B$2:$B$1780,MATCH($A52,'SKU Data'!$AB$2:$AB$1780,0)),"")</f>
        <v>Snowy Rose in Mason Jar</v>
      </c>
      <c r="D52" s="18" t="str">
        <f aca="false">IFERROR(INDEX('SKU Data'!$D$2:$D$1780,MATCH($A52,'SKU Data'!$AB$2:$AB$1780,0)),"")</f>
        <v>AUCH</v>
      </c>
      <c r="E52" s="19" t="n">
        <f aca="false">IFERROR(INDEX('SKU Data'!$E$2:$E$1780,MATCH($A52,'SKU Data'!$AB$2:$AB$1780,0)),"")</f>
        <v>2531</v>
      </c>
      <c r="F52" s="19" t="n">
        <f aca="false">IFERROR(INDEX('SKU Data'!$F$2:$F$1780,MATCH($A52,'SKU Data'!$AB$2:$AB$1780,0)),"")</f>
        <v>116</v>
      </c>
      <c r="G52" s="20" t="n">
        <f aca="false">IFERROR(INDEX('SKU Data'!$J$2:$J$1780,MATCH($A52,'SKU Data'!$AB$2:$AB$1780,0)),"")</f>
        <v>0.0458316870802055</v>
      </c>
      <c r="H52" s="28" t="n">
        <f aca="false">IFERROR(G52/Settings!$B$3,"")</f>
        <v>1.47910229192851</v>
      </c>
      <c r="I52" s="29" t="n">
        <f aca="false">IFERROR(INDEX('SKU Data'!$O$2:$O$1780,MATCH($A52,'SKU Data'!$AB$2:$AB$1780,0)),"")</f>
        <v>4.3101575577164</v>
      </c>
      <c r="J52" s="21" t="n">
        <f aca="false">IFERROR(INDEX('SKU Data'!$H$2:$H$1780,MATCH($A52,'SKU Data'!$AB$2:$AB$1780,0)),"")</f>
        <v>5309.56</v>
      </c>
      <c r="K52" s="18" t="str">
        <f aca="false">IFERROR(INDEX('SKU Data'!$W$2:$W$1780,MATCH($A52,'SKU Data'!$AB$2:$AB$1780,0)),"")</f>
        <v>2 - Review</v>
      </c>
    </row>
    <row r="53" customFormat="false" ht="15" hidden="false" customHeight="false" outlineLevel="0" collapsed="false">
      <c r="A53" s="18" t="n">
        <v>38</v>
      </c>
      <c r="B53" s="18" t="str">
        <f aca="false">IFERROR(INDEX('SKU Data'!$A$2:$A$1780,MATCH($A53,'SKU Data'!$AB$2:$AB$1780,0)),"")</f>
        <v>AU200-61</v>
      </c>
      <c r="C53" s="18" t="str">
        <f aca="false">IFERROR(INDEX('SKU Data'!$B$2:$B$1780,MATCH($A53,'SKU Data'!$AB$2:$AB$1780,0)),"")</f>
        <v>Country Roads</v>
      </c>
      <c r="D53" s="18" t="str">
        <f aca="false">IFERROR(INDEX('SKU Data'!$D$2:$D$1780,MATCH($A53,'SKU Data'!$AB$2:$AB$1780,0)),"")</f>
        <v>AU</v>
      </c>
      <c r="E53" s="19" t="n">
        <f aca="false">IFERROR(INDEX('SKU Data'!$E$2:$E$1780,MATCH($A53,'SKU Data'!$AB$2:$AB$1780,0)),"")</f>
        <v>360</v>
      </c>
      <c r="F53" s="19" t="n">
        <f aca="false">IFERROR(INDEX('SKU Data'!$F$2:$F$1780,MATCH($A53,'SKU Data'!$AB$2:$AB$1780,0)),"")</f>
        <v>25</v>
      </c>
      <c r="G53" s="20" t="n">
        <f aca="false">IFERROR(INDEX('SKU Data'!$J$2:$J$1780,MATCH($A53,'SKU Data'!$AB$2:$AB$1780,0)),"")</f>
        <v>0.0694444444444445</v>
      </c>
      <c r="H53" s="28" t="n">
        <f aca="false">IFERROR(G53/Settings!$B$3,"")</f>
        <v>2.24114457667089</v>
      </c>
      <c r="I53" s="29" t="n">
        <f aca="false">IFERROR(INDEX('SKU Data'!$O$2:$O$1780,MATCH($A53,'SKU Data'!$AB$2:$AB$1780,0)),"")</f>
        <v>4.21106989009751</v>
      </c>
      <c r="J53" s="21" t="n">
        <f aca="false">IFERROR(INDEX('SKU Data'!$H$2:$H$1780,MATCH($A53,'SKU Data'!$AB$2:$AB$1780,0)),"")</f>
        <v>3303.38</v>
      </c>
      <c r="K53" s="18" t="str">
        <f aca="false">IFERROR(INDEX('SKU Data'!$W$2:$W$1780,MATCH($A53,'SKU Data'!$AB$2:$AB$1780,0)),"")</f>
        <v>1 - Fix first</v>
      </c>
    </row>
    <row r="54" customFormat="false" ht="15" hidden="false" customHeight="false" outlineLevel="0" collapsed="false">
      <c r="A54" s="18" t="n">
        <v>39</v>
      </c>
      <c r="B54" s="18" t="str">
        <f aca="false">IFERROR(INDEX('SKU Data'!$A$2:$A$1780,MATCH($A54,'SKU Data'!$AB$2:$AB$1780,0)),"")</f>
        <v>AU100-48</v>
      </c>
      <c r="C54" s="18" t="str">
        <f aca="false">IFERROR(INDEX('SKU Data'!$B$2:$B$1780,MATCH($A54,'SKU Data'!$AB$2:$AB$1780,0)),"")</f>
        <v>Pretty in Pink</v>
      </c>
      <c r="D54" s="18" t="str">
        <f aca="false">IFERROR(INDEX('SKU Data'!$D$2:$D$1780,MATCH($A54,'SKU Data'!$AB$2:$AB$1780,0)),"")</f>
        <v>AU</v>
      </c>
      <c r="E54" s="19" t="n">
        <f aca="false">IFERROR(INDEX('SKU Data'!$E$2:$E$1780,MATCH($A54,'SKU Data'!$AB$2:$AB$1780,0)),"")</f>
        <v>598</v>
      </c>
      <c r="F54" s="19" t="n">
        <f aca="false">IFERROR(INDEX('SKU Data'!$F$2:$F$1780,MATCH($A54,'SKU Data'!$AB$2:$AB$1780,0)),"")</f>
        <v>36</v>
      </c>
      <c r="G54" s="20" t="n">
        <f aca="false">IFERROR(INDEX('SKU Data'!$J$2:$J$1780,MATCH($A54,'SKU Data'!$AB$2:$AB$1780,0)),"")</f>
        <v>0.0602006688963211</v>
      </c>
      <c r="H54" s="28" t="n">
        <f aca="false">IFERROR(G54/Settings!$B$3,"")</f>
        <v>1.94282499756888</v>
      </c>
      <c r="I54" s="29" t="n">
        <f aca="false">IFERROR(INDEX('SKU Data'!$O$2:$O$1780,MATCH($A54,'SKU Data'!$AB$2:$AB$1780,0)),"")</f>
        <v>4.1228782080997</v>
      </c>
      <c r="J54" s="21" t="n">
        <f aca="false">IFERROR(INDEX('SKU Data'!$H$2:$H$1780,MATCH($A54,'SKU Data'!$AB$2:$AB$1780,0)),"")</f>
        <v>3306.37</v>
      </c>
      <c r="K54" s="18" t="str">
        <f aca="false">IFERROR(INDEX('SKU Data'!$W$2:$W$1780,MATCH($A54,'SKU Data'!$AB$2:$AB$1780,0)),"")</f>
        <v>1 - Fix first</v>
      </c>
    </row>
    <row r="55" customFormat="false" ht="15" hidden="false" customHeight="false" outlineLevel="0" collapsed="false">
      <c r="A55" s="18" t="n">
        <v>40</v>
      </c>
      <c r="B55" s="18" t="str">
        <f aca="false">IFERROR(INDEX('SKU Data'!$A$2:$A$1780,MATCH($A55,'SKU Data'!$AB$2:$AB$1780,0)),"")</f>
        <v>AUSMJ100-11</v>
      </c>
      <c r="C55" s="18" t="str">
        <f aca="false">IFERROR(INDEX('SKU Data'!$B$2:$B$1780,MATCH($A55,'SKU Data'!$AB$2:$AB$1780,0)),"")</f>
        <v>Breathtaking Blooms In Mason Jar</v>
      </c>
      <c r="D55" s="18" t="str">
        <f aca="false">IFERROR(INDEX('SKU Data'!$D$2:$D$1780,MATCH($A55,'SKU Data'!$AB$2:$AB$1780,0)),"")</f>
        <v>AUSMJ</v>
      </c>
      <c r="E55" s="19" t="n">
        <f aca="false">IFERROR(INDEX('SKU Data'!$E$2:$E$1780,MATCH($A55,'SKU Data'!$AB$2:$AB$1780,0)),"")</f>
        <v>4959</v>
      </c>
      <c r="F55" s="19" t="n">
        <f aca="false">IFERROR(INDEX('SKU Data'!$F$2:$F$1780,MATCH($A55,'SKU Data'!$AB$2:$AB$1780,0)),"")</f>
        <v>203</v>
      </c>
      <c r="G55" s="20" t="n">
        <f aca="false">IFERROR(INDEX('SKU Data'!$J$2:$J$1780,MATCH($A55,'SKU Data'!$AB$2:$AB$1780,0)),"")</f>
        <v>0.0409356725146199</v>
      </c>
      <c r="H55" s="28" t="n">
        <f aca="false">IFERROR(G55/Settings!$B$3,"")</f>
        <v>1.32109575045863</v>
      </c>
      <c r="I55" s="29" t="n">
        <f aca="false">IFERROR(INDEX('SKU Data'!$O$2:$O$1780,MATCH($A55,'SKU Data'!$AB$2:$AB$1780,0)),"")</f>
        <v>4.04343473102185</v>
      </c>
      <c r="J55" s="21" t="n">
        <f aca="false">IFERROR(INDEX('SKU Data'!$H$2:$H$1780,MATCH($A55,'SKU Data'!$AB$2:$AB$1780,0)),"")</f>
        <v>13653.88</v>
      </c>
      <c r="K55" s="18" t="str">
        <f aca="false">IFERROR(INDEX('SKU Data'!$W$2:$W$1780,MATCH($A55,'SKU Data'!$AB$2:$AB$1780,0)),"")</f>
        <v>2 - Review</v>
      </c>
    </row>
    <row r="56" customFormat="false" ht="15" hidden="false" customHeight="false" outlineLevel="0" collapsed="false">
      <c r="A56" s="41" t="s">
        <v>349</v>
      </c>
      <c r="D56" s="41" t="n">
        <f aca="false">COUNTIF('SKU Data'!$X$2:$X$1780,"HIGH RATE")</f>
        <v>60</v>
      </c>
    </row>
    <row r="58" customFormat="false" ht="21.75" hidden="false" customHeight="true" outlineLevel="0" collapsed="false">
      <c r="A58" s="13" t="s">
        <v>350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customFormat="false" ht="30" hidden="false" customHeight="true" outlineLevel="0" collapsed="false">
      <c r="A59" s="17" t="s">
        <v>38</v>
      </c>
      <c r="B59" s="17" t="s">
        <v>16</v>
      </c>
      <c r="C59" s="17" t="s">
        <v>17</v>
      </c>
      <c r="D59" s="17" t="s">
        <v>29</v>
      </c>
      <c r="E59" s="17" t="s">
        <v>19</v>
      </c>
      <c r="F59" s="17" t="s">
        <v>20</v>
      </c>
      <c r="G59" s="17" t="s">
        <v>21</v>
      </c>
      <c r="H59" s="17" t="s">
        <v>32</v>
      </c>
      <c r="I59" s="17"/>
      <c r="J59" s="17" t="s">
        <v>22</v>
      </c>
      <c r="K59" s="17" t="s">
        <v>24</v>
      </c>
    </row>
    <row r="60" customFormat="false" ht="15" hidden="false" customHeight="false" outlineLevel="0" collapsed="false">
      <c r="A60" s="18" t="n">
        <v>1</v>
      </c>
      <c r="B60" s="18" t="s">
        <v>351</v>
      </c>
      <c r="C60" s="18" t="str">
        <f aca="false">IFERROR(INDEX('SKU Data'!$B$2:$B$1780,MATCH($B60,'SKU Data'!$A$2:$A$1780,0)),"")</f>
        <v>Rose and Lily Casket Arrangement</v>
      </c>
      <c r="D60" s="18" t="str">
        <f aca="false">IFERROR(INDEX('SKU Data'!$D$2:$D$1780,MATCH($B60,'SKU Data'!$A$2:$A$1780,0)),"")</f>
        <v>AU</v>
      </c>
      <c r="E60" s="19" t="n">
        <f aca="false">IFERROR(INDEX('SKU Data'!$E$2:$E$1780,MATCH($B60,'SKU Data'!$A$2:$A$1780,0)),"")</f>
        <v>2</v>
      </c>
      <c r="F60" s="19" t="n">
        <f aca="false">IFERROR(INDEX('SKU Data'!$F$2:$F$1780,MATCH($B60,'SKU Data'!$A$2:$A$1780,0)),"")</f>
        <v>2</v>
      </c>
      <c r="G60" s="20" t="n">
        <f aca="false">IFERROR(INDEX('SKU Data'!$J$2:$J$1780,MATCH($B60,'SKU Data'!$A$2:$A$1780,0)),"")</f>
        <v>1</v>
      </c>
      <c r="H60" s="28" t="n">
        <f aca="false">IFERROR(G60/Settings!$B$3,"")</f>
        <v>32.2724819040609</v>
      </c>
      <c r="I60" s="18"/>
      <c r="J60" s="21" t="n">
        <f aca="false">IFERROR(INDEX('SKU Data'!$H$2:$H$1780,MATCH($B60,'SKU Data'!$A$2:$A$1780,0)),"")</f>
        <v>747.52</v>
      </c>
      <c r="K60" s="18" t="str">
        <f aca="false">IFERROR(INDEX('SKU Data'!$W$2:$W$1780,MATCH($B60,'SKU Data'!$A$2:$A$1780,0)),"")</f>
        <v>3 - Monitor</v>
      </c>
    </row>
    <row r="61" customFormat="false" ht="15" hidden="false" customHeight="false" outlineLevel="0" collapsed="false">
      <c r="A61" s="18" t="n">
        <v>2</v>
      </c>
      <c r="B61" s="18" t="s">
        <v>352</v>
      </c>
      <c r="C61" s="18" t="str">
        <f aca="false">IFERROR(INDEX('SKU Data'!$B$2:$B$1780,MATCH($B61,'SKU Data'!$A$2:$A$1780,0)),"")</f>
        <v>Blue Iris Bouquet Ten Stems</v>
      </c>
      <c r="D61" s="18" t="str">
        <f aca="false">IFERROR(INDEX('SKU Data'!$D$2:$D$1780,MATCH($B61,'SKU Data'!$A$2:$A$1780,0)),"")</f>
        <v>FYF</v>
      </c>
      <c r="E61" s="19" t="n">
        <f aca="false">IFERROR(INDEX('SKU Data'!$E$2:$E$1780,MATCH($B61,'SKU Data'!$A$2:$A$1780,0)),"")</f>
        <v>4</v>
      </c>
      <c r="F61" s="19" t="n">
        <f aca="false">IFERROR(INDEX('SKU Data'!$F$2:$F$1780,MATCH($B61,'SKU Data'!$A$2:$A$1780,0)),"")</f>
        <v>2</v>
      </c>
      <c r="G61" s="20" t="n">
        <f aca="false">IFERROR(INDEX('SKU Data'!$J$2:$J$1780,MATCH($B61,'SKU Data'!$A$2:$A$1780,0)),"")</f>
        <v>0.5</v>
      </c>
      <c r="H61" s="28" t="n">
        <f aca="false">IFERROR(G61/Settings!$B$3,"")</f>
        <v>16.1362409520304</v>
      </c>
      <c r="I61" s="18"/>
      <c r="J61" s="21" t="n">
        <f aca="false">IFERROR(INDEX('SKU Data'!$H$2:$H$1780,MATCH($B61,'SKU Data'!$A$2:$A$1780,0)),"")</f>
        <v>229.9</v>
      </c>
      <c r="K61" s="18" t="str">
        <f aca="false">IFERROR(INDEX('SKU Data'!$W$2:$W$1780,MATCH($B61,'SKU Data'!$A$2:$A$1780,0)),"")</f>
        <v>3 - Monitor</v>
      </c>
    </row>
    <row r="62" customFormat="false" ht="15" hidden="false" customHeight="false" outlineLevel="0" collapsed="false">
      <c r="A62" s="18" t="n">
        <v>3</v>
      </c>
      <c r="B62" s="18" t="s">
        <v>353</v>
      </c>
      <c r="C62" s="18" t="str">
        <f aca="false">IFERROR(INDEX('SKU Data'!$B$2:$B$1780,MATCH($B62,'SKU Data'!$A$2:$A$1780,0)),"")</f>
        <v>Dozen Red Roses and White Wine Combo</v>
      </c>
      <c r="D62" s="18" t="str">
        <f aca="false">IFERROR(INDEX('SKU Data'!$D$2:$D$1780,MATCH($B62,'SKU Data'!$A$2:$A$1780,0)),"")</f>
        <v>AU</v>
      </c>
      <c r="E62" s="19" t="n">
        <f aca="false">IFERROR(INDEX('SKU Data'!$E$2:$E$1780,MATCH($B62,'SKU Data'!$A$2:$A$1780,0)),"")</f>
        <v>6</v>
      </c>
      <c r="F62" s="19" t="n">
        <f aca="false">IFERROR(INDEX('SKU Data'!$F$2:$F$1780,MATCH($B62,'SKU Data'!$A$2:$A$1780,0)),"")</f>
        <v>2</v>
      </c>
      <c r="G62" s="20" t="n">
        <f aca="false">IFERROR(INDEX('SKU Data'!$J$2:$J$1780,MATCH($B62,'SKU Data'!$A$2:$A$1780,0)),"")</f>
        <v>0.333333333333333</v>
      </c>
      <c r="H62" s="28" t="n">
        <f aca="false">IFERROR(G62/Settings!$B$3,"")</f>
        <v>10.7574939680203</v>
      </c>
      <c r="I62" s="18"/>
      <c r="J62" s="21" t="n">
        <f aca="false">IFERROR(INDEX('SKU Data'!$H$2:$H$1780,MATCH($B62,'SKU Data'!$A$2:$A$1780,0)),"")</f>
        <v>310.83</v>
      </c>
      <c r="K62" s="18" t="str">
        <f aca="false">IFERROR(INDEX('SKU Data'!$W$2:$W$1780,MATCH($B62,'SKU Data'!$A$2:$A$1780,0)),"")</f>
        <v>3 - Monitor</v>
      </c>
    </row>
    <row r="63" customFormat="false" ht="15" hidden="false" customHeight="false" outlineLevel="0" collapsed="false">
      <c r="A63" s="18" t="n">
        <v>4</v>
      </c>
      <c r="B63" s="18" t="s">
        <v>354</v>
      </c>
      <c r="C63" s="18" t="str">
        <f aca="false">IFERROR(INDEX('SKU Data'!$B$2:$B$1780,MATCH($B63,'SKU Data'!$A$2:$A$1780,0)),"")</f>
        <v>Plush Teddy Bear</v>
      </c>
      <c r="D63" s="18" t="str">
        <f aca="false">IFERROR(INDEX('SKU Data'!$D$2:$D$1780,MATCH($B63,'SKU Data'!$A$2:$A$1780,0)),"")</f>
        <v>FYF</v>
      </c>
      <c r="E63" s="19" t="n">
        <f aca="false">IFERROR(INDEX('SKU Data'!$E$2:$E$1780,MATCH($B63,'SKU Data'!$A$2:$A$1780,0)),"")</f>
        <v>7</v>
      </c>
      <c r="F63" s="19" t="n">
        <f aca="false">IFERROR(INDEX('SKU Data'!$F$2:$F$1780,MATCH($B63,'SKU Data'!$A$2:$A$1780,0)),"")</f>
        <v>2</v>
      </c>
      <c r="G63" s="20" t="n">
        <f aca="false">IFERROR(INDEX('SKU Data'!$J$2:$J$1780,MATCH($B63,'SKU Data'!$A$2:$A$1780,0)),"")</f>
        <v>0.285714285714286</v>
      </c>
      <c r="H63" s="28" t="n">
        <f aca="false">IFERROR(G63/Settings!$B$3,"")</f>
        <v>9.22070911544596</v>
      </c>
      <c r="I63" s="18"/>
      <c r="J63" s="21" t="n">
        <f aca="false">IFERROR(INDEX('SKU Data'!$H$2:$H$1780,MATCH($B63,'SKU Data'!$A$2:$A$1780,0)),"")</f>
        <v>89.9</v>
      </c>
      <c r="K63" s="18" t="str">
        <f aca="false">IFERROR(INDEX('SKU Data'!$W$2:$W$1780,MATCH($B63,'SKU Data'!$A$2:$A$1780,0)),"")</f>
        <v>3 - Monitor</v>
      </c>
    </row>
    <row r="64" customFormat="false" ht="15" hidden="false" customHeight="false" outlineLevel="0" collapsed="false">
      <c r="A64" s="18" t="n">
        <v>5</v>
      </c>
      <c r="B64" s="18" t="s">
        <v>299</v>
      </c>
      <c r="C64" s="18" t="str">
        <f aca="false">IFERROR(INDEX('SKU Data'!$B$2:$B$1780,MATCH($B64,'SKU Data'!$A$2:$A$1780,0)),"")</f>
        <v>Gerbera Brights</v>
      </c>
      <c r="D64" s="18" t="str">
        <f aca="false">IFERROR(INDEX('SKU Data'!$D$2:$D$1780,MATCH($B64,'SKU Data'!$A$2:$A$1780,0)),"")</f>
        <v>GF</v>
      </c>
      <c r="E64" s="19" t="n">
        <f aca="false">IFERROR(INDEX('SKU Data'!$E$2:$E$1780,MATCH($B64,'SKU Data'!$A$2:$A$1780,0)),"")</f>
        <v>11</v>
      </c>
      <c r="F64" s="19" t="n">
        <f aca="false">IFERROR(INDEX('SKU Data'!$F$2:$F$1780,MATCH($B64,'SKU Data'!$A$2:$A$1780,0)),"")</f>
        <v>3</v>
      </c>
      <c r="G64" s="20" t="n">
        <f aca="false">IFERROR(INDEX('SKU Data'!$J$2:$J$1780,MATCH($B64,'SKU Data'!$A$2:$A$1780,0)),"")</f>
        <v>0.272727272727273</v>
      </c>
      <c r="H64" s="28" t="n">
        <f aca="false">IFERROR(G64/Settings!$B$3,"")</f>
        <v>8.80158597383478</v>
      </c>
      <c r="I64" s="18"/>
      <c r="J64" s="21" t="n">
        <f aca="false">IFERROR(INDEX('SKU Data'!$H$2:$H$1780,MATCH($B64,'SKU Data'!$A$2:$A$1780,0)),"")</f>
        <v>189.87</v>
      </c>
      <c r="K64" s="18" t="str">
        <f aca="false">IFERROR(INDEX('SKU Data'!$W$2:$W$1780,MATCH($B64,'SKU Data'!$A$2:$A$1780,0)),"")</f>
        <v>3 - Monitor</v>
      </c>
    </row>
    <row r="65" customFormat="false" ht="15" hidden="false" customHeight="false" outlineLevel="0" collapsed="false">
      <c r="A65" s="18" t="n">
        <v>6</v>
      </c>
      <c r="B65" s="18" t="s">
        <v>355</v>
      </c>
      <c r="C65" s="18" t="str">
        <f aca="false">IFERROR(INDEX('SKU Data'!$B$2:$B$1780,MATCH($B65,'SKU Data'!$A$2:$A$1780,0)),"")</f>
        <v>Sunshine Gerbera Trio</v>
      </c>
      <c r="D65" s="18" t="str">
        <f aca="false">IFERROR(INDEX('SKU Data'!$D$2:$D$1780,MATCH($B65,'SKU Data'!$A$2:$A$1780,0)),"")</f>
        <v>Other (small prefixes)</v>
      </c>
      <c r="E65" s="19" t="n">
        <f aca="false">IFERROR(INDEX('SKU Data'!$E$2:$E$1780,MATCH($B65,'SKU Data'!$A$2:$A$1780,0)),"")</f>
        <v>8</v>
      </c>
      <c r="F65" s="19" t="n">
        <f aca="false">IFERROR(INDEX('SKU Data'!$F$2:$F$1780,MATCH($B65,'SKU Data'!$A$2:$A$1780,0)),"")</f>
        <v>2</v>
      </c>
      <c r="G65" s="20" t="n">
        <f aca="false">IFERROR(INDEX('SKU Data'!$J$2:$J$1780,MATCH($B65,'SKU Data'!$A$2:$A$1780,0)),"")</f>
        <v>0.25</v>
      </c>
      <c r="H65" s="28" t="n">
        <f aca="false">IFERROR(G65/Settings!$B$3,"")</f>
        <v>8.06812047601521</v>
      </c>
      <c r="I65" s="18"/>
      <c r="J65" s="21" t="n">
        <f aca="false">IFERROR(INDEX('SKU Data'!$H$2:$H$1780,MATCH($B65,'SKU Data'!$A$2:$A$1780,0)),"")</f>
        <v>84.9</v>
      </c>
      <c r="K65" s="18" t="str">
        <f aca="false">IFERROR(INDEX('SKU Data'!$W$2:$W$1780,MATCH($B65,'SKU Data'!$A$2:$A$1780,0)),"")</f>
        <v>3 - Monitor</v>
      </c>
    </row>
    <row r="66" customFormat="false" ht="15" hidden="false" customHeight="false" outlineLevel="0" collapsed="false">
      <c r="A66" s="18" t="n">
        <v>7</v>
      </c>
      <c r="B66" s="18" t="s">
        <v>356</v>
      </c>
      <c r="C66" s="18" t="str">
        <f aca="false">IFERROR(INDEX('SKU Data'!$B$2:$B$1780,MATCH($B66,'SKU Data'!$A$2:$A$1780,0)),"")</f>
        <v>One Dozen Boxed Red Roses (Nz Product Special Price)</v>
      </c>
      <c r="D66" s="18" t="str">
        <f aca="false">IFERROR(INDEX('SKU Data'!$D$2:$D$1780,MATCH($B66,'SKU Data'!$A$2:$A$1780,0)),"")</f>
        <v>FYF</v>
      </c>
      <c r="E66" s="19" t="n">
        <f aca="false">IFERROR(INDEX('SKU Data'!$E$2:$E$1780,MATCH($B66,'SKU Data'!$A$2:$A$1780,0)),"")</f>
        <v>8</v>
      </c>
      <c r="F66" s="19" t="n">
        <f aca="false">IFERROR(INDEX('SKU Data'!$F$2:$F$1780,MATCH($B66,'SKU Data'!$A$2:$A$1780,0)),"")</f>
        <v>2</v>
      </c>
      <c r="G66" s="20" t="n">
        <f aca="false">IFERROR(INDEX('SKU Data'!$J$2:$J$1780,MATCH($B66,'SKU Data'!$A$2:$A$1780,0)),"")</f>
        <v>0.25</v>
      </c>
      <c r="H66" s="28" t="n">
        <f aca="false">IFERROR(G66/Settings!$B$3,"")</f>
        <v>8.06812047601521</v>
      </c>
      <c r="I66" s="18"/>
      <c r="J66" s="21" t="n">
        <f aca="false">IFERROR(INDEX('SKU Data'!$H$2:$H$1780,MATCH($B66,'SKU Data'!$A$2:$A$1780,0)),"")</f>
        <v>109.9</v>
      </c>
      <c r="K66" s="18" t="str">
        <f aca="false">IFERROR(INDEX('SKU Data'!$W$2:$W$1780,MATCH($B66,'SKU Data'!$A$2:$A$1780,0)),"")</f>
        <v>3 - Monitor</v>
      </c>
    </row>
    <row r="67" customFormat="false" ht="15" hidden="false" customHeight="false" outlineLevel="0" collapsed="false">
      <c r="A67" s="18" t="n">
        <v>8</v>
      </c>
      <c r="B67" s="18" t="s">
        <v>357</v>
      </c>
      <c r="C67" s="18" t="str">
        <f aca="false">IFERROR(INDEX('SKU Data'!$B$2:$B$1780,MATCH($B67,'SKU Data'!$A$2:$A$1780,0)),"")</f>
        <v>Native Flowers Designer Bouquet</v>
      </c>
      <c r="D67" s="18" t="str">
        <f aca="false">IFERROR(INDEX('SKU Data'!$D$2:$D$1780,MATCH($B67,'SKU Data'!$A$2:$A$1780,0)),"")</f>
        <v>FYF</v>
      </c>
      <c r="E67" s="19" t="n">
        <f aca="false">IFERROR(INDEX('SKU Data'!$E$2:$E$1780,MATCH($B67,'SKU Data'!$A$2:$A$1780,0)),"")</f>
        <v>9</v>
      </c>
      <c r="F67" s="19" t="n">
        <f aca="false">IFERROR(INDEX('SKU Data'!$F$2:$F$1780,MATCH($B67,'SKU Data'!$A$2:$A$1780,0)),"")</f>
        <v>2</v>
      </c>
      <c r="G67" s="20" t="n">
        <f aca="false">IFERROR(INDEX('SKU Data'!$J$2:$J$1780,MATCH($B67,'SKU Data'!$A$2:$A$1780,0)),"")</f>
        <v>0.222222222222222</v>
      </c>
      <c r="H67" s="28" t="n">
        <f aca="false">IFERROR(G67/Settings!$B$3,"")</f>
        <v>7.17166264534686</v>
      </c>
      <c r="I67" s="18"/>
      <c r="J67" s="21" t="n">
        <f aca="false">IFERROR(INDEX('SKU Data'!$H$2:$H$1780,MATCH($B67,'SKU Data'!$A$2:$A$1780,0)),"")</f>
        <v>269.9</v>
      </c>
      <c r="K67" s="18" t="str">
        <f aca="false">IFERROR(INDEX('SKU Data'!$W$2:$W$1780,MATCH($B67,'SKU Data'!$A$2:$A$1780,0)),"")</f>
        <v>3 - Monitor</v>
      </c>
    </row>
    <row r="69" customFormat="false" ht="21.75" hidden="false" customHeight="true" outlineLevel="0" collapsed="false">
      <c r="A69" s="39" t="s">
        <v>358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 customFormat="false" ht="30" hidden="false" customHeight="true" outlineLevel="0" collapsed="false">
      <c r="A70" s="17"/>
      <c r="B70" s="17" t="s">
        <v>29</v>
      </c>
      <c r="C70" s="17" t="s">
        <v>359</v>
      </c>
      <c r="D70" s="17"/>
      <c r="E70" s="17" t="s">
        <v>19</v>
      </c>
      <c r="F70" s="17" t="s">
        <v>20</v>
      </c>
      <c r="G70" s="17" t="s">
        <v>21</v>
      </c>
      <c r="H70" s="17" t="s">
        <v>32</v>
      </c>
      <c r="I70" s="17" t="s">
        <v>33</v>
      </c>
      <c r="J70" s="17" t="s">
        <v>22</v>
      </c>
      <c r="K70" s="17"/>
    </row>
    <row r="71" customFormat="false" ht="15" hidden="false" customHeight="false" outlineLevel="0" collapsed="false">
      <c r="A71" s="18"/>
      <c r="B71" s="18" t="s">
        <v>51</v>
      </c>
      <c r="C71" s="42" t="s">
        <v>360</v>
      </c>
      <c r="D71" s="18"/>
      <c r="E71" s="19" t="n">
        <f aca="false">Brands!C5</f>
        <v>34789</v>
      </c>
      <c r="F71" s="19" t="n">
        <f aca="false">Brands!D5</f>
        <v>1495</v>
      </c>
      <c r="G71" s="20" t="n">
        <f aca="false">Brands!G5</f>
        <v>0.0429733536462675</v>
      </c>
      <c r="H71" s="28" t="n">
        <f aca="false">Brands!K5</f>
        <v>1.38685677790598</v>
      </c>
      <c r="I71" s="29" t="n">
        <f aca="false">Brands!L5</f>
        <v>12.9029795209416</v>
      </c>
      <c r="J71" s="21" t="n">
        <f aca="false">Brands!F5</f>
        <v>140542.79</v>
      </c>
      <c r="K71" s="18"/>
    </row>
    <row r="72" customFormat="false" ht="15" hidden="false" customHeight="false" outlineLevel="0" collapsed="false">
      <c r="A72" s="18"/>
      <c r="B72" s="18" t="s">
        <v>55</v>
      </c>
      <c r="C72" s="42" t="s">
        <v>360</v>
      </c>
      <c r="D72" s="18"/>
      <c r="E72" s="19" t="n">
        <f aca="false">Brands!C6</f>
        <v>27140</v>
      </c>
      <c r="F72" s="19" t="n">
        <f aca="false">Brands!D6</f>
        <v>1290</v>
      </c>
      <c r="G72" s="20" t="n">
        <f aca="false">Brands!G6</f>
        <v>0.0475313190862196</v>
      </c>
      <c r="H72" s="28" t="n">
        <f aca="false">Brands!K6</f>
        <v>1.53395363508616</v>
      </c>
      <c r="I72" s="29" t="n">
        <f aca="false">Brands!L6</f>
        <v>15.7299482629323</v>
      </c>
      <c r="J72" s="21" t="n">
        <f aca="false">Brands!F6</f>
        <v>116048.49</v>
      </c>
      <c r="K72" s="18"/>
    </row>
    <row r="73" customFormat="false" ht="15" hidden="false" customHeight="false" outlineLevel="0" collapsed="false">
      <c r="A73" s="18"/>
      <c r="B73" s="18" t="s">
        <v>59</v>
      </c>
      <c r="C73" s="42" t="s">
        <v>360</v>
      </c>
      <c r="D73" s="18"/>
      <c r="E73" s="19" t="n">
        <f aca="false">Brands!C7</f>
        <v>8500</v>
      </c>
      <c r="F73" s="19" t="n">
        <f aca="false">Brands!D7</f>
        <v>322</v>
      </c>
      <c r="G73" s="20" t="n">
        <f aca="false">Brands!G7</f>
        <v>0.0378823529411765</v>
      </c>
      <c r="H73" s="28" t="n">
        <f aca="false">Brands!K7</f>
        <v>1.22255754977736</v>
      </c>
      <c r="I73" s="29" t="n">
        <f aca="false">Brands!L7</f>
        <v>3.66919353202754</v>
      </c>
      <c r="J73" s="21" t="n">
        <f aca="false">Brands!F7</f>
        <v>30948.36</v>
      </c>
      <c r="K73" s="18"/>
    </row>
    <row r="74" customFormat="false" ht="15" hidden="false" customHeight="false" outlineLevel="0" collapsed="false">
      <c r="A74" s="18"/>
      <c r="B74" s="18" t="s">
        <v>63</v>
      </c>
      <c r="C74" s="42" t="s">
        <v>360</v>
      </c>
      <c r="D74" s="18"/>
      <c r="E74" s="19" t="n">
        <f aca="false">Brands!C8</f>
        <v>12849</v>
      </c>
      <c r="F74" s="19" t="n">
        <f aca="false">Brands!D8</f>
        <v>461</v>
      </c>
      <c r="G74" s="20" t="n">
        <f aca="false">Brands!G8</f>
        <v>0.0358782784652502</v>
      </c>
      <c r="H74" s="28" t="n">
        <f aca="false">Brands!K8</f>
        <v>1.15788109251864</v>
      </c>
      <c r="I74" s="29" t="n">
        <f aca="false">Brands!L8</f>
        <v>3.20024783624848</v>
      </c>
      <c r="J74" s="21" t="n">
        <f aca="false">Brands!F8</f>
        <v>29423.06</v>
      </c>
      <c r="K74" s="18"/>
    </row>
    <row r="75" customFormat="false" ht="15" hidden="false" customHeight="false" outlineLevel="0" collapsed="false">
      <c r="A75" s="18"/>
      <c r="B75" s="18" t="s">
        <v>71</v>
      </c>
      <c r="C75" s="42" t="s">
        <v>360</v>
      </c>
      <c r="D75" s="18"/>
      <c r="E75" s="19" t="n">
        <f aca="false">Brands!C10</f>
        <v>4520</v>
      </c>
      <c r="F75" s="19" t="n">
        <f aca="false">Brands!D10</f>
        <v>234</v>
      </c>
      <c r="G75" s="20" t="n">
        <f aca="false">Brands!G10</f>
        <v>0.0517699115044248</v>
      </c>
      <c r="H75" s="28" t="n">
        <f aca="false">Brands!K10</f>
        <v>1.67074353220138</v>
      </c>
      <c r="I75" s="29" t="n">
        <f aca="false">Brands!L10</f>
        <v>8.06388890705204</v>
      </c>
      <c r="J75" s="21" t="n">
        <f aca="false">Brands!F10</f>
        <v>21202.65</v>
      </c>
      <c r="K75" s="18"/>
    </row>
    <row r="76" customFormat="false" ht="15" hidden="false" customHeight="false" outlineLevel="0" collapsed="false">
      <c r="A76" s="18"/>
      <c r="B76" s="18" t="s">
        <v>75</v>
      </c>
      <c r="C76" s="42" t="s">
        <v>360</v>
      </c>
      <c r="D76" s="18"/>
      <c r="E76" s="19" t="n">
        <f aca="false">Brands!C11</f>
        <v>36296</v>
      </c>
      <c r="F76" s="19" t="n">
        <f aca="false">Brands!D11</f>
        <v>1515</v>
      </c>
      <c r="G76" s="20" t="n">
        <f aca="false">Brands!G11</f>
        <v>0.0417401366541768</v>
      </c>
      <c r="H76" s="28" t="n">
        <f aca="false">Brands!K11</f>
        <v>1.34705780484495</v>
      </c>
      <c r="I76" s="29" t="n">
        <f aca="false">Brands!L11</f>
        <v>11.8236080278682</v>
      </c>
      <c r="J76" s="21" t="n">
        <f aca="false">Brands!F11</f>
        <v>17576.19</v>
      </c>
      <c r="K76" s="18"/>
    </row>
    <row r="77" customFormat="false" ht="15" hidden="false" customHeight="false" outlineLevel="0" collapsed="false">
      <c r="A77" s="18"/>
      <c r="B77" s="18" t="s">
        <v>79</v>
      </c>
      <c r="C77" s="42" t="s">
        <v>360</v>
      </c>
      <c r="D77" s="18"/>
      <c r="E77" s="19" t="n">
        <f aca="false">Brands!C12</f>
        <v>5043</v>
      </c>
      <c r="F77" s="19" t="n">
        <f aca="false">Brands!D12</f>
        <v>205</v>
      </c>
      <c r="G77" s="20" t="n">
        <f aca="false">Brands!G12</f>
        <v>0.040650406504065</v>
      </c>
      <c r="H77" s="28" t="n">
        <f aca="false">Brands!K12</f>
        <v>1.31188950829516</v>
      </c>
      <c r="I77" s="29" t="n">
        <f aca="false">Brands!L12</f>
        <v>3.96062819520163</v>
      </c>
      <c r="J77" s="21" t="n">
        <f aca="false">Brands!F12</f>
        <v>13788.78</v>
      </c>
      <c r="K77" s="18"/>
    </row>
    <row r="78" customFormat="false" ht="15" hidden="false" customHeight="false" outlineLevel="0" collapsed="false">
      <c r="A78" s="18"/>
      <c r="B78" s="18" t="s">
        <v>83</v>
      </c>
      <c r="C78" s="42" t="s">
        <v>360</v>
      </c>
      <c r="D78" s="18"/>
      <c r="E78" s="19" t="n">
        <f aca="false">Brands!C13</f>
        <v>3058</v>
      </c>
      <c r="F78" s="19" t="n">
        <f aca="false">Brands!D13</f>
        <v>133</v>
      </c>
      <c r="G78" s="20" t="n">
        <f aca="false">Brands!G13</f>
        <v>0.0434924787442773</v>
      </c>
      <c r="H78" s="28" t="n">
        <f aca="false">Brands!K13</f>
        <v>1.40361023323744</v>
      </c>
      <c r="I78" s="29" t="n">
        <f aca="false">Brands!L13</f>
        <v>3.99116547837913</v>
      </c>
      <c r="J78" s="21" t="n">
        <f aca="false">Brands!F13</f>
        <v>13631.3</v>
      </c>
      <c r="K78" s="18"/>
    </row>
    <row r="79" customFormat="false" ht="15" hidden="false" customHeight="false" outlineLevel="0" collapsed="false">
      <c r="A79" s="18"/>
      <c r="B79" s="18" t="s">
        <v>87</v>
      </c>
      <c r="C79" s="42" t="s">
        <v>360</v>
      </c>
      <c r="D79" s="18"/>
      <c r="E79" s="19" t="n">
        <f aca="false">Brands!C14</f>
        <v>2106</v>
      </c>
      <c r="F79" s="19" t="n">
        <f aca="false">Brands!D14</f>
        <v>92</v>
      </c>
      <c r="G79" s="20" t="n">
        <f aca="false">Brands!G14</f>
        <v>0.043684710351377</v>
      </c>
      <c r="H79" s="28" t="n">
        <f aca="false">Brands!K14</f>
        <v>1.40981402429895</v>
      </c>
      <c r="I79" s="29" t="n">
        <f aca="false">Brands!L14</f>
        <v>3.3630616204784</v>
      </c>
      <c r="J79" s="21" t="n">
        <f aca="false">Brands!F14</f>
        <v>8627.52</v>
      </c>
      <c r="K79" s="18"/>
    </row>
    <row r="80" customFormat="false" ht="15" hidden="false" customHeight="false" outlineLevel="0" collapsed="false">
      <c r="A80" s="18"/>
      <c r="B80" s="18" t="s">
        <v>91</v>
      </c>
      <c r="C80" s="42" t="s">
        <v>360</v>
      </c>
      <c r="D80" s="18"/>
      <c r="E80" s="19" t="n">
        <f aca="false">Brands!C15</f>
        <v>1395</v>
      </c>
      <c r="F80" s="19" t="n">
        <f aca="false">Brands!D15</f>
        <v>71</v>
      </c>
      <c r="G80" s="20" t="n">
        <f aca="false">Brands!G15</f>
        <v>0.0508960573476703</v>
      </c>
      <c r="H80" s="28" t="n">
        <f aca="false">Brands!K15</f>
        <v>1.64254208974073</v>
      </c>
      <c r="I80" s="29" t="n">
        <f aca="false">Brands!L15</f>
        <v>4.29148412444351</v>
      </c>
      <c r="J80" s="21" t="n">
        <f aca="false">Brands!F15</f>
        <v>8477.07</v>
      </c>
      <c r="K80" s="18"/>
    </row>
    <row r="81" customFormat="false" ht="15" hidden="false" customHeight="false" outlineLevel="0" collapsed="false">
      <c r="A81" s="18"/>
      <c r="B81" s="18" t="s">
        <v>103</v>
      </c>
      <c r="C81" s="43" t="s">
        <v>361</v>
      </c>
      <c r="D81" s="18"/>
      <c r="E81" s="19" t="n">
        <f aca="false">Brands!C18</f>
        <v>4105</v>
      </c>
      <c r="F81" s="19" t="n">
        <f aca="false">Brands!D18</f>
        <v>85</v>
      </c>
      <c r="G81" s="20" t="n">
        <f aca="false">Brands!G18</f>
        <v>0.0207064555420219</v>
      </c>
      <c r="H81" s="28" t="n">
        <f aca="false">Brands!K18</f>
        <v>0.668248711777143</v>
      </c>
      <c r="I81" s="29" t="n">
        <f aca="false">Brands!L18</f>
        <v>-3.800913828679</v>
      </c>
      <c r="J81" s="21" t="n">
        <f aca="false">Brands!F18</f>
        <v>5835.37</v>
      </c>
      <c r="K81" s="18"/>
    </row>
    <row r="82" customFormat="false" ht="15" hidden="false" customHeight="false" outlineLevel="0" collapsed="false">
      <c r="A82" s="18"/>
      <c r="B82" s="18" t="s">
        <v>168</v>
      </c>
      <c r="C82" s="43" t="s">
        <v>361</v>
      </c>
      <c r="D82" s="18"/>
      <c r="E82" s="19" t="n">
        <f aca="false">Brands!C37</f>
        <v>753</v>
      </c>
      <c r="F82" s="19" t="n">
        <f aca="false">Brands!D37</f>
        <v>8</v>
      </c>
      <c r="G82" s="20" t="n">
        <f aca="false">Brands!G37</f>
        <v>0.0106241699867198</v>
      </c>
      <c r="H82" s="28" t="n">
        <f aca="false">Brands!K37</f>
        <v>0.342868333642081</v>
      </c>
      <c r="I82" s="29" t="n">
        <f aca="false">Brands!L37</f>
        <v>-3.22454698145062</v>
      </c>
      <c r="J82" s="21" t="n">
        <f aca="false">Brands!F37</f>
        <v>761.32</v>
      </c>
      <c r="K82" s="18"/>
    </row>
    <row r="84" customFormat="false" ht="21.75" hidden="false" customHeight="true" outlineLevel="0" collapsed="false">
      <c r="A84" s="13" t="s">
        <v>362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customFormat="false" ht="30" hidden="false" customHeight="true" outlineLevel="0" collapsed="false">
      <c r="A85" s="17"/>
      <c r="B85" s="17" t="s">
        <v>363</v>
      </c>
      <c r="C85" s="17"/>
      <c r="D85" s="17" t="s">
        <v>364</v>
      </c>
      <c r="E85" s="17" t="s">
        <v>365</v>
      </c>
      <c r="F85" s="17" t="s">
        <v>366</v>
      </c>
      <c r="G85" s="17" t="s">
        <v>367</v>
      </c>
      <c r="H85" s="17" t="s">
        <v>365</v>
      </c>
      <c r="I85" s="17" t="s">
        <v>366</v>
      </c>
      <c r="J85" s="17" t="s">
        <v>368</v>
      </c>
      <c r="K85" s="17"/>
    </row>
    <row r="86" customFormat="false" ht="15" hidden="false" customHeight="false" outlineLevel="0" collapsed="false">
      <c r="A86" s="18"/>
      <c r="B86" s="18" t="s">
        <v>369</v>
      </c>
      <c r="C86" s="18"/>
      <c r="D86" s="18" t="s">
        <v>219</v>
      </c>
      <c r="E86" s="20" t="n">
        <f aca="false">INDEX('SKU Data'!$J$2:$J$1780,MATCH(D86,'SKU Data'!$A$2:$A$1780,0))</f>
        <v>0.0531408629441624</v>
      </c>
      <c r="F86" s="19" t="n">
        <f aca="false">INDEX('SKU Data'!$E$2:$E$1780,MATCH(D86,'SKU Data'!$A$2:$A$1780,0))</f>
        <v>6304</v>
      </c>
      <c r="G86" s="18" t="s">
        <v>370</v>
      </c>
      <c r="H86" s="20" t="n">
        <f aca="false">INDEX('SKU Data'!$J$2:$J$1780,MATCH(G86,'SKU Data'!$A$2:$A$1780,0))</f>
        <v>0.00666666666666667</v>
      </c>
      <c r="I86" s="19" t="n">
        <f aca="false">INDEX('SKU Data'!$E$2:$E$1780,MATCH(G86,'SKU Data'!$A$2:$A$1780,0))</f>
        <v>150</v>
      </c>
      <c r="J86" s="28" t="n">
        <f aca="false">IFERROR(E86/MAX(H86,0.005),"")</f>
        <v>7.97112944162437</v>
      </c>
      <c r="K86" s="18"/>
    </row>
    <row r="87" customFormat="false" ht="15" hidden="false" customHeight="false" outlineLevel="0" collapsed="false">
      <c r="A87" s="18"/>
      <c r="B87" s="18" t="s">
        <v>371</v>
      </c>
      <c r="C87" s="18"/>
      <c r="D87" s="18" t="s">
        <v>293</v>
      </c>
      <c r="E87" s="20" t="n">
        <f aca="false">INDEX('SKU Data'!$J$2:$J$1780,MATCH(D87,'SKU Data'!$A$2:$A$1780,0))</f>
        <v>0.0452554744525548</v>
      </c>
      <c r="F87" s="19" t="n">
        <f aca="false">INDEX('SKU Data'!$E$2:$E$1780,MATCH(D87,'SKU Data'!$A$2:$A$1780,0))</f>
        <v>685</v>
      </c>
      <c r="G87" s="18" t="s">
        <v>259</v>
      </c>
      <c r="H87" s="20" t="n">
        <f aca="false">INDEX('SKU Data'!$J$2:$J$1780,MATCH(G87,'SKU Data'!$A$2:$A$1780,0))</f>
        <v>0.0149253731343284</v>
      </c>
      <c r="I87" s="19" t="n">
        <f aca="false">INDEX('SKU Data'!$E$2:$E$1780,MATCH(G87,'SKU Data'!$A$2:$A$1780,0))</f>
        <v>134</v>
      </c>
      <c r="J87" s="28" t="n">
        <f aca="false">IFERROR(E87/MAX(H87,0.005),"")</f>
        <v>3.03211678832117</v>
      </c>
      <c r="K87" s="18"/>
    </row>
    <row r="88" customFormat="false" ht="15" hidden="false" customHeight="false" outlineLevel="0" collapsed="false">
      <c r="A88" s="18"/>
      <c r="B88" s="18" t="s">
        <v>372</v>
      </c>
      <c r="C88" s="18"/>
      <c r="D88" s="18" t="s">
        <v>373</v>
      </c>
      <c r="E88" s="20" t="n">
        <f aca="false">INDEX('SKU Data'!$J$2:$J$1780,MATCH(D88,'SKU Data'!$A$2:$A$1780,0))</f>
        <v>0.0861244019138756</v>
      </c>
      <c r="F88" s="19" t="n">
        <f aca="false">INDEX('SKU Data'!$E$2:$E$1780,MATCH(D88,'SKU Data'!$A$2:$A$1780,0))</f>
        <v>209</v>
      </c>
      <c r="G88" s="18" t="s">
        <v>374</v>
      </c>
      <c r="H88" s="20" t="n">
        <f aca="false">INDEX('SKU Data'!$J$2:$J$1780,MATCH(G88,'SKU Data'!$A$2:$A$1780,0))</f>
        <v>0.00612959719789842</v>
      </c>
      <c r="I88" s="19" t="n">
        <f aca="false">INDEX('SKU Data'!$E$2:$E$1780,MATCH(G88,'SKU Data'!$A$2:$A$1780,0))</f>
        <v>1142</v>
      </c>
      <c r="J88" s="28" t="n">
        <f aca="false">IFERROR(E88/MAX(H88,0.005),"")</f>
        <v>14.0505809979494</v>
      </c>
      <c r="K88" s="18"/>
    </row>
    <row r="89" customFormat="false" ht="15" hidden="false" customHeight="false" outlineLevel="0" collapsed="false">
      <c r="A89" s="18"/>
      <c r="B89" s="18" t="s">
        <v>375</v>
      </c>
      <c r="C89" s="18"/>
      <c r="D89" s="18" t="s">
        <v>376</v>
      </c>
      <c r="E89" s="20" t="n">
        <f aca="false">INDEX('SKU Data'!$J$2:$J$1780,MATCH(D89,'SKU Data'!$A$2:$A$1780,0))</f>
        <v>0.073394495412844</v>
      </c>
      <c r="F89" s="19" t="n">
        <f aca="false">INDEX('SKU Data'!$E$2:$E$1780,MATCH(D89,'SKU Data'!$A$2:$A$1780,0))</f>
        <v>109</v>
      </c>
      <c r="G89" s="18" t="s">
        <v>241</v>
      </c>
      <c r="H89" s="20" t="n">
        <f aca="false">INDEX('SKU Data'!$J$2:$J$1780,MATCH(G89,'SKU Data'!$A$2:$A$1780,0))</f>
        <v>0.0301356102461075</v>
      </c>
      <c r="I89" s="19" t="n">
        <f aca="false">INDEX('SKU Data'!$E$2:$E$1780,MATCH(G89,'SKU Data'!$A$2:$A$1780,0))</f>
        <v>1991</v>
      </c>
      <c r="J89" s="28" t="n">
        <f aca="false">IFERROR(E89/MAX(H89,0.005),"")</f>
        <v>2.43547400611621</v>
      </c>
      <c r="K89" s="18"/>
    </row>
  </sheetData>
  <mergeCells count="12">
    <mergeCell ref="A2:K2"/>
    <mergeCell ref="A5:K5"/>
    <mergeCell ref="A8:E8"/>
    <mergeCell ref="F8:K8"/>
    <mergeCell ref="A9:E9"/>
    <mergeCell ref="F9:K9"/>
    <mergeCell ref="A10:E10"/>
    <mergeCell ref="F10:K10"/>
    <mergeCell ref="A11:E11"/>
    <mergeCell ref="F11:K11"/>
    <mergeCell ref="A12:E12"/>
    <mergeCell ref="F12:K12"/>
  </mergeCells>
  <conditionalFormatting sqref="G16:G55">
    <cfRule type="colorScale" priority="2">
      <colorScale>
        <cfvo type="num" val="0.03"/>
        <cfvo type="num" val="0.2"/>
        <color rgb="FFFFFFFF"/>
        <color rgb="FFF08A80"/>
      </colorScale>
    </cfRule>
  </conditionalFormatting>
  <conditionalFormatting sqref="I16:I55">
    <cfRule type="dataBar" priority="3">
      <dataBar showValue="1" minLength="10" maxLength="90">
        <cfvo type="num" val="0"/>
        <cfvo type="max" val="0"/>
        <color rgb="FFE57373"/>
      </dataBar>
      <extLst>
        <ext xmlns:x14="http://schemas.microsoft.com/office/spreadsheetml/2009/9/main" uri="{B025F937-C7B1-47D3-B67F-A62EFF666E3E}">
          <x14:id>{D6BD4DC2-C8BF-48ED-A82E-6136943C63B5}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BD4DC2-C8BF-48ED-A82E-6136943C63B5}">
            <x14:dataBar minLength="10" maxLength="90" axisPosition="none" gradient="true">
              <x14:cfvo type="num">
                <xm:f>0</xm:f>
              </x14:cfvo>
              <x14:cfvo type="max"/>
              <x14:negativeFillColor rgb="FFE57373"/>
              <x14:axisColor rgb="FF000000"/>
            </x14:dataBar>
          </x14:cfRule>
          <xm:sqref>I16:I55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58"/>
    <col collapsed="false" customWidth="true" hidden="false" outlineLevel="0" max="6" min="6" style="0" width="62"/>
    <col collapsed="false" customWidth="true" hidden="false" outlineLevel="0" max="8" min="7" style="0" width="14"/>
  </cols>
  <sheetData>
    <row r="1" customFormat="false" ht="17.35" hidden="false" customHeight="false" outlineLevel="0" collapsed="false">
      <c r="A1" s="25" t="s">
        <v>377</v>
      </c>
    </row>
    <row r="2" customFormat="false" ht="15" hidden="false" customHeight="false" outlineLevel="0" collapsed="false">
      <c r="A2" s="24" t="s">
        <v>378</v>
      </c>
    </row>
    <row r="4" customFormat="false" ht="24" hidden="false" customHeight="true" outlineLevel="0" collapsed="false">
      <c r="A4" s="17" t="s">
        <v>38</v>
      </c>
      <c r="B4" s="17" t="s">
        <v>379</v>
      </c>
      <c r="C4" s="17" t="s">
        <v>380</v>
      </c>
      <c r="D4" s="17" t="s">
        <v>381</v>
      </c>
      <c r="E4" s="17" t="s">
        <v>382</v>
      </c>
      <c r="F4" s="17" t="s">
        <v>383</v>
      </c>
      <c r="G4" s="17" t="s">
        <v>384</v>
      </c>
      <c r="H4" s="17" t="s">
        <v>385</v>
      </c>
    </row>
    <row r="5" customFormat="false" ht="49.5" hidden="false" customHeight="true" outlineLevel="0" collapsed="false">
      <c r="A5" s="31" t="n">
        <v>1</v>
      </c>
      <c r="B5" s="31" t="s">
        <v>386</v>
      </c>
      <c r="C5" s="31" t="s">
        <v>387</v>
      </c>
      <c r="D5" s="31" t="s">
        <v>388</v>
      </c>
      <c r="E5" s="31" t="s">
        <v>389</v>
      </c>
      <c r="F5" s="31" t="s">
        <v>390</v>
      </c>
      <c r="G5" s="31"/>
      <c r="H5" s="31"/>
    </row>
    <row r="6" customFormat="false" ht="49.5" hidden="false" customHeight="true" outlineLevel="0" collapsed="false">
      <c r="A6" s="31" t="n">
        <v>2</v>
      </c>
      <c r="B6" s="31" t="s">
        <v>386</v>
      </c>
      <c r="C6" s="31" t="s">
        <v>391</v>
      </c>
      <c r="D6" s="31" t="s">
        <v>392</v>
      </c>
      <c r="E6" s="31" t="s">
        <v>393</v>
      </c>
      <c r="F6" s="31" t="s">
        <v>394</v>
      </c>
      <c r="G6" s="31"/>
      <c r="H6" s="31"/>
    </row>
    <row r="7" customFormat="false" ht="49.5" hidden="false" customHeight="true" outlineLevel="0" collapsed="false">
      <c r="A7" s="31" t="n">
        <v>3</v>
      </c>
      <c r="B7" s="31" t="s">
        <v>386</v>
      </c>
      <c r="C7" s="31" t="s">
        <v>16</v>
      </c>
      <c r="D7" s="31" t="s">
        <v>395</v>
      </c>
      <c r="E7" s="31" t="s">
        <v>396</v>
      </c>
      <c r="F7" s="31" t="s">
        <v>397</v>
      </c>
      <c r="G7" s="31"/>
      <c r="H7" s="31"/>
    </row>
    <row r="8" customFormat="false" ht="49.5" hidden="false" customHeight="true" outlineLevel="0" collapsed="false">
      <c r="A8" s="31" t="n">
        <v>4</v>
      </c>
      <c r="B8" s="31" t="s">
        <v>386</v>
      </c>
      <c r="C8" s="31" t="s">
        <v>16</v>
      </c>
      <c r="D8" s="31" t="s">
        <v>398</v>
      </c>
      <c r="E8" s="31" t="s">
        <v>399</v>
      </c>
      <c r="F8" s="31" t="s">
        <v>397</v>
      </c>
      <c r="G8" s="31"/>
      <c r="H8" s="31"/>
    </row>
    <row r="9" customFormat="false" ht="49.5" hidden="false" customHeight="true" outlineLevel="0" collapsed="false">
      <c r="A9" s="31" t="n">
        <v>5</v>
      </c>
      <c r="B9" s="31" t="s">
        <v>386</v>
      </c>
      <c r="C9" s="31" t="s">
        <v>16</v>
      </c>
      <c r="D9" s="31" t="s">
        <v>400</v>
      </c>
      <c r="E9" s="31" t="s">
        <v>401</v>
      </c>
      <c r="F9" s="31" t="s">
        <v>397</v>
      </c>
      <c r="G9" s="31"/>
      <c r="H9" s="31"/>
    </row>
    <row r="10" customFormat="false" ht="49.5" hidden="false" customHeight="true" outlineLevel="0" collapsed="false">
      <c r="A10" s="31" t="n">
        <v>6</v>
      </c>
      <c r="B10" s="31" t="s">
        <v>386</v>
      </c>
      <c r="C10" s="31" t="s">
        <v>16</v>
      </c>
      <c r="D10" s="31" t="s">
        <v>402</v>
      </c>
      <c r="E10" s="31" t="s">
        <v>403</v>
      </c>
      <c r="F10" s="31" t="s">
        <v>397</v>
      </c>
      <c r="G10" s="31"/>
      <c r="H10" s="31"/>
    </row>
    <row r="11" customFormat="false" ht="49.5" hidden="false" customHeight="true" outlineLevel="0" collapsed="false">
      <c r="A11" s="31" t="n">
        <v>7</v>
      </c>
      <c r="B11" s="31" t="s">
        <v>386</v>
      </c>
      <c r="C11" s="31" t="s">
        <v>16</v>
      </c>
      <c r="D11" s="31" t="s">
        <v>404</v>
      </c>
      <c r="E11" s="31" t="s">
        <v>405</v>
      </c>
      <c r="F11" s="31" t="s">
        <v>397</v>
      </c>
      <c r="G11" s="31"/>
      <c r="H11" s="31"/>
    </row>
    <row r="12" customFormat="false" ht="49.5" hidden="false" customHeight="true" outlineLevel="0" collapsed="false">
      <c r="A12" s="31" t="n">
        <v>8</v>
      </c>
      <c r="B12" s="31" t="s">
        <v>386</v>
      </c>
      <c r="C12" s="31" t="s">
        <v>16</v>
      </c>
      <c r="D12" s="31" t="s">
        <v>406</v>
      </c>
      <c r="E12" s="31" t="s">
        <v>407</v>
      </c>
      <c r="F12" s="31" t="s">
        <v>397</v>
      </c>
      <c r="G12" s="31"/>
      <c r="H12" s="31"/>
    </row>
    <row r="13" customFormat="false" ht="49.5" hidden="false" customHeight="true" outlineLevel="0" collapsed="false">
      <c r="A13" s="31" t="n">
        <v>9</v>
      </c>
      <c r="B13" s="31" t="s">
        <v>386</v>
      </c>
      <c r="C13" s="31" t="s">
        <v>16</v>
      </c>
      <c r="D13" s="31" t="s">
        <v>408</v>
      </c>
      <c r="E13" s="31" t="s">
        <v>409</v>
      </c>
      <c r="F13" s="31" t="s">
        <v>397</v>
      </c>
      <c r="G13" s="31"/>
      <c r="H13" s="31"/>
    </row>
    <row r="14" customFormat="false" ht="49.5" hidden="false" customHeight="true" outlineLevel="0" collapsed="false">
      <c r="A14" s="31" t="n">
        <v>10</v>
      </c>
      <c r="B14" s="31" t="s">
        <v>386</v>
      </c>
      <c r="C14" s="31" t="s">
        <v>16</v>
      </c>
      <c r="D14" s="31" t="s">
        <v>410</v>
      </c>
      <c r="E14" s="31" t="s">
        <v>411</v>
      </c>
      <c r="F14" s="31" t="s">
        <v>397</v>
      </c>
      <c r="G14" s="31"/>
      <c r="H14" s="31"/>
    </row>
    <row r="15" customFormat="false" ht="49.5" hidden="false" customHeight="true" outlineLevel="0" collapsed="false">
      <c r="A15" s="31" t="n">
        <v>11</v>
      </c>
      <c r="B15" s="31" t="s">
        <v>386</v>
      </c>
      <c r="C15" s="31" t="s">
        <v>16</v>
      </c>
      <c r="D15" s="31" t="s">
        <v>412</v>
      </c>
      <c r="E15" s="31" t="s">
        <v>413</v>
      </c>
      <c r="F15" s="31" t="s">
        <v>397</v>
      </c>
      <c r="G15" s="31"/>
      <c r="H15" s="31"/>
    </row>
    <row r="16" customFormat="false" ht="49.5" hidden="false" customHeight="true" outlineLevel="0" collapsed="false">
      <c r="A16" s="31" t="n">
        <v>12</v>
      </c>
      <c r="B16" s="31" t="s">
        <v>386</v>
      </c>
      <c r="C16" s="31" t="s">
        <v>16</v>
      </c>
      <c r="D16" s="31" t="s">
        <v>414</v>
      </c>
      <c r="E16" s="31" t="s">
        <v>415</v>
      </c>
      <c r="F16" s="31" t="s">
        <v>397</v>
      </c>
      <c r="G16" s="31"/>
      <c r="H16" s="31"/>
    </row>
    <row r="17" customFormat="false" ht="49.5" hidden="false" customHeight="true" outlineLevel="0" collapsed="false">
      <c r="A17" s="31" t="n">
        <v>13</v>
      </c>
      <c r="B17" s="31" t="s">
        <v>386</v>
      </c>
      <c r="C17" s="31" t="s">
        <v>416</v>
      </c>
      <c r="D17" s="31" t="s">
        <v>412</v>
      </c>
      <c r="E17" s="31" t="s">
        <v>417</v>
      </c>
      <c r="F17" s="31" t="s">
        <v>418</v>
      </c>
      <c r="G17" s="31"/>
      <c r="H17" s="31"/>
    </row>
    <row r="18" customFormat="false" ht="49.5" hidden="false" customHeight="true" outlineLevel="0" collapsed="false">
      <c r="A18" s="31" t="n">
        <v>14</v>
      </c>
      <c r="B18" s="31" t="s">
        <v>386</v>
      </c>
      <c r="C18" s="31" t="s">
        <v>29</v>
      </c>
      <c r="D18" s="31" t="s">
        <v>419</v>
      </c>
      <c r="E18" s="31" t="s">
        <v>420</v>
      </c>
      <c r="F18" s="31" t="s">
        <v>421</v>
      </c>
      <c r="G18" s="31"/>
      <c r="H18" s="31"/>
    </row>
    <row r="19" customFormat="false" ht="49.5" hidden="false" customHeight="true" outlineLevel="0" collapsed="false">
      <c r="A19" s="31" t="n">
        <v>15</v>
      </c>
      <c r="B19" s="31" t="s">
        <v>386</v>
      </c>
      <c r="C19" s="31" t="s">
        <v>29</v>
      </c>
      <c r="D19" s="31" t="s">
        <v>422</v>
      </c>
      <c r="E19" s="31" t="s">
        <v>423</v>
      </c>
      <c r="F19" s="31" t="s">
        <v>421</v>
      </c>
      <c r="G19" s="31"/>
      <c r="H19" s="31"/>
    </row>
    <row r="20" customFormat="false" ht="49.5" hidden="false" customHeight="true" outlineLevel="0" collapsed="false">
      <c r="A20" s="31" t="n">
        <v>16</v>
      </c>
      <c r="B20" s="31" t="s">
        <v>424</v>
      </c>
      <c r="C20" s="31" t="s">
        <v>29</v>
      </c>
      <c r="D20" s="31" t="s">
        <v>425</v>
      </c>
      <c r="E20" s="31" t="s">
        <v>426</v>
      </c>
      <c r="F20" s="31" t="s">
        <v>427</v>
      </c>
      <c r="G20" s="31"/>
      <c r="H20" s="31"/>
    </row>
    <row r="21" customFormat="false" ht="49.5" hidden="false" customHeight="true" outlineLevel="0" collapsed="false">
      <c r="A21" s="31" t="n">
        <v>17</v>
      </c>
      <c r="B21" s="31" t="s">
        <v>424</v>
      </c>
      <c r="C21" s="31" t="s">
        <v>29</v>
      </c>
      <c r="D21" s="31" t="s">
        <v>428</v>
      </c>
      <c r="E21" s="31" t="s">
        <v>429</v>
      </c>
      <c r="F21" s="31" t="s">
        <v>427</v>
      </c>
      <c r="G21" s="31"/>
      <c r="H21" s="31"/>
    </row>
    <row r="22" customFormat="false" ht="49.5" hidden="false" customHeight="true" outlineLevel="0" collapsed="false">
      <c r="A22" s="31" t="n">
        <v>18</v>
      </c>
      <c r="B22" s="31" t="s">
        <v>424</v>
      </c>
      <c r="C22" s="31" t="s">
        <v>29</v>
      </c>
      <c r="D22" s="31" t="s">
        <v>430</v>
      </c>
      <c r="E22" s="31" t="s">
        <v>431</v>
      </c>
      <c r="F22" s="31" t="s">
        <v>427</v>
      </c>
      <c r="G22" s="31"/>
      <c r="H22" s="31"/>
    </row>
    <row r="23" customFormat="false" ht="49.5" hidden="false" customHeight="true" outlineLevel="0" collapsed="false">
      <c r="A23" s="31" t="n">
        <v>19</v>
      </c>
      <c r="B23" s="31" t="s">
        <v>424</v>
      </c>
      <c r="C23" s="31" t="s">
        <v>29</v>
      </c>
      <c r="D23" s="31" t="s">
        <v>432</v>
      </c>
      <c r="E23" s="31" t="s">
        <v>433</v>
      </c>
      <c r="F23" s="31" t="s">
        <v>427</v>
      </c>
      <c r="G23" s="31"/>
      <c r="H23" s="31"/>
    </row>
    <row r="24" customFormat="false" ht="49.5" hidden="false" customHeight="true" outlineLevel="0" collapsed="false">
      <c r="A24" s="31" t="n">
        <v>20</v>
      </c>
      <c r="B24" s="31" t="s">
        <v>424</v>
      </c>
      <c r="C24" s="31" t="s">
        <v>29</v>
      </c>
      <c r="D24" s="31" t="s">
        <v>434</v>
      </c>
      <c r="E24" s="31" t="s">
        <v>435</v>
      </c>
      <c r="F24" s="31" t="s">
        <v>427</v>
      </c>
      <c r="G24" s="31"/>
      <c r="H24" s="31"/>
    </row>
    <row r="25" customFormat="false" ht="49.5" hidden="false" customHeight="true" outlineLevel="0" collapsed="false">
      <c r="A25" s="31" t="n">
        <v>21</v>
      </c>
      <c r="B25" s="31" t="s">
        <v>424</v>
      </c>
      <c r="C25" s="31" t="s">
        <v>29</v>
      </c>
      <c r="D25" s="31" t="s">
        <v>436</v>
      </c>
      <c r="E25" s="31" t="s">
        <v>437</v>
      </c>
      <c r="F25" s="31" t="s">
        <v>427</v>
      </c>
      <c r="G25" s="31"/>
      <c r="H25" s="31"/>
    </row>
    <row r="26" customFormat="false" ht="49.5" hidden="false" customHeight="true" outlineLevel="0" collapsed="false">
      <c r="A26" s="31" t="n">
        <v>22</v>
      </c>
      <c r="B26" s="31" t="s">
        <v>424</v>
      </c>
      <c r="C26" s="31" t="s">
        <v>438</v>
      </c>
      <c r="D26" s="31" t="s">
        <v>439</v>
      </c>
      <c r="E26" s="31" t="s">
        <v>440</v>
      </c>
      <c r="F26" s="31" t="s">
        <v>441</v>
      </c>
      <c r="G26" s="31"/>
      <c r="H26" s="31"/>
    </row>
    <row r="27" customFormat="false" ht="49.5" hidden="false" customHeight="true" outlineLevel="0" collapsed="false">
      <c r="A27" s="31" t="n">
        <v>23</v>
      </c>
      <c r="B27" s="31" t="s">
        <v>424</v>
      </c>
      <c r="C27" s="31" t="s">
        <v>442</v>
      </c>
      <c r="D27" s="31" t="s">
        <v>443</v>
      </c>
      <c r="E27" s="31" t="s">
        <v>444</v>
      </c>
      <c r="F27" s="31" t="s">
        <v>445</v>
      </c>
      <c r="G27" s="31"/>
      <c r="H27" s="31"/>
    </row>
    <row r="28" customFormat="false" ht="49.5" hidden="false" customHeight="true" outlineLevel="0" collapsed="false">
      <c r="A28" s="31" t="n">
        <v>24</v>
      </c>
      <c r="B28" s="31" t="s">
        <v>424</v>
      </c>
      <c r="C28" s="31" t="s">
        <v>442</v>
      </c>
      <c r="D28" s="31" t="s">
        <v>446</v>
      </c>
      <c r="E28" s="31" t="s">
        <v>447</v>
      </c>
      <c r="F28" s="31" t="s">
        <v>445</v>
      </c>
      <c r="G28" s="31"/>
      <c r="H28" s="31"/>
    </row>
    <row r="29" customFormat="false" ht="49.5" hidden="false" customHeight="true" outlineLevel="0" collapsed="false">
      <c r="A29" s="31" t="n">
        <v>25</v>
      </c>
      <c r="B29" s="31" t="s">
        <v>424</v>
      </c>
      <c r="C29" s="31" t="s">
        <v>442</v>
      </c>
      <c r="D29" s="31" t="s">
        <v>448</v>
      </c>
      <c r="E29" s="31" t="s">
        <v>449</v>
      </c>
      <c r="F29" s="31" t="s">
        <v>445</v>
      </c>
      <c r="G29" s="31"/>
      <c r="H29" s="31"/>
    </row>
    <row r="30" customFormat="false" ht="49.5" hidden="false" customHeight="true" outlineLevel="0" collapsed="false">
      <c r="A30" s="31" t="n">
        <v>26</v>
      </c>
      <c r="B30" s="31" t="s">
        <v>424</v>
      </c>
      <c r="C30" s="31" t="s">
        <v>442</v>
      </c>
      <c r="D30" s="31" t="s">
        <v>450</v>
      </c>
      <c r="E30" s="31" t="s">
        <v>451</v>
      </c>
      <c r="F30" s="31" t="s">
        <v>445</v>
      </c>
      <c r="G30" s="31"/>
      <c r="H30" s="31"/>
    </row>
    <row r="31" customFormat="false" ht="49.5" hidden="false" customHeight="true" outlineLevel="0" collapsed="false">
      <c r="A31" s="31" t="n">
        <v>27</v>
      </c>
      <c r="B31" s="31" t="s">
        <v>424</v>
      </c>
      <c r="C31" s="31" t="s">
        <v>452</v>
      </c>
      <c r="D31" s="31" t="s">
        <v>453</v>
      </c>
      <c r="E31" s="31" t="s">
        <v>454</v>
      </c>
      <c r="F31" s="31" t="s">
        <v>455</v>
      </c>
      <c r="G31" s="31"/>
      <c r="H31" s="31"/>
    </row>
    <row r="32" customFormat="false" ht="49.5" hidden="false" customHeight="true" outlineLevel="0" collapsed="false">
      <c r="A32" s="31" t="n">
        <v>28</v>
      </c>
      <c r="B32" s="31" t="s">
        <v>424</v>
      </c>
      <c r="C32" s="31" t="s">
        <v>452</v>
      </c>
      <c r="D32" s="31" t="s">
        <v>456</v>
      </c>
      <c r="E32" s="31" t="s">
        <v>457</v>
      </c>
      <c r="F32" s="31" t="s">
        <v>455</v>
      </c>
      <c r="G32" s="31"/>
      <c r="H32" s="31"/>
    </row>
    <row r="33" customFormat="false" ht="49.5" hidden="false" customHeight="true" outlineLevel="0" collapsed="false">
      <c r="A33" s="31" t="n">
        <v>29</v>
      </c>
      <c r="B33" s="31" t="s">
        <v>424</v>
      </c>
      <c r="C33" s="31" t="s">
        <v>452</v>
      </c>
      <c r="D33" s="31" t="s">
        <v>458</v>
      </c>
      <c r="E33" s="31" t="s">
        <v>459</v>
      </c>
      <c r="F33" s="31" t="s">
        <v>455</v>
      </c>
      <c r="G33" s="31"/>
      <c r="H33" s="31"/>
    </row>
    <row r="34" customFormat="false" ht="49.5" hidden="false" customHeight="true" outlineLevel="0" collapsed="false">
      <c r="A34" s="31" t="n">
        <v>30</v>
      </c>
      <c r="B34" s="31" t="s">
        <v>460</v>
      </c>
      <c r="C34" s="31" t="s">
        <v>461</v>
      </c>
      <c r="D34" s="31" t="s">
        <v>462</v>
      </c>
      <c r="E34" s="31" t="s">
        <v>463</v>
      </c>
      <c r="F34" s="31" t="s">
        <v>464</v>
      </c>
      <c r="G34" s="31"/>
      <c r="H34" s="31"/>
    </row>
    <row r="35" customFormat="false" ht="49.5" hidden="false" customHeight="true" outlineLevel="0" collapsed="false">
      <c r="A35" s="31" t="n">
        <v>31</v>
      </c>
      <c r="B35" s="31" t="s">
        <v>460</v>
      </c>
      <c r="C35" s="31" t="s">
        <v>461</v>
      </c>
      <c r="D35" s="31" t="s">
        <v>465</v>
      </c>
      <c r="E35" s="31" t="s">
        <v>466</v>
      </c>
      <c r="F35" s="31" t="s">
        <v>464</v>
      </c>
      <c r="G35" s="31"/>
      <c r="H35" s="31"/>
    </row>
    <row r="36" customFormat="false" ht="49.5" hidden="false" customHeight="true" outlineLevel="0" collapsed="false">
      <c r="A36" s="31" t="n">
        <v>32</v>
      </c>
      <c r="B36" s="31" t="s">
        <v>460</v>
      </c>
      <c r="C36" s="31" t="s">
        <v>461</v>
      </c>
      <c r="D36" s="31" t="s">
        <v>467</v>
      </c>
      <c r="E36" s="31" t="s">
        <v>468</v>
      </c>
      <c r="F36" s="31" t="s">
        <v>464</v>
      </c>
      <c r="G36" s="31"/>
      <c r="H36" s="31"/>
    </row>
    <row r="37" customFormat="false" ht="49.5" hidden="false" customHeight="true" outlineLevel="0" collapsed="false">
      <c r="A37" s="31" t="n">
        <v>33</v>
      </c>
      <c r="B37" s="31" t="s">
        <v>460</v>
      </c>
      <c r="C37" s="31" t="s">
        <v>387</v>
      </c>
      <c r="D37" s="31" t="s">
        <v>469</v>
      </c>
      <c r="E37" s="31" t="s">
        <v>470</v>
      </c>
      <c r="F37" s="31" t="s">
        <v>471</v>
      </c>
      <c r="G37" s="31"/>
      <c r="H37" s="31"/>
    </row>
    <row r="38" customFormat="false" ht="49.5" hidden="false" customHeight="true" outlineLevel="0" collapsed="false">
      <c r="A38" s="31" t="n">
        <v>34</v>
      </c>
      <c r="B38" s="31" t="s">
        <v>460</v>
      </c>
      <c r="C38" s="31" t="s">
        <v>387</v>
      </c>
      <c r="D38" s="31" t="s">
        <v>472</v>
      </c>
      <c r="E38" s="31" t="s">
        <v>473</v>
      </c>
      <c r="F38" s="31" t="s">
        <v>474</v>
      </c>
      <c r="G38" s="31"/>
      <c r="H38" s="31"/>
    </row>
    <row r="39" customFormat="false" ht="49.5" hidden="false" customHeight="true" outlineLevel="0" collapsed="false">
      <c r="A39" s="31" t="n">
        <v>35</v>
      </c>
      <c r="B39" s="31" t="s">
        <v>460</v>
      </c>
      <c r="C39" s="31" t="s">
        <v>475</v>
      </c>
      <c r="D39" s="31" t="s">
        <v>476</v>
      </c>
      <c r="E39" s="31" t="s">
        <v>477</v>
      </c>
      <c r="F39" s="31" t="s">
        <v>478</v>
      </c>
      <c r="G39" s="31"/>
      <c r="H39" s="31"/>
    </row>
  </sheetData>
  <conditionalFormatting sqref="B5:B39">
    <cfRule type="cellIs" priority="2" operator="equal" aboveAverage="0" equalAverage="0" bottom="0" percent="0" rank="0" text="" dxfId="105">
      <formula>"P1"</formula>
    </cfRule>
    <cfRule type="cellIs" priority="3" operator="equal" aboveAverage="0" equalAverage="0" bottom="0" percent="0" rank="0" text="" dxfId="106">
      <formula>"P2"</formula>
    </cfRule>
    <cfRule type="cellIs" priority="4" operator="equal" aboveAverage="0" equalAverage="0" bottom="0" percent="0" rank="0" text="" dxfId="110">
      <formula>"P3"</formula>
    </cfRule>
  </conditionalFormatting>
  <dataValidations count="1">
    <dataValidation allowBlank="true" errorStyle="stop" operator="between" showDropDown="false" showErrorMessage="false" showInputMessage="false" sqref="H5:H39" type="list">
      <formula1>"To do,In progress,Done,Not an issue"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25" t="s">
        <v>479</v>
      </c>
    </row>
    <row r="3" customFormat="false" ht="30" hidden="false" customHeight="true" outlineLevel="0" collapsed="false">
      <c r="A3" s="44" t="s">
        <v>480</v>
      </c>
      <c r="B3" s="45" t="s">
        <v>481</v>
      </c>
    </row>
    <row r="4" customFormat="false" ht="30" hidden="false" customHeight="true" outlineLevel="0" collapsed="false">
      <c r="A4" s="44" t="s">
        <v>22</v>
      </c>
      <c r="B4" s="45" t="s">
        <v>482</v>
      </c>
    </row>
    <row r="5" customFormat="false" ht="30" hidden="false" customHeight="true" outlineLevel="0" collapsed="false">
      <c r="A5" s="44" t="s">
        <v>20</v>
      </c>
      <c r="B5" s="45" t="s">
        <v>483</v>
      </c>
    </row>
    <row r="6" customFormat="false" ht="30" hidden="false" customHeight="true" outlineLevel="0" collapsed="false">
      <c r="A6" s="44" t="s">
        <v>30</v>
      </c>
      <c r="B6" s="45" t="s">
        <v>484</v>
      </c>
    </row>
    <row r="7" customFormat="false" ht="30" hidden="false" customHeight="true" outlineLevel="0" collapsed="false">
      <c r="A7" s="44" t="s">
        <v>23</v>
      </c>
      <c r="B7" s="45" t="s">
        <v>485</v>
      </c>
    </row>
    <row r="8" customFormat="false" ht="30" hidden="false" customHeight="true" outlineLevel="0" collapsed="false">
      <c r="A8" s="44" t="s">
        <v>486</v>
      </c>
      <c r="B8" s="45" t="s">
        <v>487</v>
      </c>
    </row>
    <row r="9" customFormat="false" ht="45" hidden="false" customHeight="true" outlineLevel="0" collapsed="false">
      <c r="A9" s="44" t="s">
        <v>488</v>
      </c>
      <c r="B9" s="45" t="s">
        <v>489</v>
      </c>
    </row>
    <row r="10" customFormat="false" ht="45" hidden="false" customHeight="true" outlineLevel="0" collapsed="false">
      <c r="A10" s="44" t="s">
        <v>490</v>
      </c>
      <c r="B10" s="45" t="s">
        <v>491</v>
      </c>
    </row>
    <row r="11" customFormat="false" ht="45" hidden="false" customHeight="true" outlineLevel="0" collapsed="false">
      <c r="A11" s="44" t="s">
        <v>492</v>
      </c>
      <c r="B11" s="45" t="s">
        <v>493</v>
      </c>
    </row>
    <row r="12" customFormat="false" ht="30" hidden="false" customHeight="true" outlineLevel="0" collapsed="false">
      <c r="A12" s="44" t="s">
        <v>494</v>
      </c>
      <c r="B12" s="45" t="s">
        <v>495</v>
      </c>
    </row>
    <row r="13" customFormat="false" ht="30" hidden="false" customHeight="true" outlineLevel="0" collapsed="false">
      <c r="A13" s="44" t="s">
        <v>496</v>
      </c>
      <c r="B13" s="45" t="s">
        <v>497</v>
      </c>
    </row>
    <row r="14" customFormat="false" ht="30" hidden="false" customHeight="true" outlineLevel="0" collapsed="false">
      <c r="A14" s="44" t="s">
        <v>498</v>
      </c>
      <c r="B14" s="45" t="s">
        <v>499</v>
      </c>
    </row>
    <row r="15" customFormat="false" ht="45" hidden="false" customHeight="true" outlineLevel="0" collapsed="false">
      <c r="A15" s="44" t="s">
        <v>500</v>
      </c>
      <c r="B15" s="45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25" t="s">
        <v>502</v>
      </c>
    </row>
    <row r="2" customFormat="false" ht="15" hidden="false" customHeight="false" outlineLevel="0" collapsed="false">
      <c r="A2" s="24" t="s">
        <v>503</v>
      </c>
    </row>
    <row r="3" customFormat="false" ht="15" hidden="false" customHeight="false" outlineLevel="0" collapsed="false">
      <c r="A3" s="46" t="s">
        <v>504</v>
      </c>
      <c r="B3" s="47" t="n">
        <f aca="false">B19/B18</f>
        <v>0.0309861510798204</v>
      </c>
      <c r="C3" s="48" t="s">
        <v>505</v>
      </c>
    </row>
    <row r="4" customFormat="false" ht="15" hidden="false" customHeight="false" outlineLevel="0" collapsed="false">
      <c r="A4" s="46" t="s">
        <v>506</v>
      </c>
      <c r="B4" s="49" t="n">
        <v>30</v>
      </c>
      <c r="C4" s="48" t="s">
        <v>507</v>
      </c>
    </row>
    <row r="5" customFormat="false" ht="15" hidden="false" customHeight="false" outlineLevel="0" collapsed="false">
      <c r="A5" s="46" t="s">
        <v>508</v>
      </c>
      <c r="B5" s="49" t="n">
        <v>3</v>
      </c>
      <c r="C5" s="48" t="s">
        <v>509</v>
      </c>
    </row>
    <row r="6" customFormat="false" ht="22.35" hidden="false" customHeight="false" outlineLevel="0" collapsed="false">
      <c r="A6" s="46" t="s">
        <v>510</v>
      </c>
      <c r="B6" s="50" t="n">
        <v>3</v>
      </c>
      <c r="C6" s="48" t="s">
        <v>511</v>
      </c>
    </row>
    <row r="7" customFormat="false" ht="22.35" hidden="false" customHeight="false" outlineLevel="0" collapsed="false">
      <c r="A7" s="46" t="s">
        <v>512</v>
      </c>
      <c r="B7" s="49" t="n">
        <v>30</v>
      </c>
      <c r="C7" s="48" t="s">
        <v>513</v>
      </c>
    </row>
    <row r="8" customFormat="false" ht="15" hidden="false" customHeight="false" outlineLevel="0" collapsed="false">
      <c r="A8" s="46" t="s">
        <v>514</v>
      </c>
      <c r="B8" s="51" t="n">
        <v>1</v>
      </c>
      <c r="C8" s="48" t="s">
        <v>515</v>
      </c>
    </row>
    <row r="9" customFormat="false" ht="15" hidden="false" customHeight="false" outlineLevel="0" collapsed="false">
      <c r="A9" s="46" t="s">
        <v>516</v>
      </c>
      <c r="B9" s="51" t="n">
        <v>1</v>
      </c>
      <c r="C9" s="48"/>
    </row>
    <row r="10" customFormat="false" ht="15" hidden="false" customHeight="false" outlineLevel="0" collapsed="false">
      <c r="A10" s="46" t="s">
        <v>517</v>
      </c>
      <c r="B10" s="51" t="n">
        <v>1</v>
      </c>
      <c r="C10" s="48"/>
    </row>
    <row r="11" customFormat="false" ht="15" hidden="false" customHeight="false" outlineLevel="0" collapsed="false">
      <c r="A11" s="46" t="s">
        <v>518</v>
      </c>
      <c r="B11" s="49" t="n">
        <v>25</v>
      </c>
      <c r="C11" s="48" t="s">
        <v>509</v>
      </c>
    </row>
    <row r="12" customFormat="false" ht="15" hidden="false" customHeight="false" outlineLevel="0" collapsed="false">
      <c r="A12" s="46" t="s">
        <v>519</v>
      </c>
      <c r="B12" s="49" t="n">
        <v>100</v>
      </c>
      <c r="C12" s="48" t="s">
        <v>509</v>
      </c>
    </row>
    <row r="13" customFormat="false" ht="15" hidden="false" customHeight="false" outlineLevel="0" collapsed="false">
      <c r="A13" s="46" t="s">
        <v>520</v>
      </c>
      <c r="B13" s="52" t="n">
        <v>542319.62</v>
      </c>
      <c r="C13" s="48" t="s">
        <v>521</v>
      </c>
    </row>
    <row r="14" customFormat="false" ht="15" hidden="false" customHeight="false" outlineLevel="0" collapsed="false">
      <c r="A14" s="46" t="s">
        <v>522</v>
      </c>
      <c r="B14" s="52" t="n">
        <v>2385.2</v>
      </c>
      <c r="C14" s="48" t="s">
        <v>523</v>
      </c>
    </row>
    <row r="15" customFormat="false" ht="15" hidden="false" customHeight="false" outlineLevel="0" collapsed="false">
      <c r="A15" s="46" t="s">
        <v>524</v>
      </c>
      <c r="B15" s="52" t="n">
        <v>24637.84</v>
      </c>
      <c r="C15" s="48" t="s">
        <v>525</v>
      </c>
    </row>
    <row r="16" customFormat="false" ht="15" hidden="false" customHeight="false" outlineLevel="0" collapsed="false">
      <c r="A16" s="46" t="s">
        <v>526</v>
      </c>
      <c r="B16" s="53" t="n">
        <f aca="false">SUM('SKU Data'!$H$2:$H$1780)</f>
        <v>500368.66</v>
      </c>
      <c r="C16" s="48" t="s">
        <v>527</v>
      </c>
    </row>
    <row r="17" customFormat="false" ht="15" hidden="false" customHeight="false" outlineLevel="0" collapsed="false">
      <c r="A17" s="46" t="s">
        <v>528</v>
      </c>
      <c r="B17" s="53" t="n">
        <f aca="false">SUM('SKU Data'!$G$2:$G$1780)</f>
        <v>12856249.97</v>
      </c>
      <c r="C17" s="48" t="s">
        <v>527</v>
      </c>
    </row>
    <row r="18" customFormat="false" ht="15" hidden="false" customHeight="false" outlineLevel="0" collapsed="false">
      <c r="A18" s="46" t="s">
        <v>529</v>
      </c>
      <c r="B18" s="54" t="n">
        <f aca="false">SUM('SKU Data'!$E$2:$E$1780)</f>
        <v>263053</v>
      </c>
      <c r="C18" s="48" t="s">
        <v>527</v>
      </c>
    </row>
    <row r="19" customFormat="false" ht="15" hidden="false" customHeight="false" outlineLevel="0" collapsed="false">
      <c r="A19" s="46" t="s">
        <v>530</v>
      </c>
      <c r="B19" s="54" t="n">
        <f aca="false">SUM('SKU Data'!$F$2:$F$1780)</f>
        <v>8151</v>
      </c>
      <c r="C19" s="48" t="s">
        <v>527</v>
      </c>
    </row>
    <row r="20" customFormat="false" ht="15" hidden="false" customHeight="false" outlineLevel="0" collapsed="false">
      <c r="A20" s="46" t="s">
        <v>531</v>
      </c>
      <c r="B20" s="53" t="n">
        <f aca="false">B17+B15</f>
        <v>12880887.81</v>
      </c>
      <c r="C20" s="48" t="s">
        <v>532</v>
      </c>
    </row>
    <row r="21" customFormat="false" ht="15" hidden="false" customHeight="false" outlineLevel="0" collapsed="false">
      <c r="A21" s="46" t="s">
        <v>533</v>
      </c>
      <c r="B21" s="53" t="n">
        <f aca="false">B16+B14+B13</f>
        <v>1045073.48</v>
      </c>
      <c r="C21" s="48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E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25" t="s">
        <v>535</v>
      </c>
    </row>
    <row r="2" customFormat="false" ht="39.75" hidden="false" customHeight="true" outlineLevel="0" collapsed="false">
      <c r="A2" s="26" t="s">
        <v>536</v>
      </c>
      <c r="B2" s="26"/>
      <c r="C2" s="26"/>
      <c r="D2" s="26"/>
      <c r="E2" s="26"/>
    </row>
    <row r="3" customFormat="false" ht="19.5" hidden="false" customHeight="true" outlineLevel="0" collapsed="false">
      <c r="A3" s="17" t="s">
        <v>537</v>
      </c>
      <c r="B3" s="17" t="s">
        <v>538</v>
      </c>
      <c r="C3" s="17" t="s">
        <v>46</v>
      </c>
      <c r="D3" s="17" t="s">
        <v>539</v>
      </c>
      <c r="E3" s="17" t="s">
        <v>540</v>
      </c>
    </row>
    <row r="4" customFormat="false" ht="15" hidden="false" customHeight="false" outlineLevel="0" collapsed="false">
      <c r="A4" s="46" t="s">
        <v>51</v>
      </c>
      <c r="B4" s="55" t="s">
        <v>51</v>
      </c>
      <c r="C4" s="46" t="n">
        <f aca="false">COUNTIF('SKU Data'!$C$2:$C$1780,A4)</f>
        <v>663</v>
      </c>
      <c r="D4" s="46" t="s">
        <v>200</v>
      </c>
      <c r="E4" s="46" t="s">
        <v>541</v>
      </c>
    </row>
    <row r="5" customFormat="false" ht="15" hidden="false" customHeight="false" outlineLevel="0" collapsed="false">
      <c r="A5" s="46" t="s">
        <v>55</v>
      </c>
      <c r="B5" s="55" t="s">
        <v>55</v>
      </c>
      <c r="C5" s="46" t="n">
        <f aca="false">COUNTIF('SKU Data'!$C$2:$C$1780,A5)</f>
        <v>179</v>
      </c>
      <c r="D5" s="46" t="s">
        <v>219</v>
      </c>
      <c r="E5" s="46" t="s">
        <v>369</v>
      </c>
    </row>
    <row r="6" customFormat="false" ht="15" hidden="false" customHeight="false" outlineLevel="0" collapsed="false">
      <c r="A6" s="46" t="s">
        <v>67</v>
      </c>
      <c r="B6" s="55" t="s">
        <v>67</v>
      </c>
      <c r="C6" s="46" t="n">
        <f aca="false">COUNTIF('SKU Data'!$C$2:$C$1780,A6)</f>
        <v>36</v>
      </c>
      <c r="D6" s="46" t="s">
        <v>272</v>
      </c>
      <c r="E6" s="46" t="s">
        <v>542</v>
      </c>
    </row>
    <row r="7" customFormat="false" ht="15" hidden="false" customHeight="false" outlineLevel="0" collapsed="false">
      <c r="A7" s="46" t="s">
        <v>59</v>
      </c>
      <c r="B7" s="55" t="s">
        <v>59</v>
      </c>
      <c r="C7" s="46" t="n">
        <f aca="false">COUNTIF('SKU Data'!$C$2:$C$1780,A7)</f>
        <v>17</v>
      </c>
      <c r="D7" s="46" t="s">
        <v>238</v>
      </c>
      <c r="E7" s="46" t="s">
        <v>543</v>
      </c>
    </row>
    <row r="8" customFormat="false" ht="15" hidden="false" customHeight="false" outlineLevel="0" collapsed="false">
      <c r="A8" s="46" t="s">
        <v>63</v>
      </c>
      <c r="B8" s="55" t="s">
        <v>63</v>
      </c>
      <c r="C8" s="46" t="n">
        <f aca="false">COUNTIF('SKU Data'!$C$2:$C$1780,A8)</f>
        <v>10</v>
      </c>
      <c r="D8" s="46" t="s">
        <v>257</v>
      </c>
      <c r="E8" s="46" t="s">
        <v>371</v>
      </c>
    </row>
    <row r="9" customFormat="false" ht="15" hidden="false" customHeight="false" outlineLevel="0" collapsed="false">
      <c r="A9" s="46" t="s">
        <v>75</v>
      </c>
      <c r="B9" s="55" t="s">
        <v>75</v>
      </c>
      <c r="C9" s="46" t="n">
        <f aca="false">COUNTIF('SKU Data'!$C$2:$C$1780,A9)</f>
        <v>40</v>
      </c>
      <c r="D9" s="46" t="s">
        <v>309</v>
      </c>
      <c r="E9" s="46" t="s">
        <v>544</v>
      </c>
    </row>
    <row r="10" customFormat="false" ht="15" hidden="false" customHeight="false" outlineLevel="0" collapsed="false">
      <c r="A10" s="46" t="s">
        <v>71</v>
      </c>
      <c r="B10" s="55" t="s">
        <v>71</v>
      </c>
      <c r="C10" s="46" t="n">
        <f aca="false">COUNTIF('SKU Data'!$C$2:$C$1780,A10)</f>
        <v>35</v>
      </c>
      <c r="D10" s="46" t="s">
        <v>290</v>
      </c>
      <c r="E10" s="46" t="s">
        <v>545</v>
      </c>
    </row>
    <row r="11" customFormat="false" ht="15" hidden="false" customHeight="false" outlineLevel="0" collapsed="false">
      <c r="A11" s="46" t="s">
        <v>79</v>
      </c>
      <c r="B11" s="55" t="s">
        <v>79</v>
      </c>
      <c r="C11" s="46" t="n">
        <f aca="false">COUNTIF('SKU Data'!$C$2:$C$1780,A11)</f>
        <v>5</v>
      </c>
      <c r="D11" s="46" t="s">
        <v>328</v>
      </c>
      <c r="E11" s="46" t="s">
        <v>546</v>
      </c>
    </row>
    <row r="12" customFormat="false" ht="15" hidden="false" customHeight="false" outlineLevel="0" collapsed="false">
      <c r="A12" s="46" t="s">
        <v>83</v>
      </c>
      <c r="B12" s="55" t="s">
        <v>83</v>
      </c>
      <c r="C12" s="46" t="n">
        <f aca="false">COUNTIF('SKU Data'!$C$2:$C$1780,A12)</f>
        <v>6</v>
      </c>
      <c r="D12" s="46" t="s">
        <v>547</v>
      </c>
      <c r="E12" s="46" t="s">
        <v>548</v>
      </c>
    </row>
    <row r="13" customFormat="false" ht="15" hidden="false" customHeight="false" outlineLevel="0" collapsed="false">
      <c r="A13" s="46" t="s">
        <v>103</v>
      </c>
      <c r="B13" s="55" t="s">
        <v>103</v>
      </c>
      <c r="C13" s="46" t="n">
        <f aca="false">COUNTIF('SKU Data'!$C$2:$C$1780,A13)</f>
        <v>1</v>
      </c>
      <c r="D13" s="46" t="s">
        <v>549</v>
      </c>
      <c r="E13" s="46" t="s">
        <v>550</v>
      </c>
    </row>
    <row r="14" customFormat="false" ht="15" hidden="false" customHeight="false" outlineLevel="0" collapsed="false">
      <c r="A14" s="46" t="s">
        <v>107</v>
      </c>
      <c r="B14" s="55" t="s">
        <v>107</v>
      </c>
      <c r="C14" s="46" t="n">
        <f aca="false">COUNTIF('SKU Data'!$C$2:$C$1780,A14)</f>
        <v>8</v>
      </c>
      <c r="D14" s="46" t="s">
        <v>374</v>
      </c>
      <c r="E14" s="46" t="s">
        <v>372</v>
      </c>
    </row>
    <row r="15" customFormat="false" ht="15" hidden="false" customHeight="false" outlineLevel="0" collapsed="false">
      <c r="A15" s="46" t="s">
        <v>87</v>
      </c>
      <c r="B15" s="55" t="s">
        <v>87</v>
      </c>
      <c r="C15" s="46" t="n">
        <f aca="false">COUNTIF('SKU Data'!$C$2:$C$1780,A15)</f>
        <v>257</v>
      </c>
      <c r="D15" s="46" t="s">
        <v>551</v>
      </c>
      <c r="E15" s="46" t="s">
        <v>552</v>
      </c>
    </row>
    <row r="16" customFormat="false" ht="15" hidden="false" customHeight="false" outlineLevel="0" collapsed="false">
      <c r="A16" s="46" t="s">
        <v>91</v>
      </c>
      <c r="B16" s="55" t="s">
        <v>91</v>
      </c>
      <c r="C16" s="46" t="n">
        <f aca="false">COUNTIF('SKU Data'!$C$2:$C$1780,A16)</f>
        <v>8</v>
      </c>
      <c r="D16" s="46" t="s">
        <v>553</v>
      </c>
      <c r="E16" s="46" t="s">
        <v>554</v>
      </c>
    </row>
    <row r="17" customFormat="false" ht="15" hidden="false" customHeight="false" outlineLevel="0" collapsed="false">
      <c r="A17" s="46" t="s">
        <v>99</v>
      </c>
      <c r="B17" s="55" t="s">
        <v>99</v>
      </c>
      <c r="C17" s="46" t="n">
        <f aca="false">COUNTIF('SKU Data'!$C$2:$C$1780,A17)</f>
        <v>10</v>
      </c>
      <c r="D17" s="46" t="s">
        <v>555</v>
      </c>
      <c r="E17" s="46" t="s">
        <v>556</v>
      </c>
    </row>
    <row r="18" customFormat="false" ht="15" hidden="false" customHeight="false" outlineLevel="0" collapsed="false">
      <c r="A18" s="46" t="s">
        <v>148</v>
      </c>
      <c r="B18" s="55" t="s">
        <v>148</v>
      </c>
      <c r="C18" s="46" t="n">
        <f aca="false">COUNTIF('SKU Data'!$C$2:$C$1780,A18)</f>
        <v>15</v>
      </c>
      <c r="D18" s="46" t="s">
        <v>557</v>
      </c>
      <c r="E18" s="46" t="s">
        <v>558</v>
      </c>
    </row>
    <row r="19" customFormat="false" ht="15" hidden="false" customHeight="false" outlineLevel="0" collapsed="false">
      <c r="A19" s="46" t="s">
        <v>111</v>
      </c>
      <c r="B19" s="55" t="s">
        <v>111</v>
      </c>
      <c r="C19" s="46" t="n">
        <f aca="false">COUNTIF('SKU Data'!$C$2:$C$1780,A19)</f>
        <v>21</v>
      </c>
      <c r="D19" s="46" t="s">
        <v>559</v>
      </c>
      <c r="E19" s="46" t="s">
        <v>560</v>
      </c>
    </row>
    <row r="20" customFormat="false" ht="15" hidden="false" customHeight="false" outlineLevel="0" collapsed="false">
      <c r="A20" s="46" t="s">
        <v>114</v>
      </c>
      <c r="B20" s="55" t="s">
        <v>114</v>
      </c>
      <c r="C20" s="46" t="n">
        <f aca="false">COUNTIF('SKU Data'!$C$2:$C$1780,A20)</f>
        <v>11</v>
      </c>
      <c r="D20" s="46" t="s">
        <v>561</v>
      </c>
      <c r="E20" s="46" t="s">
        <v>562</v>
      </c>
    </row>
    <row r="21" customFormat="false" ht="15" hidden="false" customHeight="false" outlineLevel="0" collapsed="false">
      <c r="A21" s="46" t="s">
        <v>117</v>
      </c>
      <c r="B21" s="55" t="s">
        <v>117</v>
      </c>
      <c r="C21" s="46" t="n">
        <f aca="false">COUNTIF('SKU Data'!$C$2:$C$1780,A21)</f>
        <v>19</v>
      </c>
      <c r="D21" s="46" t="s">
        <v>563</v>
      </c>
      <c r="E21" s="46" t="s">
        <v>564</v>
      </c>
    </row>
    <row r="22" customFormat="false" ht="15" hidden="false" customHeight="false" outlineLevel="0" collapsed="false">
      <c r="A22" s="46" t="s">
        <v>129</v>
      </c>
      <c r="B22" s="55" t="s">
        <v>129</v>
      </c>
      <c r="C22" s="46" t="n">
        <f aca="false">COUNTIF('SKU Data'!$C$2:$C$1780,A22)</f>
        <v>25</v>
      </c>
      <c r="D22" s="46" t="s">
        <v>565</v>
      </c>
      <c r="E22" s="46" t="s">
        <v>566</v>
      </c>
    </row>
    <row r="23" customFormat="false" ht="15" hidden="false" customHeight="false" outlineLevel="0" collapsed="false">
      <c r="A23" s="46" t="s">
        <v>139</v>
      </c>
      <c r="B23" s="55" t="s">
        <v>139</v>
      </c>
      <c r="C23" s="46" t="n">
        <f aca="false">COUNTIF('SKU Data'!$C$2:$C$1780,A23)</f>
        <v>11</v>
      </c>
      <c r="D23" s="46" t="s">
        <v>567</v>
      </c>
      <c r="E23" s="46" t="s">
        <v>568</v>
      </c>
    </row>
    <row r="24" customFormat="false" ht="15" hidden="false" customHeight="false" outlineLevel="0" collapsed="false">
      <c r="A24" s="46" t="s">
        <v>145</v>
      </c>
      <c r="B24" s="55" t="s">
        <v>145</v>
      </c>
      <c r="C24" s="46" t="n">
        <f aca="false">COUNTIF('SKU Data'!$C$2:$C$1780,A24)</f>
        <v>6</v>
      </c>
      <c r="D24" s="46" t="s">
        <v>569</v>
      </c>
      <c r="E24" s="46" t="s">
        <v>570</v>
      </c>
    </row>
    <row r="25" customFormat="false" ht="15" hidden="false" customHeight="false" outlineLevel="0" collapsed="false">
      <c r="A25" s="46" t="s">
        <v>121</v>
      </c>
      <c r="B25" s="55" t="s">
        <v>121</v>
      </c>
      <c r="C25" s="46" t="n">
        <f aca="false">COUNTIF('SKU Data'!$C$2:$C$1780,A25)</f>
        <v>8</v>
      </c>
      <c r="D25" s="46" t="s">
        <v>571</v>
      </c>
      <c r="E25" s="46" t="s">
        <v>572</v>
      </c>
    </row>
    <row r="26" customFormat="false" ht="15" hidden="false" customHeight="false" outlineLevel="0" collapsed="false">
      <c r="A26" s="46" t="s">
        <v>125</v>
      </c>
      <c r="B26" s="55" t="s">
        <v>125</v>
      </c>
      <c r="C26" s="46" t="n">
        <f aca="false">COUNTIF('SKU Data'!$C$2:$C$1780,A26)</f>
        <v>8</v>
      </c>
      <c r="D26" s="46" t="s">
        <v>573</v>
      </c>
      <c r="E26" s="46" t="s">
        <v>574</v>
      </c>
    </row>
    <row r="27" customFormat="false" ht="15" hidden="false" customHeight="false" outlineLevel="0" collapsed="false">
      <c r="A27" s="46" t="s">
        <v>162</v>
      </c>
      <c r="B27" s="55" t="s">
        <v>162</v>
      </c>
      <c r="C27" s="46" t="n">
        <f aca="false">COUNTIF('SKU Data'!$C$2:$C$1780,A27)</f>
        <v>42</v>
      </c>
      <c r="D27" s="46" t="s">
        <v>575</v>
      </c>
      <c r="E27" s="46" t="s">
        <v>576</v>
      </c>
    </row>
    <row r="28" customFormat="false" ht="15" hidden="false" customHeight="false" outlineLevel="0" collapsed="false">
      <c r="A28" s="46" t="s">
        <v>577</v>
      </c>
      <c r="B28" s="55" t="s">
        <v>189</v>
      </c>
      <c r="C28" s="46" t="n">
        <f aca="false">COUNTIF('SKU Data'!$C$2:$C$1780,A28)</f>
        <v>2</v>
      </c>
      <c r="D28" s="46" t="s">
        <v>578</v>
      </c>
      <c r="E28" s="46" t="s">
        <v>579</v>
      </c>
    </row>
    <row r="29" customFormat="false" ht="15" hidden="false" customHeight="false" outlineLevel="0" collapsed="false">
      <c r="A29" s="46" t="s">
        <v>168</v>
      </c>
      <c r="B29" s="55" t="s">
        <v>168</v>
      </c>
      <c r="C29" s="46" t="n">
        <f aca="false">COUNTIF('SKU Data'!$C$2:$C$1780,A29)</f>
        <v>8</v>
      </c>
      <c r="D29" s="46" t="s">
        <v>580</v>
      </c>
      <c r="E29" s="46" t="s">
        <v>581</v>
      </c>
    </row>
    <row r="30" customFormat="false" ht="15" hidden="false" customHeight="false" outlineLevel="0" collapsed="false">
      <c r="A30" s="46" t="s">
        <v>142</v>
      </c>
      <c r="B30" s="55" t="s">
        <v>142</v>
      </c>
      <c r="C30" s="46" t="n">
        <f aca="false">COUNTIF('SKU Data'!$C$2:$C$1780,A30)</f>
        <v>5</v>
      </c>
      <c r="D30" s="46" t="s">
        <v>582</v>
      </c>
      <c r="E30" s="46" t="s">
        <v>583</v>
      </c>
    </row>
    <row r="31" customFormat="false" ht="15" hidden="false" customHeight="false" outlineLevel="0" collapsed="false">
      <c r="A31" s="46" t="s">
        <v>174</v>
      </c>
      <c r="B31" s="55" t="s">
        <v>174</v>
      </c>
      <c r="C31" s="46" t="n">
        <f aca="false">COUNTIF('SKU Data'!$C$2:$C$1780,A31)</f>
        <v>12</v>
      </c>
      <c r="D31" s="46" t="s">
        <v>584</v>
      </c>
      <c r="E31" s="46" t="s">
        <v>585</v>
      </c>
    </row>
    <row r="32" customFormat="false" ht="15" hidden="false" customHeight="false" outlineLevel="0" collapsed="false">
      <c r="A32" s="46" t="s">
        <v>151</v>
      </c>
      <c r="B32" s="55" t="s">
        <v>151</v>
      </c>
      <c r="C32" s="46" t="n">
        <f aca="false">COUNTIF('SKU Data'!$C$2:$C$1780,A32)</f>
        <v>13</v>
      </c>
      <c r="D32" s="46" t="s">
        <v>586</v>
      </c>
      <c r="E32" s="46" t="s">
        <v>587</v>
      </c>
    </row>
    <row r="33" customFormat="false" ht="15" hidden="false" customHeight="false" outlineLevel="0" collapsed="false">
      <c r="A33" s="46" t="s">
        <v>171</v>
      </c>
      <c r="B33" s="55" t="s">
        <v>171</v>
      </c>
      <c r="C33" s="46" t="n">
        <f aca="false">COUNTIF('SKU Data'!$C$2:$C$1780,A33)</f>
        <v>2</v>
      </c>
      <c r="D33" s="46" t="s">
        <v>588</v>
      </c>
      <c r="E33" s="46" t="s">
        <v>589</v>
      </c>
    </row>
    <row r="34" customFormat="false" ht="15" hidden="false" customHeight="false" outlineLevel="0" collapsed="false">
      <c r="A34" s="46" t="s">
        <v>132</v>
      </c>
      <c r="B34" s="55" t="s">
        <v>132</v>
      </c>
      <c r="C34" s="46" t="n">
        <f aca="false">COUNTIF('SKU Data'!$C$2:$C$1780,A34)</f>
        <v>12</v>
      </c>
      <c r="D34" s="46" t="s">
        <v>590</v>
      </c>
      <c r="E34" s="46" t="s">
        <v>591</v>
      </c>
    </row>
    <row r="35" customFormat="false" ht="15" hidden="false" customHeight="false" outlineLevel="0" collapsed="false">
      <c r="A35" s="46" t="s">
        <v>136</v>
      </c>
      <c r="B35" s="55" t="s">
        <v>136</v>
      </c>
      <c r="C35" s="46" t="n">
        <f aca="false">COUNTIF('SKU Data'!$C$2:$C$1780,A35)</f>
        <v>3</v>
      </c>
      <c r="D35" s="46" t="s">
        <v>592</v>
      </c>
      <c r="E35" s="46" t="s">
        <v>593</v>
      </c>
    </row>
    <row r="36" customFormat="false" ht="15" hidden="false" customHeight="false" outlineLevel="0" collapsed="false">
      <c r="A36" s="46" t="s">
        <v>183</v>
      </c>
      <c r="B36" s="55" t="s">
        <v>183</v>
      </c>
      <c r="C36" s="46" t="n">
        <f aca="false">COUNTIF('SKU Data'!$C$2:$C$1780,A36)</f>
        <v>4</v>
      </c>
      <c r="D36" s="46" t="s">
        <v>594</v>
      </c>
      <c r="E36" s="46" t="s">
        <v>595</v>
      </c>
    </row>
    <row r="37" customFormat="false" ht="15" hidden="false" customHeight="false" outlineLevel="0" collapsed="false">
      <c r="A37" s="46" t="s">
        <v>180</v>
      </c>
      <c r="B37" s="55" t="s">
        <v>180</v>
      </c>
      <c r="C37" s="46" t="n">
        <f aca="false">COUNTIF('SKU Data'!$C$2:$C$1780,A37)</f>
        <v>14</v>
      </c>
      <c r="D37" s="46" t="s">
        <v>596</v>
      </c>
      <c r="E37" s="46" t="s">
        <v>597</v>
      </c>
    </row>
    <row r="38" customFormat="false" ht="15" hidden="false" customHeight="false" outlineLevel="0" collapsed="false">
      <c r="A38" s="46" t="s">
        <v>158</v>
      </c>
      <c r="B38" s="55" t="s">
        <v>158</v>
      </c>
      <c r="C38" s="46" t="n">
        <f aca="false">COUNTIF('SKU Data'!$C$2:$C$1780,A38)</f>
        <v>2</v>
      </c>
      <c r="D38" s="46" t="s">
        <v>598</v>
      </c>
      <c r="E38" s="46" t="s">
        <v>599</v>
      </c>
    </row>
    <row r="39" customFormat="false" ht="15" hidden="false" customHeight="false" outlineLevel="0" collapsed="false">
      <c r="A39" s="46" t="s">
        <v>154</v>
      </c>
      <c r="B39" s="55" t="s">
        <v>154</v>
      </c>
      <c r="C39" s="46" t="n">
        <f aca="false">COUNTIF('SKU Data'!$C$2:$C$1780,A39)</f>
        <v>4</v>
      </c>
      <c r="D39" s="46" t="s">
        <v>600</v>
      </c>
      <c r="E39" s="46" t="s">
        <v>601</v>
      </c>
    </row>
    <row r="40" customFormat="false" ht="15" hidden="false" customHeight="false" outlineLevel="0" collapsed="false">
      <c r="A40" s="46" t="s">
        <v>186</v>
      </c>
      <c r="B40" s="55" t="s">
        <v>186</v>
      </c>
      <c r="C40" s="46" t="n">
        <f aca="false">COUNTIF('SKU Data'!$C$2:$C$1780,A40)</f>
        <v>11</v>
      </c>
      <c r="D40" s="46" t="s">
        <v>602</v>
      </c>
      <c r="E40" s="46" t="s">
        <v>603</v>
      </c>
    </row>
    <row r="41" customFormat="false" ht="15" hidden="false" customHeight="false" outlineLevel="0" collapsed="false">
      <c r="A41" s="46" t="s">
        <v>177</v>
      </c>
      <c r="B41" s="55" t="s">
        <v>177</v>
      </c>
      <c r="C41" s="46" t="n">
        <f aca="false">COUNTIF('SKU Data'!$C$2:$C$1780,A41)</f>
        <v>4</v>
      </c>
      <c r="D41" s="46" t="s">
        <v>604</v>
      </c>
      <c r="E41" s="46" t="s">
        <v>605</v>
      </c>
    </row>
    <row r="42" customFormat="false" ht="15" hidden="false" customHeight="false" outlineLevel="0" collapsed="false">
      <c r="A42" s="46" t="s">
        <v>165</v>
      </c>
      <c r="B42" s="55" t="s">
        <v>165</v>
      </c>
      <c r="C42" s="46" t="n">
        <f aca="false">COUNTIF('SKU Data'!$C$2:$C$1780,A42)</f>
        <v>4</v>
      </c>
      <c r="D42" s="46" t="s">
        <v>606</v>
      </c>
      <c r="E42" s="46" t="s">
        <v>607</v>
      </c>
    </row>
    <row r="43" customFormat="false" ht="15" hidden="false" customHeight="false" outlineLevel="0" collapsed="false">
      <c r="A43" s="46" t="s">
        <v>608</v>
      </c>
      <c r="B43" s="55" t="s">
        <v>95</v>
      </c>
      <c r="C43" s="46" t="n">
        <f aca="false">COUNTIF('SKU Data'!$C$2:$C$1780,A43)</f>
        <v>5</v>
      </c>
      <c r="D43" s="46" t="s">
        <v>609</v>
      </c>
      <c r="E43" s="46" t="s">
        <v>610</v>
      </c>
    </row>
    <row r="44" customFormat="false" ht="15" hidden="false" customHeight="false" outlineLevel="0" collapsed="false">
      <c r="A44" s="46" t="s">
        <v>611</v>
      </c>
      <c r="B44" s="55" t="s">
        <v>95</v>
      </c>
      <c r="C44" s="46" t="n">
        <f aca="false">COUNTIF('SKU Data'!$C$2:$C$1780,A44)</f>
        <v>4</v>
      </c>
      <c r="D44" s="46" t="s">
        <v>612</v>
      </c>
      <c r="E44" s="46" t="s">
        <v>613</v>
      </c>
    </row>
    <row r="45" customFormat="false" ht="15" hidden="false" customHeight="false" outlineLevel="0" collapsed="false">
      <c r="A45" s="46" t="s">
        <v>614</v>
      </c>
      <c r="B45" s="55" t="s">
        <v>95</v>
      </c>
      <c r="C45" s="46" t="n">
        <f aca="false">COUNTIF('SKU Data'!$C$2:$C$1780,A45)</f>
        <v>1</v>
      </c>
      <c r="D45" s="46" t="s">
        <v>615</v>
      </c>
      <c r="E45" s="46" t="s">
        <v>616</v>
      </c>
    </row>
    <row r="46" customFormat="false" ht="15" hidden="false" customHeight="false" outlineLevel="0" collapsed="false">
      <c r="A46" s="46" t="s">
        <v>617</v>
      </c>
      <c r="B46" s="55" t="s">
        <v>95</v>
      </c>
      <c r="C46" s="46" t="n">
        <f aca="false">COUNTIF('SKU Data'!$C$2:$C$1780,A46)</f>
        <v>7</v>
      </c>
      <c r="D46" s="46" t="s">
        <v>618</v>
      </c>
      <c r="E46" s="46" t="s">
        <v>619</v>
      </c>
    </row>
    <row r="47" customFormat="false" ht="15" hidden="false" customHeight="false" outlineLevel="0" collapsed="false">
      <c r="A47" s="46" t="s">
        <v>620</v>
      </c>
      <c r="B47" s="55" t="s">
        <v>95</v>
      </c>
      <c r="C47" s="46" t="n">
        <f aca="false">COUNTIF('SKU Data'!$C$2:$C$1780,A47)</f>
        <v>1</v>
      </c>
      <c r="D47" s="46" t="s">
        <v>621</v>
      </c>
      <c r="E47" s="46" t="s">
        <v>622</v>
      </c>
    </row>
    <row r="48" customFormat="false" ht="15" hidden="false" customHeight="false" outlineLevel="0" collapsed="false">
      <c r="A48" s="46" t="s">
        <v>623</v>
      </c>
      <c r="B48" s="55" t="s">
        <v>95</v>
      </c>
      <c r="C48" s="46" t="n">
        <f aca="false">COUNTIF('SKU Data'!$C$2:$C$1780,A48)</f>
        <v>4</v>
      </c>
      <c r="D48" s="46" t="s">
        <v>624</v>
      </c>
      <c r="E48" s="46" t="s">
        <v>625</v>
      </c>
    </row>
    <row r="49" customFormat="false" ht="15" hidden="false" customHeight="false" outlineLevel="0" collapsed="false">
      <c r="A49" s="46" t="s">
        <v>626</v>
      </c>
      <c r="B49" s="55" t="s">
        <v>95</v>
      </c>
      <c r="C49" s="46" t="n">
        <f aca="false">COUNTIF('SKU Data'!$C$2:$C$1780,A49)</f>
        <v>7</v>
      </c>
      <c r="D49" s="46" t="s">
        <v>627</v>
      </c>
      <c r="E49" s="46" t="s">
        <v>628</v>
      </c>
    </row>
    <row r="50" customFormat="false" ht="15" hidden="false" customHeight="false" outlineLevel="0" collapsed="false">
      <c r="A50" s="46" t="s">
        <v>629</v>
      </c>
      <c r="B50" s="55" t="s">
        <v>95</v>
      </c>
      <c r="C50" s="46" t="n">
        <f aca="false">COUNTIF('SKU Data'!$C$2:$C$1780,A50)</f>
        <v>8</v>
      </c>
      <c r="D50" s="46" t="s">
        <v>630</v>
      </c>
      <c r="E50" s="46" t="s">
        <v>631</v>
      </c>
    </row>
    <row r="51" customFormat="false" ht="15" hidden="false" customHeight="false" outlineLevel="0" collapsed="false">
      <c r="A51" s="46" t="s">
        <v>632</v>
      </c>
      <c r="B51" s="55" t="s">
        <v>95</v>
      </c>
      <c r="C51" s="46" t="n">
        <f aca="false">COUNTIF('SKU Data'!$C$2:$C$1780,A51)</f>
        <v>1</v>
      </c>
      <c r="D51" s="46" t="s">
        <v>633</v>
      </c>
      <c r="E51" s="46" t="s">
        <v>634</v>
      </c>
    </row>
    <row r="52" customFormat="false" ht="15" hidden="false" customHeight="false" outlineLevel="0" collapsed="false">
      <c r="A52" s="46" t="s">
        <v>635</v>
      </c>
      <c r="B52" s="55" t="s">
        <v>95</v>
      </c>
      <c r="C52" s="46" t="n">
        <f aca="false">COUNTIF('SKU Data'!$C$2:$C$1780,A52)</f>
        <v>2</v>
      </c>
      <c r="D52" s="46" t="s">
        <v>636</v>
      </c>
      <c r="E52" s="46" t="s">
        <v>637</v>
      </c>
    </row>
    <row r="53" customFormat="false" ht="15" hidden="false" customHeight="false" outlineLevel="0" collapsed="false">
      <c r="A53" s="46" t="s">
        <v>638</v>
      </c>
      <c r="B53" s="55" t="s">
        <v>95</v>
      </c>
      <c r="C53" s="46" t="n">
        <f aca="false">COUNTIF('SKU Data'!$C$2:$C$1780,A53)</f>
        <v>9</v>
      </c>
      <c r="D53" s="46" t="s">
        <v>639</v>
      </c>
      <c r="E53" s="46" t="s">
        <v>640</v>
      </c>
    </row>
    <row r="54" customFormat="false" ht="15" hidden="false" customHeight="false" outlineLevel="0" collapsed="false">
      <c r="A54" s="46" t="s">
        <v>641</v>
      </c>
      <c r="B54" s="55" t="s">
        <v>95</v>
      </c>
      <c r="C54" s="46" t="n">
        <f aca="false">COUNTIF('SKU Data'!$C$2:$C$1780,A54)</f>
        <v>3</v>
      </c>
      <c r="D54" s="46" t="s">
        <v>642</v>
      </c>
      <c r="E54" s="46" t="s">
        <v>643</v>
      </c>
    </row>
    <row r="55" customFormat="false" ht="15" hidden="false" customHeight="false" outlineLevel="0" collapsed="false">
      <c r="A55" s="46" t="s">
        <v>644</v>
      </c>
      <c r="B55" s="55" t="s">
        <v>95</v>
      </c>
      <c r="C55" s="46" t="n">
        <f aca="false">COUNTIF('SKU Data'!$C$2:$C$1780,A55)</f>
        <v>5</v>
      </c>
      <c r="D55" s="46" t="s">
        <v>645</v>
      </c>
      <c r="E55" s="46" t="s">
        <v>646</v>
      </c>
    </row>
    <row r="56" customFormat="false" ht="15" hidden="false" customHeight="false" outlineLevel="0" collapsed="false">
      <c r="A56" s="46" t="s">
        <v>647</v>
      </c>
      <c r="B56" s="55" t="s">
        <v>95</v>
      </c>
      <c r="C56" s="46" t="n">
        <f aca="false">COUNTIF('SKU Data'!$C$2:$C$1780,A56)</f>
        <v>3</v>
      </c>
      <c r="D56" s="46" t="s">
        <v>648</v>
      </c>
      <c r="E56" s="46" t="s">
        <v>649</v>
      </c>
    </row>
    <row r="57" customFormat="false" ht="15" hidden="false" customHeight="false" outlineLevel="0" collapsed="false">
      <c r="A57" s="46" t="s">
        <v>650</v>
      </c>
      <c r="B57" s="55" t="s">
        <v>95</v>
      </c>
      <c r="C57" s="46" t="n">
        <f aca="false">COUNTIF('SKU Data'!$C$2:$C$1780,A57)</f>
        <v>4</v>
      </c>
      <c r="D57" s="46" t="s">
        <v>651</v>
      </c>
      <c r="E57" s="46" t="s">
        <v>652</v>
      </c>
    </row>
    <row r="58" customFormat="false" ht="15" hidden="false" customHeight="false" outlineLevel="0" collapsed="false">
      <c r="A58" s="46" t="s">
        <v>653</v>
      </c>
      <c r="B58" s="55" t="s">
        <v>95</v>
      </c>
      <c r="C58" s="46" t="n">
        <f aca="false">COUNTIF('SKU Data'!$C$2:$C$1780,A58)</f>
        <v>4</v>
      </c>
      <c r="D58" s="46" t="s">
        <v>654</v>
      </c>
      <c r="E58" s="46" t="s">
        <v>655</v>
      </c>
    </row>
    <row r="59" customFormat="false" ht="15" hidden="false" customHeight="false" outlineLevel="0" collapsed="false">
      <c r="A59" s="46" t="s">
        <v>656</v>
      </c>
      <c r="B59" s="55" t="s">
        <v>95</v>
      </c>
      <c r="C59" s="46" t="n">
        <f aca="false">COUNTIF('SKU Data'!$C$2:$C$1780,A59)</f>
        <v>12</v>
      </c>
      <c r="D59" s="46" t="s">
        <v>657</v>
      </c>
      <c r="E59" s="46" t="s">
        <v>658</v>
      </c>
    </row>
    <row r="60" customFormat="false" ht="15" hidden="false" customHeight="false" outlineLevel="0" collapsed="false">
      <c r="A60" s="46" t="s">
        <v>659</v>
      </c>
      <c r="B60" s="55" t="s">
        <v>95</v>
      </c>
      <c r="C60" s="46" t="n">
        <f aca="false">COUNTIF('SKU Data'!$C$2:$C$1780,A60)</f>
        <v>4</v>
      </c>
      <c r="D60" s="46" t="s">
        <v>660</v>
      </c>
      <c r="E60" s="46" t="s">
        <v>661</v>
      </c>
    </row>
    <row r="61" customFormat="false" ht="15" hidden="false" customHeight="false" outlineLevel="0" collapsed="false">
      <c r="A61" s="46" t="s">
        <v>662</v>
      </c>
      <c r="B61" s="55" t="s">
        <v>95</v>
      </c>
      <c r="C61" s="46" t="n">
        <f aca="false">COUNTIF('SKU Data'!$C$2:$C$1780,A61)</f>
        <v>2</v>
      </c>
      <c r="D61" s="46" t="s">
        <v>663</v>
      </c>
      <c r="E61" s="46" t="s">
        <v>664</v>
      </c>
    </row>
    <row r="62" customFormat="false" ht="15" hidden="false" customHeight="false" outlineLevel="0" collapsed="false">
      <c r="A62" s="46" t="s">
        <v>665</v>
      </c>
      <c r="B62" s="55" t="s">
        <v>95</v>
      </c>
      <c r="C62" s="46" t="n">
        <f aca="false">COUNTIF('SKU Data'!$C$2:$C$1780,A62)</f>
        <v>10</v>
      </c>
      <c r="D62" s="46" t="s">
        <v>666</v>
      </c>
      <c r="E62" s="46" t="s">
        <v>667</v>
      </c>
    </row>
    <row r="63" customFormat="false" ht="15" hidden="false" customHeight="false" outlineLevel="0" collapsed="false">
      <c r="A63" s="46" t="s">
        <v>668</v>
      </c>
      <c r="B63" s="55" t="s">
        <v>95</v>
      </c>
      <c r="C63" s="46" t="n">
        <f aca="false">COUNTIF('SKU Data'!$C$2:$C$1780,A63)</f>
        <v>4</v>
      </c>
      <c r="D63" s="46" t="s">
        <v>669</v>
      </c>
      <c r="E63" s="46" t="s">
        <v>670</v>
      </c>
    </row>
    <row r="64" customFormat="false" ht="15" hidden="false" customHeight="false" outlineLevel="0" collapsed="false">
      <c r="A64" s="46" t="s">
        <v>671</v>
      </c>
      <c r="B64" s="55" t="s">
        <v>95</v>
      </c>
      <c r="C64" s="46" t="n">
        <f aca="false">COUNTIF('SKU Data'!$C$2:$C$1780,A64)</f>
        <v>1</v>
      </c>
      <c r="D64" s="46" t="s">
        <v>672</v>
      </c>
      <c r="E64" s="46" t="s">
        <v>673</v>
      </c>
    </row>
    <row r="65" customFormat="false" ht="15" hidden="false" customHeight="false" outlineLevel="0" collapsed="false">
      <c r="A65" s="46" t="s">
        <v>674</v>
      </c>
      <c r="B65" s="55" t="s">
        <v>95</v>
      </c>
      <c r="C65" s="46" t="n">
        <f aca="false">COUNTIF('SKU Data'!$C$2:$C$1780,A65)</f>
        <v>3</v>
      </c>
      <c r="D65" s="46" t="s">
        <v>675</v>
      </c>
      <c r="E65" s="46" t="s">
        <v>676</v>
      </c>
    </row>
    <row r="66" customFormat="false" ht="15" hidden="false" customHeight="false" outlineLevel="0" collapsed="false">
      <c r="A66" s="46" t="s">
        <v>677</v>
      </c>
      <c r="B66" s="55" t="s">
        <v>95</v>
      </c>
      <c r="C66" s="46" t="n">
        <f aca="false">COUNTIF('SKU Data'!$C$2:$C$1780,A66)</f>
        <v>1</v>
      </c>
      <c r="D66" s="46" t="s">
        <v>678</v>
      </c>
      <c r="E66" s="46" t="s">
        <v>679</v>
      </c>
    </row>
    <row r="67" customFormat="false" ht="15" hidden="false" customHeight="false" outlineLevel="0" collapsed="false">
      <c r="A67" s="46" t="s">
        <v>680</v>
      </c>
      <c r="B67" s="55" t="s">
        <v>95</v>
      </c>
      <c r="C67" s="46" t="n">
        <f aca="false">COUNTIF('SKU Data'!$C$2:$C$1780,A67)</f>
        <v>10</v>
      </c>
      <c r="D67" s="46" t="s">
        <v>681</v>
      </c>
      <c r="E67" s="46" t="s">
        <v>682</v>
      </c>
    </row>
    <row r="68" customFormat="false" ht="15" hidden="false" customHeight="false" outlineLevel="0" collapsed="false">
      <c r="A68" s="46" t="s">
        <v>683</v>
      </c>
      <c r="B68" s="55" t="s">
        <v>95</v>
      </c>
      <c r="C68" s="46" t="n">
        <f aca="false">COUNTIF('SKU Data'!$C$2:$C$1780,A68)</f>
        <v>3</v>
      </c>
      <c r="D68" s="46" t="s">
        <v>684</v>
      </c>
      <c r="E68" s="46" t="s">
        <v>685</v>
      </c>
    </row>
    <row r="69" customFormat="false" ht="15" hidden="false" customHeight="false" outlineLevel="0" collapsed="false">
      <c r="A69" s="46" t="s">
        <v>686</v>
      </c>
      <c r="B69" s="55" t="s">
        <v>95</v>
      </c>
      <c r="C69" s="46" t="n">
        <f aca="false">COUNTIF('SKU Data'!$C$2:$C$1780,A69)</f>
        <v>1</v>
      </c>
      <c r="D69" s="46" t="s">
        <v>687</v>
      </c>
      <c r="E69" s="46" t="s">
        <v>688</v>
      </c>
    </row>
    <row r="70" customFormat="false" ht="15" hidden="false" customHeight="false" outlineLevel="0" collapsed="false">
      <c r="A70" s="46" t="s">
        <v>689</v>
      </c>
      <c r="B70" s="55" t="s">
        <v>95</v>
      </c>
      <c r="C70" s="46" t="n">
        <f aca="false">COUNTIF('SKU Data'!$C$2:$C$1780,A70)</f>
        <v>4</v>
      </c>
      <c r="D70" s="46" t="s">
        <v>690</v>
      </c>
      <c r="E70" s="46" t="s">
        <v>691</v>
      </c>
    </row>
    <row r="71" customFormat="false" ht="15" hidden="false" customHeight="false" outlineLevel="0" collapsed="false">
      <c r="A71" s="46" t="s">
        <v>692</v>
      </c>
      <c r="B71" s="55" t="s">
        <v>95</v>
      </c>
      <c r="C71" s="46" t="n">
        <f aca="false">COUNTIF('SKU Data'!$C$2:$C$1780,A71)</f>
        <v>11</v>
      </c>
      <c r="D71" s="46" t="s">
        <v>693</v>
      </c>
      <c r="E71" s="46" t="s">
        <v>694</v>
      </c>
    </row>
    <row r="72" customFormat="false" ht="15" hidden="false" customHeight="false" outlineLevel="0" collapsed="false">
      <c r="A72" s="46" t="s">
        <v>695</v>
      </c>
      <c r="B72" s="55" t="s">
        <v>95</v>
      </c>
      <c r="C72" s="46" t="n">
        <f aca="false">COUNTIF('SKU Data'!$C$2:$C$1780,A72)</f>
        <v>1</v>
      </c>
      <c r="D72" s="46" t="s">
        <v>696</v>
      </c>
      <c r="E72" s="46" t="s">
        <v>697</v>
      </c>
    </row>
    <row r="73" customFormat="false" ht="15" hidden="false" customHeight="false" outlineLevel="0" collapsed="false">
      <c r="A73" s="46" t="s">
        <v>698</v>
      </c>
      <c r="B73" s="55" t="s">
        <v>95</v>
      </c>
      <c r="C73" s="46" t="n">
        <f aca="false">COUNTIF('SKU Data'!$C$2:$C$1780,A73)</f>
        <v>7</v>
      </c>
      <c r="D73" s="46" t="s">
        <v>699</v>
      </c>
      <c r="E73" s="46" t="s">
        <v>700</v>
      </c>
    </row>
    <row r="74" customFormat="false" ht="15" hidden="false" customHeight="false" outlineLevel="0" collapsed="false">
      <c r="A74" s="46" t="s">
        <v>701</v>
      </c>
      <c r="B74" s="55" t="s">
        <v>95</v>
      </c>
      <c r="C74" s="46" t="n">
        <f aca="false">COUNTIF('SKU Data'!$C$2:$C$1780,A74)</f>
        <v>3</v>
      </c>
      <c r="D74" s="46" t="s">
        <v>702</v>
      </c>
      <c r="E74" s="46" t="s">
        <v>703</v>
      </c>
    </row>
    <row r="75" customFormat="false" ht="15" hidden="false" customHeight="false" outlineLevel="0" collapsed="false">
      <c r="A75" s="46" t="s">
        <v>704</v>
      </c>
      <c r="B75" s="55" t="s">
        <v>95</v>
      </c>
      <c r="C75" s="46" t="n">
        <f aca="false">COUNTIF('SKU Data'!$C$2:$C$1780,A75)</f>
        <v>1</v>
      </c>
      <c r="D75" s="46" t="s">
        <v>705</v>
      </c>
      <c r="E75" s="46" t="s">
        <v>706</v>
      </c>
    </row>
    <row r="76" customFormat="false" ht="15" hidden="false" customHeight="false" outlineLevel="0" collapsed="false">
      <c r="A76" s="46" t="s">
        <v>707</v>
      </c>
      <c r="B76" s="55" t="s">
        <v>95</v>
      </c>
      <c r="C76" s="46" t="n">
        <f aca="false">COUNTIF('SKU Data'!$C$2:$C$1780,A76)</f>
        <v>10</v>
      </c>
      <c r="D76" s="46" t="s">
        <v>708</v>
      </c>
      <c r="E76" s="46" t="s">
        <v>709</v>
      </c>
    </row>
    <row r="77" customFormat="false" ht="15" hidden="false" customHeight="false" outlineLevel="0" collapsed="false">
      <c r="A77" s="46" t="s">
        <v>710</v>
      </c>
      <c r="B77" s="55" t="s">
        <v>95</v>
      </c>
      <c r="C77" s="46" t="n">
        <f aca="false">COUNTIF('SKU Data'!$C$2:$C$1780,A77)</f>
        <v>6</v>
      </c>
      <c r="D77" s="46" t="s">
        <v>711</v>
      </c>
      <c r="E77" s="46" t="s">
        <v>712</v>
      </c>
    </row>
    <row r="78" customFormat="false" ht="15" hidden="false" customHeight="false" outlineLevel="0" collapsed="false">
      <c r="A78" s="46" t="s">
        <v>713</v>
      </c>
      <c r="B78" s="55" t="s">
        <v>95</v>
      </c>
      <c r="C78" s="46" t="n">
        <f aca="false">COUNTIF('SKU Data'!$C$2:$C$1780,A78)</f>
        <v>1</v>
      </c>
      <c r="D78" s="46" t="s">
        <v>714</v>
      </c>
      <c r="E78" s="46" t="s">
        <v>715</v>
      </c>
    </row>
    <row r="79" customFormat="false" ht="15" hidden="false" customHeight="false" outlineLevel="0" collapsed="false">
      <c r="A79" s="46" t="s">
        <v>716</v>
      </c>
      <c r="B79" s="55" t="s">
        <v>95</v>
      </c>
      <c r="C79" s="46" t="n">
        <f aca="false">COUNTIF('SKU Data'!$C$2:$C$1780,A79)</f>
        <v>1</v>
      </c>
      <c r="D79" s="46" t="s">
        <v>717</v>
      </c>
      <c r="E79" s="46" t="s">
        <v>718</v>
      </c>
    </row>
    <row r="80" customFormat="false" ht="15" hidden="false" customHeight="false" outlineLevel="0" collapsed="false">
      <c r="A80" s="46" t="s">
        <v>719</v>
      </c>
      <c r="B80" s="55" t="s">
        <v>95</v>
      </c>
      <c r="C80" s="46" t="n">
        <f aca="false">COUNTIF('SKU Data'!$C$2:$C$1780,A80)</f>
        <v>1</v>
      </c>
      <c r="D80" s="46" t="s">
        <v>720</v>
      </c>
      <c r="E80" s="46" t="s">
        <v>721</v>
      </c>
    </row>
    <row r="81" customFormat="false" ht="15" hidden="false" customHeight="false" outlineLevel="0" collapsed="false">
      <c r="A81" s="46" t="s">
        <v>722</v>
      </c>
      <c r="B81" s="55" t="s">
        <v>95</v>
      </c>
      <c r="C81" s="46" t="n">
        <f aca="false">COUNTIF('SKU Data'!$C$2:$C$1780,A81)</f>
        <v>1</v>
      </c>
      <c r="D81" s="46" t="s">
        <v>723</v>
      </c>
      <c r="E81" s="46" t="s">
        <v>724</v>
      </c>
    </row>
    <row r="82" customFormat="false" ht="15" hidden="false" customHeight="false" outlineLevel="0" collapsed="false">
      <c r="A82" s="46" t="s">
        <v>725</v>
      </c>
      <c r="B82" s="55" t="s">
        <v>95</v>
      </c>
      <c r="C82" s="46" t="n">
        <f aca="false">COUNTIF('SKU Data'!$C$2:$C$1780,A82)</f>
        <v>1</v>
      </c>
      <c r="D82" s="46" t="s">
        <v>726</v>
      </c>
      <c r="E82" s="46" t="s">
        <v>727</v>
      </c>
    </row>
    <row r="83" customFormat="false" ht="15" hidden="false" customHeight="false" outlineLevel="0" collapsed="false">
      <c r="A83" s="46" t="s">
        <v>728</v>
      </c>
      <c r="B83" s="55" t="s">
        <v>95</v>
      </c>
      <c r="C83" s="46" t="n">
        <f aca="false">COUNTIF('SKU Data'!$C$2:$C$1780,A83)</f>
        <v>1</v>
      </c>
      <c r="D83" s="46" t="s">
        <v>729</v>
      </c>
      <c r="E83" s="46" t="s">
        <v>730</v>
      </c>
    </row>
    <row r="84" customFormat="false" ht="15" hidden="false" customHeight="false" outlineLevel="0" collapsed="false">
      <c r="A84" s="46" t="s">
        <v>731</v>
      </c>
      <c r="B84" s="55" t="s">
        <v>95</v>
      </c>
      <c r="C84" s="46" t="n">
        <f aca="false">COUNTIF('SKU Data'!$C$2:$C$1780,A84)</f>
        <v>2</v>
      </c>
      <c r="D84" s="46" t="s">
        <v>732</v>
      </c>
      <c r="E84" s="46" t="s">
        <v>733</v>
      </c>
    </row>
    <row r="85" customFormat="false" ht="15" hidden="false" customHeight="false" outlineLevel="0" collapsed="false">
      <c r="A85" s="46" t="s">
        <v>734</v>
      </c>
      <c r="B85" s="55" t="s">
        <v>95</v>
      </c>
      <c r="C85" s="46" t="n">
        <f aca="false">COUNTIF('SKU Data'!$C$2:$C$1780,A85)</f>
        <v>2</v>
      </c>
      <c r="D85" s="46" t="s">
        <v>735</v>
      </c>
      <c r="E85" s="46" t="s">
        <v>736</v>
      </c>
    </row>
    <row r="86" customFormat="false" ht="15" hidden="false" customHeight="false" outlineLevel="0" collapsed="false">
      <c r="A86" s="46" t="s">
        <v>737</v>
      </c>
      <c r="B86" s="55" t="s">
        <v>95</v>
      </c>
      <c r="C86" s="46" t="n">
        <f aca="false">COUNTIF('SKU Data'!$C$2:$C$1780,A86)</f>
        <v>4</v>
      </c>
      <c r="D86" s="46" t="s">
        <v>738</v>
      </c>
      <c r="E86" s="46" t="s">
        <v>739</v>
      </c>
    </row>
    <row r="87" customFormat="false" ht="15" hidden="false" customHeight="false" outlineLevel="0" collapsed="false">
      <c r="A87" s="46" t="s">
        <v>740</v>
      </c>
      <c r="B87" s="55" t="s">
        <v>95</v>
      </c>
      <c r="C87" s="46" t="n">
        <f aca="false">COUNTIF('SKU Data'!$C$2:$C$1780,A87)</f>
        <v>1</v>
      </c>
      <c r="D87" s="46" t="s">
        <v>741</v>
      </c>
      <c r="E87" s="46" t="s">
        <v>742</v>
      </c>
    </row>
    <row r="88" customFormat="false" ht="15" hidden="false" customHeight="false" outlineLevel="0" collapsed="false">
      <c r="A88" s="46" t="s">
        <v>743</v>
      </c>
      <c r="B88" s="55" t="s">
        <v>95</v>
      </c>
      <c r="C88" s="46" t="n">
        <f aca="false">COUNTIF('SKU Data'!$C$2:$C$1780,A88)</f>
        <v>1</v>
      </c>
      <c r="D88" s="46" t="s">
        <v>744</v>
      </c>
      <c r="E88" s="46" t="s">
        <v>745</v>
      </c>
    </row>
    <row r="89" customFormat="false" ht="15" hidden="false" customHeight="false" outlineLevel="0" collapsed="false">
      <c r="A89" s="46" t="s">
        <v>746</v>
      </c>
      <c r="B89" s="55" t="s">
        <v>95</v>
      </c>
      <c r="C89" s="46" t="n">
        <f aca="false">COUNTIF('SKU Data'!$C$2:$C$1780,A89)</f>
        <v>3</v>
      </c>
      <c r="D89" s="46" t="s">
        <v>747</v>
      </c>
      <c r="E89" s="46" t="s">
        <v>748</v>
      </c>
    </row>
    <row r="90" customFormat="false" ht="15" hidden="false" customHeight="false" outlineLevel="0" collapsed="false">
      <c r="A90" s="46" t="s">
        <v>749</v>
      </c>
      <c r="B90" s="55" t="s">
        <v>95</v>
      </c>
      <c r="C90" s="46" t="n">
        <f aca="false">COUNTIF('SKU Data'!$C$2:$C$1780,A90)</f>
        <v>1</v>
      </c>
      <c r="D90" s="46" t="s">
        <v>750</v>
      </c>
      <c r="E90" s="46" t="s">
        <v>751</v>
      </c>
    </row>
    <row r="91" customFormat="false" ht="15" hidden="false" customHeight="false" outlineLevel="0" collapsed="false">
      <c r="A91" s="46" t="s">
        <v>752</v>
      </c>
      <c r="B91" s="55" t="s">
        <v>95</v>
      </c>
      <c r="C91" s="46" t="n">
        <f aca="false">COUNTIF('SKU Data'!$C$2:$C$1780,A91)</f>
        <v>3</v>
      </c>
      <c r="D91" s="46" t="s">
        <v>753</v>
      </c>
      <c r="E91" s="46" t="s">
        <v>754</v>
      </c>
    </row>
    <row r="92" customFormat="false" ht="15" hidden="false" customHeight="false" outlineLevel="0" collapsed="false">
      <c r="A92" s="46" t="s">
        <v>755</v>
      </c>
      <c r="B92" s="55" t="s">
        <v>95</v>
      </c>
      <c r="C92" s="46" t="n">
        <f aca="false">COUNTIF('SKU Data'!$C$2:$C$1780,A92)</f>
        <v>4</v>
      </c>
      <c r="D92" s="46" t="s">
        <v>756</v>
      </c>
      <c r="E92" s="46" t="s">
        <v>757</v>
      </c>
    </row>
    <row r="93" customFormat="false" ht="15" hidden="false" customHeight="false" outlineLevel="0" collapsed="false">
      <c r="A93" s="46" t="s">
        <v>758</v>
      </c>
      <c r="B93" s="55" t="s">
        <v>95</v>
      </c>
      <c r="C93" s="46" t="n">
        <f aca="false">COUNTIF('SKU Data'!$C$2:$C$1780,A93)</f>
        <v>2</v>
      </c>
      <c r="D93" s="46" t="s">
        <v>759</v>
      </c>
      <c r="E93" s="46" t="s">
        <v>760</v>
      </c>
    </row>
    <row r="94" customFormat="false" ht="15" hidden="false" customHeight="false" outlineLevel="0" collapsed="false">
      <c r="A94" s="46" t="s">
        <v>761</v>
      </c>
      <c r="B94" s="55" t="s">
        <v>95</v>
      </c>
      <c r="C94" s="46" t="n">
        <f aca="false">COUNTIF('SKU Data'!$C$2:$C$1780,A94)</f>
        <v>1</v>
      </c>
      <c r="D94" s="46" t="s">
        <v>762</v>
      </c>
      <c r="E94" s="46" t="s">
        <v>763</v>
      </c>
    </row>
    <row r="95" customFormat="false" ht="15" hidden="false" customHeight="false" outlineLevel="0" collapsed="false">
      <c r="A95" s="46" t="s">
        <v>764</v>
      </c>
      <c r="B95" s="55" t="s">
        <v>95</v>
      </c>
      <c r="C95" s="46" t="n">
        <f aca="false">COUNTIF('SKU Data'!$C$2:$C$1780,A95)</f>
        <v>1</v>
      </c>
      <c r="D95" s="46" t="s">
        <v>765</v>
      </c>
      <c r="E95" s="46" t="s">
        <v>766</v>
      </c>
    </row>
    <row r="96" customFormat="false" ht="15" hidden="false" customHeight="false" outlineLevel="0" collapsed="false">
      <c r="A96" s="46" t="s">
        <v>767</v>
      </c>
      <c r="B96" s="55" t="s">
        <v>95</v>
      </c>
      <c r="C96" s="46" t="n">
        <f aca="false">COUNTIF('SKU Data'!$C$2:$C$1780,A96)</f>
        <v>3</v>
      </c>
      <c r="D96" s="46" t="s">
        <v>768</v>
      </c>
      <c r="E96" s="46" t="s">
        <v>769</v>
      </c>
    </row>
    <row r="97" customFormat="false" ht="15" hidden="false" customHeight="false" outlineLevel="0" collapsed="false">
      <c r="A97" s="46" t="s">
        <v>770</v>
      </c>
      <c r="B97" s="55" t="s">
        <v>95</v>
      </c>
      <c r="C97" s="46" t="n">
        <f aca="false">COUNTIF('SKU Data'!$C$2:$C$1780,A97)</f>
        <v>1</v>
      </c>
      <c r="D97" s="46" t="s">
        <v>771</v>
      </c>
      <c r="E97" s="46" t="s">
        <v>772</v>
      </c>
    </row>
    <row r="98" customFormat="false" ht="15" hidden="false" customHeight="false" outlineLevel="0" collapsed="false">
      <c r="A98" s="46" t="s">
        <v>773</v>
      </c>
      <c r="B98" s="55" t="s">
        <v>95</v>
      </c>
      <c r="C98" s="46" t="n">
        <f aca="false">COUNTIF('SKU Data'!$C$2:$C$1780,A98)</f>
        <v>3</v>
      </c>
      <c r="D98" s="46" t="s">
        <v>774</v>
      </c>
      <c r="E98" s="46" t="s">
        <v>605</v>
      </c>
    </row>
    <row r="99" customFormat="false" ht="15" hidden="false" customHeight="false" outlineLevel="0" collapsed="false">
      <c r="A99" s="46" t="s">
        <v>775</v>
      </c>
      <c r="B99" s="55" t="s">
        <v>189</v>
      </c>
      <c r="C99" s="46" t="n">
        <f aca="false">COUNTIF('SKU Data'!$C$2:$C$1780,A99)</f>
        <v>1</v>
      </c>
      <c r="D99" s="46" t="s">
        <v>776</v>
      </c>
      <c r="E99" s="46" t="s">
        <v>777</v>
      </c>
    </row>
    <row r="100" customFormat="false" ht="15" hidden="false" customHeight="false" outlineLevel="0" collapsed="false">
      <c r="A100" s="46" t="s">
        <v>778</v>
      </c>
      <c r="B100" s="55" t="s">
        <v>95</v>
      </c>
      <c r="C100" s="46" t="n">
        <f aca="false">COUNTIF('SKU Data'!$C$2:$C$1780,A100)</f>
        <v>2</v>
      </c>
      <c r="D100" s="46" t="s">
        <v>779</v>
      </c>
      <c r="E100" s="46" t="s">
        <v>780</v>
      </c>
    </row>
    <row r="101" customFormat="false" ht="15" hidden="false" customHeight="false" outlineLevel="0" collapsed="false">
      <c r="A101" s="46" t="s">
        <v>781</v>
      </c>
      <c r="B101" s="55" t="s">
        <v>95</v>
      </c>
      <c r="C101" s="46" t="n">
        <f aca="false">COUNTIF('SKU Data'!$C$2:$C$1780,A101)</f>
        <v>2</v>
      </c>
      <c r="D101" s="46" t="s">
        <v>782</v>
      </c>
      <c r="E101" s="46" t="s">
        <v>783</v>
      </c>
    </row>
    <row r="102" customFormat="false" ht="15" hidden="false" customHeight="false" outlineLevel="0" collapsed="false">
      <c r="A102" s="46" t="s">
        <v>784</v>
      </c>
      <c r="B102" s="55" t="s">
        <v>95</v>
      </c>
      <c r="C102" s="46" t="n">
        <f aca="false">COUNTIF('SKU Data'!$C$2:$C$1780,A102)</f>
        <v>2</v>
      </c>
      <c r="D102" s="46" t="s">
        <v>785</v>
      </c>
      <c r="E102" s="46" t="s">
        <v>786</v>
      </c>
    </row>
    <row r="103" customFormat="false" ht="15" hidden="false" customHeight="false" outlineLevel="0" collapsed="false">
      <c r="A103" s="46" t="s">
        <v>787</v>
      </c>
      <c r="B103" s="55" t="s">
        <v>95</v>
      </c>
      <c r="C103" s="46" t="n">
        <f aca="false">COUNTIF('SKU Data'!$C$2:$C$1780,A103)</f>
        <v>1</v>
      </c>
      <c r="D103" s="46" t="s">
        <v>788</v>
      </c>
      <c r="E103" s="46" t="s">
        <v>789</v>
      </c>
    </row>
    <row r="104" customFormat="false" ht="15" hidden="false" customHeight="false" outlineLevel="0" collapsed="false">
      <c r="A104" s="46" t="s">
        <v>790</v>
      </c>
      <c r="B104" s="55" t="s">
        <v>95</v>
      </c>
      <c r="C104" s="46" t="n">
        <f aca="false">COUNTIF('SKU Data'!$C$2:$C$1780,A104)</f>
        <v>1</v>
      </c>
      <c r="D104" s="46" t="s">
        <v>791</v>
      </c>
      <c r="E104" s="46" t="s">
        <v>792</v>
      </c>
    </row>
    <row r="105" customFormat="false" ht="15" hidden="false" customHeight="false" outlineLevel="0" collapsed="false">
      <c r="A105" s="46" t="s">
        <v>793</v>
      </c>
      <c r="B105" s="55" t="s">
        <v>189</v>
      </c>
      <c r="C105" s="46" t="n">
        <f aca="false">COUNTIF('SKU Data'!$C$2:$C$1780,A105)</f>
        <v>2</v>
      </c>
      <c r="D105" s="46" t="s">
        <v>794</v>
      </c>
      <c r="E105" s="46" t="s">
        <v>795</v>
      </c>
    </row>
    <row r="106" customFormat="false" ht="15" hidden="false" customHeight="false" outlineLevel="0" collapsed="false">
      <c r="A106" s="46" t="s">
        <v>796</v>
      </c>
      <c r="B106" s="55" t="s">
        <v>95</v>
      </c>
      <c r="C106" s="46" t="n">
        <f aca="false">COUNTIF('SKU Data'!$C$2:$C$1780,A106)</f>
        <v>2</v>
      </c>
      <c r="D106" s="46" t="s">
        <v>797</v>
      </c>
      <c r="E106" s="46" t="s">
        <v>798</v>
      </c>
    </row>
    <row r="107" customFormat="false" ht="15" hidden="false" customHeight="false" outlineLevel="0" collapsed="false">
      <c r="A107" s="46" t="s">
        <v>799</v>
      </c>
      <c r="B107" s="55" t="s">
        <v>95</v>
      </c>
      <c r="C107" s="46" t="n">
        <f aca="false">COUNTIF('SKU Data'!$C$2:$C$1780,A107)</f>
        <v>1</v>
      </c>
      <c r="D107" s="46" t="s">
        <v>800</v>
      </c>
      <c r="E107" s="46" t="s">
        <v>801</v>
      </c>
    </row>
    <row r="108" customFormat="false" ht="15" hidden="false" customHeight="false" outlineLevel="0" collapsed="false">
      <c r="A108" s="46" t="s">
        <v>802</v>
      </c>
      <c r="B108" s="55" t="s">
        <v>95</v>
      </c>
      <c r="C108" s="46" t="n">
        <f aca="false">COUNTIF('SKU Data'!$C$2:$C$1780,A108)</f>
        <v>1</v>
      </c>
      <c r="D108" s="46" t="s">
        <v>803</v>
      </c>
      <c r="E108" s="46" t="s">
        <v>804</v>
      </c>
    </row>
    <row r="109" customFormat="false" ht="15" hidden="false" customHeight="false" outlineLevel="0" collapsed="false">
      <c r="A109" s="46" t="s">
        <v>805</v>
      </c>
      <c r="B109" s="55" t="s">
        <v>95</v>
      </c>
      <c r="C109" s="46" t="n">
        <f aca="false">COUNTIF('SKU Data'!$C$2:$C$1780,A109)</f>
        <v>1</v>
      </c>
      <c r="D109" s="46" t="s">
        <v>806</v>
      </c>
      <c r="E109" s="46" t="s">
        <v>807</v>
      </c>
    </row>
    <row r="110" customFormat="false" ht="15" hidden="false" customHeight="false" outlineLevel="0" collapsed="false">
      <c r="A110" s="46" t="s">
        <v>808</v>
      </c>
      <c r="B110" s="55" t="s">
        <v>95</v>
      </c>
      <c r="C110" s="46" t="n">
        <f aca="false">COUNTIF('SKU Data'!$C$2:$C$1780,A110)</f>
        <v>2</v>
      </c>
      <c r="D110" s="46" t="s">
        <v>809</v>
      </c>
      <c r="E110" s="46" t="s">
        <v>810</v>
      </c>
    </row>
    <row r="111" customFormat="false" ht="15" hidden="false" customHeight="false" outlineLevel="0" collapsed="false">
      <c r="A111" s="46" t="s">
        <v>811</v>
      </c>
      <c r="B111" s="55" t="s">
        <v>95</v>
      </c>
      <c r="C111" s="46" t="n">
        <f aca="false">COUNTIF('SKU Data'!$C$2:$C$1780,A111)</f>
        <v>1</v>
      </c>
      <c r="D111" s="46" t="s">
        <v>812</v>
      </c>
      <c r="E111" s="46" t="s">
        <v>813</v>
      </c>
    </row>
    <row r="112" customFormat="false" ht="15" hidden="false" customHeight="false" outlineLevel="0" collapsed="false">
      <c r="A112" s="46" t="s">
        <v>814</v>
      </c>
      <c r="B112" s="55" t="s">
        <v>95</v>
      </c>
      <c r="C112" s="46" t="n">
        <f aca="false">COUNTIF('SKU Data'!$C$2:$C$1780,A112)</f>
        <v>1</v>
      </c>
      <c r="D112" s="46" t="s">
        <v>815</v>
      </c>
      <c r="E112" s="46" t="s">
        <v>816</v>
      </c>
    </row>
    <row r="113" customFormat="false" ht="15" hidden="false" customHeight="false" outlineLevel="0" collapsed="false">
      <c r="A113" s="46" t="s">
        <v>817</v>
      </c>
      <c r="B113" s="55" t="s">
        <v>95</v>
      </c>
      <c r="C113" s="46" t="n">
        <f aca="false">COUNTIF('SKU Data'!$C$2:$C$1780,A113)</f>
        <v>1</v>
      </c>
      <c r="D113" s="46" t="s">
        <v>818</v>
      </c>
      <c r="E113" s="46" t="s">
        <v>819</v>
      </c>
    </row>
    <row r="114" customFormat="false" ht="15" hidden="false" customHeight="false" outlineLevel="0" collapsed="false">
      <c r="A114" s="46" t="s">
        <v>820</v>
      </c>
      <c r="B114" s="55" t="s">
        <v>95</v>
      </c>
      <c r="C114" s="46" t="n">
        <f aca="false">COUNTIF('SKU Data'!$C$2:$C$1780,A114)</f>
        <v>1</v>
      </c>
      <c r="D114" s="46" t="s">
        <v>821</v>
      </c>
      <c r="E114" s="46" t="s">
        <v>822</v>
      </c>
    </row>
    <row r="115" customFormat="false" ht="15" hidden="false" customHeight="false" outlineLevel="0" collapsed="false">
      <c r="A115" s="46" t="s">
        <v>823</v>
      </c>
      <c r="B115" s="55" t="s">
        <v>95</v>
      </c>
      <c r="C115" s="46" t="n">
        <f aca="false">COUNTIF('SKU Data'!$C$2:$C$1780,A115)</f>
        <v>1</v>
      </c>
      <c r="D115" s="46" t="s">
        <v>824</v>
      </c>
      <c r="E115" s="46" t="s">
        <v>825</v>
      </c>
    </row>
    <row r="116" customFormat="false" ht="15" hidden="false" customHeight="false" outlineLevel="0" collapsed="false">
      <c r="A116" s="46" t="s">
        <v>826</v>
      </c>
      <c r="B116" s="55" t="s">
        <v>189</v>
      </c>
      <c r="C116" s="46" t="n">
        <f aca="false">COUNTIF('SKU Data'!$C$2:$C$1780,A116)</f>
        <v>1</v>
      </c>
      <c r="D116" s="46" t="s">
        <v>827</v>
      </c>
      <c r="E116" s="46" t="s">
        <v>828</v>
      </c>
    </row>
    <row r="117" customFormat="false" ht="15" hidden="false" customHeight="false" outlineLevel="0" collapsed="false">
      <c r="A117" s="46" t="s">
        <v>829</v>
      </c>
      <c r="B117" s="55" t="s">
        <v>189</v>
      </c>
      <c r="C117" s="46" t="n">
        <f aca="false">COUNTIF('SKU Data'!$C$2:$C$1780,A117)</f>
        <v>1</v>
      </c>
      <c r="D117" s="46" t="s">
        <v>830</v>
      </c>
      <c r="E117" s="46" t="s">
        <v>831</v>
      </c>
    </row>
    <row r="118" customFormat="false" ht="15" hidden="false" customHeight="false" outlineLevel="0" collapsed="false">
      <c r="A118" s="46" t="s">
        <v>832</v>
      </c>
      <c r="B118" s="55" t="s">
        <v>189</v>
      </c>
      <c r="C118" s="46" t="n">
        <f aca="false">COUNTIF('SKU Data'!$C$2:$C$1780,A118)</f>
        <v>1</v>
      </c>
      <c r="D118" s="46" t="s">
        <v>833</v>
      </c>
      <c r="E118" s="46" t="s">
        <v>834</v>
      </c>
    </row>
    <row r="119" customFormat="false" ht="15" hidden="false" customHeight="false" outlineLevel="0" collapsed="false">
      <c r="A119" s="46" t="s">
        <v>835</v>
      </c>
      <c r="B119" s="55" t="s">
        <v>189</v>
      </c>
      <c r="C119" s="46" t="n">
        <f aca="false">COUNTIF('SKU Data'!$C$2:$C$1780,A119)</f>
        <v>2</v>
      </c>
      <c r="D119" s="46" t="s">
        <v>836</v>
      </c>
      <c r="E119" s="46" t="s">
        <v>837</v>
      </c>
    </row>
    <row r="120" customFormat="false" ht="15" hidden="false" customHeight="false" outlineLevel="0" collapsed="false">
      <c r="A120" s="46" t="s">
        <v>838</v>
      </c>
      <c r="B120" s="55" t="s">
        <v>189</v>
      </c>
      <c r="C120" s="46" t="n">
        <f aca="false">COUNTIF('SKU Data'!$C$2:$C$1780,A120)</f>
        <v>1</v>
      </c>
      <c r="D120" s="46" t="s">
        <v>839</v>
      </c>
      <c r="E120" s="46" t="s">
        <v>840</v>
      </c>
    </row>
    <row r="121" customFormat="false" ht="15" hidden="false" customHeight="false" outlineLevel="0" collapsed="false">
      <c r="A121" s="46" t="s">
        <v>841</v>
      </c>
      <c r="B121" s="55" t="s">
        <v>189</v>
      </c>
      <c r="C121" s="46" t="n">
        <f aca="false">COUNTIF('SKU Data'!$C$2:$C$1780,A121)</f>
        <v>3</v>
      </c>
      <c r="D121" s="46" t="s">
        <v>842</v>
      </c>
      <c r="E121" s="46" t="s">
        <v>843</v>
      </c>
    </row>
    <row r="122" customFormat="false" ht="15" hidden="false" customHeight="false" outlineLevel="0" collapsed="false">
      <c r="A122" s="46" t="s">
        <v>844</v>
      </c>
      <c r="B122" s="55" t="s">
        <v>189</v>
      </c>
      <c r="C122" s="46" t="n">
        <f aca="false">COUNTIF('SKU Data'!$C$2:$C$1780,A122)</f>
        <v>1</v>
      </c>
      <c r="D122" s="46" t="s">
        <v>845</v>
      </c>
      <c r="E122" s="46" t="s">
        <v>846</v>
      </c>
    </row>
    <row r="123" customFormat="false" ht="15" hidden="false" customHeight="false" outlineLevel="0" collapsed="false">
      <c r="A123" s="46" t="s">
        <v>847</v>
      </c>
      <c r="B123" s="55" t="s">
        <v>189</v>
      </c>
      <c r="C123" s="46" t="n">
        <f aca="false">COUNTIF('SKU Data'!$C$2:$C$1780,A123)</f>
        <v>1</v>
      </c>
      <c r="D123" s="46" t="s">
        <v>848</v>
      </c>
      <c r="E123" s="46" t="s">
        <v>849</v>
      </c>
    </row>
    <row r="124" customFormat="false" ht="15" hidden="false" customHeight="false" outlineLevel="0" collapsed="false">
      <c r="A124" s="46" t="s">
        <v>850</v>
      </c>
      <c r="B124" s="55" t="s">
        <v>189</v>
      </c>
      <c r="C124" s="46" t="n">
        <f aca="false">COUNTIF('SKU Data'!$C$2:$C$1780,A124)</f>
        <v>2</v>
      </c>
      <c r="D124" s="46" t="s">
        <v>851</v>
      </c>
      <c r="E124" s="46" t="s">
        <v>852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AD17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22" min="5" style="0" width="11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30" min="25" style="0" width="11"/>
  </cols>
  <sheetData>
    <row r="1" customFormat="false" ht="45" hidden="false" customHeight="true" outlineLevel="0" collapsed="false">
      <c r="A1" s="17" t="s">
        <v>16</v>
      </c>
      <c r="B1" s="17" t="s">
        <v>853</v>
      </c>
      <c r="C1" s="17" t="s">
        <v>854</v>
      </c>
      <c r="D1" s="17" t="s">
        <v>29</v>
      </c>
      <c r="E1" s="17" t="s">
        <v>19</v>
      </c>
      <c r="F1" s="17" t="s">
        <v>20</v>
      </c>
      <c r="G1" s="17" t="s">
        <v>47</v>
      </c>
      <c r="H1" s="17" t="s">
        <v>855</v>
      </c>
      <c r="I1" s="17" t="s">
        <v>856</v>
      </c>
      <c r="J1" s="17" t="s">
        <v>5</v>
      </c>
      <c r="K1" s="17" t="s">
        <v>857</v>
      </c>
      <c r="L1" s="17" t="s">
        <v>39</v>
      </c>
      <c r="M1" s="17" t="s">
        <v>23</v>
      </c>
      <c r="N1" s="17" t="s">
        <v>858</v>
      </c>
      <c r="O1" s="17" t="s">
        <v>859</v>
      </c>
      <c r="P1" s="17" t="s">
        <v>860</v>
      </c>
      <c r="Q1" s="17" t="s">
        <v>861</v>
      </c>
      <c r="R1" s="17" t="s">
        <v>862</v>
      </c>
      <c r="S1" s="17" t="s">
        <v>863</v>
      </c>
      <c r="T1" s="17" t="s">
        <v>864</v>
      </c>
      <c r="U1" s="17" t="s">
        <v>488</v>
      </c>
      <c r="V1" s="17" t="s">
        <v>865</v>
      </c>
      <c r="W1" s="17" t="s">
        <v>24</v>
      </c>
      <c r="X1" s="17" t="s">
        <v>866</v>
      </c>
      <c r="Y1" s="17" t="s">
        <v>867</v>
      </c>
      <c r="Z1" s="17" t="s">
        <v>868</v>
      </c>
      <c r="AA1" s="17" t="s">
        <v>869</v>
      </c>
      <c r="AB1" s="17" t="s">
        <v>870</v>
      </c>
      <c r="AC1" s="17" t="s">
        <v>871</v>
      </c>
      <c r="AD1" s="17" t="s">
        <v>872</v>
      </c>
    </row>
    <row r="2" customFormat="false" ht="15" hidden="false" customHeight="false" outlineLevel="0" collapsed="false">
      <c r="A2" s="56" t="s">
        <v>225</v>
      </c>
      <c r="B2" s="56" t="s">
        <v>873</v>
      </c>
      <c r="C2" s="56" t="s">
        <v>55</v>
      </c>
      <c r="D2" s="56" t="str">
        <f aca="false">IFERROR(INDEX('Brand Map'!$B$4:$B$124,MATCH(C2,'Brand Map'!$A$4:$A$124,0)),"Other")</f>
        <v>AUMJ</v>
      </c>
      <c r="E2" s="57" t="n">
        <v>503</v>
      </c>
      <c r="F2" s="57" t="n">
        <v>40</v>
      </c>
      <c r="G2" s="58" t="n">
        <v>49004.79</v>
      </c>
      <c r="H2" s="58" t="n">
        <v>3723.61</v>
      </c>
      <c r="I2" s="58" t="n">
        <v>43258.15</v>
      </c>
      <c r="J2" s="32" t="n">
        <f aca="false">IF(E2&gt;0,F2/E2,0)</f>
        <v>0.0795228628230616</v>
      </c>
      <c r="K2" s="32" t="n">
        <f aca="false">IF(G2&gt;0,H2/G2,0)</f>
        <v>0.0759846129327358</v>
      </c>
      <c r="L2" s="59" t="n">
        <f aca="false">H2/Settings!$B$16</f>
        <v>0.00744173306137919</v>
      </c>
      <c r="M2" s="59" t="n">
        <f aca="false">H2/Settings!$B$20</f>
        <v>0.000289080229167837</v>
      </c>
      <c r="N2" s="60" t="n">
        <f aca="false">E2*Settings!$B$3</f>
        <v>15.5860339931497</v>
      </c>
      <c r="O2" s="60" t="n">
        <f aca="false">IF(E2&gt;0,(F2-N2)/SQRT(E2*Settings!$B$3*(1-Settings!$B$3)),0)</f>
        <v>6.28210996213405</v>
      </c>
      <c r="P2" s="60" t="n">
        <f aca="false">MAX(0,F2-N2)</f>
        <v>24.4139660068503</v>
      </c>
      <c r="Q2" s="32" t="n">
        <f aca="false">(F2+Settings!$B$7*Settings!$B$3)/(E2+Settings!$B$7)</f>
        <v>0.0767909653515846</v>
      </c>
      <c r="R2" s="61" t="n">
        <f aca="false">PERCENTRANK($H$2:$H$1780,H2,6)</f>
        <v>0.985377</v>
      </c>
      <c r="S2" s="61" t="n">
        <f aca="false">PERCENTRANK($Q$2:$Q$1780,Q2,6)</f>
        <v>0.982565</v>
      </c>
      <c r="T2" s="61" t="n">
        <f aca="false">PERCENTRANK($F$2:$F$1780,F2,6)</f>
        <v>0.973566</v>
      </c>
      <c r="U2" s="62" t="n">
        <f aca="false">IF(F2&gt;0,(Settings!$B$8*T2+Settings!$B$9*R2+Settings!$B$10*S2)/SUM(Settings!$B$8:$B$10),0)</f>
        <v>0.980502666666667</v>
      </c>
      <c r="V2" s="56" t="n">
        <f aca="false">IF(U2&gt;0,RANK(U2,$U$2:$U$1780)+COUNTIF($U$2:U2,U2)-1,"")</f>
        <v>1</v>
      </c>
      <c r="W2" s="56" t="str">
        <f aca="false">IF(V2="","",IF(V2&lt;=Settings!$B$11,"1 - Fix first",IF(V2&lt;=Settings!$B$12,"2 - Review","3 - Monitor")))</f>
        <v>1 - Fix first</v>
      </c>
      <c r="X2" s="56" t="str">
        <f aca="false">IF(AND(E2&gt;=Settings!$B$4,F2&gt;=Settings!$B$5,O2&gt;=Settings!$B$6),"HIGH RATE","")</f>
        <v>HIGH RATE</v>
      </c>
      <c r="Y2" s="56" t="n">
        <f aca="false">IF(F2&gt;0,RANK(F2,$F$2:$F$1780)+COUNTIF($F$2:F2,F2)-1,"")</f>
        <v>47</v>
      </c>
      <c r="Z2" s="56" t="n">
        <f aca="false">IF(H2&gt;0,RANK(H2,$H$2:$H$1780)+COUNTIF($H$2:H2,H2)-1,"")</f>
        <v>27</v>
      </c>
      <c r="AA2" s="56" t="n">
        <f aca="false">IF(AC2="","",RANK(AC2,$AC$2:$AC$1780)+COUNTIF($AC$2:AC2,AC2)-1)</f>
        <v>34</v>
      </c>
      <c r="AB2" s="56" t="n">
        <f aca="false">IF(AD2="","",RANK(AD2,$AD$2:$AD$1780)+COUNTIF($AD$2:AD2,AD2)-1)</f>
        <v>9</v>
      </c>
      <c r="AC2" s="32" t="n">
        <f aca="false">IF(AND(F2&gt;0,E2&gt;=Settings!$B$4),J2,"")</f>
        <v>0.0795228628230616</v>
      </c>
      <c r="AD2" s="60" t="n">
        <f aca="false">IF(X2="HIGH RATE",O2,"")</f>
        <v>6.28210996213405</v>
      </c>
    </row>
    <row r="3" customFormat="false" ht="15" hidden="false" customHeight="false" outlineLevel="0" collapsed="false">
      <c r="A3" s="56" t="s">
        <v>203</v>
      </c>
      <c r="B3" s="56" t="s">
        <v>874</v>
      </c>
      <c r="C3" s="56" t="s">
        <v>51</v>
      </c>
      <c r="D3" s="56" t="str">
        <f aca="false">IFERROR(INDEX('Brand Map'!$B$4:$B$124,MATCH(C3,'Brand Map'!$A$4:$A$124,0)),"Other")</f>
        <v>AU</v>
      </c>
      <c r="E3" s="57" t="n">
        <v>1560</v>
      </c>
      <c r="F3" s="57" t="n">
        <v>97</v>
      </c>
      <c r="G3" s="58" t="n">
        <v>88570.51</v>
      </c>
      <c r="H3" s="58" t="n">
        <v>5315.16</v>
      </c>
      <c r="I3" s="58" t="n">
        <v>78241.15</v>
      </c>
      <c r="J3" s="32" t="n">
        <f aca="false">IF(E3&gt;0,F3/E3,0)</f>
        <v>0.0621794871794872</v>
      </c>
      <c r="K3" s="32" t="n">
        <f aca="false">IF(G3&gt;0,H3/G3,0)</f>
        <v>0.0600104933346325</v>
      </c>
      <c r="L3" s="59" t="n">
        <f aca="false">H3/Settings!$B$16</f>
        <v>0.0106224878272752</v>
      </c>
      <c r="M3" s="59" t="n">
        <f aca="false">H3/Settings!$B$20</f>
        <v>0.00041263925890835</v>
      </c>
      <c r="N3" s="60" t="n">
        <f aca="false">E3*Settings!$B$3</f>
        <v>48.3383956845199</v>
      </c>
      <c r="O3" s="60" t="n">
        <f aca="false">IF(E3&gt;0,(F3-N3)/SQRT(E3*Settings!$B$3*(1-Settings!$B$3)),0)</f>
        <v>7.11009354849753</v>
      </c>
      <c r="P3" s="60" t="n">
        <f aca="false">MAX(0,F3-N3)</f>
        <v>48.6616043154802</v>
      </c>
      <c r="Q3" s="32" t="n">
        <f aca="false">(F3+Settings!$B$7*Settings!$B$3)/(E3+Settings!$B$7)</f>
        <v>0.0615909336681727</v>
      </c>
      <c r="R3" s="61" t="n">
        <f aca="false">PERCENTRANK($H$2:$H$1780,H3,6)</f>
        <v>0.989314</v>
      </c>
      <c r="S3" s="61" t="n">
        <f aca="false">PERCENTRANK($Q$2:$Q$1780,Q3,6)</f>
        <v>0.955006</v>
      </c>
      <c r="T3" s="61" t="n">
        <f aca="false">PERCENTRANK($F$2:$F$1780,F3,6)</f>
        <v>0.990439</v>
      </c>
      <c r="U3" s="62" t="n">
        <f aca="false">IF(F3&gt;0,(Settings!$B$8*T3+Settings!$B$9*R3+Settings!$B$10*S3)/SUM(Settings!$B$8:$B$10),0)</f>
        <v>0.978253</v>
      </c>
      <c r="V3" s="56" t="n">
        <f aca="false">IF(U3&gt;0,RANK(U3,$U$2:$U$1780)+COUNTIF($U$2:U3,U3)-1,"")</f>
        <v>2</v>
      </c>
      <c r="W3" s="56" t="str">
        <f aca="false">IF(V3="","",IF(V3&lt;=Settings!$B$11,"1 - Fix first",IF(V3&lt;=Settings!$B$12,"2 - Review","3 - Monitor")))</f>
        <v>1 - Fix first</v>
      </c>
      <c r="X3" s="56" t="str">
        <f aca="false">IF(AND(E3&gt;=Settings!$B$4,F3&gt;=Settings!$B$5,O3&gt;=Settings!$B$6),"HIGH RATE","")</f>
        <v>HIGH RATE</v>
      </c>
      <c r="Y3" s="56" t="n">
        <f aca="false">IF(F3&gt;0,RANK(F3,$F$2:$F$1780)+COUNTIF($F$2:F3,F3)-1,"")</f>
        <v>17</v>
      </c>
      <c r="Z3" s="56" t="n">
        <f aca="false">IF(H3&gt;0,RANK(H3,$H$2:$H$1780)+COUNTIF($H$2:H3,H3)-1,"")</f>
        <v>20</v>
      </c>
      <c r="AA3" s="56" t="n">
        <f aca="false">IF(AC3="","",RANK(AC3,$AC$2:$AC$1780)+COUNTIF($AC$2:AC3,AC3)-1)</f>
        <v>63</v>
      </c>
      <c r="AB3" s="56" t="n">
        <f aca="false">IF(AD3="","",RANK(AD3,$AD$2:$AD$1780)+COUNTIF($AD$2:AD3,AD3)-1)</f>
        <v>4</v>
      </c>
      <c r="AC3" s="32" t="n">
        <f aca="false">IF(AND(F3&gt;0,E3&gt;=Settings!$B$4),J3,"")</f>
        <v>0.0621794871794872</v>
      </c>
      <c r="AD3" s="60" t="n">
        <f aca="false">IF(X3="HIGH RATE",O3,"")</f>
        <v>7.11009354849753</v>
      </c>
    </row>
    <row r="4" customFormat="false" ht="15" hidden="false" customHeight="false" outlineLevel="0" collapsed="false">
      <c r="A4" s="56" t="s">
        <v>212</v>
      </c>
      <c r="B4" s="56" t="s">
        <v>875</v>
      </c>
      <c r="C4" s="56" t="s">
        <v>51</v>
      </c>
      <c r="D4" s="56" t="str">
        <f aca="false">IFERROR(INDEX('Brand Map'!$B$4:$B$124,MATCH(C4,'Brand Map'!$A$4:$A$124,0)),"Other")</f>
        <v>AU</v>
      </c>
      <c r="E4" s="57" t="n">
        <v>390</v>
      </c>
      <c r="F4" s="57" t="n">
        <v>34</v>
      </c>
      <c r="G4" s="58" t="n">
        <v>33752.52</v>
      </c>
      <c r="H4" s="58" t="n">
        <v>2661.08</v>
      </c>
      <c r="I4" s="58" t="n">
        <v>29988.9</v>
      </c>
      <c r="J4" s="32" t="n">
        <f aca="false">IF(E4&gt;0,F4/E4,0)</f>
        <v>0.0871794871794872</v>
      </c>
      <c r="K4" s="32" t="n">
        <f aca="false">IF(G4&gt;0,H4/G4,0)</f>
        <v>0.0788409280255222</v>
      </c>
      <c r="L4" s="59" t="n">
        <f aca="false">H4/Settings!$B$16</f>
        <v>0.00531823875620028</v>
      </c>
      <c r="M4" s="59" t="n">
        <f aca="false">H4/Settings!$B$20</f>
        <v>0.0002065913498551</v>
      </c>
      <c r="N4" s="60" t="n">
        <f aca="false">E4*Settings!$B$3</f>
        <v>12.08459892113</v>
      </c>
      <c r="O4" s="60" t="n">
        <f aca="false">IF(E4&gt;0,(F4-N4)/SQRT(E4*Settings!$B$3*(1-Settings!$B$3)),0)</f>
        <v>6.40425049751351</v>
      </c>
      <c r="P4" s="60" t="n">
        <f aca="false">MAX(0,F4-N4)</f>
        <v>21.91540107887</v>
      </c>
      <c r="Q4" s="32" t="n">
        <f aca="false">(F4+Settings!$B$7*Settings!$B$3)/(E4+Settings!$B$7)</f>
        <v>0.0831656774580824</v>
      </c>
      <c r="R4" s="61" t="n">
        <f aca="false">PERCENTRANK($H$2:$H$1780,H4,6)</f>
        <v>0.974128</v>
      </c>
      <c r="S4" s="61" t="n">
        <f aca="false">PERCENTRANK($Q$2:$Q$1780,Q4,6)</f>
        <v>0.988751</v>
      </c>
      <c r="T4" s="61" t="n">
        <f aca="false">PERCENTRANK($F$2:$F$1780,F4,6)</f>
        <v>0.966254</v>
      </c>
      <c r="U4" s="62" t="n">
        <f aca="false">IF(F4&gt;0,(Settings!$B$8*T4+Settings!$B$9*R4+Settings!$B$10*S4)/SUM(Settings!$B$8:$B$10),0)</f>
        <v>0.976377666666667</v>
      </c>
      <c r="V4" s="56" t="n">
        <f aca="false">IF(U4&gt;0,RANK(U4,$U$2:$U$1780)+COUNTIF($U$2:U4,U4)-1,"")</f>
        <v>3</v>
      </c>
      <c r="W4" s="56" t="str">
        <f aca="false">IF(V4="","",IF(V4&lt;=Settings!$B$11,"1 - Fix first",IF(V4&lt;=Settings!$B$12,"2 - Review","3 - Monitor")))</f>
        <v>1 - Fix first</v>
      </c>
      <c r="X4" s="56" t="str">
        <f aca="false">IF(AND(E4&gt;=Settings!$B$4,F4&gt;=Settings!$B$5,O4&gt;=Settings!$B$6),"HIGH RATE","")</f>
        <v>HIGH RATE</v>
      </c>
      <c r="Y4" s="56" t="n">
        <f aca="false">IF(F4&gt;0,RANK(F4,$F$2:$F$1780)+COUNTIF($F$2:F4,F4)-1,"")</f>
        <v>56</v>
      </c>
      <c r="Z4" s="56" t="n">
        <f aca="false">IF(H4&gt;0,RANK(H4,$H$2:$H$1780)+COUNTIF($H$2:H4,H4)-1,"")</f>
        <v>47</v>
      </c>
      <c r="AA4" s="56" t="n">
        <f aca="false">IF(AC4="","",RANK(AC4,$AC$2:$AC$1780)+COUNTIF($AC$2:AC4,AC4)-1)</f>
        <v>23</v>
      </c>
      <c r="AB4" s="56" t="n">
        <f aca="false">IF(AD4="","",RANK(AD4,$AD$2:$AD$1780)+COUNTIF($AD$2:AD4,AD4)-1)</f>
        <v>7</v>
      </c>
      <c r="AC4" s="32" t="n">
        <f aca="false">IF(AND(F4&gt;0,E4&gt;=Settings!$B$4),J4,"")</f>
        <v>0.0871794871794872</v>
      </c>
      <c r="AD4" s="60" t="n">
        <f aca="false">IF(X4="HIGH RATE",O4,"")</f>
        <v>6.40425049751351</v>
      </c>
    </row>
    <row r="5" customFormat="false" ht="15" hidden="false" customHeight="false" outlineLevel="0" collapsed="false">
      <c r="A5" s="56" t="s">
        <v>242</v>
      </c>
      <c r="B5" s="56" t="s">
        <v>574</v>
      </c>
      <c r="C5" s="56" t="s">
        <v>59</v>
      </c>
      <c r="D5" s="56" t="str">
        <f aca="false">IFERROR(INDEX('Brand Map'!$B$4:$B$124,MATCH(C5,'Brand Map'!$A$4:$A$124,0)),"Other")</f>
        <v>DC</v>
      </c>
      <c r="E5" s="57" t="n">
        <v>322</v>
      </c>
      <c r="F5" s="57" t="n">
        <v>28</v>
      </c>
      <c r="G5" s="58" t="n">
        <v>34769.85</v>
      </c>
      <c r="H5" s="58" t="n">
        <v>2889.28</v>
      </c>
      <c r="I5" s="58" t="n">
        <v>29719.48</v>
      </c>
      <c r="J5" s="32" t="n">
        <f aca="false">IF(E5&gt;0,F5/E5,0)</f>
        <v>0.0869565217391304</v>
      </c>
      <c r="K5" s="32" t="n">
        <f aca="false">IF(G5&gt;0,H5/G5,0)</f>
        <v>0.0830972811214314</v>
      </c>
      <c r="L5" s="59" t="n">
        <f aca="false">H5/Settings!$B$16</f>
        <v>0.00577430249128713</v>
      </c>
      <c r="M5" s="59" t="n">
        <f aca="false">H5/Settings!$B$20</f>
        <v>0.000224307519995394</v>
      </c>
      <c r="N5" s="60" t="n">
        <f aca="false">E5*Settings!$B$3</f>
        <v>9.97754064770217</v>
      </c>
      <c r="O5" s="60" t="n">
        <f aca="false">IF(E5&gt;0,(F5-N5)/SQRT(E5*Settings!$B$3*(1-Settings!$B$3)),0)</f>
        <v>5.79611921987906</v>
      </c>
      <c r="P5" s="60" t="n">
        <f aca="false">MAX(0,F5-N5)</f>
        <v>18.0224593522978</v>
      </c>
      <c r="Q5" s="32" t="n">
        <f aca="false">(F5+Settings!$B$7*Settings!$B$3)/(E5+Settings!$B$7)</f>
        <v>0.0821863196943029</v>
      </c>
      <c r="R5" s="61" t="n">
        <f aca="false">PERCENTRANK($H$2:$H$1780,H5,6)</f>
        <v>0.977503</v>
      </c>
      <c r="S5" s="61" t="n">
        <f aca="false">PERCENTRANK($Q$2:$Q$1780,Q5,6)</f>
        <v>0.987064</v>
      </c>
      <c r="T5" s="61" t="n">
        <f aca="false">PERCENTRANK($F$2:$F$1780,F5,6)</f>
        <v>0.961755</v>
      </c>
      <c r="U5" s="62" t="n">
        <f aca="false">IF(F5&gt;0,(Settings!$B$8*T5+Settings!$B$9*R5+Settings!$B$10*S5)/SUM(Settings!$B$8:$B$10),0)</f>
        <v>0.975440666666667</v>
      </c>
      <c r="V5" s="56" t="n">
        <f aca="false">IF(U5&gt;0,RANK(U5,$U$2:$U$1780)+COUNTIF($U$2:U5,U5)-1,"")</f>
        <v>4</v>
      </c>
      <c r="W5" s="56" t="str">
        <f aca="false">IF(V5="","",IF(V5&lt;=Settings!$B$11,"1 - Fix first",IF(V5&lt;=Settings!$B$12,"2 - Review","3 - Monitor")))</f>
        <v>1 - Fix first</v>
      </c>
      <c r="X5" s="56" t="str">
        <f aca="false">IF(AND(E5&gt;=Settings!$B$4,F5&gt;=Settings!$B$5,O5&gt;=Settings!$B$6),"HIGH RATE","")</f>
        <v>HIGH RATE</v>
      </c>
      <c r="Y5" s="56" t="n">
        <f aca="false">IF(F5&gt;0,RANK(F5,$F$2:$F$1780)+COUNTIF($F$2:F5,F5)-1,"")</f>
        <v>69</v>
      </c>
      <c r="Z5" s="56" t="n">
        <f aca="false">IF(H5&gt;0,RANK(H5,$H$2:$H$1780)+COUNTIF($H$2:H5,H5)-1,"")</f>
        <v>41</v>
      </c>
      <c r="AA5" s="56" t="n">
        <f aca="false">IF(AC5="","",RANK(AC5,$AC$2:$AC$1780)+COUNTIF($AC$2:AC5,AC5)-1)</f>
        <v>24</v>
      </c>
      <c r="AB5" s="56" t="n">
        <f aca="false">IF(AD5="","",RANK(AD5,$AD$2:$AD$1780)+COUNTIF($AD$2:AD5,AD5)-1)</f>
        <v>11</v>
      </c>
      <c r="AC5" s="32" t="n">
        <f aca="false">IF(AND(F5&gt;0,E5&gt;=Settings!$B$4),J5,"")</f>
        <v>0.0869565217391304</v>
      </c>
      <c r="AD5" s="60" t="n">
        <f aca="false">IF(X5="HIGH RATE",O5,"")</f>
        <v>5.79611921987906</v>
      </c>
    </row>
    <row r="6" customFormat="false" ht="15" hidden="false" customHeight="false" outlineLevel="0" collapsed="false">
      <c r="A6" s="56" t="s">
        <v>223</v>
      </c>
      <c r="B6" s="56" t="s">
        <v>876</v>
      </c>
      <c r="C6" s="56" t="s">
        <v>55</v>
      </c>
      <c r="D6" s="56" t="str">
        <f aca="false">IFERROR(INDEX('Brand Map'!$B$4:$B$124,MATCH(C6,'Brand Map'!$A$4:$A$124,0)),"Other")</f>
        <v>AUMJ</v>
      </c>
      <c r="E6" s="57" t="n">
        <v>1250</v>
      </c>
      <c r="F6" s="57" t="n">
        <v>74</v>
      </c>
      <c r="G6" s="58" t="n">
        <v>137816.86</v>
      </c>
      <c r="H6" s="58" t="n">
        <v>8226.91</v>
      </c>
      <c r="I6" s="58" t="n">
        <v>123548.43</v>
      </c>
      <c r="J6" s="32" t="n">
        <f aca="false">IF(E6&gt;0,F6/E6,0)</f>
        <v>0.0592</v>
      </c>
      <c r="K6" s="32" t="n">
        <f aca="false">IF(G6&gt;0,H6/G6,0)</f>
        <v>0.059694510526506</v>
      </c>
      <c r="L6" s="59" t="n">
        <f aca="false">H6/Settings!$B$16</f>
        <v>0.0164416972078147</v>
      </c>
      <c r="M6" s="59" t="n">
        <f aca="false">H6/Settings!$B$20</f>
        <v>0.000638691223877681</v>
      </c>
      <c r="N6" s="60" t="n">
        <f aca="false">E6*Settings!$B$3</f>
        <v>38.7326888497755</v>
      </c>
      <c r="O6" s="60" t="n">
        <f aca="false">IF(E6&gt;0,(F6-N6)/SQRT(E6*Settings!$B$3*(1-Settings!$B$3)),0)</f>
        <v>5.75663288077568</v>
      </c>
      <c r="P6" s="60" t="n">
        <f aca="false">MAX(0,F6-N6)</f>
        <v>35.2673111502245</v>
      </c>
      <c r="Q6" s="32" t="n">
        <f aca="false">(F6+Settings!$B$7*Settings!$B$3)/(E6+Settings!$B$7)</f>
        <v>0.0585387379159333</v>
      </c>
      <c r="R6" s="61" t="n">
        <f aca="false">PERCENTRANK($H$2:$H$1780,H6,6)</f>
        <v>0.994938</v>
      </c>
      <c r="S6" s="61" t="n">
        <f aca="false">PERCENTRANK($Q$2:$Q$1780,Q6,6)</f>
        <v>0.940382</v>
      </c>
      <c r="T6" s="61" t="n">
        <f aca="false">PERCENTRANK($F$2:$F$1780,F6,6)</f>
        <v>0.985377</v>
      </c>
      <c r="U6" s="62" t="n">
        <f aca="false">IF(F6&gt;0,(Settings!$B$8*T6+Settings!$B$9*R6+Settings!$B$10*S6)/SUM(Settings!$B$8:$B$10),0)</f>
        <v>0.973565666666667</v>
      </c>
      <c r="V6" s="56" t="n">
        <f aca="false">IF(U6&gt;0,RANK(U6,$U$2:$U$1780)+COUNTIF($U$2:U6,U6)-1,"")</f>
        <v>5</v>
      </c>
      <c r="W6" s="56" t="str">
        <f aca="false">IF(V6="","",IF(V6&lt;=Settings!$B$11,"1 - Fix first",IF(V6&lt;=Settings!$B$12,"2 - Review","3 - Monitor")))</f>
        <v>1 - Fix first</v>
      </c>
      <c r="X6" s="56" t="str">
        <f aca="false">IF(AND(E6&gt;=Settings!$B$4,F6&gt;=Settings!$B$5,O6&gt;=Settings!$B$6),"HIGH RATE","")</f>
        <v>HIGH RATE</v>
      </c>
      <c r="Y6" s="56" t="n">
        <f aca="false">IF(F6&gt;0,RANK(F6,$F$2:$F$1780)+COUNTIF($F$2:F6,F6)-1,"")</f>
        <v>27</v>
      </c>
      <c r="Z6" s="56" t="n">
        <f aca="false">IF(H6&gt;0,RANK(H6,$H$2:$H$1780)+COUNTIF($H$2:H6,H6)-1,"")</f>
        <v>10</v>
      </c>
      <c r="AA6" s="56" t="n">
        <f aca="false">IF(AC6="","",RANK(AC6,$AC$2:$AC$1780)+COUNTIF($AC$2:AC6,AC6)-1)</f>
        <v>75</v>
      </c>
      <c r="AB6" s="56" t="n">
        <f aca="false">IF(AD6="","",RANK(AD6,$AD$2:$AD$1780)+COUNTIF($AD$2:AD6,AD6)-1)</f>
        <v>12</v>
      </c>
      <c r="AC6" s="32" t="n">
        <f aca="false">IF(AND(F6&gt;0,E6&gt;=Settings!$B$4),J6,"")</f>
        <v>0.0592</v>
      </c>
      <c r="AD6" s="60" t="n">
        <f aca="false">IF(X6="HIGH RATE",O6,"")</f>
        <v>5.75663288077568</v>
      </c>
    </row>
    <row r="7" customFormat="false" ht="15" hidden="false" customHeight="false" outlineLevel="0" collapsed="false">
      <c r="A7" s="56" t="s">
        <v>211</v>
      </c>
      <c r="B7" s="56" t="s">
        <v>877</v>
      </c>
      <c r="C7" s="56" t="s">
        <v>51</v>
      </c>
      <c r="D7" s="56" t="str">
        <f aca="false">IFERROR(INDEX('Brand Map'!$B$4:$B$124,MATCH(C7,'Brand Map'!$A$4:$A$124,0)),"Other")</f>
        <v>AU</v>
      </c>
      <c r="E7" s="57" t="n">
        <v>128</v>
      </c>
      <c r="F7" s="57" t="n">
        <v>15</v>
      </c>
      <c r="G7" s="58" t="n">
        <v>25622.08</v>
      </c>
      <c r="H7" s="58" t="n">
        <v>2729.11</v>
      </c>
      <c r="I7" s="58" t="n">
        <v>21976.04</v>
      </c>
      <c r="J7" s="32" t="n">
        <f aca="false">IF(E7&gt;0,F7/E7,0)</f>
        <v>0.1171875</v>
      </c>
      <c r="K7" s="32" t="n">
        <f aca="false">IF(G7&gt;0,H7/G7,0)</f>
        <v>0.106513991057713</v>
      </c>
      <c r="L7" s="59" t="n">
        <f aca="false">H7/Settings!$B$16</f>
        <v>0.00545419851035435</v>
      </c>
      <c r="M7" s="59" t="n">
        <f aca="false">H7/Settings!$B$20</f>
        <v>0.000211872818105074</v>
      </c>
      <c r="N7" s="60" t="n">
        <f aca="false">E7*Settings!$B$3</f>
        <v>3.96622733821701</v>
      </c>
      <c r="O7" s="60" t="n">
        <f aca="false">IF(E7&gt;0,(F7-N7)/SQRT(E7*Settings!$B$3*(1-Settings!$B$3)),0)</f>
        <v>5.62820927796152</v>
      </c>
      <c r="P7" s="60" t="n">
        <f aca="false">MAX(0,F7-N7)</f>
        <v>11.033772661783</v>
      </c>
      <c r="Q7" s="32" t="n">
        <f aca="false">(F7+Settings!$B$7*Settings!$B$3)/(E7+Settings!$B$7)</f>
        <v>0.10082015526832</v>
      </c>
      <c r="R7" s="61" t="n">
        <f aca="false">PERCENTRANK($H$2:$H$1780,H7,6)</f>
        <v>0.975253</v>
      </c>
      <c r="S7" s="61" t="n">
        <f aca="false">PERCENTRANK($Q$2:$Q$1780,Q7,6)</f>
        <v>0.998313</v>
      </c>
      <c r="T7" s="61" t="n">
        <f aca="false">PERCENTRANK($F$2:$F$1780,F7,6)</f>
        <v>0.940945</v>
      </c>
      <c r="U7" s="62" t="n">
        <f aca="false">IF(F7&gt;0,(Settings!$B$8*T7+Settings!$B$9*R7+Settings!$B$10*S7)/SUM(Settings!$B$8:$B$10),0)</f>
        <v>0.971503666666667</v>
      </c>
      <c r="V7" s="56" t="n">
        <f aca="false">IF(U7&gt;0,RANK(U7,$U$2:$U$1780)+COUNTIF($U$2:U7,U7)-1,"")</f>
        <v>6</v>
      </c>
      <c r="W7" s="56" t="str">
        <f aca="false">IF(V7="","",IF(V7&lt;=Settings!$B$11,"1 - Fix first",IF(V7&lt;=Settings!$B$12,"2 - Review","3 - Monitor")))</f>
        <v>1 - Fix first</v>
      </c>
      <c r="X7" s="56" t="str">
        <f aca="false">IF(AND(E7&gt;=Settings!$B$4,F7&gt;=Settings!$B$5,O7&gt;=Settings!$B$6),"HIGH RATE","")</f>
        <v>HIGH RATE</v>
      </c>
      <c r="Y7" s="56" t="n">
        <f aca="false">IF(F7&gt;0,RANK(F7,$F$2:$F$1780)+COUNTIF($F$2:F7,F7)-1,"")</f>
        <v>102</v>
      </c>
      <c r="Z7" s="56" t="n">
        <f aca="false">IF(H7&gt;0,RANK(H7,$H$2:$H$1780)+COUNTIF($H$2:H7,H7)-1,"")</f>
        <v>45</v>
      </c>
      <c r="AA7" s="56" t="n">
        <f aca="false">IF(AC7="","",RANK(AC7,$AC$2:$AC$1780)+COUNTIF($AC$2:AC7,AC7)-1)</f>
        <v>7</v>
      </c>
      <c r="AB7" s="56" t="n">
        <f aca="false">IF(AD7="","",RANK(AD7,$AD$2:$AD$1780)+COUNTIF($AD$2:AD7,AD7)-1)</f>
        <v>13</v>
      </c>
      <c r="AC7" s="32" t="n">
        <f aca="false">IF(AND(F7&gt;0,E7&gt;=Settings!$B$4),J7,"")</f>
        <v>0.1171875</v>
      </c>
      <c r="AD7" s="60" t="n">
        <f aca="false">IF(X7="HIGH RATE",O7,"")</f>
        <v>5.62820927796152</v>
      </c>
    </row>
    <row r="8" customFormat="false" ht="15" hidden="false" customHeight="false" outlineLevel="0" collapsed="false">
      <c r="A8" s="56" t="s">
        <v>204</v>
      </c>
      <c r="B8" s="56" t="s">
        <v>878</v>
      </c>
      <c r="C8" s="56" t="s">
        <v>51</v>
      </c>
      <c r="D8" s="56" t="str">
        <f aca="false">IFERROR(INDEX('Brand Map'!$B$4:$B$124,MATCH(C8,'Brand Map'!$A$4:$A$124,0)),"Other")</f>
        <v>AU</v>
      </c>
      <c r="E8" s="57" t="n">
        <v>651</v>
      </c>
      <c r="F8" s="57" t="n">
        <v>41</v>
      </c>
      <c r="G8" s="58" t="n">
        <v>62863.8</v>
      </c>
      <c r="H8" s="58" t="n">
        <v>3718.19</v>
      </c>
      <c r="I8" s="58" t="n">
        <v>56727.11</v>
      </c>
      <c r="J8" s="32" t="n">
        <f aca="false">IF(E8&gt;0,F8/E8,0)</f>
        <v>0.0629800307219662</v>
      </c>
      <c r="K8" s="32" t="n">
        <f aca="false">IF(G8&gt;0,H8/G8,0)</f>
        <v>0.0591467585478447</v>
      </c>
      <c r="L8" s="59" t="n">
        <f aca="false">H8/Settings!$B$16</f>
        <v>0.00743090104803926</v>
      </c>
      <c r="M8" s="59" t="n">
        <f aca="false">H8/Settings!$B$20</f>
        <v>0.000288659450718405</v>
      </c>
      <c r="N8" s="60" t="n">
        <f aca="false">E8*Settings!$B$3</f>
        <v>20.1719843529631</v>
      </c>
      <c r="O8" s="60" t="n">
        <f aca="false">IF(E8&gt;0,(F8-N8)/SQRT(E8*Settings!$B$3*(1-Settings!$B$3)),0)</f>
        <v>4.71095105379844</v>
      </c>
      <c r="P8" s="60" t="n">
        <f aca="false">MAX(0,F8-N8)</f>
        <v>20.8280156470369</v>
      </c>
      <c r="Q8" s="32" t="n">
        <f aca="false">(F8+Settings!$B$7*Settings!$B$3)/(E8+Settings!$B$7)</f>
        <v>0.061570608711299</v>
      </c>
      <c r="R8" s="61" t="n">
        <f aca="false">PERCENTRANK($H$2:$H$1780,H8,6)</f>
        <v>0.984814</v>
      </c>
      <c r="S8" s="61" t="n">
        <f aca="false">PERCENTRANK($Q$2:$Q$1780,Q8,6)</f>
        <v>0.954443</v>
      </c>
      <c r="T8" s="61" t="n">
        <f aca="false">PERCENTRANK($F$2:$F$1780,F8,6)</f>
        <v>0.974691</v>
      </c>
      <c r="U8" s="62" t="n">
        <f aca="false">IF(F8&gt;0,(Settings!$B$8*T8+Settings!$B$9*R8+Settings!$B$10*S8)/SUM(Settings!$B$8:$B$10),0)</f>
        <v>0.971316</v>
      </c>
      <c r="V8" s="56" t="n">
        <f aca="false">IF(U8&gt;0,RANK(U8,$U$2:$U$1780)+COUNTIF($U$2:U8,U8)-1,"")</f>
        <v>7</v>
      </c>
      <c r="W8" s="56" t="str">
        <f aca="false">IF(V8="","",IF(V8&lt;=Settings!$B$11,"1 - Fix first",IF(V8&lt;=Settings!$B$12,"2 - Review","3 - Monitor")))</f>
        <v>1 - Fix first</v>
      </c>
      <c r="X8" s="56" t="str">
        <f aca="false">IF(AND(E8&gt;=Settings!$B$4,F8&gt;=Settings!$B$5,O8&gt;=Settings!$B$6),"HIGH RATE","")</f>
        <v>HIGH RATE</v>
      </c>
      <c r="Y8" s="56" t="n">
        <f aca="false">IF(F8&gt;0,RANK(F8,$F$2:$F$1780)+COUNTIF($F$2:F8,F8)-1,"")</f>
        <v>44</v>
      </c>
      <c r="Z8" s="56" t="n">
        <f aca="false">IF(H8&gt;0,RANK(H8,$H$2:$H$1780)+COUNTIF($H$2:H8,H8)-1,"")</f>
        <v>28</v>
      </c>
      <c r="AA8" s="56" t="n">
        <f aca="false">IF(AC8="","",RANK(AC8,$AC$2:$AC$1780)+COUNTIF($AC$2:AC8,AC8)-1)</f>
        <v>58</v>
      </c>
      <c r="AB8" s="56" t="n">
        <f aca="false">IF(AD8="","",RANK(AD8,$AD$2:$AD$1780)+COUNTIF($AD$2:AD8,AD8)-1)</f>
        <v>24</v>
      </c>
      <c r="AC8" s="32" t="n">
        <f aca="false">IF(AND(F8&gt;0,E8&gt;=Settings!$B$4),J8,"")</f>
        <v>0.0629800307219662</v>
      </c>
      <c r="AD8" s="60" t="n">
        <f aca="false">IF(X8="HIGH RATE",O8,"")</f>
        <v>4.71095105379844</v>
      </c>
    </row>
    <row r="9" customFormat="false" ht="15" hidden="false" customHeight="false" outlineLevel="0" collapsed="false">
      <c r="A9" s="56" t="s">
        <v>207</v>
      </c>
      <c r="B9" s="56" t="s">
        <v>879</v>
      </c>
      <c r="C9" s="56" t="s">
        <v>51</v>
      </c>
      <c r="D9" s="56" t="str">
        <f aca="false">IFERROR(INDEX('Brand Map'!$B$4:$B$124,MATCH(C9,'Brand Map'!$A$4:$A$124,0)),"Other")</f>
        <v>AU</v>
      </c>
      <c r="E9" s="57" t="n">
        <v>360</v>
      </c>
      <c r="F9" s="57" t="n">
        <v>25</v>
      </c>
      <c r="G9" s="58" t="n">
        <v>47767.39</v>
      </c>
      <c r="H9" s="58" t="n">
        <v>3303.38</v>
      </c>
      <c r="I9" s="58" t="n">
        <v>43432.31</v>
      </c>
      <c r="J9" s="32" t="n">
        <f aca="false">IF(E9&gt;0,F9/E9,0)</f>
        <v>0.0694444444444445</v>
      </c>
      <c r="K9" s="32" t="n">
        <f aca="false">IF(G9&gt;0,H9/G9,0)</f>
        <v>0.0691555473305115</v>
      </c>
      <c r="L9" s="59" t="n">
        <f aca="false">H9/Settings!$B$16</f>
        <v>0.00660189229277469</v>
      </c>
      <c r="M9" s="59" t="n">
        <f aca="false">H9/Settings!$B$20</f>
        <v>0.000256455925144806</v>
      </c>
      <c r="N9" s="60" t="n">
        <f aca="false">E9*Settings!$B$3</f>
        <v>11.1550143887354</v>
      </c>
      <c r="O9" s="60" t="n">
        <f aca="false">IF(E9&gt;0,(F9-N9)/SQRT(E9*Settings!$B$3*(1-Settings!$B$3)),0)</f>
        <v>4.21106989009751</v>
      </c>
      <c r="P9" s="60" t="n">
        <f aca="false">MAX(0,F9-N9)</f>
        <v>13.8449856112646</v>
      </c>
      <c r="Q9" s="32" t="n">
        <f aca="false">(F9+Settings!$B$7*Settings!$B$3)/(E9+Settings!$B$7)</f>
        <v>0.0664861141856272</v>
      </c>
      <c r="R9" s="61" t="n">
        <f aca="false">PERCENTRANK($H$2:$H$1780,H9,6)</f>
        <v>0.98144</v>
      </c>
      <c r="S9" s="61" t="n">
        <f aca="false">PERCENTRANK($Q$2:$Q$1780,Q9,6)</f>
        <v>0.967379</v>
      </c>
      <c r="T9" s="61" t="n">
        <f aca="false">PERCENTRANK($F$2:$F$1780,F9,6)</f>
        <v>0.958943</v>
      </c>
      <c r="U9" s="62" t="n">
        <f aca="false">IF(F9&gt;0,(Settings!$B$8*T9+Settings!$B$9*R9+Settings!$B$10*S9)/SUM(Settings!$B$8:$B$10),0)</f>
        <v>0.969254</v>
      </c>
      <c r="V9" s="56" t="n">
        <f aca="false">IF(U9&gt;0,RANK(U9,$U$2:$U$1780)+COUNTIF($U$2:U9,U9)-1,"")</f>
        <v>8</v>
      </c>
      <c r="W9" s="56" t="str">
        <f aca="false">IF(V9="","",IF(V9&lt;=Settings!$B$11,"1 - Fix first",IF(V9&lt;=Settings!$B$12,"2 - Review","3 - Monitor")))</f>
        <v>1 - Fix first</v>
      </c>
      <c r="X9" s="56" t="str">
        <f aca="false">IF(AND(E9&gt;=Settings!$B$4,F9&gt;=Settings!$B$5,O9&gt;=Settings!$B$6),"HIGH RATE","")</f>
        <v>HIGH RATE</v>
      </c>
      <c r="Y9" s="56" t="n">
        <f aca="false">IF(F9&gt;0,RANK(F9,$F$2:$F$1780)+COUNTIF($F$2:F9,F9)-1,"")</f>
        <v>72</v>
      </c>
      <c r="Z9" s="56" t="n">
        <f aca="false">IF(H9&gt;0,RANK(H9,$H$2:$H$1780)+COUNTIF($H$2:H9,H9)-1,"")</f>
        <v>34</v>
      </c>
      <c r="AA9" s="56" t="n">
        <f aca="false">IF(AC9="","",RANK(AC9,$AC$2:$AC$1780)+COUNTIF($AC$2:AC9,AC9)-1)</f>
        <v>43</v>
      </c>
      <c r="AB9" s="56" t="n">
        <f aca="false">IF(AD9="","",RANK(AD9,$AD$2:$AD$1780)+COUNTIF($AD$2:AD9,AD9)-1)</f>
        <v>38</v>
      </c>
      <c r="AC9" s="32" t="n">
        <f aca="false">IF(AND(F9&gt;0,E9&gt;=Settings!$B$4),J9,"")</f>
        <v>0.0694444444444445</v>
      </c>
      <c r="AD9" s="60" t="n">
        <f aca="false">IF(X9="HIGH RATE",O9,"")</f>
        <v>4.21106989009751</v>
      </c>
    </row>
    <row r="10" customFormat="false" ht="15" hidden="false" customHeight="false" outlineLevel="0" collapsed="false">
      <c r="A10" s="56" t="s">
        <v>219</v>
      </c>
      <c r="B10" s="56" t="s">
        <v>369</v>
      </c>
      <c r="C10" s="56" t="s">
        <v>55</v>
      </c>
      <c r="D10" s="56" t="str">
        <f aca="false">IFERROR(INDEX('Brand Map'!$B$4:$B$124,MATCH(C10,'Brand Map'!$A$4:$A$124,0)),"Other")</f>
        <v>AUMJ</v>
      </c>
      <c r="E10" s="57" t="n">
        <v>6304</v>
      </c>
      <c r="F10" s="57" t="n">
        <v>335</v>
      </c>
      <c r="G10" s="58" t="n">
        <v>590802.51</v>
      </c>
      <c r="H10" s="58" t="n">
        <v>30439.34</v>
      </c>
      <c r="I10" s="58" t="n">
        <v>534323.8</v>
      </c>
      <c r="J10" s="32" t="n">
        <f aca="false">IF(E10&gt;0,F10/E10,0)</f>
        <v>0.0531408629441624</v>
      </c>
      <c r="K10" s="32" t="n">
        <f aca="false">IF(G10&gt;0,H10/G10,0)</f>
        <v>0.0515220221390055</v>
      </c>
      <c r="L10" s="59" t="n">
        <f aca="false">H10/Settings!$B$16</f>
        <v>0.0608338260034112</v>
      </c>
      <c r="M10" s="59" t="n">
        <f aca="false">H10/Settings!$B$20</f>
        <v>0.00236313990533856</v>
      </c>
      <c r="N10" s="60" t="n">
        <f aca="false">E10*Settings!$B$3</f>
        <v>195.336696407188</v>
      </c>
      <c r="O10" s="60" t="n">
        <f aca="false">IF(E10&gt;0,(F10-N10)/SQRT(E10*Settings!$B$3*(1-Settings!$B$3)),0)</f>
        <v>10.1513873447209</v>
      </c>
      <c r="P10" s="60" t="n">
        <f aca="false">MAX(0,F10-N10)</f>
        <v>139.663303592812</v>
      </c>
      <c r="Q10" s="32" t="n">
        <f aca="false">(F10+Settings!$B$7*Settings!$B$3)/(E10+Settings!$B$7)</f>
        <v>0.0530359306176815</v>
      </c>
      <c r="R10" s="61" t="n">
        <f aca="false">PERCENTRANK($H$2:$H$1780,H10,6)</f>
        <v>1</v>
      </c>
      <c r="S10" s="61" t="n">
        <f aca="false">PERCENTRANK($Q$2:$Q$1780,Q10,6)</f>
        <v>0.907762</v>
      </c>
      <c r="T10" s="61" t="n">
        <f aca="false">PERCENTRANK($F$2:$F$1780,F10,6)</f>
        <v>0.998313</v>
      </c>
      <c r="U10" s="62" t="n">
        <f aca="false">IF(F10&gt;0,(Settings!$B$8*T10+Settings!$B$9*R10+Settings!$B$10*S10)/SUM(Settings!$B$8:$B$10),0)</f>
        <v>0.968691666666667</v>
      </c>
      <c r="V10" s="56" t="n">
        <f aca="false">IF(U10&gt;0,RANK(U10,$U$2:$U$1780)+COUNTIF($U$2:U10,U10)-1,"")</f>
        <v>9</v>
      </c>
      <c r="W10" s="56" t="str">
        <f aca="false">IF(V10="","",IF(V10&lt;=Settings!$B$11,"1 - Fix first",IF(V10&lt;=Settings!$B$12,"2 - Review","3 - Monitor")))</f>
        <v>1 - Fix first</v>
      </c>
      <c r="X10" s="56" t="str">
        <f aca="false">IF(AND(E10&gt;=Settings!$B$4,F10&gt;=Settings!$B$5,O10&gt;=Settings!$B$6),"HIGH RATE","")</f>
        <v>HIGH RATE</v>
      </c>
      <c r="Y10" s="56" t="n">
        <f aca="false">IF(F10&gt;0,RANK(F10,$F$2:$F$1780)+COUNTIF($F$2:F10,F10)-1,"")</f>
        <v>4</v>
      </c>
      <c r="Z10" s="56" t="n">
        <f aca="false">IF(H10&gt;0,RANK(H10,$H$2:$H$1780)+COUNTIF($H$2:H10,H10)-1,"")</f>
        <v>1</v>
      </c>
      <c r="AA10" s="56" t="n">
        <f aca="false">IF(AC10="","",RANK(AC10,$AC$2:$AC$1780)+COUNTIF($AC$2:AC10,AC10)-1)</f>
        <v>105</v>
      </c>
      <c r="AB10" s="56" t="n">
        <f aca="false">IF(AD10="","",RANK(AD10,$AD$2:$AD$1780)+COUNTIF($AD$2:AD10,AD10)-1)</f>
        <v>1</v>
      </c>
      <c r="AC10" s="32" t="n">
        <f aca="false">IF(AND(F10&gt;0,E10&gt;=Settings!$B$4),J10,"")</f>
        <v>0.0531408629441624</v>
      </c>
      <c r="AD10" s="60" t="n">
        <f aca="false">IF(X10="HIGH RATE",O10,"")</f>
        <v>10.1513873447209</v>
      </c>
    </row>
    <row r="11" customFormat="false" ht="15" hidden="false" customHeight="false" outlineLevel="0" collapsed="false">
      <c r="A11" s="56" t="s">
        <v>227</v>
      </c>
      <c r="B11" s="56" t="s">
        <v>880</v>
      </c>
      <c r="C11" s="56" t="s">
        <v>55</v>
      </c>
      <c r="D11" s="56" t="str">
        <f aca="false">IFERROR(INDEX('Brand Map'!$B$4:$B$124,MATCH(C11,'Brand Map'!$A$4:$A$124,0)),"Other")</f>
        <v>AUMJ</v>
      </c>
      <c r="E11" s="57" t="n">
        <v>789</v>
      </c>
      <c r="F11" s="57" t="n">
        <v>48</v>
      </c>
      <c r="G11" s="58" t="n">
        <v>55893.94</v>
      </c>
      <c r="H11" s="58" t="n">
        <v>3223.36</v>
      </c>
      <c r="I11" s="58" t="n">
        <v>50955.01</v>
      </c>
      <c r="J11" s="32" t="n">
        <f aca="false">IF(E11&gt;0,F11/E11,0)</f>
        <v>0.0608365019011407</v>
      </c>
      <c r="K11" s="32" t="n">
        <f aca="false">IF(G11&gt;0,H11/G11,0)</f>
        <v>0.0576692213860751</v>
      </c>
      <c r="L11" s="59" t="n">
        <f aca="false">H11/Settings!$B$16</f>
        <v>0.00644197020652732</v>
      </c>
      <c r="M11" s="59" t="n">
        <f aca="false">H11/Settings!$B$20</f>
        <v>0.000250243620435663</v>
      </c>
      <c r="N11" s="60" t="n">
        <f aca="false">E11*Settings!$B$3</f>
        <v>24.4480732019783</v>
      </c>
      <c r="O11" s="60" t="n">
        <f aca="false">IF(E11&gt;0,(F11-N11)/SQRT(E11*Settings!$B$3*(1-Settings!$B$3)),0)</f>
        <v>4.83881626983251</v>
      </c>
      <c r="P11" s="60" t="n">
        <f aca="false">MAX(0,F11-N11)</f>
        <v>23.5519267980217</v>
      </c>
      <c r="Q11" s="32" t="n">
        <f aca="false">(F11+Settings!$B$7*Settings!$B$3)/(E11+Settings!$B$7)</f>
        <v>0.0597430824571363</v>
      </c>
      <c r="R11" s="61" t="n">
        <f aca="false">PERCENTRANK($H$2:$H$1780,H11,6)</f>
        <v>0.980315</v>
      </c>
      <c r="S11" s="61" t="n">
        <f aca="false">PERCENTRANK($Q$2:$Q$1780,Q11,6)</f>
        <v>0.944882</v>
      </c>
      <c r="T11" s="61" t="n">
        <f aca="false">PERCENTRANK($F$2:$F$1780,F11,6)</f>
        <v>0.978065</v>
      </c>
      <c r="U11" s="62" t="n">
        <f aca="false">IF(F11&gt;0,(Settings!$B$8*T11+Settings!$B$9*R11+Settings!$B$10*S11)/SUM(Settings!$B$8:$B$10),0)</f>
        <v>0.967754</v>
      </c>
      <c r="V11" s="56" t="n">
        <f aca="false">IF(U11&gt;0,RANK(U11,$U$2:$U$1780)+COUNTIF($U$2:U11,U11)-1,"")</f>
        <v>11</v>
      </c>
      <c r="W11" s="56" t="str">
        <f aca="false">IF(V11="","",IF(V11&lt;=Settings!$B$11,"1 - Fix first",IF(V11&lt;=Settings!$B$12,"2 - Review","3 - Monitor")))</f>
        <v>1 - Fix first</v>
      </c>
      <c r="X11" s="56" t="str">
        <f aca="false">IF(AND(E11&gt;=Settings!$B$4,F11&gt;=Settings!$B$5,O11&gt;=Settings!$B$6),"HIGH RATE","")</f>
        <v>HIGH RATE</v>
      </c>
      <c r="Y11" s="56" t="n">
        <f aca="false">IF(F11&gt;0,RANK(F11,$F$2:$F$1780)+COUNTIF($F$2:F11,F11)-1,"")</f>
        <v>39</v>
      </c>
      <c r="Z11" s="56" t="n">
        <f aca="false">IF(H11&gt;0,RANK(H11,$H$2:$H$1780)+COUNTIF($H$2:H11,H11)-1,"")</f>
        <v>36</v>
      </c>
      <c r="AA11" s="56" t="n">
        <f aca="false">IF(AC11="","",RANK(AC11,$AC$2:$AC$1780)+COUNTIF($AC$2:AC11,AC11)-1)</f>
        <v>69</v>
      </c>
      <c r="AB11" s="56" t="n">
        <f aca="false">IF(AD11="","",RANK(AD11,$AD$2:$AD$1780)+COUNTIF($AD$2:AD11,AD11)-1)</f>
        <v>22</v>
      </c>
      <c r="AC11" s="32" t="n">
        <f aca="false">IF(AND(F11&gt;0,E11&gt;=Settings!$B$4),J11,"")</f>
        <v>0.0608365019011407</v>
      </c>
      <c r="AD11" s="60" t="n">
        <f aca="false">IF(X11="HIGH RATE",O11,"")</f>
        <v>4.83881626983251</v>
      </c>
    </row>
    <row r="12" customFormat="false" ht="15" hidden="false" customHeight="false" outlineLevel="0" collapsed="false">
      <c r="A12" s="56" t="s">
        <v>231</v>
      </c>
      <c r="B12" s="56" t="s">
        <v>881</v>
      </c>
      <c r="C12" s="56" t="s">
        <v>55</v>
      </c>
      <c r="D12" s="56" t="str">
        <f aca="false">IFERROR(INDEX('Brand Map'!$B$4:$B$124,MATCH(C12,'Brand Map'!$A$4:$A$124,0)),"Other")</f>
        <v>AUMJ</v>
      </c>
      <c r="E12" s="57" t="n">
        <v>487</v>
      </c>
      <c r="F12" s="57" t="n">
        <v>33</v>
      </c>
      <c r="G12" s="58" t="n">
        <v>39896.04</v>
      </c>
      <c r="H12" s="58" t="n">
        <v>2389.19</v>
      </c>
      <c r="I12" s="58" t="n">
        <v>35465.37</v>
      </c>
      <c r="J12" s="32" t="n">
        <f aca="false">IF(E12&gt;0,F12/E12,0)</f>
        <v>0.0677618069815195</v>
      </c>
      <c r="K12" s="32" t="n">
        <f aca="false">IF(G12&gt;0,H12/G12,0)</f>
        <v>0.0598853921341567</v>
      </c>
      <c r="L12" s="59" t="n">
        <f aca="false">H12/Settings!$B$16</f>
        <v>0.0047748594006667</v>
      </c>
      <c r="M12" s="59" t="n">
        <f aca="false">H12/Settings!$B$20</f>
        <v>0.000185483332767262</v>
      </c>
      <c r="N12" s="60" t="n">
        <f aca="false">E12*Settings!$B$3</f>
        <v>15.0902555758725</v>
      </c>
      <c r="O12" s="60" t="n">
        <f aca="false">IF(E12&gt;0,(F12-N12)/SQRT(E12*Settings!$B$3*(1-Settings!$B$3)),0)</f>
        <v>4.68356011405258</v>
      </c>
      <c r="P12" s="60" t="n">
        <f aca="false">MAX(0,F12-N12)</f>
        <v>17.9097444241275</v>
      </c>
      <c r="Q12" s="32" t="n">
        <f aca="false">(F12+Settings!$B$7*Settings!$B$3)/(E12+Settings!$B$7)</f>
        <v>0.065627823080067</v>
      </c>
      <c r="R12" s="61" t="n">
        <f aca="false">PERCENTRANK($H$2:$H$1780,H12,6)</f>
        <v>0.970754</v>
      </c>
      <c r="S12" s="61" t="n">
        <f aca="false">PERCENTRANK($Q$2:$Q$1780,Q12,6)</f>
        <v>0.966817</v>
      </c>
      <c r="T12" s="61" t="n">
        <f aca="false">PERCENTRANK($F$2:$F$1780,F12,6)</f>
        <v>0.965692</v>
      </c>
      <c r="U12" s="62" t="n">
        <f aca="false">IF(F12&gt;0,(Settings!$B$8*T12+Settings!$B$9*R12+Settings!$B$10*S12)/SUM(Settings!$B$8:$B$10),0)</f>
        <v>0.967754333333333</v>
      </c>
      <c r="V12" s="56" t="n">
        <f aca="false">IF(U12&gt;0,RANK(U12,$U$2:$U$1780)+COUNTIF($U$2:U12,U12)-1,"")</f>
        <v>10</v>
      </c>
      <c r="W12" s="56" t="str">
        <f aca="false">IF(V12="","",IF(V12&lt;=Settings!$B$11,"1 - Fix first",IF(V12&lt;=Settings!$B$12,"2 - Review","3 - Monitor")))</f>
        <v>1 - Fix first</v>
      </c>
      <c r="X12" s="56" t="str">
        <f aca="false">IF(AND(E12&gt;=Settings!$B$4,F12&gt;=Settings!$B$5,O12&gt;=Settings!$B$6),"HIGH RATE","")</f>
        <v>HIGH RATE</v>
      </c>
      <c r="Y12" s="56" t="n">
        <f aca="false">IF(F12&gt;0,RANK(F12,$F$2:$F$1780)+COUNTIF($F$2:F12,F12)-1,"")</f>
        <v>62</v>
      </c>
      <c r="Z12" s="56" t="n">
        <f aca="false">IF(H12&gt;0,RANK(H12,$H$2:$H$1780)+COUNTIF($H$2:H12,H12)-1,"")</f>
        <v>53</v>
      </c>
      <c r="AA12" s="56" t="n">
        <f aca="false">IF(AC12="","",RANK(AC12,$AC$2:$AC$1780)+COUNTIF($AC$2:AC12,AC12)-1)</f>
        <v>45</v>
      </c>
      <c r="AB12" s="56" t="n">
        <f aca="false">IF(AD12="","",RANK(AD12,$AD$2:$AD$1780)+COUNTIF($AD$2:AD12,AD12)-1)</f>
        <v>27</v>
      </c>
      <c r="AC12" s="32" t="n">
        <f aca="false">IF(AND(F12&gt;0,E12&gt;=Settings!$B$4),J12,"")</f>
        <v>0.0677618069815195</v>
      </c>
      <c r="AD12" s="60" t="n">
        <f aca="false">IF(X12="HIGH RATE",O12,"")</f>
        <v>4.68356011405258</v>
      </c>
    </row>
    <row r="13" customFormat="false" ht="15" hidden="false" customHeight="false" outlineLevel="0" collapsed="false">
      <c r="A13" s="56" t="s">
        <v>221</v>
      </c>
      <c r="B13" s="56" t="s">
        <v>882</v>
      </c>
      <c r="C13" s="56" t="s">
        <v>55</v>
      </c>
      <c r="D13" s="56" t="str">
        <f aca="false">IFERROR(INDEX('Brand Map'!$B$4:$B$124,MATCH(C13,'Brand Map'!$A$4:$A$124,0)),"Other")</f>
        <v>AUMJ</v>
      </c>
      <c r="E13" s="57" t="n">
        <v>2143</v>
      </c>
      <c r="F13" s="57" t="n">
        <v>115</v>
      </c>
      <c r="G13" s="58" t="n">
        <v>184687.94</v>
      </c>
      <c r="H13" s="58" t="n">
        <v>9879.04</v>
      </c>
      <c r="I13" s="58" t="n">
        <v>169366.16</v>
      </c>
      <c r="J13" s="32" t="n">
        <f aca="false">IF(E13&gt;0,F13/E13,0)</f>
        <v>0.0536630891273915</v>
      </c>
      <c r="K13" s="32" t="n">
        <f aca="false">IF(G13&gt;0,H13/G13,0)</f>
        <v>0.0534904444762338</v>
      </c>
      <c r="L13" s="59" t="n">
        <f aca="false">H13/Settings!$B$16</f>
        <v>0.0197435227058385</v>
      </c>
      <c r="M13" s="59" t="n">
        <f aca="false">H13/Settings!$B$20</f>
        <v>0.0007669533455862</v>
      </c>
      <c r="N13" s="60" t="n">
        <f aca="false">E13*Settings!$B$3</f>
        <v>66.4033217640552</v>
      </c>
      <c r="O13" s="60" t="n">
        <f aca="false">IF(E13&gt;0,(F13-N13)/SQRT(E13*Settings!$B$3*(1-Settings!$B$3)),0)</f>
        <v>6.05824301320141</v>
      </c>
      <c r="P13" s="60" t="n">
        <f aca="false">MAX(0,F13-N13)</f>
        <v>48.5966782359449</v>
      </c>
      <c r="Q13" s="32" t="n">
        <f aca="false">(F13+Settings!$B$7*Settings!$B$3)/(E13+Settings!$B$7)</f>
        <v>0.053350015891576</v>
      </c>
      <c r="R13" s="61" t="n">
        <f aca="false">PERCENTRANK($H$2:$H$1780,H13,6)</f>
        <v>0.997188</v>
      </c>
      <c r="S13" s="61" t="n">
        <f aca="false">PERCENTRANK($Q$2:$Q$1780,Q13,6)</f>
        <v>0.908886</v>
      </c>
      <c r="T13" s="61" t="n">
        <f aca="false">PERCENTRANK($F$2:$F$1780,F13,6)</f>
        <v>0.994376</v>
      </c>
      <c r="U13" s="62" t="n">
        <f aca="false">IF(F13&gt;0,(Settings!$B$8*T13+Settings!$B$9*R13+Settings!$B$10*S13)/SUM(Settings!$B$8:$B$10),0)</f>
        <v>0.966816666666667</v>
      </c>
      <c r="V13" s="56" t="n">
        <f aca="false">IF(U13&gt;0,RANK(U13,$U$2:$U$1780)+COUNTIF($U$2:U13,U13)-1,"")</f>
        <v>14</v>
      </c>
      <c r="W13" s="56" t="str">
        <f aca="false">IF(V13="","",IF(V13&lt;=Settings!$B$11,"1 - Fix first",IF(V13&lt;=Settings!$B$12,"2 - Review","3 - Monitor")))</f>
        <v>1 - Fix first</v>
      </c>
      <c r="X13" s="56" t="str">
        <f aca="false">IF(AND(E13&gt;=Settings!$B$4,F13&gt;=Settings!$B$5,O13&gt;=Settings!$B$6),"HIGH RATE","")</f>
        <v>HIGH RATE</v>
      </c>
      <c r="Y13" s="56" t="n">
        <f aca="false">IF(F13&gt;0,RANK(F13,$F$2:$F$1780)+COUNTIF($F$2:F13,F13)-1,"")</f>
        <v>11</v>
      </c>
      <c r="Z13" s="56" t="n">
        <f aca="false">IF(H13&gt;0,RANK(H13,$H$2:$H$1780)+COUNTIF($H$2:H13,H13)-1,"")</f>
        <v>6</v>
      </c>
      <c r="AA13" s="56" t="n">
        <f aca="false">IF(AC13="","",RANK(AC13,$AC$2:$AC$1780)+COUNTIF($AC$2:AC13,AC13)-1)</f>
        <v>100</v>
      </c>
      <c r="AB13" s="56" t="n">
        <f aca="false">IF(AD13="","",RANK(AD13,$AD$2:$AD$1780)+COUNTIF($AD$2:AD13,AD13)-1)</f>
        <v>10</v>
      </c>
      <c r="AC13" s="32" t="n">
        <f aca="false">IF(AND(F13&gt;0,E13&gt;=Settings!$B$4),J13,"")</f>
        <v>0.0536630891273915</v>
      </c>
      <c r="AD13" s="60" t="n">
        <f aca="false">IF(X13="HIGH RATE",O13,"")</f>
        <v>6.05824301320141</v>
      </c>
    </row>
    <row r="14" customFormat="false" ht="15" hidden="false" customHeight="false" outlineLevel="0" collapsed="false">
      <c r="A14" s="56" t="s">
        <v>228</v>
      </c>
      <c r="B14" s="56" t="s">
        <v>883</v>
      </c>
      <c r="C14" s="56" t="s">
        <v>55</v>
      </c>
      <c r="D14" s="56" t="str">
        <f aca="false">IFERROR(INDEX('Brand Map'!$B$4:$B$124,MATCH(C14,'Brand Map'!$A$4:$A$124,0)),"Other")</f>
        <v>AUMJ</v>
      </c>
      <c r="E14" s="57" t="n">
        <v>373</v>
      </c>
      <c r="F14" s="57" t="n">
        <v>25</v>
      </c>
      <c r="G14" s="58" t="n">
        <v>46966.98</v>
      </c>
      <c r="H14" s="58" t="n">
        <v>2874.25</v>
      </c>
      <c r="I14" s="58" t="n">
        <v>42074.22</v>
      </c>
      <c r="J14" s="32" t="n">
        <f aca="false">IF(E14&gt;0,F14/E14,0)</f>
        <v>0.0670241286863271</v>
      </c>
      <c r="K14" s="32" t="n">
        <f aca="false">IF(G14&gt;0,H14/G14,0)</f>
        <v>0.0611972496421954</v>
      </c>
      <c r="L14" s="59" t="n">
        <f aca="false">H14/Settings!$B$16</f>
        <v>0.00574426463879652</v>
      </c>
      <c r="M14" s="59" t="n">
        <f aca="false">H14/Settings!$B$20</f>
        <v>0.000223140674959423</v>
      </c>
      <c r="N14" s="60" t="n">
        <f aca="false">E14*Settings!$B$3</f>
        <v>11.557834352773</v>
      </c>
      <c r="O14" s="60" t="n">
        <f aca="false">IF(E14&gt;0,(F14-N14)/SQRT(E14*Settings!$B$3*(1-Settings!$B$3)),0)</f>
        <v>4.01666875508832</v>
      </c>
      <c r="P14" s="60" t="n">
        <f aca="false">MAX(0,F14-N14)</f>
        <v>13.442165647227</v>
      </c>
      <c r="Q14" s="32" t="n">
        <f aca="false">(F14+Settings!$B$7*Settings!$B$3)/(E14+Settings!$B$7)</f>
        <v>0.0643414008248005</v>
      </c>
      <c r="R14" s="61" t="n">
        <f aca="false">PERCENTRANK($H$2:$H$1780,H14,6)</f>
        <v>0.97694</v>
      </c>
      <c r="S14" s="61" t="n">
        <f aca="false">PERCENTRANK($Q$2:$Q$1780,Q14,6)</f>
        <v>0.964567</v>
      </c>
      <c r="T14" s="61" t="n">
        <f aca="false">PERCENTRANK($F$2:$F$1780,F14,6)</f>
        <v>0.958943</v>
      </c>
      <c r="U14" s="62" t="n">
        <f aca="false">IF(F14&gt;0,(Settings!$B$8*T14+Settings!$B$9*R14+Settings!$B$10*S14)/SUM(Settings!$B$8:$B$10),0)</f>
        <v>0.966816666666667</v>
      </c>
      <c r="V14" s="56" t="n">
        <f aca="false">IF(U14&gt;0,RANK(U14,$U$2:$U$1780)+COUNTIF($U$2:U14,U14)-1,"")</f>
        <v>13</v>
      </c>
      <c r="W14" s="56" t="str">
        <f aca="false">IF(V14="","",IF(V14&lt;=Settings!$B$11,"1 - Fix first",IF(V14&lt;=Settings!$B$12,"2 - Review","3 - Monitor")))</f>
        <v>1 - Fix first</v>
      </c>
      <c r="X14" s="56" t="str">
        <f aca="false">IF(AND(E14&gt;=Settings!$B$4,F14&gt;=Settings!$B$5,O14&gt;=Settings!$B$6),"HIGH RATE","")</f>
        <v>HIGH RATE</v>
      </c>
      <c r="Y14" s="56" t="n">
        <f aca="false">IF(F14&gt;0,RANK(F14,$F$2:$F$1780)+COUNTIF($F$2:F14,F14)-1,"")</f>
        <v>73</v>
      </c>
      <c r="Z14" s="56" t="n">
        <f aca="false">IF(H14&gt;0,RANK(H14,$H$2:$H$1780)+COUNTIF($H$2:H14,H14)-1,"")</f>
        <v>42</v>
      </c>
      <c r="AA14" s="56" t="n">
        <f aca="false">IF(AC14="","",RANK(AC14,$AC$2:$AC$1780)+COUNTIF($AC$2:AC14,AC14)-1)</f>
        <v>47</v>
      </c>
      <c r="AB14" s="56" t="n">
        <f aca="false">IF(AD14="","",RANK(AD14,$AD$2:$AD$1780)+COUNTIF($AD$2:AD14,AD14)-1)</f>
        <v>41</v>
      </c>
      <c r="AC14" s="32" t="n">
        <f aca="false">IF(AND(F14&gt;0,E14&gt;=Settings!$B$4),J14,"")</f>
        <v>0.0670241286863271</v>
      </c>
      <c r="AD14" s="60" t="n">
        <f aca="false">IF(X14="HIGH RATE",O14,"")</f>
        <v>4.01666875508832</v>
      </c>
    </row>
    <row r="15" customFormat="false" ht="15" hidden="false" customHeight="false" outlineLevel="0" collapsed="false">
      <c r="A15" s="56" t="s">
        <v>884</v>
      </c>
      <c r="B15" s="56" t="s">
        <v>885</v>
      </c>
      <c r="C15" s="56" t="s">
        <v>132</v>
      </c>
      <c r="D15" s="56" t="str">
        <f aca="false">IFERROR(INDEX('Brand Map'!$B$4:$B$124,MATCH(C15,'Brand Map'!$A$4:$A$124,0)),"Other")</f>
        <v>RP</v>
      </c>
      <c r="E15" s="57" t="n">
        <v>1096</v>
      </c>
      <c r="F15" s="57" t="n">
        <v>88</v>
      </c>
      <c r="G15" s="58" t="n">
        <v>9945.24</v>
      </c>
      <c r="H15" s="58" t="n">
        <v>748.77</v>
      </c>
      <c r="I15" s="58" t="n">
        <v>8740.03</v>
      </c>
      <c r="J15" s="32" t="n">
        <f aca="false">IF(E15&gt;0,F15/E15,0)</f>
        <v>0.0802919708029197</v>
      </c>
      <c r="K15" s="32" t="n">
        <f aca="false">IF(G15&gt;0,H15/G15,0)</f>
        <v>0.0752892841198403</v>
      </c>
      <c r="L15" s="59" t="n">
        <f aca="false">H15/Settings!$B$16</f>
        <v>0.00149643664733119</v>
      </c>
      <c r="M15" s="59" t="n">
        <f aca="false">H15/Settings!$B$20</f>
        <v>5.8130309885837E-005</v>
      </c>
      <c r="N15" s="60" t="n">
        <f aca="false">E15*Settings!$B$3</f>
        <v>33.9608215834832</v>
      </c>
      <c r="O15" s="60" t="n">
        <f aca="false">IF(E15&gt;0,(F15-N15)/SQRT(E15*Settings!$B$3*(1-Settings!$B$3)),0)</f>
        <v>9.42008131224312</v>
      </c>
      <c r="P15" s="60" t="n">
        <f aca="false">MAX(0,F15-N15)</f>
        <v>54.0391784165168</v>
      </c>
      <c r="Q15" s="32" t="n">
        <f aca="false">(F15+Settings!$B$7*Settings!$B$3)/(E15+Settings!$B$7)</f>
        <v>0.0789783166362297</v>
      </c>
      <c r="R15" s="61" t="n">
        <f aca="false">PERCENTRANK($H$2:$H$1780,H15,6)</f>
        <v>0.927447</v>
      </c>
      <c r="S15" s="61" t="n">
        <f aca="false">PERCENTRANK($Q$2:$Q$1780,Q15,6)</f>
        <v>0.984814</v>
      </c>
      <c r="T15" s="61" t="n">
        <f aca="false">PERCENTRANK($F$2:$F$1780,F15,6)</f>
        <v>0.988189</v>
      </c>
      <c r="U15" s="62" t="n">
        <f aca="false">IF(F15&gt;0,(Settings!$B$8*T15+Settings!$B$9*R15+Settings!$B$10*S15)/SUM(Settings!$B$8:$B$10),0)</f>
        <v>0.966816666666667</v>
      </c>
      <c r="V15" s="56" t="n">
        <f aca="false">IF(U15&gt;0,RANK(U15,$U$2:$U$1780)+COUNTIF($U$2:U15,U15)-1,"")</f>
        <v>14</v>
      </c>
      <c r="W15" s="56" t="str">
        <f aca="false">IF(V15="","",IF(V15&lt;=Settings!$B$11,"1 - Fix first",IF(V15&lt;=Settings!$B$12,"2 - Review","3 - Monitor")))</f>
        <v>1 - Fix first</v>
      </c>
      <c r="X15" s="56" t="str">
        <f aca="false">IF(AND(E15&gt;=Settings!$B$4,F15&gt;=Settings!$B$5,O15&gt;=Settings!$B$6),"HIGH RATE","")</f>
        <v>HIGH RATE</v>
      </c>
      <c r="Y15" s="56" t="n">
        <f aca="false">IF(F15&gt;0,RANK(F15,$F$2:$F$1780)+COUNTIF($F$2:F15,F15)-1,"")</f>
        <v>22</v>
      </c>
      <c r="Z15" s="56" t="n">
        <f aca="false">IF(H15&gt;0,RANK(H15,$H$2:$H$1780)+COUNTIF($H$2:H15,H15)-1,"")</f>
        <v>130</v>
      </c>
      <c r="AA15" s="56" t="n">
        <f aca="false">IF(AC15="","",RANK(AC15,$AC$2:$AC$1780)+COUNTIF($AC$2:AC15,AC15)-1)</f>
        <v>33</v>
      </c>
      <c r="AB15" s="56" t="n">
        <f aca="false">IF(AD15="","",RANK(AD15,$AD$2:$AD$1780)+COUNTIF($AD$2:AD15,AD15)-1)</f>
        <v>3</v>
      </c>
      <c r="AC15" s="32" t="n">
        <f aca="false">IF(AND(F15&gt;0,E15&gt;=Settings!$B$4),J15,"")</f>
        <v>0.0802919708029197</v>
      </c>
      <c r="AD15" s="60" t="n">
        <f aca="false">IF(X15="HIGH RATE",O15,"")</f>
        <v>9.42008131224312</v>
      </c>
    </row>
    <row r="16" customFormat="false" ht="15" hidden="false" customHeight="false" outlineLevel="0" collapsed="false">
      <c r="A16" s="56" t="s">
        <v>210</v>
      </c>
      <c r="B16" s="56" t="s">
        <v>886</v>
      </c>
      <c r="C16" s="56" t="s">
        <v>51</v>
      </c>
      <c r="D16" s="56" t="str">
        <f aca="false">IFERROR(INDEX('Brand Map'!$B$4:$B$124,MATCH(C16,'Brand Map'!$A$4:$A$124,0)),"Other")</f>
        <v>AU</v>
      </c>
      <c r="E16" s="57" t="n">
        <v>97</v>
      </c>
      <c r="F16" s="57" t="n">
        <v>11</v>
      </c>
      <c r="G16" s="58" t="n">
        <v>28606.11</v>
      </c>
      <c r="H16" s="58" t="n">
        <v>2932.31</v>
      </c>
      <c r="I16" s="58" t="n">
        <v>24509.44</v>
      </c>
      <c r="J16" s="32" t="n">
        <f aca="false">IF(E16&gt;0,F16/E16,0)</f>
        <v>0.11340206185567</v>
      </c>
      <c r="K16" s="32" t="n">
        <f aca="false">IF(G16&gt;0,H16/G16,0)</f>
        <v>0.102506422578953</v>
      </c>
      <c r="L16" s="59" t="n">
        <f aca="false">H16/Settings!$B$16</f>
        <v>0.00586029908427918</v>
      </c>
      <c r="M16" s="59" t="n">
        <f aca="false">H16/Settings!$B$20</f>
        <v>0.000227648128238763</v>
      </c>
      <c r="N16" s="60" t="n">
        <f aca="false">E16*Settings!$B$3</f>
        <v>3.00565665474258</v>
      </c>
      <c r="O16" s="60" t="n">
        <f aca="false">IF(E16&gt;0,(F16-N16)/SQRT(E16*Settings!$B$3*(1-Settings!$B$3)),0)</f>
        <v>4.68433688163919</v>
      </c>
      <c r="P16" s="60" t="n">
        <f aca="false">MAX(0,F16-N16)</f>
        <v>7.99434334525742</v>
      </c>
      <c r="Q16" s="32" t="n">
        <f aca="false">(F16+Settings!$B$7*Settings!$B$3)/(E16+Settings!$B$7)</f>
        <v>0.0939337364755481</v>
      </c>
      <c r="R16" s="61" t="n">
        <f aca="false">PERCENTRANK($H$2:$H$1780,H16,6)</f>
        <v>0.978628</v>
      </c>
      <c r="S16" s="61" t="n">
        <f aca="false">PERCENTRANK($Q$2:$Q$1780,Q16,6)</f>
        <v>0.995501</v>
      </c>
      <c r="T16" s="61" t="n">
        <f aca="false">PERCENTRANK($F$2:$F$1780,F16,6)</f>
        <v>0.925759</v>
      </c>
      <c r="U16" s="62" t="n">
        <f aca="false">IF(F16&gt;0,(Settings!$B$8*T16+Settings!$B$9*R16+Settings!$B$10*S16)/SUM(Settings!$B$8:$B$10),0)</f>
        <v>0.966629333333333</v>
      </c>
      <c r="V16" s="56" t="n">
        <f aca="false">IF(U16&gt;0,RANK(U16,$U$2:$U$1780)+COUNTIF($U$2:U16,U16)-1,"")</f>
        <v>15</v>
      </c>
      <c r="W16" s="56" t="str">
        <f aca="false">IF(V16="","",IF(V16&lt;=Settings!$B$11,"1 - Fix first",IF(V16&lt;=Settings!$B$12,"2 - Review","3 - Monitor")))</f>
        <v>1 - Fix first</v>
      </c>
      <c r="X16" s="56" t="str">
        <f aca="false">IF(AND(E16&gt;=Settings!$B$4,F16&gt;=Settings!$B$5,O16&gt;=Settings!$B$6),"HIGH RATE","")</f>
        <v>HIGH RATE</v>
      </c>
      <c r="Y16" s="56" t="n">
        <f aca="false">IF(F16&gt;0,RANK(F16,$F$2:$F$1780)+COUNTIF($F$2:F16,F16)-1,"")</f>
        <v>126</v>
      </c>
      <c r="Z16" s="56" t="n">
        <f aca="false">IF(H16&gt;0,RANK(H16,$H$2:$H$1780)+COUNTIF($H$2:H16,H16)-1,"")</f>
        <v>39</v>
      </c>
      <c r="AA16" s="56" t="n">
        <f aca="false">IF(AC16="","",RANK(AC16,$AC$2:$AC$1780)+COUNTIF($AC$2:AC16,AC16)-1)</f>
        <v>9</v>
      </c>
      <c r="AB16" s="56" t="n">
        <f aca="false">IF(AD16="","",RANK(AD16,$AD$2:$AD$1780)+COUNTIF($AD$2:AD16,AD16)-1)</f>
        <v>26</v>
      </c>
      <c r="AC16" s="32" t="n">
        <f aca="false">IF(AND(F16&gt;0,E16&gt;=Settings!$B$4),J16,"")</f>
        <v>0.11340206185567</v>
      </c>
      <c r="AD16" s="60" t="n">
        <f aca="false">IF(X16="HIGH RATE",O16,"")</f>
        <v>4.68433688163919</v>
      </c>
    </row>
    <row r="17" customFormat="false" ht="15" hidden="false" customHeight="false" outlineLevel="0" collapsed="false">
      <c r="A17" s="56" t="s">
        <v>233</v>
      </c>
      <c r="B17" s="56" t="s">
        <v>887</v>
      </c>
      <c r="C17" s="56" t="s">
        <v>55</v>
      </c>
      <c r="D17" s="56" t="str">
        <f aca="false">IFERROR(INDEX('Brand Map'!$B$4:$B$124,MATCH(C17,'Brand Map'!$A$4:$A$124,0)),"Other")</f>
        <v>AUMJ</v>
      </c>
      <c r="E17" s="57" t="n">
        <v>171</v>
      </c>
      <c r="F17" s="57" t="n">
        <v>16</v>
      </c>
      <c r="G17" s="58" t="n">
        <v>19368.12</v>
      </c>
      <c r="H17" s="58" t="n">
        <v>1832.99</v>
      </c>
      <c r="I17" s="58" t="n">
        <v>16714.51</v>
      </c>
      <c r="J17" s="32" t="n">
        <f aca="false">IF(E17&gt;0,F17/E17,0)</f>
        <v>0.0935672514619883</v>
      </c>
      <c r="K17" s="32" t="n">
        <f aca="false">IF(G17&gt;0,H17/G17,0)</f>
        <v>0.0946395416798326</v>
      </c>
      <c r="L17" s="59" t="n">
        <f aca="false">H17/Settings!$B$16</f>
        <v>0.00366327899113426</v>
      </c>
      <c r="M17" s="59" t="n">
        <f aca="false">H17/Settings!$B$20</f>
        <v>0.000142303079340305</v>
      </c>
      <c r="N17" s="60" t="n">
        <f aca="false">E17*Settings!$B$3</f>
        <v>5.29863183464929</v>
      </c>
      <c r="O17" s="60" t="n">
        <f aca="false">IF(E17&gt;0,(F17-N17)/SQRT(E17*Settings!$B$3*(1-Settings!$B$3)),0)</f>
        <v>4.72272264759713</v>
      </c>
      <c r="P17" s="60" t="n">
        <f aca="false">MAX(0,F17-N17)</f>
        <v>10.7013681653507</v>
      </c>
      <c r="Q17" s="32" t="n">
        <f aca="false">(F17+Settings!$B$7*Settings!$B$3)/(E17+Settings!$B$7)</f>
        <v>0.0842267887183812</v>
      </c>
      <c r="R17" s="61" t="n">
        <f aca="false">PERCENTRANK($H$2:$H$1780,H17,6)</f>
        <v>0.964004</v>
      </c>
      <c r="S17" s="61" t="n">
        <f aca="false">PERCENTRANK($Q$2:$Q$1780,Q17,6)</f>
        <v>0.990439</v>
      </c>
      <c r="T17" s="61" t="n">
        <f aca="false">PERCENTRANK($F$2:$F$1780,F17,6)</f>
        <v>0.943757</v>
      </c>
      <c r="U17" s="62" t="n">
        <f aca="false">IF(F17&gt;0,(Settings!$B$8*T17+Settings!$B$9*R17+Settings!$B$10*S17)/SUM(Settings!$B$8:$B$10),0)</f>
        <v>0.966066666666667</v>
      </c>
      <c r="V17" s="56" t="n">
        <f aca="false">IF(U17&gt;0,RANK(U17,$U$2:$U$1780)+COUNTIF($U$2:U17,U17)-1,"")</f>
        <v>16</v>
      </c>
      <c r="W17" s="56" t="str">
        <f aca="false">IF(V17="","",IF(V17&lt;=Settings!$B$11,"1 - Fix first",IF(V17&lt;=Settings!$B$12,"2 - Review","3 - Monitor")))</f>
        <v>1 - Fix first</v>
      </c>
      <c r="X17" s="56" t="str">
        <f aca="false">IF(AND(E17&gt;=Settings!$B$4,F17&gt;=Settings!$B$5,O17&gt;=Settings!$B$6),"HIGH RATE","")</f>
        <v>HIGH RATE</v>
      </c>
      <c r="Y17" s="56" t="n">
        <f aca="false">IF(F17&gt;0,RANK(F17,$F$2:$F$1780)+COUNTIF($F$2:F17,F17)-1,"")</f>
        <v>96</v>
      </c>
      <c r="Z17" s="56" t="n">
        <f aca="false">IF(H17&gt;0,RANK(H17,$H$2:$H$1780)+COUNTIF($H$2:H17,H17)-1,"")</f>
        <v>65</v>
      </c>
      <c r="AA17" s="56" t="n">
        <f aca="false">IF(AC17="","",RANK(AC17,$AC$2:$AC$1780)+COUNTIF($AC$2:AC17,AC17)-1)</f>
        <v>21</v>
      </c>
      <c r="AB17" s="56" t="n">
        <f aca="false">IF(AD17="","",RANK(AD17,$AD$2:$AD$1780)+COUNTIF($AD$2:AD17,AD17)-1)</f>
        <v>23</v>
      </c>
      <c r="AC17" s="32" t="n">
        <f aca="false">IF(AND(F17&gt;0,E17&gt;=Settings!$B$4),J17,"")</f>
        <v>0.0935672514619883</v>
      </c>
      <c r="AD17" s="60" t="n">
        <f aca="false">IF(X17="HIGH RATE",O17,"")</f>
        <v>4.72272264759713</v>
      </c>
    </row>
    <row r="18" customFormat="false" ht="15" hidden="false" customHeight="false" outlineLevel="0" collapsed="false">
      <c r="A18" s="56" t="s">
        <v>206</v>
      </c>
      <c r="B18" s="56" t="s">
        <v>888</v>
      </c>
      <c r="C18" s="56" t="s">
        <v>51</v>
      </c>
      <c r="D18" s="56" t="str">
        <f aca="false">IFERROR(INDEX('Brand Map'!$B$4:$B$124,MATCH(C18,'Brand Map'!$A$4:$A$124,0)),"Other")</f>
        <v>AU</v>
      </c>
      <c r="E18" s="57" t="n">
        <v>598</v>
      </c>
      <c r="F18" s="57" t="n">
        <v>36</v>
      </c>
      <c r="G18" s="58" t="n">
        <v>58091.59</v>
      </c>
      <c r="H18" s="58" t="n">
        <v>3306.37</v>
      </c>
      <c r="I18" s="58" t="n">
        <v>52318.76</v>
      </c>
      <c r="J18" s="32" t="n">
        <f aca="false">IF(E18&gt;0,F18/E18,0)</f>
        <v>0.0602006688963211</v>
      </c>
      <c r="K18" s="32" t="n">
        <f aca="false">IF(G18&gt;0,H18/G18,0)</f>
        <v>0.0569165003058102</v>
      </c>
      <c r="L18" s="59" t="n">
        <f aca="false">H18/Settings!$B$16</f>
        <v>0.00660786788684967</v>
      </c>
      <c r="M18" s="59" t="n">
        <f aca="false">H18/Settings!$B$20</f>
        <v>0.000256688052001596</v>
      </c>
      <c r="N18" s="60" t="n">
        <f aca="false">E18*Settings!$B$3</f>
        <v>18.5297183457326</v>
      </c>
      <c r="O18" s="60" t="n">
        <f aca="false">IF(E18&gt;0,(F18-N18)/SQRT(E18*Settings!$B$3*(1-Settings!$B$3)),0)</f>
        <v>4.1228782080997</v>
      </c>
      <c r="P18" s="60" t="n">
        <f aca="false">MAX(0,F18-N18)</f>
        <v>17.4702816542674</v>
      </c>
      <c r="Q18" s="32" t="n">
        <f aca="false">(F18+Settings!$B$7*Settings!$B$3)/(E18+Settings!$B$7)</f>
        <v>0.0588050709114564</v>
      </c>
      <c r="R18" s="61" t="n">
        <f aca="false">PERCENTRANK($H$2:$H$1780,H18,6)</f>
        <v>0.982002</v>
      </c>
      <c r="S18" s="61" t="n">
        <f aca="false">PERCENTRANK($Q$2:$Q$1780,Q18,6)</f>
        <v>0.941507</v>
      </c>
      <c r="T18" s="61" t="n">
        <f aca="false">PERCENTRANK($F$2:$F$1780,F18,6)</f>
        <v>0.970754</v>
      </c>
      <c r="U18" s="62" t="n">
        <f aca="false">IF(F18&gt;0,(Settings!$B$8*T18+Settings!$B$9*R18+Settings!$B$10*S18)/SUM(Settings!$B$8:$B$10),0)</f>
        <v>0.964754333333333</v>
      </c>
      <c r="V18" s="56" t="n">
        <f aca="false">IF(U18&gt;0,RANK(U18,$U$2:$U$1780)+COUNTIF($U$2:U18,U18)-1,"")</f>
        <v>17</v>
      </c>
      <c r="W18" s="56" t="str">
        <f aca="false">IF(V18="","",IF(V18&lt;=Settings!$B$11,"1 - Fix first",IF(V18&lt;=Settings!$B$12,"2 - Review","3 - Monitor")))</f>
        <v>1 - Fix first</v>
      </c>
      <c r="X18" s="56" t="str">
        <f aca="false">IF(AND(E18&gt;=Settings!$B$4,F18&gt;=Settings!$B$5,O18&gt;=Settings!$B$6),"HIGH RATE","")</f>
        <v>HIGH RATE</v>
      </c>
      <c r="Y18" s="56" t="n">
        <f aca="false">IF(F18&gt;0,RANK(F18,$F$2:$F$1780)+COUNTIF($F$2:F18,F18)-1,"")</f>
        <v>51</v>
      </c>
      <c r="Z18" s="56" t="n">
        <f aca="false">IF(H18&gt;0,RANK(H18,$H$2:$H$1780)+COUNTIF($H$2:H18,H18)-1,"")</f>
        <v>33</v>
      </c>
      <c r="AA18" s="56" t="n">
        <f aca="false">IF(AC18="","",RANK(AC18,$AC$2:$AC$1780)+COUNTIF($AC$2:AC18,AC18)-1)</f>
        <v>71</v>
      </c>
      <c r="AB18" s="56" t="n">
        <f aca="false">IF(AD18="","",RANK(AD18,$AD$2:$AD$1780)+COUNTIF($AD$2:AD18,AD18)-1)</f>
        <v>39</v>
      </c>
      <c r="AC18" s="32" t="n">
        <f aca="false">IF(AND(F18&gt;0,E18&gt;=Settings!$B$4),J18,"")</f>
        <v>0.0602006688963211</v>
      </c>
      <c r="AD18" s="60" t="n">
        <f aca="false">IF(X18="HIGH RATE",O18,"")</f>
        <v>4.1228782080997</v>
      </c>
    </row>
    <row r="19" customFormat="false" ht="15" hidden="false" customHeight="false" outlineLevel="0" collapsed="false">
      <c r="A19" s="56" t="s">
        <v>889</v>
      </c>
      <c r="B19" s="56" t="s">
        <v>890</v>
      </c>
      <c r="C19" s="56" t="s">
        <v>51</v>
      </c>
      <c r="D19" s="56" t="str">
        <f aca="false">IFERROR(INDEX('Brand Map'!$B$4:$B$124,MATCH(C19,'Brand Map'!$A$4:$A$124,0)),"Other")</f>
        <v>AU</v>
      </c>
      <c r="E19" s="57" t="n">
        <v>115</v>
      </c>
      <c r="F19" s="57" t="n">
        <v>12</v>
      </c>
      <c r="G19" s="58" t="n">
        <v>22055.16</v>
      </c>
      <c r="H19" s="58" t="n">
        <v>2215.18</v>
      </c>
      <c r="I19" s="58" t="n">
        <v>19098.37</v>
      </c>
      <c r="J19" s="32" t="n">
        <f aca="false">IF(E19&gt;0,F19/E19,0)</f>
        <v>0.104347826086957</v>
      </c>
      <c r="K19" s="32" t="n">
        <f aca="false">IF(G19&gt;0,H19/G19,0)</f>
        <v>0.100438174105289</v>
      </c>
      <c r="L19" s="59" t="n">
        <f aca="false">H19/Settings!$B$16</f>
        <v>0.00442709581371463</v>
      </c>
      <c r="M19" s="59" t="n">
        <f aca="false">H19/Settings!$B$20</f>
        <v>0.000171974170777286</v>
      </c>
      <c r="N19" s="60" t="n">
        <f aca="false">E19*Settings!$B$3</f>
        <v>3.56340737417935</v>
      </c>
      <c r="O19" s="60" t="n">
        <f aca="false">IF(E19&gt;0,(F19-N19)/SQRT(E19*Settings!$B$3*(1-Settings!$B$3)),0)</f>
        <v>4.54014109624971</v>
      </c>
      <c r="P19" s="60" t="n">
        <f aca="false">MAX(0,F19-N19)</f>
        <v>8.43659262582065</v>
      </c>
      <c r="Q19" s="32" t="n">
        <f aca="false">(F19+Settings!$B$7*Settings!$B$3)/(E19+Settings!$B$7)</f>
        <v>0.0891695484992732</v>
      </c>
      <c r="R19" s="61" t="n">
        <f aca="false">PERCENTRANK($H$2:$H$1780,H19,6)</f>
        <v>0.968504</v>
      </c>
      <c r="S19" s="61" t="n">
        <f aca="false">PERCENTRANK($Q$2:$Q$1780,Q19,6)</f>
        <v>0.993251</v>
      </c>
      <c r="T19" s="61" t="n">
        <f aca="false">PERCENTRANK($F$2:$F$1780,F19,6)</f>
        <v>0.930259</v>
      </c>
      <c r="U19" s="62" t="n">
        <f aca="false">IF(F19&gt;0,(Settings!$B$8*T19+Settings!$B$9*R19+Settings!$B$10*S19)/SUM(Settings!$B$8:$B$10),0)</f>
        <v>0.964004666666667</v>
      </c>
      <c r="V19" s="56" t="n">
        <f aca="false">IF(U19&gt;0,RANK(U19,$U$2:$U$1780)+COUNTIF($U$2:U19,U19)-1,"")</f>
        <v>18</v>
      </c>
      <c r="W19" s="56" t="str">
        <f aca="false">IF(V19="","",IF(V19&lt;=Settings!$B$11,"1 - Fix first",IF(V19&lt;=Settings!$B$12,"2 - Review","3 - Monitor")))</f>
        <v>1 - Fix first</v>
      </c>
      <c r="X19" s="56" t="str">
        <f aca="false">IF(AND(E19&gt;=Settings!$B$4,F19&gt;=Settings!$B$5,O19&gt;=Settings!$B$6),"HIGH RATE","")</f>
        <v>HIGH RATE</v>
      </c>
      <c r="Y19" s="56" t="n">
        <f aca="false">IF(F19&gt;0,RANK(F19,$F$2:$F$1780)+COUNTIF($F$2:F19,F19)-1,"")</f>
        <v>118</v>
      </c>
      <c r="Z19" s="56" t="n">
        <f aca="false">IF(H19&gt;0,RANK(H19,$H$2:$H$1780)+COUNTIF($H$2:H19,H19)-1,"")</f>
        <v>57</v>
      </c>
      <c r="AA19" s="56" t="n">
        <f aca="false">IF(AC19="","",RANK(AC19,$AC$2:$AC$1780)+COUNTIF($AC$2:AC19,AC19)-1)</f>
        <v>12</v>
      </c>
      <c r="AB19" s="56" t="n">
        <f aca="false">IF(AD19="","",RANK(AD19,$AD$2:$AD$1780)+COUNTIF($AD$2:AD19,AD19)-1)</f>
        <v>30</v>
      </c>
      <c r="AC19" s="32" t="n">
        <f aca="false">IF(AND(F19&gt;0,E19&gt;=Settings!$B$4),J19,"")</f>
        <v>0.104347826086957</v>
      </c>
      <c r="AD19" s="60" t="n">
        <f aca="false">IF(X19="HIGH RATE",O19,"")</f>
        <v>4.54014109624971</v>
      </c>
    </row>
    <row r="20" customFormat="false" ht="15" hidden="false" customHeight="false" outlineLevel="0" collapsed="false">
      <c r="A20" s="56" t="s">
        <v>553</v>
      </c>
      <c r="B20" s="56" t="s">
        <v>554</v>
      </c>
      <c r="C20" s="56" t="s">
        <v>91</v>
      </c>
      <c r="D20" s="56" t="str">
        <f aca="false">IFERROR(INDEX('Brand Map'!$B$4:$B$124,MATCH(C20,'Brand Map'!$A$4:$A$124,0)),"Other")</f>
        <v>AUBC</v>
      </c>
      <c r="E20" s="57" t="n">
        <v>621</v>
      </c>
      <c r="F20" s="57" t="n">
        <v>36</v>
      </c>
      <c r="G20" s="58" t="n">
        <v>79258.07</v>
      </c>
      <c r="H20" s="58" t="n">
        <v>4334.25</v>
      </c>
      <c r="I20" s="58" t="n">
        <v>72193.49</v>
      </c>
      <c r="J20" s="32" t="n">
        <f aca="false">IF(E20&gt;0,F20/E20,0)</f>
        <v>0.0579710144927536</v>
      </c>
      <c r="K20" s="32" t="n">
        <f aca="false">IF(G20&gt;0,H20/G20,0)</f>
        <v>0.0546852831516084</v>
      </c>
      <c r="L20" s="59" t="n">
        <f aca="false">H20/Settings!$B$16</f>
        <v>0.00866211325065803</v>
      </c>
      <c r="M20" s="59" t="n">
        <f aca="false">H20/Settings!$B$20</f>
        <v>0.000336486899345178</v>
      </c>
      <c r="N20" s="60" t="n">
        <f aca="false">E20*Settings!$B$3</f>
        <v>19.2423998205685</v>
      </c>
      <c r="O20" s="60" t="n">
        <f aca="false">IF(E20&gt;0,(F20-N20)/SQRT(E20*Settings!$B$3*(1-Settings!$B$3)),0)</f>
        <v>3.8807638425611</v>
      </c>
      <c r="P20" s="60" t="n">
        <f aca="false">MAX(0,F20-N20)</f>
        <v>16.7576001794315</v>
      </c>
      <c r="Q20" s="32" t="n">
        <f aca="false">(F20+Settings!$B$7*Settings!$B$3)/(E20+Settings!$B$7)</f>
        <v>0.0567274723999917</v>
      </c>
      <c r="R20" s="61" t="n">
        <f aca="false">PERCENTRANK($H$2:$H$1780,H20,6)</f>
        <v>0.987064</v>
      </c>
      <c r="S20" s="61" t="n">
        <f aca="false">PERCENTRANK($Q$2:$Q$1780,Q20,6)</f>
        <v>0.930259</v>
      </c>
      <c r="T20" s="61" t="n">
        <f aca="false">PERCENTRANK($F$2:$F$1780,F20,6)</f>
        <v>0.970754</v>
      </c>
      <c r="U20" s="62" t="n">
        <f aca="false">IF(F20&gt;0,(Settings!$B$8*T20+Settings!$B$9*R20+Settings!$B$10*S20)/SUM(Settings!$B$8:$B$10),0)</f>
        <v>0.962692333333333</v>
      </c>
      <c r="V20" s="56" t="n">
        <f aca="false">IF(U20&gt;0,RANK(U20,$U$2:$U$1780)+COUNTIF($U$2:U20,U20)-1,"")</f>
        <v>19</v>
      </c>
      <c r="W20" s="56" t="str">
        <f aca="false">IF(V20="","",IF(V20&lt;=Settings!$B$11,"1 - Fix first",IF(V20&lt;=Settings!$B$12,"2 - Review","3 - Monitor")))</f>
        <v>1 - Fix first</v>
      </c>
      <c r="X20" s="56" t="str">
        <f aca="false">IF(AND(E20&gt;=Settings!$B$4,F20&gt;=Settings!$B$5,O20&gt;=Settings!$B$6),"HIGH RATE","")</f>
        <v>HIGH RATE</v>
      </c>
      <c r="Y20" s="56" t="n">
        <f aca="false">IF(F20&gt;0,RANK(F20,$F$2:$F$1780)+COUNTIF($F$2:F20,F20)-1,"")</f>
        <v>52</v>
      </c>
      <c r="Z20" s="56" t="n">
        <f aca="false">IF(H20&gt;0,RANK(H20,$H$2:$H$1780)+COUNTIF($H$2:H20,H20)-1,"")</f>
        <v>24</v>
      </c>
      <c r="AA20" s="56" t="n">
        <f aca="false">IF(AC20="","",RANK(AC20,$AC$2:$AC$1780)+COUNTIF($AC$2:AC20,AC20)-1)</f>
        <v>83</v>
      </c>
      <c r="AB20" s="56" t="n">
        <f aca="false">IF(AD20="","",RANK(AD20,$AD$2:$AD$1780)+COUNTIF($AD$2:AD20,AD20)-1)</f>
        <v>42</v>
      </c>
      <c r="AC20" s="32" t="n">
        <f aca="false">IF(AND(F20&gt;0,E20&gt;=Settings!$B$4),J20,"")</f>
        <v>0.0579710144927536</v>
      </c>
      <c r="AD20" s="60" t="n">
        <f aca="false">IF(X20="HIGH RATE",O20,"")</f>
        <v>3.8807638425611</v>
      </c>
    </row>
    <row r="21" customFormat="false" ht="15" hidden="false" customHeight="false" outlineLevel="0" collapsed="false">
      <c r="A21" s="56" t="s">
        <v>214</v>
      </c>
      <c r="B21" s="56" t="s">
        <v>891</v>
      </c>
      <c r="C21" s="56" t="s">
        <v>51</v>
      </c>
      <c r="D21" s="56" t="str">
        <f aca="false">IFERROR(INDEX('Brand Map'!$B$4:$B$124,MATCH(C21,'Brand Map'!$A$4:$A$124,0)),"Other")</f>
        <v>AU</v>
      </c>
      <c r="E21" s="57" t="n">
        <v>342</v>
      </c>
      <c r="F21" s="57" t="n">
        <v>23</v>
      </c>
      <c r="G21" s="58" t="n">
        <v>35626.71</v>
      </c>
      <c r="H21" s="58" t="n">
        <v>2216.75</v>
      </c>
      <c r="I21" s="58" t="n">
        <v>32086.71</v>
      </c>
      <c r="J21" s="32" t="n">
        <f aca="false">IF(E21&gt;0,F21/E21,0)</f>
        <v>0.0672514619883041</v>
      </c>
      <c r="K21" s="32" t="n">
        <f aca="false">IF(G21&gt;0,H21/G21,0)</f>
        <v>0.0622215747679199</v>
      </c>
      <c r="L21" s="59" t="n">
        <f aca="false">H21/Settings!$B$16</f>
        <v>0.00443023350023561</v>
      </c>
      <c r="M21" s="59" t="n">
        <f aca="false">H21/Settings!$B$20</f>
        <v>0.000172096056785701</v>
      </c>
      <c r="N21" s="60" t="n">
        <f aca="false">E21*Settings!$B$3</f>
        <v>10.5972636692986</v>
      </c>
      <c r="O21" s="60" t="n">
        <f aca="false">IF(E21&gt;0,(F21-N21)/SQRT(E21*Settings!$B$3*(1-Settings!$B$3)),0)</f>
        <v>3.8703982008108</v>
      </c>
      <c r="P21" s="60" t="n">
        <f aca="false">MAX(0,F21-N21)</f>
        <v>12.4027363307014</v>
      </c>
      <c r="Q21" s="32" t="n">
        <f aca="false">(F21+Settings!$B$7*Settings!$B$3)/(E21+Settings!$B$7)</f>
        <v>0.0643268401408457</v>
      </c>
      <c r="R21" s="61" t="n">
        <f aca="false">PERCENTRANK($H$2:$H$1780,H21,6)</f>
        <v>0.969066</v>
      </c>
      <c r="S21" s="61" t="n">
        <f aca="false">PERCENTRANK($Q$2:$Q$1780,Q21,6)</f>
        <v>0.964004</v>
      </c>
      <c r="T21" s="61" t="n">
        <f aca="false">PERCENTRANK($F$2:$F$1780,F21,6)</f>
        <v>0.955006</v>
      </c>
      <c r="U21" s="62" t="n">
        <f aca="false">IF(F21&gt;0,(Settings!$B$8*T21+Settings!$B$9*R21+Settings!$B$10*S21)/SUM(Settings!$B$8:$B$10),0)</f>
        <v>0.962692</v>
      </c>
      <c r="V21" s="56" t="n">
        <f aca="false">IF(U21&gt;0,RANK(U21,$U$2:$U$1780)+COUNTIF($U$2:U21,U21)-1,"")</f>
        <v>20</v>
      </c>
      <c r="W21" s="56" t="str">
        <f aca="false">IF(V21="","",IF(V21&lt;=Settings!$B$11,"1 - Fix first",IF(V21&lt;=Settings!$B$12,"2 - Review","3 - Monitor")))</f>
        <v>1 - Fix first</v>
      </c>
      <c r="X21" s="56" t="str">
        <f aca="false">IF(AND(E21&gt;=Settings!$B$4,F21&gt;=Settings!$B$5,O21&gt;=Settings!$B$6),"HIGH RATE","")</f>
        <v>HIGH RATE</v>
      </c>
      <c r="Y21" s="56" t="n">
        <f aca="false">IF(F21&gt;0,RANK(F21,$F$2:$F$1780)+COUNTIF($F$2:F21,F21)-1,"")</f>
        <v>80</v>
      </c>
      <c r="Z21" s="56" t="n">
        <f aca="false">IF(H21&gt;0,RANK(H21,$H$2:$H$1780)+COUNTIF($H$2:H21,H21)-1,"")</f>
        <v>56</v>
      </c>
      <c r="AA21" s="56" t="n">
        <f aca="false">IF(AC21="","",RANK(AC21,$AC$2:$AC$1780)+COUNTIF($AC$2:AC21,AC21)-1)</f>
        <v>46</v>
      </c>
      <c r="AB21" s="56" t="n">
        <f aca="false">IF(AD21="","",RANK(AD21,$AD$2:$AD$1780)+COUNTIF($AD$2:AD21,AD21)-1)</f>
        <v>43</v>
      </c>
      <c r="AC21" s="32" t="n">
        <f aca="false">IF(AND(F21&gt;0,E21&gt;=Settings!$B$4),J21,"")</f>
        <v>0.0672514619883041</v>
      </c>
      <c r="AD21" s="60" t="n">
        <f aca="false">IF(X21="HIGH RATE",O21,"")</f>
        <v>3.8703982008108</v>
      </c>
    </row>
    <row r="22" customFormat="false" ht="15" hidden="false" customHeight="false" outlineLevel="0" collapsed="false">
      <c r="A22" s="56" t="s">
        <v>571</v>
      </c>
      <c r="B22" s="56" t="s">
        <v>572</v>
      </c>
      <c r="C22" s="56" t="s">
        <v>121</v>
      </c>
      <c r="D22" s="56" t="str">
        <f aca="false">IFERROR(INDEX('Brand Map'!$B$4:$B$124,MATCH(C22,'Brand Map'!$A$4:$A$124,0)),"Other")</f>
        <v>BLXNZ</v>
      </c>
      <c r="E22" s="57" t="n">
        <v>376</v>
      </c>
      <c r="F22" s="57" t="n">
        <v>24</v>
      </c>
      <c r="G22" s="58" t="n">
        <v>41205.97</v>
      </c>
      <c r="H22" s="58" t="n">
        <v>2433.31</v>
      </c>
      <c r="I22" s="58" t="n">
        <v>37305.64</v>
      </c>
      <c r="J22" s="32" t="n">
        <f aca="false">IF(E22&gt;0,F22/E22,0)</f>
        <v>0.0638297872340426</v>
      </c>
      <c r="K22" s="32" t="n">
        <f aca="false">IF(G22&gt;0,H22/G22,0)</f>
        <v>0.0590523654703433</v>
      </c>
      <c r="L22" s="59" t="n">
        <f aca="false">H22/Settings!$B$16</f>
        <v>0.00486303438748542</v>
      </c>
      <c r="M22" s="59" t="n">
        <f aca="false">H22/Settings!$B$20</f>
        <v>0.000188908562506919</v>
      </c>
      <c r="N22" s="60" t="n">
        <f aca="false">E22*Settings!$B$3</f>
        <v>11.6507928060125</v>
      </c>
      <c r="O22" s="60" t="n">
        <f aca="false">IF(E22&gt;0,(F22-N22)/SQRT(E22*Settings!$B$3*(1-Settings!$B$3)),0)</f>
        <v>3.67533005291255</v>
      </c>
      <c r="P22" s="60" t="n">
        <f aca="false">MAX(0,F22-N22)</f>
        <v>12.3492071939875</v>
      </c>
      <c r="Q22" s="32" t="n">
        <f aca="false">(F22+Settings!$B$7*Settings!$B$3)/(E22+Settings!$B$7)</f>
        <v>0.0614029175674744</v>
      </c>
      <c r="R22" s="61" t="n">
        <f aca="false">PERCENTRANK($H$2:$H$1780,H22,6)</f>
        <v>0.972441</v>
      </c>
      <c r="S22" s="61" t="n">
        <f aca="false">PERCENTRANK($Q$2:$Q$1780,Q22,6)</f>
        <v>0.953881</v>
      </c>
      <c r="T22" s="61" t="n">
        <f aca="false">PERCENTRANK($F$2:$F$1780,F22,6)</f>
        <v>0.95613</v>
      </c>
      <c r="U22" s="62" t="n">
        <f aca="false">IF(F22&gt;0,(Settings!$B$8*T22+Settings!$B$9*R22+Settings!$B$10*S22)/SUM(Settings!$B$8:$B$10),0)</f>
        <v>0.960817333333333</v>
      </c>
      <c r="V22" s="56" t="n">
        <f aca="false">IF(U22&gt;0,RANK(U22,$U$2:$U$1780)+COUNTIF($U$2:U22,U22)-1,"")</f>
        <v>21</v>
      </c>
      <c r="W22" s="56" t="str">
        <f aca="false">IF(V22="","",IF(V22&lt;=Settings!$B$11,"1 - Fix first",IF(V22&lt;=Settings!$B$12,"2 - Review","3 - Monitor")))</f>
        <v>1 - Fix first</v>
      </c>
      <c r="X22" s="56" t="str">
        <f aca="false">IF(AND(E22&gt;=Settings!$B$4,F22&gt;=Settings!$B$5,O22&gt;=Settings!$B$6),"HIGH RATE","")</f>
        <v>HIGH RATE</v>
      </c>
      <c r="Y22" s="56" t="n">
        <f aca="false">IF(F22&gt;0,RANK(F22,$F$2:$F$1780)+COUNTIF($F$2:F22,F22)-1,"")</f>
        <v>75</v>
      </c>
      <c r="Z22" s="56" t="n">
        <f aca="false">IF(H22&gt;0,RANK(H22,$H$2:$H$1780)+COUNTIF($H$2:H22,H22)-1,"")</f>
        <v>50</v>
      </c>
      <c r="AA22" s="56" t="n">
        <f aca="false">IF(AC22="","",RANK(AC22,$AC$2:$AC$1780)+COUNTIF($AC$2:AC22,AC22)-1)</f>
        <v>53</v>
      </c>
      <c r="AB22" s="56" t="n">
        <f aca="false">IF(AD22="","",RANK(AD22,$AD$2:$AD$1780)+COUNTIF($AD$2:AD22,AD22)-1)</f>
        <v>48</v>
      </c>
      <c r="AC22" s="32" t="n">
        <f aca="false">IF(AND(F22&gt;0,E22&gt;=Settings!$B$4),J22,"")</f>
        <v>0.0638297872340426</v>
      </c>
      <c r="AD22" s="60" t="n">
        <f aca="false">IF(X22="HIGH RATE",O22,"")</f>
        <v>3.67533005291255</v>
      </c>
    </row>
    <row r="23" customFormat="false" ht="15" hidden="false" customHeight="false" outlineLevel="0" collapsed="false">
      <c r="A23" s="56" t="s">
        <v>200</v>
      </c>
      <c r="B23" s="56" t="s">
        <v>541</v>
      </c>
      <c r="C23" s="56" t="s">
        <v>51</v>
      </c>
      <c r="D23" s="56" t="str">
        <f aca="false">IFERROR(INDEX('Brand Map'!$B$4:$B$124,MATCH(C23,'Brand Map'!$A$4:$A$124,0)),"Other")</f>
        <v>AU</v>
      </c>
      <c r="E23" s="57" t="n">
        <v>2594</v>
      </c>
      <c r="F23" s="57" t="n">
        <v>129</v>
      </c>
      <c r="G23" s="58" t="n">
        <v>248106.67</v>
      </c>
      <c r="H23" s="58" t="n">
        <v>11840.22</v>
      </c>
      <c r="I23" s="58" t="n">
        <v>227138.83</v>
      </c>
      <c r="J23" s="32" t="n">
        <f aca="false">IF(E23&gt;0,F23/E23,0)</f>
        <v>0.0497301464919044</v>
      </c>
      <c r="K23" s="32" t="n">
        <f aca="false">IF(G23&gt;0,H23/G23,0)</f>
        <v>0.047722296220412</v>
      </c>
      <c r="L23" s="59" t="n">
        <f aca="false">H23/Settings!$B$16</f>
        <v>0.0236629928021471</v>
      </c>
      <c r="M23" s="59" t="n">
        <f aca="false">H23/Settings!$B$20</f>
        <v>0.000919208378696375</v>
      </c>
      <c r="N23" s="60" t="n">
        <f aca="false">E23*Settings!$B$3</f>
        <v>80.3780759010542</v>
      </c>
      <c r="O23" s="60" t="n">
        <f aca="false">IF(E23&gt;0,(F23-N23)/SQRT(E23*Settings!$B$3*(1-Settings!$B$3)),0)</f>
        <v>5.50932441171328</v>
      </c>
      <c r="P23" s="60" t="n">
        <f aca="false">MAX(0,F23-N23)</f>
        <v>48.6219240989458</v>
      </c>
      <c r="Q23" s="32" t="n">
        <f aca="false">(F23+Settings!$B$7*Settings!$B$3)/(E23+Settings!$B$7)</f>
        <v>0.0495158477638699</v>
      </c>
      <c r="R23" s="61" t="n">
        <f aca="false">PERCENTRANK($H$2:$H$1780,H23,6)</f>
        <v>0.99775</v>
      </c>
      <c r="S23" s="61" t="n">
        <f aca="false">PERCENTRANK($Q$2:$Q$1780,Q23,6)</f>
        <v>0.885827</v>
      </c>
      <c r="T23" s="61" t="n">
        <f aca="false">PERCENTRANK($F$2:$F$1780,F23,6)</f>
        <v>0.995501</v>
      </c>
      <c r="U23" s="62" t="n">
        <f aca="false">IF(F23&gt;0,(Settings!$B$8*T23+Settings!$B$9*R23+Settings!$B$10*S23)/SUM(Settings!$B$8:$B$10),0)</f>
        <v>0.959692666666667</v>
      </c>
      <c r="V23" s="56" t="n">
        <f aca="false">IF(U23&gt;0,RANK(U23,$U$2:$U$1780)+COUNTIF($U$2:U23,U23)-1,"")</f>
        <v>22</v>
      </c>
      <c r="W23" s="56" t="str">
        <f aca="false">IF(V23="","",IF(V23&lt;=Settings!$B$11,"1 - Fix first",IF(V23&lt;=Settings!$B$12,"2 - Review","3 - Monitor")))</f>
        <v>1 - Fix first</v>
      </c>
      <c r="X23" s="56" t="str">
        <f aca="false">IF(AND(E23&gt;=Settings!$B$4,F23&gt;=Settings!$B$5,O23&gt;=Settings!$B$6),"HIGH RATE","")</f>
        <v>HIGH RATE</v>
      </c>
      <c r="Y23" s="56" t="n">
        <f aca="false">IF(F23&gt;0,RANK(F23,$F$2:$F$1780)+COUNTIF($F$2:F23,F23)-1,"")</f>
        <v>9</v>
      </c>
      <c r="Z23" s="56" t="n">
        <f aca="false">IF(H23&gt;0,RANK(H23,$H$2:$H$1780)+COUNTIF($H$2:H23,H23)-1,"")</f>
        <v>5</v>
      </c>
      <c r="AA23" s="56" t="n">
        <f aca="false">IF(AC23="","",RANK(AC23,$AC$2:$AC$1780)+COUNTIF($AC$2:AC23,AC23)-1)</f>
        <v>126</v>
      </c>
      <c r="AB23" s="56" t="n">
        <f aca="false">IF(AD23="","",RANK(AD23,$AD$2:$AD$1780)+COUNTIF($AD$2:AD23,AD23)-1)</f>
        <v>15</v>
      </c>
      <c r="AC23" s="32" t="n">
        <f aca="false">IF(AND(F23&gt;0,E23&gt;=Settings!$B$4),J23,"")</f>
        <v>0.0497301464919044</v>
      </c>
      <c r="AD23" s="60" t="n">
        <f aca="false">IF(X23="HIGH RATE",O23,"")</f>
        <v>5.50932441171328</v>
      </c>
    </row>
    <row r="24" customFormat="false" ht="15" hidden="false" customHeight="false" outlineLevel="0" collapsed="false">
      <c r="A24" s="56" t="s">
        <v>274</v>
      </c>
      <c r="B24" s="56" t="s">
        <v>892</v>
      </c>
      <c r="C24" s="56" t="s">
        <v>67</v>
      </c>
      <c r="D24" s="56" t="str">
        <f aca="false">IFERROR(INDEX('Brand Map'!$B$4:$B$124,MATCH(C24,'Brand Map'!$A$4:$A$124,0)),"Other")</f>
        <v>MJ</v>
      </c>
      <c r="E24" s="57" t="n">
        <v>743</v>
      </c>
      <c r="F24" s="57" t="n">
        <v>41</v>
      </c>
      <c r="G24" s="58" t="n">
        <v>68855.25</v>
      </c>
      <c r="H24" s="58" t="n">
        <v>3521.71</v>
      </c>
      <c r="I24" s="58" t="n">
        <v>62375.22</v>
      </c>
      <c r="J24" s="32" t="n">
        <f aca="false">IF(E24&gt;0,F24/E24,0)</f>
        <v>0.0551816958277254</v>
      </c>
      <c r="K24" s="32" t="n">
        <f aca="false">IF(G24&gt;0,H24/G24,0)</f>
        <v>0.051146571975267</v>
      </c>
      <c r="L24" s="59" t="n">
        <f aca="false">H24/Settings!$B$16</f>
        <v>0.00703823057183478</v>
      </c>
      <c r="M24" s="59" t="n">
        <f aca="false">H24/Settings!$B$20</f>
        <v>0.000273405843754492</v>
      </c>
      <c r="N24" s="60" t="n">
        <f aca="false">E24*Settings!$B$3</f>
        <v>23.0227102523066</v>
      </c>
      <c r="O24" s="60" t="n">
        <f aca="false">IF(E24&gt;0,(F24-N24)/SQRT(E24*Settings!$B$3*(1-Settings!$B$3)),0)</f>
        <v>3.80610707889846</v>
      </c>
      <c r="P24" s="60" t="n">
        <f aca="false">MAX(0,F24-N24)</f>
        <v>17.9772897476934</v>
      </c>
      <c r="Q24" s="32" t="n">
        <f aca="false">(F24+Settings!$B$7*Settings!$B$3)/(E24+Settings!$B$7)</f>
        <v>0.0542426708051677</v>
      </c>
      <c r="R24" s="61" t="n">
        <f aca="false">PERCENTRANK($H$2:$H$1780,H24,6)</f>
        <v>0.98369</v>
      </c>
      <c r="S24" s="61" t="n">
        <f aca="false">PERCENTRANK($Q$2:$Q$1780,Q24,6)</f>
        <v>0.918448</v>
      </c>
      <c r="T24" s="61" t="n">
        <f aca="false">PERCENTRANK($F$2:$F$1780,F24,6)</f>
        <v>0.974691</v>
      </c>
      <c r="U24" s="62" t="n">
        <f aca="false">IF(F24&gt;0,(Settings!$B$8*T24+Settings!$B$9*R24+Settings!$B$10*S24)/SUM(Settings!$B$8:$B$10),0)</f>
        <v>0.958943</v>
      </c>
      <c r="V24" s="56" t="n">
        <f aca="false">IF(U24&gt;0,RANK(U24,$U$2:$U$1780)+COUNTIF($U$2:U24,U24)-1,"")</f>
        <v>23</v>
      </c>
      <c r="W24" s="56" t="str">
        <f aca="false">IF(V24="","",IF(V24&lt;=Settings!$B$11,"1 - Fix first",IF(V24&lt;=Settings!$B$12,"2 - Review","3 - Monitor")))</f>
        <v>1 - Fix first</v>
      </c>
      <c r="X24" s="56" t="str">
        <f aca="false">IF(AND(E24&gt;=Settings!$B$4,F24&gt;=Settings!$B$5,O24&gt;=Settings!$B$6),"HIGH RATE","")</f>
        <v>HIGH RATE</v>
      </c>
      <c r="Y24" s="56" t="n">
        <f aca="false">IF(F24&gt;0,RANK(F24,$F$2:$F$1780)+COUNTIF($F$2:F24,F24)-1,"")</f>
        <v>45</v>
      </c>
      <c r="Z24" s="56" t="n">
        <f aca="false">IF(H24&gt;0,RANK(H24,$H$2:$H$1780)+COUNTIF($H$2:H24,H24)-1,"")</f>
        <v>30</v>
      </c>
      <c r="AA24" s="56" t="n">
        <f aca="false">IF(AC24="","",RANK(AC24,$AC$2:$AC$1780)+COUNTIF($AC$2:AC24,AC24)-1)</f>
        <v>95</v>
      </c>
      <c r="AB24" s="56" t="n">
        <f aca="false">IF(AD24="","",RANK(AD24,$AD$2:$AD$1780)+COUNTIF($AD$2:AD24,AD24)-1)</f>
        <v>45</v>
      </c>
      <c r="AC24" s="32" t="n">
        <f aca="false">IF(AND(F24&gt;0,E24&gt;=Settings!$B$4),J24,"")</f>
        <v>0.0551816958277254</v>
      </c>
      <c r="AD24" s="60" t="n">
        <f aca="false">IF(X24="HIGH RATE",O24,"")</f>
        <v>3.80610707889846</v>
      </c>
    </row>
    <row r="25" customFormat="false" ht="15" hidden="false" customHeight="false" outlineLevel="0" collapsed="false">
      <c r="A25" s="56" t="s">
        <v>290</v>
      </c>
      <c r="B25" s="56" t="s">
        <v>545</v>
      </c>
      <c r="C25" s="56" t="s">
        <v>71</v>
      </c>
      <c r="D25" s="56" t="str">
        <f aca="false">IFERROR(INDEX('Brand Map'!$B$4:$B$124,MATCH(C25,'Brand Map'!$A$4:$A$124,0)),"Other")</f>
        <v>GF</v>
      </c>
      <c r="E25" s="57" t="n">
        <v>1333</v>
      </c>
      <c r="F25" s="57" t="n">
        <v>70</v>
      </c>
      <c r="G25" s="58" t="n">
        <v>149762.64</v>
      </c>
      <c r="H25" s="58" t="n">
        <v>6992.71</v>
      </c>
      <c r="I25" s="58" t="n">
        <v>129592.59</v>
      </c>
      <c r="J25" s="32" t="n">
        <f aca="false">IF(E25&gt;0,F25/E25,0)</f>
        <v>0.0525131282820705</v>
      </c>
      <c r="K25" s="32" t="n">
        <f aca="false">IF(G25&gt;0,H25/G25,0)</f>
        <v>0.0466919520115297</v>
      </c>
      <c r="L25" s="59" t="n">
        <f aca="false">H25/Settings!$B$16</f>
        <v>0.0139751158675685</v>
      </c>
      <c r="M25" s="59" t="n">
        <f aca="false">H25/Settings!$B$20</f>
        <v>0.000542874847071585</v>
      </c>
      <c r="N25" s="60" t="n">
        <f aca="false">E25*Settings!$B$3</f>
        <v>41.3045393894006</v>
      </c>
      <c r="O25" s="60" t="n">
        <f aca="false">IF(E25&gt;0,(F25-N25)/SQRT(E25*Settings!$B$3*(1-Settings!$B$3)),0)</f>
        <v>4.53575216568104</v>
      </c>
      <c r="P25" s="60" t="n">
        <f aca="false">MAX(0,F25-N25)</f>
        <v>28.6954606105994</v>
      </c>
      <c r="Q25" s="32" t="n">
        <f aca="false">(F25+Settings!$B$7*Settings!$B$3)/(E25+Settings!$B$7)</f>
        <v>0.0520393136701354</v>
      </c>
      <c r="R25" s="61" t="n">
        <f aca="false">PERCENTRANK($H$2:$H$1780,H25,6)</f>
        <v>0.994376</v>
      </c>
      <c r="S25" s="61" t="n">
        <f aca="false">PERCENTRANK($Q$2:$Q$1780,Q25,6)</f>
        <v>0.897638</v>
      </c>
      <c r="T25" s="61" t="n">
        <f aca="false">PERCENTRANK($F$2:$F$1780,F25,6)</f>
        <v>0.984252</v>
      </c>
      <c r="U25" s="62" t="n">
        <f aca="false">IF(F25&gt;0,(Settings!$B$8*T25+Settings!$B$9*R25+Settings!$B$10*S25)/SUM(Settings!$B$8:$B$10),0)</f>
        <v>0.958755333333333</v>
      </c>
      <c r="V25" s="56" t="n">
        <f aca="false">IF(U25&gt;0,RANK(U25,$U$2:$U$1780)+COUNTIF($U$2:U25,U25)-1,"")</f>
        <v>24</v>
      </c>
      <c r="W25" s="56" t="str">
        <f aca="false">IF(V25="","",IF(V25&lt;=Settings!$B$11,"1 - Fix first",IF(V25&lt;=Settings!$B$12,"2 - Review","3 - Monitor")))</f>
        <v>1 - Fix first</v>
      </c>
      <c r="X25" s="56" t="str">
        <f aca="false">IF(AND(E25&gt;=Settings!$B$4,F25&gt;=Settings!$B$5,O25&gt;=Settings!$B$6),"HIGH RATE","")</f>
        <v>HIGH RATE</v>
      </c>
      <c r="Y25" s="56" t="n">
        <f aca="false">IF(F25&gt;0,RANK(F25,$F$2:$F$1780)+COUNTIF($F$2:F25,F25)-1,"")</f>
        <v>28</v>
      </c>
      <c r="Z25" s="56" t="n">
        <f aca="false">IF(H25&gt;0,RANK(H25,$H$2:$H$1780)+COUNTIF($H$2:H25,H25)-1,"")</f>
        <v>11</v>
      </c>
      <c r="AA25" s="56" t="n">
        <f aca="false">IF(AC25="","",RANK(AC25,$AC$2:$AC$1780)+COUNTIF($AC$2:AC25,AC25)-1)</f>
        <v>110</v>
      </c>
      <c r="AB25" s="56" t="n">
        <f aca="false">IF(AD25="","",RANK(AD25,$AD$2:$AD$1780)+COUNTIF($AD$2:AD25,AD25)-1)</f>
        <v>31</v>
      </c>
      <c r="AC25" s="32" t="n">
        <f aca="false">IF(AND(F25&gt;0,E25&gt;=Settings!$B$4),J25,"")</f>
        <v>0.0525131282820705</v>
      </c>
      <c r="AD25" s="60" t="n">
        <f aca="false">IF(X25="HIGH RATE",O25,"")</f>
        <v>4.53575216568104</v>
      </c>
    </row>
    <row r="26" customFormat="false" ht="15" hidden="false" customHeight="false" outlineLevel="0" collapsed="false">
      <c r="A26" s="56" t="s">
        <v>373</v>
      </c>
      <c r="B26" s="56" t="s">
        <v>372</v>
      </c>
      <c r="C26" s="56" t="s">
        <v>107</v>
      </c>
      <c r="D26" s="56" t="str">
        <f aca="false">IFERROR(INDEX('Brand Map'!$B$4:$B$124,MATCH(C26,'Brand Map'!$A$4:$A$124,0)),"Other")</f>
        <v>DCMJ</v>
      </c>
      <c r="E26" s="57" t="n">
        <v>209</v>
      </c>
      <c r="F26" s="57" t="n">
        <v>18</v>
      </c>
      <c r="G26" s="58" t="n">
        <v>12203.98</v>
      </c>
      <c r="H26" s="58" t="n">
        <v>941.68</v>
      </c>
      <c r="I26" s="58" t="n">
        <v>9931.68</v>
      </c>
      <c r="J26" s="32" t="n">
        <f aca="false">IF(E26&gt;0,F26/E26,0)</f>
        <v>0.0861244019138756</v>
      </c>
      <c r="K26" s="32" t="n">
        <f aca="false">IF(G26&gt;0,H26/G26,0)</f>
        <v>0.0771617128182773</v>
      </c>
      <c r="L26" s="59" t="n">
        <f aca="false">H26/Settings!$B$16</f>
        <v>0.00188197238412174</v>
      </c>
      <c r="M26" s="59" t="n">
        <f aca="false">H26/Settings!$B$20</f>
        <v>7.31067620408069E-005</v>
      </c>
      <c r="N26" s="60" t="n">
        <f aca="false">E26*Settings!$B$3</f>
        <v>6.47610557568247</v>
      </c>
      <c r="O26" s="60" t="n">
        <f aca="false">IF(E26&gt;0,(F26-N26)/SQRT(E26*Settings!$B$3*(1-Settings!$B$3)),0)</f>
        <v>4.60020641020469</v>
      </c>
      <c r="P26" s="60" t="n">
        <f aca="false">MAX(0,F26-N26)</f>
        <v>11.5238944243175</v>
      </c>
      <c r="Q26" s="32" t="n">
        <f aca="false">(F26+Settings!$B$7*Settings!$B$3)/(E26+Settings!$B$7)</f>
        <v>0.0792032825623206</v>
      </c>
      <c r="R26" s="61" t="n">
        <f aca="false">PERCENTRANK($H$2:$H$1780,H26,6)</f>
        <v>0.938695</v>
      </c>
      <c r="S26" s="61" t="n">
        <f aca="false">PERCENTRANK($Q$2:$Q$1780,Q26,6)</f>
        <v>0.985939</v>
      </c>
      <c r="T26" s="61" t="n">
        <f aca="false">PERCENTRANK($F$2:$F$1780,F26,6)</f>
        <v>0.947694</v>
      </c>
      <c r="U26" s="62" t="n">
        <f aca="false">IF(F26&gt;0,(Settings!$B$8*T26+Settings!$B$9*R26+Settings!$B$10*S26)/SUM(Settings!$B$8:$B$10),0)</f>
        <v>0.957442666666667</v>
      </c>
      <c r="V26" s="56" t="n">
        <f aca="false">IF(U26&gt;0,RANK(U26,$U$2:$U$1780)+COUNTIF($U$2:U26,U26)-1,"")</f>
        <v>25</v>
      </c>
      <c r="W26" s="56" t="str">
        <f aca="false">IF(V26="","",IF(V26&lt;=Settings!$B$11,"1 - Fix first",IF(V26&lt;=Settings!$B$12,"2 - Review","3 - Monitor")))</f>
        <v>1 - Fix first</v>
      </c>
      <c r="X26" s="56" t="str">
        <f aca="false">IF(AND(E26&gt;=Settings!$B$4,F26&gt;=Settings!$B$5,O26&gt;=Settings!$B$6),"HIGH RATE","")</f>
        <v>HIGH RATE</v>
      </c>
      <c r="Y26" s="56" t="n">
        <f aca="false">IF(F26&gt;0,RANK(F26,$F$2:$F$1780)+COUNTIF($F$2:F26,F26)-1,"")</f>
        <v>90</v>
      </c>
      <c r="Z26" s="56" t="n">
        <f aca="false">IF(H26&gt;0,RANK(H26,$H$2:$H$1780)+COUNTIF($H$2:H26,H26)-1,"")</f>
        <v>110</v>
      </c>
      <c r="AA26" s="56" t="n">
        <f aca="false">IF(AC26="","",RANK(AC26,$AC$2:$AC$1780)+COUNTIF($AC$2:AC26,AC26)-1)</f>
        <v>26</v>
      </c>
      <c r="AB26" s="56" t="n">
        <f aca="false">IF(AD26="","",RANK(AD26,$AD$2:$AD$1780)+COUNTIF($AD$2:AD26,AD26)-1)</f>
        <v>28</v>
      </c>
      <c r="AC26" s="32" t="n">
        <f aca="false">IF(AND(F26&gt;0,E26&gt;=Settings!$B$4),J26,"")</f>
        <v>0.0861244019138756</v>
      </c>
      <c r="AD26" s="60" t="n">
        <f aca="false">IF(X26="HIGH RATE",O26,"")</f>
        <v>4.60020641020469</v>
      </c>
    </row>
    <row r="27" customFormat="false" ht="15" hidden="false" customHeight="false" outlineLevel="0" collapsed="false">
      <c r="A27" s="56" t="s">
        <v>893</v>
      </c>
      <c r="B27" s="56" t="s">
        <v>894</v>
      </c>
      <c r="C27" s="56" t="s">
        <v>51</v>
      </c>
      <c r="D27" s="56" t="str">
        <f aca="false">IFERROR(INDEX('Brand Map'!$B$4:$B$124,MATCH(C27,'Brand Map'!$A$4:$A$124,0)),"Other")</f>
        <v>AU</v>
      </c>
      <c r="E27" s="57" t="n">
        <v>37</v>
      </c>
      <c r="F27" s="57" t="n">
        <v>7</v>
      </c>
      <c r="G27" s="58" t="n">
        <v>9422.37</v>
      </c>
      <c r="H27" s="58" t="n">
        <v>1720.43</v>
      </c>
      <c r="I27" s="58" t="n">
        <v>7353.34</v>
      </c>
      <c r="J27" s="32" t="n">
        <f aca="false">IF(E27&gt;0,F27/E27,0)</f>
        <v>0.189189189189189</v>
      </c>
      <c r="K27" s="32" t="n">
        <f aca="false">IF(G27&gt;0,H27/G27,0)</f>
        <v>0.18258994287</v>
      </c>
      <c r="L27" s="59" t="n">
        <f aca="false">H27/Settings!$B$16</f>
        <v>0.00343832485431841</v>
      </c>
      <c r="M27" s="59" t="n">
        <f aca="false">H27/Settings!$B$20</f>
        <v>0.000133564551246565</v>
      </c>
      <c r="N27" s="60" t="n">
        <f aca="false">E27*Settings!$B$3</f>
        <v>1.14648758995336</v>
      </c>
      <c r="O27" s="60" t="n">
        <f aca="false">IF(E27&gt;0,(F27-N27)/SQRT(E27*Settings!$B$3*(1-Settings!$B$3)),0)</f>
        <v>5.55350123034498</v>
      </c>
      <c r="P27" s="60" t="n">
        <f aca="false">MAX(0,F27-N27)</f>
        <v>5.85351241004664</v>
      </c>
      <c r="Q27" s="32" t="n">
        <f aca="false">(F27+Settings!$B$7*Settings!$B$3)/(E27+Settings!$B$7)</f>
        <v>0.118352007946188</v>
      </c>
      <c r="R27" s="61" t="n">
        <f aca="false">PERCENTRANK($H$2:$H$1780,H27,6)</f>
        <v>0.96288</v>
      </c>
      <c r="S27" s="61" t="n">
        <f aca="false">PERCENTRANK($Q$2:$Q$1780,Q27,6)</f>
        <v>0.999438</v>
      </c>
      <c r="T27" s="61" t="n">
        <f aca="false">PERCENTRANK($F$2:$F$1780,F27,6)</f>
        <v>0.908324</v>
      </c>
      <c r="U27" s="62" t="n">
        <f aca="false">IF(F27&gt;0,(Settings!$B$8*T27+Settings!$B$9*R27+Settings!$B$10*S27)/SUM(Settings!$B$8:$B$10),0)</f>
        <v>0.956880666666667</v>
      </c>
      <c r="V27" s="56" t="n">
        <f aca="false">IF(U27&gt;0,RANK(U27,$U$2:$U$1780)+COUNTIF($U$2:U27,U27)-1,"")</f>
        <v>26</v>
      </c>
      <c r="W27" s="56" t="str">
        <f aca="false">IF(V27="","",IF(V27&lt;=Settings!$B$11,"1 - Fix first",IF(V27&lt;=Settings!$B$12,"2 - Review","3 - Monitor")))</f>
        <v>2 - Review</v>
      </c>
      <c r="X27" s="56" t="str">
        <f aca="false">IF(AND(E27&gt;=Settings!$B$4,F27&gt;=Settings!$B$5,O27&gt;=Settings!$B$6),"HIGH RATE","")</f>
        <v>HIGH RATE</v>
      </c>
      <c r="Y27" s="56" t="n">
        <f aca="false">IF(F27&gt;0,RANK(F27,$F$2:$F$1780)+COUNTIF($F$2:F27,F27)-1,"")</f>
        <v>157</v>
      </c>
      <c r="Z27" s="56" t="n">
        <f aca="false">IF(H27&gt;0,RANK(H27,$H$2:$H$1780)+COUNTIF($H$2:H27,H27)-1,"")</f>
        <v>67</v>
      </c>
      <c r="AA27" s="56" t="n">
        <f aca="false">IF(AC27="","",RANK(AC27,$AC$2:$AC$1780)+COUNTIF($AC$2:AC27,AC27)-1)</f>
        <v>2</v>
      </c>
      <c r="AB27" s="56" t="n">
        <f aca="false">IF(AD27="","",RANK(AD27,$AD$2:$AD$1780)+COUNTIF($AD$2:AD27,AD27)-1)</f>
        <v>14</v>
      </c>
      <c r="AC27" s="32" t="n">
        <f aca="false">IF(AND(F27&gt;0,E27&gt;=Settings!$B$4),J27,"")</f>
        <v>0.189189189189189</v>
      </c>
      <c r="AD27" s="60" t="n">
        <f aca="false">IF(X27="HIGH RATE",O27,"")</f>
        <v>5.55350123034498</v>
      </c>
    </row>
    <row r="28" customFormat="false" ht="15" hidden="false" customHeight="false" outlineLevel="0" collapsed="false">
      <c r="A28" s="56" t="s">
        <v>201</v>
      </c>
      <c r="B28" s="56" t="s">
        <v>895</v>
      </c>
      <c r="C28" s="56" t="s">
        <v>51</v>
      </c>
      <c r="D28" s="56" t="str">
        <f aca="false">IFERROR(INDEX('Brand Map'!$B$4:$B$124,MATCH(C28,'Brand Map'!$A$4:$A$124,0)),"Other")</f>
        <v>AU</v>
      </c>
      <c r="E28" s="57" t="n">
        <v>2208</v>
      </c>
      <c r="F28" s="57" t="n">
        <v>108</v>
      </c>
      <c r="G28" s="58" t="n">
        <v>203800.03</v>
      </c>
      <c r="H28" s="58" t="n">
        <v>9388.55</v>
      </c>
      <c r="I28" s="58" t="n">
        <v>187746.09</v>
      </c>
      <c r="J28" s="32" t="n">
        <f aca="false">IF(E28&gt;0,F28/E28,0)</f>
        <v>0.0489130434782609</v>
      </c>
      <c r="K28" s="32" t="n">
        <f aca="false">IF(G28&gt;0,H28/G28,0)</f>
        <v>0.0460674613247113</v>
      </c>
      <c r="L28" s="59" t="n">
        <f aca="false">H28/Settings!$B$16</f>
        <v>0.0187632654691043</v>
      </c>
      <c r="M28" s="59" t="n">
        <f aca="false">H28/Settings!$B$20</f>
        <v>0.000728874448600605</v>
      </c>
      <c r="N28" s="60" t="n">
        <f aca="false">E28*Settings!$B$3</f>
        <v>68.4174215842435</v>
      </c>
      <c r="O28" s="60" t="n">
        <f aca="false">IF(E28&gt;0,(F28-N28)/SQRT(E28*Settings!$B$3*(1-Settings!$B$3)),0)</f>
        <v>4.86133709846121</v>
      </c>
      <c r="P28" s="60" t="n">
        <f aca="false">MAX(0,F28-N28)</f>
        <v>39.5825784157565</v>
      </c>
      <c r="Q28" s="32" t="n">
        <f aca="false">(F28+Settings!$B$7*Settings!$B$3)/(E28+Settings!$B$7)</f>
        <v>0.0486727366096491</v>
      </c>
      <c r="R28" s="61" t="n">
        <f aca="false">PERCENTRANK($H$2:$H$1780,H28,6)</f>
        <v>0.996625</v>
      </c>
      <c r="S28" s="61" t="n">
        <f aca="false">PERCENTRANK($Q$2:$Q$1780,Q28,6)</f>
        <v>0.876828</v>
      </c>
      <c r="T28" s="61" t="n">
        <f aca="false">PERCENTRANK($F$2:$F$1780,F28,6)</f>
        <v>0.993251</v>
      </c>
      <c r="U28" s="62" t="n">
        <f aca="false">IF(F28&gt;0,(Settings!$B$8*T28+Settings!$B$9*R28+Settings!$B$10*S28)/SUM(Settings!$B$8:$B$10),0)</f>
        <v>0.955568</v>
      </c>
      <c r="V28" s="56" t="n">
        <f aca="false">IF(U28&gt;0,RANK(U28,$U$2:$U$1780)+COUNTIF($U$2:U28,U28)-1,"")</f>
        <v>27</v>
      </c>
      <c r="W28" s="56" t="str">
        <f aca="false">IF(V28="","",IF(V28&lt;=Settings!$B$11,"1 - Fix first",IF(V28&lt;=Settings!$B$12,"2 - Review","3 - Monitor")))</f>
        <v>2 - Review</v>
      </c>
      <c r="X28" s="56" t="str">
        <f aca="false">IF(AND(E28&gt;=Settings!$B$4,F28&gt;=Settings!$B$5,O28&gt;=Settings!$B$6),"HIGH RATE","")</f>
        <v>HIGH RATE</v>
      </c>
      <c r="Y28" s="56" t="n">
        <f aca="false">IF(F28&gt;0,RANK(F28,$F$2:$F$1780)+COUNTIF($F$2:F28,F28)-1,"")</f>
        <v>13</v>
      </c>
      <c r="Z28" s="56" t="n">
        <f aca="false">IF(H28&gt;0,RANK(H28,$H$2:$H$1780)+COUNTIF($H$2:H28,H28)-1,"")</f>
        <v>7</v>
      </c>
      <c r="AA28" s="56" t="n">
        <f aca="false">IF(AC28="","",RANK(AC28,$AC$2:$AC$1780)+COUNTIF($AC$2:AC28,AC28)-1)</f>
        <v>130</v>
      </c>
      <c r="AB28" s="56" t="n">
        <f aca="false">IF(AD28="","",RANK(AD28,$AD$2:$AD$1780)+COUNTIF($AD$2:AD28,AD28)-1)</f>
        <v>21</v>
      </c>
      <c r="AC28" s="32" t="n">
        <f aca="false">IF(AND(F28&gt;0,E28&gt;=Settings!$B$4),J28,"")</f>
        <v>0.0489130434782609</v>
      </c>
      <c r="AD28" s="60" t="n">
        <f aca="false">IF(X28="HIGH RATE",O28,"")</f>
        <v>4.86133709846121</v>
      </c>
    </row>
    <row r="29" customFormat="false" ht="15" hidden="false" customHeight="false" outlineLevel="0" collapsed="false">
      <c r="A29" s="56" t="s">
        <v>271</v>
      </c>
      <c r="B29" s="56" t="s">
        <v>896</v>
      </c>
      <c r="C29" s="56" t="s">
        <v>67</v>
      </c>
      <c r="D29" s="56" t="str">
        <f aca="false">IFERROR(INDEX('Brand Map'!$B$4:$B$124,MATCH(C29,'Brand Map'!$A$4:$A$124,0)),"Other")</f>
        <v>MJ</v>
      </c>
      <c r="E29" s="57" t="n">
        <v>2096</v>
      </c>
      <c r="F29" s="57" t="n">
        <v>104</v>
      </c>
      <c r="G29" s="58" t="n">
        <v>130930.17</v>
      </c>
      <c r="H29" s="58" t="n">
        <v>6020.46</v>
      </c>
      <c r="I29" s="58" t="n">
        <v>117905.53</v>
      </c>
      <c r="J29" s="32" t="n">
        <f aca="false">IF(E29&gt;0,F29/E29,0)</f>
        <v>0.049618320610687</v>
      </c>
      <c r="K29" s="32" t="n">
        <f aca="false">IF(G29&gt;0,H29/G29,0)</f>
        <v>0.0459822209044714</v>
      </c>
      <c r="L29" s="59" t="n">
        <f aca="false">H29/Settings!$B$16</f>
        <v>0.0120320485299779</v>
      </c>
      <c r="M29" s="59" t="n">
        <f aca="false">H29/Settings!$B$20</f>
        <v>0.000467394801414702</v>
      </c>
      <c r="N29" s="60" t="n">
        <f aca="false">E29*Settings!$B$3</f>
        <v>64.9469726633036</v>
      </c>
      <c r="O29" s="60" t="n">
        <f aca="false">IF(E29&gt;0,(F29-N29)/SQRT(E29*Settings!$B$3*(1-Settings!$B$3)),0)</f>
        <v>4.92277807055216</v>
      </c>
      <c r="P29" s="60" t="n">
        <f aca="false">MAX(0,F29-N29)</f>
        <v>39.0530273366964</v>
      </c>
      <c r="Q29" s="32" t="n">
        <f aca="false">(F29+Settings!$B$7*Settings!$B$3)/(E29+Settings!$B$7)</f>
        <v>0.0493554019437416</v>
      </c>
      <c r="R29" s="61" t="n">
        <f aca="false">PERCENTRANK($H$2:$H$1780,H29,6)</f>
        <v>0.991564</v>
      </c>
      <c r="S29" s="61" t="n">
        <f aca="false">PERCENTRANK($Q$2:$Q$1780,Q29,6)</f>
        <v>0.88189</v>
      </c>
      <c r="T29" s="61" t="n">
        <f aca="false">PERCENTRANK($F$2:$F$1780,F29,6)</f>
        <v>0.991564</v>
      </c>
      <c r="U29" s="62" t="n">
        <f aca="false">IF(F29&gt;0,(Settings!$B$8*T29+Settings!$B$9*R29+Settings!$B$10*S29)/SUM(Settings!$B$8:$B$10),0)</f>
        <v>0.955006</v>
      </c>
      <c r="V29" s="56" t="n">
        <f aca="false">IF(U29&gt;0,RANK(U29,$U$2:$U$1780)+COUNTIF($U$2:U29,U29)-1,"")</f>
        <v>28</v>
      </c>
      <c r="W29" s="56" t="str">
        <f aca="false">IF(V29="","",IF(V29&lt;=Settings!$B$11,"1 - Fix first",IF(V29&lt;=Settings!$B$12,"2 - Review","3 - Monitor")))</f>
        <v>2 - Review</v>
      </c>
      <c r="X29" s="56" t="str">
        <f aca="false">IF(AND(E29&gt;=Settings!$B$4,F29&gt;=Settings!$B$5,O29&gt;=Settings!$B$6),"HIGH RATE","")</f>
        <v>HIGH RATE</v>
      </c>
      <c r="Y29" s="56" t="n">
        <f aca="false">IF(F29&gt;0,RANK(F29,$F$2:$F$1780)+COUNTIF($F$2:F29,F29)-1,"")</f>
        <v>15</v>
      </c>
      <c r="Z29" s="56" t="n">
        <f aca="false">IF(H29&gt;0,RANK(H29,$H$2:$H$1780)+COUNTIF($H$2:H29,H29)-1,"")</f>
        <v>16</v>
      </c>
      <c r="AA29" s="56" t="n">
        <f aca="false">IF(AC29="","",RANK(AC29,$AC$2:$AC$1780)+COUNTIF($AC$2:AC29,AC29)-1)</f>
        <v>127</v>
      </c>
      <c r="AB29" s="56" t="n">
        <f aca="false">IF(AD29="","",RANK(AD29,$AD$2:$AD$1780)+COUNTIF($AD$2:AD29,AD29)-1)</f>
        <v>20</v>
      </c>
      <c r="AC29" s="32" t="n">
        <f aca="false">IF(AND(F29&gt;0,E29&gt;=Settings!$B$4),J29,"")</f>
        <v>0.049618320610687</v>
      </c>
      <c r="AD29" s="60" t="n">
        <f aca="false">IF(X29="HIGH RATE",O29,"")</f>
        <v>4.92277807055216</v>
      </c>
    </row>
    <row r="30" customFormat="false" ht="15" hidden="false" customHeight="false" outlineLevel="0" collapsed="false">
      <c r="A30" s="56" t="s">
        <v>897</v>
      </c>
      <c r="B30" s="56" t="s">
        <v>898</v>
      </c>
      <c r="C30" s="56" t="s">
        <v>51</v>
      </c>
      <c r="D30" s="56" t="str">
        <f aca="false">IFERROR(INDEX('Brand Map'!$B$4:$B$124,MATCH(C30,'Brand Map'!$A$4:$A$124,0)),"Other")</f>
        <v>AU</v>
      </c>
      <c r="E30" s="57" t="n">
        <v>130</v>
      </c>
      <c r="F30" s="57" t="n">
        <v>13</v>
      </c>
      <c r="G30" s="58" t="n">
        <v>9605.22</v>
      </c>
      <c r="H30" s="58" t="n">
        <v>911.98</v>
      </c>
      <c r="I30" s="58" t="n">
        <v>8167.37</v>
      </c>
      <c r="J30" s="32" t="n">
        <f aca="false">IF(E30&gt;0,F30/E30,0)</f>
        <v>0.1</v>
      </c>
      <c r="K30" s="32" t="n">
        <f aca="false">IF(G30&gt;0,H30/G30,0)</f>
        <v>0.0949462896216849</v>
      </c>
      <c r="L30" s="59" t="n">
        <f aca="false">H30/Settings!$B$16</f>
        <v>0.00182261614866127</v>
      </c>
      <c r="M30" s="59" t="n">
        <f aca="false">H30/Settings!$B$20</f>
        <v>7.08010203529597E-005</v>
      </c>
      <c r="N30" s="60" t="n">
        <f aca="false">E30*Settings!$B$3</f>
        <v>4.02819964037666</v>
      </c>
      <c r="O30" s="60" t="n">
        <f aca="false">IF(E30&gt;0,(F30-N30)/SQRT(E30*Settings!$B$3*(1-Settings!$B$3)),0)</f>
        <v>4.54107961362183</v>
      </c>
      <c r="P30" s="60" t="n">
        <f aca="false">MAX(0,F30-N30)</f>
        <v>8.97180035962334</v>
      </c>
      <c r="Q30" s="32" t="n">
        <f aca="false">(F30+Settings!$B$7*Settings!$B$3)/(E30+Settings!$B$7)</f>
        <v>0.0870599033274663</v>
      </c>
      <c r="R30" s="61" t="n">
        <f aca="false">PERCENTRANK($H$2:$H$1780,H30,6)</f>
        <v>0.93757</v>
      </c>
      <c r="S30" s="61" t="n">
        <f aca="false">PERCENTRANK($Q$2:$Q$1780,Q30,6)</f>
        <v>0.992688</v>
      </c>
      <c r="T30" s="61" t="n">
        <f aca="false">PERCENTRANK($F$2:$F$1780,F30,6)</f>
        <v>0.934758</v>
      </c>
      <c r="U30" s="62" t="n">
        <f aca="false">IF(F30&gt;0,(Settings!$B$8*T30+Settings!$B$9*R30+Settings!$B$10*S30)/SUM(Settings!$B$8:$B$10),0)</f>
        <v>0.955005333333333</v>
      </c>
      <c r="V30" s="56" t="n">
        <f aca="false">IF(U30&gt;0,RANK(U30,$U$2:$U$1780)+COUNTIF($U$2:U30,U30)-1,"")</f>
        <v>29</v>
      </c>
      <c r="W30" s="56" t="str">
        <f aca="false">IF(V30="","",IF(V30&lt;=Settings!$B$11,"1 - Fix first",IF(V30&lt;=Settings!$B$12,"2 - Review","3 - Monitor")))</f>
        <v>2 - Review</v>
      </c>
      <c r="X30" s="56" t="str">
        <f aca="false">IF(AND(E30&gt;=Settings!$B$4,F30&gt;=Settings!$B$5,O30&gt;=Settings!$B$6),"HIGH RATE","")</f>
        <v>HIGH RATE</v>
      </c>
      <c r="Y30" s="56" t="n">
        <f aca="false">IF(F30&gt;0,RANK(F30,$F$2:$F$1780)+COUNTIF($F$2:F30,F30)-1,"")</f>
        <v>112</v>
      </c>
      <c r="Z30" s="56" t="n">
        <f aca="false">IF(H30&gt;0,RANK(H30,$H$2:$H$1780)+COUNTIF($H$2:H30,H30)-1,"")</f>
        <v>112</v>
      </c>
      <c r="AA30" s="56" t="n">
        <f aca="false">IF(AC30="","",RANK(AC30,$AC$2:$AC$1780)+COUNTIF($AC$2:AC30,AC30)-1)</f>
        <v>14</v>
      </c>
      <c r="AB30" s="56" t="n">
        <f aca="false">IF(AD30="","",RANK(AD30,$AD$2:$AD$1780)+COUNTIF($AD$2:AD30,AD30)-1)</f>
        <v>29</v>
      </c>
      <c r="AC30" s="32" t="n">
        <f aca="false">IF(AND(F30&gt;0,E30&gt;=Settings!$B$4),J30,"")</f>
        <v>0.1</v>
      </c>
      <c r="AD30" s="60" t="n">
        <f aca="false">IF(X30="HIGH RATE",O30,"")</f>
        <v>4.54107961362183</v>
      </c>
    </row>
    <row r="31" customFormat="false" ht="15" hidden="false" customHeight="false" outlineLevel="0" collapsed="false">
      <c r="A31" s="56" t="s">
        <v>565</v>
      </c>
      <c r="B31" s="56" t="s">
        <v>566</v>
      </c>
      <c r="C31" s="56" t="s">
        <v>129</v>
      </c>
      <c r="D31" s="56" t="str">
        <f aca="false">IFERROR(INDEX('Brand Map'!$B$4:$B$124,MATCH(C31,'Brand Map'!$A$4:$A$124,0)),"Other")</f>
        <v>AL</v>
      </c>
      <c r="E31" s="57" t="n">
        <v>319</v>
      </c>
      <c r="F31" s="57" t="n">
        <v>19</v>
      </c>
      <c r="G31" s="58" t="n">
        <v>45249.66</v>
      </c>
      <c r="H31" s="58" t="n">
        <v>2692.59</v>
      </c>
      <c r="I31" s="58" t="n">
        <v>41327.22</v>
      </c>
      <c r="J31" s="32" t="n">
        <f aca="false">IF(E31&gt;0,F31/E31,0)</f>
        <v>0.0595611285266458</v>
      </c>
      <c r="K31" s="32" t="n">
        <f aca="false">IF(G31&gt;0,H31/G31,0)</f>
        <v>0.0595051984920992</v>
      </c>
      <c r="L31" s="59" t="n">
        <f aca="false">H31/Settings!$B$16</f>
        <v>0.00538121232452888</v>
      </c>
      <c r="M31" s="59" t="n">
        <f aca="false">H31/Settings!$B$20</f>
        <v>0.000209037609807425</v>
      </c>
      <c r="N31" s="60" t="n">
        <f aca="false">E31*Settings!$B$3</f>
        <v>9.88458219446271</v>
      </c>
      <c r="O31" s="60" t="n">
        <f aca="false">IF(E31&gt;0,(F31-N31)/SQRT(E31*Settings!$B$3*(1-Settings!$B$3)),0)</f>
        <v>2.94531960925308</v>
      </c>
      <c r="P31" s="60" t="n">
        <f aca="false">MAX(0,F31-N31)</f>
        <v>9.11541780553729</v>
      </c>
      <c r="Q31" s="32" t="n">
        <f aca="false">(F31+Settings!$B$7*Settings!$B$3)/(E31+Settings!$B$7)</f>
        <v>0.0571048267403857</v>
      </c>
      <c r="R31" s="61" t="n">
        <f aca="false">PERCENTRANK($H$2:$H$1780,H31,6)</f>
        <v>0.974691</v>
      </c>
      <c r="S31" s="61" t="n">
        <f aca="false">PERCENTRANK($Q$2:$Q$1780,Q31,6)</f>
        <v>0.934758</v>
      </c>
      <c r="T31" s="61" t="n">
        <f aca="false">PERCENTRANK($F$2:$F$1780,F31,6)</f>
        <v>0.950506</v>
      </c>
      <c r="U31" s="62" t="n">
        <f aca="false">IF(F31&gt;0,(Settings!$B$8*T31+Settings!$B$9*R31+Settings!$B$10*S31)/SUM(Settings!$B$8:$B$10),0)</f>
        <v>0.953318333333333</v>
      </c>
      <c r="V31" s="56" t="n">
        <f aca="false">IF(U31&gt;0,RANK(U31,$U$2:$U$1780)+COUNTIF($U$2:U31,U31)-1,"")</f>
        <v>30</v>
      </c>
      <c r="W31" s="56" t="str">
        <f aca="false">IF(V31="","",IF(V31&lt;=Settings!$B$11,"1 - Fix first",IF(V31&lt;=Settings!$B$12,"2 - Review","3 - Monitor")))</f>
        <v>2 - Review</v>
      </c>
      <c r="X31" s="56" t="str">
        <f aca="false">IF(AND(E31&gt;=Settings!$B$4,F31&gt;=Settings!$B$5,O31&gt;=Settings!$B$6),"HIGH RATE","")</f>
        <v/>
      </c>
      <c r="Y31" s="56" t="n">
        <f aca="false">IF(F31&gt;0,RANK(F31,$F$2:$F$1780)+COUNTIF($F$2:F31,F31)-1,"")</f>
        <v>87</v>
      </c>
      <c r="Z31" s="56" t="n">
        <f aca="false">IF(H31&gt;0,RANK(H31,$H$2:$H$1780)+COUNTIF($H$2:H31,H31)-1,"")</f>
        <v>46</v>
      </c>
      <c r="AA31" s="56" t="n">
        <f aca="false">IF(AC31="","",RANK(AC31,$AC$2:$AC$1780)+COUNTIF($AC$2:AC31,AC31)-1)</f>
        <v>74</v>
      </c>
      <c r="AB31" s="56" t="str">
        <f aca="false">IF(AD31="","",RANK(AD31,$AD$2:$AD$1780)+COUNTIF($AD$2:AD31,AD31)-1)</f>
        <v/>
      </c>
      <c r="AC31" s="32" t="n">
        <f aca="false">IF(AND(F31&gt;0,E31&gt;=Settings!$B$4),J31,"")</f>
        <v>0.0595611285266458</v>
      </c>
      <c r="AD31" s="56" t="str">
        <f aca="false">IF(X31="HIGH RATE",O31,"")</f>
        <v/>
      </c>
    </row>
    <row r="32" customFormat="false" ht="15" hidden="false" customHeight="false" outlineLevel="0" collapsed="false">
      <c r="A32" s="56" t="s">
        <v>899</v>
      </c>
      <c r="B32" s="56" t="s">
        <v>900</v>
      </c>
      <c r="C32" s="56" t="s">
        <v>51</v>
      </c>
      <c r="D32" s="56" t="str">
        <f aca="false">IFERROR(INDEX('Brand Map'!$B$4:$B$124,MATCH(C32,'Brand Map'!$A$4:$A$124,0)),"Other")</f>
        <v>AU</v>
      </c>
      <c r="E32" s="57" t="n">
        <v>40</v>
      </c>
      <c r="F32" s="57" t="n">
        <v>6</v>
      </c>
      <c r="G32" s="58" t="n">
        <v>11207.28</v>
      </c>
      <c r="H32" s="58" t="n">
        <v>1504.25</v>
      </c>
      <c r="I32" s="58" t="n">
        <v>9353.17</v>
      </c>
      <c r="J32" s="32" t="n">
        <f aca="false">IF(E32&gt;0,F32/E32,0)</f>
        <v>0.15</v>
      </c>
      <c r="K32" s="32" t="n">
        <f aca="false">IF(G32&gt;0,H32/G32,0)</f>
        <v>0.134220792199356</v>
      </c>
      <c r="L32" s="59" t="n">
        <f aca="false">H32/Settings!$B$16</f>
        <v>0.00300628340711826</v>
      </c>
      <c r="M32" s="59" t="n">
        <f aca="false">H32/Settings!$B$20</f>
        <v>0.000116781546597447</v>
      </c>
      <c r="N32" s="60" t="n">
        <f aca="false">E32*Settings!$B$3</f>
        <v>1.23944604319282</v>
      </c>
      <c r="O32" s="60" t="n">
        <f aca="false">IF(E32&gt;0,(F32-N32)/SQRT(E32*Settings!$B$3*(1-Settings!$B$3)),0)</f>
        <v>4.34388868083427</v>
      </c>
      <c r="P32" s="60" t="n">
        <f aca="false">MAX(0,F32-N32)</f>
        <v>4.76055395680718</v>
      </c>
      <c r="Q32" s="32" t="n">
        <f aca="false">(F32+Settings!$B$7*Settings!$B$3)/(E32+Settings!$B$7)</f>
        <v>0.0989940647484945</v>
      </c>
      <c r="R32" s="61" t="n">
        <f aca="false">PERCENTRANK($H$2:$H$1780,H32,6)</f>
        <v>0.960067</v>
      </c>
      <c r="S32" s="61" t="n">
        <f aca="false">PERCENTRANK($Q$2:$Q$1780,Q32,6)</f>
        <v>0.997188</v>
      </c>
      <c r="T32" s="61" t="n">
        <f aca="false">PERCENTRANK($F$2:$F$1780,F32,6)</f>
        <v>0.898763</v>
      </c>
      <c r="U32" s="62" t="n">
        <f aca="false">IF(F32&gt;0,(Settings!$B$8*T32+Settings!$B$9*R32+Settings!$B$10*S32)/SUM(Settings!$B$8:$B$10),0)</f>
        <v>0.952006</v>
      </c>
      <c r="V32" s="56" t="n">
        <f aca="false">IF(U32&gt;0,RANK(U32,$U$2:$U$1780)+COUNTIF($U$2:U32,U32)-1,"")</f>
        <v>31</v>
      </c>
      <c r="W32" s="56" t="str">
        <f aca="false">IF(V32="","",IF(V32&lt;=Settings!$B$11,"1 - Fix first",IF(V32&lt;=Settings!$B$12,"2 - Review","3 - Monitor")))</f>
        <v>2 - Review</v>
      </c>
      <c r="X32" s="56" t="str">
        <f aca="false">IF(AND(E32&gt;=Settings!$B$4,F32&gt;=Settings!$B$5,O32&gt;=Settings!$B$6),"HIGH RATE","")</f>
        <v>HIGH RATE</v>
      </c>
      <c r="Y32" s="56" t="n">
        <f aca="false">IF(F32&gt;0,RANK(F32,$F$2:$F$1780)+COUNTIF($F$2:F32,F32)-1,"")</f>
        <v>165</v>
      </c>
      <c r="Z32" s="56" t="n">
        <f aca="false">IF(H32&gt;0,RANK(H32,$H$2:$H$1780)+COUNTIF($H$2:H32,H32)-1,"")</f>
        <v>72</v>
      </c>
      <c r="AA32" s="56" t="n">
        <f aca="false">IF(AC32="","",RANK(AC32,$AC$2:$AC$1780)+COUNTIF($AC$2:AC32,AC32)-1)</f>
        <v>3</v>
      </c>
      <c r="AB32" s="56" t="n">
        <f aca="false">IF(AD32="","",RANK(AD32,$AD$2:$AD$1780)+COUNTIF($AD$2:AD32,AD32)-1)</f>
        <v>36</v>
      </c>
      <c r="AC32" s="32" t="n">
        <f aca="false">IF(AND(F32&gt;0,E32&gt;=Settings!$B$4),J32,"")</f>
        <v>0.15</v>
      </c>
      <c r="AD32" s="60" t="n">
        <f aca="false">IF(X32="HIGH RATE",O32,"")</f>
        <v>4.34388868083427</v>
      </c>
    </row>
    <row r="33" customFormat="false" ht="15" hidden="false" customHeight="false" outlineLevel="0" collapsed="false">
      <c r="A33" s="56" t="s">
        <v>291</v>
      </c>
      <c r="B33" s="56" t="s">
        <v>901</v>
      </c>
      <c r="C33" s="56" t="s">
        <v>71</v>
      </c>
      <c r="D33" s="56" t="str">
        <f aca="false">IFERROR(INDEX('Brand Map'!$B$4:$B$124,MATCH(C33,'Brand Map'!$A$4:$A$124,0)),"Other")</f>
        <v>GF</v>
      </c>
      <c r="E33" s="57" t="n">
        <v>1130</v>
      </c>
      <c r="F33" s="57" t="n">
        <v>56</v>
      </c>
      <c r="G33" s="58" t="n">
        <v>138163.26</v>
      </c>
      <c r="H33" s="58" t="n">
        <v>6386.94</v>
      </c>
      <c r="I33" s="58" t="n">
        <v>124899.04</v>
      </c>
      <c r="J33" s="32" t="n">
        <f aca="false">IF(E33&gt;0,F33/E33,0)</f>
        <v>0.0495575221238938</v>
      </c>
      <c r="K33" s="32" t="n">
        <f aca="false">IF(G33&gt;0,H33/G33,0)</f>
        <v>0.0462274847886479</v>
      </c>
      <c r="L33" s="59" t="n">
        <f aca="false">H33/Settings!$B$16</f>
        <v>0.012764468502084</v>
      </c>
      <c r="M33" s="59" t="n">
        <f aca="false">H33/Settings!$B$20</f>
        <v>0.000495846256423531</v>
      </c>
      <c r="N33" s="60" t="n">
        <f aca="false">E33*Settings!$B$3</f>
        <v>35.0143507201971</v>
      </c>
      <c r="O33" s="60" t="n">
        <f aca="false">IF(E33&gt;0,(F33-N33)/SQRT(E33*Settings!$B$3*(1-Settings!$B$3)),0)</f>
        <v>3.6027520980699</v>
      </c>
      <c r="P33" s="60" t="n">
        <f aca="false">MAX(0,F33-N33)</f>
        <v>20.9856492798029</v>
      </c>
      <c r="Q33" s="32" t="n">
        <f aca="false">(F33+Settings!$B$7*Settings!$B$3)/(E33+Settings!$B$7)</f>
        <v>0.0490772280451678</v>
      </c>
      <c r="R33" s="61" t="n">
        <f aca="false">PERCENTRANK($H$2:$H$1780,H33,6)</f>
        <v>0.993813</v>
      </c>
      <c r="S33" s="61" t="n">
        <f aca="false">PERCENTRANK($Q$2:$Q$1780,Q33,6)</f>
        <v>0.87964</v>
      </c>
      <c r="T33" s="61" t="n">
        <f aca="false">PERCENTRANK($F$2:$F$1780,F33,6)</f>
        <v>0.98144</v>
      </c>
      <c r="U33" s="62" t="n">
        <f aca="false">IF(F33&gt;0,(Settings!$B$8*T33+Settings!$B$9*R33+Settings!$B$10*S33)/SUM(Settings!$B$8:$B$10),0)</f>
        <v>0.951631</v>
      </c>
      <c r="V33" s="56" t="n">
        <f aca="false">IF(U33&gt;0,RANK(U33,$U$2:$U$1780)+COUNTIF($U$2:U33,U33)-1,"")</f>
        <v>32</v>
      </c>
      <c r="W33" s="56" t="str">
        <f aca="false">IF(V33="","",IF(V33&lt;=Settings!$B$11,"1 - Fix first",IF(V33&lt;=Settings!$B$12,"2 - Review","3 - Monitor")))</f>
        <v>2 - Review</v>
      </c>
      <c r="X33" s="56" t="str">
        <f aca="false">IF(AND(E33&gt;=Settings!$B$4,F33&gt;=Settings!$B$5,O33&gt;=Settings!$B$6),"HIGH RATE","")</f>
        <v>HIGH RATE</v>
      </c>
      <c r="Y33" s="56" t="n">
        <f aca="false">IF(F33&gt;0,RANK(F33,$F$2:$F$1780)+COUNTIF($F$2:F33,F33)-1,"")</f>
        <v>34</v>
      </c>
      <c r="Z33" s="56" t="n">
        <f aca="false">IF(H33&gt;0,RANK(H33,$H$2:$H$1780)+COUNTIF($H$2:H33,H33)-1,"")</f>
        <v>12</v>
      </c>
      <c r="AA33" s="56" t="n">
        <f aca="false">IF(AC33="","",RANK(AC33,$AC$2:$AC$1780)+COUNTIF($AC$2:AC33,AC33)-1)</f>
        <v>128</v>
      </c>
      <c r="AB33" s="56" t="n">
        <f aca="false">IF(AD33="","",RANK(AD33,$AD$2:$AD$1780)+COUNTIF($AD$2:AD33,AD33)-1)</f>
        <v>51</v>
      </c>
      <c r="AC33" s="32" t="n">
        <f aca="false">IF(AND(F33&gt;0,E33&gt;=Settings!$B$4),J33,"")</f>
        <v>0.0495575221238938</v>
      </c>
      <c r="AD33" s="60" t="n">
        <f aca="false">IF(X33="HIGH RATE",O33,"")</f>
        <v>3.6027520980699</v>
      </c>
    </row>
    <row r="34" customFormat="false" ht="15" hidden="false" customHeight="false" outlineLevel="0" collapsed="false">
      <c r="A34" s="56" t="s">
        <v>902</v>
      </c>
      <c r="B34" s="56" t="s">
        <v>903</v>
      </c>
      <c r="C34" s="56" t="s">
        <v>117</v>
      </c>
      <c r="D34" s="56" t="str">
        <f aca="false">IFERROR(INDEX('Brand Map'!$B$4:$B$124,MATCH(C34,'Brand Map'!$A$4:$A$124,0)),"Other")</f>
        <v>LF</v>
      </c>
      <c r="E34" s="57" t="n">
        <v>153</v>
      </c>
      <c r="F34" s="57" t="n">
        <v>12</v>
      </c>
      <c r="G34" s="58" t="n">
        <v>14596.06</v>
      </c>
      <c r="H34" s="58" t="n">
        <v>1086.73</v>
      </c>
      <c r="I34" s="58" t="n">
        <v>13034.19</v>
      </c>
      <c r="J34" s="32" t="n">
        <f aca="false">IF(E34&gt;0,F34/E34,0)</f>
        <v>0.0784313725490196</v>
      </c>
      <c r="K34" s="32" t="n">
        <f aca="false">IF(G34&gt;0,H34/G34,0)</f>
        <v>0.0744536539312664</v>
      </c>
      <c r="L34" s="59" t="n">
        <f aca="false">H34/Settings!$B$16</f>
        <v>0.00217185864518373</v>
      </c>
      <c r="M34" s="59" t="n">
        <f aca="false">H34/Settings!$B$20</f>
        <v>8.43676317991314E-005</v>
      </c>
      <c r="N34" s="60" t="n">
        <f aca="false">E34*Settings!$B$3</f>
        <v>4.74088111521252</v>
      </c>
      <c r="O34" s="60" t="n">
        <f aca="false">IF(E34&gt;0,(F34-N34)/SQRT(E34*Settings!$B$3*(1-Settings!$B$3)),0)</f>
        <v>3.38679870186056</v>
      </c>
      <c r="P34" s="60" t="n">
        <f aca="false">MAX(0,F34-N34)</f>
        <v>7.25911888478748</v>
      </c>
      <c r="Q34" s="32" t="n">
        <f aca="false">(F34+Settings!$B$7*Settings!$B$3)/(E34+Settings!$B$7)</f>
        <v>0.0706534673901345</v>
      </c>
      <c r="R34" s="61" t="n">
        <f aca="false">PERCENTRANK($H$2:$H$1780,H34,6)</f>
        <v>0.946007</v>
      </c>
      <c r="S34" s="61" t="n">
        <f aca="false">PERCENTRANK($Q$2:$Q$1780,Q34,6)</f>
        <v>0.974691</v>
      </c>
      <c r="T34" s="61" t="n">
        <f aca="false">PERCENTRANK($F$2:$F$1780,F34,6)</f>
        <v>0.930259</v>
      </c>
      <c r="U34" s="62" t="n">
        <f aca="false">IF(F34&gt;0,(Settings!$B$8*T34+Settings!$B$9*R34+Settings!$B$10*S34)/SUM(Settings!$B$8:$B$10),0)</f>
        <v>0.950319</v>
      </c>
      <c r="V34" s="56" t="n">
        <f aca="false">IF(U34&gt;0,RANK(U34,$U$2:$U$1780)+COUNTIF($U$2:U34,U34)-1,"")</f>
        <v>33</v>
      </c>
      <c r="W34" s="56" t="str">
        <f aca="false">IF(V34="","",IF(V34&lt;=Settings!$B$11,"1 - Fix first",IF(V34&lt;=Settings!$B$12,"2 - Review","3 - Monitor")))</f>
        <v>2 - Review</v>
      </c>
      <c r="X34" s="56" t="str">
        <f aca="false">IF(AND(E34&gt;=Settings!$B$4,F34&gt;=Settings!$B$5,O34&gt;=Settings!$B$6),"HIGH RATE","")</f>
        <v>HIGH RATE</v>
      </c>
      <c r="Y34" s="56" t="n">
        <f aca="false">IF(F34&gt;0,RANK(F34,$F$2:$F$1780)+COUNTIF($F$2:F34,F34)-1,"")</f>
        <v>119</v>
      </c>
      <c r="Z34" s="56" t="n">
        <f aca="false">IF(H34&gt;0,RANK(H34,$H$2:$H$1780)+COUNTIF($H$2:H34,H34)-1,"")</f>
        <v>97</v>
      </c>
      <c r="AA34" s="56" t="n">
        <f aca="false">IF(AC34="","",RANK(AC34,$AC$2:$AC$1780)+COUNTIF($AC$2:AC34,AC34)-1)</f>
        <v>36</v>
      </c>
      <c r="AB34" s="56" t="n">
        <f aca="false">IF(AD34="","",RANK(AD34,$AD$2:$AD$1780)+COUNTIF($AD$2:AD34,AD34)-1)</f>
        <v>56</v>
      </c>
      <c r="AC34" s="32" t="n">
        <f aca="false">IF(AND(F34&gt;0,E34&gt;=Settings!$B$4),J34,"")</f>
        <v>0.0784313725490196</v>
      </c>
      <c r="AD34" s="60" t="n">
        <f aca="false">IF(X34="HIGH RATE",O34,"")</f>
        <v>3.38679870186056</v>
      </c>
    </row>
    <row r="35" customFormat="false" ht="15" hidden="false" customHeight="false" outlineLevel="0" collapsed="false">
      <c r="A35" s="56" t="s">
        <v>312</v>
      </c>
      <c r="B35" s="56" t="s">
        <v>904</v>
      </c>
      <c r="C35" s="56" t="s">
        <v>75</v>
      </c>
      <c r="D35" s="56" t="str">
        <f aca="false">IFERROR(INDEX('Brand Map'!$B$4:$B$124,MATCH(C35,'Brand Map'!$A$4:$A$124,0)),"Other")</f>
        <v>AURP</v>
      </c>
      <c r="E35" s="57" t="n">
        <v>1589</v>
      </c>
      <c r="F35" s="57" t="n">
        <v>85</v>
      </c>
      <c r="G35" s="58" t="n">
        <v>24085.85</v>
      </c>
      <c r="H35" s="58" t="n">
        <v>1209.72</v>
      </c>
      <c r="I35" s="58" t="n">
        <v>21919.22</v>
      </c>
      <c r="J35" s="32" t="n">
        <f aca="false">IF(E35&gt;0,F35/E35,0)</f>
        <v>0.0534927627438641</v>
      </c>
      <c r="K35" s="32" t="n">
        <f aca="false">IF(G35&gt;0,H35/G35,0)</f>
        <v>0.0502253397741828</v>
      </c>
      <c r="L35" s="59" t="n">
        <f aca="false">H35/Settings!$B$16</f>
        <v>0.00241765741283637</v>
      </c>
      <c r="M35" s="59" t="n">
        <f aca="false">H35/Settings!$B$20</f>
        <v>9.39158866876273E-005</v>
      </c>
      <c r="N35" s="60" t="n">
        <f aca="false">E35*Settings!$B$3</f>
        <v>49.2369940658346</v>
      </c>
      <c r="O35" s="60" t="n">
        <f aca="false">IF(E35&gt;0,(F35-N35)/SQRT(E35*Settings!$B$3*(1-Settings!$B$3)),0)</f>
        <v>5.17753754854195</v>
      </c>
      <c r="P35" s="60" t="n">
        <f aca="false">MAX(0,F35-N35)</f>
        <v>35.7630059341654</v>
      </c>
      <c r="Q35" s="32" t="n">
        <f aca="false">(F35+Settings!$B$7*Settings!$B$3)/(E35+Settings!$B$7)</f>
        <v>0.0530757162028379</v>
      </c>
      <c r="R35" s="61" t="n">
        <f aca="false">PERCENTRANK($H$2:$H$1780,H35,6)</f>
        <v>0.953881</v>
      </c>
      <c r="S35" s="61" t="n">
        <f aca="false">PERCENTRANK($Q$2:$Q$1780,Q35,6)</f>
        <v>0.908324</v>
      </c>
      <c r="T35" s="61" t="n">
        <f aca="false">PERCENTRANK($F$2:$F$1780,F35,6)</f>
        <v>0.987064</v>
      </c>
      <c r="U35" s="62" t="n">
        <f aca="false">IF(F35&gt;0,(Settings!$B$8*T35+Settings!$B$9*R35+Settings!$B$10*S35)/SUM(Settings!$B$8:$B$10),0)</f>
        <v>0.949756333333333</v>
      </c>
      <c r="V35" s="56" t="n">
        <f aca="false">IF(U35&gt;0,RANK(U35,$U$2:$U$1780)+COUNTIF($U$2:U35,U35)-1,"")</f>
        <v>34</v>
      </c>
      <c r="W35" s="56" t="str">
        <f aca="false">IF(V35="","",IF(V35&lt;=Settings!$B$11,"1 - Fix first",IF(V35&lt;=Settings!$B$12,"2 - Review","3 - Monitor")))</f>
        <v>2 - Review</v>
      </c>
      <c r="X35" s="56" t="str">
        <f aca="false">IF(AND(E35&gt;=Settings!$B$4,F35&gt;=Settings!$B$5,O35&gt;=Settings!$B$6),"HIGH RATE","")</f>
        <v>HIGH RATE</v>
      </c>
      <c r="Y35" s="56" t="n">
        <f aca="false">IF(F35&gt;0,RANK(F35,$F$2:$F$1780)+COUNTIF($F$2:F35,F35)-1,"")</f>
        <v>23</v>
      </c>
      <c r="Z35" s="56" t="n">
        <f aca="false">IF(H35&gt;0,RANK(H35,$H$2:$H$1780)+COUNTIF($H$2:H35,H35)-1,"")</f>
        <v>83</v>
      </c>
      <c r="AA35" s="56" t="n">
        <f aca="false">IF(AC35="","",RANK(AC35,$AC$2:$AC$1780)+COUNTIF($AC$2:AC35,AC35)-1)</f>
        <v>103</v>
      </c>
      <c r="AB35" s="56" t="n">
        <f aca="false">IF(AD35="","",RANK(AD35,$AD$2:$AD$1780)+COUNTIF($AD$2:AD35,AD35)-1)</f>
        <v>18</v>
      </c>
      <c r="AC35" s="32" t="n">
        <f aca="false">IF(AND(F35&gt;0,E35&gt;=Settings!$B$4),J35,"")</f>
        <v>0.0534927627438641</v>
      </c>
      <c r="AD35" s="60" t="n">
        <f aca="false">IF(X35="HIGH RATE",O35,"")</f>
        <v>5.17753754854195</v>
      </c>
    </row>
    <row r="36" customFormat="false" ht="15" hidden="false" customHeight="false" outlineLevel="0" collapsed="false">
      <c r="A36" s="56" t="s">
        <v>905</v>
      </c>
      <c r="B36" s="56" t="s">
        <v>906</v>
      </c>
      <c r="C36" s="56" t="s">
        <v>55</v>
      </c>
      <c r="D36" s="56" t="str">
        <f aca="false">IFERROR(INDEX('Brand Map'!$B$4:$B$124,MATCH(C36,'Brand Map'!$A$4:$A$124,0)),"Other")</f>
        <v>AUMJ</v>
      </c>
      <c r="E36" s="57" t="n">
        <v>255</v>
      </c>
      <c r="F36" s="57" t="n">
        <v>16</v>
      </c>
      <c r="G36" s="58" t="n">
        <v>27776.72</v>
      </c>
      <c r="H36" s="58" t="n">
        <v>1675.33</v>
      </c>
      <c r="I36" s="58" t="n">
        <v>24724.87</v>
      </c>
      <c r="J36" s="32" t="n">
        <f aca="false">IF(E36&gt;0,F36/E36,0)</f>
        <v>0.0627450980392157</v>
      </c>
      <c r="K36" s="32" t="n">
        <f aca="false">IF(G36&gt;0,H36/G36,0)</f>
        <v>0.0603141767638512</v>
      </c>
      <c r="L36" s="59" t="n">
        <f aca="false">H36/Settings!$B$16</f>
        <v>0.00334819131158214</v>
      </c>
      <c r="M36" s="59" t="n">
        <f aca="false">H36/Settings!$B$20</f>
        <v>0.000130063239794649</v>
      </c>
      <c r="N36" s="60" t="n">
        <f aca="false">E36*Settings!$B$3</f>
        <v>7.90146852535421</v>
      </c>
      <c r="O36" s="60" t="n">
        <f aca="false">IF(E36&gt;0,(F36-N36)/SQRT(E36*Settings!$B$3*(1-Settings!$B$3)),0)</f>
        <v>2.92676178109143</v>
      </c>
      <c r="P36" s="60" t="n">
        <f aca="false">MAX(0,F36-N36)</f>
        <v>8.09853147464579</v>
      </c>
      <c r="Q36" s="32" t="n">
        <f aca="false">(F36+Settings!$B$7*Settings!$B$3)/(E36+Settings!$B$7)</f>
        <v>0.0594020509908583</v>
      </c>
      <c r="R36" s="61" t="n">
        <f aca="false">PERCENTRANK($H$2:$H$1780,H36,6)</f>
        <v>0.961755</v>
      </c>
      <c r="S36" s="61" t="n">
        <f aca="false">PERCENTRANK($Q$2:$Q$1780,Q36,6)</f>
        <v>0.943195</v>
      </c>
      <c r="T36" s="61" t="n">
        <f aca="false">PERCENTRANK($F$2:$F$1780,F36,6)</f>
        <v>0.943757</v>
      </c>
      <c r="U36" s="62" t="n">
        <f aca="false">IF(F36&gt;0,(Settings!$B$8*T36+Settings!$B$9*R36+Settings!$B$10*S36)/SUM(Settings!$B$8:$B$10),0)</f>
        <v>0.949569</v>
      </c>
      <c r="V36" s="56" t="n">
        <f aca="false">IF(U36&gt;0,RANK(U36,$U$2:$U$1780)+COUNTIF($U$2:U36,U36)-1,"")</f>
        <v>35</v>
      </c>
      <c r="W36" s="56" t="str">
        <f aca="false">IF(V36="","",IF(V36&lt;=Settings!$B$11,"1 - Fix first",IF(V36&lt;=Settings!$B$12,"2 - Review","3 - Monitor")))</f>
        <v>2 - Review</v>
      </c>
      <c r="X36" s="56" t="str">
        <f aca="false">IF(AND(E36&gt;=Settings!$B$4,F36&gt;=Settings!$B$5,O36&gt;=Settings!$B$6),"HIGH RATE","")</f>
        <v/>
      </c>
      <c r="Y36" s="56" t="n">
        <f aca="false">IF(F36&gt;0,RANK(F36,$F$2:$F$1780)+COUNTIF($F$2:F36,F36)-1,"")</f>
        <v>97</v>
      </c>
      <c r="Z36" s="56" t="n">
        <f aca="false">IF(H36&gt;0,RANK(H36,$H$2:$H$1780)+COUNTIF($H$2:H36,H36)-1,"")</f>
        <v>69</v>
      </c>
      <c r="AA36" s="56" t="n">
        <f aca="false">IF(AC36="","",RANK(AC36,$AC$2:$AC$1780)+COUNTIF($AC$2:AC36,AC36)-1)</f>
        <v>59</v>
      </c>
      <c r="AB36" s="56" t="str">
        <f aca="false">IF(AD36="","",RANK(AD36,$AD$2:$AD$1780)+COUNTIF($AD$2:AD36,AD36)-1)</f>
        <v/>
      </c>
      <c r="AC36" s="32" t="n">
        <f aca="false">IF(AND(F36&gt;0,E36&gt;=Settings!$B$4),J36,"")</f>
        <v>0.0627450980392157</v>
      </c>
      <c r="AD36" s="56" t="str">
        <f aca="false">IF(X36="HIGH RATE",O36,"")</f>
        <v/>
      </c>
    </row>
    <row r="37" customFormat="false" ht="15" hidden="false" customHeight="false" outlineLevel="0" collapsed="false">
      <c r="A37" s="56" t="s">
        <v>547</v>
      </c>
      <c r="B37" s="56" t="s">
        <v>548</v>
      </c>
      <c r="C37" s="56" t="s">
        <v>83</v>
      </c>
      <c r="D37" s="56" t="str">
        <f aca="false">IFERROR(INDEX('Brand Map'!$B$4:$B$124,MATCH(C37,'Brand Map'!$A$4:$A$124,0)),"Other")</f>
        <v>AUDNAT</v>
      </c>
      <c r="E37" s="57" t="n">
        <v>1279</v>
      </c>
      <c r="F37" s="57" t="n">
        <v>62</v>
      </c>
      <c r="G37" s="58" t="n">
        <v>139219.18</v>
      </c>
      <c r="H37" s="58" t="n">
        <v>6090.57</v>
      </c>
      <c r="I37" s="58" t="n">
        <v>124368.22</v>
      </c>
      <c r="J37" s="32" t="n">
        <f aca="false">IF(E37&gt;0,F37/E37,0)</f>
        <v>0.0484753713838937</v>
      </c>
      <c r="K37" s="32" t="n">
        <f aca="false">IF(G37&gt;0,H37/G37,0)</f>
        <v>0.0437480668971043</v>
      </c>
      <c r="L37" s="59" t="n">
        <f aca="false">H37/Settings!$B$16</f>
        <v>0.0121721652191406</v>
      </c>
      <c r="M37" s="59" t="n">
        <f aca="false">H37/Settings!$B$20</f>
        <v>0.000472837749217226</v>
      </c>
      <c r="N37" s="60" t="n">
        <f aca="false">E37*Settings!$B$3</f>
        <v>39.6312872310903</v>
      </c>
      <c r="O37" s="60" t="n">
        <f aca="false">IF(E37&gt;0,(F37-N37)/SQRT(E37*Settings!$B$3*(1-Settings!$B$3)),0)</f>
        <v>3.60958199494274</v>
      </c>
      <c r="P37" s="60" t="n">
        <f aca="false">MAX(0,F37-N37)</f>
        <v>22.3687127689097</v>
      </c>
      <c r="Q37" s="32" t="n">
        <f aca="false">(F37+Settings!$B$7*Settings!$B$3)/(E37+Settings!$B$7)</f>
        <v>0.0480745489170318</v>
      </c>
      <c r="R37" s="61" t="n">
        <f aca="false">PERCENTRANK($H$2:$H$1780,H37,6)</f>
        <v>0.992126</v>
      </c>
      <c r="S37" s="61" t="n">
        <f aca="false">PERCENTRANK($Q$2:$Q$1780,Q37,6)</f>
        <v>0.873453</v>
      </c>
      <c r="T37" s="61" t="n">
        <f aca="false">PERCENTRANK($F$2:$F$1780,F37,6)</f>
        <v>0.982565</v>
      </c>
      <c r="U37" s="62" t="n">
        <f aca="false">IF(F37&gt;0,(Settings!$B$8*T37+Settings!$B$9*R37+Settings!$B$10*S37)/SUM(Settings!$B$8:$B$10),0)</f>
        <v>0.949381333333333</v>
      </c>
      <c r="V37" s="56" t="n">
        <f aca="false">IF(U37&gt;0,RANK(U37,$U$2:$U$1780)+COUNTIF($U$2:U37,U37)-1,"")</f>
        <v>36</v>
      </c>
      <c r="W37" s="56" t="str">
        <f aca="false">IF(V37="","",IF(V37&lt;=Settings!$B$11,"1 - Fix first",IF(V37&lt;=Settings!$B$12,"2 - Review","3 - Monitor")))</f>
        <v>2 - Review</v>
      </c>
      <c r="X37" s="56" t="str">
        <f aca="false">IF(AND(E37&gt;=Settings!$B$4,F37&gt;=Settings!$B$5,O37&gt;=Settings!$B$6),"HIGH RATE","")</f>
        <v>HIGH RATE</v>
      </c>
      <c r="Y37" s="56" t="n">
        <f aca="false">IF(F37&gt;0,RANK(F37,$F$2:$F$1780)+COUNTIF($F$2:F37,F37)-1,"")</f>
        <v>31</v>
      </c>
      <c r="Z37" s="56" t="n">
        <f aca="false">IF(H37&gt;0,RANK(H37,$H$2:$H$1780)+COUNTIF($H$2:H37,H37)-1,"")</f>
        <v>15</v>
      </c>
      <c r="AA37" s="56" t="n">
        <f aca="false">IF(AC37="","",RANK(AC37,$AC$2:$AC$1780)+COUNTIF($AC$2:AC37,AC37)-1)</f>
        <v>135</v>
      </c>
      <c r="AB37" s="56" t="n">
        <f aca="false">IF(AD37="","",RANK(AD37,$AD$2:$AD$1780)+COUNTIF($AD$2:AD37,AD37)-1)</f>
        <v>50</v>
      </c>
      <c r="AC37" s="32" t="n">
        <f aca="false">IF(AND(F37&gt;0,E37&gt;=Settings!$B$4),J37,"")</f>
        <v>0.0484753713838937</v>
      </c>
      <c r="AD37" s="60" t="n">
        <f aca="false">IF(X37="HIGH RATE",O37,"")</f>
        <v>3.60958199494274</v>
      </c>
    </row>
    <row r="38" customFormat="false" ht="15" hidden="false" customHeight="false" outlineLevel="0" collapsed="false">
      <c r="A38" s="56" t="s">
        <v>600</v>
      </c>
      <c r="B38" s="56" t="s">
        <v>601</v>
      </c>
      <c r="C38" s="56" t="s">
        <v>154</v>
      </c>
      <c r="D38" s="56" t="str">
        <f aca="false">IFERROR(INDEX('Brand Map'!$B$4:$B$124,MATCH(C38,'Brand Map'!$A$4:$A$124,0)),"Other")</f>
        <v>AUSRP</v>
      </c>
      <c r="E38" s="57" t="n">
        <v>2919</v>
      </c>
      <c r="F38" s="57" t="n">
        <v>152</v>
      </c>
      <c r="G38" s="58" t="n">
        <v>29108.53</v>
      </c>
      <c r="H38" s="58" t="n">
        <v>1385.93</v>
      </c>
      <c r="I38" s="58" t="n">
        <v>26266.74</v>
      </c>
      <c r="J38" s="32" t="n">
        <f aca="false">IF(E38&gt;0,F38/E38,0)</f>
        <v>0.052072627612196</v>
      </c>
      <c r="K38" s="32" t="n">
        <f aca="false">IF(G38&gt;0,H38/G38,0)</f>
        <v>0.0476125039636148</v>
      </c>
      <c r="L38" s="59" t="n">
        <f aca="false">H38/Settings!$B$16</f>
        <v>0.00276981775797069</v>
      </c>
      <c r="M38" s="59" t="n">
        <f aca="false">H38/Settings!$B$20</f>
        <v>0.000107595844358185</v>
      </c>
      <c r="N38" s="60" t="n">
        <f aca="false">E38*Settings!$B$3</f>
        <v>90.4485750019958</v>
      </c>
      <c r="O38" s="60" t="n">
        <f aca="false">IF(E38&gt;0,(F38-N38)/SQRT(E38*Settings!$B$3*(1-Settings!$B$3)),0)</f>
        <v>6.57464420479701</v>
      </c>
      <c r="P38" s="60" t="n">
        <f aca="false">MAX(0,F38-N38)</f>
        <v>61.5514249980042</v>
      </c>
      <c r="Q38" s="32" t="n">
        <f aca="false">(F38+Settings!$B$7*Settings!$B$3)/(E38+Settings!$B$7)</f>
        <v>0.0518581161520497</v>
      </c>
      <c r="R38" s="61" t="n">
        <f aca="false">PERCENTRANK($H$2:$H$1780,H38,6)</f>
        <v>0.957255</v>
      </c>
      <c r="S38" s="61" t="n">
        <f aca="false">PERCENTRANK($Q$2:$Q$1780,Q38,6)</f>
        <v>0.894826</v>
      </c>
      <c r="T38" s="61" t="n">
        <f aca="false">PERCENTRANK($F$2:$F$1780,F38,6)</f>
        <v>0.996063</v>
      </c>
      <c r="U38" s="62" t="n">
        <f aca="false">IF(F38&gt;0,(Settings!$B$8*T38+Settings!$B$9*R38+Settings!$B$10*S38)/SUM(Settings!$B$8:$B$10),0)</f>
        <v>0.949381333333333</v>
      </c>
      <c r="V38" s="56" t="n">
        <f aca="false">IF(U38&gt;0,RANK(U38,$U$2:$U$1780)+COUNTIF($U$2:U38,U38)-1,"")</f>
        <v>37</v>
      </c>
      <c r="W38" s="56" t="str">
        <f aca="false">IF(V38="","",IF(V38&lt;=Settings!$B$11,"1 - Fix first",IF(V38&lt;=Settings!$B$12,"2 - Review","3 - Monitor")))</f>
        <v>2 - Review</v>
      </c>
      <c r="X38" s="56" t="str">
        <f aca="false">IF(AND(E38&gt;=Settings!$B$4,F38&gt;=Settings!$B$5,O38&gt;=Settings!$B$6),"HIGH RATE","")</f>
        <v>HIGH RATE</v>
      </c>
      <c r="Y38" s="56" t="n">
        <f aca="false">IF(F38&gt;0,RANK(F38,$F$2:$F$1780)+COUNTIF($F$2:F38,F38)-1,"")</f>
        <v>8</v>
      </c>
      <c r="Z38" s="56" t="n">
        <f aca="false">IF(H38&gt;0,RANK(H38,$H$2:$H$1780)+COUNTIF($H$2:H38,H38)-1,"")</f>
        <v>77</v>
      </c>
      <c r="AA38" s="56" t="n">
        <f aca="false">IF(AC38="","",RANK(AC38,$AC$2:$AC$1780)+COUNTIF($AC$2:AC38,AC38)-1)</f>
        <v>114</v>
      </c>
      <c r="AB38" s="56" t="n">
        <f aca="false">IF(AD38="","",RANK(AD38,$AD$2:$AD$1780)+COUNTIF($AD$2:AD38,AD38)-1)</f>
        <v>5</v>
      </c>
      <c r="AC38" s="32" t="n">
        <f aca="false">IF(AND(F38&gt;0,E38&gt;=Settings!$B$4),J38,"")</f>
        <v>0.052072627612196</v>
      </c>
      <c r="AD38" s="60" t="n">
        <f aca="false">IF(X38="HIGH RATE",O38,"")</f>
        <v>6.57464420479701</v>
      </c>
    </row>
    <row r="39" customFormat="false" ht="15" hidden="false" customHeight="false" outlineLevel="0" collapsed="false">
      <c r="A39" s="56" t="s">
        <v>590</v>
      </c>
      <c r="B39" s="56" t="s">
        <v>591</v>
      </c>
      <c r="C39" s="56" t="s">
        <v>132</v>
      </c>
      <c r="D39" s="56" t="str">
        <f aca="false">IFERROR(INDEX('Brand Map'!$B$4:$B$124,MATCH(C39,'Brand Map'!$A$4:$A$124,0)),"Other")</f>
        <v>RP</v>
      </c>
      <c r="E39" s="57" t="n">
        <v>6456</v>
      </c>
      <c r="F39" s="57" t="n">
        <v>336</v>
      </c>
      <c r="G39" s="58" t="n">
        <v>24081.14</v>
      </c>
      <c r="H39" s="58" t="n">
        <v>1172.41</v>
      </c>
      <c r="I39" s="58" t="n">
        <v>22245.03</v>
      </c>
      <c r="J39" s="32" t="n">
        <f aca="false">IF(E39&gt;0,F39/E39,0)</f>
        <v>0.0520446096654275</v>
      </c>
      <c r="K39" s="32" t="n">
        <f aca="false">IF(G39&gt;0,H39/G39,0)</f>
        <v>0.0486858180302095</v>
      </c>
      <c r="L39" s="59" t="n">
        <f aca="false">H39/Settings!$B$16</f>
        <v>0.00234309239111818</v>
      </c>
      <c r="M39" s="59" t="n">
        <f aca="false">H39/Settings!$B$20</f>
        <v>9.10193472137694E-005</v>
      </c>
      <c r="N39" s="60" t="n">
        <f aca="false">E39*Settings!$B$3</f>
        <v>200.046591371321</v>
      </c>
      <c r="O39" s="60" t="n">
        <f aca="false">IF(E39&gt;0,(F39-N39)/SQRT(E39*Settings!$B$3*(1-Settings!$B$3)),0)</f>
        <v>9.76471407105635</v>
      </c>
      <c r="P39" s="60" t="n">
        <f aca="false">MAX(0,F39-N39)</f>
        <v>135.953408628679</v>
      </c>
      <c r="Q39" s="32" t="n">
        <f aca="false">(F39+Settings!$B$7*Settings!$B$3)/(E39+Settings!$B$7)</f>
        <v>0.0519472069892684</v>
      </c>
      <c r="R39" s="61" t="n">
        <f aca="false">PERCENTRANK($H$2:$H$1780,H39,6)</f>
        <v>0.950506</v>
      </c>
      <c r="S39" s="61" t="n">
        <f aca="false">PERCENTRANK($Q$2:$Q$1780,Q39,6)</f>
        <v>0.897075</v>
      </c>
      <c r="T39" s="61" t="n">
        <f aca="false">PERCENTRANK($F$2:$F$1780,F39,6)</f>
        <v>0.998875</v>
      </c>
      <c r="U39" s="62" t="n">
        <f aca="false">IF(F39&gt;0,(Settings!$B$8*T39+Settings!$B$9*R39+Settings!$B$10*S39)/SUM(Settings!$B$8:$B$10),0)</f>
        <v>0.948818666666667</v>
      </c>
      <c r="V39" s="56" t="n">
        <f aca="false">IF(U39&gt;0,RANK(U39,$U$2:$U$1780)+COUNTIF($U$2:U39,U39)-1,"")</f>
        <v>38</v>
      </c>
      <c r="W39" s="56" t="str">
        <f aca="false">IF(V39="","",IF(V39&lt;=Settings!$B$11,"1 - Fix first",IF(V39&lt;=Settings!$B$12,"2 - Review","3 - Monitor")))</f>
        <v>2 - Review</v>
      </c>
      <c r="X39" s="56" t="str">
        <f aca="false">IF(AND(E39&gt;=Settings!$B$4,F39&gt;=Settings!$B$5,O39&gt;=Settings!$B$6),"HIGH RATE","")</f>
        <v>HIGH RATE</v>
      </c>
      <c r="Y39" s="56" t="n">
        <f aca="false">IF(F39&gt;0,RANK(F39,$F$2:$F$1780)+COUNTIF($F$2:F39,F39)-1,"")</f>
        <v>3</v>
      </c>
      <c r="Z39" s="56" t="n">
        <f aca="false">IF(H39&gt;0,RANK(H39,$H$2:$H$1780)+COUNTIF($H$2:H39,H39)-1,"")</f>
        <v>89</v>
      </c>
      <c r="AA39" s="56" t="n">
        <f aca="false">IF(AC39="","",RANK(AC39,$AC$2:$AC$1780)+COUNTIF($AC$2:AC39,AC39)-1)</f>
        <v>115</v>
      </c>
      <c r="AB39" s="56" t="n">
        <f aca="false">IF(AD39="","",RANK(AD39,$AD$2:$AD$1780)+COUNTIF($AD$2:AD39,AD39)-1)</f>
        <v>2</v>
      </c>
      <c r="AC39" s="32" t="n">
        <f aca="false">IF(AND(F39&gt;0,E39&gt;=Settings!$B$4),J39,"")</f>
        <v>0.0520446096654275</v>
      </c>
      <c r="AD39" s="60" t="n">
        <f aca="false">IF(X39="HIGH RATE",O39,"")</f>
        <v>9.76471407105635</v>
      </c>
    </row>
    <row r="40" customFormat="false" ht="15" hidden="false" customHeight="false" outlineLevel="0" collapsed="false">
      <c r="A40" s="56" t="s">
        <v>292</v>
      </c>
      <c r="B40" s="56" t="s">
        <v>907</v>
      </c>
      <c r="C40" s="56" t="s">
        <v>71</v>
      </c>
      <c r="D40" s="56" t="str">
        <f aca="false">IFERROR(INDEX('Brand Map'!$B$4:$B$124,MATCH(C40,'Brand Map'!$A$4:$A$124,0)),"Other")</f>
        <v>GF</v>
      </c>
      <c r="E40" s="57" t="n">
        <v>946</v>
      </c>
      <c r="F40" s="57" t="n">
        <v>49</v>
      </c>
      <c r="G40" s="58" t="n">
        <v>56458.69</v>
      </c>
      <c r="H40" s="58" t="n">
        <v>2843.02</v>
      </c>
      <c r="I40" s="58" t="n">
        <v>50872.75</v>
      </c>
      <c r="J40" s="32" t="n">
        <f aca="false">IF(E40&gt;0,F40/E40,0)</f>
        <v>0.0517970401691332</v>
      </c>
      <c r="K40" s="32" t="n">
        <f aca="false">IF(G40&gt;0,H40/G40,0)</f>
        <v>0.0503557556861486</v>
      </c>
      <c r="L40" s="59" t="n">
        <f aca="false">H40/Settings!$B$16</f>
        <v>0.00568185065787294</v>
      </c>
      <c r="M40" s="59" t="n">
        <f aca="false">H40/Settings!$B$20</f>
        <v>0.000220716152639171</v>
      </c>
      <c r="N40" s="60" t="n">
        <f aca="false">E40*Settings!$B$3</f>
        <v>29.3128989215101</v>
      </c>
      <c r="O40" s="60" t="n">
        <f aca="false">IF(E40&gt;0,(F40-N40)/SQRT(E40*Settings!$B$3*(1-Settings!$B$3)),0)</f>
        <v>3.69391921992419</v>
      </c>
      <c r="P40" s="60" t="n">
        <f aca="false">MAX(0,F40-N40)</f>
        <v>19.6871010784899</v>
      </c>
      <c r="Q40" s="32" t="n">
        <f aca="false">(F40+Settings!$B$7*Settings!$B$3)/(E40+Settings!$B$7)</f>
        <v>0.051157361201224</v>
      </c>
      <c r="R40" s="61" t="n">
        <f aca="false">PERCENTRANK($H$2:$H$1780,H40,6)</f>
        <v>0.975816</v>
      </c>
      <c r="S40" s="61" t="n">
        <f aca="false">PERCENTRANK($Q$2:$Q$1780,Q40,6)</f>
        <v>0.890889</v>
      </c>
      <c r="T40" s="61" t="n">
        <f aca="false">PERCENTRANK($F$2:$F$1780,F40,6)</f>
        <v>0.97919</v>
      </c>
      <c r="U40" s="62" t="n">
        <f aca="false">IF(F40&gt;0,(Settings!$B$8*T40+Settings!$B$9*R40+Settings!$B$10*S40)/SUM(Settings!$B$8:$B$10),0)</f>
        <v>0.948631666666667</v>
      </c>
      <c r="V40" s="56" t="n">
        <f aca="false">IF(U40&gt;0,RANK(U40,$U$2:$U$1780)+COUNTIF($U$2:U40,U40)-1,"")</f>
        <v>39</v>
      </c>
      <c r="W40" s="56" t="str">
        <f aca="false">IF(V40="","",IF(V40&lt;=Settings!$B$11,"1 - Fix first",IF(V40&lt;=Settings!$B$12,"2 - Review","3 - Monitor")))</f>
        <v>2 - Review</v>
      </c>
      <c r="X40" s="56" t="str">
        <f aca="false">IF(AND(E40&gt;=Settings!$B$4,F40&gt;=Settings!$B$5,O40&gt;=Settings!$B$6),"HIGH RATE","")</f>
        <v>HIGH RATE</v>
      </c>
      <c r="Y40" s="56" t="n">
        <f aca="false">IF(F40&gt;0,RANK(F40,$F$2:$F$1780)+COUNTIF($F$2:F40,F40)-1,"")</f>
        <v>38</v>
      </c>
      <c r="Z40" s="56" t="n">
        <f aca="false">IF(H40&gt;0,RANK(H40,$H$2:$H$1780)+COUNTIF($H$2:H40,H40)-1,"")</f>
        <v>44</v>
      </c>
      <c r="AA40" s="56" t="n">
        <f aca="false">IF(AC40="","",RANK(AC40,$AC$2:$AC$1780)+COUNTIF($AC$2:AC40,AC40)-1)</f>
        <v>116</v>
      </c>
      <c r="AB40" s="56" t="n">
        <f aca="false">IF(AD40="","",RANK(AD40,$AD$2:$AD$1780)+COUNTIF($AD$2:AD40,AD40)-1)</f>
        <v>46</v>
      </c>
      <c r="AC40" s="32" t="n">
        <f aca="false">IF(AND(F40&gt;0,E40&gt;=Settings!$B$4),J40,"")</f>
        <v>0.0517970401691332</v>
      </c>
      <c r="AD40" s="60" t="n">
        <f aca="false">IF(X40="HIGH RATE",O40,"")</f>
        <v>3.69391921992419</v>
      </c>
    </row>
    <row r="41" customFormat="false" ht="15" hidden="false" customHeight="false" outlineLevel="0" collapsed="false">
      <c r="A41" s="56" t="s">
        <v>908</v>
      </c>
      <c r="B41" s="56" t="s">
        <v>652</v>
      </c>
      <c r="C41" s="56" t="s">
        <v>121</v>
      </c>
      <c r="D41" s="56" t="str">
        <f aca="false">IFERROR(INDEX('Brand Map'!$B$4:$B$124,MATCH(C41,'Brand Map'!$A$4:$A$124,0)),"Other")</f>
        <v>BLXNZ</v>
      </c>
      <c r="E41" s="57" t="n">
        <v>259</v>
      </c>
      <c r="F41" s="57" t="n">
        <v>16</v>
      </c>
      <c r="G41" s="58" t="n">
        <v>23289.23</v>
      </c>
      <c r="H41" s="58" t="n">
        <v>1425.89</v>
      </c>
      <c r="I41" s="58" t="n">
        <v>21047.09</v>
      </c>
      <c r="J41" s="32" t="n">
        <f aca="false">IF(E41&gt;0,F41/E41,0)</f>
        <v>0.0617760617760618</v>
      </c>
      <c r="K41" s="32" t="n">
        <f aca="false">IF(G41&gt;0,H41/G41,0)</f>
        <v>0.0612252959844529</v>
      </c>
      <c r="L41" s="59" t="n">
        <f aca="false">H41/Settings!$B$16</f>
        <v>0.00284967887477205</v>
      </c>
      <c r="M41" s="59" t="n">
        <f aca="false">H41/Settings!$B$20</f>
        <v>0.000110698114992743</v>
      </c>
      <c r="N41" s="60" t="n">
        <f aca="false">E41*Settings!$B$3</f>
        <v>8.02541312967349</v>
      </c>
      <c r="O41" s="60" t="n">
        <f aca="false">IF(E41&gt;0,(F41-N41)/SQRT(E41*Settings!$B$3*(1-Settings!$B$3)),0)</f>
        <v>2.85962774661521</v>
      </c>
      <c r="P41" s="60" t="n">
        <f aca="false">MAX(0,F41-N41)</f>
        <v>7.97458687032651</v>
      </c>
      <c r="Q41" s="32" t="n">
        <f aca="false">(F41+Settings!$B$7*Settings!$B$3)/(E41+Settings!$B$7)</f>
        <v>0.0585798772747218</v>
      </c>
      <c r="R41" s="61" t="n">
        <f aca="false">PERCENTRANK($H$2:$H$1780,H41,6)</f>
        <v>0.95838</v>
      </c>
      <c r="S41" s="61" t="n">
        <f aca="false">PERCENTRANK($Q$2:$Q$1780,Q41,6)</f>
        <v>0.940945</v>
      </c>
      <c r="T41" s="61" t="n">
        <f aca="false">PERCENTRANK($F$2:$F$1780,F41,6)</f>
        <v>0.943757</v>
      </c>
      <c r="U41" s="62" t="n">
        <f aca="false">IF(F41&gt;0,(Settings!$B$8*T41+Settings!$B$9*R41+Settings!$B$10*S41)/SUM(Settings!$B$8:$B$10),0)</f>
        <v>0.947694</v>
      </c>
      <c r="V41" s="56" t="n">
        <f aca="false">IF(U41&gt;0,RANK(U41,$U$2:$U$1780)+COUNTIF($U$2:U41,U41)-1,"")</f>
        <v>40</v>
      </c>
      <c r="W41" s="56" t="str">
        <f aca="false">IF(V41="","",IF(V41&lt;=Settings!$B$11,"1 - Fix first",IF(V41&lt;=Settings!$B$12,"2 - Review","3 - Monitor")))</f>
        <v>2 - Review</v>
      </c>
      <c r="X41" s="56" t="str">
        <f aca="false">IF(AND(E41&gt;=Settings!$B$4,F41&gt;=Settings!$B$5,O41&gt;=Settings!$B$6),"HIGH RATE","")</f>
        <v/>
      </c>
      <c r="Y41" s="56" t="n">
        <f aca="false">IF(F41&gt;0,RANK(F41,$F$2:$F$1780)+COUNTIF($F$2:F41,F41)-1,"")</f>
        <v>98</v>
      </c>
      <c r="Z41" s="56" t="n">
        <f aca="false">IF(H41&gt;0,RANK(H41,$H$2:$H$1780)+COUNTIF($H$2:H41,H41)-1,"")</f>
        <v>75</v>
      </c>
      <c r="AA41" s="56" t="n">
        <f aca="false">IF(AC41="","",RANK(AC41,$AC$2:$AC$1780)+COUNTIF($AC$2:AC41,AC41)-1)</f>
        <v>64</v>
      </c>
      <c r="AB41" s="56" t="str">
        <f aca="false">IF(AD41="","",RANK(AD41,$AD$2:$AD$1780)+COUNTIF($AD$2:AD41,AD41)-1)</f>
        <v/>
      </c>
      <c r="AC41" s="32" t="n">
        <f aca="false">IF(AND(F41&gt;0,E41&gt;=Settings!$B$4),J41,"")</f>
        <v>0.0617760617760618</v>
      </c>
      <c r="AD41" s="56" t="str">
        <f aca="false">IF(X41="HIGH RATE",O41,"")</f>
        <v/>
      </c>
    </row>
    <row r="42" customFormat="false" ht="15" hidden="false" customHeight="false" outlineLevel="0" collapsed="false">
      <c r="A42" s="56" t="s">
        <v>909</v>
      </c>
      <c r="B42" s="56" t="s">
        <v>910</v>
      </c>
      <c r="C42" s="56" t="s">
        <v>55</v>
      </c>
      <c r="D42" s="56" t="str">
        <f aca="false">IFERROR(INDEX('Brand Map'!$B$4:$B$124,MATCH(C42,'Brand Map'!$A$4:$A$124,0)),"Other")</f>
        <v>AUMJ</v>
      </c>
      <c r="E42" s="57" t="n">
        <v>181</v>
      </c>
      <c r="F42" s="57" t="n">
        <v>12</v>
      </c>
      <c r="G42" s="58" t="n">
        <v>21627.76</v>
      </c>
      <c r="H42" s="58" t="n">
        <v>1362.34</v>
      </c>
      <c r="I42" s="58" t="n">
        <v>19124.2</v>
      </c>
      <c r="J42" s="32" t="n">
        <f aca="false">IF(E42&gt;0,F42/E42,0)</f>
        <v>0.0662983425414365</v>
      </c>
      <c r="K42" s="32" t="n">
        <f aca="false">IF(G42&gt;0,H42/G42,0)</f>
        <v>0.0629903420418943</v>
      </c>
      <c r="L42" s="59" t="n">
        <f aca="false">H42/Settings!$B$16</f>
        <v>0.00272267251909822</v>
      </c>
      <c r="M42" s="59" t="n">
        <f aca="false">H42/Settings!$B$20</f>
        <v>0.000105764448855952</v>
      </c>
      <c r="N42" s="60" t="n">
        <f aca="false">E42*Settings!$B$3</f>
        <v>5.6084933454475</v>
      </c>
      <c r="O42" s="60" t="n">
        <f aca="false">IF(E42&gt;0,(F42-N42)/SQRT(E42*Settings!$B$3*(1-Settings!$B$3)),0)</f>
        <v>2.74166980482007</v>
      </c>
      <c r="P42" s="60" t="n">
        <f aca="false">MAX(0,F42-N42)</f>
        <v>6.3915066545525</v>
      </c>
      <c r="Q42" s="32" t="n">
        <f aca="false">(F42+Settings!$B$7*Settings!$B$3)/(E42+Settings!$B$7)</f>
        <v>0.0612776518122967</v>
      </c>
      <c r="R42" s="61" t="n">
        <f aca="false">PERCENTRANK($H$2:$H$1780,H42,6)</f>
        <v>0.95613</v>
      </c>
      <c r="S42" s="61" t="n">
        <f aca="false">PERCENTRANK($Q$2:$Q$1780,Q42,6)</f>
        <v>0.953318</v>
      </c>
      <c r="T42" s="61" t="n">
        <f aca="false">PERCENTRANK($F$2:$F$1780,F42,6)</f>
        <v>0.930259</v>
      </c>
      <c r="U42" s="62" t="n">
        <f aca="false">IF(F42&gt;0,(Settings!$B$8*T42+Settings!$B$9*R42+Settings!$B$10*S42)/SUM(Settings!$B$8:$B$10),0)</f>
        <v>0.946569</v>
      </c>
      <c r="V42" s="56" t="n">
        <f aca="false">IF(U42&gt;0,RANK(U42,$U$2:$U$1780)+COUNTIF($U$2:U42,U42)-1,"")</f>
        <v>41</v>
      </c>
      <c r="W42" s="56" t="str">
        <f aca="false">IF(V42="","",IF(V42&lt;=Settings!$B$11,"1 - Fix first",IF(V42&lt;=Settings!$B$12,"2 - Review","3 - Monitor")))</f>
        <v>2 - Review</v>
      </c>
      <c r="X42" s="56" t="str">
        <f aca="false">IF(AND(E42&gt;=Settings!$B$4,F42&gt;=Settings!$B$5,O42&gt;=Settings!$B$6),"HIGH RATE","")</f>
        <v/>
      </c>
      <c r="Y42" s="56" t="n">
        <f aca="false">IF(F42&gt;0,RANK(F42,$F$2:$F$1780)+COUNTIF($F$2:F42,F42)-1,"")</f>
        <v>120</v>
      </c>
      <c r="Z42" s="56" t="n">
        <f aca="false">IF(H42&gt;0,RANK(H42,$H$2:$H$1780)+COUNTIF($H$2:H42,H42)-1,"")</f>
        <v>79</v>
      </c>
      <c r="AA42" s="56" t="n">
        <f aca="false">IF(AC42="","",RANK(AC42,$AC$2:$AC$1780)+COUNTIF($AC$2:AC42,AC42)-1)</f>
        <v>50</v>
      </c>
      <c r="AB42" s="56" t="str">
        <f aca="false">IF(AD42="","",RANK(AD42,$AD$2:$AD$1780)+COUNTIF($AD$2:AD42,AD42)-1)</f>
        <v/>
      </c>
      <c r="AC42" s="32" t="n">
        <f aca="false">IF(AND(F42&gt;0,E42&gt;=Settings!$B$4),J42,"")</f>
        <v>0.0662983425414365</v>
      </c>
      <c r="AD42" s="56" t="str">
        <f aca="false">IF(X42="HIGH RATE",O42,"")</f>
        <v/>
      </c>
    </row>
    <row r="43" customFormat="false" ht="15" hidden="false" customHeight="false" outlineLevel="0" collapsed="false">
      <c r="A43" s="56" t="s">
        <v>911</v>
      </c>
      <c r="B43" s="56" t="s">
        <v>912</v>
      </c>
      <c r="C43" s="56" t="s">
        <v>132</v>
      </c>
      <c r="D43" s="56" t="str">
        <f aca="false">IFERROR(INDEX('Brand Map'!$B$4:$B$124,MATCH(C43,'Brand Map'!$A$4:$A$124,0)),"Other")</f>
        <v>RP</v>
      </c>
      <c r="E43" s="57" t="n">
        <v>406</v>
      </c>
      <c r="F43" s="57" t="n">
        <v>35</v>
      </c>
      <c r="G43" s="58" t="n">
        <v>4410.26</v>
      </c>
      <c r="H43" s="58" t="n">
        <v>358.96</v>
      </c>
      <c r="I43" s="58" t="n">
        <v>3844.94</v>
      </c>
      <c r="J43" s="32" t="n">
        <f aca="false">IF(E43&gt;0,F43/E43,0)</f>
        <v>0.0862068965517241</v>
      </c>
      <c r="K43" s="32" t="n">
        <f aca="false">IF(G43&gt;0,H43/G43,0)</f>
        <v>0.0813920267739317</v>
      </c>
      <c r="L43" s="59" t="n">
        <f aca="false">H43/Settings!$B$16</f>
        <v>0.000717391053228634</v>
      </c>
      <c r="M43" s="59" t="n">
        <f aca="false">H43/Settings!$B$20</f>
        <v>2.7867644318843E-005</v>
      </c>
      <c r="N43" s="60" t="n">
        <f aca="false">E43*Settings!$B$3</f>
        <v>12.5803773384071</v>
      </c>
      <c r="O43" s="60" t="n">
        <f aca="false">IF(E43&gt;0,(F43-N43)/SQRT(E43*Settings!$B$3*(1-Settings!$B$3)),0)</f>
        <v>6.42120408125027</v>
      </c>
      <c r="P43" s="60" t="n">
        <f aca="false">MAX(0,F43-N43)</f>
        <v>22.4196226615929</v>
      </c>
      <c r="Q43" s="32" t="n">
        <f aca="false">(F43+Settings!$B$7*Settings!$B$3)/(E43+Settings!$B$7)</f>
        <v>0.0824073039733821</v>
      </c>
      <c r="R43" s="61" t="n">
        <f aca="false">PERCENTRANK($H$2:$H$1780,H43,6)</f>
        <v>0.881327</v>
      </c>
      <c r="S43" s="61" t="n">
        <f aca="false">PERCENTRANK($Q$2:$Q$1780,Q43,6)</f>
        <v>0.987627</v>
      </c>
      <c r="T43" s="61" t="n">
        <f aca="false">PERCENTRANK($F$2:$F$1780,F43,6)</f>
        <v>0.969629</v>
      </c>
      <c r="U43" s="62" t="n">
        <f aca="false">IF(F43&gt;0,(Settings!$B$8*T43+Settings!$B$9*R43+Settings!$B$10*S43)/SUM(Settings!$B$8:$B$10),0)</f>
        <v>0.946194333333333</v>
      </c>
      <c r="V43" s="56" t="n">
        <f aca="false">IF(U43&gt;0,RANK(U43,$U$2:$U$1780)+COUNTIF($U$2:U43,U43)-1,"")</f>
        <v>42</v>
      </c>
      <c r="W43" s="56" t="str">
        <f aca="false">IF(V43="","",IF(V43&lt;=Settings!$B$11,"1 - Fix first",IF(V43&lt;=Settings!$B$12,"2 - Review","3 - Monitor")))</f>
        <v>2 - Review</v>
      </c>
      <c r="X43" s="56" t="str">
        <f aca="false">IF(AND(E43&gt;=Settings!$B$4,F43&gt;=Settings!$B$5,O43&gt;=Settings!$B$6),"HIGH RATE","")</f>
        <v>HIGH RATE</v>
      </c>
      <c r="Y43" s="56" t="n">
        <f aca="false">IF(F43&gt;0,RANK(F43,$F$2:$F$1780)+COUNTIF($F$2:F43,F43)-1,"")</f>
        <v>54</v>
      </c>
      <c r="Z43" s="56" t="n">
        <f aca="false">IF(H43&gt;0,RANK(H43,$H$2:$H$1780)+COUNTIF($H$2:H43,H43)-1,"")</f>
        <v>212</v>
      </c>
      <c r="AA43" s="56" t="n">
        <f aca="false">IF(AC43="","",RANK(AC43,$AC$2:$AC$1780)+COUNTIF($AC$2:AC43,AC43)-1)</f>
        <v>25</v>
      </c>
      <c r="AB43" s="56" t="n">
        <f aca="false">IF(AD43="","",RANK(AD43,$AD$2:$AD$1780)+COUNTIF($AD$2:AD43,AD43)-1)</f>
        <v>6</v>
      </c>
      <c r="AC43" s="32" t="n">
        <f aca="false">IF(AND(F43&gt;0,E43&gt;=Settings!$B$4),J43,"")</f>
        <v>0.0862068965517241</v>
      </c>
      <c r="AD43" s="60" t="n">
        <f aca="false">IF(X43="HIGH RATE",O43,"")</f>
        <v>6.42120408125027</v>
      </c>
    </row>
    <row r="44" customFormat="false" ht="15" hidden="false" customHeight="false" outlineLevel="0" collapsed="false">
      <c r="A44" s="56" t="s">
        <v>642</v>
      </c>
      <c r="B44" s="56" t="s">
        <v>643</v>
      </c>
      <c r="C44" s="56" t="s">
        <v>641</v>
      </c>
      <c r="D44" s="56" t="str">
        <f aca="false">IFERROR(INDEX('Brand Map'!$B$4:$B$124,MATCH(C44,'Brand Map'!$A$4:$A$124,0)),"Other")</f>
        <v>Other (small prefixes)</v>
      </c>
      <c r="E44" s="57" t="n">
        <v>38</v>
      </c>
      <c r="F44" s="57" t="n">
        <v>8</v>
      </c>
      <c r="G44" s="58" t="n">
        <v>4036.23</v>
      </c>
      <c r="H44" s="58" t="n">
        <v>735.3</v>
      </c>
      <c r="I44" s="58" t="n">
        <v>2864.44</v>
      </c>
      <c r="J44" s="32" t="n">
        <f aca="false">IF(E44&gt;0,F44/E44,0)</f>
        <v>0.210526315789474</v>
      </c>
      <c r="K44" s="32" t="n">
        <f aca="false">IF(G44&gt;0,H44/G44,0)</f>
        <v>0.182174950386871</v>
      </c>
      <c r="L44" s="59" t="n">
        <f aca="false">H44/Settings!$B$16</f>
        <v>0.0014695164960971</v>
      </c>
      <c r="M44" s="59" t="n">
        <f aca="false">H44/Settings!$B$20</f>
        <v>5.7084574514278E-005</v>
      </c>
      <c r="N44" s="60" t="n">
        <f aca="false">E44*Settings!$B$3</f>
        <v>1.17747374103318</v>
      </c>
      <c r="O44" s="60" t="n">
        <f aca="false">IF(E44&gt;0,(F44-N44)/SQRT(E44*Settings!$B$3*(1-Settings!$B$3)),0)</f>
        <v>6.38711313059003</v>
      </c>
      <c r="P44" s="60" t="n">
        <f aca="false">MAX(0,F44-N44)</f>
        <v>6.82252625896682</v>
      </c>
      <c r="Q44" s="32" t="n">
        <f aca="false">(F44+Settings!$B$7*Settings!$B$3)/(E44+Settings!$B$7)</f>
        <v>0.131317419594038</v>
      </c>
      <c r="R44" s="61" t="n">
        <f aca="false">PERCENTRANK($H$2:$H$1780,H44,6)</f>
        <v>0.925759</v>
      </c>
      <c r="S44" s="61" t="n">
        <f aca="false">PERCENTRANK($Q$2:$Q$1780,Q44,6)</f>
        <v>1</v>
      </c>
      <c r="T44" s="61" t="n">
        <f aca="false">PERCENTRANK($F$2:$F$1780,F44,6)</f>
        <v>0.912823</v>
      </c>
      <c r="U44" s="62" t="n">
        <f aca="false">IF(F44&gt;0,(Settings!$B$8*T44+Settings!$B$9*R44+Settings!$B$10*S44)/SUM(Settings!$B$8:$B$10),0)</f>
        <v>0.946194</v>
      </c>
      <c r="V44" s="56" t="n">
        <f aca="false">IF(U44&gt;0,RANK(U44,$U$2:$U$1780)+COUNTIF($U$2:U44,U44)-1,"")</f>
        <v>43</v>
      </c>
      <c r="W44" s="56" t="str">
        <f aca="false">IF(V44="","",IF(V44&lt;=Settings!$B$11,"1 - Fix first",IF(V44&lt;=Settings!$B$12,"2 - Review","3 - Monitor")))</f>
        <v>2 - Review</v>
      </c>
      <c r="X44" s="56" t="str">
        <f aca="false">IF(AND(E44&gt;=Settings!$B$4,F44&gt;=Settings!$B$5,O44&gt;=Settings!$B$6),"HIGH RATE","")</f>
        <v>HIGH RATE</v>
      </c>
      <c r="Y44" s="56" t="n">
        <f aca="false">IF(F44&gt;0,RANK(F44,$F$2:$F$1780)+COUNTIF($F$2:F44,F44)-1,"")</f>
        <v>149</v>
      </c>
      <c r="Z44" s="56" t="n">
        <f aca="false">IF(H44&gt;0,RANK(H44,$H$2:$H$1780)+COUNTIF($H$2:H44,H44)-1,"")</f>
        <v>133</v>
      </c>
      <c r="AA44" s="56" t="n">
        <f aca="false">IF(AC44="","",RANK(AC44,$AC$2:$AC$1780)+COUNTIF($AC$2:AC44,AC44)-1)</f>
        <v>1</v>
      </c>
      <c r="AB44" s="56" t="n">
        <f aca="false">IF(AD44="","",RANK(AD44,$AD$2:$AD$1780)+COUNTIF($AD$2:AD44,AD44)-1)</f>
        <v>8</v>
      </c>
      <c r="AC44" s="32" t="n">
        <f aca="false">IF(AND(F44&gt;0,E44&gt;=Settings!$B$4),J44,"")</f>
        <v>0.210526315789474</v>
      </c>
      <c r="AD44" s="60" t="n">
        <f aca="false">IF(X44="HIGH RATE",O44,"")</f>
        <v>6.38711313059003</v>
      </c>
    </row>
    <row r="45" customFormat="false" ht="15" hidden="false" customHeight="false" outlineLevel="0" collapsed="false">
      <c r="A45" s="56" t="s">
        <v>202</v>
      </c>
      <c r="B45" s="56" t="s">
        <v>913</v>
      </c>
      <c r="C45" s="56" t="s">
        <v>51</v>
      </c>
      <c r="D45" s="56" t="str">
        <f aca="false">IFERROR(INDEX('Brand Map'!$B$4:$B$124,MATCH(C45,'Brand Map'!$A$4:$A$124,0)),"Other")</f>
        <v>AU</v>
      </c>
      <c r="E45" s="57" t="n">
        <v>1727</v>
      </c>
      <c r="F45" s="57" t="n">
        <v>80</v>
      </c>
      <c r="G45" s="58" t="n">
        <v>140828.25</v>
      </c>
      <c r="H45" s="58" t="n">
        <v>6215.17</v>
      </c>
      <c r="I45" s="58" t="n">
        <v>128783.2</v>
      </c>
      <c r="J45" s="32" t="n">
        <f aca="false">IF(E45&gt;0,F45/E45,0)</f>
        <v>0.0463231036479444</v>
      </c>
      <c r="K45" s="32" t="n">
        <f aca="false">IF(G45&gt;0,H45/G45,0)</f>
        <v>0.0441329775808476</v>
      </c>
      <c r="L45" s="59" t="n">
        <f aca="false">H45/Settings!$B$16</f>
        <v>0.0124211816143721</v>
      </c>
      <c r="M45" s="59" t="n">
        <f aca="false">H45/Settings!$B$20</f>
        <v>0.000482510995490147</v>
      </c>
      <c r="N45" s="60" t="n">
        <f aca="false">E45*Settings!$B$3</f>
        <v>53.5130829148499</v>
      </c>
      <c r="O45" s="60" t="n">
        <f aca="false">IF(E45&gt;0,(F45-N45)/SQRT(E45*Settings!$B$3*(1-Settings!$B$3)),0)</f>
        <v>3.6782092671536</v>
      </c>
      <c r="P45" s="60" t="n">
        <f aca="false">MAX(0,F45-N45)</f>
        <v>26.4869170851501</v>
      </c>
      <c r="Q45" s="32" t="n">
        <f aca="false">(F45+Settings!$B$7*Settings!$B$3)/(E45+Settings!$B$7)</f>
        <v>0.0460612319478626</v>
      </c>
      <c r="R45" s="61" t="n">
        <f aca="false">PERCENTRANK($H$2:$H$1780,H45,6)</f>
        <v>0.993251</v>
      </c>
      <c r="S45" s="61" t="n">
        <f aca="false">PERCENTRANK($Q$2:$Q$1780,Q45,6)</f>
        <v>0.85658</v>
      </c>
      <c r="T45" s="61" t="n">
        <f aca="false">PERCENTRANK($F$2:$F$1780,F45,6)</f>
        <v>0.986502</v>
      </c>
      <c r="U45" s="62" t="n">
        <f aca="false">IF(F45&gt;0,(Settings!$B$8*T45+Settings!$B$9*R45+Settings!$B$10*S45)/SUM(Settings!$B$8:$B$10),0)</f>
        <v>0.945444333333333</v>
      </c>
      <c r="V45" s="56" t="n">
        <f aca="false">IF(U45&gt;0,RANK(U45,$U$2:$U$1780)+COUNTIF($U$2:U45,U45)-1,"")</f>
        <v>44</v>
      </c>
      <c r="W45" s="56" t="str">
        <f aca="false">IF(V45="","",IF(V45&lt;=Settings!$B$11,"1 - Fix first",IF(V45&lt;=Settings!$B$12,"2 - Review","3 - Monitor")))</f>
        <v>2 - Review</v>
      </c>
      <c r="X45" s="56" t="str">
        <f aca="false">IF(AND(E45&gt;=Settings!$B$4,F45&gt;=Settings!$B$5,O45&gt;=Settings!$B$6),"HIGH RATE","")</f>
        <v>HIGH RATE</v>
      </c>
      <c r="Y45" s="56" t="n">
        <f aca="false">IF(F45&gt;0,RANK(F45,$F$2:$F$1780)+COUNTIF($F$2:F45,F45)-1,"")</f>
        <v>25</v>
      </c>
      <c r="Z45" s="56" t="n">
        <f aca="false">IF(H45&gt;0,RANK(H45,$H$2:$H$1780)+COUNTIF($H$2:H45,H45)-1,"")</f>
        <v>13</v>
      </c>
      <c r="AA45" s="56" t="n">
        <f aca="false">IF(AC45="","",RANK(AC45,$AC$2:$AC$1780)+COUNTIF($AC$2:AC45,AC45)-1)</f>
        <v>150</v>
      </c>
      <c r="AB45" s="56" t="n">
        <f aca="false">IF(AD45="","",RANK(AD45,$AD$2:$AD$1780)+COUNTIF($AD$2:AD45,AD45)-1)</f>
        <v>47</v>
      </c>
      <c r="AC45" s="32" t="n">
        <f aca="false">IF(AND(F45&gt;0,E45&gt;=Settings!$B$4),J45,"")</f>
        <v>0.0463231036479444</v>
      </c>
      <c r="AD45" s="60" t="n">
        <f aca="false">IF(X45="HIGH RATE",O45,"")</f>
        <v>3.6782092671536</v>
      </c>
    </row>
    <row r="46" customFormat="false" ht="15" hidden="false" customHeight="false" outlineLevel="0" collapsed="false">
      <c r="A46" s="56" t="s">
        <v>220</v>
      </c>
      <c r="B46" s="56" t="s">
        <v>914</v>
      </c>
      <c r="C46" s="56" t="s">
        <v>55</v>
      </c>
      <c r="D46" s="56" t="str">
        <f aca="false">IFERROR(INDEX('Brand Map'!$B$4:$B$124,MATCH(C46,'Brand Map'!$A$4:$A$124,0)),"Other")</f>
        <v>AUMJ</v>
      </c>
      <c r="E46" s="57" t="n">
        <v>3907</v>
      </c>
      <c r="F46" s="57" t="n">
        <v>172</v>
      </c>
      <c r="G46" s="58" t="n">
        <v>349370.17</v>
      </c>
      <c r="H46" s="58" t="n">
        <v>14074.44</v>
      </c>
      <c r="I46" s="58" t="n">
        <v>322323.75</v>
      </c>
      <c r="J46" s="32" t="n">
        <f aca="false">IF(E46&gt;0,F46/E46,0)</f>
        <v>0.0440235474788841</v>
      </c>
      <c r="K46" s="32" t="n">
        <f aca="false">IF(G46&gt;0,H46/G46,0)</f>
        <v>0.040285179470245</v>
      </c>
      <c r="L46" s="59" t="n">
        <f aca="false">H46/Settings!$B$16</f>
        <v>0.0281281405594027</v>
      </c>
      <c r="M46" s="59" t="n">
        <f aca="false">H46/Settings!$B$20</f>
        <v>0.00109266070845469</v>
      </c>
      <c r="N46" s="60" t="n">
        <f aca="false">E46*Settings!$B$3</f>
        <v>121.062892268858</v>
      </c>
      <c r="O46" s="60" t="n">
        <f aca="false">IF(E46&gt;0,(F46-N46)/SQRT(E46*Settings!$B$3*(1-Settings!$B$3)),0)</f>
        <v>4.70287858866548</v>
      </c>
      <c r="P46" s="60" t="n">
        <f aca="false">MAX(0,F46-N46)</f>
        <v>50.9371077311416</v>
      </c>
      <c r="Q46" s="32" t="n">
        <f aca="false">(F46+Settings!$B$7*Settings!$B$3)/(E46+Settings!$B$7)</f>
        <v>0.0439242023196329</v>
      </c>
      <c r="R46" s="61" t="n">
        <f aca="false">PERCENTRANK($H$2:$H$1780,H46,6)</f>
        <v>0.998875</v>
      </c>
      <c r="S46" s="61" t="n">
        <f aca="false">PERCENTRANK($Q$2:$Q$1780,Q46,6)</f>
        <v>0.84027</v>
      </c>
      <c r="T46" s="61" t="n">
        <f aca="false">PERCENTRANK($F$2:$F$1780,F46,6)</f>
        <v>0.996625</v>
      </c>
      <c r="U46" s="62" t="n">
        <f aca="false">IF(F46&gt;0,(Settings!$B$8*T46+Settings!$B$9*R46+Settings!$B$10*S46)/SUM(Settings!$B$8:$B$10),0)</f>
        <v>0.945256666666667</v>
      </c>
      <c r="V46" s="56" t="n">
        <f aca="false">IF(U46&gt;0,RANK(U46,$U$2:$U$1780)+COUNTIF($U$2:U46,U46)-1,"")</f>
        <v>45</v>
      </c>
      <c r="W46" s="56" t="str">
        <f aca="false">IF(V46="","",IF(V46&lt;=Settings!$B$11,"1 - Fix first",IF(V46&lt;=Settings!$B$12,"2 - Review","3 - Monitor")))</f>
        <v>2 - Review</v>
      </c>
      <c r="X46" s="56" t="str">
        <f aca="false">IF(AND(E46&gt;=Settings!$B$4,F46&gt;=Settings!$B$5,O46&gt;=Settings!$B$6),"HIGH RATE","")</f>
        <v>HIGH RATE</v>
      </c>
      <c r="Y46" s="56" t="n">
        <f aca="false">IF(F46&gt;0,RANK(F46,$F$2:$F$1780)+COUNTIF($F$2:F46,F46)-1,"")</f>
        <v>7</v>
      </c>
      <c r="Z46" s="56" t="n">
        <f aca="false">IF(H46&gt;0,RANK(H46,$H$2:$H$1780)+COUNTIF($H$2:H46,H46)-1,"")</f>
        <v>3</v>
      </c>
      <c r="AA46" s="56" t="n">
        <f aca="false">IF(AC46="","",RANK(AC46,$AC$2:$AC$1780)+COUNTIF($AC$2:AC46,AC46)-1)</f>
        <v>165</v>
      </c>
      <c r="AB46" s="56" t="n">
        <f aca="false">IF(AD46="","",RANK(AD46,$AD$2:$AD$1780)+COUNTIF($AD$2:AD46,AD46)-1)</f>
        <v>25</v>
      </c>
      <c r="AC46" s="32" t="n">
        <f aca="false">IF(AND(F46&gt;0,E46&gt;=Settings!$B$4),J46,"")</f>
        <v>0.0440235474788841</v>
      </c>
      <c r="AD46" s="60" t="n">
        <f aca="false">IF(X46="HIGH RATE",O46,"")</f>
        <v>4.70287858866548</v>
      </c>
    </row>
    <row r="47" customFormat="false" ht="15" hidden="false" customHeight="false" outlineLevel="0" collapsed="false">
      <c r="A47" s="56" t="s">
        <v>915</v>
      </c>
      <c r="B47" s="56" t="s">
        <v>916</v>
      </c>
      <c r="C47" s="56" t="s">
        <v>51</v>
      </c>
      <c r="D47" s="56" t="str">
        <f aca="false">IFERROR(INDEX('Brand Map'!$B$4:$B$124,MATCH(C47,'Brand Map'!$A$4:$A$124,0)),"Other")</f>
        <v>AU</v>
      </c>
      <c r="E47" s="57" t="n">
        <v>227</v>
      </c>
      <c r="F47" s="57" t="n">
        <v>14</v>
      </c>
      <c r="G47" s="58" t="n">
        <v>25112.43</v>
      </c>
      <c r="H47" s="58" t="n">
        <v>1393.97</v>
      </c>
      <c r="I47" s="58" t="n">
        <v>22749.91</v>
      </c>
      <c r="J47" s="32" t="n">
        <f aca="false">IF(E47&gt;0,F47/E47,0)</f>
        <v>0.0616740088105727</v>
      </c>
      <c r="K47" s="32" t="n">
        <f aca="false">IF(G47&gt;0,H47/G47,0)</f>
        <v>0.055509164186819</v>
      </c>
      <c r="L47" s="59" t="n">
        <f aca="false">H47/Settings!$B$16</f>
        <v>0.0027858859106004</v>
      </c>
      <c r="M47" s="59" t="n">
        <f aca="false">H47/Settings!$B$20</f>
        <v>0.000108220024936309</v>
      </c>
      <c r="N47" s="60" t="n">
        <f aca="false">E47*Settings!$B$3</f>
        <v>7.03385629511924</v>
      </c>
      <c r="O47" s="60" t="n">
        <f aca="false">IF(E47&gt;0,(F47-N47)/SQRT(E47*Settings!$B$3*(1-Settings!$B$3)),0)</f>
        <v>2.66827564226224</v>
      </c>
      <c r="P47" s="60" t="n">
        <f aca="false">MAX(0,F47-N47)</f>
        <v>6.96614370488077</v>
      </c>
      <c r="Q47" s="32" t="n">
        <f aca="false">(F47+Settings!$B$7*Settings!$B$3)/(E47+Settings!$B$7)</f>
        <v>0.0580917686085393</v>
      </c>
      <c r="R47" s="61" t="n">
        <f aca="false">PERCENTRANK($H$2:$H$1780,H47,6)</f>
        <v>0.957818</v>
      </c>
      <c r="S47" s="61" t="n">
        <f aca="false">PERCENTRANK($Q$2:$Q$1780,Q47,6)</f>
        <v>0.93757</v>
      </c>
      <c r="T47" s="61" t="n">
        <f aca="false">PERCENTRANK($F$2:$F$1780,F47,6)</f>
        <v>0.938133</v>
      </c>
      <c r="U47" s="62" t="n">
        <f aca="false">IF(F47&gt;0,(Settings!$B$8*T47+Settings!$B$9*R47+Settings!$B$10*S47)/SUM(Settings!$B$8:$B$10),0)</f>
        <v>0.944507</v>
      </c>
      <c r="V47" s="56" t="n">
        <f aca="false">IF(U47&gt;0,RANK(U47,$U$2:$U$1780)+COUNTIF($U$2:U47,U47)-1,"")</f>
        <v>46</v>
      </c>
      <c r="W47" s="56" t="str">
        <f aca="false">IF(V47="","",IF(V47&lt;=Settings!$B$11,"1 - Fix first",IF(V47&lt;=Settings!$B$12,"2 - Review","3 - Monitor")))</f>
        <v>2 - Review</v>
      </c>
      <c r="X47" s="56" t="str">
        <f aca="false">IF(AND(E47&gt;=Settings!$B$4,F47&gt;=Settings!$B$5,O47&gt;=Settings!$B$6),"HIGH RATE","")</f>
        <v/>
      </c>
      <c r="Y47" s="56" t="n">
        <f aca="false">IF(F47&gt;0,RANK(F47,$F$2:$F$1780)+COUNTIF($F$2:F47,F47)-1,"")</f>
        <v>107</v>
      </c>
      <c r="Z47" s="56" t="n">
        <f aca="false">IF(H47&gt;0,RANK(H47,$H$2:$H$1780)+COUNTIF($H$2:H47,H47)-1,"")</f>
        <v>76</v>
      </c>
      <c r="AA47" s="56" t="n">
        <f aca="false">IF(AC47="","",RANK(AC47,$AC$2:$AC$1780)+COUNTIF($AC$2:AC47,AC47)-1)</f>
        <v>65</v>
      </c>
      <c r="AB47" s="56" t="str">
        <f aca="false">IF(AD47="","",RANK(AD47,$AD$2:$AD$1780)+COUNTIF($AD$2:AD47,AD47)-1)</f>
        <v/>
      </c>
      <c r="AC47" s="32" t="n">
        <f aca="false">IF(AND(F47&gt;0,E47&gt;=Settings!$B$4),J47,"")</f>
        <v>0.0616740088105727</v>
      </c>
      <c r="AD47" s="56" t="str">
        <f aca="false">IF(X47="HIGH RATE",O47,"")</f>
        <v/>
      </c>
    </row>
    <row r="48" customFormat="false" ht="15" hidden="false" customHeight="false" outlineLevel="0" collapsed="false">
      <c r="A48" s="56" t="s">
        <v>555</v>
      </c>
      <c r="B48" s="56" t="s">
        <v>556</v>
      </c>
      <c r="C48" s="56" t="s">
        <v>99</v>
      </c>
      <c r="D48" s="56" t="str">
        <f aca="false">IFERROR(INDEX('Brand Map'!$B$4:$B$124,MATCH(C48,'Brand Map'!$A$4:$A$124,0)),"Other")</f>
        <v>AUCH</v>
      </c>
      <c r="E48" s="57" t="n">
        <v>2531</v>
      </c>
      <c r="F48" s="57" t="n">
        <v>116</v>
      </c>
      <c r="G48" s="58" t="n">
        <v>123679.37</v>
      </c>
      <c r="H48" s="58" t="n">
        <v>5309.56</v>
      </c>
      <c r="I48" s="58" t="n">
        <v>112490.14</v>
      </c>
      <c r="J48" s="32" t="n">
        <f aca="false">IF(E48&gt;0,F48/E48,0)</f>
        <v>0.0458316870802055</v>
      </c>
      <c r="K48" s="32" t="n">
        <f aca="false">IF(G48&gt;0,H48/G48,0)</f>
        <v>0.0429300375640659</v>
      </c>
      <c r="L48" s="59" t="n">
        <f aca="false">H48/Settings!$B$16</f>
        <v>0.0106112960791749</v>
      </c>
      <c r="M48" s="59" t="n">
        <f aca="false">H48/Settings!$B$20</f>
        <v>0.00041220450626687</v>
      </c>
      <c r="N48" s="60" t="n">
        <f aca="false">E48*Settings!$B$3</f>
        <v>78.4259483830255</v>
      </c>
      <c r="O48" s="60" t="n">
        <f aca="false">IF(E48&gt;0,(F48-N48)/SQRT(E48*Settings!$B$3*(1-Settings!$B$3)),0)</f>
        <v>4.3101575577164</v>
      </c>
      <c r="P48" s="60" t="n">
        <f aca="false">MAX(0,F48-N48)</f>
        <v>37.5740516169745</v>
      </c>
      <c r="Q48" s="32" t="n">
        <f aca="false">(F48+Settings!$B$7*Settings!$B$3)/(E48+Settings!$B$7)</f>
        <v>0.0456577838861361</v>
      </c>
      <c r="R48" s="61" t="n">
        <f aca="false">PERCENTRANK($H$2:$H$1780,H48,6)</f>
        <v>0.988751</v>
      </c>
      <c r="S48" s="61" t="n">
        <f aca="false">PERCENTRANK($Q$2:$Q$1780,Q48,6)</f>
        <v>0.849269</v>
      </c>
      <c r="T48" s="61" t="n">
        <f aca="false">PERCENTRANK($F$2:$F$1780,F48,6)</f>
        <v>0.994938</v>
      </c>
      <c r="U48" s="62" t="n">
        <f aca="false">IF(F48&gt;0,(Settings!$B$8*T48+Settings!$B$9*R48+Settings!$B$10*S48)/SUM(Settings!$B$8:$B$10),0)</f>
        <v>0.944319333333333</v>
      </c>
      <c r="V48" s="56" t="n">
        <f aca="false">IF(U48&gt;0,RANK(U48,$U$2:$U$1780)+COUNTIF($U$2:U48,U48)-1,"")</f>
        <v>47</v>
      </c>
      <c r="W48" s="56" t="str">
        <f aca="false">IF(V48="","",IF(V48&lt;=Settings!$B$11,"1 - Fix first",IF(V48&lt;=Settings!$B$12,"2 - Review","3 - Monitor")))</f>
        <v>2 - Review</v>
      </c>
      <c r="X48" s="56" t="str">
        <f aca="false">IF(AND(E48&gt;=Settings!$B$4,F48&gt;=Settings!$B$5,O48&gt;=Settings!$B$6),"HIGH RATE","")</f>
        <v>HIGH RATE</v>
      </c>
      <c r="Y48" s="56" t="n">
        <f aca="false">IF(F48&gt;0,RANK(F48,$F$2:$F$1780)+COUNTIF($F$2:F48,F48)-1,"")</f>
        <v>10</v>
      </c>
      <c r="Z48" s="56" t="n">
        <f aca="false">IF(H48&gt;0,RANK(H48,$H$2:$H$1780)+COUNTIF($H$2:H48,H48)-1,"")</f>
        <v>21</v>
      </c>
      <c r="AA48" s="56" t="n">
        <f aca="false">IF(AC48="","",RANK(AC48,$AC$2:$AC$1780)+COUNTIF($AC$2:AC48,AC48)-1)</f>
        <v>155</v>
      </c>
      <c r="AB48" s="56" t="n">
        <f aca="false">IF(AD48="","",RANK(AD48,$AD$2:$AD$1780)+COUNTIF($AD$2:AD48,AD48)-1)</f>
        <v>37</v>
      </c>
      <c r="AC48" s="32" t="n">
        <f aca="false">IF(AND(F48&gt;0,E48&gt;=Settings!$B$4),J48,"")</f>
        <v>0.0458316870802055</v>
      </c>
      <c r="AD48" s="60" t="n">
        <f aca="false">IF(X48="HIGH RATE",O48,"")</f>
        <v>4.3101575577164</v>
      </c>
    </row>
    <row r="49" customFormat="false" ht="15" hidden="false" customHeight="false" outlineLevel="0" collapsed="false">
      <c r="A49" s="56" t="s">
        <v>917</v>
      </c>
      <c r="B49" s="56" t="s">
        <v>918</v>
      </c>
      <c r="C49" s="56" t="s">
        <v>51</v>
      </c>
      <c r="D49" s="56" t="str">
        <f aca="false">IFERROR(INDEX('Brand Map'!$B$4:$B$124,MATCH(C49,'Brand Map'!$A$4:$A$124,0)),"Other")</f>
        <v>AU</v>
      </c>
      <c r="E49" s="57" t="n">
        <v>40</v>
      </c>
      <c r="F49" s="57" t="n">
        <v>5</v>
      </c>
      <c r="G49" s="58" t="n">
        <v>10123.53</v>
      </c>
      <c r="H49" s="58" t="n">
        <v>1187.73</v>
      </c>
      <c r="I49" s="58" t="n">
        <v>8722.49</v>
      </c>
      <c r="J49" s="32" t="n">
        <f aca="false">IF(E49&gt;0,F49/E49,0)</f>
        <v>0.125</v>
      </c>
      <c r="K49" s="32" t="n">
        <f aca="false">IF(G49&gt;0,H49/G49,0)</f>
        <v>0.117323700329826</v>
      </c>
      <c r="L49" s="59" t="n">
        <f aca="false">H49/Settings!$B$16</f>
        <v>0.00237370981627826</v>
      </c>
      <c r="M49" s="59" t="n">
        <f aca="false">H49/Settings!$B$20</f>
        <v>9.22087062258172E-005</v>
      </c>
      <c r="N49" s="60" t="n">
        <f aca="false">E49*Settings!$B$3</f>
        <v>1.23944604319282</v>
      </c>
      <c r="O49" s="60" t="n">
        <f aca="false">IF(E49&gt;0,(F49-N49)/SQRT(E49*Settings!$B$3*(1-Settings!$B$3)),0)</f>
        <v>3.43141321679235</v>
      </c>
      <c r="P49" s="60" t="n">
        <f aca="false">MAX(0,F49-N49)</f>
        <v>3.76055395680718</v>
      </c>
      <c r="Q49" s="32" t="n">
        <f aca="false">(F49+Settings!$B$7*Settings!$B$3)/(E49+Settings!$B$7)</f>
        <v>0.0847083504627802</v>
      </c>
      <c r="R49" s="61" t="n">
        <f aca="false">PERCENTRANK($H$2:$H$1780,H49,6)</f>
        <v>0.951631</v>
      </c>
      <c r="S49" s="61" t="n">
        <f aca="false">PERCENTRANK($Q$2:$Q$1780,Q49,6)</f>
        <v>0.991001</v>
      </c>
      <c r="T49" s="61" t="n">
        <f aca="false">PERCENTRANK($F$2:$F$1780,F49,6)</f>
        <v>0.889764</v>
      </c>
      <c r="U49" s="62" t="n">
        <f aca="false">IF(F49&gt;0,(Settings!$B$8*T49+Settings!$B$9*R49+Settings!$B$10*S49)/SUM(Settings!$B$8:$B$10),0)</f>
        <v>0.944132</v>
      </c>
      <c r="V49" s="56" t="n">
        <f aca="false">IF(U49&gt;0,RANK(U49,$U$2:$U$1780)+COUNTIF($U$2:U49,U49)-1,"")</f>
        <v>48</v>
      </c>
      <c r="W49" s="56" t="str">
        <f aca="false">IF(V49="","",IF(V49&lt;=Settings!$B$11,"1 - Fix first",IF(V49&lt;=Settings!$B$12,"2 - Review","3 - Monitor")))</f>
        <v>2 - Review</v>
      </c>
      <c r="X49" s="56" t="str">
        <f aca="false">IF(AND(E49&gt;=Settings!$B$4,F49&gt;=Settings!$B$5,O49&gt;=Settings!$B$6),"HIGH RATE","")</f>
        <v>HIGH RATE</v>
      </c>
      <c r="Y49" s="56" t="n">
        <f aca="false">IF(F49&gt;0,RANK(F49,$F$2:$F$1780)+COUNTIF($F$2:F49,F49)-1,"")</f>
        <v>182</v>
      </c>
      <c r="Z49" s="56" t="n">
        <f aca="false">IF(H49&gt;0,RANK(H49,$H$2:$H$1780)+COUNTIF($H$2:H49,H49)-1,"")</f>
        <v>87</v>
      </c>
      <c r="AA49" s="56" t="n">
        <f aca="false">IF(AC49="","",RANK(AC49,$AC$2:$AC$1780)+COUNTIF($AC$2:AC49,AC49)-1)</f>
        <v>5</v>
      </c>
      <c r="AB49" s="56" t="n">
        <f aca="false">IF(AD49="","",RANK(AD49,$AD$2:$AD$1780)+COUNTIF($AD$2:AD49,AD49)-1)</f>
        <v>53</v>
      </c>
      <c r="AC49" s="32" t="n">
        <f aca="false">IF(AND(F49&gt;0,E49&gt;=Settings!$B$4),J49,"")</f>
        <v>0.125</v>
      </c>
      <c r="AD49" s="60" t="n">
        <f aca="false">IF(X49="HIGH RATE",O49,"")</f>
        <v>3.43141321679235</v>
      </c>
    </row>
    <row r="50" customFormat="false" ht="15" hidden="false" customHeight="false" outlineLevel="0" collapsed="false">
      <c r="A50" s="56" t="s">
        <v>205</v>
      </c>
      <c r="B50" s="56" t="s">
        <v>919</v>
      </c>
      <c r="C50" s="56" t="s">
        <v>51</v>
      </c>
      <c r="D50" s="56" t="str">
        <f aca="false">IFERROR(INDEX('Brand Map'!$B$4:$B$124,MATCH(C50,'Brand Map'!$A$4:$A$124,0)),"Other")</f>
        <v>AU</v>
      </c>
      <c r="E50" s="57" t="n">
        <v>1158</v>
      </c>
      <c r="F50" s="57" t="n">
        <v>55</v>
      </c>
      <c r="G50" s="58" t="n">
        <v>84795.33</v>
      </c>
      <c r="H50" s="58" t="n">
        <v>3653.51</v>
      </c>
      <c r="I50" s="58" t="n">
        <v>77119</v>
      </c>
      <c r="J50" s="32" t="n">
        <f aca="false">IF(E50&gt;0,F50/E50,0)</f>
        <v>0.0474956822107081</v>
      </c>
      <c r="K50" s="32" t="n">
        <f aca="false">IF(G50&gt;0,H50/G50,0)</f>
        <v>0.0430862171301179</v>
      </c>
      <c r="L50" s="59" t="n">
        <f aca="false">H50/Settings!$B$16</f>
        <v>0.0073016363574809</v>
      </c>
      <c r="M50" s="59" t="n">
        <f aca="false">H50/Settings!$B$20</f>
        <v>0.000283638057709316</v>
      </c>
      <c r="N50" s="60" t="n">
        <f aca="false">E50*Settings!$B$3</f>
        <v>35.881962950432</v>
      </c>
      <c r="O50" s="60" t="n">
        <f aca="false">IF(E50&gt;0,(F50-N50)/SQRT(E50*Settings!$B$3*(1-Settings!$B$3)),0)</f>
        <v>3.24220305168427</v>
      </c>
      <c r="P50" s="60" t="n">
        <f aca="false">MAX(0,F50-N50)</f>
        <v>19.118037049568</v>
      </c>
      <c r="Q50" s="32" t="n">
        <f aca="false">(F50+Settings!$B$7*Settings!$B$3)/(E50+Settings!$B$7)</f>
        <v>0.047078774858918</v>
      </c>
      <c r="R50" s="61" t="n">
        <f aca="false">PERCENTRANK($H$2:$H$1780,H50,6)</f>
        <v>0.984252</v>
      </c>
      <c r="S50" s="61" t="n">
        <f aca="false">PERCENTRANK($Q$2:$Q$1780,Q50,6)</f>
        <v>0.866142</v>
      </c>
      <c r="T50" s="61" t="n">
        <f aca="false">PERCENTRANK($F$2:$F$1780,F50,6)</f>
        <v>0.980315</v>
      </c>
      <c r="U50" s="62" t="n">
        <f aca="false">IF(F50&gt;0,(Settings!$B$8*T50+Settings!$B$9*R50+Settings!$B$10*S50)/SUM(Settings!$B$8:$B$10),0)</f>
        <v>0.943569666666667</v>
      </c>
      <c r="V50" s="56" t="n">
        <f aca="false">IF(U50&gt;0,RANK(U50,$U$2:$U$1780)+COUNTIF($U$2:U50,U50)-1,"")</f>
        <v>49</v>
      </c>
      <c r="W50" s="56" t="str">
        <f aca="false">IF(V50="","",IF(V50&lt;=Settings!$B$11,"1 - Fix first",IF(V50&lt;=Settings!$B$12,"2 - Review","3 - Monitor")))</f>
        <v>2 - Review</v>
      </c>
      <c r="X50" s="56" t="str">
        <f aca="false">IF(AND(E50&gt;=Settings!$B$4,F50&gt;=Settings!$B$5,O50&gt;=Settings!$B$6),"HIGH RATE","")</f>
        <v>HIGH RATE</v>
      </c>
      <c r="Y50" s="56" t="n">
        <f aca="false">IF(F50&gt;0,RANK(F50,$F$2:$F$1780)+COUNTIF($F$2:F50,F50)-1,"")</f>
        <v>35</v>
      </c>
      <c r="Z50" s="56" t="n">
        <f aca="false">IF(H50&gt;0,RANK(H50,$H$2:$H$1780)+COUNTIF($H$2:H50,H50)-1,"")</f>
        <v>29</v>
      </c>
      <c r="AA50" s="56" t="n">
        <f aca="false">IF(AC50="","",RANK(AC50,$AC$2:$AC$1780)+COUNTIF($AC$2:AC50,AC50)-1)</f>
        <v>143</v>
      </c>
      <c r="AB50" s="56" t="n">
        <f aca="false">IF(AD50="","",RANK(AD50,$AD$2:$AD$1780)+COUNTIF($AD$2:AD50,AD50)-1)</f>
        <v>58</v>
      </c>
      <c r="AC50" s="32" t="n">
        <f aca="false">IF(AND(F50&gt;0,E50&gt;=Settings!$B$4),J50,"")</f>
        <v>0.0474956822107081</v>
      </c>
      <c r="AD50" s="60" t="n">
        <f aca="false">IF(X50="HIGH RATE",O50,"")</f>
        <v>3.24220305168427</v>
      </c>
    </row>
    <row r="51" customFormat="false" ht="15" hidden="false" customHeight="false" outlineLevel="0" collapsed="false">
      <c r="A51" s="56" t="s">
        <v>920</v>
      </c>
      <c r="B51" s="56" t="s">
        <v>921</v>
      </c>
      <c r="C51" s="56" t="s">
        <v>55</v>
      </c>
      <c r="D51" s="56" t="str">
        <f aca="false">IFERROR(INDEX('Brand Map'!$B$4:$B$124,MATCH(C51,'Brand Map'!$A$4:$A$124,0)),"Other")</f>
        <v>AUMJ</v>
      </c>
      <c r="E51" s="57" t="n">
        <v>95</v>
      </c>
      <c r="F51" s="57" t="n">
        <v>8</v>
      </c>
      <c r="G51" s="58" t="n">
        <v>11248.78</v>
      </c>
      <c r="H51" s="58" t="n">
        <v>963.88</v>
      </c>
      <c r="I51" s="58" t="n">
        <v>9794.78</v>
      </c>
      <c r="J51" s="32" t="n">
        <f aca="false">IF(E51&gt;0,F51/E51,0)</f>
        <v>0.0842105263157895</v>
      </c>
      <c r="K51" s="32" t="n">
        <f aca="false">IF(G51&gt;0,H51/G51,0)</f>
        <v>0.0856875145571342</v>
      </c>
      <c r="L51" s="59" t="n">
        <f aca="false">H51/Settings!$B$16</f>
        <v>0.00192633967123361</v>
      </c>
      <c r="M51" s="59" t="n">
        <f aca="false">H51/Settings!$B$20</f>
        <v>7.48302457266725E-005</v>
      </c>
      <c r="N51" s="60" t="n">
        <f aca="false">E51*Settings!$B$3</f>
        <v>2.94368435258294</v>
      </c>
      <c r="O51" s="60" t="n">
        <f aca="false">IF(E51&gt;0,(F51-N51)/SQRT(E51*Settings!$B$3*(1-Settings!$B$3)),0)</f>
        <v>2.99380538977247</v>
      </c>
      <c r="P51" s="60" t="n">
        <f aca="false">MAX(0,F51-N51)</f>
        <v>5.05631564741706</v>
      </c>
      <c r="Q51" s="32" t="n">
        <f aca="false">(F51+Settings!$B$7*Settings!$B$3)/(E51+Settings!$B$7)</f>
        <v>0.0714366762591569</v>
      </c>
      <c r="R51" s="61" t="n">
        <f aca="false">PERCENTRANK($H$2:$H$1780,H51,6)</f>
        <v>0.940382</v>
      </c>
      <c r="S51" s="61" t="n">
        <f aca="false">PERCENTRANK($Q$2:$Q$1780,Q51,6)</f>
        <v>0.975816</v>
      </c>
      <c r="T51" s="61" t="n">
        <f aca="false">PERCENTRANK($F$2:$F$1780,F51,6)</f>
        <v>0.912823</v>
      </c>
      <c r="U51" s="62" t="n">
        <f aca="false">IF(F51&gt;0,(Settings!$B$8*T51+Settings!$B$9*R51+Settings!$B$10*S51)/SUM(Settings!$B$8:$B$10),0)</f>
        <v>0.943007</v>
      </c>
      <c r="V51" s="56" t="n">
        <f aca="false">IF(U51&gt;0,RANK(U51,$U$2:$U$1780)+COUNTIF($U$2:U51,U51)-1,"")</f>
        <v>50</v>
      </c>
      <c r="W51" s="56" t="str">
        <f aca="false">IF(V51="","",IF(V51&lt;=Settings!$B$11,"1 - Fix first",IF(V51&lt;=Settings!$B$12,"2 - Review","3 - Monitor")))</f>
        <v>2 - Review</v>
      </c>
      <c r="X51" s="56" t="str">
        <f aca="false">IF(AND(E51&gt;=Settings!$B$4,F51&gt;=Settings!$B$5,O51&gt;=Settings!$B$6),"HIGH RATE","")</f>
        <v/>
      </c>
      <c r="Y51" s="56" t="n">
        <f aca="false">IF(F51&gt;0,RANK(F51,$F$2:$F$1780)+COUNTIF($F$2:F51,F51)-1,"")</f>
        <v>150</v>
      </c>
      <c r="Z51" s="56" t="n">
        <f aca="false">IF(H51&gt;0,RANK(H51,$H$2:$H$1780)+COUNTIF($H$2:H51,H51)-1,"")</f>
        <v>107</v>
      </c>
      <c r="AA51" s="56" t="n">
        <f aca="false">IF(AC51="","",RANK(AC51,$AC$2:$AC$1780)+COUNTIF($AC$2:AC51,AC51)-1)</f>
        <v>27</v>
      </c>
      <c r="AB51" s="56" t="str">
        <f aca="false">IF(AD51="","",RANK(AD51,$AD$2:$AD$1780)+COUNTIF($AD$2:AD51,AD51)-1)</f>
        <v/>
      </c>
      <c r="AC51" s="32" t="n">
        <f aca="false">IF(AND(F51&gt;0,E51&gt;=Settings!$B$4),J51,"")</f>
        <v>0.0842105263157895</v>
      </c>
      <c r="AD51" s="56" t="str">
        <f aca="false">IF(X51="HIGH RATE",O51,"")</f>
        <v/>
      </c>
    </row>
    <row r="52" customFormat="false" ht="15" hidden="false" customHeight="false" outlineLevel="0" collapsed="false">
      <c r="A52" s="56" t="s">
        <v>208</v>
      </c>
      <c r="B52" s="56" t="s">
        <v>922</v>
      </c>
      <c r="C52" s="56" t="s">
        <v>51</v>
      </c>
      <c r="D52" s="56" t="str">
        <f aca="false">IFERROR(INDEX('Brand Map'!$B$4:$B$124,MATCH(C52,'Brand Map'!$A$4:$A$124,0)),"Other")</f>
        <v>AU</v>
      </c>
      <c r="E52" s="57" t="n">
        <v>959</v>
      </c>
      <c r="F52" s="57" t="n">
        <v>46</v>
      </c>
      <c r="G52" s="58" t="n">
        <v>68820.58</v>
      </c>
      <c r="H52" s="58" t="n">
        <v>3175.22</v>
      </c>
      <c r="I52" s="58" t="n">
        <v>63772.22</v>
      </c>
      <c r="J52" s="32" t="n">
        <f aca="false">IF(E52&gt;0,F52/E52,0)</f>
        <v>0.0479666319082377</v>
      </c>
      <c r="K52" s="32" t="n">
        <f aca="false">IF(G52&gt;0,H52/G52,0)</f>
        <v>0.0461376524289682</v>
      </c>
      <c r="L52" s="59" t="n">
        <f aca="false">H52/Settings!$B$16</f>
        <v>0.00634576114339375</v>
      </c>
      <c r="M52" s="59" t="n">
        <f aca="false">H52/Settings!$B$20</f>
        <v>0.000246506300406944</v>
      </c>
      <c r="N52" s="60" t="n">
        <f aca="false">E52*Settings!$B$3</f>
        <v>29.7157188855478</v>
      </c>
      <c r="O52" s="60" t="n">
        <f aca="false">IF(E52&gt;0,(F52-N52)/SQRT(E52*Settings!$B$3*(1-Settings!$B$3)),0)</f>
        <v>3.03466306152684</v>
      </c>
      <c r="P52" s="60" t="n">
        <f aca="false">MAX(0,F52-N52)</f>
        <v>16.2842811144522</v>
      </c>
      <c r="Q52" s="32" t="n">
        <f aca="false">(F52+Settings!$B$7*Settings!$B$3)/(E52+Settings!$B$7)</f>
        <v>0.0474515515999946</v>
      </c>
      <c r="R52" s="61" t="n">
        <f aca="false">PERCENTRANK($H$2:$H$1780,H52,6)</f>
        <v>0.979753</v>
      </c>
      <c r="S52" s="61" t="n">
        <f aca="false">PERCENTRANK($Q$2:$Q$1780,Q52,6)</f>
        <v>0.870079</v>
      </c>
      <c r="T52" s="61" t="n">
        <f aca="false">PERCENTRANK($F$2:$F$1780,F52,6)</f>
        <v>0.97694</v>
      </c>
      <c r="U52" s="62" t="n">
        <f aca="false">IF(F52&gt;0,(Settings!$B$8*T52+Settings!$B$9*R52+Settings!$B$10*S52)/SUM(Settings!$B$8:$B$10),0)</f>
        <v>0.942257333333333</v>
      </c>
      <c r="V52" s="56" t="n">
        <f aca="false">IF(U52&gt;0,RANK(U52,$U$2:$U$1780)+COUNTIF($U$2:U52,U52)-1,"")</f>
        <v>51</v>
      </c>
      <c r="W52" s="56" t="str">
        <f aca="false">IF(V52="","",IF(V52&lt;=Settings!$B$11,"1 - Fix first",IF(V52&lt;=Settings!$B$12,"2 - Review","3 - Monitor")))</f>
        <v>2 - Review</v>
      </c>
      <c r="X52" s="56" t="str">
        <f aca="false">IF(AND(E52&gt;=Settings!$B$4,F52&gt;=Settings!$B$5,O52&gt;=Settings!$B$6),"HIGH RATE","")</f>
        <v>HIGH RATE</v>
      </c>
      <c r="Y52" s="56" t="n">
        <f aca="false">IF(F52&gt;0,RANK(F52,$F$2:$F$1780)+COUNTIF($F$2:F52,F52)-1,"")</f>
        <v>42</v>
      </c>
      <c r="Z52" s="56" t="n">
        <f aca="false">IF(H52&gt;0,RANK(H52,$H$2:$H$1780)+COUNTIF($H$2:H52,H52)-1,"")</f>
        <v>37</v>
      </c>
      <c r="AA52" s="56" t="n">
        <f aca="false">IF(AC52="","",RANK(AC52,$AC$2:$AC$1780)+COUNTIF($AC$2:AC52,AC52)-1)</f>
        <v>137</v>
      </c>
      <c r="AB52" s="56" t="n">
        <f aca="false">IF(AD52="","",RANK(AD52,$AD$2:$AD$1780)+COUNTIF($AD$2:AD52,AD52)-1)</f>
        <v>60</v>
      </c>
      <c r="AC52" s="32" t="n">
        <f aca="false">IF(AND(F52&gt;0,E52&gt;=Settings!$B$4),J52,"")</f>
        <v>0.0479666319082377</v>
      </c>
      <c r="AD52" s="60" t="n">
        <f aca="false">IF(X52="HIGH RATE",O52,"")</f>
        <v>3.03466306152684</v>
      </c>
    </row>
    <row r="53" customFormat="false" ht="15" hidden="false" customHeight="false" outlineLevel="0" collapsed="false">
      <c r="A53" s="56" t="s">
        <v>923</v>
      </c>
      <c r="B53" s="56" t="s">
        <v>924</v>
      </c>
      <c r="C53" s="56" t="s">
        <v>51</v>
      </c>
      <c r="D53" s="56" t="str">
        <f aca="false">IFERROR(INDEX('Brand Map'!$B$4:$B$124,MATCH(C53,'Brand Map'!$A$4:$A$124,0)),"Other")</f>
        <v>AU</v>
      </c>
      <c r="E53" s="57" t="n">
        <v>272</v>
      </c>
      <c r="F53" s="57" t="n">
        <v>16</v>
      </c>
      <c r="G53" s="58" t="n">
        <v>22822.37</v>
      </c>
      <c r="H53" s="58" t="n">
        <v>1203.2</v>
      </c>
      <c r="I53" s="58" t="n">
        <v>20589.42</v>
      </c>
      <c r="J53" s="32" t="n">
        <f aca="false">IF(E53&gt;0,F53/E53,0)</f>
        <v>0.0588235294117647</v>
      </c>
      <c r="K53" s="32" t="n">
        <f aca="false">IF(G53&gt;0,H53/G53,0)</f>
        <v>0.0527202039052035</v>
      </c>
      <c r="L53" s="59" t="n">
        <f aca="false">H53/Settings!$B$16</f>
        <v>0.00240462702040532</v>
      </c>
      <c r="M53" s="59" t="n">
        <f aca="false">H53/Settings!$B$20</f>
        <v>9.34097103979046E-005</v>
      </c>
      <c r="N53" s="60" t="n">
        <f aca="false">E53*Settings!$B$3</f>
        <v>8.42823309371115</v>
      </c>
      <c r="O53" s="60" t="n">
        <f aca="false">IF(E53&gt;0,(F53-N53)/SQRT(E53*Settings!$B$3*(1-Settings!$B$3)),0)</f>
        <v>2.64950031154097</v>
      </c>
      <c r="P53" s="60" t="n">
        <f aca="false">MAX(0,F53-N53)</f>
        <v>7.57176690628885</v>
      </c>
      <c r="Q53" s="32" t="n">
        <f aca="false">(F53+Settings!$B$7*Settings!$B$3)/(E53+Settings!$B$7)</f>
        <v>0.056058226928459</v>
      </c>
      <c r="R53" s="61" t="n">
        <f aca="false">PERCENTRANK($H$2:$H$1780,H53,6)</f>
        <v>0.952756</v>
      </c>
      <c r="S53" s="61" t="n">
        <f aca="false">PERCENTRANK($Q$2:$Q$1780,Q53,6)</f>
        <v>0.928009</v>
      </c>
      <c r="T53" s="61" t="n">
        <f aca="false">PERCENTRANK($F$2:$F$1780,F53,6)</f>
        <v>0.943757</v>
      </c>
      <c r="U53" s="62" t="n">
        <f aca="false">IF(F53&gt;0,(Settings!$B$8*T53+Settings!$B$9*R53+Settings!$B$10*S53)/SUM(Settings!$B$8:$B$10),0)</f>
        <v>0.941507333333333</v>
      </c>
      <c r="V53" s="56" t="n">
        <f aca="false">IF(U53&gt;0,RANK(U53,$U$2:$U$1780)+COUNTIF($U$2:U53,U53)-1,"")</f>
        <v>52</v>
      </c>
      <c r="W53" s="56" t="str">
        <f aca="false">IF(V53="","",IF(V53&lt;=Settings!$B$11,"1 - Fix first",IF(V53&lt;=Settings!$B$12,"2 - Review","3 - Monitor")))</f>
        <v>2 - Review</v>
      </c>
      <c r="X53" s="56" t="str">
        <f aca="false">IF(AND(E53&gt;=Settings!$B$4,F53&gt;=Settings!$B$5,O53&gt;=Settings!$B$6),"HIGH RATE","")</f>
        <v/>
      </c>
      <c r="Y53" s="56" t="n">
        <f aca="false">IF(F53&gt;0,RANK(F53,$F$2:$F$1780)+COUNTIF($F$2:F53,F53)-1,"")</f>
        <v>99</v>
      </c>
      <c r="Z53" s="56" t="n">
        <f aca="false">IF(H53&gt;0,RANK(H53,$H$2:$H$1780)+COUNTIF($H$2:H53,H53)-1,"")</f>
        <v>85</v>
      </c>
      <c r="AA53" s="56" t="n">
        <f aca="false">IF(AC53="","",RANK(AC53,$AC$2:$AC$1780)+COUNTIF($AC$2:AC53,AC53)-1)</f>
        <v>76</v>
      </c>
      <c r="AB53" s="56" t="str">
        <f aca="false">IF(AD53="","",RANK(AD53,$AD$2:$AD$1780)+COUNTIF($AD$2:AD53,AD53)-1)</f>
        <v/>
      </c>
      <c r="AC53" s="32" t="n">
        <f aca="false">IF(AND(F53&gt;0,E53&gt;=Settings!$B$4),J53,"")</f>
        <v>0.0588235294117647</v>
      </c>
      <c r="AD53" s="56" t="str">
        <f aca="false">IF(X53="HIGH RATE",O53,"")</f>
        <v/>
      </c>
    </row>
    <row r="54" customFormat="false" ht="15" hidden="false" customHeight="false" outlineLevel="0" collapsed="false">
      <c r="A54" s="56" t="s">
        <v>238</v>
      </c>
      <c r="B54" s="56" t="s">
        <v>543</v>
      </c>
      <c r="C54" s="56" t="s">
        <v>59</v>
      </c>
      <c r="D54" s="56" t="str">
        <f aca="false">IFERROR(INDEX('Brand Map'!$B$4:$B$124,MATCH(C54,'Brand Map'!$A$4:$A$124,0)),"Other")</f>
        <v>DC</v>
      </c>
      <c r="E54" s="57" t="n">
        <v>1695</v>
      </c>
      <c r="F54" s="57" t="n">
        <v>75</v>
      </c>
      <c r="G54" s="58" t="n">
        <v>222732.23</v>
      </c>
      <c r="H54" s="58" t="n">
        <v>8683.47</v>
      </c>
      <c r="I54" s="58" t="n">
        <v>199229.79</v>
      </c>
      <c r="J54" s="32" t="n">
        <f aca="false">IF(E54&gt;0,F54/E54,0)</f>
        <v>0.0442477876106195</v>
      </c>
      <c r="K54" s="32" t="n">
        <f aca="false">IF(G54&gt;0,H54/G54,0)</f>
        <v>0.038986140443168</v>
      </c>
      <c r="L54" s="59" t="n">
        <f aca="false">H54/Settings!$B$16</f>
        <v>0.0173541444422199</v>
      </c>
      <c r="M54" s="59" t="n">
        <f aca="false">H54/Settings!$B$20</f>
        <v>0.000674135985662311</v>
      </c>
      <c r="N54" s="60" t="n">
        <f aca="false">E54*Settings!$B$3</f>
        <v>52.5215260802956</v>
      </c>
      <c r="O54" s="60" t="n">
        <f aca="false">IF(E54&gt;0,(F54-N54)/SQRT(E54*Settings!$B$3*(1-Settings!$B$3)),0)</f>
        <v>3.15088942816152</v>
      </c>
      <c r="P54" s="60" t="n">
        <f aca="false">MAX(0,F54-N54)</f>
        <v>22.4784739197044</v>
      </c>
      <c r="Q54" s="32" t="n">
        <f aca="false">(F54+Settings!$B$7*Settings!$B$3)/(E54+Settings!$B$7)</f>
        <v>0.0440171504535621</v>
      </c>
      <c r="R54" s="61" t="n">
        <f aca="false">PERCENTRANK($H$2:$H$1780,H54,6)</f>
        <v>0.995501</v>
      </c>
      <c r="S54" s="61" t="n">
        <f aca="false">PERCENTRANK($Q$2:$Q$1780,Q54,6)</f>
        <v>0.840832</v>
      </c>
      <c r="T54" s="61" t="n">
        <f aca="false">PERCENTRANK($F$2:$F$1780,F54,6)</f>
        <v>0.985939</v>
      </c>
      <c r="U54" s="62" t="n">
        <f aca="false">IF(F54&gt;0,(Settings!$B$8*T54+Settings!$B$9*R54+Settings!$B$10*S54)/SUM(Settings!$B$8:$B$10),0)</f>
        <v>0.940757333333333</v>
      </c>
      <c r="V54" s="56" t="n">
        <f aca="false">IF(U54&gt;0,RANK(U54,$U$2:$U$1780)+COUNTIF($U$2:U54,U54)-1,"")</f>
        <v>53</v>
      </c>
      <c r="W54" s="56" t="str">
        <f aca="false">IF(V54="","",IF(V54&lt;=Settings!$B$11,"1 - Fix first",IF(V54&lt;=Settings!$B$12,"2 - Review","3 - Monitor")))</f>
        <v>2 - Review</v>
      </c>
      <c r="X54" s="56" t="str">
        <f aca="false">IF(AND(E54&gt;=Settings!$B$4,F54&gt;=Settings!$B$5,O54&gt;=Settings!$B$6),"HIGH RATE","")</f>
        <v>HIGH RATE</v>
      </c>
      <c r="Y54" s="56" t="n">
        <f aca="false">IF(F54&gt;0,RANK(F54,$F$2:$F$1780)+COUNTIF($F$2:F54,F54)-1,"")</f>
        <v>26</v>
      </c>
      <c r="Z54" s="56" t="n">
        <f aca="false">IF(H54&gt;0,RANK(H54,$H$2:$H$1780)+COUNTIF($H$2:H54,H54)-1,"")</f>
        <v>9</v>
      </c>
      <c r="AA54" s="56" t="n">
        <f aca="false">IF(AC54="","",RANK(AC54,$AC$2:$AC$1780)+COUNTIF($AC$2:AC54,AC54)-1)</f>
        <v>164</v>
      </c>
      <c r="AB54" s="56" t="n">
        <f aca="false">IF(AD54="","",RANK(AD54,$AD$2:$AD$1780)+COUNTIF($AD$2:AD54,AD54)-1)</f>
        <v>59</v>
      </c>
      <c r="AC54" s="32" t="n">
        <f aca="false">IF(AND(F54&gt;0,E54&gt;=Settings!$B$4),J54,"")</f>
        <v>0.0442477876106195</v>
      </c>
      <c r="AD54" s="60" t="n">
        <f aca="false">IF(X54="HIGH RATE",O54,"")</f>
        <v>3.15088942816152</v>
      </c>
    </row>
    <row r="55" customFormat="false" ht="15" hidden="false" customHeight="false" outlineLevel="0" collapsed="false">
      <c r="A55" s="56" t="s">
        <v>315</v>
      </c>
      <c r="B55" s="56" t="s">
        <v>925</v>
      </c>
      <c r="C55" s="56" t="s">
        <v>75</v>
      </c>
      <c r="D55" s="56" t="str">
        <f aca="false">IFERROR(INDEX('Brand Map'!$B$4:$B$124,MATCH(C55,'Brand Map'!$A$4:$A$124,0)),"Other")</f>
        <v>AURP</v>
      </c>
      <c r="E55" s="57" t="n">
        <v>1997</v>
      </c>
      <c r="F55" s="57" t="n">
        <v>104</v>
      </c>
      <c r="G55" s="58" t="n">
        <v>16633.89</v>
      </c>
      <c r="H55" s="58" t="n">
        <v>811.9</v>
      </c>
      <c r="I55" s="58" t="n">
        <v>15181.69</v>
      </c>
      <c r="J55" s="32" t="n">
        <f aca="false">IF(E55&gt;0,F55/E55,0)</f>
        <v>0.0520781171757637</v>
      </c>
      <c r="K55" s="32" t="n">
        <f aca="false">IF(G55&gt;0,H55/G55,0)</f>
        <v>0.0488099897257948</v>
      </c>
      <c r="L55" s="59" t="n">
        <f aca="false">H55/Settings!$B$16</f>
        <v>0.0016226036218975</v>
      </c>
      <c r="M55" s="59" t="n">
        <f aca="false">H55/Settings!$B$20</f>
        <v>6.30313695745169E-005</v>
      </c>
      <c r="N55" s="60" t="n">
        <f aca="false">E55*Settings!$B$3</f>
        <v>61.8793437064014</v>
      </c>
      <c r="O55" s="60" t="n">
        <f aca="false">IF(E55&gt;0,(F55-N55)/SQRT(E55*Settings!$B$3*(1-Settings!$B$3)),0)</f>
        <v>5.43947879429042</v>
      </c>
      <c r="P55" s="60" t="n">
        <f aca="false">MAX(0,F55-N55)</f>
        <v>42.1206562935986</v>
      </c>
      <c r="Q55" s="32" t="n">
        <f aca="false">(F55+Settings!$B$7*Settings!$B$3)/(E55+Settings!$B$7)</f>
        <v>0.0517659519153402</v>
      </c>
      <c r="R55" s="61" t="n">
        <f aca="false">PERCENTRANK($H$2:$H$1780,H55,6)</f>
        <v>0.933071</v>
      </c>
      <c r="S55" s="61" t="n">
        <f aca="false">PERCENTRANK($Q$2:$Q$1780,Q55,6)</f>
        <v>0.894263</v>
      </c>
      <c r="T55" s="61" t="n">
        <f aca="false">PERCENTRANK($F$2:$F$1780,F55,6)</f>
        <v>0.991564</v>
      </c>
      <c r="U55" s="62" t="n">
        <f aca="false">IF(F55&gt;0,(Settings!$B$8*T55+Settings!$B$9*R55+Settings!$B$10*S55)/SUM(Settings!$B$8:$B$10),0)</f>
        <v>0.939632666666667</v>
      </c>
      <c r="V55" s="56" t="n">
        <f aca="false">IF(U55&gt;0,RANK(U55,$U$2:$U$1780)+COUNTIF($U$2:U55,U55)-1,"")</f>
        <v>54</v>
      </c>
      <c r="W55" s="56" t="str">
        <f aca="false">IF(V55="","",IF(V55&lt;=Settings!$B$11,"1 - Fix first",IF(V55&lt;=Settings!$B$12,"2 - Review","3 - Monitor")))</f>
        <v>2 - Review</v>
      </c>
      <c r="X55" s="56" t="str">
        <f aca="false">IF(AND(E55&gt;=Settings!$B$4,F55&gt;=Settings!$B$5,O55&gt;=Settings!$B$6),"HIGH RATE","")</f>
        <v>HIGH RATE</v>
      </c>
      <c r="Y55" s="56" t="n">
        <f aca="false">IF(F55&gt;0,RANK(F55,$F$2:$F$1780)+COUNTIF($F$2:F55,F55)-1,"")</f>
        <v>16</v>
      </c>
      <c r="Z55" s="56" t="n">
        <f aca="false">IF(H55&gt;0,RANK(H55,$H$2:$H$1780)+COUNTIF($H$2:H55,H55)-1,"")</f>
        <v>120</v>
      </c>
      <c r="AA55" s="56" t="n">
        <f aca="false">IF(AC55="","",RANK(AC55,$AC$2:$AC$1780)+COUNTIF($AC$2:AC55,AC55)-1)</f>
        <v>113</v>
      </c>
      <c r="AB55" s="56" t="n">
        <f aca="false">IF(AD55="","",RANK(AD55,$AD$2:$AD$1780)+COUNTIF($AD$2:AD55,AD55)-1)</f>
        <v>16</v>
      </c>
      <c r="AC55" s="32" t="n">
        <f aca="false">IF(AND(F55&gt;0,E55&gt;=Settings!$B$4),J55,"")</f>
        <v>0.0520781171757637</v>
      </c>
      <c r="AD55" s="60" t="n">
        <f aca="false">IF(X55="HIGH RATE",O55,"")</f>
        <v>5.43947879429042</v>
      </c>
    </row>
    <row r="56" customFormat="false" ht="15" hidden="false" customHeight="false" outlineLevel="0" collapsed="false">
      <c r="A56" s="56" t="s">
        <v>294</v>
      </c>
      <c r="B56" s="56" t="s">
        <v>926</v>
      </c>
      <c r="C56" s="56" t="s">
        <v>71</v>
      </c>
      <c r="D56" s="56" t="str">
        <f aca="false">IFERROR(INDEX('Brand Map'!$B$4:$B$124,MATCH(C56,'Brand Map'!$A$4:$A$124,0)),"Other")</f>
        <v>GF</v>
      </c>
      <c r="E56" s="57" t="n">
        <v>26</v>
      </c>
      <c r="F56" s="57" t="n">
        <v>5</v>
      </c>
      <c r="G56" s="58" t="n">
        <v>4180.55</v>
      </c>
      <c r="H56" s="58" t="n">
        <v>751.83</v>
      </c>
      <c r="I56" s="58" t="n">
        <v>3079.78</v>
      </c>
      <c r="J56" s="32" t="n">
        <f aca="false">IF(E56&gt;0,F56/E56,0)</f>
        <v>0.192307692307692</v>
      </c>
      <c r="K56" s="32" t="n">
        <f aca="false">IF(G56&gt;0,H56/G56,0)</f>
        <v>0.179839973209267</v>
      </c>
      <c r="L56" s="59" t="n">
        <f aca="false">H56/Settings!$B$16</f>
        <v>0.00150255213825742</v>
      </c>
      <c r="M56" s="59" t="n">
        <f aca="false">H56/Settings!$B$20</f>
        <v>5.83678711506455E-005</v>
      </c>
      <c r="N56" s="60" t="n">
        <f aca="false">E56*Settings!$B$3</f>
        <v>0.805639928075331</v>
      </c>
      <c r="O56" s="60" t="n">
        <f aca="false">IF(E56&gt;0,(F56-N56)/SQRT(E56*Settings!$B$3*(1-Settings!$B$3)),0)</f>
        <v>4.74712018949791</v>
      </c>
      <c r="P56" s="60" t="n">
        <f aca="false">MAX(0,F56-N56)</f>
        <v>4.19436007192467</v>
      </c>
      <c r="Q56" s="32" t="n">
        <f aca="false">(F56+Settings!$B$7*Settings!$B$3)/(E56+Settings!$B$7)</f>
        <v>0.105885438078475</v>
      </c>
      <c r="R56" s="61" t="n">
        <f aca="false">PERCENTRANK($H$2:$H$1780,H56,6)</f>
        <v>0.928571</v>
      </c>
      <c r="S56" s="61" t="n">
        <f aca="false">PERCENTRANK($Q$2:$Q$1780,Q56,6)</f>
        <v>0.998875</v>
      </c>
      <c r="T56" s="61" t="n">
        <f aca="false">PERCENTRANK($F$2:$F$1780,F56,6)</f>
        <v>0.889764</v>
      </c>
      <c r="U56" s="62" t="n">
        <f aca="false">IF(F56&gt;0,(Settings!$B$8*T56+Settings!$B$9*R56+Settings!$B$10*S56)/SUM(Settings!$B$8:$B$10),0)</f>
        <v>0.93907</v>
      </c>
      <c r="V56" s="56" t="n">
        <f aca="false">IF(U56&gt;0,RANK(U56,$U$2:$U$1780)+COUNTIF($U$2:U56,U56)-1,"")</f>
        <v>55</v>
      </c>
      <c r="W56" s="56" t="str">
        <f aca="false">IF(V56="","",IF(V56&lt;=Settings!$B$11,"1 - Fix first",IF(V56&lt;=Settings!$B$12,"2 - Review","3 - Monitor")))</f>
        <v>2 - Review</v>
      </c>
      <c r="X56" s="56" t="str">
        <f aca="false">IF(AND(E56&gt;=Settings!$B$4,F56&gt;=Settings!$B$5,O56&gt;=Settings!$B$6),"HIGH RATE","")</f>
        <v/>
      </c>
      <c r="Y56" s="56" t="n">
        <f aca="false">IF(F56&gt;0,RANK(F56,$F$2:$F$1780)+COUNTIF($F$2:F56,F56)-1,"")</f>
        <v>183</v>
      </c>
      <c r="Z56" s="56" t="n">
        <f aca="false">IF(H56&gt;0,RANK(H56,$H$2:$H$1780)+COUNTIF($H$2:H56,H56)-1,"")</f>
        <v>128</v>
      </c>
      <c r="AA56" s="56" t="str">
        <f aca="false">IF(AC56="","",RANK(AC56,$AC$2:$AC$1780)+COUNTIF($AC$2:AC56,AC56)-1)</f>
        <v/>
      </c>
      <c r="AB56" s="56" t="str">
        <f aca="false">IF(AD56="","",RANK(AD56,$AD$2:$AD$1780)+COUNTIF($AD$2:AD56,AD56)-1)</f>
        <v/>
      </c>
      <c r="AC56" s="56" t="str">
        <f aca="false">IF(AND(F56&gt;0,E56&gt;=Settings!$B$4),J56,"")</f>
        <v/>
      </c>
      <c r="AD56" s="56" t="str">
        <f aca="false">IF(X56="HIGH RATE",O56,"")</f>
        <v/>
      </c>
    </row>
    <row r="57" customFormat="false" ht="15" hidden="false" customHeight="false" outlineLevel="0" collapsed="false">
      <c r="A57" s="56" t="s">
        <v>328</v>
      </c>
      <c r="B57" s="56" t="s">
        <v>546</v>
      </c>
      <c r="C57" s="56" t="s">
        <v>79</v>
      </c>
      <c r="D57" s="56" t="str">
        <f aca="false">IFERROR(INDEX('Brand Map'!$B$4:$B$124,MATCH(C57,'Brand Map'!$A$4:$A$124,0)),"Other")</f>
        <v>AUSMJ</v>
      </c>
      <c r="E57" s="57" t="n">
        <v>4959</v>
      </c>
      <c r="F57" s="57" t="n">
        <v>203</v>
      </c>
      <c r="G57" s="58" t="n">
        <v>350061</v>
      </c>
      <c r="H57" s="58" t="n">
        <v>13653.88</v>
      </c>
      <c r="I57" s="58" t="n">
        <v>315013.67</v>
      </c>
      <c r="J57" s="32" t="n">
        <f aca="false">IF(E57&gt;0,F57/E57,0)</f>
        <v>0.0409356725146199</v>
      </c>
      <c r="K57" s="32" t="n">
        <f aca="false">IF(G57&gt;0,H57/G57,0)</f>
        <v>0.0390042878241221</v>
      </c>
      <c r="L57" s="59" t="n">
        <f aca="false">H57/Settings!$B$16</f>
        <v>0.0272876402770709</v>
      </c>
      <c r="M57" s="59" t="n">
        <f aca="false">H57/Settings!$B$20</f>
        <v>0.00106001078507957</v>
      </c>
      <c r="N57" s="60" t="n">
        <f aca="false">E57*Settings!$B$3</f>
        <v>153.660323204829</v>
      </c>
      <c r="O57" s="60" t="n">
        <f aca="false">IF(E57&gt;0,(F57-N57)/SQRT(E57*Settings!$B$3*(1-Settings!$B$3)),0)</f>
        <v>4.04343473102185</v>
      </c>
      <c r="P57" s="60" t="n">
        <f aca="false">MAX(0,F57-N57)</f>
        <v>49.3396767951706</v>
      </c>
      <c r="Q57" s="32" t="n">
        <f aca="false">(F57+Settings!$B$7*Settings!$B$3)/(E57+Settings!$B$7)</f>
        <v>0.040875843762757</v>
      </c>
      <c r="R57" s="61" t="n">
        <f aca="false">PERCENTRANK($H$2:$H$1780,H57,6)</f>
        <v>0.998313</v>
      </c>
      <c r="S57" s="61" t="n">
        <f aca="false">PERCENTRANK($Q$2:$Q$1780,Q57,6)</f>
        <v>0.817773</v>
      </c>
      <c r="T57" s="61" t="n">
        <f aca="false">PERCENTRANK($F$2:$F$1780,F57,6)</f>
        <v>0.997188</v>
      </c>
      <c r="U57" s="62" t="n">
        <f aca="false">IF(F57&gt;0,(Settings!$B$8*T57+Settings!$B$9*R57+Settings!$B$10*S57)/SUM(Settings!$B$8:$B$10),0)</f>
        <v>0.937758</v>
      </c>
      <c r="V57" s="56" t="n">
        <f aca="false">IF(U57&gt;0,RANK(U57,$U$2:$U$1780)+COUNTIF($U$2:U57,U57)-1,"")</f>
        <v>56</v>
      </c>
      <c r="W57" s="56" t="str">
        <f aca="false">IF(V57="","",IF(V57&lt;=Settings!$B$11,"1 - Fix first",IF(V57&lt;=Settings!$B$12,"2 - Review","3 - Monitor")))</f>
        <v>2 - Review</v>
      </c>
      <c r="X57" s="56" t="str">
        <f aca="false">IF(AND(E57&gt;=Settings!$B$4,F57&gt;=Settings!$B$5,O57&gt;=Settings!$B$6),"HIGH RATE","")</f>
        <v>HIGH RATE</v>
      </c>
      <c r="Y57" s="56" t="n">
        <f aca="false">IF(F57&gt;0,RANK(F57,$F$2:$F$1780)+COUNTIF($F$2:F57,F57)-1,"")</f>
        <v>6</v>
      </c>
      <c r="Z57" s="56" t="n">
        <f aca="false">IF(H57&gt;0,RANK(H57,$H$2:$H$1780)+COUNTIF($H$2:H57,H57)-1,"")</f>
        <v>4</v>
      </c>
      <c r="AA57" s="56" t="n">
        <f aca="false">IF(AC57="","",RANK(AC57,$AC$2:$AC$1780)+COUNTIF($AC$2:AC57,AC57)-1)</f>
        <v>191</v>
      </c>
      <c r="AB57" s="56" t="n">
        <f aca="false">IF(AD57="","",RANK(AD57,$AD$2:$AD$1780)+COUNTIF($AD$2:AD57,AD57)-1)</f>
        <v>40</v>
      </c>
      <c r="AC57" s="32" t="n">
        <f aca="false">IF(AND(F57&gt;0,E57&gt;=Settings!$B$4),J57,"")</f>
        <v>0.0409356725146199</v>
      </c>
      <c r="AD57" s="60" t="n">
        <f aca="false">IF(X57="HIGH RATE",O57,"")</f>
        <v>4.04343473102185</v>
      </c>
    </row>
    <row r="58" customFormat="false" ht="15" hidden="false" customHeight="false" outlineLevel="0" collapsed="false">
      <c r="A58" s="56" t="s">
        <v>927</v>
      </c>
      <c r="B58" s="56" t="s">
        <v>928</v>
      </c>
      <c r="C58" s="56" t="s">
        <v>51</v>
      </c>
      <c r="D58" s="56" t="str">
        <f aca="false">IFERROR(INDEX('Brand Map'!$B$4:$B$124,MATCH(C58,'Brand Map'!$A$4:$A$124,0)),"Other")</f>
        <v>AU</v>
      </c>
      <c r="E58" s="57" t="n">
        <v>189</v>
      </c>
      <c r="F58" s="57" t="n">
        <v>12</v>
      </c>
      <c r="G58" s="58" t="n">
        <v>16889.27</v>
      </c>
      <c r="H58" s="58" t="n">
        <v>962.48</v>
      </c>
      <c r="I58" s="58" t="n">
        <v>15431.18</v>
      </c>
      <c r="J58" s="32" t="n">
        <f aca="false">IF(E58&gt;0,F58/E58,0)</f>
        <v>0.0634920634920635</v>
      </c>
      <c r="K58" s="32" t="n">
        <f aca="false">IF(G58&gt;0,H58/G58,0)</f>
        <v>0.0569876613968514</v>
      </c>
      <c r="L58" s="59" t="n">
        <f aca="false">H58/Settings!$B$16</f>
        <v>0.00192354173420853</v>
      </c>
      <c r="M58" s="59" t="n">
        <f aca="false">H58/Settings!$B$20</f>
        <v>7.47215575663026E-005</v>
      </c>
      <c r="N58" s="60" t="n">
        <f aca="false">E58*Settings!$B$3</f>
        <v>5.85638255408606</v>
      </c>
      <c r="O58" s="60" t="n">
        <f aca="false">IF(E58&gt;0,(F58-N58)/SQRT(E58*Settings!$B$3*(1-Settings!$B$3)),0)</f>
        <v>2.57895909548668</v>
      </c>
      <c r="P58" s="60" t="n">
        <f aca="false">MAX(0,F58-N58)</f>
        <v>6.14361744591394</v>
      </c>
      <c r="Q58" s="32" t="n">
        <f aca="false">(F58+Settings!$B$7*Settings!$B$3)/(E58+Settings!$B$7)</f>
        <v>0.0590391987780576</v>
      </c>
      <c r="R58" s="61" t="n">
        <f aca="false">PERCENTRANK($H$2:$H$1780,H58,6)</f>
        <v>0.93982</v>
      </c>
      <c r="S58" s="61" t="n">
        <f aca="false">PERCENTRANK($Q$2:$Q$1780,Q58,6)</f>
        <v>0.94207</v>
      </c>
      <c r="T58" s="61" t="n">
        <f aca="false">PERCENTRANK($F$2:$F$1780,F58,6)</f>
        <v>0.930259</v>
      </c>
      <c r="U58" s="62" t="n">
        <f aca="false">IF(F58&gt;0,(Settings!$B$8*T58+Settings!$B$9*R58+Settings!$B$10*S58)/SUM(Settings!$B$8:$B$10),0)</f>
        <v>0.937383</v>
      </c>
      <c r="V58" s="56" t="n">
        <f aca="false">IF(U58&gt;0,RANK(U58,$U$2:$U$1780)+COUNTIF($U$2:U58,U58)-1,"")</f>
        <v>57</v>
      </c>
      <c r="W58" s="56" t="str">
        <f aca="false">IF(V58="","",IF(V58&lt;=Settings!$B$11,"1 - Fix first",IF(V58&lt;=Settings!$B$12,"2 - Review","3 - Monitor")))</f>
        <v>2 - Review</v>
      </c>
      <c r="X58" s="56" t="str">
        <f aca="false">IF(AND(E58&gt;=Settings!$B$4,F58&gt;=Settings!$B$5,O58&gt;=Settings!$B$6),"HIGH RATE","")</f>
        <v/>
      </c>
      <c r="Y58" s="56" t="n">
        <f aca="false">IF(F58&gt;0,RANK(F58,$F$2:$F$1780)+COUNTIF($F$2:F58,F58)-1,"")</f>
        <v>121</v>
      </c>
      <c r="Z58" s="56" t="n">
        <f aca="false">IF(H58&gt;0,RANK(H58,$H$2:$H$1780)+COUNTIF($H$2:H58,H58)-1,"")</f>
        <v>108</v>
      </c>
      <c r="AA58" s="56" t="n">
        <f aca="false">IF(AC58="","",RANK(AC58,$AC$2:$AC$1780)+COUNTIF($AC$2:AC58,AC58)-1)</f>
        <v>57</v>
      </c>
      <c r="AB58" s="56" t="str">
        <f aca="false">IF(AD58="","",RANK(AD58,$AD$2:$AD$1780)+COUNTIF($AD$2:AD58,AD58)-1)</f>
        <v/>
      </c>
      <c r="AC58" s="32" t="n">
        <f aca="false">IF(AND(F58&gt;0,E58&gt;=Settings!$B$4),J58,"")</f>
        <v>0.0634920634920635</v>
      </c>
      <c r="AD58" s="56" t="str">
        <f aca="false">IF(X58="HIGH RATE",O58,"")</f>
        <v/>
      </c>
    </row>
    <row r="59" customFormat="false" ht="15" hidden="false" customHeight="false" outlineLevel="0" collapsed="false">
      <c r="A59" s="56" t="s">
        <v>314</v>
      </c>
      <c r="B59" s="56" t="s">
        <v>929</v>
      </c>
      <c r="C59" s="56" t="s">
        <v>75</v>
      </c>
      <c r="D59" s="56" t="str">
        <f aca="false">IFERROR(INDEX('Brand Map'!$B$4:$B$124,MATCH(C59,'Brand Map'!$A$4:$A$124,0)),"Other")</f>
        <v>AURP</v>
      </c>
      <c r="E59" s="57" t="n">
        <v>1815</v>
      </c>
      <c r="F59" s="57" t="n">
        <v>93</v>
      </c>
      <c r="G59" s="58" t="n">
        <v>17215.2</v>
      </c>
      <c r="H59" s="58" t="n">
        <v>820.3</v>
      </c>
      <c r="I59" s="58" t="n">
        <v>15783.44</v>
      </c>
      <c r="J59" s="32" t="n">
        <f aca="false">IF(E59&gt;0,F59/E59,0)</f>
        <v>0.0512396694214876</v>
      </c>
      <c r="K59" s="32" t="n">
        <f aca="false">IF(G59&gt;0,H59/G59,0)</f>
        <v>0.0476497513824992</v>
      </c>
      <c r="L59" s="59" t="n">
        <f aca="false">H59/Settings!$B$16</f>
        <v>0.00163939124404794</v>
      </c>
      <c r="M59" s="59" t="n">
        <f aca="false">H59/Settings!$B$20</f>
        <v>6.36834985367363E-005</v>
      </c>
      <c r="N59" s="60" t="n">
        <f aca="false">E59*Settings!$B$3</f>
        <v>56.2398642098741</v>
      </c>
      <c r="O59" s="60" t="n">
        <f aca="false">IF(E59&gt;0,(F59-N59)/SQRT(E59*Settings!$B$3*(1-Settings!$B$3)),0)</f>
        <v>4.97954869055928</v>
      </c>
      <c r="P59" s="60" t="n">
        <f aca="false">MAX(0,F59-N59)</f>
        <v>36.7601357901259</v>
      </c>
      <c r="Q59" s="32" t="n">
        <f aca="false">(F59+Settings!$B$7*Settings!$B$3)/(E59+Settings!$B$7)</f>
        <v>0.0509103439199971</v>
      </c>
      <c r="R59" s="61" t="n">
        <f aca="false">PERCENTRANK($H$2:$H$1780,H59,6)</f>
        <v>0.933633</v>
      </c>
      <c r="S59" s="61" t="n">
        <f aca="false">PERCENTRANK($Q$2:$Q$1780,Q59,6)</f>
        <v>0.888639</v>
      </c>
      <c r="T59" s="61" t="n">
        <f aca="false">PERCENTRANK($F$2:$F$1780,F59,6)</f>
        <v>0.989314</v>
      </c>
      <c r="U59" s="62" t="n">
        <f aca="false">IF(F59&gt;0,(Settings!$B$8*T59+Settings!$B$9*R59+Settings!$B$10*S59)/SUM(Settings!$B$8:$B$10),0)</f>
        <v>0.937195333333333</v>
      </c>
      <c r="V59" s="56" t="n">
        <f aca="false">IF(U59&gt;0,RANK(U59,$U$2:$U$1780)+COUNTIF($U$2:U59,U59)-1,"")</f>
        <v>58</v>
      </c>
      <c r="W59" s="56" t="str">
        <f aca="false">IF(V59="","",IF(V59&lt;=Settings!$B$11,"1 - Fix first",IF(V59&lt;=Settings!$B$12,"2 - Review","3 - Monitor")))</f>
        <v>2 - Review</v>
      </c>
      <c r="X59" s="56" t="str">
        <f aca="false">IF(AND(E59&gt;=Settings!$B$4,F59&gt;=Settings!$B$5,O59&gt;=Settings!$B$6),"HIGH RATE","")</f>
        <v>HIGH RATE</v>
      </c>
      <c r="Y59" s="56" t="n">
        <f aca="false">IF(F59&gt;0,RANK(F59,$F$2:$F$1780)+COUNTIF($F$2:F59,F59)-1,"")</f>
        <v>20</v>
      </c>
      <c r="Z59" s="56" t="n">
        <f aca="false">IF(H59&gt;0,RANK(H59,$H$2:$H$1780)+COUNTIF($H$2:H59,H59)-1,"")</f>
        <v>119</v>
      </c>
      <c r="AA59" s="56" t="n">
        <f aca="false">IF(AC59="","",RANK(AC59,$AC$2:$AC$1780)+COUNTIF($AC$2:AC59,AC59)-1)</f>
        <v>117</v>
      </c>
      <c r="AB59" s="56" t="n">
        <f aca="false">IF(AD59="","",RANK(AD59,$AD$2:$AD$1780)+COUNTIF($AD$2:AD59,AD59)-1)</f>
        <v>19</v>
      </c>
      <c r="AC59" s="32" t="n">
        <f aca="false">IF(AND(F59&gt;0,E59&gt;=Settings!$B$4),J59,"")</f>
        <v>0.0512396694214876</v>
      </c>
      <c r="AD59" s="60" t="n">
        <f aca="false">IF(X59="HIGH RATE",O59,"")</f>
        <v>4.97954869055928</v>
      </c>
    </row>
    <row r="60" customFormat="false" ht="15" hidden="false" customHeight="false" outlineLevel="0" collapsed="false">
      <c r="A60" s="56" t="s">
        <v>551</v>
      </c>
      <c r="B60" s="56" t="s">
        <v>552</v>
      </c>
      <c r="C60" s="56" t="s">
        <v>87</v>
      </c>
      <c r="D60" s="56" t="str">
        <f aca="false">IFERROR(INDEX('Brand Map'!$B$4:$B$124,MATCH(C60,'Brand Map'!$A$4:$A$124,0)),"Other")</f>
        <v>FYF</v>
      </c>
      <c r="E60" s="57" t="n">
        <v>166</v>
      </c>
      <c r="F60" s="57" t="n">
        <v>11</v>
      </c>
      <c r="G60" s="58" t="n">
        <v>11611.7</v>
      </c>
      <c r="H60" s="58" t="n">
        <v>769.45</v>
      </c>
      <c r="I60" s="58" t="n">
        <v>10842.25</v>
      </c>
      <c r="J60" s="32" t="n">
        <f aca="false">IF(E60&gt;0,F60/E60,0)</f>
        <v>0.0662650602409639</v>
      </c>
      <c r="K60" s="32" t="n">
        <f aca="false">IF(G60&gt;0,H60/G60,0)</f>
        <v>0.0662650602409639</v>
      </c>
      <c r="L60" s="59" t="n">
        <f aca="false">H60/Settings!$B$16</f>
        <v>0.00153776617424441</v>
      </c>
      <c r="M60" s="59" t="n">
        <f aca="false">H60/Settings!$B$20</f>
        <v>5.9735789283301E-005</v>
      </c>
      <c r="N60" s="60" t="n">
        <f aca="false">E60*Settings!$B$3</f>
        <v>5.14370107925019</v>
      </c>
      <c r="O60" s="60" t="n">
        <f aca="false">IF(E60&gt;0,(F60-N60)/SQRT(E60*Settings!$B$3*(1-Settings!$B$3)),0)</f>
        <v>2.6231334352781</v>
      </c>
      <c r="P60" s="60" t="n">
        <f aca="false">MAX(0,F60-N60)</f>
        <v>5.85629892074981</v>
      </c>
      <c r="Q60" s="32" t="n">
        <f aca="false">(F60+Settings!$B$7*Settings!$B$3)/(E60+Settings!$B$7)</f>
        <v>0.060865227206095</v>
      </c>
      <c r="R60" s="61" t="n">
        <f aca="false">PERCENTRANK($H$2:$H$1780,H60,6)</f>
        <v>0.930259</v>
      </c>
      <c r="S60" s="61" t="n">
        <f aca="false">PERCENTRANK($Q$2:$Q$1780,Q60,6)</f>
        <v>0.952193</v>
      </c>
      <c r="T60" s="61" t="n">
        <f aca="false">PERCENTRANK($F$2:$F$1780,F60,6)</f>
        <v>0.925759</v>
      </c>
      <c r="U60" s="62" t="n">
        <f aca="false">IF(F60&gt;0,(Settings!$B$8*T60+Settings!$B$9*R60+Settings!$B$10*S60)/SUM(Settings!$B$8:$B$10),0)</f>
        <v>0.936070333333333</v>
      </c>
      <c r="V60" s="56" t="n">
        <f aca="false">IF(U60&gt;0,RANK(U60,$U$2:$U$1780)+COUNTIF($U$2:U60,U60)-1,"")</f>
        <v>59</v>
      </c>
      <c r="W60" s="56" t="str">
        <f aca="false">IF(V60="","",IF(V60&lt;=Settings!$B$11,"1 - Fix first",IF(V60&lt;=Settings!$B$12,"2 - Review","3 - Monitor")))</f>
        <v>2 - Review</v>
      </c>
      <c r="X60" s="56" t="str">
        <f aca="false">IF(AND(E60&gt;=Settings!$B$4,F60&gt;=Settings!$B$5,O60&gt;=Settings!$B$6),"HIGH RATE","")</f>
        <v/>
      </c>
      <c r="Y60" s="56" t="n">
        <f aca="false">IF(F60&gt;0,RANK(F60,$F$2:$F$1780)+COUNTIF($F$2:F60,F60)-1,"")</f>
        <v>127</v>
      </c>
      <c r="Z60" s="56" t="n">
        <f aca="false">IF(H60&gt;0,RANK(H60,$H$2:$H$1780)+COUNTIF($H$2:H60,H60)-1,"")</f>
        <v>125</v>
      </c>
      <c r="AA60" s="56" t="n">
        <f aca="false">IF(AC60="","",RANK(AC60,$AC$2:$AC$1780)+COUNTIF($AC$2:AC60,AC60)-1)</f>
        <v>51</v>
      </c>
      <c r="AB60" s="56" t="str">
        <f aca="false">IF(AD60="","",RANK(AD60,$AD$2:$AD$1780)+COUNTIF($AD$2:AD60,AD60)-1)</f>
        <v/>
      </c>
      <c r="AC60" s="32" t="n">
        <f aca="false">IF(AND(F60&gt;0,E60&gt;=Settings!$B$4),J60,"")</f>
        <v>0.0662650602409639</v>
      </c>
      <c r="AD60" s="56" t="str">
        <f aca="false">IF(X60="HIGH RATE",O60,"")</f>
        <v/>
      </c>
    </row>
    <row r="61" customFormat="false" ht="15" hidden="false" customHeight="false" outlineLevel="0" collapsed="false">
      <c r="A61" s="56" t="s">
        <v>209</v>
      </c>
      <c r="B61" s="56" t="s">
        <v>930</v>
      </c>
      <c r="C61" s="56" t="s">
        <v>51</v>
      </c>
      <c r="D61" s="56" t="str">
        <f aca="false">IFERROR(INDEX('Brand Map'!$B$4:$B$124,MATCH(C61,'Brand Map'!$A$4:$A$124,0)),"Other")</f>
        <v>AU</v>
      </c>
      <c r="E61" s="57" t="n">
        <v>495</v>
      </c>
      <c r="F61" s="57" t="n">
        <v>24</v>
      </c>
      <c r="G61" s="58" t="n">
        <v>69405.03</v>
      </c>
      <c r="H61" s="58" t="n">
        <v>3157.91</v>
      </c>
      <c r="I61" s="58" t="n">
        <v>63754.56</v>
      </c>
      <c r="J61" s="32" t="n">
        <f aca="false">IF(E61&gt;0,F61/E61,0)</f>
        <v>0.0484848484848485</v>
      </c>
      <c r="K61" s="32" t="n">
        <f aca="false">IF(G61&gt;0,H61/G61,0)</f>
        <v>0.0454997281897292</v>
      </c>
      <c r="L61" s="59" t="n">
        <f aca="false">H61/Settings!$B$16</f>
        <v>0.00631116665060518</v>
      </c>
      <c r="M61" s="59" t="n">
        <f aca="false">H61/Settings!$B$20</f>
        <v>0.00024516244893837</v>
      </c>
      <c r="N61" s="60" t="n">
        <f aca="false">E61*Settings!$B$3</f>
        <v>15.3381447845111</v>
      </c>
      <c r="O61" s="60" t="n">
        <f aca="false">IF(E61&gt;0,(F61-N61)/SQRT(E61*Settings!$B$3*(1-Settings!$B$3)),0)</f>
        <v>2.24677463205373</v>
      </c>
      <c r="P61" s="60" t="n">
        <f aca="false">MAX(0,F61-N61)</f>
        <v>8.66185521548889</v>
      </c>
      <c r="Q61" s="32" t="n">
        <f aca="false">(F61+Settings!$B$7*Settings!$B$3)/(E61+Settings!$B$7)</f>
        <v>0.0474849229188469</v>
      </c>
      <c r="R61" s="61" t="n">
        <f aca="false">PERCENTRANK($H$2:$H$1780,H61,6)</f>
        <v>0.97919</v>
      </c>
      <c r="S61" s="61" t="n">
        <f aca="false">PERCENTRANK($Q$2:$Q$1780,Q61,6)</f>
        <v>0.870641</v>
      </c>
      <c r="T61" s="61" t="n">
        <f aca="false">PERCENTRANK($F$2:$F$1780,F61,6)</f>
        <v>0.95613</v>
      </c>
      <c r="U61" s="62" t="n">
        <f aca="false">IF(F61&gt;0,(Settings!$B$8*T61+Settings!$B$9*R61+Settings!$B$10*S61)/SUM(Settings!$B$8:$B$10),0)</f>
        <v>0.935320333333333</v>
      </c>
      <c r="V61" s="56" t="n">
        <f aca="false">IF(U61&gt;0,RANK(U61,$U$2:$U$1780)+COUNTIF($U$2:U61,U61)-1,"")</f>
        <v>60</v>
      </c>
      <c r="W61" s="56" t="str">
        <f aca="false">IF(V61="","",IF(V61&lt;=Settings!$B$11,"1 - Fix first",IF(V61&lt;=Settings!$B$12,"2 - Review","3 - Monitor")))</f>
        <v>2 - Review</v>
      </c>
      <c r="X61" s="56" t="str">
        <f aca="false">IF(AND(E61&gt;=Settings!$B$4,F61&gt;=Settings!$B$5,O61&gt;=Settings!$B$6),"HIGH RATE","")</f>
        <v/>
      </c>
      <c r="Y61" s="56" t="n">
        <f aca="false">IF(F61&gt;0,RANK(F61,$F$2:$F$1780)+COUNTIF($F$2:F61,F61)-1,"")</f>
        <v>76</v>
      </c>
      <c r="Z61" s="56" t="n">
        <f aca="false">IF(H61&gt;0,RANK(H61,$H$2:$H$1780)+COUNTIF($H$2:H61,H61)-1,"")</f>
        <v>38</v>
      </c>
      <c r="AA61" s="56" t="n">
        <f aca="false">IF(AC61="","",RANK(AC61,$AC$2:$AC$1780)+COUNTIF($AC$2:AC61,AC61)-1)</f>
        <v>134</v>
      </c>
      <c r="AB61" s="56" t="str">
        <f aca="false">IF(AD61="","",RANK(AD61,$AD$2:$AD$1780)+COUNTIF($AD$2:AD61,AD61)-1)</f>
        <v/>
      </c>
      <c r="AC61" s="32" t="n">
        <f aca="false">IF(AND(F61&gt;0,E61&gt;=Settings!$B$4),J61,"")</f>
        <v>0.0484848484848485</v>
      </c>
      <c r="AD61" s="56" t="str">
        <f aca="false">IF(X61="HIGH RATE",O61,"")</f>
        <v/>
      </c>
    </row>
    <row r="62" customFormat="false" ht="15" hidden="false" customHeight="false" outlineLevel="0" collapsed="false">
      <c r="A62" s="56" t="s">
        <v>230</v>
      </c>
      <c r="B62" s="56" t="s">
        <v>931</v>
      </c>
      <c r="C62" s="56" t="s">
        <v>55</v>
      </c>
      <c r="D62" s="56" t="str">
        <f aca="false">IFERROR(INDEX('Brand Map'!$B$4:$B$124,MATCH(C62,'Brand Map'!$A$4:$A$124,0)),"Other")</f>
        <v>AUMJ</v>
      </c>
      <c r="E62" s="57" t="n">
        <v>554</v>
      </c>
      <c r="F62" s="57" t="n">
        <v>27</v>
      </c>
      <c r="G62" s="58" t="n">
        <v>53705.29</v>
      </c>
      <c r="H62" s="58" t="n">
        <v>2469.52</v>
      </c>
      <c r="I62" s="58" t="n">
        <v>49225.19</v>
      </c>
      <c r="J62" s="32" t="n">
        <f aca="false">IF(E62&gt;0,F62/E62,0)</f>
        <v>0.0487364620938628</v>
      </c>
      <c r="K62" s="32" t="n">
        <f aca="false">IF(G62&gt;0,H62/G62,0)</f>
        <v>0.0459828072802512</v>
      </c>
      <c r="L62" s="59" t="n">
        <f aca="false">H62/Settings!$B$16</f>
        <v>0.00493540103011248</v>
      </c>
      <c r="M62" s="59" t="n">
        <f aca="false">H62/Settings!$B$20</f>
        <v>0.000191719704140487</v>
      </c>
      <c r="N62" s="60" t="n">
        <f aca="false">E62*Settings!$B$3</f>
        <v>17.1663276982205</v>
      </c>
      <c r="O62" s="60" t="n">
        <f aca="false">IF(E62&gt;0,(F62-N62)/SQRT(E62*Settings!$B$3*(1-Settings!$B$3)),0)</f>
        <v>2.41108233061123</v>
      </c>
      <c r="P62" s="60" t="n">
        <f aca="false">MAX(0,F62-N62)</f>
        <v>9.83367230177949</v>
      </c>
      <c r="Q62" s="32" t="n">
        <f aca="false">(F62+Settings!$B$7*Settings!$B$3)/(E62+Settings!$B$7)</f>
        <v>0.0478246310486209</v>
      </c>
      <c r="R62" s="61" t="n">
        <f aca="false">PERCENTRANK($H$2:$H$1780,H62,6)</f>
        <v>0.973003</v>
      </c>
      <c r="S62" s="61" t="n">
        <f aca="false">PERCENTRANK($Q$2:$Q$1780,Q62,6)</f>
        <v>0.871766</v>
      </c>
      <c r="T62" s="61" t="n">
        <f aca="false">PERCENTRANK($F$2:$F$1780,F62,6)</f>
        <v>0.96063</v>
      </c>
      <c r="U62" s="62" t="n">
        <f aca="false">IF(F62&gt;0,(Settings!$B$8*T62+Settings!$B$9*R62+Settings!$B$10*S62)/SUM(Settings!$B$8:$B$10),0)</f>
        <v>0.935133</v>
      </c>
      <c r="V62" s="56" t="n">
        <f aca="false">IF(U62&gt;0,RANK(U62,$U$2:$U$1780)+COUNTIF($U$2:U62,U62)-1,"")</f>
        <v>61</v>
      </c>
      <c r="W62" s="56" t="str">
        <f aca="false">IF(V62="","",IF(V62&lt;=Settings!$B$11,"1 - Fix first",IF(V62&lt;=Settings!$B$12,"2 - Review","3 - Monitor")))</f>
        <v>2 - Review</v>
      </c>
      <c r="X62" s="56" t="str">
        <f aca="false">IF(AND(E62&gt;=Settings!$B$4,F62&gt;=Settings!$B$5,O62&gt;=Settings!$B$6),"HIGH RATE","")</f>
        <v/>
      </c>
      <c r="Y62" s="56" t="n">
        <f aca="false">IF(F62&gt;0,RANK(F62,$F$2:$F$1780)+COUNTIF($F$2:F62,F62)-1,"")</f>
        <v>70</v>
      </c>
      <c r="Z62" s="56" t="n">
        <f aca="false">IF(H62&gt;0,RANK(H62,$H$2:$H$1780)+COUNTIF($H$2:H62,H62)-1,"")</f>
        <v>49</v>
      </c>
      <c r="AA62" s="56" t="n">
        <f aca="false">IF(AC62="","",RANK(AC62,$AC$2:$AC$1780)+COUNTIF($AC$2:AC62,AC62)-1)</f>
        <v>133</v>
      </c>
      <c r="AB62" s="56" t="str">
        <f aca="false">IF(AD62="","",RANK(AD62,$AD$2:$AD$1780)+COUNTIF($AD$2:AD62,AD62)-1)</f>
        <v/>
      </c>
      <c r="AC62" s="32" t="n">
        <f aca="false">IF(AND(F62&gt;0,E62&gt;=Settings!$B$4),J62,"")</f>
        <v>0.0487364620938628</v>
      </c>
      <c r="AD62" s="56" t="str">
        <f aca="false">IF(X62="HIGH RATE",O62,"")</f>
        <v/>
      </c>
    </row>
    <row r="63" customFormat="false" ht="15" hidden="false" customHeight="false" outlineLevel="0" collapsed="false">
      <c r="A63" s="56" t="s">
        <v>295</v>
      </c>
      <c r="B63" s="56" t="s">
        <v>932</v>
      </c>
      <c r="C63" s="56" t="s">
        <v>71</v>
      </c>
      <c r="D63" s="56" t="str">
        <f aca="false">IFERROR(INDEX('Brand Map'!$B$4:$B$124,MATCH(C63,'Brand Map'!$A$4:$A$124,0)),"Other")</f>
        <v>GF</v>
      </c>
      <c r="E63" s="57" t="n">
        <v>77</v>
      </c>
      <c r="F63" s="57" t="n">
        <v>9</v>
      </c>
      <c r="G63" s="58" t="n">
        <v>3760.86</v>
      </c>
      <c r="H63" s="58" t="n">
        <v>417.6</v>
      </c>
      <c r="I63" s="58" t="n">
        <v>3083.67</v>
      </c>
      <c r="J63" s="32" t="n">
        <f aca="false">IF(E63&gt;0,F63/E63,0)</f>
        <v>0.116883116883117</v>
      </c>
      <c r="K63" s="32" t="n">
        <f aca="false">IF(G63&gt;0,H63/G63,0)</f>
        <v>0.111038432698904</v>
      </c>
      <c r="L63" s="59" t="n">
        <f aca="false">H63/Settings!$B$16</f>
        <v>0.000834584644050249</v>
      </c>
      <c r="M63" s="59" t="n">
        <f aca="false">H63/Settings!$B$20</f>
        <v>3.24201255503366E-005</v>
      </c>
      <c r="N63" s="60" t="n">
        <f aca="false">E63*Settings!$B$3</f>
        <v>2.38593363314617</v>
      </c>
      <c r="O63" s="60" t="n">
        <f aca="false">IF(E63&gt;0,(F63-N63)/SQRT(E63*Settings!$B$3*(1-Settings!$B$3)),0)</f>
        <v>4.34985095950228</v>
      </c>
      <c r="P63" s="60" t="n">
        <f aca="false">MAX(0,F63-N63)</f>
        <v>6.61406636685383</v>
      </c>
      <c r="Q63" s="32" t="n">
        <f aca="false">(F63+Settings!$B$7*Settings!$B$3)/(E63+Settings!$B$7)</f>
        <v>0.0927998554429403</v>
      </c>
      <c r="R63" s="61" t="n">
        <f aca="false">PERCENTRANK($H$2:$H$1780,H63,6)</f>
        <v>0.892576</v>
      </c>
      <c r="S63" s="61" t="n">
        <f aca="false">PERCENTRANK($Q$2:$Q$1780,Q63,6)</f>
        <v>0.994938</v>
      </c>
      <c r="T63" s="61" t="n">
        <f aca="false">PERCENTRANK($F$2:$F$1780,F63,6)</f>
        <v>0.917323</v>
      </c>
      <c r="U63" s="62" t="n">
        <f aca="false">IF(F63&gt;0,(Settings!$B$8*T63+Settings!$B$9*R63+Settings!$B$10*S63)/SUM(Settings!$B$8:$B$10),0)</f>
        <v>0.934945666666667</v>
      </c>
      <c r="V63" s="56" t="n">
        <f aca="false">IF(U63&gt;0,RANK(U63,$U$2:$U$1780)+COUNTIF($U$2:U63,U63)-1,"")</f>
        <v>62</v>
      </c>
      <c r="W63" s="56" t="str">
        <f aca="false">IF(V63="","",IF(V63&lt;=Settings!$B$11,"1 - Fix first",IF(V63&lt;=Settings!$B$12,"2 - Review","3 - Monitor")))</f>
        <v>2 - Review</v>
      </c>
      <c r="X63" s="56" t="str">
        <f aca="false">IF(AND(E63&gt;=Settings!$B$4,F63&gt;=Settings!$B$5,O63&gt;=Settings!$B$6),"HIGH RATE","")</f>
        <v>HIGH RATE</v>
      </c>
      <c r="Y63" s="56" t="n">
        <f aca="false">IF(F63&gt;0,RANK(F63,$F$2:$F$1780)+COUNTIF($F$2:F63,F63)-1,"")</f>
        <v>139</v>
      </c>
      <c r="Z63" s="56" t="n">
        <f aca="false">IF(H63&gt;0,RANK(H63,$H$2:$H$1780)+COUNTIF($H$2:H63,H63)-1,"")</f>
        <v>192</v>
      </c>
      <c r="AA63" s="56" t="n">
        <f aca="false">IF(AC63="","",RANK(AC63,$AC$2:$AC$1780)+COUNTIF($AC$2:AC63,AC63)-1)</f>
        <v>8</v>
      </c>
      <c r="AB63" s="56" t="n">
        <f aca="false">IF(AD63="","",RANK(AD63,$AD$2:$AD$1780)+COUNTIF($AD$2:AD63,AD63)-1)</f>
        <v>35</v>
      </c>
      <c r="AC63" s="32" t="n">
        <f aca="false">IF(AND(F63&gt;0,E63&gt;=Settings!$B$4),J63,"")</f>
        <v>0.116883116883117</v>
      </c>
      <c r="AD63" s="60" t="n">
        <f aca="false">IF(X63="HIGH RATE",O63,"")</f>
        <v>4.34985095950228</v>
      </c>
    </row>
    <row r="64" customFormat="false" ht="15" hidden="false" customHeight="false" outlineLevel="0" collapsed="false">
      <c r="A64" s="56" t="s">
        <v>933</v>
      </c>
      <c r="B64" s="56" t="s">
        <v>934</v>
      </c>
      <c r="C64" s="56" t="s">
        <v>51</v>
      </c>
      <c r="D64" s="56" t="str">
        <f aca="false">IFERROR(INDEX('Brand Map'!$B$4:$B$124,MATCH(C64,'Brand Map'!$A$4:$A$124,0)),"Other")</f>
        <v>AU</v>
      </c>
      <c r="E64" s="57" t="n">
        <v>29</v>
      </c>
      <c r="F64" s="57" t="n">
        <v>4</v>
      </c>
      <c r="G64" s="58" t="n">
        <v>7145.26</v>
      </c>
      <c r="H64" s="58" t="n">
        <v>1017.55</v>
      </c>
      <c r="I64" s="58" t="n">
        <v>6041.83</v>
      </c>
      <c r="J64" s="32" t="n">
        <f aca="false">IF(E64&gt;0,F64/E64,0)</f>
        <v>0.137931034482759</v>
      </c>
      <c r="K64" s="32" t="n">
        <f aca="false">IF(G64&gt;0,H64/G64,0)</f>
        <v>0.142409093580919</v>
      </c>
      <c r="L64" s="59" t="n">
        <f aca="false">H64/Settings!$B$16</f>
        <v>0.00203360058561621</v>
      </c>
      <c r="M64" s="59" t="n">
        <f aca="false">H64/Settings!$B$20</f>
        <v>7.89968839888529E-005</v>
      </c>
      <c r="N64" s="60" t="n">
        <f aca="false">E64*Settings!$B$3</f>
        <v>0.898598381314792</v>
      </c>
      <c r="O64" s="60" t="n">
        <f aca="false">IF(E64&gt;0,(F64-N64)/SQRT(E64*Settings!$B$3*(1-Settings!$B$3)),0)</f>
        <v>3.32361110421752</v>
      </c>
      <c r="P64" s="60" t="n">
        <f aca="false">MAX(0,F64-N64)</f>
        <v>3.10140161868521</v>
      </c>
      <c r="Q64" s="32" t="n">
        <f aca="false">(F64+Settings!$B$7*Settings!$B$3)/(E64+Settings!$B$7)</f>
        <v>0.0835522802100782</v>
      </c>
      <c r="R64" s="61" t="n">
        <f aca="false">PERCENTRANK($H$2:$H$1780,H64,6)</f>
        <v>0.941507</v>
      </c>
      <c r="S64" s="61" t="n">
        <f aca="false">PERCENTRANK($Q$2:$Q$1780,Q64,6)</f>
        <v>0.989876</v>
      </c>
      <c r="T64" s="61" t="n">
        <f aca="false">PERCENTRANK($F$2:$F$1780,F64,6)</f>
        <v>0.871766</v>
      </c>
      <c r="U64" s="62" t="n">
        <f aca="false">IF(F64&gt;0,(Settings!$B$8*T64+Settings!$B$9*R64+Settings!$B$10*S64)/SUM(Settings!$B$8:$B$10),0)</f>
        <v>0.934383</v>
      </c>
      <c r="V64" s="56" t="n">
        <f aca="false">IF(U64&gt;0,RANK(U64,$U$2:$U$1780)+COUNTIF($U$2:U64,U64)-1,"")</f>
        <v>63</v>
      </c>
      <c r="W64" s="56" t="str">
        <f aca="false">IF(V64="","",IF(V64&lt;=Settings!$B$11,"1 - Fix first",IF(V64&lt;=Settings!$B$12,"2 - Review","3 - Monitor")))</f>
        <v>2 - Review</v>
      </c>
      <c r="X64" s="56" t="str">
        <f aca="false">IF(AND(E64&gt;=Settings!$B$4,F64&gt;=Settings!$B$5,O64&gt;=Settings!$B$6),"HIGH RATE","")</f>
        <v/>
      </c>
      <c r="Y64" s="56" t="n">
        <f aca="false">IF(F64&gt;0,RANK(F64,$F$2:$F$1780)+COUNTIF($F$2:F64,F64)-1,"")</f>
        <v>198</v>
      </c>
      <c r="Z64" s="56" t="n">
        <f aca="false">IF(H64&gt;0,RANK(H64,$H$2:$H$1780)+COUNTIF($H$2:H64,H64)-1,"")</f>
        <v>105</v>
      </c>
      <c r="AA64" s="56" t="str">
        <f aca="false">IF(AC64="","",RANK(AC64,$AC$2:$AC$1780)+COUNTIF($AC$2:AC64,AC64)-1)</f>
        <v/>
      </c>
      <c r="AB64" s="56" t="str">
        <f aca="false">IF(AD64="","",RANK(AD64,$AD$2:$AD$1780)+COUNTIF($AD$2:AD64,AD64)-1)</f>
        <v/>
      </c>
      <c r="AC64" s="56" t="str">
        <f aca="false">IF(AND(F64&gt;0,E64&gt;=Settings!$B$4),J64,"")</f>
        <v/>
      </c>
      <c r="AD64" s="56" t="str">
        <f aca="false">IF(X64="HIGH RATE",O64,"")</f>
        <v/>
      </c>
    </row>
    <row r="65" customFormat="false" ht="15" hidden="false" customHeight="false" outlineLevel="0" collapsed="false">
      <c r="A65" s="56" t="s">
        <v>935</v>
      </c>
      <c r="B65" s="56" t="s">
        <v>936</v>
      </c>
      <c r="C65" s="56" t="s">
        <v>51</v>
      </c>
      <c r="D65" s="56" t="str">
        <f aca="false">IFERROR(INDEX('Brand Map'!$B$4:$B$124,MATCH(C65,'Brand Map'!$A$4:$A$124,0)),"Other")</f>
        <v>AU</v>
      </c>
      <c r="E65" s="57" t="n">
        <v>21</v>
      </c>
      <c r="F65" s="57" t="n">
        <v>4</v>
      </c>
      <c r="G65" s="58" t="n">
        <v>5148.71</v>
      </c>
      <c r="H65" s="58" t="n">
        <v>856.87</v>
      </c>
      <c r="I65" s="58" t="n">
        <v>4186.48</v>
      </c>
      <c r="J65" s="32" t="n">
        <f aca="false">IF(E65&gt;0,F65/E65,0)</f>
        <v>0.19047619047619</v>
      </c>
      <c r="K65" s="32" t="n">
        <f aca="false">IF(G65&gt;0,H65/G65,0)</f>
        <v>0.166424211113075</v>
      </c>
      <c r="L65" s="59" t="n">
        <f aca="false">H65/Settings!$B$16</f>
        <v>0.00171247735619573</v>
      </c>
      <c r="M65" s="59" t="n">
        <f aca="false">H65/Settings!$B$20</f>
        <v>6.65225885543987E-005</v>
      </c>
      <c r="N65" s="60" t="n">
        <f aca="false">E65*Settings!$B$3</f>
        <v>0.650709172676229</v>
      </c>
      <c r="O65" s="60" t="n">
        <f aca="false">IF(E65&gt;0,(F65-N65)/SQRT(E65*Settings!$B$3*(1-Settings!$B$3)),0)</f>
        <v>4.21788178639032</v>
      </c>
      <c r="P65" s="60" t="n">
        <f aca="false">MAX(0,F65-N65)</f>
        <v>3.34929082732377</v>
      </c>
      <c r="Q65" s="32" t="n">
        <f aca="false">(F65+Settings!$B$7*Settings!$B$3)/(E65+Settings!$B$7)</f>
        <v>0.0966585202430316</v>
      </c>
      <c r="R65" s="61" t="n">
        <f aca="false">PERCENTRANK($H$2:$H$1780,H65,6)</f>
        <v>0.934758</v>
      </c>
      <c r="S65" s="61" t="n">
        <f aca="false">PERCENTRANK($Q$2:$Q$1780,Q65,6)</f>
        <v>0.996625</v>
      </c>
      <c r="T65" s="61" t="n">
        <f aca="false">PERCENTRANK($F$2:$F$1780,F65,6)</f>
        <v>0.871766</v>
      </c>
      <c r="U65" s="62" t="n">
        <f aca="false">IF(F65&gt;0,(Settings!$B$8*T65+Settings!$B$9*R65+Settings!$B$10*S65)/SUM(Settings!$B$8:$B$10),0)</f>
        <v>0.934383</v>
      </c>
      <c r="V65" s="56" t="n">
        <f aca="false">IF(U65&gt;0,RANK(U65,$U$2:$U$1780)+COUNTIF($U$2:U65,U65)-1,"")</f>
        <v>65</v>
      </c>
      <c r="W65" s="56" t="str">
        <f aca="false">IF(V65="","",IF(V65&lt;=Settings!$B$11,"1 - Fix first",IF(V65&lt;=Settings!$B$12,"2 - Review","3 - Monitor")))</f>
        <v>2 - Review</v>
      </c>
      <c r="X65" s="56" t="str">
        <f aca="false">IF(AND(E65&gt;=Settings!$B$4,F65&gt;=Settings!$B$5,O65&gt;=Settings!$B$6),"HIGH RATE","")</f>
        <v/>
      </c>
      <c r="Y65" s="56" t="n">
        <f aca="false">IF(F65&gt;0,RANK(F65,$F$2:$F$1780)+COUNTIF($F$2:F65,F65)-1,"")</f>
        <v>199</v>
      </c>
      <c r="Z65" s="56" t="n">
        <f aca="false">IF(H65&gt;0,RANK(H65,$H$2:$H$1780)+COUNTIF($H$2:H65,H65)-1,"")</f>
        <v>117</v>
      </c>
      <c r="AA65" s="56" t="str">
        <f aca="false">IF(AC65="","",RANK(AC65,$AC$2:$AC$1780)+COUNTIF($AC$2:AC65,AC65)-1)</f>
        <v/>
      </c>
      <c r="AB65" s="56" t="str">
        <f aca="false">IF(AD65="","",RANK(AD65,$AD$2:$AD$1780)+COUNTIF($AD$2:AD65,AD65)-1)</f>
        <v/>
      </c>
      <c r="AC65" s="56" t="str">
        <f aca="false">IF(AND(F65&gt;0,E65&gt;=Settings!$B$4),J65,"")</f>
        <v/>
      </c>
      <c r="AD65" s="56" t="str">
        <f aca="false">IF(X65="HIGH RATE",O65,"")</f>
        <v/>
      </c>
    </row>
    <row r="66" customFormat="false" ht="15" hidden="false" customHeight="false" outlineLevel="0" collapsed="false">
      <c r="A66" s="56" t="s">
        <v>313</v>
      </c>
      <c r="B66" s="56" t="s">
        <v>937</v>
      </c>
      <c r="C66" s="56" t="s">
        <v>75</v>
      </c>
      <c r="D66" s="56" t="str">
        <f aca="false">IFERROR(INDEX('Brand Map'!$B$4:$B$124,MATCH(C66,'Brand Map'!$A$4:$A$124,0)),"Other")</f>
        <v>AURP</v>
      </c>
      <c r="E66" s="57" t="n">
        <v>2409</v>
      </c>
      <c r="F66" s="57" t="n">
        <v>112</v>
      </c>
      <c r="G66" s="58" t="n">
        <v>27297.4</v>
      </c>
      <c r="H66" s="58" t="n">
        <v>1180.39</v>
      </c>
      <c r="I66" s="58" t="n">
        <v>25437</v>
      </c>
      <c r="J66" s="32" t="n">
        <f aca="false">IF(E66&gt;0,F66/E66,0)</f>
        <v>0.0464923204649232</v>
      </c>
      <c r="K66" s="32" t="n">
        <f aca="false">IF(G66&gt;0,H66/G66,0)</f>
        <v>0.0432418472088917</v>
      </c>
      <c r="L66" s="59" t="n">
        <f aca="false">H66/Settings!$B$16</f>
        <v>0.0023590406321611</v>
      </c>
      <c r="M66" s="59" t="n">
        <f aca="false">H66/Settings!$B$20</f>
        <v>9.16388697278779E-005</v>
      </c>
      <c r="N66" s="60" t="n">
        <f aca="false">E66*Settings!$B$3</f>
        <v>74.6456379512874</v>
      </c>
      <c r="O66" s="60" t="n">
        <f aca="false">IF(E66&gt;0,(F66-N66)/SQRT(E66*Settings!$B$3*(1-Settings!$B$3)),0)</f>
        <v>4.39211916600417</v>
      </c>
      <c r="P66" s="60" t="n">
        <f aca="false">MAX(0,F66-N66)</f>
        <v>37.3543620487126</v>
      </c>
      <c r="Q66" s="32" t="n">
        <f aca="false">(F66+Settings!$B$7*Settings!$B$3)/(E66+Settings!$B$7)</f>
        <v>0.0463015926742085</v>
      </c>
      <c r="R66" s="61" t="n">
        <f aca="false">PERCENTRANK($H$2:$H$1780,H66,6)</f>
        <v>0.951069</v>
      </c>
      <c r="S66" s="61" t="n">
        <f aca="false">PERCENTRANK($Q$2:$Q$1780,Q66,6)</f>
        <v>0.857705</v>
      </c>
      <c r="T66" s="61" t="n">
        <f aca="false">PERCENTRANK($F$2:$F$1780,F66,6)</f>
        <v>0.993813</v>
      </c>
      <c r="U66" s="62" t="n">
        <f aca="false">IF(F66&gt;0,(Settings!$B$8*T66+Settings!$B$9*R66+Settings!$B$10*S66)/SUM(Settings!$B$8:$B$10),0)</f>
        <v>0.934195666666667</v>
      </c>
      <c r="V66" s="56" t="n">
        <f aca="false">IF(U66&gt;0,RANK(U66,$U$2:$U$1780)+COUNTIF($U$2:U66,U66)-1,"")</f>
        <v>65</v>
      </c>
      <c r="W66" s="56" t="str">
        <f aca="false">IF(V66="","",IF(V66&lt;=Settings!$B$11,"1 - Fix first",IF(V66&lt;=Settings!$B$12,"2 - Review","3 - Monitor")))</f>
        <v>2 - Review</v>
      </c>
      <c r="X66" s="56" t="str">
        <f aca="false">IF(AND(E66&gt;=Settings!$B$4,F66&gt;=Settings!$B$5,O66&gt;=Settings!$B$6),"HIGH RATE","")</f>
        <v>HIGH RATE</v>
      </c>
      <c r="Y66" s="56" t="n">
        <f aca="false">IF(F66&gt;0,RANK(F66,$F$2:$F$1780)+COUNTIF($F$2:F66,F66)-1,"")</f>
        <v>12</v>
      </c>
      <c r="Z66" s="56" t="n">
        <f aca="false">IF(H66&gt;0,RANK(H66,$H$2:$H$1780)+COUNTIF($H$2:H66,H66)-1,"")</f>
        <v>88</v>
      </c>
      <c r="AA66" s="56" t="n">
        <f aca="false">IF(AC66="","",RANK(AC66,$AC$2:$AC$1780)+COUNTIF($AC$2:AC66,AC66)-1)</f>
        <v>148</v>
      </c>
      <c r="AB66" s="56" t="n">
        <f aca="false">IF(AD66="","",RANK(AD66,$AD$2:$AD$1780)+COUNTIF($AD$2:AD66,AD66)-1)</f>
        <v>34</v>
      </c>
      <c r="AC66" s="32" t="n">
        <f aca="false">IF(AND(F66&gt;0,E66&gt;=Settings!$B$4),J66,"")</f>
        <v>0.0464923204649232</v>
      </c>
      <c r="AD66" s="60" t="n">
        <f aca="false">IF(X66="HIGH RATE",O66,"")</f>
        <v>4.39211916600417</v>
      </c>
    </row>
    <row r="67" customFormat="false" ht="15" hidden="false" customHeight="false" outlineLevel="0" collapsed="false">
      <c r="A67" s="56" t="s">
        <v>938</v>
      </c>
      <c r="B67" s="56" t="s">
        <v>939</v>
      </c>
      <c r="C67" s="56" t="s">
        <v>111</v>
      </c>
      <c r="D67" s="56" t="str">
        <f aca="false">IFERROR(INDEX('Brand Map'!$B$4:$B$124,MATCH(C67,'Brand Map'!$A$4:$A$124,0)),"Other")</f>
        <v>AUFS</v>
      </c>
      <c r="E67" s="57" t="n">
        <v>141</v>
      </c>
      <c r="F67" s="57" t="n">
        <v>9</v>
      </c>
      <c r="G67" s="58" t="n">
        <v>17060.89</v>
      </c>
      <c r="H67" s="58" t="n">
        <v>1098.66</v>
      </c>
      <c r="I67" s="58" t="n">
        <v>15330.78</v>
      </c>
      <c r="J67" s="32" t="n">
        <f aca="false">IF(E67&gt;0,F67/E67,0)</f>
        <v>0.0638297872340426</v>
      </c>
      <c r="K67" s="32" t="n">
        <f aca="false">IF(G67&gt;0,H67/G67,0)</f>
        <v>0.0643964060491569</v>
      </c>
      <c r="L67" s="59" t="n">
        <f aca="false">H67/Settings!$B$16</f>
        <v>0.00219570106569025</v>
      </c>
      <c r="M67" s="59" t="n">
        <f aca="false">H67/Settings!$B$20</f>
        <v>8.52938101942835E-005</v>
      </c>
      <c r="N67" s="60" t="n">
        <f aca="false">E67*Settings!$B$3</f>
        <v>4.36904730225468</v>
      </c>
      <c r="O67" s="60" t="n">
        <f aca="false">IF(E67&gt;0,(F67-N67)/SQRT(E67*Settings!$B$3*(1-Settings!$B$3)),0)</f>
        <v>2.25067081648801</v>
      </c>
      <c r="P67" s="60" t="n">
        <f aca="false">MAX(0,F67-N67)</f>
        <v>4.63095269774532</v>
      </c>
      <c r="Q67" s="32" t="n">
        <f aca="false">(F67+Settings!$B$7*Settings!$B$3)/(E67+Settings!$B$7)</f>
        <v>0.0580677458034773</v>
      </c>
      <c r="R67" s="61" t="n">
        <f aca="false">PERCENTRANK($H$2:$H$1780,H67,6)</f>
        <v>0.947132</v>
      </c>
      <c r="S67" s="61" t="n">
        <f aca="false">PERCENTRANK($Q$2:$Q$1780,Q67,6)</f>
        <v>0.937008</v>
      </c>
      <c r="T67" s="61" t="n">
        <f aca="false">PERCENTRANK($F$2:$F$1780,F67,6)</f>
        <v>0.917323</v>
      </c>
      <c r="U67" s="62" t="n">
        <f aca="false">IF(F67&gt;0,(Settings!$B$8*T67+Settings!$B$9*R67+Settings!$B$10*S67)/SUM(Settings!$B$8:$B$10),0)</f>
        <v>0.933821</v>
      </c>
      <c r="V67" s="56" t="n">
        <f aca="false">IF(U67&gt;0,RANK(U67,$U$2:$U$1780)+COUNTIF($U$2:U67,U67)-1,"")</f>
        <v>66</v>
      </c>
      <c r="W67" s="56" t="str">
        <f aca="false">IF(V67="","",IF(V67&lt;=Settings!$B$11,"1 - Fix first",IF(V67&lt;=Settings!$B$12,"2 - Review","3 - Monitor")))</f>
        <v>2 - Review</v>
      </c>
      <c r="X67" s="56" t="str">
        <f aca="false">IF(AND(E67&gt;=Settings!$B$4,F67&gt;=Settings!$B$5,O67&gt;=Settings!$B$6),"HIGH RATE","")</f>
        <v/>
      </c>
      <c r="Y67" s="56" t="n">
        <f aca="false">IF(F67&gt;0,RANK(F67,$F$2:$F$1780)+COUNTIF($F$2:F67,F67)-1,"")</f>
        <v>140</v>
      </c>
      <c r="Z67" s="56" t="n">
        <f aca="false">IF(H67&gt;0,RANK(H67,$H$2:$H$1780)+COUNTIF($H$2:H67,H67)-1,"")</f>
        <v>95</v>
      </c>
      <c r="AA67" s="56" t="n">
        <f aca="false">IF(AC67="","",RANK(AC67,$AC$2:$AC$1780)+COUNTIF($AC$2:AC67,AC67)-1)</f>
        <v>54</v>
      </c>
      <c r="AB67" s="56" t="str">
        <f aca="false">IF(AD67="","",RANK(AD67,$AD$2:$AD$1780)+COUNTIF($AD$2:AD67,AD67)-1)</f>
        <v/>
      </c>
      <c r="AC67" s="32" t="n">
        <f aca="false">IF(AND(F67&gt;0,E67&gt;=Settings!$B$4),J67,"")</f>
        <v>0.0638297872340426</v>
      </c>
      <c r="AD67" s="56" t="str">
        <f aca="false">IF(X67="HIGH RATE",O67,"")</f>
        <v/>
      </c>
    </row>
    <row r="68" customFormat="false" ht="15" hidden="false" customHeight="false" outlineLevel="0" collapsed="false">
      <c r="A68" s="56" t="s">
        <v>940</v>
      </c>
      <c r="B68" s="56" t="s">
        <v>941</v>
      </c>
      <c r="C68" s="56" t="s">
        <v>136</v>
      </c>
      <c r="D68" s="56" t="str">
        <f aca="false">IFERROR(INDEX('Brand Map'!$B$4:$B$124,MATCH(C68,'Brand Map'!$A$4:$A$124,0)),"Other")</f>
        <v>DCS</v>
      </c>
      <c r="E68" s="57" t="n">
        <v>80</v>
      </c>
      <c r="F68" s="57" t="n">
        <v>6</v>
      </c>
      <c r="G68" s="58" t="n">
        <v>13821.01</v>
      </c>
      <c r="H68" s="58" t="n">
        <v>967.81</v>
      </c>
      <c r="I68" s="58" t="n">
        <v>11723.35</v>
      </c>
      <c r="J68" s="32" t="n">
        <f aca="false">IF(E68&gt;0,F68/E68,0)</f>
        <v>0.075</v>
      </c>
      <c r="K68" s="32" t="n">
        <f aca="false">IF(G68&gt;0,H68/G68,0)</f>
        <v>0.0700245495806746</v>
      </c>
      <c r="L68" s="59" t="n">
        <f aca="false">H68/Settings!$B$16</f>
        <v>0.00193419388016827</v>
      </c>
      <c r="M68" s="59" t="n">
        <f aca="false">H68/Settings!$B$20</f>
        <v>7.51353489197108E-005</v>
      </c>
      <c r="N68" s="60" t="n">
        <f aca="false">E68*Settings!$B$3</f>
        <v>2.47889208638563</v>
      </c>
      <c r="O68" s="60" t="n">
        <f aca="false">IF(E68&gt;0,(F68-N68)/SQRT(E68*Settings!$B$3*(1-Settings!$B$3)),0)</f>
        <v>2.27188075613247</v>
      </c>
      <c r="P68" s="60" t="n">
        <f aca="false">MAX(0,F68-N68)</f>
        <v>3.52110791361437</v>
      </c>
      <c r="Q68" s="32" t="n">
        <f aca="false">(F68+Settings!$B$7*Settings!$B$3)/(E68+Settings!$B$7)</f>
        <v>0.0629962230217692</v>
      </c>
      <c r="R68" s="61" t="n">
        <f aca="false">PERCENTRANK($H$2:$H$1780,H68,6)</f>
        <v>0.940945</v>
      </c>
      <c r="S68" s="61" t="n">
        <f aca="false">PERCENTRANK($Q$2:$Q$1780,Q68,6)</f>
        <v>0.960067</v>
      </c>
      <c r="T68" s="61" t="n">
        <f aca="false">PERCENTRANK($F$2:$F$1780,F68,6)</f>
        <v>0.898763</v>
      </c>
      <c r="U68" s="62" t="n">
        <f aca="false">IF(F68&gt;0,(Settings!$B$8*T68+Settings!$B$9*R68+Settings!$B$10*S68)/SUM(Settings!$B$8:$B$10),0)</f>
        <v>0.933258333333333</v>
      </c>
      <c r="V68" s="56" t="n">
        <f aca="false">IF(U68&gt;0,RANK(U68,$U$2:$U$1780)+COUNTIF($U$2:U68,U68)-1,"")</f>
        <v>67</v>
      </c>
      <c r="W68" s="56" t="str">
        <f aca="false">IF(V68="","",IF(V68&lt;=Settings!$B$11,"1 - Fix first",IF(V68&lt;=Settings!$B$12,"2 - Review","3 - Monitor")))</f>
        <v>2 - Review</v>
      </c>
      <c r="X68" s="56" t="str">
        <f aca="false">IF(AND(E68&gt;=Settings!$B$4,F68&gt;=Settings!$B$5,O68&gt;=Settings!$B$6),"HIGH RATE","")</f>
        <v/>
      </c>
      <c r="Y68" s="56" t="n">
        <f aca="false">IF(F68&gt;0,RANK(F68,$F$2:$F$1780)+COUNTIF($F$2:F68,F68)-1,"")</f>
        <v>166</v>
      </c>
      <c r="Z68" s="56" t="n">
        <f aca="false">IF(H68&gt;0,RANK(H68,$H$2:$H$1780)+COUNTIF($H$2:H68,H68)-1,"")</f>
        <v>106</v>
      </c>
      <c r="AA68" s="56" t="n">
        <f aca="false">IF(AC68="","",RANK(AC68,$AC$2:$AC$1780)+COUNTIF($AC$2:AC68,AC68)-1)</f>
        <v>38</v>
      </c>
      <c r="AB68" s="56" t="str">
        <f aca="false">IF(AD68="","",RANK(AD68,$AD$2:$AD$1780)+COUNTIF($AD$2:AD68,AD68)-1)</f>
        <v/>
      </c>
      <c r="AC68" s="32" t="n">
        <f aca="false">IF(AND(F68&gt;0,E68&gt;=Settings!$B$4),J68,"")</f>
        <v>0.075</v>
      </c>
      <c r="AD68" s="56" t="str">
        <f aca="false">IF(X68="HIGH RATE",O68,"")</f>
        <v/>
      </c>
    </row>
    <row r="69" customFormat="false" ht="15" hidden="false" customHeight="false" outlineLevel="0" collapsed="false">
      <c r="A69" s="56" t="s">
        <v>942</v>
      </c>
      <c r="B69" s="56" t="s">
        <v>943</v>
      </c>
      <c r="C69" s="56" t="s">
        <v>125</v>
      </c>
      <c r="D69" s="56" t="str">
        <f aca="false">IFERROR(INDEX('Brand Map'!$B$4:$B$124,MATCH(C69,'Brand Map'!$A$4:$A$124,0)),"Other")</f>
        <v>DCB</v>
      </c>
      <c r="E69" s="57" t="n">
        <v>35</v>
      </c>
      <c r="F69" s="57" t="n">
        <v>5</v>
      </c>
      <c r="G69" s="58" t="n">
        <v>5258.39</v>
      </c>
      <c r="H69" s="58" t="n">
        <v>619.12</v>
      </c>
      <c r="I69" s="58" t="n">
        <v>3991.04</v>
      </c>
      <c r="J69" s="32" t="n">
        <f aca="false">IF(E69&gt;0,F69/E69,0)</f>
        <v>0.142857142857143</v>
      </c>
      <c r="K69" s="32" t="n">
        <f aca="false">IF(G69&gt;0,H69/G69,0)</f>
        <v>0.117739460176974</v>
      </c>
      <c r="L69" s="59" t="n">
        <f aca="false">H69/Settings!$B$16</f>
        <v>0.001237327693545</v>
      </c>
      <c r="M69" s="59" t="n">
        <f aca="false">H69/Settings!$B$20</f>
        <v>4.80650098915814E-005</v>
      </c>
      <c r="N69" s="60" t="n">
        <f aca="false">E69*Settings!$B$3</f>
        <v>1.08451528779371</v>
      </c>
      <c r="O69" s="60" t="n">
        <f aca="false">IF(E69&gt;0,(F69-N69)/SQRT(E69*Settings!$B$3*(1-Settings!$B$3)),0)</f>
        <v>3.81946646675736</v>
      </c>
      <c r="P69" s="60" t="n">
        <f aca="false">MAX(0,F69-N69)</f>
        <v>3.91548471220629</v>
      </c>
      <c r="Q69" s="32" t="n">
        <f aca="false">(F69+Settings!$B$7*Settings!$B$3)/(E69+Settings!$B$7)</f>
        <v>0.0912243774214556</v>
      </c>
      <c r="R69" s="61" t="n">
        <f aca="false">PERCENTRANK($H$2:$H$1780,H69,6)</f>
        <v>0.916198</v>
      </c>
      <c r="S69" s="61" t="n">
        <f aca="false">PERCENTRANK($Q$2:$Q$1780,Q69,6)</f>
        <v>0.993813</v>
      </c>
      <c r="T69" s="61" t="n">
        <f aca="false">PERCENTRANK($F$2:$F$1780,F69,6)</f>
        <v>0.889764</v>
      </c>
      <c r="U69" s="62" t="n">
        <f aca="false">IF(F69&gt;0,(Settings!$B$8*T69+Settings!$B$9*R69+Settings!$B$10*S69)/SUM(Settings!$B$8:$B$10),0)</f>
        <v>0.933258333333333</v>
      </c>
      <c r="V69" s="56" t="n">
        <f aca="false">IF(U69&gt;0,RANK(U69,$U$2:$U$1780)+COUNTIF($U$2:U69,U69)-1,"")</f>
        <v>68</v>
      </c>
      <c r="W69" s="56" t="str">
        <f aca="false">IF(V69="","",IF(V69&lt;=Settings!$B$11,"1 - Fix first",IF(V69&lt;=Settings!$B$12,"2 - Review","3 - Monitor")))</f>
        <v>2 - Review</v>
      </c>
      <c r="X69" s="56" t="str">
        <f aca="false">IF(AND(E69&gt;=Settings!$B$4,F69&gt;=Settings!$B$5,O69&gt;=Settings!$B$6),"HIGH RATE","")</f>
        <v>HIGH RATE</v>
      </c>
      <c r="Y69" s="56" t="n">
        <f aca="false">IF(F69&gt;0,RANK(F69,$F$2:$F$1780)+COUNTIF($F$2:F69,F69)-1,"")</f>
        <v>184</v>
      </c>
      <c r="Z69" s="56" t="n">
        <f aca="false">IF(H69&gt;0,RANK(H69,$H$2:$H$1780)+COUNTIF($H$2:H69,H69)-1,"")</f>
        <v>150</v>
      </c>
      <c r="AA69" s="56" t="n">
        <f aca="false">IF(AC69="","",RANK(AC69,$AC$2:$AC$1780)+COUNTIF($AC$2:AC69,AC69)-1)</f>
        <v>4</v>
      </c>
      <c r="AB69" s="56" t="n">
        <f aca="false">IF(AD69="","",RANK(AD69,$AD$2:$AD$1780)+COUNTIF($AD$2:AD69,AD69)-1)</f>
        <v>44</v>
      </c>
      <c r="AC69" s="32" t="n">
        <f aca="false">IF(AND(F69&gt;0,E69&gt;=Settings!$B$4),J69,"")</f>
        <v>0.142857142857143</v>
      </c>
      <c r="AD69" s="60" t="n">
        <f aca="false">IF(X69="HIGH RATE",O69,"")</f>
        <v>3.81946646675736</v>
      </c>
    </row>
    <row r="70" customFormat="false" ht="15" hidden="false" customHeight="false" outlineLevel="0" collapsed="false">
      <c r="A70" s="56" t="s">
        <v>239</v>
      </c>
      <c r="B70" s="56" t="s">
        <v>593</v>
      </c>
      <c r="C70" s="56" t="s">
        <v>59</v>
      </c>
      <c r="D70" s="56" t="str">
        <f aca="false">IFERROR(INDEX('Brand Map'!$B$4:$B$124,MATCH(C70,'Brand Map'!$A$4:$A$124,0)),"Other")</f>
        <v>DC</v>
      </c>
      <c r="E70" s="57" t="n">
        <v>1482</v>
      </c>
      <c r="F70" s="57" t="n">
        <v>62</v>
      </c>
      <c r="G70" s="58" t="n">
        <v>162055.74</v>
      </c>
      <c r="H70" s="58" t="n">
        <v>6122.41</v>
      </c>
      <c r="I70" s="58" t="n">
        <v>147616.21</v>
      </c>
      <c r="J70" s="32" t="n">
        <f aca="false">IF(E70&gt;0,F70/E70,0)</f>
        <v>0.0418353576248313</v>
      </c>
      <c r="K70" s="32" t="n">
        <f aca="false">IF(G70&gt;0,H70/G70,0)</f>
        <v>0.0377796553210642</v>
      </c>
      <c r="L70" s="59" t="n">
        <f aca="false">H70/Settings!$B$16</f>
        <v>0.0122357983011966</v>
      </c>
      <c r="M70" s="59" t="n">
        <f aca="false">H70/Settings!$B$20</f>
        <v>0.000475309628521638</v>
      </c>
      <c r="N70" s="60" t="n">
        <f aca="false">E70*Settings!$B$3</f>
        <v>45.9214759002939</v>
      </c>
      <c r="O70" s="60" t="n">
        <f aca="false">IF(E70&gt;0,(F70-N70)/SQRT(E70*Settings!$B$3*(1-Settings!$B$3)),0)</f>
        <v>2.41031203979615</v>
      </c>
      <c r="P70" s="60" t="n">
        <f aca="false">MAX(0,F70-N70)</f>
        <v>16.0785240997061</v>
      </c>
      <c r="Q70" s="32" t="n">
        <f aca="false">(F70+Settings!$B$7*Settings!$B$3)/(E70+Settings!$B$7)</f>
        <v>0.0416200955902081</v>
      </c>
      <c r="R70" s="61" t="n">
        <f aca="false">PERCENTRANK($H$2:$H$1780,H70,6)</f>
        <v>0.992688</v>
      </c>
      <c r="S70" s="61" t="n">
        <f aca="false">PERCENTRANK($Q$2:$Q$1780,Q70,6)</f>
        <v>0.82396</v>
      </c>
      <c r="T70" s="61" t="n">
        <f aca="false">PERCENTRANK($F$2:$F$1780,F70,6)</f>
        <v>0.982565</v>
      </c>
      <c r="U70" s="62" t="n">
        <f aca="false">IF(F70&gt;0,(Settings!$B$8*T70+Settings!$B$9*R70+Settings!$B$10*S70)/SUM(Settings!$B$8:$B$10),0)</f>
        <v>0.933071</v>
      </c>
      <c r="V70" s="56" t="n">
        <f aca="false">IF(U70&gt;0,RANK(U70,$U$2:$U$1780)+COUNTIF($U$2:U70,U70)-1,"")</f>
        <v>69</v>
      </c>
      <c r="W70" s="56" t="str">
        <f aca="false">IF(V70="","",IF(V70&lt;=Settings!$B$11,"1 - Fix first",IF(V70&lt;=Settings!$B$12,"2 - Review","3 - Monitor")))</f>
        <v>2 - Review</v>
      </c>
      <c r="X70" s="56" t="str">
        <f aca="false">IF(AND(E70&gt;=Settings!$B$4,F70&gt;=Settings!$B$5,O70&gt;=Settings!$B$6),"HIGH RATE","")</f>
        <v/>
      </c>
      <c r="Y70" s="56" t="n">
        <f aca="false">IF(F70&gt;0,RANK(F70,$F$2:$F$1780)+COUNTIF($F$2:F70,F70)-1,"")</f>
        <v>32</v>
      </c>
      <c r="Z70" s="56" t="n">
        <f aca="false">IF(H70&gt;0,RANK(H70,$H$2:$H$1780)+COUNTIF($H$2:H70,H70)-1,"")</f>
        <v>14</v>
      </c>
      <c r="AA70" s="56" t="n">
        <f aca="false">IF(AC70="","",RANK(AC70,$AC$2:$AC$1780)+COUNTIF($AC$2:AC70,AC70)-1)</f>
        <v>181</v>
      </c>
      <c r="AB70" s="56" t="str">
        <f aca="false">IF(AD70="","",RANK(AD70,$AD$2:$AD$1780)+COUNTIF($AD$2:AD70,AD70)-1)</f>
        <v/>
      </c>
      <c r="AC70" s="32" t="n">
        <f aca="false">IF(AND(F70&gt;0,E70&gt;=Settings!$B$4),J70,"")</f>
        <v>0.0418353576248313</v>
      </c>
      <c r="AD70" s="56" t="str">
        <f aca="false">IF(X70="HIGH RATE",O70,"")</f>
        <v/>
      </c>
    </row>
    <row r="71" customFormat="false" ht="15" hidden="false" customHeight="false" outlineLevel="0" collapsed="false">
      <c r="A71" s="56" t="s">
        <v>944</v>
      </c>
      <c r="B71" s="56" t="s">
        <v>945</v>
      </c>
      <c r="C71" s="56" t="s">
        <v>75</v>
      </c>
      <c r="D71" s="56" t="str">
        <f aca="false">IFERROR(INDEX('Brand Map'!$B$4:$B$124,MATCH(C71,'Brand Map'!$A$4:$A$124,0)),"Other")</f>
        <v>AURP</v>
      </c>
      <c r="E71" s="57" t="n">
        <v>459</v>
      </c>
      <c r="F71" s="57" t="n">
        <v>34</v>
      </c>
      <c r="G71" s="58" t="n">
        <v>3906.21</v>
      </c>
      <c r="H71" s="58" t="n">
        <v>271.41</v>
      </c>
      <c r="I71" s="58" t="n">
        <v>3517.71</v>
      </c>
      <c r="J71" s="32" t="n">
        <f aca="false">IF(E71&gt;0,F71/E71,0)</f>
        <v>0.0740740740740741</v>
      </c>
      <c r="K71" s="32" t="n">
        <f aca="false">IF(G71&gt;0,H71/G71,0)</f>
        <v>0.0694816714923161</v>
      </c>
      <c r="L71" s="59" t="n">
        <f aca="false">H71/Settings!$B$16</f>
        <v>0.000542420062839268</v>
      </c>
      <c r="M71" s="59" t="n">
        <f aca="false">H71/Settings!$B$20</f>
        <v>2.10707525757109E-005</v>
      </c>
      <c r="N71" s="60" t="n">
        <f aca="false">E71*Settings!$B$3</f>
        <v>14.2226433456376</v>
      </c>
      <c r="O71" s="60" t="n">
        <f aca="false">IF(E71&gt;0,(F71-N71)/SQRT(E71*Settings!$B$3*(1-Settings!$B$3)),0)</f>
        <v>5.32737285753372</v>
      </c>
      <c r="P71" s="60" t="n">
        <f aca="false">MAX(0,F71-N71)</f>
        <v>19.7773566543624</v>
      </c>
      <c r="Q71" s="32" t="n">
        <f aca="false">(F71+Settings!$B$7*Settings!$B$3)/(E71+Settings!$B$7)</f>
        <v>0.0714306432155309</v>
      </c>
      <c r="R71" s="61" t="n">
        <f aca="false">PERCENTRANK($H$2:$H$1780,H71,6)</f>
        <v>0.855456</v>
      </c>
      <c r="S71" s="61" t="n">
        <f aca="false">PERCENTRANK($Q$2:$Q$1780,Q71,6)</f>
        <v>0.975253</v>
      </c>
      <c r="T71" s="61" t="n">
        <f aca="false">PERCENTRANK($F$2:$F$1780,F71,6)</f>
        <v>0.966254</v>
      </c>
      <c r="U71" s="62" t="n">
        <f aca="false">IF(F71&gt;0,(Settings!$B$8*T71+Settings!$B$9*R71+Settings!$B$10*S71)/SUM(Settings!$B$8:$B$10),0)</f>
        <v>0.932321</v>
      </c>
      <c r="V71" s="56" t="n">
        <f aca="false">IF(U71&gt;0,RANK(U71,$U$2:$U$1780)+COUNTIF($U$2:U71,U71)-1,"")</f>
        <v>70</v>
      </c>
      <c r="W71" s="56" t="str">
        <f aca="false">IF(V71="","",IF(V71&lt;=Settings!$B$11,"1 - Fix first",IF(V71&lt;=Settings!$B$12,"2 - Review","3 - Monitor")))</f>
        <v>2 - Review</v>
      </c>
      <c r="X71" s="56" t="str">
        <f aca="false">IF(AND(E71&gt;=Settings!$B$4,F71&gt;=Settings!$B$5,O71&gt;=Settings!$B$6),"HIGH RATE","")</f>
        <v>HIGH RATE</v>
      </c>
      <c r="Y71" s="56" t="n">
        <f aca="false">IF(F71&gt;0,RANK(F71,$F$2:$F$1780)+COUNTIF($F$2:F71,F71)-1,"")</f>
        <v>57</v>
      </c>
      <c r="Z71" s="56" t="n">
        <f aca="false">IF(H71&gt;0,RANK(H71,$H$2:$H$1780)+COUNTIF($H$2:H71,H71)-1,"")</f>
        <v>258</v>
      </c>
      <c r="AA71" s="56" t="n">
        <f aca="false">IF(AC71="","",RANK(AC71,$AC$2:$AC$1780)+COUNTIF($AC$2:AC71,AC71)-1)</f>
        <v>39</v>
      </c>
      <c r="AB71" s="56" t="n">
        <f aca="false">IF(AD71="","",RANK(AD71,$AD$2:$AD$1780)+COUNTIF($AD$2:AD71,AD71)-1)</f>
        <v>17</v>
      </c>
      <c r="AC71" s="32" t="n">
        <f aca="false">IF(AND(F71&gt;0,E71&gt;=Settings!$B$4),J71,"")</f>
        <v>0.0740740740740741</v>
      </c>
      <c r="AD71" s="60" t="n">
        <f aca="false">IF(X71="HIGH RATE",O71,"")</f>
        <v>5.32737285753372</v>
      </c>
    </row>
    <row r="72" customFormat="false" ht="15" hidden="false" customHeight="false" outlineLevel="0" collapsed="false">
      <c r="A72" s="56" t="s">
        <v>279</v>
      </c>
      <c r="B72" s="56" t="s">
        <v>946</v>
      </c>
      <c r="C72" s="56" t="s">
        <v>67</v>
      </c>
      <c r="D72" s="56" t="str">
        <f aca="false">IFERROR(INDEX('Brand Map'!$B$4:$B$124,MATCH(C72,'Brand Map'!$A$4:$A$124,0)),"Other")</f>
        <v>MJ</v>
      </c>
      <c r="E72" s="57" t="n">
        <v>204</v>
      </c>
      <c r="F72" s="57" t="n">
        <v>12</v>
      </c>
      <c r="G72" s="58" t="n">
        <v>14826.04</v>
      </c>
      <c r="H72" s="58" t="n">
        <v>913.78</v>
      </c>
      <c r="I72" s="58" t="n">
        <v>13672.72</v>
      </c>
      <c r="J72" s="32" t="n">
        <f aca="false">IF(E72&gt;0,F72/E72,0)</f>
        <v>0.0588235294117647</v>
      </c>
      <c r="K72" s="32" t="n">
        <f aca="false">IF(G72&gt;0,H72/G72,0)</f>
        <v>0.0616334503346814</v>
      </c>
      <c r="L72" s="59" t="n">
        <f aca="false">H72/Settings!$B$16</f>
        <v>0.00182621349626493</v>
      </c>
      <c r="M72" s="59" t="n">
        <f aca="false">H72/Settings!$B$20</f>
        <v>7.09407622734353E-005</v>
      </c>
      <c r="N72" s="60" t="n">
        <f aca="false">E72*Settings!$B$3</f>
        <v>6.32117482028337</v>
      </c>
      <c r="O72" s="60" t="n">
        <f aca="false">IF(E72&gt;0,(F72-N72)/SQRT(E72*Settings!$B$3*(1-Settings!$B$3)),0)</f>
        <v>2.29453457712927</v>
      </c>
      <c r="P72" s="60" t="n">
        <f aca="false">MAX(0,F72-N72)</f>
        <v>5.67882517971664</v>
      </c>
      <c r="Q72" s="32" t="n">
        <f aca="false">(F72+Settings!$B$7*Settings!$B$3)/(E72+Settings!$B$7)</f>
        <v>0.0552546347538231</v>
      </c>
      <c r="R72" s="61" t="n">
        <f aca="false">PERCENTRANK($H$2:$H$1780,H72,6)</f>
        <v>0.938133</v>
      </c>
      <c r="S72" s="61" t="n">
        <f aca="false">PERCENTRANK($Q$2:$Q$1780,Q72,6)</f>
        <v>0.926884</v>
      </c>
      <c r="T72" s="61" t="n">
        <f aca="false">PERCENTRANK($F$2:$F$1780,F72,6)</f>
        <v>0.930259</v>
      </c>
      <c r="U72" s="62" t="n">
        <f aca="false">IF(F72&gt;0,(Settings!$B$8*T72+Settings!$B$9*R72+Settings!$B$10*S72)/SUM(Settings!$B$8:$B$10),0)</f>
        <v>0.931758666666667</v>
      </c>
      <c r="V72" s="56" t="n">
        <f aca="false">IF(U72&gt;0,RANK(U72,$U$2:$U$1780)+COUNTIF($U$2:U72,U72)-1,"")</f>
        <v>71</v>
      </c>
      <c r="W72" s="56" t="str">
        <f aca="false">IF(V72="","",IF(V72&lt;=Settings!$B$11,"1 - Fix first",IF(V72&lt;=Settings!$B$12,"2 - Review","3 - Monitor")))</f>
        <v>2 - Review</v>
      </c>
      <c r="X72" s="56" t="str">
        <f aca="false">IF(AND(E72&gt;=Settings!$B$4,F72&gt;=Settings!$B$5,O72&gt;=Settings!$B$6),"HIGH RATE","")</f>
        <v/>
      </c>
      <c r="Y72" s="56" t="n">
        <f aca="false">IF(F72&gt;0,RANK(F72,$F$2:$F$1780)+COUNTIF($F$2:F72,F72)-1,"")</f>
        <v>122</v>
      </c>
      <c r="Z72" s="56" t="n">
        <f aca="false">IF(H72&gt;0,RANK(H72,$H$2:$H$1780)+COUNTIF($H$2:H72,H72)-1,"")</f>
        <v>111</v>
      </c>
      <c r="AA72" s="56" t="n">
        <f aca="false">IF(AC72="","",RANK(AC72,$AC$2:$AC$1780)+COUNTIF($AC$2:AC72,AC72)-1)</f>
        <v>77</v>
      </c>
      <c r="AB72" s="56" t="str">
        <f aca="false">IF(AD72="","",RANK(AD72,$AD$2:$AD$1780)+COUNTIF($AD$2:AD72,AD72)-1)</f>
        <v/>
      </c>
      <c r="AC72" s="32" t="n">
        <f aca="false">IF(AND(F72&gt;0,E72&gt;=Settings!$B$4),J72,"")</f>
        <v>0.0588235294117647</v>
      </c>
      <c r="AD72" s="56" t="str">
        <f aca="false">IF(X72="HIGH RATE",O72,"")</f>
        <v/>
      </c>
    </row>
    <row r="73" customFormat="false" ht="15" hidden="false" customHeight="false" outlineLevel="0" collapsed="false">
      <c r="A73" s="56" t="s">
        <v>276</v>
      </c>
      <c r="B73" s="56" t="s">
        <v>947</v>
      </c>
      <c r="C73" s="56" t="s">
        <v>67</v>
      </c>
      <c r="D73" s="56" t="str">
        <f aca="false">IFERROR(INDEX('Brand Map'!$B$4:$B$124,MATCH(C73,'Brand Map'!$A$4:$A$124,0)),"Other")</f>
        <v>MJ</v>
      </c>
      <c r="E73" s="57" t="n">
        <v>384</v>
      </c>
      <c r="F73" s="57" t="n">
        <v>20</v>
      </c>
      <c r="G73" s="58" t="n">
        <v>24512.45</v>
      </c>
      <c r="H73" s="58" t="n">
        <v>1238.24</v>
      </c>
      <c r="I73" s="58" t="n">
        <v>22556.08</v>
      </c>
      <c r="J73" s="32" t="n">
        <f aca="false">IF(E73&gt;0,F73/E73,0)</f>
        <v>0.0520833333333333</v>
      </c>
      <c r="K73" s="32" t="n">
        <f aca="false">IF(G73&gt;0,H73/G73,0)</f>
        <v>0.0505147384288392</v>
      </c>
      <c r="L73" s="59" t="n">
        <f aca="false">H73/Settings!$B$16</f>
        <v>0.00247465538708999</v>
      </c>
      <c r="M73" s="59" t="n">
        <f aca="false">H73/Settings!$B$20</f>
        <v>9.61300197831628E-005</v>
      </c>
      <c r="N73" s="60" t="n">
        <f aca="false">E73*Settings!$B$3</f>
        <v>11.898682014651</v>
      </c>
      <c r="O73" s="60" t="n">
        <f aca="false">IF(E73&gt;0,(F73-N73)/SQRT(E73*Settings!$B$3*(1-Settings!$B$3)),0)</f>
        <v>2.38583968327391</v>
      </c>
      <c r="P73" s="60" t="n">
        <f aca="false">MAX(0,F73-N73)</f>
        <v>8.10131798534896</v>
      </c>
      <c r="Q73" s="32" t="n">
        <f aca="false">(F73+Settings!$B$7*Settings!$B$3)/(E73+Settings!$B$7)</f>
        <v>0.050554552010615</v>
      </c>
      <c r="R73" s="61" t="n">
        <f aca="false">PERCENTRANK($H$2:$H$1780,H73,6)</f>
        <v>0.955006</v>
      </c>
      <c r="S73" s="61" t="n">
        <f aca="false">PERCENTRANK($Q$2:$Q$1780,Q73,6)</f>
        <v>0.887514</v>
      </c>
      <c r="T73" s="61" t="n">
        <f aca="false">PERCENTRANK($F$2:$F$1780,F73,6)</f>
        <v>0.952193</v>
      </c>
      <c r="U73" s="62" t="n">
        <f aca="false">IF(F73&gt;0,(Settings!$B$8*T73+Settings!$B$9*R73+Settings!$B$10*S73)/SUM(Settings!$B$8:$B$10),0)</f>
        <v>0.931571</v>
      </c>
      <c r="V73" s="56" t="n">
        <f aca="false">IF(U73&gt;0,RANK(U73,$U$2:$U$1780)+COUNTIF($U$2:U73,U73)-1,"")</f>
        <v>72</v>
      </c>
      <c r="W73" s="56" t="str">
        <f aca="false">IF(V73="","",IF(V73&lt;=Settings!$B$11,"1 - Fix first",IF(V73&lt;=Settings!$B$12,"2 - Review","3 - Monitor")))</f>
        <v>2 - Review</v>
      </c>
      <c r="X73" s="56" t="str">
        <f aca="false">IF(AND(E73&gt;=Settings!$B$4,F73&gt;=Settings!$B$5,O73&gt;=Settings!$B$6),"HIGH RATE","")</f>
        <v/>
      </c>
      <c r="Y73" s="56" t="n">
        <f aca="false">IF(F73&gt;0,RANK(F73,$F$2:$F$1780)+COUNTIF($F$2:F73,F73)-1,"")</f>
        <v>84</v>
      </c>
      <c r="Z73" s="56" t="n">
        <f aca="false">IF(H73&gt;0,RANK(H73,$H$2:$H$1780)+COUNTIF($H$2:H73,H73)-1,"")</f>
        <v>81</v>
      </c>
      <c r="AA73" s="56" t="n">
        <f aca="false">IF(AC73="","",RANK(AC73,$AC$2:$AC$1780)+COUNTIF($AC$2:AC73,AC73)-1)</f>
        <v>112</v>
      </c>
      <c r="AB73" s="56" t="str">
        <f aca="false">IF(AD73="","",RANK(AD73,$AD$2:$AD$1780)+COUNTIF($AD$2:AD73,AD73)-1)</f>
        <v/>
      </c>
      <c r="AC73" s="32" t="n">
        <f aca="false">IF(AND(F73&gt;0,E73&gt;=Settings!$B$4),J73,"")</f>
        <v>0.0520833333333333</v>
      </c>
      <c r="AD73" s="56" t="str">
        <f aca="false">IF(X73="HIGH RATE",O73,"")</f>
        <v/>
      </c>
    </row>
    <row r="74" customFormat="false" ht="15" hidden="false" customHeight="false" outlineLevel="0" collapsed="false">
      <c r="A74" s="56" t="s">
        <v>316</v>
      </c>
      <c r="B74" s="56" t="s">
        <v>948</v>
      </c>
      <c r="C74" s="56" t="s">
        <v>75</v>
      </c>
      <c r="D74" s="56" t="str">
        <f aca="false">IFERROR(INDEX('Brand Map'!$B$4:$B$124,MATCH(C74,'Brand Map'!$A$4:$A$124,0)),"Other")</f>
        <v>AURP</v>
      </c>
      <c r="E74" s="57" t="n">
        <v>1872</v>
      </c>
      <c r="F74" s="57" t="n">
        <v>92</v>
      </c>
      <c r="G74" s="58" t="n">
        <v>16182.24</v>
      </c>
      <c r="H74" s="58" t="n">
        <v>750.47</v>
      </c>
      <c r="I74" s="58" t="n">
        <v>15040.36</v>
      </c>
      <c r="J74" s="32" t="n">
        <f aca="false">IF(E74&gt;0,F74/E74,0)</f>
        <v>0.0491452991452991</v>
      </c>
      <c r="K74" s="32" t="n">
        <f aca="false">IF(G74&gt;0,H74/G74,0)</f>
        <v>0.046376150644163</v>
      </c>
      <c r="L74" s="59" t="n">
        <f aca="false">H74/Settings!$B$16</f>
        <v>0.00149983414229021</v>
      </c>
      <c r="M74" s="59" t="n">
        <f aca="false">H74/Settings!$B$20</f>
        <v>5.82622883662861E-005</v>
      </c>
      <c r="N74" s="60" t="n">
        <f aca="false">E74*Settings!$B$3</f>
        <v>58.0060748214238</v>
      </c>
      <c r="O74" s="60" t="n">
        <f aca="false">IF(E74&gt;0,(F74-N74)/SQRT(E74*Settings!$B$3*(1-Settings!$B$3)),0)</f>
        <v>4.534188624122</v>
      </c>
      <c r="P74" s="60" t="n">
        <f aca="false">MAX(0,F74-N74)</f>
        <v>33.9939251785762</v>
      </c>
      <c r="Q74" s="32" t="n">
        <f aca="false">(F74+Settings!$B$7*Settings!$B$3)/(E74+Settings!$B$7)</f>
        <v>0.0488588772515219</v>
      </c>
      <c r="R74" s="61" t="n">
        <f aca="false">PERCENTRANK($H$2:$H$1780,H74,6)</f>
        <v>0.928009</v>
      </c>
      <c r="S74" s="61" t="n">
        <f aca="false">PERCENTRANK($Q$2:$Q$1780,Q74,6)</f>
        <v>0.877953</v>
      </c>
      <c r="T74" s="61" t="n">
        <f aca="false">PERCENTRANK($F$2:$F$1780,F74,6)</f>
        <v>0.988751</v>
      </c>
      <c r="U74" s="62" t="n">
        <f aca="false">IF(F74&gt;0,(Settings!$B$8*T74+Settings!$B$9*R74+Settings!$B$10*S74)/SUM(Settings!$B$8:$B$10),0)</f>
        <v>0.931571</v>
      </c>
      <c r="V74" s="56" t="n">
        <f aca="false">IF(U74&gt;0,RANK(U74,$U$2:$U$1780)+COUNTIF($U$2:U74,U74)-1,"")</f>
        <v>73</v>
      </c>
      <c r="W74" s="56" t="str">
        <f aca="false">IF(V74="","",IF(V74&lt;=Settings!$B$11,"1 - Fix first",IF(V74&lt;=Settings!$B$12,"2 - Review","3 - Monitor")))</f>
        <v>2 - Review</v>
      </c>
      <c r="X74" s="56" t="str">
        <f aca="false">IF(AND(E74&gt;=Settings!$B$4,F74&gt;=Settings!$B$5,O74&gt;=Settings!$B$6),"HIGH RATE","")</f>
        <v>HIGH RATE</v>
      </c>
      <c r="Y74" s="56" t="n">
        <f aca="false">IF(F74&gt;0,RANK(F74,$F$2:$F$1780)+COUNTIF($F$2:F74,F74)-1,"")</f>
        <v>21</v>
      </c>
      <c r="Z74" s="56" t="n">
        <f aca="false">IF(H74&gt;0,RANK(H74,$H$2:$H$1780)+COUNTIF($H$2:H74,H74)-1,"")</f>
        <v>129</v>
      </c>
      <c r="AA74" s="56" t="n">
        <f aca="false">IF(AC74="","",RANK(AC74,$AC$2:$AC$1780)+COUNTIF($AC$2:AC74,AC74)-1)</f>
        <v>129</v>
      </c>
      <c r="AB74" s="56" t="n">
        <f aca="false">IF(AD74="","",RANK(AD74,$AD$2:$AD$1780)+COUNTIF($AD$2:AD74,AD74)-1)</f>
        <v>32</v>
      </c>
      <c r="AC74" s="32" t="n">
        <f aca="false">IF(AND(F74&gt;0,E74&gt;=Settings!$B$4),J74,"")</f>
        <v>0.0491452991452991</v>
      </c>
      <c r="AD74" s="60" t="n">
        <f aca="false">IF(X74="HIGH RATE",O74,"")</f>
        <v>4.534188624122</v>
      </c>
    </row>
    <row r="75" customFormat="false" ht="15" hidden="false" customHeight="false" outlineLevel="0" collapsed="false">
      <c r="A75" s="56" t="s">
        <v>949</v>
      </c>
      <c r="B75" s="56" t="s">
        <v>950</v>
      </c>
      <c r="C75" s="56" t="s">
        <v>51</v>
      </c>
      <c r="D75" s="56" t="str">
        <f aca="false">IFERROR(INDEX('Brand Map'!$B$4:$B$124,MATCH(C75,'Brand Map'!$A$4:$A$124,0)),"Other")</f>
        <v>AU</v>
      </c>
      <c r="E75" s="57" t="n">
        <v>622</v>
      </c>
      <c r="F75" s="57" t="n">
        <v>30</v>
      </c>
      <c r="G75" s="58" t="n">
        <v>36078</v>
      </c>
      <c r="H75" s="58" t="n">
        <v>1592.51</v>
      </c>
      <c r="I75" s="58" t="n">
        <v>32872.9</v>
      </c>
      <c r="J75" s="32" t="n">
        <f aca="false">IF(E75&gt;0,F75/E75,0)</f>
        <v>0.0482315112540193</v>
      </c>
      <c r="K75" s="32" t="n">
        <f aca="false">IF(G75&gt;0,H75/G75,0)</f>
        <v>0.044140750595931</v>
      </c>
      <c r="L75" s="59" t="n">
        <f aca="false">H75/Settings!$B$16</f>
        <v>0.00318267335128463</v>
      </c>
      <c r="M75" s="59" t="n">
        <f aca="false">H75/Settings!$B$20</f>
        <v>0.000123633558764767</v>
      </c>
      <c r="N75" s="60" t="n">
        <f aca="false">E75*Settings!$B$3</f>
        <v>19.2733859716483</v>
      </c>
      <c r="O75" s="60" t="n">
        <f aca="false">IF(E75&gt;0,(F75-N75)/SQRT(E75*Settings!$B$3*(1-Settings!$B$3)),0)</f>
        <v>2.48209644480397</v>
      </c>
      <c r="P75" s="60" t="n">
        <f aca="false">MAX(0,F75-N75)</f>
        <v>10.7266140283517</v>
      </c>
      <c r="Q75" s="32" t="n">
        <f aca="false">(F75+Settings!$B$7*Settings!$B$3)/(E75+Settings!$B$7)</f>
        <v>0.0474380130864948</v>
      </c>
      <c r="R75" s="61" t="n">
        <f aca="false">PERCENTRANK($H$2:$H$1780,H75,6)</f>
        <v>0.961192</v>
      </c>
      <c r="S75" s="61" t="n">
        <f aca="false">PERCENTRANK($Q$2:$Q$1780,Q75,6)</f>
        <v>0.869516</v>
      </c>
      <c r="T75" s="61" t="n">
        <f aca="false">PERCENTRANK($F$2:$F$1780,F75,6)</f>
        <v>0.963442</v>
      </c>
      <c r="U75" s="62" t="n">
        <f aca="false">IF(F75&gt;0,(Settings!$B$8*T75+Settings!$B$9*R75+Settings!$B$10*S75)/SUM(Settings!$B$8:$B$10),0)</f>
        <v>0.931383333333333</v>
      </c>
      <c r="V75" s="56" t="n">
        <f aca="false">IF(U75&gt;0,RANK(U75,$U$2:$U$1780)+COUNTIF($U$2:U75,U75)-1,"")</f>
        <v>74</v>
      </c>
      <c r="W75" s="56" t="str">
        <f aca="false">IF(V75="","",IF(V75&lt;=Settings!$B$11,"1 - Fix first",IF(V75&lt;=Settings!$B$12,"2 - Review","3 - Monitor")))</f>
        <v>2 - Review</v>
      </c>
      <c r="X75" s="56" t="str">
        <f aca="false">IF(AND(E75&gt;=Settings!$B$4,F75&gt;=Settings!$B$5,O75&gt;=Settings!$B$6),"HIGH RATE","")</f>
        <v/>
      </c>
      <c r="Y75" s="56" t="n">
        <f aca="false">IF(F75&gt;0,RANK(F75,$F$2:$F$1780)+COUNTIF($F$2:F75,F75)-1,"")</f>
        <v>65</v>
      </c>
      <c r="Z75" s="56" t="n">
        <f aca="false">IF(H75&gt;0,RANK(H75,$H$2:$H$1780)+COUNTIF($H$2:H75,H75)-1,"")</f>
        <v>70</v>
      </c>
      <c r="AA75" s="56" t="n">
        <f aca="false">IF(AC75="","",RANK(AC75,$AC$2:$AC$1780)+COUNTIF($AC$2:AC75,AC75)-1)</f>
        <v>136</v>
      </c>
      <c r="AB75" s="56" t="str">
        <f aca="false">IF(AD75="","",RANK(AD75,$AD$2:$AD$1780)+COUNTIF($AD$2:AD75,AD75)-1)</f>
        <v/>
      </c>
      <c r="AC75" s="32" t="n">
        <f aca="false">IF(AND(F75&gt;0,E75&gt;=Settings!$B$4),J75,"")</f>
        <v>0.0482315112540193</v>
      </c>
      <c r="AD75" s="56" t="str">
        <f aca="false">IF(X75="HIGH RATE",O75,"")</f>
        <v/>
      </c>
    </row>
    <row r="76" customFormat="false" ht="15" hidden="false" customHeight="false" outlineLevel="0" collapsed="false">
      <c r="A76" s="56" t="s">
        <v>951</v>
      </c>
      <c r="B76" s="56" t="s">
        <v>952</v>
      </c>
      <c r="C76" s="56" t="s">
        <v>51</v>
      </c>
      <c r="D76" s="56" t="str">
        <f aca="false">IFERROR(INDEX('Brand Map'!$B$4:$B$124,MATCH(C76,'Brand Map'!$A$4:$A$124,0)),"Other")</f>
        <v>AU</v>
      </c>
      <c r="E76" s="57" t="n">
        <v>19</v>
      </c>
      <c r="F76" s="57" t="n">
        <v>4</v>
      </c>
      <c r="G76" s="58" t="n">
        <v>3386.27</v>
      </c>
      <c r="H76" s="58" t="n">
        <v>726.19</v>
      </c>
      <c r="I76" s="58" t="n">
        <v>2484.62</v>
      </c>
      <c r="J76" s="32" t="n">
        <f aca="false">IF(E76&gt;0,F76/E76,0)</f>
        <v>0.210526315789474</v>
      </c>
      <c r="K76" s="32" t="n">
        <f aca="false">IF(G76&gt;0,H76/G76,0)</f>
        <v>0.214451298921823</v>
      </c>
      <c r="L76" s="59" t="n">
        <f aca="false">H76/Settings!$B$16</f>
        <v>0.00145130992016966</v>
      </c>
      <c r="M76" s="59" t="n">
        <f aca="false">H76/Settings!$B$20</f>
        <v>5.6377325127871E-005</v>
      </c>
      <c r="N76" s="60" t="n">
        <f aca="false">E76*Settings!$B$3</f>
        <v>0.588736870516588</v>
      </c>
      <c r="O76" s="60" t="n">
        <f aca="false">IF(E76&gt;0,(F76-N76)/SQRT(E76*Settings!$B$3*(1-Settings!$B$3)),0)</f>
        <v>4.51637100684585</v>
      </c>
      <c r="P76" s="60" t="n">
        <f aca="false">MAX(0,F76-N76)</f>
        <v>3.41126312948341</v>
      </c>
      <c r="Q76" s="32" t="n">
        <f aca="false">(F76+Settings!$B$7*Settings!$B$3)/(E76+Settings!$B$7)</f>
        <v>0.100603765967237</v>
      </c>
      <c r="R76" s="61" t="n">
        <f aca="false">PERCENTRANK($H$2:$H$1780,H76,6)</f>
        <v>0.924634</v>
      </c>
      <c r="S76" s="61" t="n">
        <f aca="false">PERCENTRANK($Q$2:$Q$1780,Q76,6)</f>
        <v>0.99775</v>
      </c>
      <c r="T76" s="61" t="n">
        <f aca="false">PERCENTRANK($F$2:$F$1780,F76,6)</f>
        <v>0.871766</v>
      </c>
      <c r="U76" s="62" t="n">
        <f aca="false">IF(F76&gt;0,(Settings!$B$8*T76+Settings!$B$9*R76+Settings!$B$10*S76)/SUM(Settings!$B$8:$B$10),0)</f>
        <v>0.931383333333333</v>
      </c>
      <c r="V76" s="56" t="n">
        <f aca="false">IF(U76&gt;0,RANK(U76,$U$2:$U$1780)+COUNTIF($U$2:U76,U76)-1,"")</f>
        <v>75</v>
      </c>
      <c r="W76" s="56" t="str">
        <f aca="false">IF(V76="","",IF(V76&lt;=Settings!$B$11,"1 - Fix first",IF(V76&lt;=Settings!$B$12,"2 - Review","3 - Monitor")))</f>
        <v>2 - Review</v>
      </c>
      <c r="X76" s="56" t="str">
        <f aca="false">IF(AND(E76&gt;=Settings!$B$4,F76&gt;=Settings!$B$5,O76&gt;=Settings!$B$6),"HIGH RATE","")</f>
        <v/>
      </c>
      <c r="Y76" s="56" t="n">
        <f aca="false">IF(F76&gt;0,RANK(F76,$F$2:$F$1780)+COUNTIF($F$2:F76,F76)-1,"")</f>
        <v>200</v>
      </c>
      <c r="Z76" s="56" t="n">
        <f aca="false">IF(H76&gt;0,RANK(H76,$H$2:$H$1780)+COUNTIF($H$2:H76,H76)-1,"")</f>
        <v>135</v>
      </c>
      <c r="AA76" s="56" t="str">
        <f aca="false">IF(AC76="","",RANK(AC76,$AC$2:$AC$1780)+COUNTIF($AC$2:AC76,AC76)-1)</f>
        <v/>
      </c>
      <c r="AB76" s="56" t="str">
        <f aca="false">IF(AD76="","",RANK(AD76,$AD$2:$AD$1780)+COUNTIF($AD$2:AD76,AD76)-1)</f>
        <v/>
      </c>
      <c r="AC76" s="56" t="str">
        <f aca="false">IF(AND(F76&gt;0,E76&gt;=Settings!$B$4),J76,"")</f>
        <v/>
      </c>
      <c r="AD76" s="56" t="str">
        <f aca="false">IF(X76="HIGH RATE",O76,"")</f>
        <v/>
      </c>
    </row>
    <row r="77" customFormat="false" ht="15" hidden="false" customHeight="false" outlineLevel="0" collapsed="false">
      <c r="A77" s="56" t="s">
        <v>559</v>
      </c>
      <c r="B77" s="56" t="s">
        <v>560</v>
      </c>
      <c r="C77" s="56" t="s">
        <v>111</v>
      </c>
      <c r="D77" s="56" t="str">
        <f aca="false">IFERROR(INDEX('Brand Map'!$B$4:$B$124,MATCH(C77,'Brand Map'!$A$4:$A$124,0)),"Other")</f>
        <v>AUFS</v>
      </c>
      <c r="E77" s="57" t="n">
        <v>260</v>
      </c>
      <c r="F77" s="57" t="n">
        <v>14</v>
      </c>
      <c r="G77" s="58" t="n">
        <v>33776.61</v>
      </c>
      <c r="H77" s="58" t="n">
        <v>1691.72</v>
      </c>
      <c r="I77" s="58" t="n">
        <v>30915.84</v>
      </c>
      <c r="J77" s="32" t="n">
        <f aca="false">IF(E77&gt;0,F77/E77,0)</f>
        <v>0.0538461538461539</v>
      </c>
      <c r="K77" s="32" t="n">
        <f aca="false">IF(G77&gt;0,H77/G77,0)</f>
        <v>0.0500855473654698</v>
      </c>
      <c r="L77" s="59" t="n">
        <f aca="false">H77/Settings!$B$16</f>
        <v>0.00338094716003996</v>
      </c>
      <c r="M77" s="59" t="n">
        <f aca="false">H77/Settings!$B$20</f>
        <v>0.000131335667614979</v>
      </c>
      <c r="N77" s="60" t="n">
        <f aca="false">E77*Settings!$B$3</f>
        <v>8.05639928075331</v>
      </c>
      <c r="O77" s="60" t="n">
        <f aca="false">IF(E77&gt;0,(F77-N77)/SQRT(E77*Settings!$B$3*(1-Settings!$B$3)),0)</f>
        <v>2.12722850340819</v>
      </c>
      <c r="P77" s="60" t="n">
        <f aca="false">MAX(0,F77-N77)</f>
        <v>5.94360071924669</v>
      </c>
      <c r="Q77" s="32" t="n">
        <f aca="false">(F77+Settings!$B$7*Settings!$B$3)/(E77+Settings!$B$7)</f>
        <v>0.0514813259737745</v>
      </c>
      <c r="R77" s="61" t="n">
        <f aca="false">PERCENTRANK($H$2:$H$1780,H77,6)</f>
        <v>0.962317</v>
      </c>
      <c r="S77" s="61" t="n">
        <f aca="false">PERCENTRANK($Q$2:$Q$1780,Q77,6)</f>
        <v>0.893138</v>
      </c>
      <c r="T77" s="61" t="n">
        <f aca="false">PERCENTRANK($F$2:$F$1780,F77,6)</f>
        <v>0.938133</v>
      </c>
      <c r="U77" s="62" t="n">
        <f aca="false">IF(F77&gt;0,(Settings!$B$8*T77+Settings!$B$9*R77+Settings!$B$10*S77)/SUM(Settings!$B$8:$B$10),0)</f>
        <v>0.931196</v>
      </c>
      <c r="V77" s="56" t="n">
        <f aca="false">IF(U77&gt;0,RANK(U77,$U$2:$U$1780)+COUNTIF($U$2:U77,U77)-1,"")</f>
        <v>76</v>
      </c>
      <c r="W77" s="56" t="str">
        <f aca="false">IF(V77="","",IF(V77&lt;=Settings!$B$11,"1 - Fix first",IF(V77&lt;=Settings!$B$12,"2 - Review","3 - Monitor")))</f>
        <v>2 - Review</v>
      </c>
      <c r="X77" s="56" t="str">
        <f aca="false">IF(AND(E77&gt;=Settings!$B$4,F77&gt;=Settings!$B$5,O77&gt;=Settings!$B$6),"HIGH RATE","")</f>
        <v/>
      </c>
      <c r="Y77" s="56" t="n">
        <f aca="false">IF(F77&gt;0,RANK(F77,$F$2:$F$1780)+COUNTIF($F$2:F77,F77)-1,"")</f>
        <v>108</v>
      </c>
      <c r="Z77" s="56" t="n">
        <f aca="false">IF(H77&gt;0,RANK(H77,$H$2:$H$1780)+COUNTIF($H$2:H77,H77)-1,"")</f>
        <v>68</v>
      </c>
      <c r="AA77" s="56" t="n">
        <f aca="false">IF(AC77="","",RANK(AC77,$AC$2:$AC$1780)+COUNTIF($AC$2:AC77,AC77)-1)</f>
        <v>99</v>
      </c>
      <c r="AB77" s="56" t="str">
        <f aca="false">IF(AD77="","",RANK(AD77,$AD$2:$AD$1780)+COUNTIF($AD$2:AD77,AD77)-1)</f>
        <v/>
      </c>
      <c r="AC77" s="32" t="n">
        <f aca="false">IF(AND(F77&gt;0,E77&gt;=Settings!$B$4),J77,"")</f>
        <v>0.0538461538461539</v>
      </c>
      <c r="AD77" s="56" t="str">
        <f aca="false">IF(X77="HIGH RATE",O77,"")</f>
        <v/>
      </c>
    </row>
    <row r="78" customFormat="false" ht="15" hidden="false" customHeight="false" outlineLevel="0" collapsed="false">
      <c r="A78" s="56" t="s">
        <v>953</v>
      </c>
      <c r="B78" s="56" t="s">
        <v>954</v>
      </c>
      <c r="C78" s="56" t="s">
        <v>114</v>
      </c>
      <c r="D78" s="56" t="str">
        <f aca="false">IFERROR(INDEX('Brand Map'!$B$4:$B$124,MATCH(C78,'Brand Map'!$A$4:$A$124,0)),"Other")</f>
        <v>SB</v>
      </c>
      <c r="E78" s="57" t="n">
        <v>252</v>
      </c>
      <c r="F78" s="57" t="n">
        <v>14</v>
      </c>
      <c r="G78" s="58" t="n">
        <v>20211.09</v>
      </c>
      <c r="H78" s="58" t="n">
        <v>1111.17</v>
      </c>
      <c r="I78" s="58" t="n">
        <v>18546.66</v>
      </c>
      <c r="J78" s="32" t="n">
        <f aca="false">IF(E78&gt;0,F78/E78,0)</f>
        <v>0.0555555555555556</v>
      </c>
      <c r="K78" s="32" t="n">
        <f aca="false">IF(G78&gt;0,H78/G78,0)</f>
        <v>0.0549782322477412</v>
      </c>
      <c r="L78" s="59" t="n">
        <f aca="false">H78/Settings!$B$16</f>
        <v>0.00222070263153572</v>
      </c>
      <c r="M78" s="59" t="n">
        <f aca="false">H78/Settings!$B$20</f>
        <v>8.62650165415888E-005</v>
      </c>
      <c r="N78" s="60" t="n">
        <f aca="false">E78*Settings!$B$3</f>
        <v>7.80851007211475</v>
      </c>
      <c r="O78" s="60" t="n">
        <f aca="false">IF(E78&gt;0,(F78-N78)/SQRT(E78*Settings!$B$3*(1-Settings!$B$3)),0)</f>
        <v>2.25084760272414</v>
      </c>
      <c r="P78" s="60" t="n">
        <f aca="false">MAX(0,F78-N78)</f>
        <v>6.19148992788526</v>
      </c>
      <c r="Q78" s="32" t="n">
        <f aca="false">(F78+Settings!$B$7*Settings!$B$3)/(E78+Settings!$B$7)</f>
        <v>0.0529417891219667</v>
      </c>
      <c r="R78" s="61" t="n">
        <f aca="false">PERCENTRANK($H$2:$H$1780,H78,6)</f>
        <v>0.947694</v>
      </c>
      <c r="S78" s="61" t="n">
        <f aca="false">PERCENTRANK($Q$2:$Q$1780,Q78,6)</f>
        <v>0.907199</v>
      </c>
      <c r="T78" s="61" t="n">
        <f aca="false">PERCENTRANK($F$2:$F$1780,F78,6)</f>
        <v>0.938133</v>
      </c>
      <c r="U78" s="62" t="n">
        <f aca="false">IF(F78&gt;0,(Settings!$B$8*T78+Settings!$B$9*R78+Settings!$B$10*S78)/SUM(Settings!$B$8:$B$10),0)</f>
        <v>0.931008666666667</v>
      </c>
      <c r="V78" s="56" t="n">
        <f aca="false">IF(U78&gt;0,RANK(U78,$U$2:$U$1780)+COUNTIF($U$2:U78,U78)-1,"")</f>
        <v>77</v>
      </c>
      <c r="W78" s="56" t="str">
        <f aca="false">IF(V78="","",IF(V78&lt;=Settings!$B$11,"1 - Fix first",IF(V78&lt;=Settings!$B$12,"2 - Review","3 - Monitor")))</f>
        <v>2 - Review</v>
      </c>
      <c r="X78" s="56" t="str">
        <f aca="false">IF(AND(E78&gt;=Settings!$B$4,F78&gt;=Settings!$B$5,O78&gt;=Settings!$B$6),"HIGH RATE","")</f>
        <v/>
      </c>
      <c r="Y78" s="56" t="n">
        <f aca="false">IF(F78&gt;0,RANK(F78,$F$2:$F$1780)+COUNTIF($F$2:F78,F78)-1,"")</f>
        <v>109</v>
      </c>
      <c r="Z78" s="56" t="n">
        <f aca="false">IF(H78&gt;0,RANK(H78,$H$2:$H$1780)+COUNTIF($H$2:H78,H78)-1,"")</f>
        <v>94</v>
      </c>
      <c r="AA78" s="56" t="n">
        <f aca="false">IF(AC78="","",RANK(AC78,$AC$2:$AC$1780)+COUNTIF($AC$2:AC78,AC78)-1)</f>
        <v>89</v>
      </c>
      <c r="AB78" s="56" t="str">
        <f aca="false">IF(AD78="","",RANK(AD78,$AD$2:$AD$1780)+COUNTIF($AD$2:AD78,AD78)-1)</f>
        <v/>
      </c>
      <c r="AC78" s="32" t="n">
        <f aca="false">IF(AND(F78&gt;0,E78&gt;=Settings!$B$4),J78,"")</f>
        <v>0.0555555555555556</v>
      </c>
      <c r="AD78" s="56" t="str">
        <f aca="false">IF(X78="HIGH RATE",O78,"")</f>
        <v/>
      </c>
    </row>
    <row r="79" customFormat="false" ht="15" hidden="false" customHeight="false" outlineLevel="0" collapsed="false">
      <c r="A79" s="56" t="s">
        <v>376</v>
      </c>
      <c r="B79" s="56" t="s">
        <v>375</v>
      </c>
      <c r="C79" s="56" t="s">
        <v>136</v>
      </c>
      <c r="D79" s="56" t="str">
        <f aca="false">IFERROR(INDEX('Brand Map'!$B$4:$B$124,MATCH(C79,'Brand Map'!$A$4:$A$124,0)),"Other")</f>
        <v>DCS</v>
      </c>
      <c r="E79" s="57" t="n">
        <v>109</v>
      </c>
      <c r="F79" s="57" t="n">
        <v>8</v>
      </c>
      <c r="G79" s="58" t="n">
        <v>9422.71</v>
      </c>
      <c r="H79" s="58" t="n">
        <v>609.82</v>
      </c>
      <c r="I79" s="58" t="n">
        <v>8206.86</v>
      </c>
      <c r="J79" s="32" t="n">
        <f aca="false">IF(E79&gt;0,F79/E79,0)</f>
        <v>0.073394495412844</v>
      </c>
      <c r="K79" s="32" t="n">
        <f aca="false">IF(G79&gt;0,H79/G79,0)</f>
        <v>0.0647181118807647</v>
      </c>
      <c r="L79" s="59" t="n">
        <f aca="false">H79/Settings!$B$16</f>
        <v>0.00121874139759273</v>
      </c>
      <c r="M79" s="59" t="n">
        <f aca="false">H79/Settings!$B$20</f>
        <v>4.73430099691242E-005</v>
      </c>
      <c r="N79" s="60" t="n">
        <f aca="false">E79*Settings!$B$3</f>
        <v>3.37749046770043</v>
      </c>
      <c r="O79" s="60" t="n">
        <f aca="false">IF(E79&gt;0,(F79-N79)/SQRT(E79*Settings!$B$3*(1-Settings!$B$3)),0)</f>
        <v>2.5551462168896</v>
      </c>
      <c r="P79" s="60" t="n">
        <f aca="false">MAX(0,F79-N79)</f>
        <v>4.62250953229957</v>
      </c>
      <c r="Q79" s="32" t="n">
        <f aca="false">(F79+Settings!$B$7*Settings!$B$3)/(E79+Settings!$B$7)</f>
        <v>0.0642416153409684</v>
      </c>
      <c r="R79" s="61" t="n">
        <f aca="false">PERCENTRANK($H$2:$H$1780,H79,6)</f>
        <v>0.915073</v>
      </c>
      <c r="S79" s="61" t="n">
        <f aca="false">PERCENTRANK($Q$2:$Q$1780,Q79,6)</f>
        <v>0.963442</v>
      </c>
      <c r="T79" s="61" t="n">
        <f aca="false">PERCENTRANK($F$2:$F$1780,F79,6)</f>
        <v>0.912823</v>
      </c>
      <c r="U79" s="62" t="n">
        <f aca="false">IF(F79&gt;0,(Settings!$B$8*T79+Settings!$B$9*R79+Settings!$B$10*S79)/SUM(Settings!$B$8:$B$10),0)</f>
        <v>0.930446</v>
      </c>
      <c r="V79" s="56" t="n">
        <f aca="false">IF(U79&gt;0,RANK(U79,$U$2:$U$1780)+COUNTIF($U$2:U79,U79)-1,"")</f>
        <v>78</v>
      </c>
      <c r="W79" s="56" t="str">
        <f aca="false">IF(V79="","",IF(V79&lt;=Settings!$B$11,"1 - Fix first",IF(V79&lt;=Settings!$B$12,"2 - Review","3 - Monitor")))</f>
        <v>2 - Review</v>
      </c>
      <c r="X79" s="56" t="str">
        <f aca="false">IF(AND(E79&gt;=Settings!$B$4,F79&gt;=Settings!$B$5,O79&gt;=Settings!$B$6),"HIGH RATE","")</f>
        <v/>
      </c>
      <c r="Y79" s="56" t="n">
        <f aca="false">IF(F79&gt;0,RANK(F79,$F$2:$F$1780)+COUNTIF($F$2:F79,F79)-1,"")</f>
        <v>151</v>
      </c>
      <c r="Z79" s="56" t="n">
        <f aca="false">IF(H79&gt;0,RANK(H79,$H$2:$H$1780)+COUNTIF($H$2:H79,H79)-1,"")</f>
        <v>152</v>
      </c>
      <c r="AA79" s="56" t="n">
        <f aca="false">IF(AC79="","",RANK(AC79,$AC$2:$AC$1780)+COUNTIF($AC$2:AC79,AC79)-1)</f>
        <v>40</v>
      </c>
      <c r="AB79" s="56" t="str">
        <f aca="false">IF(AD79="","",RANK(AD79,$AD$2:$AD$1780)+COUNTIF($AD$2:AD79,AD79)-1)</f>
        <v/>
      </c>
      <c r="AC79" s="32" t="n">
        <f aca="false">IF(AND(F79&gt;0,E79&gt;=Settings!$B$4),J79,"")</f>
        <v>0.073394495412844</v>
      </c>
      <c r="AD79" s="56" t="str">
        <f aca="false">IF(X79="HIGH RATE",O79,"")</f>
        <v/>
      </c>
    </row>
    <row r="80" customFormat="false" ht="15" hidden="false" customHeight="false" outlineLevel="0" collapsed="false">
      <c r="A80" s="56" t="s">
        <v>955</v>
      </c>
      <c r="B80" s="56" t="s">
        <v>956</v>
      </c>
      <c r="C80" s="56" t="s">
        <v>125</v>
      </c>
      <c r="D80" s="56" t="str">
        <f aca="false">IFERROR(INDEX('Brand Map'!$B$4:$B$124,MATCH(C80,'Brand Map'!$A$4:$A$124,0)),"Other")</f>
        <v>DCB</v>
      </c>
      <c r="E80" s="57" t="n">
        <v>207</v>
      </c>
      <c r="F80" s="57" t="n">
        <v>12</v>
      </c>
      <c r="G80" s="58" t="n">
        <v>18957.14</v>
      </c>
      <c r="H80" s="58" t="n">
        <v>957.93</v>
      </c>
      <c r="I80" s="58" t="n">
        <v>17201.65</v>
      </c>
      <c r="J80" s="32" t="n">
        <f aca="false">IF(E80&gt;0,F80/E80,0)</f>
        <v>0.0579710144927536</v>
      </c>
      <c r="K80" s="32" t="n">
        <f aca="false">IF(G80&gt;0,H80/G80,0)</f>
        <v>0.0505313565231886</v>
      </c>
      <c r="L80" s="59" t="n">
        <f aca="false">H80/Settings!$B$16</f>
        <v>0.00191444843887705</v>
      </c>
      <c r="M80" s="59" t="n">
        <f aca="false">H80/Settings!$B$20</f>
        <v>7.43683210451004E-005</v>
      </c>
      <c r="N80" s="60" t="n">
        <f aca="false">E80*Settings!$B$3</f>
        <v>6.41413327352283</v>
      </c>
      <c r="O80" s="60" t="n">
        <f aca="false">IF(E80&gt;0,(F80-N80)/SQRT(E80*Settings!$B$3*(1-Settings!$B$3)),0)</f>
        <v>2.24056004916402</v>
      </c>
      <c r="P80" s="60" t="n">
        <f aca="false">MAX(0,F80-N80)</f>
        <v>5.58586672647717</v>
      </c>
      <c r="Q80" s="32" t="n">
        <f aca="false">(F80+Settings!$B$7*Settings!$B$3)/(E80+Settings!$B$7)</f>
        <v>0.0545552089974456</v>
      </c>
      <c r="R80" s="61" t="n">
        <f aca="false">PERCENTRANK($H$2:$H$1780,H80,6)</f>
        <v>0.939258</v>
      </c>
      <c r="S80" s="61" t="n">
        <f aca="false">PERCENTRANK($Q$2:$Q$1780,Q80,6)</f>
        <v>0.91901</v>
      </c>
      <c r="T80" s="61" t="n">
        <f aca="false">PERCENTRANK($F$2:$F$1780,F80,6)</f>
        <v>0.930259</v>
      </c>
      <c r="U80" s="62" t="n">
        <f aca="false">IF(F80&gt;0,(Settings!$B$8*T80+Settings!$B$9*R80+Settings!$B$10*S80)/SUM(Settings!$B$8:$B$10),0)</f>
        <v>0.929509</v>
      </c>
      <c r="V80" s="56" t="n">
        <f aca="false">IF(U80&gt;0,RANK(U80,$U$2:$U$1780)+COUNTIF($U$2:U80,U80)-1,"")</f>
        <v>79</v>
      </c>
      <c r="W80" s="56" t="str">
        <f aca="false">IF(V80="","",IF(V80&lt;=Settings!$B$11,"1 - Fix first",IF(V80&lt;=Settings!$B$12,"2 - Review","3 - Monitor")))</f>
        <v>2 - Review</v>
      </c>
      <c r="X80" s="56" t="str">
        <f aca="false">IF(AND(E80&gt;=Settings!$B$4,F80&gt;=Settings!$B$5,O80&gt;=Settings!$B$6),"HIGH RATE","")</f>
        <v/>
      </c>
      <c r="Y80" s="56" t="n">
        <f aca="false">IF(F80&gt;0,RANK(F80,$F$2:$F$1780)+COUNTIF($F$2:F80,F80)-1,"")</f>
        <v>123</v>
      </c>
      <c r="Z80" s="56" t="n">
        <f aca="false">IF(H80&gt;0,RANK(H80,$H$2:$H$1780)+COUNTIF($H$2:H80,H80)-1,"")</f>
        <v>109</v>
      </c>
      <c r="AA80" s="56" t="n">
        <f aca="false">IF(AC80="","",RANK(AC80,$AC$2:$AC$1780)+COUNTIF($AC$2:AC80,AC80)-1)</f>
        <v>84</v>
      </c>
      <c r="AB80" s="56" t="str">
        <f aca="false">IF(AD80="","",RANK(AD80,$AD$2:$AD$1780)+COUNTIF($AD$2:AD80,AD80)-1)</f>
        <v/>
      </c>
      <c r="AC80" s="32" t="n">
        <f aca="false">IF(AND(F80&gt;0,E80&gt;=Settings!$B$4),J80,"")</f>
        <v>0.0579710144927536</v>
      </c>
      <c r="AD80" s="56" t="str">
        <f aca="false">IF(X80="HIGH RATE",O80,"")</f>
        <v/>
      </c>
    </row>
    <row r="81" customFormat="false" ht="15" hidden="false" customHeight="false" outlineLevel="0" collapsed="false">
      <c r="A81" s="56" t="s">
        <v>229</v>
      </c>
      <c r="B81" s="56" t="s">
        <v>957</v>
      </c>
      <c r="C81" s="56" t="s">
        <v>55</v>
      </c>
      <c r="D81" s="56" t="str">
        <f aca="false">IFERROR(INDEX('Brand Map'!$B$4:$B$124,MATCH(C81,'Brand Map'!$A$4:$A$124,0)),"Other")</f>
        <v>AUMJ</v>
      </c>
      <c r="E81" s="57" t="n">
        <v>509</v>
      </c>
      <c r="F81" s="57" t="n">
        <v>24</v>
      </c>
      <c r="G81" s="58" t="n">
        <v>55969.44</v>
      </c>
      <c r="H81" s="58" t="n">
        <v>2561.34</v>
      </c>
      <c r="I81" s="58" t="n">
        <v>51286.85</v>
      </c>
      <c r="J81" s="32" t="n">
        <f aca="false">IF(E81&gt;0,F81/E81,0)</f>
        <v>0.0471512770137525</v>
      </c>
      <c r="K81" s="32" t="n">
        <f aca="false">IF(G81&gt;0,H81/G81,0)</f>
        <v>0.0457631879111172</v>
      </c>
      <c r="L81" s="59" t="n">
        <f aca="false">H81/Settings!$B$16</f>
        <v>0.00511890572842832</v>
      </c>
      <c r="M81" s="59" t="n">
        <f aca="false">H81/Settings!$B$20</f>
        <v>0.000198848094772747</v>
      </c>
      <c r="N81" s="60" t="n">
        <f aca="false">E81*Settings!$B$3</f>
        <v>15.7719508996286</v>
      </c>
      <c r="O81" s="60" t="n">
        <f aca="false">IF(E81&gt;0,(F81-N81)/SQRT(E81*Settings!$B$3*(1-Settings!$B$3)),0)</f>
        <v>2.10469502503574</v>
      </c>
      <c r="P81" s="60" t="n">
        <f aca="false">MAX(0,F81-N81)</f>
        <v>8.22804910037141</v>
      </c>
      <c r="Q81" s="32" t="n">
        <f aca="false">(F81+Settings!$B$7*Settings!$B$3)/(E81+Settings!$B$7)</f>
        <v>0.0462515482975781</v>
      </c>
      <c r="R81" s="61" t="n">
        <f aca="false">PERCENTRANK($H$2:$H$1780,H81,6)</f>
        <v>0.973566</v>
      </c>
      <c r="S81" s="61" t="n">
        <f aca="false">PERCENTRANK($Q$2:$Q$1780,Q81,6)</f>
        <v>0.857143</v>
      </c>
      <c r="T81" s="61" t="n">
        <f aca="false">PERCENTRANK($F$2:$F$1780,F81,6)</f>
        <v>0.95613</v>
      </c>
      <c r="U81" s="62" t="n">
        <f aca="false">IF(F81&gt;0,(Settings!$B$8*T81+Settings!$B$9*R81+Settings!$B$10*S81)/SUM(Settings!$B$8:$B$10),0)</f>
        <v>0.928946333333333</v>
      </c>
      <c r="V81" s="56" t="n">
        <f aca="false">IF(U81&gt;0,RANK(U81,$U$2:$U$1780)+COUNTIF($U$2:U81,U81)-1,"")</f>
        <v>80</v>
      </c>
      <c r="W81" s="56" t="str">
        <f aca="false">IF(V81="","",IF(V81&lt;=Settings!$B$11,"1 - Fix first",IF(V81&lt;=Settings!$B$12,"2 - Review","3 - Monitor")))</f>
        <v>2 - Review</v>
      </c>
      <c r="X81" s="56" t="str">
        <f aca="false">IF(AND(E81&gt;=Settings!$B$4,F81&gt;=Settings!$B$5,O81&gt;=Settings!$B$6),"HIGH RATE","")</f>
        <v/>
      </c>
      <c r="Y81" s="56" t="n">
        <f aca="false">IF(F81&gt;0,RANK(F81,$F$2:$F$1780)+COUNTIF($F$2:F81,F81)-1,"")</f>
        <v>77</v>
      </c>
      <c r="Z81" s="56" t="n">
        <f aca="false">IF(H81&gt;0,RANK(H81,$H$2:$H$1780)+COUNTIF($H$2:H81,H81)-1,"")</f>
        <v>48</v>
      </c>
      <c r="AA81" s="56" t="n">
        <f aca="false">IF(AC81="","",RANK(AC81,$AC$2:$AC$1780)+COUNTIF($AC$2:AC81,AC81)-1)</f>
        <v>144</v>
      </c>
      <c r="AB81" s="56" t="str">
        <f aca="false">IF(AD81="","",RANK(AD81,$AD$2:$AD$1780)+COUNTIF($AD$2:AD81,AD81)-1)</f>
        <v/>
      </c>
      <c r="AC81" s="32" t="n">
        <f aca="false">IF(AND(F81&gt;0,E81&gt;=Settings!$B$4),J81,"")</f>
        <v>0.0471512770137525</v>
      </c>
      <c r="AD81" s="56" t="str">
        <f aca="false">IF(X81="HIGH RATE",O81,"")</f>
        <v/>
      </c>
    </row>
    <row r="82" customFormat="false" ht="15" hidden="false" customHeight="false" outlineLevel="0" collapsed="false">
      <c r="A82" s="56" t="s">
        <v>257</v>
      </c>
      <c r="B82" s="56" t="s">
        <v>371</v>
      </c>
      <c r="C82" s="56" t="s">
        <v>63</v>
      </c>
      <c r="D82" s="56" t="str">
        <f aca="false">IFERROR(INDEX('Brand Map'!$B$4:$B$124,MATCH(C82,'Brand Map'!$A$4:$A$124,0)),"Other")</f>
        <v>AUSGF</v>
      </c>
      <c r="E82" s="57" t="n">
        <v>11490</v>
      </c>
      <c r="F82" s="57" t="n">
        <v>419</v>
      </c>
      <c r="G82" s="58" t="n">
        <v>728580.45</v>
      </c>
      <c r="H82" s="58" t="n">
        <v>25834.89</v>
      </c>
      <c r="I82" s="58" t="n">
        <v>663971.03</v>
      </c>
      <c r="J82" s="32" t="n">
        <f aca="false">IF(E82&gt;0,F82/E82,0)</f>
        <v>0.0364664926022628</v>
      </c>
      <c r="K82" s="32" t="n">
        <f aca="false">IF(G82&gt;0,H82/G82,0)</f>
        <v>0.0354592138726753</v>
      </c>
      <c r="L82" s="59" t="n">
        <f aca="false">H82/Settings!$B$16</f>
        <v>0.0516317109069141</v>
      </c>
      <c r="M82" s="59" t="n">
        <f aca="false">H82/Settings!$B$20</f>
        <v>0.00200567619104199</v>
      </c>
      <c r="N82" s="60" t="n">
        <f aca="false">E82*Settings!$B$3</f>
        <v>356.030875907137</v>
      </c>
      <c r="O82" s="60" t="n">
        <f aca="false">IF(E82&gt;0,(F82-N82)/SQRT(E82*Settings!$B$3*(1-Settings!$B$3)),0)</f>
        <v>3.39014933322057</v>
      </c>
      <c r="P82" s="60" t="n">
        <f aca="false">MAX(0,F82-N82)</f>
        <v>62.9691240928634</v>
      </c>
      <c r="Q82" s="32" t="n">
        <f aca="false">(F82+Settings!$B$7*Settings!$B$3)/(E82+Settings!$B$7)</f>
        <v>0.0364522208795481</v>
      </c>
      <c r="R82" s="61" t="n">
        <f aca="false">PERCENTRANK($H$2:$H$1780,H82,6)</f>
        <v>0.999438</v>
      </c>
      <c r="S82" s="61" t="n">
        <f aca="false">PERCENTRANK($Q$2:$Q$1780,Q82,6)</f>
        <v>0.786277</v>
      </c>
      <c r="T82" s="61" t="n">
        <f aca="false">PERCENTRANK($F$2:$F$1780,F82,6)</f>
        <v>1</v>
      </c>
      <c r="U82" s="62" t="n">
        <f aca="false">IF(F82&gt;0,(Settings!$B$8*T82+Settings!$B$9*R82+Settings!$B$10*S82)/SUM(Settings!$B$8:$B$10),0)</f>
        <v>0.928571666666667</v>
      </c>
      <c r="V82" s="56" t="n">
        <f aca="false">IF(U82&gt;0,RANK(U82,$U$2:$U$1780)+COUNTIF($U$2:U82,U82)-1,"")</f>
        <v>81</v>
      </c>
      <c r="W82" s="56" t="str">
        <f aca="false">IF(V82="","",IF(V82&lt;=Settings!$B$11,"1 - Fix first",IF(V82&lt;=Settings!$B$12,"2 - Review","3 - Monitor")))</f>
        <v>2 - Review</v>
      </c>
      <c r="X82" s="56" t="str">
        <f aca="false">IF(AND(E82&gt;=Settings!$B$4,F82&gt;=Settings!$B$5,O82&gt;=Settings!$B$6),"HIGH RATE","")</f>
        <v>HIGH RATE</v>
      </c>
      <c r="Y82" s="56" t="n">
        <f aca="false">IF(F82&gt;0,RANK(F82,$F$2:$F$1780)+COUNTIF($F$2:F82,F82)-1,"")</f>
        <v>1</v>
      </c>
      <c r="Z82" s="56" t="n">
        <f aca="false">IF(H82&gt;0,RANK(H82,$H$2:$H$1780)+COUNTIF($H$2:H82,H82)-1,"")</f>
        <v>2</v>
      </c>
      <c r="AA82" s="56" t="n">
        <f aca="false">IF(AC82="","",RANK(AC82,$AC$2:$AC$1780)+COUNTIF($AC$2:AC82,AC82)-1)</f>
        <v>219</v>
      </c>
      <c r="AB82" s="56" t="n">
        <f aca="false">IF(AD82="","",RANK(AD82,$AD$2:$AD$1780)+COUNTIF($AD$2:AD82,AD82)-1)</f>
        <v>55</v>
      </c>
      <c r="AC82" s="32" t="n">
        <f aca="false">IF(AND(F82&gt;0,E82&gt;=Settings!$B$4),J82,"")</f>
        <v>0.0364664926022628</v>
      </c>
      <c r="AD82" s="60" t="n">
        <f aca="false">IF(X82="HIGH RATE",O82,"")</f>
        <v>3.39014933322057</v>
      </c>
    </row>
    <row r="83" customFormat="false" ht="15" hidden="false" customHeight="false" outlineLevel="0" collapsed="false">
      <c r="A83" s="56" t="s">
        <v>222</v>
      </c>
      <c r="B83" s="56" t="s">
        <v>958</v>
      </c>
      <c r="C83" s="56" t="s">
        <v>55</v>
      </c>
      <c r="D83" s="56" t="str">
        <f aca="false">IFERROR(INDEX('Brand Map'!$B$4:$B$124,MATCH(C83,'Brand Map'!$A$4:$A$124,0)),"Other")</f>
        <v>AUMJ</v>
      </c>
      <c r="E83" s="57" t="n">
        <v>2769</v>
      </c>
      <c r="F83" s="57" t="n">
        <v>106</v>
      </c>
      <c r="G83" s="58" t="n">
        <v>240065.78</v>
      </c>
      <c r="H83" s="58" t="n">
        <v>8978.84</v>
      </c>
      <c r="I83" s="58" t="n">
        <v>224824.44</v>
      </c>
      <c r="J83" s="32" t="n">
        <f aca="false">IF(E83&gt;0,F83/E83,0)</f>
        <v>0.0382809678584327</v>
      </c>
      <c r="K83" s="32" t="n">
        <f aca="false">IF(G83&gt;0,H83/G83,0)</f>
        <v>0.0374015821830167</v>
      </c>
      <c r="L83" s="59" t="n">
        <f aca="false">H83/Settings!$B$16</f>
        <v>0.0179444491987168</v>
      </c>
      <c r="M83" s="59" t="n">
        <f aca="false">H83/Settings!$B$20</f>
        <v>0.000697066858468353</v>
      </c>
      <c r="N83" s="60" t="n">
        <f aca="false">E83*Settings!$B$3</f>
        <v>85.8006523400227</v>
      </c>
      <c r="O83" s="60" t="n">
        <f aca="false">IF(E83&gt;0,(F83-N83)/SQRT(E83*Settings!$B$3*(1-Settings!$B$3)),0)</f>
        <v>2.21527199475757</v>
      </c>
      <c r="P83" s="60" t="n">
        <f aca="false">MAX(0,F83-N83)</f>
        <v>20.1993476599773</v>
      </c>
      <c r="Q83" s="32" t="n">
        <f aca="false">(F83+Settings!$B$7*Settings!$B$3)/(E83+Settings!$B$7)</f>
        <v>0.0382027811834207</v>
      </c>
      <c r="R83" s="61" t="n">
        <f aca="false">PERCENTRANK($H$2:$H$1780,H83,6)</f>
        <v>0.996063</v>
      </c>
      <c r="S83" s="61" t="n">
        <f aca="false">PERCENTRANK($Q$2:$Q$1780,Q83,6)</f>
        <v>0.796963</v>
      </c>
      <c r="T83" s="61" t="n">
        <f aca="false">PERCENTRANK($F$2:$F$1780,F83,6)</f>
        <v>0.992688</v>
      </c>
      <c r="U83" s="62" t="n">
        <f aca="false">IF(F83&gt;0,(Settings!$B$8*T83+Settings!$B$9*R83+Settings!$B$10*S83)/SUM(Settings!$B$8:$B$10),0)</f>
        <v>0.928571333333333</v>
      </c>
      <c r="V83" s="56" t="n">
        <f aca="false">IF(U83&gt;0,RANK(U83,$U$2:$U$1780)+COUNTIF($U$2:U83,U83)-1,"")</f>
        <v>82</v>
      </c>
      <c r="W83" s="56" t="str">
        <f aca="false">IF(V83="","",IF(V83&lt;=Settings!$B$11,"1 - Fix first",IF(V83&lt;=Settings!$B$12,"2 - Review","3 - Monitor")))</f>
        <v>2 - Review</v>
      </c>
      <c r="X83" s="56" t="str">
        <f aca="false">IF(AND(E83&gt;=Settings!$B$4,F83&gt;=Settings!$B$5,O83&gt;=Settings!$B$6),"HIGH RATE","")</f>
        <v/>
      </c>
      <c r="Y83" s="56" t="n">
        <f aca="false">IF(F83&gt;0,RANK(F83,$F$2:$F$1780)+COUNTIF($F$2:F83,F83)-1,"")</f>
        <v>14</v>
      </c>
      <c r="Z83" s="56" t="n">
        <f aca="false">IF(H83&gt;0,RANK(H83,$H$2:$H$1780)+COUNTIF($H$2:H83,H83)-1,"")</f>
        <v>8</v>
      </c>
      <c r="AA83" s="56" t="n">
        <f aca="false">IF(AC83="","",RANK(AC83,$AC$2:$AC$1780)+COUNTIF($AC$2:AC83,AC83)-1)</f>
        <v>208</v>
      </c>
      <c r="AB83" s="56" t="str">
        <f aca="false">IF(AD83="","",RANK(AD83,$AD$2:$AD$1780)+COUNTIF($AD$2:AD83,AD83)-1)</f>
        <v/>
      </c>
      <c r="AC83" s="32" t="n">
        <f aca="false">IF(AND(F83&gt;0,E83&gt;=Settings!$B$4),J83,"")</f>
        <v>0.0382809678584327</v>
      </c>
      <c r="AD83" s="56" t="str">
        <f aca="false">IF(X83="HIGH RATE",O83,"")</f>
        <v/>
      </c>
    </row>
    <row r="84" customFormat="false" ht="15" hidden="false" customHeight="false" outlineLevel="0" collapsed="false">
      <c r="A84" s="56" t="s">
        <v>278</v>
      </c>
      <c r="B84" s="56" t="s">
        <v>959</v>
      </c>
      <c r="C84" s="56" t="s">
        <v>67</v>
      </c>
      <c r="D84" s="56" t="str">
        <f aca="false">IFERROR(INDEX('Brand Map'!$B$4:$B$124,MATCH(C84,'Brand Map'!$A$4:$A$124,0)),"Other")</f>
        <v>MJ</v>
      </c>
      <c r="E84" s="57" t="n">
        <v>496</v>
      </c>
      <c r="F84" s="57" t="n">
        <v>25</v>
      </c>
      <c r="G84" s="58" t="n">
        <v>22003.46</v>
      </c>
      <c r="H84" s="58" t="n">
        <v>1085.57</v>
      </c>
      <c r="I84" s="58" t="n">
        <v>19239.13</v>
      </c>
      <c r="J84" s="32" t="n">
        <f aca="false">IF(E84&gt;0,F84/E84,0)</f>
        <v>0.0504032258064516</v>
      </c>
      <c r="K84" s="32" t="n">
        <f aca="false">IF(G84&gt;0,H84/G84,0)</f>
        <v>0.0493363316496587</v>
      </c>
      <c r="L84" s="59" t="n">
        <f aca="false">H84/Settings!$B$16</f>
        <v>0.00216954035450582</v>
      </c>
      <c r="M84" s="59" t="n">
        <f aca="false">H84/Settings!$B$20</f>
        <v>8.42775758948249E-005</v>
      </c>
      <c r="N84" s="60" t="n">
        <f aca="false">E84*Settings!$B$3</f>
        <v>15.3691309355909</v>
      </c>
      <c r="O84" s="60" t="n">
        <f aca="false">IF(E84&gt;0,(F84-N84)/SQRT(E84*Settings!$B$3*(1-Settings!$B$3)),0)</f>
        <v>2.49560490908794</v>
      </c>
      <c r="P84" s="60" t="n">
        <f aca="false">MAX(0,F84-N84)</f>
        <v>9.63086906440907</v>
      </c>
      <c r="Q84" s="32" t="n">
        <f aca="false">(F84+Settings!$B$7*Settings!$B$3)/(E84+Settings!$B$7)</f>
        <v>0.0492957880844004</v>
      </c>
      <c r="R84" s="61" t="n">
        <f aca="false">PERCENTRANK($H$2:$H$1780,H84,6)</f>
        <v>0.944882</v>
      </c>
      <c r="S84" s="61" t="n">
        <f aca="false">PERCENTRANK($Q$2:$Q$1780,Q84,6)</f>
        <v>0.881327</v>
      </c>
      <c r="T84" s="61" t="n">
        <f aca="false">PERCENTRANK($F$2:$F$1780,F84,6)</f>
        <v>0.958943</v>
      </c>
      <c r="U84" s="62" t="n">
        <f aca="false">IF(F84&gt;0,(Settings!$B$8*T84+Settings!$B$9*R84+Settings!$B$10*S84)/SUM(Settings!$B$8:$B$10),0)</f>
        <v>0.928384</v>
      </c>
      <c r="V84" s="56" t="n">
        <f aca="false">IF(U84&gt;0,RANK(U84,$U$2:$U$1780)+COUNTIF($U$2:U84,U84)-1,"")</f>
        <v>83</v>
      </c>
      <c r="W84" s="56" t="str">
        <f aca="false">IF(V84="","",IF(V84&lt;=Settings!$B$11,"1 - Fix first",IF(V84&lt;=Settings!$B$12,"2 - Review","3 - Monitor")))</f>
        <v>2 - Review</v>
      </c>
      <c r="X84" s="56" t="str">
        <f aca="false">IF(AND(E84&gt;=Settings!$B$4,F84&gt;=Settings!$B$5,O84&gt;=Settings!$B$6),"HIGH RATE","")</f>
        <v/>
      </c>
      <c r="Y84" s="56" t="n">
        <f aca="false">IF(F84&gt;0,RANK(F84,$F$2:$F$1780)+COUNTIF($F$2:F84,F84)-1,"")</f>
        <v>74</v>
      </c>
      <c r="Z84" s="56" t="n">
        <f aca="false">IF(H84&gt;0,RANK(H84,$H$2:$H$1780)+COUNTIF($H$2:H84,H84)-1,"")</f>
        <v>99</v>
      </c>
      <c r="AA84" s="56" t="n">
        <f aca="false">IF(AC84="","",RANK(AC84,$AC$2:$AC$1780)+COUNTIF($AC$2:AC84,AC84)-1)</f>
        <v>121</v>
      </c>
      <c r="AB84" s="56" t="str">
        <f aca="false">IF(AD84="","",RANK(AD84,$AD$2:$AD$1780)+COUNTIF($AD$2:AD84,AD84)-1)</f>
        <v/>
      </c>
      <c r="AC84" s="32" t="n">
        <f aca="false">IF(AND(F84&gt;0,E84&gt;=Settings!$B$4),J84,"")</f>
        <v>0.0504032258064516</v>
      </c>
      <c r="AD84" s="56" t="str">
        <f aca="false">IF(X84="HIGH RATE",O84,"")</f>
        <v/>
      </c>
    </row>
    <row r="85" customFormat="false" ht="15" hidden="false" customHeight="false" outlineLevel="0" collapsed="false">
      <c r="A85" s="56" t="s">
        <v>960</v>
      </c>
      <c r="B85" s="56" t="s">
        <v>961</v>
      </c>
      <c r="C85" s="56" t="s">
        <v>91</v>
      </c>
      <c r="D85" s="56" t="str">
        <f aca="false">IFERROR(INDEX('Brand Map'!$B$4:$B$124,MATCH(C85,'Brand Map'!$A$4:$A$124,0)),"Other")</f>
        <v>AUBC</v>
      </c>
      <c r="E85" s="57" t="n">
        <v>483</v>
      </c>
      <c r="F85" s="57" t="n">
        <v>23</v>
      </c>
      <c r="G85" s="58" t="n">
        <v>50492.47</v>
      </c>
      <c r="H85" s="58" t="n">
        <v>2285.51</v>
      </c>
      <c r="I85" s="58" t="n">
        <v>46430.42</v>
      </c>
      <c r="J85" s="32" t="n">
        <f aca="false">IF(E85&gt;0,F85/E85,0)</f>
        <v>0.0476190476190476</v>
      </c>
      <c r="K85" s="32" t="n">
        <f aca="false">IF(G85&gt;0,H85/G85,0)</f>
        <v>0.0452643730837489</v>
      </c>
      <c r="L85" s="59" t="n">
        <f aca="false">H85/Settings!$B$16</f>
        <v>0.0045676521786956</v>
      </c>
      <c r="M85" s="59" t="n">
        <f aca="false">H85/Settings!$B$20</f>
        <v>0.000177434198147868</v>
      </c>
      <c r="N85" s="60" t="n">
        <f aca="false">E85*Settings!$B$3</f>
        <v>14.9663109715533</v>
      </c>
      <c r="O85" s="60" t="n">
        <f aca="false">IF(E85&gt;0,(F85-N85)/SQRT(E85*Settings!$B$3*(1-Settings!$B$3)),0)</f>
        <v>2.10956369370374</v>
      </c>
      <c r="P85" s="60" t="n">
        <f aca="false">MAX(0,F85-N85)</f>
        <v>8.03368902844674</v>
      </c>
      <c r="Q85" s="32" t="n">
        <f aca="false">(F85+Settings!$B$7*Settings!$B$3)/(E85+Settings!$B$7)</f>
        <v>0.0466463636109057</v>
      </c>
      <c r="R85" s="61" t="n">
        <f aca="false">PERCENTRANK($H$2:$H$1780,H85,6)</f>
        <v>0.969629</v>
      </c>
      <c r="S85" s="61" t="n">
        <f aca="false">PERCENTRANK($Q$2:$Q$1780,Q85,6)</f>
        <v>0.859955</v>
      </c>
      <c r="T85" s="61" t="n">
        <f aca="false">PERCENTRANK($F$2:$F$1780,F85,6)</f>
        <v>0.955006</v>
      </c>
      <c r="U85" s="62" t="n">
        <f aca="false">IF(F85&gt;0,(Settings!$B$8*T85+Settings!$B$9*R85+Settings!$B$10*S85)/SUM(Settings!$B$8:$B$10),0)</f>
        <v>0.928196666666667</v>
      </c>
      <c r="V85" s="56" t="n">
        <f aca="false">IF(U85&gt;0,RANK(U85,$U$2:$U$1780)+COUNTIF($U$2:U85,U85)-1,"")</f>
        <v>84</v>
      </c>
      <c r="W85" s="56" t="str">
        <f aca="false">IF(V85="","",IF(V85&lt;=Settings!$B$11,"1 - Fix first",IF(V85&lt;=Settings!$B$12,"2 - Review","3 - Monitor")))</f>
        <v>2 - Review</v>
      </c>
      <c r="X85" s="56" t="str">
        <f aca="false">IF(AND(E85&gt;=Settings!$B$4,F85&gt;=Settings!$B$5,O85&gt;=Settings!$B$6),"HIGH RATE","")</f>
        <v/>
      </c>
      <c r="Y85" s="56" t="n">
        <f aca="false">IF(F85&gt;0,RANK(F85,$F$2:$F$1780)+COUNTIF($F$2:F85,F85)-1,"")</f>
        <v>81</v>
      </c>
      <c r="Z85" s="56" t="n">
        <f aca="false">IF(H85&gt;0,RANK(H85,$H$2:$H$1780)+COUNTIF($H$2:H85,H85)-1,"")</f>
        <v>55</v>
      </c>
      <c r="AA85" s="56" t="n">
        <f aca="false">IF(AC85="","",RANK(AC85,$AC$2:$AC$1780)+COUNTIF($AC$2:AC85,AC85)-1)</f>
        <v>139</v>
      </c>
      <c r="AB85" s="56" t="str">
        <f aca="false">IF(AD85="","",RANK(AD85,$AD$2:$AD$1780)+COUNTIF($AD$2:AD85,AD85)-1)</f>
        <v/>
      </c>
      <c r="AC85" s="32" t="n">
        <f aca="false">IF(AND(F85&gt;0,E85&gt;=Settings!$B$4),J85,"")</f>
        <v>0.0476190476190476</v>
      </c>
      <c r="AD85" s="56" t="str">
        <f aca="false">IF(X85="HIGH RATE",O85,"")</f>
        <v/>
      </c>
    </row>
    <row r="86" customFormat="false" ht="15" hidden="false" customHeight="false" outlineLevel="0" collapsed="false">
      <c r="A86" s="56" t="s">
        <v>962</v>
      </c>
      <c r="B86" s="56" t="s">
        <v>963</v>
      </c>
      <c r="C86" s="56" t="s">
        <v>51</v>
      </c>
      <c r="D86" s="56" t="str">
        <f aca="false">IFERROR(INDEX('Brand Map'!$B$4:$B$124,MATCH(C86,'Brand Map'!$A$4:$A$124,0)),"Other")</f>
        <v>AU</v>
      </c>
      <c r="E86" s="57" t="n">
        <v>73</v>
      </c>
      <c r="F86" s="57" t="n">
        <v>6</v>
      </c>
      <c r="G86" s="58" t="n">
        <v>7586.42</v>
      </c>
      <c r="H86" s="58" t="n">
        <v>608.81</v>
      </c>
      <c r="I86" s="58" t="n">
        <v>6698.58</v>
      </c>
      <c r="J86" s="32" t="n">
        <f aca="false">IF(E86&gt;0,F86/E86,0)</f>
        <v>0.0821917808219178</v>
      </c>
      <c r="K86" s="32" t="n">
        <f aca="false">IF(G86&gt;0,H86/G86,0)</f>
        <v>0.0802499729780318</v>
      </c>
      <c r="L86" s="59" t="n">
        <f aca="false">H86/Settings!$B$16</f>
        <v>0.00121672288588178</v>
      </c>
      <c r="M86" s="59" t="n">
        <f aca="false">H86/Settings!$B$20</f>
        <v>4.72645992248573E-005</v>
      </c>
      <c r="N86" s="60" t="n">
        <f aca="false">E86*Settings!$B$3</f>
        <v>2.26198902882689</v>
      </c>
      <c r="O86" s="60" t="n">
        <f aca="false">IF(E86&gt;0,(F86-N86)/SQRT(E86*Settings!$B$3*(1-Settings!$B$3)),0)</f>
        <v>2.52481948212005</v>
      </c>
      <c r="P86" s="60" t="n">
        <f aca="false">MAX(0,F86-N86)</f>
        <v>3.73801097117311</v>
      </c>
      <c r="Q86" s="32" t="n">
        <f aca="false">(F86+Settings!$B$7*Settings!$B$3)/(E86+Settings!$B$7)</f>
        <v>0.0672775197319865</v>
      </c>
      <c r="R86" s="61" t="n">
        <f aca="false">PERCENTRANK($H$2:$H$1780,H86,6)</f>
        <v>0.914511</v>
      </c>
      <c r="S86" s="61" t="n">
        <f aca="false">PERCENTRANK($Q$2:$Q$1780,Q86,6)</f>
        <v>0.969066</v>
      </c>
      <c r="T86" s="61" t="n">
        <f aca="false">PERCENTRANK($F$2:$F$1780,F86,6)</f>
        <v>0.898763</v>
      </c>
      <c r="U86" s="62" t="n">
        <f aca="false">IF(F86&gt;0,(Settings!$B$8*T86+Settings!$B$9*R86+Settings!$B$10*S86)/SUM(Settings!$B$8:$B$10),0)</f>
        <v>0.927446666666667</v>
      </c>
      <c r="V86" s="56" t="n">
        <f aca="false">IF(U86&gt;0,RANK(U86,$U$2:$U$1780)+COUNTIF($U$2:U86,U86)-1,"")</f>
        <v>85</v>
      </c>
      <c r="W86" s="56" t="str">
        <f aca="false">IF(V86="","",IF(V86&lt;=Settings!$B$11,"1 - Fix first",IF(V86&lt;=Settings!$B$12,"2 - Review","3 - Monitor")))</f>
        <v>2 - Review</v>
      </c>
      <c r="X86" s="56" t="str">
        <f aca="false">IF(AND(E86&gt;=Settings!$B$4,F86&gt;=Settings!$B$5,O86&gt;=Settings!$B$6),"HIGH RATE","")</f>
        <v/>
      </c>
      <c r="Y86" s="56" t="n">
        <f aca="false">IF(F86&gt;0,RANK(F86,$F$2:$F$1780)+COUNTIF($F$2:F86,F86)-1,"")</f>
        <v>167</v>
      </c>
      <c r="Z86" s="56" t="n">
        <f aca="false">IF(H86&gt;0,RANK(H86,$H$2:$H$1780)+COUNTIF($H$2:H86,H86)-1,"")</f>
        <v>153</v>
      </c>
      <c r="AA86" s="56" t="n">
        <f aca="false">IF(AC86="","",RANK(AC86,$AC$2:$AC$1780)+COUNTIF($AC$2:AC86,AC86)-1)</f>
        <v>30</v>
      </c>
      <c r="AB86" s="56" t="str">
        <f aca="false">IF(AD86="","",RANK(AD86,$AD$2:$AD$1780)+COUNTIF($AD$2:AD86,AD86)-1)</f>
        <v/>
      </c>
      <c r="AC86" s="32" t="n">
        <f aca="false">IF(AND(F86&gt;0,E86&gt;=Settings!$B$4),J86,"")</f>
        <v>0.0821917808219178</v>
      </c>
      <c r="AD86" s="56" t="str">
        <f aca="false">IF(X86="HIGH RATE",O86,"")</f>
        <v/>
      </c>
    </row>
    <row r="87" customFormat="false" ht="15" hidden="false" customHeight="false" outlineLevel="0" collapsed="false">
      <c r="A87" s="56" t="s">
        <v>964</v>
      </c>
      <c r="B87" s="56" t="s">
        <v>965</v>
      </c>
      <c r="C87" s="56" t="s">
        <v>51</v>
      </c>
      <c r="D87" s="56" t="str">
        <f aca="false">IFERROR(INDEX('Brand Map'!$B$4:$B$124,MATCH(C87,'Brand Map'!$A$4:$A$124,0)),"Other")</f>
        <v>AU</v>
      </c>
      <c r="E87" s="57" t="n">
        <v>74</v>
      </c>
      <c r="F87" s="57" t="n">
        <v>6</v>
      </c>
      <c r="G87" s="58" t="n">
        <v>7746.59</v>
      </c>
      <c r="H87" s="58" t="n">
        <v>602.71</v>
      </c>
      <c r="I87" s="58" t="n">
        <v>6767.2</v>
      </c>
      <c r="J87" s="32" t="n">
        <f aca="false">IF(E87&gt;0,F87/E87,0)</f>
        <v>0.0810810810810811</v>
      </c>
      <c r="K87" s="32" t="n">
        <f aca="false">IF(G87&gt;0,H87/G87,0)</f>
        <v>0.0778032656949703</v>
      </c>
      <c r="L87" s="59" t="n">
        <f aca="false">H87/Settings!$B$16</f>
        <v>0.00120453187455825</v>
      </c>
      <c r="M87" s="59" t="n">
        <f aca="false">H87/Settings!$B$20</f>
        <v>4.67910293832456E-005</v>
      </c>
      <c r="N87" s="60" t="n">
        <f aca="false">E87*Settings!$B$3</f>
        <v>2.29297517990671</v>
      </c>
      <c r="O87" s="60" t="n">
        <f aca="false">IF(E87&gt;0,(F87-N87)/SQRT(E87*Settings!$B$3*(1-Settings!$B$3)),0)</f>
        <v>2.48691433088587</v>
      </c>
      <c r="P87" s="60" t="n">
        <f aca="false">MAX(0,F87-N87)</f>
        <v>3.70702482009329</v>
      </c>
      <c r="Q87" s="32" t="n">
        <f aca="false">(F87+Settings!$B$7*Settings!$B$3)/(E87+Settings!$B$7)</f>
        <v>0.0666306205037943</v>
      </c>
      <c r="R87" s="61" t="n">
        <f aca="false">PERCENTRANK($H$2:$H$1780,H87,6)</f>
        <v>0.913948</v>
      </c>
      <c r="S87" s="61" t="n">
        <f aca="false">PERCENTRANK($Q$2:$Q$1780,Q87,6)</f>
        <v>0.968504</v>
      </c>
      <c r="T87" s="61" t="n">
        <f aca="false">PERCENTRANK($F$2:$F$1780,F87,6)</f>
        <v>0.898763</v>
      </c>
      <c r="U87" s="62" t="n">
        <f aca="false">IF(F87&gt;0,(Settings!$B$8*T87+Settings!$B$9*R87+Settings!$B$10*S87)/SUM(Settings!$B$8:$B$10),0)</f>
        <v>0.927071666666667</v>
      </c>
      <c r="V87" s="56" t="n">
        <f aca="false">IF(U87&gt;0,RANK(U87,$U$2:$U$1780)+COUNTIF($U$2:U87,U87)-1,"")</f>
        <v>86</v>
      </c>
      <c r="W87" s="56" t="str">
        <f aca="false">IF(V87="","",IF(V87&lt;=Settings!$B$11,"1 - Fix first",IF(V87&lt;=Settings!$B$12,"2 - Review","3 - Monitor")))</f>
        <v>2 - Review</v>
      </c>
      <c r="X87" s="56" t="str">
        <f aca="false">IF(AND(E87&gt;=Settings!$B$4,F87&gt;=Settings!$B$5,O87&gt;=Settings!$B$6),"HIGH RATE","")</f>
        <v/>
      </c>
      <c r="Y87" s="56" t="n">
        <f aca="false">IF(F87&gt;0,RANK(F87,$F$2:$F$1780)+COUNTIF($F$2:F87,F87)-1,"")</f>
        <v>168</v>
      </c>
      <c r="Z87" s="56" t="n">
        <f aca="false">IF(H87&gt;0,RANK(H87,$H$2:$H$1780)+COUNTIF($H$2:H87,H87)-1,"")</f>
        <v>154</v>
      </c>
      <c r="AA87" s="56" t="n">
        <f aca="false">IF(AC87="","",RANK(AC87,$AC$2:$AC$1780)+COUNTIF($AC$2:AC87,AC87)-1)</f>
        <v>32</v>
      </c>
      <c r="AB87" s="56" t="str">
        <f aca="false">IF(AD87="","",RANK(AD87,$AD$2:$AD$1780)+COUNTIF($AD$2:AD87,AD87)-1)</f>
        <v/>
      </c>
      <c r="AC87" s="32" t="n">
        <f aca="false">IF(AND(F87&gt;0,E87&gt;=Settings!$B$4),J87,"")</f>
        <v>0.0810810810810811</v>
      </c>
      <c r="AD87" s="56" t="str">
        <f aca="false">IF(X87="HIGH RATE",O87,"")</f>
        <v/>
      </c>
    </row>
    <row r="88" customFormat="false" ht="15" hidden="false" customHeight="false" outlineLevel="0" collapsed="false">
      <c r="A88" s="56" t="s">
        <v>232</v>
      </c>
      <c r="B88" s="56" t="s">
        <v>966</v>
      </c>
      <c r="C88" s="56" t="s">
        <v>55</v>
      </c>
      <c r="D88" s="56" t="str">
        <f aca="false">IFERROR(INDEX('Brand Map'!$B$4:$B$124,MATCH(C88,'Brand Map'!$A$4:$A$124,0)),"Other")</f>
        <v>AUMJ</v>
      </c>
      <c r="E88" s="57" t="n">
        <v>512</v>
      </c>
      <c r="F88" s="57" t="n">
        <v>24</v>
      </c>
      <c r="G88" s="58" t="n">
        <v>45622.7</v>
      </c>
      <c r="H88" s="58" t="n">
        <v>2079.38</v>
      </c>
      <c r="I88" s="58" t="n">
        <v>42264.19</v>
      </c>
      <c r="J88" s="32" t="n">
        <f aca="false">IF(E88&gt;0,F88/E88,0)</f>
        <v>0.046875</v>
      </c>
      <c r="K88" s="32" t="n">
        <f aca="false">IF(G88&gt;0,H88/G88,0)</f>
        <v>0.0455777496728602</v>
      </c>
      <c r="L88" s="59" t="n">
        <f aca="false">H88/Settings!$B$16</f>
        <v>0.00415569592228258</v>
      </c>
      <c r="M88" s="59" t="n">
        <f aca="false">H88/Settings!$B$20</f>
        <v>0.000161431419221405</v>
      </c>
      <c r="N88" s="60" t="n">
        <f aca="false">E88*Settings!$B$3</f>
        <v>15.8649093528681</v>
      </c>
      <c r="O88" s="60" t="n">
        <f aca="false">IF(E88&gt;0,(F88-N88)/SQRT(E88*Settings!$B$3*(1-Settings!$B$3)),0)</f>
        <v>2.07481131163016</v>
      </c>
      <c r="P88" s="60" t="n">
        <f aca="false">MAX(0,F88-N88)</f>
        <v>8.13509064713195</v>
      </c>
      <c r="Q88" s="32" t="n">
        <f aca="false">(F88+Settings!$B$7*Settings!$B$3)/(E88+Settings!$B$7)</f>
        <v>0.0459955434177022</v>
      </c>
      <c r="R88" s="61" t="n">
        <f aca="false">PERCENTRANK($H$2:$H$1780,H88,6)</f>
        <v>0.967942</v>
      </c>
      <c r="S88" s="61" t="n">
        <f aca="false">PERCENTRANK($Q$2:$Q$1780,Q88,6)</f>
        <v>0.856018</v>
      </c>
      <c r="T88" s="61" t="n">
        <f aca="false">PERCENTRANK($F$2:$F$1780,F88,6)</f>
        <v>0.95613</v>
      </c>
      <c r="U88" s="62" t="n">
        <f aca="false">IF(F88&gt;0,(Settings!$B$8*T88+Settings!$B$9*R88+Settings!$B$10*S88)/SUM(Settings!$B$8:$B$10),0)</f>
        <v>0.926696666666667</v>
      </c>
      <c r="V88" s="56" t="n">
        <f aca="false">IF(U88&gt;0,RANK(U88,$U$2:$U$1780)+COUNTIF($U$2:U88,U88)-1,"")</f>
        <v>87</v>
      </c>
      <c r="W88" s="56" t="str">
        <f aca="false">IF(V88="","",IF(V88&lt;=Settings!$B$11,"1 - Fix first",IF(V88&lt;=Settings!$B$12,"2 - Review","3 - Monitor")))</f>
        <v>2 - Review</v>
      </c>
      <c r="X88" s="56" t="str">
        <f aca="false">IF(AND(E88&gt;=Settings!$B$4,F88&gt;=Settings!$B$5,O88&gt;=Settings!$B$6),"HIGH RATE","")</f>
        <v/>
      </c>
      <c r="Y88" s="56" t="n">
        <f aca="false">IF(F88&gt;0,RANK(F88,$F$2:$F$1780)+COUNTIF($F$2:F88,F88)-1,"")</f>
        <v>78</v>
      </c>
      <c r="Z88" s="56" t="n">
        <f aca="false">IF(H88&gt;0,RANK(H88,$H$2:$H$1780)+COUNTIF($H$2:H88,H88)-1,"")</f>
        <v>58</v>
      </c>
      <c r="AA88" s="56" t="n">
        <f aca="false">IF(AC88="","",RANK(AC88,$AC$2:$AC$1780)+COUNTIF($AC$2:AC88,AC88)-1)</f>
        <v>145</v>
      </c>
      <c r="AB88" s="56" t="str">
        <f aca="false">IF(AD88="","",RANK(AD88,$AD$2:$AD$1780)+COUNTIF($AD$2:AD88,AD88)-1)</f>
        <v/>
      </c>
      <c r="AC88" s="32" t="n">
        <f aca="false">IF(AND(F88&gt;0,E88&gt;=Settings!$B$4),J88,"")</f>
        <v>0.046875</v>
      </c>
      <c r="AD88" s="56" t="str">
        <f aca="false">IF(X88="HIGH RATE",O88,"")</f>
        <v/>
      </c>
    </row>
    <row r="89" customFormat="false" ht="15" hidden="false" customHeight="false" outlineLevel="0" collapsed="false">
      <c r="A89" s="56" t="s">
        <v>293</v>
      </c>
      <c r="B89" s="56" t="s">
        <v>371</v>
      </c>
      <c r="C89" s="56" t="s">
        <v>71</v>
      </c>
      <c r="D89" s="56" t="str">
        <f aca="false">IFERROR(INDEX('Brand Map'!$B$4:$B$124,MATCH(C89,'Brand Map'!$A$4:$A$124,0)),"Other")</f>
        <v>GF</v>
      </c>
      <c r="E89" s="57" t="n">
        <v>685</v>
      </c>
      <c r="F89" s="57" t="n">
        <v>31</v>
      </c>
      <c r="G89" s="58" t="n">
        <v>54982.86</v>
      </c>
      <c r="H89" s="58" t="n">
        <v>2403.45</v>
      </c>
      <c r="I89" s="58" t="n">
        <v>52544.43</v>
      </c>
      <c r="J89" s="32" t="n">
        <f aca="false">IF(E89&gt;0,F89/E89,0)</f>
        <v>0.0452554744525548</v>
      </c>
      <c r="K89" s="32" t="n">
        <f aca="false">IF(G89&gt;0,H89/G89,0)</f>
        <v>0.0437127133801334</v>
      </c>
      <c r="L89" s="59" t="n">
        <f aca="false">H89/Settings!$B$16</f>
        <v>0.00480335838779351</v>
      </c>
      <c r="M89" s="59" t="n">
        <f aca="false">H89/Settings!$B$20</f>
        <v>0.00018659039931503</v>
      </c>
      <c r="N89" s="60" t="n">
        <f aca="false">E89*Settings!$B$3</f>
        <v>21.225513489677</v>
      </c>
      <c r="O89" s="60" t="n">
        <f aca="false">IF(E89&gt;0,(F89-N89)/SQRT(E89*Settings!$B$3*(1-Settings!$B$3)),0)</f>
        <v>2.15526093315444</v>
      </c>
      <c r="P89" s="60" t="n">
        <f aca="false">MAX(0,F89-N89)</f>
        <v>9.77448651032302</v>
      </c>
      <c r="Q89" s="32" t="n">
        <f aca="false">(F89+Settings!$B$7*Settings!$B$3)/(E89+Settings!$B$7)</f>
        <v>0.0446567615837687</v>
      </c>
      <c r="R89" s="61" t="n">
        <f aca="false">PERCENTRANK($H$2:$H$1780,H89,6)</f>
        <v>0.971316</v>
      </c>
      <c r="S89" s="61" t="n">
        <f aca="false">PERCENTRANK($Q$2:$Q$1780,Q89,6)</f>
        <v>0.843645</v>
      </c>
      <c r="T89" s="61" t="n">
        <f aca="false">PERCENTRANK($F$2:$F$1780,F89,6)</f>
        <v>0.964567</v>
      </c>
      <c r="U89" s="62" t="n">
        <f aca="false">IF(F89&gt;0,(Settings!$B$8*T89+Settings!$B$9*R89+Settings!$B$10*S89)/SUM(Settings!$B$8:$B$10),0)</f>
        <v>0.926509333333333</v>
      </c>
      <c r="V89" s="56" t="n">
        <f aca="false">IF(U89&gt;0,RANK(U89,$U$2:$U$1780)+COUNTIF($U$2:U89,U89)-1,"")</f>
        <v>88</v>
      </c>
      <c r="W89" s="56" t="str">
        <f aca="false">IF(V89="","",IF(V89&lt;=Settings!$B$11,"1 - Fix first",IF(V89&lt;=Settings!$B$12,"2 - Review","3 - Monitor")))</f>
        <v>2 - Review</v>
      </c>
      <c r="X89" s="56" t="str">
        <f aca="false">IF(AND(E89&gt;=Settings!$B$4,F89&gt;=Settings!$B$5,O89&gt;=Settings!$B$6),"HIGH RATE","")</f>
        <v/>
      </c>
      <c r="Y89" s="56" t="n">
        <f aca="false">IF(F89&gt;0,RANK(F89,$F$2:$F$1780)+COUNTIF($F$2:F89,F89)-1,"")</f>
        <v>63</v>
      </c>
      <c r="Z89" s="56" t="n">
        <f aca="false">IF(H89&gt;0,RANK(H89,$H$2:$H$1780)+COUNTIF($H$2:H89,H89)-1,"")</f>
        <v>52</v>
      </c>
      <c r="AA89" s="56" t="n">
        <f aca="false">IF(AC89="","",RANK(AC89,$AC$2:$AC$1780)+COUNTIF($AC$2:AC89,AC89)-1)</f>
        <v>158</v>
      </c>
      <c r="AB89" s="56" t="str">
        <f aca="false">IF(AD89="","",RANK(AD89,$AD$2:$AD$1780)+COUNTIF($AD$2:AD89,AD89)-1)</f>
        <v/>
      </c>
      <c r="AC89" s="32" t="n">
        <f aca="false">IF(AND(F89&gt;0,E89&gt;=Settings!$B$4),J89,"")</f>
        <v>0.0452554744525548</v>
      </c>
      <c r="AD89" s="56" t="str">
        <f aca="false">IF(X89="HIGH RATE",O89,"")</f>
        <v/>
      </c>
    </row>
    <row r="90" customFormat="false" ht="15" hidden="false" customHeight="false" outlineLevel="0" collapsed="false">
      <c r="A90" s="56" t="s">
        <v>967</v>
      </c>
      <c r="B90" s="56" t="s">
        <v>968</v>
      </c>
      <c r="C90" s="56" t="s">
        <v>51</v>
      </c>
      <c r="D90" s="56" t="str">
        <f aca="false">IFERROR(INDEX('Brand Map'!$B$4:$B$124,MATCH(C90,'Brand Map'!$A$4:$A$124,0)),"Other")</f>
        <v>AU</v>
      </c>
      <c r="E90" s="57" t="n">
        <v>647</v>
      </c>
      <c r="F90" s="57" t="n">
        <v>30</v>
      </c>
      <c r="G90" s="58" t="n">
        <v>45992.11</v>
      </c>
      <c r="H90" s="58" t="n">
        <v>1929.03</v>
      </c>
      <c r="I90" s="58" t="n">
        <v>41924.09</v>
      </c>
      <c r="J90" s="32" t="n">
        <f aca="false">IF(E90&gt;0,F90/E90,0)</f>
        <v>0.0463678516228748</v>
      </c>
      <c r="K90" s="32" t="n">
        <f aca="false">IF(G90&gt;0,H90/G90,0)</f>
        <v>0.0419426288552537</v>
      </c>
      <c r="L90" s="59" t="n">
        <f aca="false">H90/Settings!$B$16</f>
        <v>0.00385521747105424</v>
      </c>
      <c r="M90" s="59" t="n">
        <f aca="false">H90/Settings!$B$20</f>
        <v>0.000149759087141681</v>
      </c>
      <c r="N90" s="60" t="n">
        <f aca="false">E90*Settings!$B$3</f>
        <v>20.0480397486438</v>
      </c>
      <c r="O90" s="60" t="n">
        <f aca="false">IF(E90&gt;0,(F90-N90)/SQRT(E90*Settings!$B$3*(1-Settings!$B$3)),0)</f>
        <v>2.25791549237275</v>
      </c>
      <c r="P90" s="60" t="n">
        <f aca="false">MAX(0,F90-N90)</f>
        <v>9.95196025135619</v>
      </c>
      <c r="Q90" s="32" t="n">
        <f aca="false">(F90+Settings!$B$7*Settings!$B$3)/(E90+Settings!$B$7)</f>
        <v>0.0456862400773923</v>
      </c>
      <c r="R90" s="61" t="n">
        <f aca="false">PERCENTRANK($H$2:$H$1780,H90,6)</f>
        <v>0.965692</v>
      </c>
      <c r="S90" s="61" t="n">
        <f aca="false">PERCENTRANK($Q$2:$Q$1780,Q90,6)</f>
        <v>0.849831</v>
      </c>
      <c r="T90" s="61" t="n">
        <f aca="false">PERCENTRANK($F$2:$F$1780,F90,6)</f>
        <v>0.963442</v>
      </c>
      <c r="U90" s="62" t="n">
        <f aca="false">IF(F90&gt;0,(Settings!$B$8*T90+Settings!$B$9*R90+Settings!$B$10*S90)/SUM(Settings!$B$8:$B$10),0)</f>
        <v>0.926321666666667</v>
      </c>
      <c r="V90" s="56" t="n">
        <f aca="false">IF(U90&gt;0,RANK(U90,$U$2:$U$1780)+COUNTIF($U$2:U90,U90)-1,"")</f>
        <v>89</v>
      </c>
      <c r="W90" s="56" t="str">
        <f aca="false">IF(V90="","",IF(V90&lt;=Settings!$B$11,"1 - Fix first",IF(V90&lt;=Settings!$B$12,"2 - Review","3 - Monitor")))</f>
        <v>2 - Review</v>
      </c>
      <c r="X90" s="56" t="str">
        <f aca="false">IF(AND(E90&gt;=Settings!$B$4,F90&gt;=Settings!$B$5,O90&gt;=Settings!$B$6),"HIGH RATE","")</f>
        <v/>
      </c>
      <c r="Y90" s="56" t="n">
        <f aca="false">IF(F90&gt;0,RANK(F90,$F$2:$F$1780)+COUNTIF($F$2:F90,F90)-1,"")</f>
        <v>66</v>
      </c>
      <c r="Z90" s="56" t="n">
        <f aca="false">IF(H90&gt;0,RANK(H90,$H$2:$H$1780)+COUNTIF($H$2:H90,H90)-1,"")</f>
        <v>62</v>
      </c>
      <c r="AA90" s="56" t="n">
        <f aca="false">IF(AC90="","",RANK(AC90,$AC$2:$AC$1780)+COUNTIF($AC$2:AC90,AC90)-1)</f>
        <v>149</v>
      </c>
      <c r="AB90" s="56" t="str">
        <f aca="false">IF(AD90="","",RANK(AD90,$AD$2:$AD$1780)+COUNTIF($AD$2:AD90,AD90)-1)</f>
        <v/>
      </c>
      <c r="AC90" s="32" t="n">
        <f aca="false">IF(AND(F90&gt;0,E90&gt;=Settings!$B$4),J90,"")</f>
        <v>0.0463678516228748</v>
      </c>
      <c r="AD90" s="56" t="str">
        <f aca="false">IF(X90="HIGH RATE",O90,"")</f>
        <v/>
      </c>
    </row>
    <row r="91" customFormat="false" ht="15" hidden="false" customHeight="false" outlineLevel="0" collapsed="false">
      <c r="A91" s="56" t="s">
        <v>561</v>
      </c>
      <c r="B91" s="56" t="s">
        <v>562</v>
      </c>
      <c r="C91" s="56" t="s">
        <v>114</v>
      </c>
      <c r="D91" s="56" t="str">
        <f aca="false">IFERROR(INDEX('Brand Map'!$B$4:$B$124,MATCH(C91,'Brand Map'!$A$4:$A$124,0)),"Other")</f>
        <v>SB</v>
      </c>
      <c r="E91" s="57" t="n">
        <v>295</v>
      </c>
      <c r="F91" s="57" t="n">
        <v>15</v>
      </c>
      <c r="G91" s="58" t="n">
        <v>32018.91</v>
      </c>
      <c r="H91" s="58" t="n">
        <v>1383.44</v>
      </c>
      <c r="I91" s="58" t="n">
        <v>29075.03</v>
      </c>
      <c r="J91" s="32" t="n">
        <f aca="false">IF(E91&gt;0,F91/E91,0)</f>
        <v>0.0508474576271187</v>
      </c>
      <c r="K91" s="32" t="n">
        <f aca="false">IF(G91&gt;0,H91/G91,0)</f>
        <v>0.0432069673827123</v>
      </c>
      <c r="L91" s="59" t="n">
        <f aca="false">H91/Settings!$B$16</f>
        <v>0.00276484142711896</v>
      </c>
      <c r="M91" s="59" t="n">
        <f aca="false">H91/Settings!$B$20</f>
        <v>0.000107402534701527</v>
      </c>
      <c r="N91" s="60" t="n">
        <f aca="false">E91*Settings!$B$3</f>
        <v>9.14091456854702</v>
      </c>
      <c r="O91" s="60" t="n">
        <f aca="false">IF(E91&gt;0,(F91-N91)/SQRT(E91*Settings!$B$3*(1-Settings!$B$3)),0)</f>
        <v>1.96865681019967</v>
      </c>
      <c r="P91" s="60" t="n">
        <f aca="false">MAX(0,F91-N91)</f>
        <v>5.85908543145298</v>
      </c>
      <c r="Q91" s="32" t="n">
        <f aca="false">(F91+Settings!$B$7*Settings!$B$3)/(E91+Settings!$B$7)</f>
        <v>0.0490141062535219</v>
      </c>
      <c r="R91" s="61" t="n">
        <f aca="false">PERCENTRANK($H$2:$H$1780,H91,6)</f>
        <v>0.956693</v>
      </c>
      <c r="S91" s="61" t="n">
        <f aca="false">PERCENTRANK($Q$2:$Q$1780,Q91,6)</f>
        <v>0.879078</v>
      </c>
      <c r="T91" s="61" t="n">
        <f aca="false">PERCENTRANK($F$2:$F$1780,F91,6)</f>
        <v>0.940945</v>
      </c>
      <c r="U91" s="62" t="n">
        <f aca="false">IF(F91&gt;0,(Settings!$B$8*T91+Settings!$B$9*R91+Settings!$B$10*S91)/SUM(Settings!$B$8:$B$10),0)</f>
        <v>0.925572</v>
      </c>
      <c r="V91" s="56" t="n">
        <f aca="false">IF(U91&gt;0,RANK(U91,$U$2:$U$1780)+COUNTIF($U$2:U91,U91)-1,"")</f>
        <v>90</v>
      </c>
      <c r="W91" s="56" t="str">
        <f aca="false">IF(V91="","",IF(V91&lt;=Settings!$B$11,"1 - Fix first",IF(V91&lt;=Settings!$B$12,"2 - Review","3 - Monitor")))</f>
        <v>2 - Review</v>
      </c>
      <c r="X91" s="56" t="str">
        <f aca="false">IF(AND(E91&gt;=Settings!$B$4,F91&gt;=Settings!$B$5,O91&gt;=Settings!$B$6),"HIGH RATE","")</f>
        <v/>
      </c>
      <c r="Y91" s="56" t="n">
        <f aca="false">IF(F91&gt;0,RANK(F91,$F$2:$F$1780)+COUNTIF($F$2:F91,F91)-1,"")</f>
        <v>103</v>
      </c>
      <c r="Z91" s="56" t="n">
        <f aca="false">IF(H91&gt;0,RANK(H91,$H$2:$H$1780)+COUNTIF($H$2:H91,H91)-1,"")</f>
        <v>78</v>
      </c>
      <c r="AA91" s="56" t="n">
        <f aca="false">IF(AC91="","",RANK(AC91,$AC$2:$AC$1780)+COUNTIF($AC$2:AC91,AC91)-1)</f>
        <v>118</v>
      </c>
      <c r="AB91" s="56" t="str">
        <f aca="false">IF(AD91="","",RANK(AD91,$AD$2:$AD$1780)+COUNTIF($AD$2:AD91,AD91)-1)</f>
        <v/>
      </c>
      <c r="AC91" s="32" t="n">
        <f aca="false">IF(AND(F91&gt;0,E91&gt;=Settings!$B$4),J91,"")</f>
        <v>0.0508474576271187</v>
      </c>
      <c r="AD91" s="56" t="str">
        <f aca="false">IF(X91="HIGH RATE",O91,"")</f>
        <v/>
      </c>
    </row>
    <row r="92" customFormat="false" ht="15" hidden="false" customHeight="false" outlineLevel="0" collapsed="false">
      <c r="A92" s="56" t="s">
        <v>969</v>
      </c>
      <c r="B92" s="56" t="s">
        <v>970</v>
      </c>
      <c r="C92" s="56" t="s">
        <v>51</v>
      </c>
      <c r="D92" s="56" t="str">
        <f aca="false">IFERROR(INDEX('Brand Map'!$B$4:$B$124,MATCH(C92,'Brand Map'!$A$4:$A$124,0)),"Other")</f>
        <v>AU</v>
      </c>
      <c r="E92" s="57" t="n">
        <v>328</v>
      </c>
      <c r="F92" s="57" t="n">
        <v>16</v>
      </c>
      <c r="G92" s="58" t="n">
        <v>41721.51</v>
      </c>
      <c r="H92" s="58" t="n">
        <v>1912.71</v>
      </c>
      <c r="I92" s="58" t="n">
        <v>38950.18</v>
      </c>
      <c r="J92" s="32" t="n">
        <f aca="false">IF(E92&gt;0,F92/E92,0)</f>
        <v>0.0487804878048781</v>
      </c>
      <c r="K92" s="32" t="n">
        <f aca="false">IF(G92&gt;0,H92/G92,0)</f>
        <v>0.0458446973755264</v>
      </c>
      <c r="L92" s="59" t="n">
        <f aca="false">H92/Settings!$B$16</f>
        <v>0.00382260151944768</v>
      </c>
      <c r="M92" s="59" t="n">
        <f aca="false">H92/Settings!$B$20</f>
        <v>0.000148492093729369</v>
      </c>
      <c r="N92" s="60" t="n">
        <f aca="false">E92*Settings!$B$3</f>
        <v>10.1634575541811</v>
      </c>
      <c r="O92" s="60" t="n">
        <f aca="false">IF(E92&gt;0,(F92-N92)/SQRT(E92*Settings!$B$3*(1-Settings!$B$3)),0)</f>
        <v>1.85981573352277</v>
      </c>
      <c r="P92" s="60" t="n">
        <f aca="false">MAX(0,F92-N92)</f>
        <v>5.8365424458189</v>
      </c>
      <c r="Q92" s="32" t="n">
        <f aca="false">(F92+Settings!$B$7*Settings!$B$3)/(E92+Settings!$B$7)</f>
        <v>0.0472893422692587</v>
      </c>
      <c r="R92" s="61" t="n">
        <f aca="false">PERCENTRANK($H$2:$H$1780,H92,6)</f>
        <v>0.965129</v>
      </c>
      <c r="S92" s="61" t="n">
        <f aca="false">PERCENTRANK($Q$2:$Q$1780,Q92,6)</f>
        <v>0.867267</v>
      </c>
      <c r="T92" s="61" t="n">
        <f aca="false">PERCENTRANK($F$2:$F$1780,F92,6)</f>
        <v>0.943757</v>
      </c>
      <c r="U92" s="62" t="n">
        <f aca="false">IF(F92&gt;0,(Settings!$B$8*T92+Settings!$B$9*R92+Settings!$B$10*S92)/SUM(Settings!$B$8:$B$10),0)</f>
        <v>0.925384333333333</v>
      </c>
      <c r="V92" s="56" t="n">
        <f aca="false">IF(U92&gt;0,RANK(U92,$U$2:$U$1780)+COUNTIF($U$2:U92,U92)-1,"")</f>
        <v>91</v>
      </c>
      <c r="W92" s="56" t="str">
        <f aca="false">IF(V92="","",IF(V92&lt;=Settings!$B$11,"1 - Fix first",IF(V92&lt;=Settings!$B$12,"2 - Review","3 - Monitor")))</f>
        <v>2 - Review</v>
      </c>
      <c r="X92" s="56" t="str">
        <f aca="false">IF(AND(E92&gt;=Settings!$B$4,F92&gt;=Settings!$B$5,O92&gt;=Settings!$B$6),"HIGH RATE","")</f>
        <v/>
      </c>
      <c r="Y92" s="56" t="n">
        <f aca="false">IF(F92&gt;0,RANK(F92,$F$2:$F$1780)+COUNTIF($F$2:F92,F92)-1,"")</f>
        <v>100</v>
      </c>
      <c r="Z92" s="56" t="n">
        <f aca="false">IF(H92&gt;0,RANK(H92,$H$2:$H$1780)+COUNTIF($H$2:H92,H92)-1,"")</f>
        <v>63</v>
      </c>
      <c r="AA92" s="56" t="n">
        <f aca="false">IF(AC92="","",RANK(AC92,$AC$2:$AC$1780)+COUNTIF($AC$2:AC92,AC92)-1)</f>
        <v>131</v>
      </c>
      <c r="AB92" s="56" t="str">
        <f aca="false">IF(AD92="","",RANK(AD92,$AD$2:$AD$1780)+COUNTIF($AD$2:AD92,AD92)-1)</f>
        <v/>
      </c>
      <c r="AC92" s="32" t="n">
        <f aca="false">IF(AND(F92&gt;0,E92&gt;=Settings!$B$4),J92,"")</f>
        <v>0.0487804878048781</v>
      </c>
      <c r="AD92" s="56" t="str">
        <f aca="false">IF(X92="HIGH RATE",O92,"")</f>
        <v/>
      </c>
    </row>
    <row r="93" customFormat="false" ht="15" hidden="false" customHeight="false" outlineLevel="0" collapsed="false">
      <c r="A93" s="56" t="s">
        <v>971</v>
      </c>
      <c r="B93" s="56" t="s">
        <v>972</v>
      </c>
      <c r="C93" s="56" t="s">
        <v>51</v>
      </c>
      <c r="D93" s="56" t="str">
        <f aca="false">IFERROR(INDEX('Brand Map'!$B$4:$B$124,MATCH(C93,'Brand Map'!$A$4:$A$124,0)),"Other")</f>
        <v>AU</v>
      </c>
      <c r="E93" s="57" t="n">
        <v>53</v>
      </c>
      <c r="F93" s="57" t="n">
        <v>5</v>
      </c>
      <c r="G93" s="58" t="n">
        <v>6561.14</v>
      </c>
      <c r="H93" s="58" t="n">
        <v>549.35</v>
      </c>
      <c r="I93" s="58" t="n">
        <v>5656.18</v>
      </c>
      <c r="J93" s="32" t="n">
        <f aca="false">IF(E93&gt;0,F93/E93,0)</f>
        <v>0.0943396226415094</v>
      </c>
      <c r="K93" s="32" t="n">
        <f aca="false">IF(G93&gt;0,H93/G93,0)</f>
        <v>0.083727827786025</v>
      </c>
      <c r="L93" s="59" t="n">
        <f aca="false">H93/Settings!$B$16</f>
        <v>0.00109789050337405</v>
      </c>
      <c r="M93" s="59" t="n">
        <f aca="false">H93/Settings!$B$20</f>
        <v>4.2648457785147E-005</v>
      </c>
      <c r="N93" s="60" t="n">
        <f aca="false">E93*Settings!$B$3</f>
        <v>1.64226600723048</v>
      </c>
      <c r="O93" s="60" t="n">
        <f aca="false">IF(E93&gt;0,(F93-N93)/SQRT(E93*Settings!$B$3*(1-Settings!$B$3)),0)</f>
        <v>2.66170269049403</v>
      </c>
      <c r="P93" s="60" t="n">
        <f aca="false">MAX(0,F93-N93)</f>
        <v>3.35773399276952</v>
      </c>
      <c r="Q93" s="32" t="n">
        <f aca="false">(F93+Settings!$B$7*Settings!$B$3)/(E93+Settings!$B$7)</f>
        <v>0.0714407774987303</v>
      </c>
      <c r="R93" s="61" t="n">
        <f aca="false">PERCENTRANK($H$2:$H$1780,H93,6)</f>
        <v>0.908886</v>
      </c>
      <c r="S93" s="61" t="n">
        <f aca="false">PERCENTRANK($Q$2:$Q$1780,Q93,6)</f>
        <v>0.976378</v>
      </c>
      <c r="T93" s="61" t="n">
        <f aca="false">PERCENTRANK($F$2:$F$1780,F93,6)</f>
        <v>0.889764</v>
      </c>
      <c r="U93" s="62" t="n">
        <f aca="false">IF(F93&gt;0,(Settings!$B$8*T93+Settings!$B$9*R93+Settings!$B$10*S93)/SUM(Settings!$B$8:$B$10),0)</f>
        <v>0.925009333333333</v>
      </c>
      <c r="V93" s="56" t="n">
        <f aca="false">IF(U93&gt;0,RANK(U93,$U$2:$U$1780)+COUNTIF($U$2:U93,U93)-1,"")</f>
        <v>92</v>
      </c>
      <c r="W93" s="56" t="str">
        <f aca="false">IF(V93="","",IF(V93&lt;=Settings!$B$11,"1 - Fix first",IF(V93&lt;=Settings!$B$12,"2 - Review","3 - Monitor")))</f>
        <v>2 - Review</v>
      </c>
      <c r="X93" s="56" t="str">
        <f aca="false">IF(AND(E93&gt;=Settings!$B$4,F93&gt;=Settings!$B$5,O93&gt;=Settings!$B$6),"HIGH RATE","")</f>
        <v/>
      </c>
      <c r="Y93" s="56" t="n">
        <f aca="false">IF(F93&gt;0,RANK(F93,$F$2:$F$1780)+COUNTIF($F$2:F93,F93)-1,"")</f>
        <v>185</v>
      </c>
      <c r="Z93" s="56" t="n">
        <f aca="false">IF(H93&gt;0,RANK(H93,$H$2:$H$1780)+COUNTIF($H$2:H93,H93)-1,"")</f>
        <v>163</v>
      </c>
      <c r="AA93" s="56" t="n">
        <f aca="false">IF(AC93="","",RANK(AC93,$AC$2:$AC$1780)+COUNTIF($AC$2:AC93,AC93)-1)</f>
        <v>19</v>
      </c>
      <c r="AB93" s="56" t="str">
        <f aca="false">IF(AD93="","",RANK(AD93,$AD$2:$AD$1780)+COUNTIF($AD$2:AD93,AD93)-1)</f>
        <v/>
      </c>
      <c r="AC93" s="32" t="n">
        <f aca="false">IF(AND(F93&gt;0,E93&gt;=Settings!$B$4),J93,"")</f>
        <v>0.0943396226415094</v>
      </c>
      <c r="AD93" s="56" t="str">
        <f aca="false">IF(X93="HIGH RATE",O93,"")</f>
        <v/>
      </c>
    </row>
    <row r="94" customFormat="false" ht="15" hidden="false" customHeight="false" outlineLevel="0" collapsed="false">
      <c r="A94" s="56" t="s">
        <v>633</v>
      </c>
      <c r="B94" s="56" t="s">
        <v>634</v>
      </c>
      <c r="C94" s="56" t="s">
        <v>632</v>
      </c>
      <c r="D94" s="56" t="str">
        <f aca="false">IFERROR(INDEX('Brand Map'!$B$4:$B$124,MATCH(C94,'Brand Map'!$A$4:$A$124,0)),"Other")</f>
        <v>Other (small prefixes)</v>
      </c>
      <c r="E94" s="57" t="n">
        <v>373</v>
      </c>
      <c r="F94" s="57" t="n">
        <v>20</v>
      </c>
      <c r="G94" s="58" t="n">
        <v>13167.46</v>
      </c>
      <c r="H94" s="58" t="n">
        <v>709.32</v>
      </c>
      <c r="I94" s="58" t="n">
        <v>12085.17</v>
      </c>
      <c r="J94" s="32" t="n">
        <f aca="false">IF(E94&gt;0,F94/E94,0)</f>
        <v>0.0536193029490617</v>
      </c>
      <c r="K94" s="32" t="n">
        <f aca="false">IF(G94&gt;0,H94/G94,0)</f>
        <v>0.0538691592759727</v>
      </c>
      <c r="L94" s="59" t="n">
        <f aca="false">H94/Settings!$B$16</f>
        <v>0.00141759477901754</v>
      </c>
      <c r="M94" s="59" t="n">
        <f aca="false">H94/Settings!$B$20</f>
        <v>5.50676327954137E-005</v>
      </c>
      <c r="N94" s="60" t="n">
        <f aca="false">E94*Settings!$B$3</f>
        <v>11.557834352773</v>
      </c>
      <c r="O94" s="60" t="n">
        <f aca="false">IF(E94&gt;0,(F94-N94)/SQRT(E94*Settings!$B$3*(1-Settings!$B$3)),0)</f>
        <v>2.52261308708778</v>
      </c>
      <c r="P94" s="60" t="n">
        <f aca="false">MAX(0,F94-N94)</f>
        <v>8.44216564722698</v>
      </c>
      <c r="Q94" s="32" t="n">
        <f aca="false">(F94+Settings!$B$7*Settings!$B$3)/(E94+Settings!$B$7)</f>
        <v>0.0519344529339817</v>
      </c>
      <c r="R94" s="61" t="n">
        <f aca="false">PERCENTRANK($H$2:$H$1780,H94,6)</f>
        <v>0.921822</v>
      </c>
      <c r="S94" s="61" t="n">
        <f aca="false">PERCENTRANK($Q$2:$Q$1780,Q94,6)</f>
        <v>0.896513</v>
      </c>
      <c r="T94" s="61" t="n">
        <f aca="false">PERCENTRANK($F$2:$F$1780,F94,6)</f>
        <v>0.952193</v>
      </c>
      <c r="U94" s="62" t="n">
        <f aca="false">IF(F94&gt;0,(Settings!$B$8*T94+Settings!$B$9*R94+Settings!$B$10*S94)/SUM(Settings!$B$8:$B$10),0)</f>
        <v>0.923509333333333</v>
      </c>
      <c r="V94" s="56" t="n">
        <f aca="false">IF(U94&gt;0,RANK(U94,$U$2:$U$1780)+COUNTIF($U$2:U94,U94)-1,"")</f>
        <v>93</v>
      </c>
      <c r="W94" s="56" t="str">
        <f aca="false">IF(V94="","",IF(V94&lt;=Settings!$B$11,"1 - Fix first",IF(V94&lt;=Settings!$B$12,"2 - Review","3 - Monitor")))</f>
        <v>2 - Review</v>
      </c>
      <c r="X94" s="56" t="str">
        <f aca="false">IF(AND(E94&gt;=Settings!$B$4,F94&gt;=Settings!$B$5,O94&gt;=Settings!$B$6),"HIGH RATE","")</f>
        <v/>
      </c>
      <c r="Y94" s="56" t="n">
        <f aca="false">IF(F94&gt;0,RANK(F94,$F$2:$F$1780)+COUNTIF($F$2:F94,F94)-1,"")</f>
        <v>85</v>
      </c>
      <c r="Z94" s="56" t="n">
        <f aca="false">IF(H94&gt;0,RANK(H94,$H$2:$H$1780)+COUNTIF($H$2:H94,H94)-1,"")</f>
        <v>140</v>
      </c>
      <c r="AA94" s="56" t="n">
        <f aca="false">IF(AC94="","",RANK(AC94,$AC$2:$AC$1780)+COUNTIF($AC$2:AC94,AC94)-1)</f>
        <v>101</v>
      </c>
      <c r="AB94" s="56" t="str">
        <f aca="false">IF(AD94="","",RANK(AD94,$AD$2:$AD$1780)+COUNTIF($AD$2:AD94,AD94)-1)</f>
        <v/>
      </c>
      <c r="AC94" s="32" t="n">
        <f aca="false">IF(AND(F94&gt;0,E94&gt;=Settings!$B$4),J94,"")</f>
        <v>0.0536193029490617</v>
      </c>
      <c r="AD94" s="56" t="str">
        <f aca="false">IF(X94="HIGH RATE",O94,"")</f>
        <v/>
      </c>
    </row>
    <row r="95" customFormat="false" ht="15" hidden="false" customHeight="false" outlineLevel="0" collapsed="false">
      <c r="A95" s="56" t="s">
        <v>310</v>
      </c>
      <c r="B95" s="56" t="s">
        <v>973</v>
      </c>
      <c r="C95" s="56" t="s">
        <v>75</v>
      </c>
      <c r="D95" s="56" t="str">
        <f aca="false">IFERROR(INDEX('Brand Map'!$B$4:$B$124,MATCH(C95,'Brand Map'!$A$4:$A$124,0)),"Other")</f>
        <v>AURP</v>
      </c>
      <c r="E95" s="57" t="n">
        <v>2392</v>
      </c>
      <c r="F95" s="57" t="n">
        <v>96</v>
      </c>
      <c r="G95" s="58" t="n">
        <v>52761.17</v>
      </c>
      <c r="H95" s="58" t="n">
        <v>1962.91</v>
      </c>
      <c r="I95" s="58" t="n">
        <v>49209.21</v>
      </c>
      <c r="J95" s="32" t="n">
        <f aca="false">IF(E95&gt;0,F95/E95,0)</f>
        <v>0.0401337792642141</v>
      </c>
      <c r="K95" s="32" t="n">
        <f aca="false">IF(G95&gt;0,H95/G95,0)</f>
        <v>0.0372036859682983</v>
      </c>
      <c r="L95" s="59" t="n">
        <f aca="false">H95/Settings!$B$16</f>
        <v>0.003922927547061</v>
      </c>
      <c r="M95" s="59" t="n">
        <f aca="false">H95/Settings!$B$20</f>
        <v>0.000152389340622632</v>
      </c>
      <c r="N95" s="60" t="n">
        <f aca="false">E95*Settings!$B$3</f>
        <v>74.1188733829305</v>
      </c>
      <c r="O95" s="60" t="n">
        <f aca="false">IF(E95&gt;0,(F95-N95)/SQRT(E95*Settings!$B$3*(1-Settings!$B$3)),0)</f>
        <v>2.58190514278716</v>
      </c>
      <c r="P95" s="60" t="n">
        <f aca="false">MAX(0,F95-N95)</f>
        <v>21.8811266170696</v>
      </c>
      <c r="Q95" s="32" t="n">
        <f aca="false">(F95+Settings!$B$7*Settings!$B$3)/(E95+Settings!$B$7)</f>
        <v>0.0400204725567278</v>
      </c>
      <c r="R95" s="61" t="n">
        <f aca="false">PERCENTRANK($H$2:$H$1780,H95,6)</f>
        <v>0.966817</v>
      </c>
      <c r="S95" s="61" t="n">
        <f aca="false">PERCENTRANK($Q$2:$Q$1780,Q95,6)</f>
        <v>0.812711</v>
      </c>
      <c r="T95" s="61" t="n">
        <f aca="false">PERCENTRANK($F$2:$F$1780,F95,6)</f>
        <v>0.989876</v>
      </c>
      <c r="U95" s="62" t="n">
        <f aca="false">IF(F95&gt;0,(Settings!$B$8*T95+Settings!$B$9*R95+Settings!$B$10*S95)/SUM(Settings!$B$8:$B$10),0)</f>
        <v>0.923134666666667</v>
      </c>
      <c r="V95" s="56" t="n">
        <f aca="false">IF(U95&gt;0,RANK(U95,$U$2:$U$1780)+COUNTIF($U$2:U95,U95)-1,"")</f>
        <v>94</v>
      </c>
      <c r="W95" s="56" t="str">
        <f aca="false">IF(V95="","",IF(V95&lt;=Settings!$B$11,"1 - Fix first",IF(V95&lt;=Settings!$B$12,"2 - Review","3 - Monitor")))</f>
        <v>2 - Review</v>
      </c>
      <c r="X95" s="56" t="str">
        <f aca="false">IF(AND(E95&gt;=Settings!$B$4,F95&gt;=Settings!$B$5,O95&gt;=Settings!$B$6),"HIGH RATE","")</f>
        <v/>
      </c>
      <c r="Y95" s="56" t="n">
        <f aca="false">IF(F95&gt;0,RANK(F95,$F$2:$F$1780)+COUNTIF($F$2:F95,F95)-1,"")</f>
        <v>19</v>
      </c>
      <c r="Z95" s="56" t="n">
        <f aca="false">IF(H95&gt;0,RANK(H95,$H$2:$H$1780)+COUNTIF($H$2:H95,H95)-1,"")</f>
        <v>60</v>
      </c>
      <c r="AA95" s="56" t="n">
        <f aca="false">IF(AC95="","",RANK(AC95,$AC$2:$AC$1780)+COUNTIF($AC$2:AC95,AC95)-1)</f>
        <v>194</v>
      </c>
      <c r="AB95" s="56" t="str">
        <f aca="false">IF(AD95="","",RANK(AD95,$AD$2:$AD$1780)+COUNTIF($AD$2:AD95,AD95)-1)</f>
        <v/>
      </c>
      <c r="AC95" s="32" t="n">
        <f aca="false">IF(AND(F95&gt;0,E95&gt;=Settings!$B$4),J95,"")</f>
        <v>0.0401337792642141</v>
      </c>
      <c r="AD95" s="56" t="str">
        <f aca="false">IF(X95="HIGH RATE",O95,"")</f>
        <v/>
      </c>
    </row>
    <row r="96" customFormat="false" ht="15" hidden="false" customHeight="false" outlineLevel="0" collapsed="false">
      <c r="A96" s="56" t="s">
        <v>277</v>
      </c>
      <c r="B96" s="56" t="s">
        <v>974</v>
      </c>
      <c r="C96" s="56" t="s">
        <v>67</v>
      </c>
      <c r="D96" s="56" t="str">
        <f aca="false">IFERROR(INDEX('Brand Map'!$B$4:$B$124,MATCH(C96,'Brand Map'!$A$4:$A$124,0)),"Other")</f>
        <v>MJ</v>
      </c>
      <c r="E96" s="57" t="n">
        <v>199</v>
      </c>
      <c r="F96" s="57" t="n">
        <v>11</v>
      </c>
      <c r="G96" s="58" t="n">
        <v>18868.92</v>
      </c>
      <c r="H96" s="58" t="n">
        <v>1085.95</v>
      </c>
      <c r="I96" s="58" t="n">
        <v>16988.49</v>
      </c>
      <c r="J96" s="32" t="n">
        <f aca="false">IF(E96&gt;0,F96/E96,0)</f>
        <v>0.0552763819095477</v>
      </c>
      <c r="K96" s="32" t="n">
        <f aca="false">IF(G96&gt;0,H96/G96,0)</f>
        <v>0.0575523135399376</v>
      </c>
      <c r="L96" s="59" t="n">
        <f aca="false">H96/Settings!$B$16</f>
        <v>0.00217029979455548</v>
      </c>
      <c r="M96" s="59" t="n">
        <f aca="false">H96/Settings!$B$20</f>
        <v>8.43070769669253E-005</v>
      </c>
      <c r="N96" s="60" t="n">
        <f aca="false">E96*Settings!$B$3</f>
        <v>6.16624406488426</v>
      </c>
      <c r="O96" s="60" t="n">
        <f aca="false">IF(E96&gt;0,(F96-N96)/SQRT(E96*Settings!$B$3*(1-Settings!$B$3)),0)</f>
        <v>1.97746757562275</v>
      </c>
      <c r="P96" s="60" t="n">
        <f aca="false">MAX(0,F96-N96)</f>
        <v>4.83375593511574</v>
      </c>
      <c r="Q96" s="32" t="n">
        <f aca="false">(F96+Settings!$B$7*Settings!$B$3)/(E96+Settings!$B$7)</f>
        <v>0.0520942555999765</v>
      </c>
      <c r="R96" s="61" t="n">
        <f aca="false">PERCENTRANK($H$2:$H$1780,H96,6)</f>
        <v>0.945444</v>
      </c>
      <c r="S96" s="61" t="n">
        <f aca="false">PERCENTRANK($Q$2:$Q$1780,Q96,6)</f>
        <v>0.8982</v>
      </c>
      <c r="T96" s="61" t="n">
        <f aca="false">PERCENTRANK($F$2:$F$1780,F96,6)</f>
        <v>0.925759</v>
      </c>
      <c r="U96" s="62" t="n">
        <f aca="false">IF(F96&gt;0,(Settings!$B$8*T96+Settings!$B$9*R96+Settings!$B$10*S96)/SUM(Settings!$B$8:$B$10),0)</f>
        <v>0.923134333333333</v>
      </c>
      <c r="V96" s="56" t="n">
        <f aca="false">IF(U96&gt;0,RANK(U96,$U$2:$U$1780)+COUNTIF($U$2:U96,U96)-1,"")</f>
        <v>95</v>
      </c>
      <c r="W96" s="56" t="str">
        <f aca="false">IF(V96="","",IF(V96&lt;=Settings!$B$11,"1 - Fix first",IF(V96&lt;=Settings!$B$12,"2 - Review","3 - Monitor")))</f>
        <v>2 - Review</v>
      </c>
      <c r="X96" s="56" t="str">
        <f aca="false">IF(AND(E96&gt;=Settings!$B$4,F96&gt;=Settings!$B$5,O96&gt;=Settings!$B$6),"HIGH RATE","")</f>
        <v/>
      </c>
      <c r="Y96" s="56" t="n">
        <f aca="false">IF(F96&gt;0,RANK(F96,$F$2:$F$1780)+COUNTIF($F$2:F96,F96)-1,"")</f>
        <v>128</v>
      </c>
      <c r="Z96" s="56" t="n">
        <f aca="false">IF(H96&gt;0,RANK(H96,$H$2:$H$1780)+COUNTIF($H$2:H96,H96)-1,"")</f>
        <v>98</v>
      </c>
      <c r="AA96" s="56" t="n">
        <f aca="false">IF(AC96="","",RANK(AC96,$AC$2:$AC$1780)+COUNTIF($AC$2:AC96,AC96)-1)</f>
        <v>93</v>
      </c>
      <c r="AB96" s="56" t="str">
        <f aca="false">IF(AD96="","",RANK(AD96,$AD$2:$AD$1780)+COUNTIF($AD$2:AD96,AD96)-1)</f>
        <v/>
      </c>
      <c r="AC96" s="32" t="n">
        <f aca="false">IF(AND(F96&gt;0,E96&gt;=Settings!$B$4),J96,"")</f>
        <v>0.0552763819095477</v>
      </c>
      <c r="AD96" s="56" t="str">
        <f aca="false">IF(X96="HIGH RATE",O96,"")</f>
        <v/>
      </c>
    </row>
    <row r="97" customFormat="false" ht="15" hidden="false" customHeight="false" outlineLevel="0" collapsed="false">
      <c r="A97" s="56" t="s">
        <v>975</v>
      </c>
      <c r="B97" s="56" t="s">
        <v>976</v>
      </c>
      <c r="C97" s="56" t="s">
        <v>117</v>
      </c>
      <c r="D97" s="56" t="str">
        <f aca="false">IFERROR(INDEX('Brand Map'!$B$4:$B$124,MATCH(C97,'Brand Map'!$A$4:$A$124,0)),"Other")</f>
        <v>LF</v>
      </c>
      <c r="E97" s="57" t="n">
        <v>155</v>
      </c>
      <c r="F97" s="57" t="n">
        <v>9</v>
      </c>
      <c r="G97" s="58" t="n">
        <v>14524.72</v>
      </c>
      <c r="H97" s="58" t="n">
        <v>794.14</v>
      </c>
      <c r="I97" s="58" t="n">
        <v>13344.3</v>
      </c>
      <c r="J97" s="32" t="n">
        <f aca="false">IF(E97&gt;0,F97/E97,0)</f>
        <v>0.0580645161290323</v>
      </c>
      <c r="K97" s="32" t="n">
        <f aca="false">IF(G97&gt;0,H97/G97,0)</f>
        <v>0.0546750643041656</v>
      </c>
      <c r="L97" s="59" t="n">
        <f aca="false">H97/Settings!$B$16</f>
        <v>0.00158710979220801</v>
      </c>
      <c r="M97" s="59" t="n">
        <f aca="false">H97/Settings!$B$20</f>
        <v>6.16525826258245E-005</v>
      </c>
      <c r="N97" s="60" t="n">
        <f aca="false">E97*Settings!$B$3</f>
        <v>4.80285341737217</v>
      </c>
      <c r="O97" s="60" t="n">
        <f aca="false">IF(E97&gt;0,(F97-N97)/SQRT(E97*Settings!$B$3*(1-Settings!$B$3)),0)</f>
        <v>1.94553692956065</v>
      </c>
      <c r="P97" s="60" t="n">
        <f aca="false">MAX(0,F97-N97)</f>
        <v>4.19714658262784</v>
      </c>
      <c r="Q97" s="32" t="n">
        <f aca="false">(F97+Settings!$B$7*Settings!$B$3)/(E97+Settings!$B$7)</f>
        <v>0.0536734299048357</v>
      </c>
      <c r="R97" s="61" t="n">
        <f aca="false">PERCENTRANK($H$2:$H$1780,H97,6)</f>
        <v>0.931946</v>
      </c>
      <c r="S97" s="61" t="n">
        <f aca="false">PERCENTRANK($Q$2:$Q$1780,Q97,6)</f>
        <v>0.916198</v>
      </c>
      <c r="T97" s="61" t="n">
        <f aca="false">PERCENTRANK($F$2:$F$1780,F97,6)</f>
        <v>0.917323</v>
      </c>
      <c r="U97" s="62" t="n">
        <f aca="false">IF(F97&gt;0,(Settings!$B$8*T97+Settings!$B$9*R97+Settings!$B$10*S97)/SUM(Settings!$B$8:$B$10),0)</f>
        <v>0.921822333333333</v>
      </c>
      <c r="V97" s="56" t="n">
        <f aca="false">IF(U97&gt;0,RANK(U97,$U$2:$U$1780)+COUNTIF($U$2:U97,U97)-1,"")</f>
        <v>96</v>
      </c>
      <c r="W97" s="56" t="str">
        <f aca="false">IF(V97="","",IF(V97&lt;=Settings!$B$11,"1 - Fix first",IF(V97&lt;=Settings!$B$12,"2 - Review","3 - Monitor")))</f>
        <v>2 - Review</v>
      </c>
      <c r="X97" s="56" t="str">
        <f aca="false">IF(AND(E97&gt;=Settings!$B$4,F97&gt;=Settings!$B$5,O97&gt;=Settings!$B$6),"HIGH RATE","")</f>
        <v/>
      </c>
      <c r="Y97" s="56" t="n">
        <f aca="false">IF(F97&gt;0,RANK(F97,$F$2:$F$1780)+COUNTIF($F$2:F97,F97)-1,"")</f>
        <v>141</v>
      </c>
      <c r="Z97" s="56" t="n">
        <f aca="false">IF(H97&gt;0,RANK(H97,$H$2:$H$1780)+COUNTIF($H$2:H97,H97)-1,"")</f>
        <v>122</v>
      </c>
      <c r="AA97" s="56" t="n">
        <f aca="false">IF(AC97="","",RANK(AC97,$AC$2:$AC$1780)+COUNTIF($AC$2:AC97,AC97)-1)</f>
        <v>80</v>
      </c>
      <c r="AB97" s="56" t="str">
        <f aca="false">IF(AD97="","",RANK(AD97,$AD$2:$AD$1780)+COUNTIF($AD$2:AD97,AD97)-1)</f>
        <v/>
      </c>
      <c r="AC97" s="32" t="n">
        <f aca="false">IF(AND(F97&gt;0,E97&gt;=Settings!$B$4),J97,"")</f>
        <v>0.0580645161290323</v>
      </c>
      <c r="AD97" s="56" t="str">
        <f aca="false">IF(X97="HIGH RATE",O97,"")</f>
        <v/>
      </c>
    </row>
    <row r="98" customFormat="false" ht="15" hidden="false" customHeight="false" outlineLevel="0" collapsed="false">
      <c r="A98" s="56" t="s">
        <v>977</v>
      </c>
      <c r="B98" s="56" t="s">
        <v>978</v>
      </c>
      <c r="C98" s="56" t="s">
        <v>641</v>
      </c>
      <c r="D98" s="56" t="str">
        <f aca="false">IFERROR(INDEX('Brand Map'!$B$4:$B$124,MATCH(C98,'Brand Map'!$A$4:$A$124,0)),"Other")</f>
        <v>Other (small prefixes)</v>
      </c>
      <c r="E98" s="57" t="n">
        <v>41</v>
      </c>
      <c r="F98" s="57" t="n">
        <v>5</v>
      </c>
      <c r="G98" s="58" t="n">
        <v>3199.84</v>
      </c>
      <c r="H98" s="58" t="n">
        <v>381.59</v>
      </c>
      <c r="I98" s="58" t="n">
        <v>2619.61</v>
      </c>
      <c r="J98" s="32" t="n">
        <f aca="false">IF(E98&gt;0,F98/E98,0)</f>
        <v>0.121951219512195</v>
      </c>
      <c r="K98" s="32" t="n">
        <f aca="false">IF(G98&gt;0,H98/G98,0)</f>
        <v>0.119252837641882</v>
      </c>
      <c r="L98" s="59" t="n">
        <f aca="false">H98/Settings!$B$16</f>
        <v>0.000762617706712487</v>
      </c>
      <c r="M98" s="59" t="n">
        <f aca="false">H98/Settings!$B$20</f>
        <v>2.96245107968222E-005</v>
      </c>
      <c r="N98" s="60" t="n">
        <f aca="false">E98*Settings!$B$3</f>
        <v>1.27043219427264</v>
      </c>
      <c r="O98" s="60" t="n">
        <f aca="false">IF(E98&gt;0,(F98-N98)/SQRT(E98*Settings!$B$3*(1-Settings!$B$3)),0)</f>
        <v>3.36138122461804</v>
      </c>
      <c r="P98" s="60" t="n">
        <f aca="false">MAX(0,F98-N98)</f>
        <v>3.72956780572736</v>
      </c>
      <c r="Q98" s="32" t="n">
        <f aca="false">(F98+Settings!$B$7*Settings!$B$3)/(E98+Settings!$B$7)</f>
        <v>0.0835152751041495</v>
      </c>
      <c r="R98" s="61" t="n">
        <f aca="false">PERCENTRANK($H$2:$H$1780,H98,6)</f>
        <v>0.886389</v>
      </c>
      <c r="S98" s="61" t="n">
        <f aca="false">PERCENTRANK($Q$2:$Q$1780,Q98,6)</f>
        <v>0.989314</v>
      </c>
      <c r="T98" s="61" t="n">
        <f aca="false">PERCENTRANK($F$2:$F$1780,F98,6)</f>
        <v>0.889764</v>
      </c>
      <c r="U98" s="62" t="n">
        <f aca="false">IF(F98&gt;0,(Settings!$B$8*T98+Settings!$B$9*R98+Settings!$B$10*S98)/SUM(Settings!$B$8:$B$10),0)</f>
        <v>0.921822333333333</v>
      </c>
      <c r="V98" s="56" t="n">
        <f aca="false">IF(U98&gt;0,RANK(U98,$U$2:$U$1780)+COUNTIF($U$2:U98,U98)-1,"")</f>
        <v>97</v>
      </c>
      <c r="W98" s="56" t="str">
        <f aca="false">IF(V98="","",IF(V98&lt;=Settings!$B$11,"1 - Fix first",IF(V98&lt;=Settings!$B$12,"2 - Review","3 - Monitor")))</f>
        <v>2 - Review</v>
      </c>
      <c r="X98" s="56" t="str">
        <f aca="false">IF(AND(E98&gt;=Settings!$B$4,F98&gt;=Settings!$B$5,O98&gt;=Settings!$B$6),"HIGH RATE","")</f>
        <v>HIGH RATE</v>
      </c>
      <c r="Y98" s="56" t="n">
        <f aca="false">IF(F98&gt;0,RANK(F98,$F$2:$F$1780)+COUNTIF($F$2:F98,F98)-1,"")</f>
        <v>186</v>
      </c>
      <c r="Z98" s="56" t="n">
        <f aca="false">IF(H98&gt;0,RANK(H98,$H$2:$H$1780)+COUNTIF($H$2:H98,H98)-1,"")</f>
        <v>203</v>
      </c>
      <c r="AA98" s="56" t="n">
        <f aca="false">IF(AC98="","",RANK(AC98,$AC$2:$AC$1780)+COUNTIF($AC$2:AC98,AC98)-1)</f>
        <v>6</v>
      </c>
      <c r="AB98" s="56" t="n">
        <f aca="false">IF(AD98="","",RANK(AD98,$AD$2:$AD$1780)+COUNTIF($AD$2:AD98,AD98)-1)</f>
        <v>57</v>
      </c>
      <c r="AC98" s="32" t="n">
        <f aca="false">IF(AND(F98&gt;0,E98&gt;=Settings!$B$4),J98,"")</f>
        <v>0.121951219512195</v>
      </c>
      <c r="AD98" s="60" t="n">
        <f aca="false">IF(X98="HIGH RATE",O98,"")</f>
        <v>3.36138122461804</v>
      </c>
    </row>
    <row r="99" customFormat="false" ht="15" hidden="false" customHeight="false" outlineLevel="0" collapsed="false">
      <c r="A99" s="56" t="s">
        <v>979</v>
      </c>
      <c r="B99" s="56" t="s">
        <v>980</v>
      </c>
      <c r="C99" s="56" t="s">
        <v>51</v>
      </c>
      <c r="D99" s="56" t="str">
        <f aca="false">IFERROR(INDEX('Brand Map'!$B$4:$B$124,MATCH(C99,'Brand Map'!$A$4:$A$124,0)),"Other")</f>
        <v>AU</v>
      </c>
      <c r="E99" s="57" t="n">
        <v>227</v>
      </c>
      <c r="F99" s="57" t="n">
        <v>12</v>
      </c>
      <c r="G99" s="58" t="n">
        <v>21033.54</v>
      </c>
      <c r="H99" s="58" t="n">
        <v>1112.19</v>
      </c>
      <c r="I99" s="58" t="n">
        <v>19110.56</v>
      </c>
      <c r="J99" s="32" t="n">
        <f aca="false">IF(E99&gt;0,F99/E99,0)</f>
        <v>0.052863436123348</v>
      </c>
      <c r="K99" s="32" t="n">
        <f aca="false">IF(G99&gt;0,H99/G99,0)</f>
        <v>0.0528769764861264</v>
      </c>
      <c r="L99" s="59" t="n">
        <f aca="false">H99/Settings!$B$16</f>
        <v>0.00222274112851113</v>
      </c>
      <c r="M99" s="59" t="n">
        <f aca="false">H99/Settings!$B$20</f>
        <v>8.63442036298583E-005</v>
      </c>
      <c r="N99" s="60" t="n">
        <f aca="false">E99*Settings!$B$3</f>
        <v>7.03385629511924</v>
      </c>
      <c r="O99" s="60" t="n">
        <f aca="false">IF(E99&gt;0,(F99-N99)/SQRT(E99*Settings!$B$3*(1-Settings!$B$3)),0)</f>
        <v>1.90220599015537</v>
      </c>
      <c r="P99" s="60" t="n">
        <f aca="false">MAX(0,F99-N99)</f>
        <v>4.96614370488077</v>
      </c>
      <c r="Q99" s="32" t="n">
        <f aca="false">(F99+Settings!$B$7*Settings!$B$3)/(E99+Settings!$B$7)</f>
        <v>0.0503096674412242</v>
      </c>
      <c r="R99" s="61" t="n">
        <f aca="false">PERCENTRANK($H$2:$H$1780,H99,6)</f>
        <v>0.948256</v>
      </c>
      <c r="S99" s="61" t="n">
        <f aca="false">PERCENTRANK($Q$2:$Q$1780,Q99,6)</f>
        <v>0.886389</v>
      </c>
      <c r="T99" s="61" t="n">
        <f aca="false">PERCENTRANK($F$2:$F$1780,F99,6)</f>
        <v>0.930259</v>
      </c>
      <c r="U99" s="62" t="n">
        <f aca="false">IF(F99&gt;0,(Settings!$B$8*T99+Settings!$B$9*R99+Settings!$B$10*S99)/SUM(Settings!$B$8:$B$10),0)</f>
        <v>0.921634666666667</v>
      </c>
      <c r="V99" s="56" t="n">
        <f aca="false">IF(U99&gt;0,RANK(U99,$U$2:$U$1780)+COUNTIF($U$2:U99,U99)-1,"")</f>
        <v>98</v>
      </c>
      <c r="W99" s="56" t="str">
        <f aca="false">IF(V99="","",IF(V99&lt;=Settings!$B$11,"1 - Fix first",IF(V99&lt;=Settings!$B$12,"2 - Review","3 - Monitor")))</f>
        <v>2 - Review</v>
      </c>
      <c r="X99" s="56" t="str">
        <f aca="false">IF(AND(E99&gt;=Settings!$B$4,F99&gt;=Settings!$B$5,O99&gt;=Settings!$B$6),"HIGH RATE","")</f>
        <v/>
      </c>
      <c r="Y99" s="56" t="n">
        <f aca="false">IF(F99&gt;0,RANK(F99,$F$2:$F$1780)+COUNTIF($F$2:F99,F99)-1,"")</f>
        <v>124</v>
      </c>
      <c r="Z99" s="56" t="n">
        <f aca="false">IF(H99&gt;0,RANK(H99,$H$2:$H$1780)+COUNTIF($H$2:H99,H99)-1,"")</f>
        <v>93</v>
      </c>
      <c r="AA99" s="56" t="n">
        <f aca="false">IF(AC99="","",RANK(AC99,$AC$2:$AC$1780)+COUNTIF($AC$2:AC99,AC99)-1)</f>
        <v>106</v>
      </c>
      <c r="AB99" s="56" t="str">
        <f aca="false">IF(AD99="","",RANK(AD99,$AD$2:$AD$1780)+COUNTIF($AD$2:AD99,AD99)-1)</f>
        <v/>
      </c>
      <c r="AC99" s="32" t="n">
        <f aca="false">IF(AND(F99&gt;0,E99&gt;=Settings!$B$4),J99,"")</f>
        <v>0.052863436123348</v>
      </c>
      <c r="AD99" s="56" t="str">
        <f aca="false">IF(X99="HIGH RATE",O99,"")</f>
        <v/>
      </c>
    </row>
    <row r="100" customFormat="false" ht="15" hidden="false" customHeight="false" outlineLevel="0" collapsed="false">
      <c r="A100" s="56" t="s">
        <v>240</v>
      </c>
      <c r="B100" s="56" t="s">
        <v>941</v>
      </c>
      <c r="C100" s="56" t="s">
        <v>59</v>
      </c>
      <c r="D100" s="56" t="str">
        <f aca="false">IFERROR(INDEX('Brand Map'!$B$4:$B$124,MATCH(C100,'Brand Map'!$A$4:$A$124,0)),"Other")</f>
        <v>DC</v>
      </c>
      <c r="E100" s="57" t="n">
        <v>995</v>
      </c>
      <c r="F100" s="57" t="n">
        <v>39</v>
      </c>
      <c r="G100" s="58" t="n">
        <v>127665.15</v>
      </c>
      <c r="H100" s="58" t="n">
        <v>4565.17</v>
      </c>
      <c r="I100" s="58" t="n">
        <v>116268.78</v>
      </c>
      <c r="J100" s="32" t="n">
        <f aca="false">IF(E100&gt;0,F100/E100,0)</f>
        <v>0.0391959798994975</v>
      </c>
      <c r="K100" s="32" t="n">
        <f aca="false">IF(G100&gt;0,H100/G100,0)</f>
        <v>0.035758936561779</v>
      </c>
      <c r="L100" s="59" t="n">
        <f aca="false">H100/Settings!$B$16</f>
        <v>0.0091236129776793</v>
      </c>
      <c r="M100" s="59" t="n">
        <f aca="false">H100/Settings!$B$20</f>
        <v>0.000354414235054191</v>
      </c>
      <c r="N100" s="60" t="n">
        <f aca="false">E100*Settings!$B$3</f>
        <v>30.8312203244213</v>
      </c>
      <c r="O100" s="60" t="n">
        <f aca="false">IF(E100&gt;0,(F100-N100)/SQRT(E100*Settings!$B$3*(1-Settings!$B$3)),0)</f>
        <v>1.49450314492304</v>
      </c>
      <c r="P100" s="60" t="n">
        <f aca="false">MAX(0,F100-N100)</f>
        <v>8.16877967557868</v>
      </c>
      <c r="Q100" s="32" t="n">
        <f aca="false">(F100+Settings!$B$7*Settings!$B$3)/(E100+Settings!$B$7)</f>
        <v>0.0389556922267265</v>
      </c>
      <c r="R100" s="61" t="n">
        <f aca="false">PERCENTRANK($H$2:$H$1780,H100,6)</f>
        <v>0.988189</v>
      </c>
      <c r="S100" s="61" t="n">
        <f aca="false">PERCENTRANK($Q$2:$Q$1780,Q100,6)</f>
        <v>0.802587</v>
      </c>
      <c r="T100" s="61" t="n">
        <f aca="false">PERCENTRANK($F$2:$F$1780,F100,6)</f>
        <v>0.973003</v>
      </c>
      <c r="U100" s="62" t="n">
        <f aca="false">IF(F100&gt;0,(Settings!$B$8*T100+Settings!$B$9*R100+Settings!$B$10*S100)/SUM(Settings!$B$8:$B$10),0)</f>
        <v>0.921259666666667</v>
      </c>
      <c r="V100" s="56" t="n">
        <f aca="false">IF(U100&gt;0,RANK(U100,$U$2:$U$1780)+COUNTIF($U$2:U100,U100)-1,"")</f>
        <v>99</v>
      </c>
      <c r="W100" s="56" t="str">
        <f aca="false">IF(V100="","",IF(V100&lt;=Settings!$B$11,"1 - Fix first",IF(V100&lt;=Settings!$B$12,"2 - Review","3 - Monitor")))</f>
        <v>2 - Review</v>
      </c>
      <c r="X100" s="56" t="str">
        <f aca="false">IF(AND(E100&gt;=Settings!$B$4,F100&gt;=Settings!$B$5,O100&gt;=Settings!$B$6),"HIGH RATE","")</f>
        <v/>
      </c>
      <c r="Y100" s="56" t="n">
        <f aca="false">IF(F100&gt;0,RANK(F100,$F$2:$F$1780)+COUNTIF($F$2:F100,F100)-1,"")</f>
        <v>49</v>
      </c>
      <c r="Z100" s="56" t="n">
        <f aca="false">IF(H100&gt;0,RANK(H100,$H$2:$H$1780)+COUNTIF($H$2:H100,H100)-1,"")</f>
        <v>22</v>
      </c>
      <c r="AA100" s="56" t="n">
        <f aca="false">IF(AC100="","",RANK(AC100,$AC$2:$AC$1780)+COUNTIF($AC$2:AC100,AC100)-1)</f>
        <v>203</v>
      </c>
      <c r="AB100" s="56" t="str">
        <f aca="false">IF(AD100="","",RANK(AD100,$AD$2:$AD$1780)+COUNTIF($AD$2:AD100,AD100)-1)</f>
        <v/>
      </c>
      <c r="AC100" s="32" t="n">
        <f aca="false">IF(AND(F100&gt;0,E100&gt;=Settings!$B$4),J100,"")</f>
        <v>0.0391959798994975</v>
      </c>
      <c r="AD100" s="56" t="str">
        <f aca="false">IF(X100="HIGH RATE",O100,"")</f>
        <v/>
      </c>
    </row>
    <row r="101" customFormat="false" ht="15" hidden="false" customHeight="false" outlineLevel="0" collapsed="false">
      <c r="A101" s="56" t="s">
        <v>592</v>
      </c>
      <c r="B101" s="56" t="s">
        <v>593</v>
      </c>
      <c r="C101" s="56" t="s">
        <v>136</v>
      </c>
      <c r="D101" s="56" t="str">
        <f aca="false">IFERROR(INDEX('Brand Map'!$B$4:$B$124,MATCH(C101,'Brand Map'!$A$4:$A$124,0)),"Other")</f>
        <v>DCS</v>
      </c>
      <c r="E101" s="57" t="n">
        <v>136</v>
      </c>
      <c r="F101" s="57" t="n">
        <v>8</v>
      </c>
      <c r="G101" s="58" t="n">
        <v>15970.01</v>
      </c>
      <c r="H101" s="58" t="n">
        <v>798.41</v>
      </c>
      <c r="I101" s="58" t="n">
        <v>13934.6</v>
      </c>
      <c r="J101" s="32" t="n">
        <f aca="false">IF(E101&gt;0,F101/E101,0)</f>
        <v>0.0588235294117647</v>
      </c>
      <c r="K101" s="32" t="n">
        <f aca="false">IF(G101&gt;0,H101/G101,0)</f>
        <v>0.0499943331281571</v>
      </c>
      <c r="L101" s="59" t="n">
        <f aca="false">H101/Settings!$B$16</f>
        <v>0.00159564350013448</v>
      </c>
      <c r="M101" s="59" t="n">
        <f aca="false">H101/Settings!$B$20</f>
        <v>6.19840815149527E-005</v>
      </c>
      <c r="N101" s="60" t="n">
        <f aca="false">E101*Settings!$B$3</f>
        <v>4.21411654685558</v>
      </c>
      <c r="O101" s="60" t="n">
        <f aca="false">IF(E101&gt;0,(F101-N101)/SQRT(E101*Settings!$B$3*(1-Settings!$B$3)),0)</f>
        <v>1.87347963704649</v>
      </c>
      <c r="P101" s="60" t="n">
        <f aca="false">MAX(0,F101-N101)</f>
        <v>3.78588345314442</v>
      </c>
      <c r="Q101" s="32" t="n">
        <f aca="false">(F101+Settings!$B$7*Settings!$B$3)/(E101+Settings!$B$7)</f>
        <v>0.0537926779059916</v>
      </c>
      <c r="R101" s="61" t="n">
        <f aca="false">PERCENTRANK($H$2:$H$1780,H101,6)</f>
        <v>0.932508</v>
      </c>
      <c r="S101" s="61" t="n">
        <f aca="false">PERCENTRANK($Q$2:$Q$1780,Q101,6)</f>
        <v>0.91676</v>
      </c>
      <c r="T101" s="61" t="n">
        <f aca="false">PERCENTRANK($F$2:$F$1780,F101,6)</f>
        <v>0.912823</v>
      </c>
      <c r="U101" s="62" t="n">
        <f aca="false">IF(F101&gt;0,(Settings!$B$8*T101+Settings!$B$9*R101+Settings!$B$10*S101)/SUM(Settings!$B$8:$B$10),0)</f>
        <v>0.920697</v>
      </c>
      <c r="V101" s="56" t="n">
        <f aca="false">IF(U101&gt;0,RANK(U101,$U$2:$U$1780)+COUNTIF($U$2:U101,U101)-1,"")</f>
        <v>100</v>
      </c>
      <c r="W101" s="56" t="str">
        <f aca="false">IF(V101="","",IF(V101&lt;=Settings!$B$11,"1 - Fix first",IF(V101&lt;=Settings!$B$12,"2 - Review","3 - Monitor")))</f>
        <v>2 - Review</v>
      </c>
      <c r="X101" s="56" t="str">
        <f aca="false">IF(AND(E101&gt;=Settings!$B$4,F101&gt;=Settings!$B$5,O101&gt;=Settings!$B$6),"HIGH RATE","")</f>
        <v/>
      </c>
      <c r="Y101" s="56" t="n">
        <f aca="false">IF(F101&gt;0,RANK(F101,$F$2:$F$1780)+COUNTIF($F$2:F101,F101)-1,"")</f>
        <v>152</v>
      </c>
      <c r="Z101" s="56" t="n">
        <f aca="false">IF(H101&gt;0,RANK(H101,$H$2:$H$1780)+COUNTIF($H$2:H101,H101)-1,"")</f>
        <v>121</v>
      </c>
      <c r="AA101" s="56" t="n">
        <f aca="false">IF(AC101="","",RANK(AC101,$AC$2:$AC$1780)+COUNTIF($AC$2:AC101,AC101)-1)</f>
        <v>78</v>
      </c>
      <c r="AB101" s="56" t="str">
        <f aca="false">IF(AD101="","",RANK(AD101,$AD$2:$AD$1780)+COUNTIF($AD$2:AD101,AD101)-1)</f>
        <v/>
      </c>
      <c r="AC101" s="32" t="n">
        <f aca="false">IF(AND(F101&gt;0,E101&gt;=Settings!$B$4),J101,"")</f>
        <v>0.0588235294117647</v>
      </c>
      <c r="AD101" s="56" t="str">
        <f aca="false">IF(X101="HIGH RATE",O101,"")</f>
        <v/>
      </c>
    </row>
    <row r="102" customFormat="false" ht="15" hidden="false" customHeight="false" outlineLevel="0" collapsed="false">
      <c r="A102" s="56" t="s">
        <v>573</v>
      </c>
      <c r="B102" s="56" t="s">
        <v>574</v>
      </c>
      <c r="C102" s="56" t="s">
        <v>125</v>
      </c>
      <c r="D102" s="56" t="str">
        <f aca="false">IFERROR(INDEX('Brand Map'!$B$4:$B$124,MATCH(C102,'Brand Map'!$A$4:$A$124,0)),"Other")</f>
        <v>DCB</v>
      </c>
      <c r="E102" s="57" t="n">
        <v>236</v>
      </c>
      <c r="F102" s="57" t="n">
        <v>12</v>
      </c>
      <c r="G102" s="58" t="n">
        <v>28364.4</v>
      </c>
      <c r="H102" s="58" t="n">
        <v>1216.35</v>
      </c>
      <c r="I102" s="58" t="n">
        <v>25799.14</v>
      </c>
      <c r="J102" s="32" t="n">
        <f aca="false">IF(E102&gt;0,F102/E102,0)</f>
        <v>0.0508474576271187</v>
      </c>
      <c r="K102" s="32" t="n">
        <f aca="false">IF(G102&gt;0,H102/G102,0)</f>
        <v>0.0428829800736134</v>
      </c>
      <c r="L102" s="59" t="n">
        <f aca="false">H102/Settings!$B$16</f>
        <v>0.00243090764317653</v>
      </c>
      <c r="M102" s="59" t="n">
        <f aca="false">H102/Settings!$B$20</f>
        <v>9.44306027613791E-005</v>
      </c>
      <c r="N102" s="60" t="n">
        <f aca="false">E102*Settings!$B$3</f>
        <v>7.31273165483762</v>
      </c>
      <c r="O102" s="60" t="n">
        <f aca="false">IF(E102&gt;0,(F102-N102)/SQRT(E102*Settings!$B$3*(1-Settings!$B$3)),0)</f>
        <v>1.76082018078975</v>
      </c>
      <c r="P102" s="60" t="n">
        <f aca="false">MAX(0,F102-N102)</f>
        <v>4.68726834516238</v>
      </c>
      <c r="Q102" s="32" t="n">
        <f aca="false">(F102+Settings!$B$7*Settings!$B$3)/(E102+Settings!$B$7)</f>
        <v>0.0486074606481</v>
      </c>
      <c r="R102" s="61" t="n">
        <f aca="false">PERCENTRANK($H$2:$H$1780,H102,6)</f>
        <v>0.954443</v>
      </c>
      <c r="S102" s="61" t="n">
        <f aca="false">PERCENTRANK($Q$2:$Q$1780,Q102,6)</f>
        <v>0.876265</v>
      </c>
      <c r="T102" s="61" t="n">
        <f aca="false">PERCENTRANK($F$2:$F$1780,F102,6)</f>
        <v>0.930259</v>
      </c>
      <c r="U102" s="62" t="n">
        <f aca="false">IF(F102&gt;0,(Settings!$B$8*T102+Settings!$B$9*R102+Settings!$B$10*S102)/SUM(Settings!$B$8:$B$10),0)</f>
        <v>0.920322333333333</v>
      </c>
      <c r="V102" s="56" t="n">
        <f aca="false">IF(U102&gt;0,RANK(U102,$U$2:$U$1780)+COUNTIF($U$2:U102,U102)-1,"")</f>
        <v>101</v>
      </c>
      <c r="W102" s="56" t="str">
        <f aca="false">IF(V102="","",IF(V102&lt;=Settings!$B$11,"1 - Fix first",IF(V102&lt;=Settings!$B$12,"2 - Review","3 - Monitor")))</f>
        <v>3 - Monitor</v>
      </c>
      <c r="X102" s="56" t="str">
        <f aca="false">IF(AND(E102&gt;=Settings!$B$4,F102&gt;=Settings!$B$5,O102&gt;=Settings!$B$6),"HIGH RATE","")</f>
        <v/>
      </c>
      <c r="Y102" s="56" t="n">
        <f aca="false">IF(F102&gt;0,RANK(F102,$F$2:$F$1780)+COUNTIF($F$2:F102,F102)-1,"")</f>
        <v>125</v>
      </c>
      <c r="Z102" s="56" t="n">
        <f aca="false">IF(H102&gt;0,RANK(H102,$H$2:$H$1780)+COUNTIF($H$2:H102,H102)-1,"")</f>
        <v>82</v>
      </c>
      <c r="AA102" s="56" t="n">
        <f aca="false">IF(AC102="","",RANK(AC102,$AC$2:$AC$1780)+COUNTIF($AC$2:AC102,AC102)-1)</f>
        <v>119</v>
      </c>
      <c r="AB102" s="56" t="str">
        <f aca="false">IF(AD102="","",RANK(AD102,$AD$2:$AD$1780)+COUNTIF($AD$2:AD102,AD102)-1)</f>
        <v/>
      </c>
      <c r="AC102" s="32" t="n">
        <f aca="false">IF(AND(F102&gt;0,E102&gt;=Settings!$B$4),J102,"")</f>
        <v>0.0508474576271187</v>
      </c>
      <c r="AD102" s="56" t="str">
        <f aca="false">IF(X102="HIGH RATE",O102,"")</f>
        <v/>
      </c>
    </row>
    <row r="103" customFormat="false" ht="15" hidden="false" customHeight="false" outlineLevel="0" collapsed="false">
      <c r="A103" s="56" t="s">
        <v>275</v>
      </c>
      <c r="B103" s="56" t="s">
        <v>981</v>
      </c>
      <c r="C103" s="56" t="s">
        <v>67</v>
      </c>
      <c r="D103" s="56" t="str">
        <f aca="false">IFERROR(INDEX('Brand Map'!$B$4:$B$124,MATCH(C103,'Brand Map'!$A$4:$A$124,0)),"Other")</f>
        <v>MJ</v>
      </c>
      <c r="E103" s="57" t="n">
        <v>1206</v>
      </c>
      <c r="F103" s="57" t="n">
        <v>47</v>
      </c>
      <c r="G103" s="58" t="n">
        <v>100870.95</v>
      </c>
      <c r="H103" s="58" t="n">
        <v>3421.93</v>
      </c>
      <c r="I103" s="58" t="n">
        <v>90373.07</v>
      </c>
      <c r="J103" s="32" t="n">
        <f aca="false">IF(E103&gt;0,F103/E103,0)</f>
        <v>0.0389718076285241</v>
      </c>
      <c r="K103" s="32" t="n">
        <f aca="false">IF(G103&gt;0,H103/G103,0)</f>
        <v>0.0339238403127957</v>
      </c>
      <c r="L103" s="59" t="n">
        <f aca="false">H103/Settings!$B$16</f>
        <v>0.00683881760300495</v>
      </c>
      <c r="M103" s="59" t="n">
        <f aca="false">H103/Settings!$B$20</f>
        <v>0.000265659483296128</v>
      </c>
      <c r="N103" s="60" t="n">
        <f aca="false">E103*Settings!$B$3</f>
        <v>37.3692982022634</v>
      </c>
      <c r="O103" s="60" t="n">
        <f aca="false">IF(E103&gt;0,(F103-N103)/SQRT(E103*Settings!$B$3*(1-Settings!$B$3)),0)</f>
        <v>1.60042553802945</v>
      </c>
      <c r="P103" s="60" t="n">
        <f aca="false">MAX(0,F103-N103)</f>
        <v>9.63070179773658</v>
      </c>
      <c r="Q103" s="32" t="n">
        <f aca="false">(F103+Settings!$B$7*Settings!$B$3)/(E103+Settings!$B$7)</f>
        <v>0.0387779810132643</v>
      </c>
      <c r="R103" s="61" t="n">
        <f aca="false">PERCENTRANK($H$2:$H$1780,H103,6)</f>
        <v>0.982565</v>
      </c>
      <c r="S103" s="61" t="n">
        <f aca="false">PERCENTRANK($Q$2:$Q$1780,Q103,6)</f>
        <v>0.800337</v>
      </c>
      <c r="T103" s="61" t="n">
        <f aca="false">PERCENTRANK($F$2:$F$1780,F103,6)</f>
        <v>0.977503</v>
      </c>
      <c r="U103" s="62" t="n">
        <f aca="false">IF(F103&gt;0,(Settings!$B$8*T103+Settings!$B$9*R103+Settings!$B$10*S103)/SUM(Settings!$B$8:$B$10),0)</f>
        <v>0.920135</v>
      </c>
      <c r="V103" s="56" t="n">
        <f aca="false">IF(U103&gt;0,RANK(U103,$U$2:$U$1780)+COUNTIF($U$2:U103,U103)-1,"")</f>
        <v>102</v>
      </c>
      <c r="W103" s="56" t="str">
        <f aca="false">IF(V103="","",IF(V103&lt;=Settings!$B$11,"1 - Fix first",IF(V103&lt;=Settings!$B$12,"2 - Review","3 - Monitor")))</f>
        <v>3 - Monitor</v>
      </c>
      <c r="X103" s="56" t="str">
        <f aca="false">IF(AND(E103&gt;=Settings!$B$4,F103&gt;=Settings!$B$5,O103&gt;=Settings!$B$6),"HIGH RATE","")</f>
        <v/>
      </c>
      <c r="Y103" s="56" t="n">
        <f aca="false">IF(F103&gt;0,RANK(F103,$F$2:$F$1780)+COUNTIF($F$2:F103,F103)-1,"")</f>
        <v>41</v>
      </c>
      <c r="Z103" s="56" t="n">
        <f aca="false">IF(H103&gt;0,RANK(H103,$H$2:$H$1780)+COUNTIF($H$2:H103,H103)-1,"")</f>
        <v>32</v>
      </c>
      <c r="AA103" s="56" t="n">
        <f aca="false">IF(AC103="","",RANK(AC103,$AC$2:$AC$1780)+COUNTIF($AC$2:AC103,AC103)-1)</f>
        <v>205</v>
      </c>
      <c r="AB103" s="56" t="str">
        <f aca="false">IF(AD103="","",RANK(AD103,$AD$2:$AD$1780)+COUNTIF($AD$2:AD103,AD103)-1)</f>
        <v/>
      </c>
      <c r="AC103" s="32" t="n">
        <f aca="false">IF(AND(F103&gt;0,E103&gt;=Settings!$B$4),J103,"")</f>
        <v>0.0389718076285241</v>
      </c>
      <c r="AD103" s="56" t="str">
        <f aca="false">IF(X103="HIGH RATE",O103,"")</f>
        <v/>
      </c>
    </row>
    <row r="104" customFormat="false" ht="15" hidden="false" customHeight="false" outlineLevel="0" collapsed="false">
      <c r="A104" s="56" t="s">
        <v>598</v>
      </c>
      <c r="B104" s="56" t="s">
        <v>599</v>
      </c>
      <c r="C104" s="56" t="s">
        <v>158</v>
      </c>
      <c r="D104" s="56" t="str">
        <f aca="false">IFERROR(INDEX('Brand Map'!$B$4:$B$124,MATCH(C104,'Brand Map'!$A$4:$A$124,0)),"Other")</f>
        <v>SC</v>
      </c>
      <c r="E104" s="57" t="n">
        <v>8341</v>
      </c>
      <c r="F104" s="57" t="n">
        <v>329</v>
      </c>
      <c r="G104" s="58" t="n">
        <v>31625.65</v>
      </c>
      <c r="H104" s="58" t="n">
        <v>1189.07</v>
      </c>
      <c r="I104" s="58" t="n">
        <v>29444.82</v>
      </c>
      <c r="J104" s="32" t="n">
        <f aca="false">IF(E104&gt;0,F104/E104,0)</f>
        <v>0.0394437117851577</v>
      </c>
      <c r="K104" s="32" t="n">
        <f aca="false">IF(G104&gt;0,H104/G104,0)</f>
        <v>0.0375982786124554</v>
      </c>
      <c r="L104" s="59" t="n">
        <f aca="false">H104/Settings!$B$16</f>
        <v>0.00237638784171655</v>
      </c>
      <c r="M104" s="59" t="n">
        <f aca="false">H104/Settings!$B$20</f>
        <v>9.23127363221713E-005</v>
      </c>
      <c r="N104" s="60" t="n">
        <f aca="false">E104*Settings!$B$3</f>
        <v>258.455486156782</v>
      </c>
      <c r="O104" s="60" t="n">
        <f aca="false">IF(E104&gt;0,(F104-N104)/SQRT(E104*Settings!$B$3*(1-Settings!$B$3)),0)</f>
        <v>4.45764393576606</v>
      </c>
      <c r="P104" s="60" t="n">
        <f aca="false">MAX(0,F104-N104)</f>
        <v>70.5445138432179</v>
      </c>
      <c r="Q104" s="32" t="n">
        <f aca="false">(F104+Settings!$B$7*Settings!$B$3)/(E104+Settings!$B$7)</f>
        <v>0.0394134015687964</v>
      </c>
      <c r="R104" s="61" t="n">
        <f aca="false">PERCENTRANK($H$2:$H$1780,H104,6)</f>
        <v>0.952193</v>
      </c>
      <c r="S104" s="61" t="n">
        <f aca="false">PERCENTRANK($Q$2:$Q$1780,Q104,6)</f>
        <v>0.808774</v>
      </c>
      <c r="T104" s="61" t="n">
        <f aca="false">PERCENTRANK($F$2:$F$1780,F104,6)</f>
        <v>0.99775</v>
      </c>
      <c r="U104" s="62" t="n">
        <f aca="false">IF(F104&gt;0,(Settings!$B$8*T104+Settings!$B$9*R104+Settings!$B$10*S104)/SUM(Settings!$B$8:$B$10),0)</f>
        <v>0.919572333333333</v>
      </c>
      <c r="V104" s="56" t="n">
        <f aca="false">IF(U104&gt;0,RANK(U104,$U$2:$U$1780)+COUNTIF($U$2:U104,U104)-1,"")</f>
        <v>103</v>
      </c>
      <c r="W104" s="56" t="str">
        <f aca="false">IF(V104="","",IF(V104&lt;=Settings!$B$11,"1 - Fix first",IF(V104&lt;=Settings!$B$12,"2 - Review","3 - Monitor")))</f>
        <v>3 - Monitor</v>
      </c>
      <c r="X104" s="56" t="str">
        <f aca="false">IF(AND(E104&gt;=Settings!$B$4,F104&gt;=Settings!$B$5,O104&gt;=Settings!$B$6),"HIGH RATE","")</f>
        <v>HIGH RATE</v>
      </c>
      <c r="Y104" s="56" t="n">
        <f aca="false">IF(F104&gt;0,RANK(F104,$F$2:$F$1780)+COUNTIF($F$2:F104,F104)-1,"")</f>
        <v>5</v>
      </c>
      <c r="Z104" s="56" t="n">
        <f aca="false">IF(H104&gt;0,RANK(H104,$H$2:$H$1780)+COUNTIF($H$2:H104,H104)-1,"")</f>
        <v>86</v>
      </c>
      <c r="AA104" s="56" t="n">
        <f aca="false">IF(AC104="","",RANK(AC104,$AC$2:$AC$1780)+COUNTIF($AC$2:AC104,AC104)-1)</f>
        <v>200</v>
      </c>
      <c r="AB104" s="56" t="n">
        <f aca="false">IF(AD104="","",RANK(AD104,$AD$2:$AD$1780)+COUNTIF($AD$2:AD104,AD104)-1)</f>
        <v>33</v>
      </c>
      <c r="AC104" s="32" t="n">
        <f aca="false">IF(AND(F104&gt;0,E104&gt;=Settings!$B$4),J104,"")</f>
        <v>0.0394437117851577</v>
      </c>
      <c r="AD104" s="60" t="n">
        <f aca="false">IF(X104="HIGH RATE",O104,"")</f>
        <v>4.45764393576606</v>
      </c>
    </row>
    <row r="105" customFormat="false" ht="15" hidden="false" customHeight="false" outlineLevel="0" collapsed="false">
      <c r="A105" s="56" t="s">
        <v>226</v>
      </c>
      <c r="B105" s="56" t="s">
        <v>982</v>
      </c>
      <c r="C105" s="56" t="s">
        <v>55</v>
      </c>
      <c r="D105" s="56" t="str">
        <f aca="false">IFERROR(INDEX('Brand Map'!$B$4:$B$124,MATCH(C105,'Brand Map'!$A$4:$A$124,0)),"Other")</f>
        <v>AUMJ</v>
      </c>
      <c r="E105" s="57" t="n">
        <v>852</v>
      </c>
      <c r="F105" s="57" t="n">
        <v>34</v>
      </c>
      <c r="G105" s="58" t="n">
        <v>91254.19</v>
      </c>
      <c r="H105" s="58" t="n">
        <v>3293.44</v>
      </c>
      <c r="I105" s="58" t="n">
        <v>84661.01</v>
      </c>
      <c r="J105" s="32" t="n">
        <f aca="false">IF(E105&gt;0,F105/E105,0)</f>
        <v>0.039906103286385</v>
      </c>
      <c r="K105" s="32" t="n">
        <f aca="false">IF(G105&gt;0,H105/G105,0)</f>
        <v>0.0360908359386018</v>
      </c>
      <c r="L105" s="59" t="n">
        <f aca="false">H105/Settings!$B$16</f>
        <v>0.00658202693989668</v>
      </c>
      <c r="M105" s="59" t="n">
        <f aca="false">H105/Settings!$B$20</f>
        <v>0.000255684239206179</v>
      </c>
      <c r="N105" s="60" t="n">
        <f aca="false">E105*Settings!$B$3</f>
        <v>26.400200720007</v>
      </c>
      <c r="O105" s="60" t="n">
        <f aca="false">IF(E105&gt;0,(F105-N105)/SQRT(E105*Settings!$B$3*(1-Settings!$B$3)),0)</f>
        <v>1.50256585605308</v>
      </c>
      <c r="P105" s="60" t="n">
        <f aca="false">MAX(0,F105-N105)</f>
        <v>7.599799279993</v>
      </c>
      <c r="Q105" s="32" t="n">
        <f aca="false">(F105+Settings!$B$7*Settings!$B$3)/(E105+Settings!$B$7)</f>
        <v>0.0396027035514678</v>
      </c>
      <c r="R105" s="61" t="n">
        <f aca="false">PERCENTRANK($H$2:$H$1780,H105,6)</f>
        <v>0.980877</v>
      </c>
      <c r="S105" s="61" t="n">
        <f aca="false">PERCENTRANK($Q$2:$Q$1780,Q105,6)</f>
        <v>0.811024</v>
      </c>
      <c r="T105" s="61" t="n">
        <f aca="false">PERCENTRANK($F$2:$F$1780,F105,6)</f>
        <v>0.966254</v>
      </c>
      <c r="U105" s="62" t="n">
        <f aca="false">IF(F105&gt;0,(Settings!$B$8*T105+Settings!$B$9*R105+Settings!$B$10*S105)/SUM(Settings!$B$8:$B$10),0)</f>
        <v>0.919385</v>
      </c>
      <c r="V105" s="56" t="n">
        <f aca="false">IF(U105&gt;0,RANK(U105,$U$2:$U$1780)+COUNTIF($U$2:U105,U105)-1,"")</f>
        <v>104</v>
      </c>
      <c r="W105" s="56" t="str">
        <f aca="false">IF(V105="","",IF(V105&lt;=Settings!$B$11,"1 - Fix first",IF(V105&lt;=Settings!$B$12,"2 - Review","3 - Monitor")))</f>
        <v>3 - Monitor</v>
      </c>
      <c r="X105" s="56" t="str">
        <f aca="false">IF(AND(E105&gt;=Settings!$B$4,F105&gt;=Settings!$B$5,O105&gt;=Settings!$B$6),"HIGH RATE","")</f>
        <v/>
      </c>
      <c r="Y105" s="56" t="n">
        <f aca="false">IF(F105&gt;0,RANK(F105,$F$2:$F$1780)+COUNTIF($F$2:F105,F105)-1,"")</f>
        <v>58</v>
      </c>
      <c r="Z105" s="56" t="n">
        <f aca="false">IF(H105&gt;0,RANK(H105,$H$2:$H$1780)+COUNTIF($H$2:H105,H105)-1,"")</f>
        <v>35</v>
      </c>
      <c r="AA105" s="56" t="n">
        <f aca="false">IF(AC105="","",RANK(AC105,$AC$2:$AC$1780)+COUNTIF($AC$2:AC105,AC105)-1)</f>
        <v>197</v>
      </c>
      <c r="AB105" s="56" t="str">
        <f aca="false">IF(AD105="","",RANK(AD105,$AD$2:$AD$1780)+COUNTIF($AD$2:AD105,AD105)-1)</f>
        <v/>
      </c>
      <c r="AC105" s="32" t="n">
        <f aca="false">IF(AND(F105&gt;0,E105&gt;=Settings!$B$4),J105,"")</f>
        <v>0.039906103286385</v>
      </c>
      <c r="AD105" s="56" t="str">
        <f aca="false">IF(X105="HIGH RATE",O105,"")</f>
        <v/>
      </c>
    </row>
    <row r="106" customFormat="false" ht="15" hidden="false" customHeight="false" outlineLevel="0" collapsed="false">
      <c r="A106" s="56" t="s">
        <v>213</v>
      </c>
      <c r="B106" s="56" t="s">
        <v>983</v>
      </c>
      <c r="C106" s="56" t="s">
        <v>51</v>
      </c>
      <c r="D106" s="56" t="str">
        <f aca="false">IFERROR(INDEX('Brand Map'!$B$4:$B$124,MATCH(C106,'Brand Map'!$A$4:$A$124,0)),"Other")</f>
        <v>AU</v>
      </c>
      <c r="E106" s="57" t="n">
        <v>689</v>
      </c>
      <c r="F106" s="57" t="n">
        <v>29</v>
      </c>
      <c r="G106" s="58" t="n">
        <v>55866.86</v>
      </c>
      <c r="H106" s="58" t="n">
        <v>2324.71</v>
      </c>
      <c r="I106" s="58" t="n">
        <v>52182.76</v>
      </c>
      <c r="J106" s="32" t="n">
        <f aca="false">IF(E106&gt;0,F106/E106,0)</f>
        <v>0.0420899854862119</v>
      </c>
      <c r="K106" s="32" t="n">
        <f aca="false">IF(G106&gt;0,H106/G106,0)</f>
        <v>0.0416116101746187</v>
      </c>
      <c r="L106" s="59" t="n">
        <f aca="false">H106/Settings!$B$16</f>
        <v>0.00464599441539764</v>
      </c>
      <c r="M106" s="59" t="n">
        <f aca="false">H106/Settings!$B$20</f>
        <v>0.000180477466638225</v>
      </c>
      <c r="N106" s="60" t="n">
        <f aca="false">E106*Settings!$B$3</f>
        <v>21.3494580939963</v>
      </c>
      <c r="O106" s="60" t="n">
        <f aca="false">IF(E106&gt;0,(F106-N106)/SQRT(E106*Settings!$B$3*(1-Settings!$B$3)),0)</f>
        <v>1.6820301587102</v>
      </c>
      <c r="P106" s="60" t="n">
        <f aca="false">MAX(0,F106-N106)</f>
        <v>7.65054190600373</v>
      </c>
      <c r="Q106" s="32" t="n">
        <f aca="false">(F106+Settings!$B$7*Settings!$B$3)/(E106+Settings!$B$7)</f>
        <v>0.0416266822425516</v>
      </c>
      <c r="R106" s="61" t="n">
        <f aca="false">PERCENTRANK($H$2:$H$1780,H106,6)</f>
        <v>0.970191</v>
      </c>
      <c r="S106" s="61" t="n">
        <f aca="false">PERCENTRANK($Q$2:$Q$1780,Q106,6)</f>
        <v>0.824522</v>
      </c>
      <c r="T106" s="61" t="n">
        <f aca="false">PERCENTRANK($F$2:$F$1780,F106,6)</f>
        <v>0.962317</v>
      </c>
      <c r="U106" s="62" t="n">
        <f aca="false">IF(F106&gt;0,(Settings!$B$8*T106+Settings!$B$9*R106+Settings!$B$10*S106)/SUM(Settings!$B$8:$B$10),0)</f>
        <v>0.91901</v>
      </c>
      <c r="V106" s="56" t="n">
        <f aca="false">IF(U106&gt;0,RANK(U106,$U$2:$U$1780)+COUNTIF($U$2:U106,U106)-1,"")</f>
        <v>105</v>
      </c>
      <c r="W106" s="56" t="str">
        <f aca="false">IF(V106="","",IF(V106&lt;=Settings!$B$11,"1 - Fix first",IF(V106&lt;=Settings!$B$12,"2 - Review","3 - Monitor")))</f>
        <v>3 - Monitor</v>
      </c>
      <c r="X106" s="56" t="str">
        <f aca="false">IF(AND(E106&gt;=Settings!$B$4,F106&gt;=Settings!$B$5,O106&gt;=Settings!$B$6),"HIGH RATE","")</f>
        <v/>
      </c>
      <c r="Y106" s="56" t="n">
        <f aca="false">IF(F106&gt;0,RANK(F106,$F$2:$F$1780)+COUNTIF($F$2:F106,F106)-1,"")</f>
        <v>67</v>
      </c>
      <c r="Z106" s="56" t="n">
        <f aca="false">IF(H106&gt;0,RANK(H106,$H$2:$H$1780)+COUNTIF($H$2:H106,H106)-1,"")</f>
        <v>54</v>
      </c>
      <c r="AA106" s="56" t="n">
        <f aca="false">IF(AC106="","",RANK(AC106,$AC$2:$AC$1780)+COUNTIF($AC$2:AC106,AC106)-1)</f>
        <v>178</v>
      </c>
      <c r="AB106" s="56" t="str">
        <f aca="false">IF(AD106="","",RANK(AD106,$AD$2:$AD$1780)+COUNTIF($AD$2:AD106,AD106)-1)</f>
        <v/>
      </c>
      <c r="AC106" s="32" t="n">
        <f aca="false">IF(AND(F106&gt;0,E106&gt;=Settings!$B$4),J106,"")</f>
        <v>0.0420899854862119</v>
      </c>
      <c r="AD106" s="56" t="str">
        <f aca="false">IF(X106="HIGH RATE",O106,"")</f>
        <v/>
      </c>
    </row>
    <row r="107" customFormat="false" ht="15" hidden="false" customHeight="false" outlineLevel="0" collapsed="false">
      <c r="A107" s="56" t="s">
        <v>243</v>
      </c>
      <c r="B107" s="56" t="s">
        <v>984</v>
      </c>
      <c r="C107" s="56" t="s">
        <v>59</v>
      </c>
      <c r="D107" s="56" t="str">
        <f aca="false">IFERROR(INDEX('Brand Map'!$B$4:$B$124,MATCH(C107,'Brand Map'!$A$4:$A$124,0)),"Other")</f>
        <v>DC</v>
      </c>
      <c r="E107" s="57" t="n">
        <v>906</v>
      </c>
      <c r="F107" s="57" t="n">
        <v>36</v>
      </c>
      <c r="G107" s="58" t="n">
        <v>70553.59</v>
      </c>
      <c r="H107" s="58" t="n">
        <v>2433.11</v>
      </c>
      <c r="I107" s="58" t="n">
        <v>63905.05</v>
      </c>
      <c r="J107" s="32" t="n">
        <f aca="false">IF(E107&gt;0,F107/E107,0)</f>
        <v>0.0397350993377483</v>
      </c>
      <c r="K107" s="32" t="n">
        <f aca="false">IF(G107&gt;0,H107/G107,0)</f>
        <v>0.0344859843418315</v>
      </c>
      <c r="L107" s="59" t="n">
        <f aca="false">H107/Settings!$B$16</f>
        <v>0.00486263468219612</v>
      </c>
      <c r="M107" s="59" t="n">
        <f aca="false">H107/Settings!$B$20</f>
        <v>0.000188893035626866</v>
      </c>
      <c r="N107" s="60" t="n">
        <f aca="false">E107*Settings!$B$3</f>
        <v>28.0734528783173</v>
      </c>
      <c r="O107" s="60" t="n">
        <f aca="false">IF(E107&gt;0,(F107-N107)/SQRT(E107*Settings!$B$3*(1-Settings!$B$3)),0)</f>
        <v>1.51974645122457</v>
      </c>
      <c r="P107" s="60" t="n">
        <f aca="false">MAX(0,F107-N107)</f>
        <v>7.9265471216827</v>
      </c>
      <c r="Q107" s="32" t="n">
        <f aca="false">(F107+Settings!$B$7*Settings!$B$3)/(E107+Settings!$B$7)</f>
        <v>0.0394546843294814</v>
      </c>
      <c r="R107" s="61" t="n">
        <f aca="false">PERCENTRANK($H$2:$H$1780,H107,6)</f>
        <v>0.971879</v>
      </c>
      <c r="S107" s="61" t="n">
        <f aca="false">PERCENTRANK($Q$2:$Q$1780,Q107,6)</f>
        <v>0.810461</v>
      </c>
      <c r="T107" s="61" t="n">
        <f aca="false">PERCENTRANK($F$2:$F$1780,F107,6)</f>
        <v>0.970754</v>
      </c>
      <c r="U107" s="62" t="n">
        <f aca="false">IF(F107&gt;0,(Settings!$B$8*T107+Settings!$B$9*R107+Settings!$B$10*S107)/SUM(Settings!$B$8:$B$10),0)</f>
        <v>0.917698</v>
      </c>
      <c r="V107" s="56" t="n">
        <f aca="false">IF(U107&gt;0,RANK(U107,$U$2:$U$1780)+COUNTIF($U$2:U107,U107)-1,"")</f>
        <v>106</v>
      </c>
      <c r="W107" s="56" t="str">
        <f aca="false">IF(V107="","",IF(V107&lt;=Settings!$B$11,"1 - Fix first",IF(V107&lt;=Settings!$B$12,"2 - Review","3 - Monitor")))</f>
        <v>3 - Monitor</v>
      </c>
      <c r="X107" s="56" t="str">
        <f aca="false">IF(AND(E107&gt;=Settings!$B$4,F107&gt;=Settings!$B$5,O107&gt;=Settings!$B$6),"HIGH RATE","")</f>
        <v/>
      </c>
      <c r="Y107" s="56" t="n">
        <f aca="false">IF(F107&gt;0,RANK(F107,$F$2:$F$1780)+COUNTIF($F$2:F107,F107)-1,"")</f>
        <v>53</v>
      </c>
      <c r="Z107" s="56" t="n">
        <f aca="false">IF(H107&gt;0,RANK(H107,$H$2:$H$1780)+COUNTIF($H$2:H107,H107)-1,"")</f>
        <v>51</v>
      </c>
      <c r="AA107" s="56" t="n">
        <f aca="false">IF(AC107="","",RANK(AC107,$AC$2:$AC$1780)+COUNTIF($AC$2:AC107,AC107)-1)</f>
        <v>198</v>
      </c>
      <c r="AB107" s="56" t="str">
        <f aca="false">IF(AD107="","",RANK(AD107,$AD$2:$AD$1780)+COUNTIF($AD$2:AD107,AD107)-1)</f>
        <v/>
      </c>
      <c r="AC107" s="32" t="n">
        <f aca="false">IF(AND(F107&gt;0,E107&gt;=Settings!$B$4),J107,"")</f>
        <v>0.0397350993377483</v>
      </c>
      <c r="AD107" s="56" t="str">
        <f aca="false">IF(X107="HIGH RATE",O107,"")</f>
        <v/>
      </c>
    </row>
    <row r="108" customFormat="false" ht="15" hidden="false" customHeight="false" outlineLevel="0" collapsed="false">
      <c r="A108" s="56" t="s">
        <v>563</v>
      </c>
      <c r="B108" s="56" t="s">
        <v>564</v>
      </c>
      <c r="C108" s="56" t="s">
        <v>117</v>
      </c>
      <c r="D108" s="56" t="str">
        <f aca="false">IFERROR(INDEX('Brand Map'!$B$4:$B$124,MATCH(C108,'Brand Map'!$A$4:$A$124,0)),"Other")</f>
        <v>LF</v>
      </c>
      <c r="E108" s="57" t="n">
        <v>278</v>
      </c>
      <c r="F108" s="57" t="n">
        <v>14</v>
      </c>
      <c r="G108" s="58" t="n">
        <v>19506.71</v>
      </c>
      <c r="H108" s="58" t="n">
        <v>887.11</v>
      </c>
      <c r="I108" s="58" t="n">
        <v>17894.51</v>
      </c>
      <c r="J108" s="32" t="n">
        <f aca="false">IF(E108&gt;0,F108/E108,0)</f>
        <v>0.0503597122302158</v>
      </c>
      <c r="K108" s="32" t="n">
        <f aca="false">IF(G108&gt;0,H108/G108,0)</f>
        <v>0.0454771717014299</v>
      </c>
      <c r="L108" s="59" t="n">
        <f aca="false">H108/Settings!$B$16</f>
        <v>0.0017729127959373</v>
      </c>
      <c r="M108" s="59" t="n">
        <f aca="false">H108/Settings!$B$20</f>
        <v>6.88702528183886E-005</v>
      </c>
      <c r="N108" s="60" t="n">
        <f aca="false">E108*Settings!$B$3</f>
        <v>8.61415000019008</v>
      </c>
      <c r="O108" s="60" t="n">
        <f aca="false">IF(E108&gt;0,(F108-N108)/SQRT(E108*Settings!$B$3*(1-Settings!$B$3)),0)</f>
        <v>1.86415940738148</v>
      </c>
      <c r="P108" s="60" t="n">
        <f aca="false">MAX(0,F108-N108)</f>
        <v>5.38584999980992</v>
      </c>
      <c r="Q108" s="32" t="n">
        <f aca="false">(F108+Settings!$B$7*Settings!$B$3)/(E108+Settings!$B$7)</f>
        <v>0.0484726770532293</v>
      </c>
      <c r="R108" s="61" t="n">
        <f aca="false">PERCENTRANK($H$2:$H$1780,H108,6)</f>
        <v>0.937008</v>
      </c>
      <c r="S108" s="61" t="n">
        <f aca="false">PERCENTRANK($Q$2:$Q$1780,Q108,6)</f>
        <v>0.875703</v>
      </c>
      <c r="T108" s="61" t="n">
        <f aca="false">PERCENTRANK($F$2:$F$1780,F108,6)</f>
        <v>0.938133</v>
      </c>
      <c r="U108" s="62" t="n">
        <f aca="false">IF(F108&gt;0,(Settings!$B$8*T108+Settings!$B$9*R108+Settings!$B$10*S108)/SUM(Settings!$B$8:$B$10),0)</f>
        <v>0.916948</v>
      </c>
      <c r="V108" s="56" t="n">
        <f aca="false">IF(U108&gt;0,RANK(U108,$U$2:$U$1780)+COUNTIF($U$2:U108,U108)-1,"")</f>
        <v>107</v>
      </c>
      <c r="W108" s="56" t="str">
        <f aca="false">IF(V108="","",IF(V108&lt;=Settings!$B$11,"1 - Fix first",IF(V108&lt;=Settings!$B$12,"2 - Review","3 - Monitor")))</f>
        <v>3 - Monitor</v>
      </c>
      <c r="X108" s="56" t="str">
        <f aca="false">IF(AND(E108&gt;=Settings!$B$4,F108&gt;=Settings!$B$5,O108&gt;=Settings!$B$6),"HIGH RATE","")</f>
        <v/>
      </c>
      <c r="Y108" s="56" t="n">
        <f aca="false">IF(F108&gt;0,RANK(F108,$F$2:$F$1780)+COUNTIF($F$2:F108,F108)-1,"")</f>
        <v>110</v>
      </c>
      <c r="Z108" s="56" t="n">
        <f aca="false">IF(H108&gt;0,RANK(H108,$H$2:$H$1780)+COUNTIF($H$2:H108,H108)-1,"")</f>
        <v>113</v>
      </c>
      <c r="AA108" s="56" t="n">
        <f aca="false">IF(AC108="","",RANK(AC108,$AC$2:$AC$1780)+COUNTIF($AC$2:AC108,AC108)-1)</f>
        <v>122</v>
      </c>
      <c r="AB108" s="56" t="str">
        <f aca="false">IF(AD108="","",RANK(AD108,$AD$2:$AD$1780)+COUNTIF($AD$2:AD108,AD108)-1)</f>
        <v/>
      </c>
      <c r="AC108" s="32" t="n">
        <f aca="false">IF(AND(F108&gt;0,E108&gt;=Settings!$B$4),J108,"")</f>
        <v>0.0503597122302158</v>
      </c>
      <c r="AD108" s="56" t="str">
        <f aca="false">IF(X108="HIGH RATE",O108,"")</f>
        <v/>
      </c>
    </row>
    <row r="109" customFormat="false" ht="15" hidden="false" customHeight="false" outlineLevel="0" collapsed="false">
      <c r="A109" s="56" t="s">
        <v>985</v>
      </c>
      <c r="B109" s="56" t="s">
        <v>986</v>
      </c>
      <c r="C109" s="56" t="s">
        <v>83</v>
      </c>
      <c r="D109" s="56" t="str">
        <f aca="false">IFERROR(INDEX('Brand Map'!$B$4:$B$124,MATCH(C109,'Brand Map'!$A$4:$A$124,0)),"Other")</f>
        <v>AUDNAT</v>
      </c>
      <c r="E109" s="57" t="n">
        <v>794</v>
      </c>
      <c r="F109" s="57" t="n">
        <v>31</v>
      </c>
      <c r="G109" s="58" t="n">
        <v>109376.56</v>
      </c>
      <c r="H109" s="58" t="n">
        <v>4128.81</v>
      </c>
      <c r="I109" s="58" t="n">
        <v>99338.42</v>
      </c>
      <c r="J109" s="32" t="n">
        <f aca="false">IF(E109&gt;0,F109/E109,0)</f>
        <v>0.0390428211586902</v>
      </c>
      <c r="K109" s="32" t="n">
        <f aca="false">IF(G109&gt;0,H109/G109,0)</f>
        <v>0.0377485815973733</v>
      </c>
      <c r="L109" s="59" t="n">
        <f aca="false">H109/Settings!$B$16</f>
        <v>0.00825153597749308</v>
      </c>
      <c r="M109" s="59" t="n">
        <f aca="false">H109/Settings!$B$20</f>
        <v>0.000320537688154897</v>
      </c>
      <c r="N109" s="60" t="n">
        <f aca="false">E109*Settings!$B$3</f>
        <v>24.6030039573774</v>
      </c>
      <c r="O109" s="60" t="n">
        <f aca="false">IF(E109&gt;0,(F109-N109)/SQRT(E109*Settings!$B$3*(1-Settings!$B$3)),0)</f>
        <v>1.31013793513056</v>
      </c>
      <c r="P109" s="60" t="n">
        <f aca="false">MAX(0,F109-N109)</f>
        <v>6.39699604262259</v>
      </c>
      <c r="Q109" s="32" t="n">
        <f aca="false">(F109+Settings!$B$7*Settings!$B$3)/(E109+Settings!$B$7)</f>
        <v>0.038749495791741</v>
      </c>
      <c r="R109" s="61" t="n">
        <f aca="false">PERCENTRANK($H$2:$H$1780,H109,6)</f>
        <v>0.985939</v>
      </c>
      <c r="S109" s="61" t="n">
        <f aca="false">PERCENTRANK($Q$2:$Q$1780,Q109,6)</f>
        <v>0.799775</v>
      </c>
      <c r="T109" s="61" t="n">
        <f aca="false">PERCENTRANK($F$2:$F$1780,F109,6)</f>
        <v>0.964567</v>
      </c>
      <c r="U109" s="62" t="n">
        <f aca="false">IF(F109&gt;0,(Settings!$B$8*T109+Settings!$B$9*R109+Settings!$B$10*S109)/SUM(Settings!$B$8:$B$10),0)</f>
        <v>0.916760333333333</v>
      </c>
      <c r="V109" s="56" t="n">
        <f aca="false">IF(U109&gt;0,RANK(U109,$U$2:$U$1780)+COUNTIF($U$2:U109,U109)-1,"")</f>
        <v>108</v>
      </c>
      <c r="W109" s="56" t="str">
        <f aca="false">IF(V109="","",IF(V109&lt;=Settings!$B$11,"1 - Fix first",IF(V109&lt;=Settings!$B$12,"2 - Review","3 - Monitor")))</f>
        <v>3 - Monitor</v>
      </c>
      <c r="X109" s="56" t="str">
        <f aca="false">IF(AND(E109&gt;=Settings!$B$4,F109&gt;=Settings!$B$5,O109&gt;=Settings!$B$6),"HIGH RATE","")</f>
        <v/>
      </c>
      <c r="Y109" s="56" t="n">
        <f aca="false">IF(F109&gt;0,RANK(F109,$F$2:$F$1780)+COUNTIF($F$2:F109,F109)-1,"")</f>
        <v>64</v>
      </c>
      <c r="Z109" s="56" t="n">
        <f aca="false">IF(H109&gt;0,RANK(H109,$H$2:$H$1780)+COUNTIF($H$2:H109,H109)-1,"")</f>
        <v>26</v>
      </c>
      <c r="AA109" s="56" t="n">
        <f aca="false">IF(AC109="","",RANK(AC109,$AC$2:$AC$1780)+COUNTIF($AC$2:AC109,AC109)-1)</f>
        <v>204</v>
      </c>
      <c r="AB109" s="56" t="str">
        <f aca="false">IF(AD109="","",RANK(AD109,$AD$2:$AD$1780)+COUNTIF($AD$2:AD109,AD109)-1)</f>
        <v/>
      </c>
      <c r="AC109" s="32" t="n">
        <f aca="false">IF(AND(F109&gt;0,E109&gt;=Settings!$B$4),J109,"")</f>
        <v>0.0390428211586902</v>
      </c>
      <c r="AD109" s="56" t="str">
        <f aca="false">IF(X109="HIGH RATE",O109,"")</f>
        <v/>
      </c>
    </row>
    <row r="110" customFormat="false" ht="15" hidden="false" customHeight="false" outlineLevel="0" collapsed="false">
      <c r="A110" s="56" t="s">
        <v>987</v>
      </c>
      <c r="B110" s="56" t="s">
        <v>988</v>
      </c>
      <c r="C110" s="56" t="s">
        <v>51</v>
      </c>
      <c r="D110" s="56" t="str">
        <f aca="false">IFERROR(INDEX('Brand Map'!$B$4:$B$124,MATCH(C110,'Brand Map'!$A$4:$A$124,0)),"Other")</f>
        <v>AU</v>
      </c>
      <c r="E110" s="57" t="n">
        <v>433</v>
      </c>
      <c r="F110" s="57" t="n">
        <v>19</v>
      </c>
      <c r="G110" s="58" t="n">
        <v>46229.78</v>
      </c>
      <c r="H110" s="58" t="n">
        <v>1886.95</v>
      </c>
      <c r="I110" s="58" t="n">
        <v>42501.49</v>
      </c>
      <c r="J110" s="32" t="n">
        <f aca="false">IF(E110&gt;0,F110/E110,0)</f>
        <v>0.0438799076212471</v>
      </c>
      <c r="K110" s="32" t="n">
        <f aca="false">IF(G110&gt;0,H110/G110,0)</f>
        <v>0.040816763566688</v>
      </c>
      <c r="L110" s="59" t="n">
        <f aca="false">H110/Settings!$B$16</f>
        <v>0.00377111947818634</v>
      </c>
      <c r="M110" s="59" t="n">
        <f aca="false">H110/Settings!$B$20</f>
        <v>0.000146492231578562</v>
      </c>
      <c r="N110" s="60" t="n">
        <f aca="false">E110*Settings!$B$3</f>
        <v>13.4170034175622</v>
      </c>
      <c r="O110" s="60" t="n">
        <f aca="false">IF(E110&gt;0,(F110-N110)/SQRT(E110*Settings!$B$3*(1-Settings!$B$3)),0)</f>
        <v>1.54836948895007</v>
      </c>
      <c r="P110" s="60" t="n">
        <f aca="false">MAX(0,F110-N110)</f>
        <v>5.58299658243776</v>
      </c>
      <c r="Q110" s="32" t="n">
        <f aca="false">(F110+Settings!$B$7*Settings!$B$3)/(E110+Settings!$B$7)</f>
        <v>0.0430444590332497</v>
      </c>
      <c r="R110" s="61" t="n">
        <f aca="false">PERCENTRANK($H$2:$H$1780,H110,6)</f>
        <v>0.964567</v>
      </c>
      <c r="S110" s="61" t="n">
        <f aca="false">PERCENTRANK($Q$2:$Q$1780,Q110,6)</f>
        <v>0.834646</v>
      </c>
      <c r="T110" s="61" t="n">
        <f aca="false">PERCENTRANK($F$2:$F$1780,F110,6)</f>
        <v>0.950506</v>
      </c>
      <c r="U110" s="62" t="n">
        <f aca="false">IF(F110&gt;0,(Settings!$B$8*T110+Settings!$B$9*R110+Settings!$B$10*S110)/SUM(Settings!$B$8:$B$10),0)</f>
        <v>0.916573</v>
      </c>
      <c r="V110" s="56" t="n">
        <f aca="false">IF(U110&gt;0,RANK(U110,$U$2:$U$1780)+COUNTIF($U$2:U110,U110)-1,"")</f>
        <v>109</v>
      </c>
      <c r="W110" s="56" t="str">
        <f aca="false">IF(V110="","",IF(V110&lt;=Settings!$B$11,"1 - Fix first",IF(V110&lt;=Settings!$B$12,"2 - Review","3 - Monitor")))</f>
        <v>3 - Monitor</v>
      </c>
      <c r="X110" s="56" t="str">
        <f aca="false">IF(AND(E110&gt;=Settings!$B$4,F110&gt;=Settings!$B$5,O110&gt;=Settings!$B$6),"HIGH RATE","")</f>
        <v/>
      </c>
      <c r="Y110" s="56" t="n">
        <f aca="false">IF(F110&gt;0,RANK(F110,$F$2:$F$1780)+COUNTIF($F$2:F110,F110)-1,"")</f>
        <v>88</v>
      </c>
      <c r="Z110" s="56" t="n">
        <f aca="false">IF(H110&gt;0,RANK(H110,$H$2:$H$1780)+COUNTIF($H$2:H110,H110)-1,"")</f>
        <v>64</v>
      </c>
      <c r="AA110" s="56" t="n">
        <f aca="false">IF(AC110="","",RANK(AC110,$AC$2:$AC$1780)+COUNTIF($AC$2:AC110,AC110)-1)</f>
        <v>166</v>
      </c>
      <c r="AB110" s="56" t="str">
        <f aca="false">IF(AD110="","",RANK(AD110,$AD$2:$AD$1780)+COUNTIF($AD$2:AD110,AD110)-1)</f>
        <v/>
      </c>
      <c r="AC110" s="32" t="n">
        <f aca="false">IF(AND(F110&gt;0,E110&gt;=Settings!$B$4),J110,"")</f>
        <v>0.0438799076212471</v>
      </c>
      <c r="AD110" s="56" t="str">
        <f aca="false">IF(X110="HIGH RATE",O110,"")</f>
        <v/>
      </c>
    </row>
    <row r="111" customFormat="false" ht="15" hidden="false" customHeight="false" outlineLevel="0" collapsed="false">
      <c r="A111" s="56" t="s">
        <v>582</v>
      </c>
      <c r="B111" s="56" t="s">
        <v>583</v>
      </c>
      <c r="C111" s="56" t="s">
        <v>142</v>
      </c>
      <c r="D111" s="56" t="str">
        <f aca="false">IFERROR(INDEX('Brand Map'!$B$4:$B$124,MATCH(C111,'Brand Map'!$A$4:$A$124,0)),"Other")</f>
        <v>RBC</v>
      </c>
      <c r="E111" s="57" t="n">
        <v>814</v>
      </c>
      <c r="F111" s="57" t="n">
        <v>34</v>
      </c>
      <c r="G111" s="58" t="n">
        <v>39996.15</v>
      </c>
      <c r="H111" s="58" t="n">
        <v>1500.02</v>
      </c>
      <c r="I111" s="58" t="n">
        <v>34234.82</v>
      </c>
      <c r="J111" s="32" t="n">
        <f aca="false">IF(E111&gt;0,F111/E111,0)</f>
        <v>0.0417690417690418</v>
      </c>
      <c r="K111" s="32" t="n">
        <f aca="false">IF(G111&gt;0,H111/G111,0)</f>
        <v>0.0375041097705654</v>
      </c>
      <c r="L111" s="59" t="n">
        <f aca="false">H111/Settings!$B$16</f>
        <v>0.00299782964024965</v>
      </c>
      <c r="M111" s="59" t="n">
        <f aca="false">H111/Settings!$B$20</f>
        <v>0.000116453153084329</v>
      </c>
      <c r="N111" s="60" t="n">
        <f aca="false">E111*Settings!$B$3</f>
        <v>25.2227269789738</v>
      </c>
      <c r="O111" s="60" t="n">
        <f aca="false">IF(E111&gt;0,(F111-N111)/SQRT(E111*Settings!$B$3*(1-Settings!$B$3)),0)</f>
        <v>1.77540973159612</v>
      </c>
      <c r="P111" s="60" t="n">
        <f aca="false">MAX(0,F111-N111)</f>
        <v>8.77727302102618</v>
      </c>
      <c r="Q111" s="32" t="n">
        <f aca="false">(F111+Settings!$B$7*Settings!$B$3)/(E111+Settings!$B$7)</f>
        <v>0.0413857636639747</v>
      </c>
      <c r="R111" s="61" t="n">
        <f aca="false">PERCENTRANK($H$2:$H$1780,H111,6)</f>
        <v>0.959505</v>
      </c>
      <c r="S111" s="61" t="n">
        <f aca="false">PERCENTRANK($Q$2:$Q$1780,Q111,6)</f>
        <v>0.82171</v>
      </c>
      <c r="T111" s="61" t="n">
        <f aca="false">PERCENTRANK($F$2:$F$1780,F111,6)</f>
        <v>0.966254</v>
      </c>
      <c r="U111" s="62" t="n">
        <f aca="false">IF(F111&gt;0,(Settings!$B$8*T111+Settings!$B$9*R111+Settings!$B$10*S111)/SUM(Settings!$B$8:$B$10),0)</f>
        <v>0.915823</v>
      </c>
      <c r="V111" s="56" t="n">
        <f aca="false">IF(U111&gt;0,RANK(U111,$U$2:$U$1780)+COUNTIF($U$2:U111,U111)-1,"")</f>
        <v>110</v>
      </c>
      <c r="W111" s="56" t="str">
        <f aca="false">IF(V111="","",IF(V111&lt;=Settings!$B$11,"1 - Fix first",IF(V111&lt;=Settings!$B$12,"2 - Review","3 - Monitor")))</f>
        <v>3 - Monitor</v>
      </c>
      <c r="X111" s="56" t="str">
        <f aca="false">IF(AND(E111&gt;=Settings!$B$4,F111&gt;=Settings!$B$5,O111&gt;=Settings!$B$6),"HIGH RATE","")</f>
        <v/>
      </c>
      <c r="Y111" s="56" t="n">
        <f aca="false">IF(F111&gt;0,RANK(F111,$F$2:$F$1780)+COUNTIF($F$2:F111,F111)-1,"")</f>
        <v>59</v>
      </c>
      <c r="Z111" s="56" t="n">
        <f aca="false">IF(H111&gt;0,RANK(H111,$H$2:$H$1780)+COUNTIF($H$2:H111,H111)-1,"")</f>
        <v>73</v>
      </c>
      <c r="AA111" s="56" t="n">
        <f aca="false">IF(AC111="","",RANK(AC111,$AC$2:$AC$1780)+COUNTIF($AC$2:AC111,AC111)-1)</f>
        <v>182</v>
      </c>
      <c r="AB111" s="56" t="str">
        <f aca="false">IF(AD111="","",RANK(AD111,$AD$2:$AD$1780)+COUNTIF($AD$2:AD111,AD111)-1)</f>
        <v/>
      </c>
      <c r="AC111" s="32" t="n">
        <f aca="false">IF(AND(F111&gt;0,E111&gt;=Settings!$B$4),J111,"")</f>
        <v>0.0417690417690418</v>
      </c>
      <c r="AD111" s="56" t="str">
        <f aca="false">IF(X111="HIGH RATE",O111,"")</f>
        <v/>
      </c>
    </row>
    <row r="112" customFormat="false" ht="15" hidden="false" customHeight="false" outlineLevel="0" collapsed="false">
      <c r="A112" s="56" t="s">
        <v>311</v>
      </c>
      <c r="B112" s="56" t="s">
        <v>989</v>
      </c>
      <c r="C112" s="56" t="s">
        <v>75</v>
      </c>
      <c r="D112" s="56" t="str">
        <f aca="false">IFERROR(INDEX('Brand Map'!$B$4:$B$124,MATCH(C112,'Brand Map'!$A$4:$A$124,0)),"Other")</f>
        <v>AURP</v>
      </c>
      <c r="E112" s="57" t="n">
        <v>11080</v>
      </c>
      <c r="F112" s="57" t="n">
        <v>410</v>
      </c>
      <c r="G112" s="58" t="n">
        <v>41587.42</v>
      </c>
      <c r="H112" s="58" t="n">
        <v>1427.63</v>
      </c>
      <c r="I112" s="58" t="n">
        <v>38923.46</v>
      </c>
      <c r="J112" s="32" t="n">
        <f aca="false">IF(E112&gt;0,F112/E112,0)</f>
        <v>0.0370036101083033</v>
      </c>
      <c r="K112" s="32" t="n">
        <f aca="false">IF(G112&gt;0,H112/G112,0)</f>
        <v>0.0343284098893367</v>
      </c>
      <c r="L112" s="59" t="n">
        <f aca="false">H112/Settings!$B$16</f>
        <v>0.00285315631078893</v>
      </c>
      <c r="M112" s="59" t="n">
        <f aca="false">H112/Settings!$B$20</f>
        <v>0.000110833198849203</v>
      </c>
      <c r="N112" s="60" t="n">
        <f aca="false">E112*Settings!$B$3</f>
        <v>343.32655396441</v>
      </c>
      <c r="O112" s="60" t="n">
        <f aca="false">IF(E112&gt;0,(F112-N112)/SQRT(E112*Settings!$B$3*(1-Settings!$B$3)),0)</f>
        <v>3.65539415576429</v>
      </c>
      <c r="P112" s="60" t="n">
        <f aca="false">MAX(0,F112-N112)</f>
        <v>66.6734460355898</v>
      </c>
      <c r="Q112" s="32" t="n">
        <f aca="false">(F112+Settings!$B$7*Settings!$B$3)/(E112+Settings!$B$7)</f>
        <v>0.0369873613440499</v>
      </c>
      <c r="R112" s="61" t="n">
        <f aca="false">PERCENTRANK($H$2:$H$1780,H112,6)</f>
        <v>0.958943</v>
      </c>
      <c r="S112" s="61" t="n">
        <f aca="false">PERCENTRANK($Q$2:$Q$1780,Q112,6)</f>
        <v>0.788526</v>
      </c>
      <c r="T112" s="61" t="n">
        <f aca="false">PERCENTRANK($F$2:$F$1780,F112,6)</f>
        <v>0.999438</v>
      </c>
      <c r="U112" s="62" t="n">
        <f aca="false">IF(F112&gt;0,(Settings!$B$8*T112+Settings!$B$9*R112+Settings!$B$10*S112)/SUM(Settings!$B$8:$B$10),0)</f>
        <v>0.915635666666667</v>
      </c>
      <c r="V112" s="56" t="n">
        <f aca="false">IF(U112&gt;0,RANK(U112,$U$2:$U$1780)+COUNTIF($U$2:U112,U112)-1,"")</f>
        <v>111</v>
      </c>
      <c r="W112" s="56" t="str">
        <f aca="false">IF(V112="","",IF(V112&lt;=Settings!$B$11,"1 - Fix first",IF(V112&lt;=Settings!$B$12,"2 - Review","3 - Monitor")))</f>
        <v>3 - Monitor</v>
      </c>
      <c r="X112" s="56" t="str">
        <f aca="false">IF(AND(E112&gt;=Settings!$B$4,F112&gt;=Settings!$B$5,O112&gt;=Settings!$B$6),"HIGH RATE","")</f>
        <v>HIGH RATE</v>
      </c>
      <c r="Y112" s="56" t="n">
        <f aca="false">IF(F112&gt;0,RANK(F112,$F$2:$F$1780)+COUNTIF($F$2:F112,F112)-1,"")</f>
        <v>2</v>
      </c>
      <c r="Z112" s="56" t="n">
        <f aca="false">IF(H112&gt;0,RANK(H112,$H$2:$H$1780)+COUNTIF($H$2:H112,H112)-1,"")</f>
        <v>74</v>
      </c>
      <c r="AA112" s="56" t="n">
        <f aca="false">IF(AC112="","",RANK(AC112,$AC$2:$AC$1780)+COUNTIF($AC$2:AC112,AC112)-1)</f>
        <v>217</v>
      </c>
      <c r="AB112" s="56" t="n">
        <f aca="false">IF(AD112="","",RANK(AD112,$AD$2:$AD$1780)+COUNTIF($AD$2:AD112,AD112)-1)</f>
        <v>49</v>
      </c>
      <c r="AC112" s="32" t="n">
        <f aca="false">IF(AND(F112&gt;0,E112&gt;=Settings!$B$4),J112,"")</f>
        <v>0.0370036101083033</v>
      </c>
      <c r="AD112" s="60" t="n">
        <f aca="false">IF(X112="HIGH RATE",O112,"")</f>
        <v>3.65539415576429</v>
      </c>
    </row>
    <row r="113" customFormat="false" ht="15" hidden="false" customHeight="false" outlineLevel="0" collapsed="false">
      <c r="A113" s="56" t="s">
        <v>990</v>
      </c>
      <c r="B113" s="56" t="s">
        <v>991</v>
      </c>
      <c r="C113" s="56" t="s">
        <v>51</v>
      </c>
      <c r="D113" s="56" t="str">
        <f aca="false">IFERROR(INDEX('Brand Map'!$B$4:$B$124,MATCH(C113,'Brand Map'!$A$4:$A$124,0)),"Other")</f>
        <v>AU</v>
      </c>
      <c r="E113" s="57" t="n">
        <v>21</v>
      </c>
      <c r="F113" s="57" t="n">
        <v>3</v>
      </c>
      <c r="G113" s="58" t="n">
        <v>5223.26</v>
      </c>
      <c r="H113" s="58" t="n">
        <v>677.13</v>
      </c>
      <c r="I113" s="58" t="n">
        <v>4429.14</v>
      </c>
      <c r="J113" s="32" t="n">
        <f aca="false">IF(E113&gt;0,F113/E113,0)</f>
        <v>0.142857142857143</v>
      </c>
      <c r="K113" s="32" t="n">
        <f aca="false">IF(G113&gt;0,H113/G113,0)</f>
        <v>0.129637429498053</v>
      </c>
      <c r="L113" s="59" t="n">
        <f aca="false">H113/Settings!$B$16</f>
        <v>0.00135326221270533</v>
      </c>
      <c r="M113" s="59" t="n">
        <f aca="false">H113/Settings!$B$20</f>
        <v>5.25685814509085E-005</v>
      </c>
      <c r="N113" s="60" t="n">
        <f aca="false">E113*Settings!$B$3</f>
        <v>0.650709172676229</v>
      </c>
      <c r="O113" s="60" t="n">
        <f aca="false">IF(E113&gt;0,(F113-N113)/SQRT(E113*Settings!$B$3*(1-Settings!$B$3)),0)</f>
        <v>2.95854600342979</v>
      </c>
      <c r="P113" s="60" t="n">
        <f aca="false">MAX(0,F113-N113)</f>
        <v>2.34929082732377</v>
      </c>
      <c r="Q113" s="32" t="n">
        <f aca="false">(F113+Settings!$B$7*Settings!$B$3)/(E113+Settings!$B$7)</f>
        <v>0.0770506771057767</v>
      </c>
      <c r="R113" s="61" t="n">
        <f aca="false">PERCENTRANK($H$2:$H$1780,H113,6)</f>
        <v>0.919573</v>
      </c>
      <c r="S113" s="61" t="n">
        <f aca="false">PERCENTRANK($Q$2:$Q$1780,Q113,6)</f>
        <v>0.983127</v>
      </c>
      <c r="T113" s="61" t="n">
        <f aca="false">PERCENTRANK($F$2:$F$1780,F113,6)</f>
        <v>0.84252</v>
      </c>
      <c r="U113" s="62" t="n">
        <f aca="false">IF(F113&gt;0,(Settings!$B$8*T113+Settings!$B$9*R113+Settings!$B$10*S113)/SUM(Settings!$B$8:$B$10),0)</f>
        <v>0.915073333333333</v>
      </c>
      <c r="V113" s="56" t="n">
        <f aca="false">IF(U113&gt;0,RANK(U113,$U$2:$U$1780)+COUNTIF($U$2:U113,U113)-1,"")</f>
        <v>112</v>
      </c>
      <c r="W113" s="56" t="str">
        <f aca="false">IF(V113="","",IF(V113&lt;=Settings!$B$11,"1 - Fix first",IF(V113&lt;=Settings!$B$12,"2 - Review","3 - Monitor")))</f>
        <v>3 - Monitor</v>
      </c>
      <c r="X113" s="56" t="str">
        <f aca="false">IF(AND(E113&gt;=Settings!$B$4,F113&gt;=Settings!$B$5,O113&gt;=Settings!$B$6),"HIGH RATE","")</f>
        <v/>
      </c>
      <c r="Y113" s="56" t="n">
        <f aca="false">IF(F113&gt;0,RANK(F113,$F$2:$F$1780)+COUNTIF($F$2:F113,F113)-1,"")</f>
        <v>230</v>
      </c>
      <c r="Z113" s="56" t="n">
        <f aca="false">IF(H113&gt;0,RANK(H113,$H$2:$H$1780)+COUNTIF($H$2:H113,H113)-1,"")</f>
        <v>144</v>
      </c>
      <c r="AA113" s="56" t="str">
        <f aca="false">IF(AC113="","",RANK(AC113,$AC$2:$AC$1780)+COUNTIF($AC$2:AC113,AC113)-1)</f>
        <v/>
      </c>
      <c r="AB113" s="56" t="str">
        <f aca="false">IF(AD113="","",RANK(AD113,$AD$2:$AD$1780)+COUNTIF($AD$2:AD113,AD113)-1)</f>
        <v/>
      </c>
      <c r="AC113" s="56" t="str">
        <f aca="false">IF(AND(F113&gt;0,E113&gt;=Settings!$B$4),J113,"")</f>
        <v/>
      </c>
      <c r="AD113" s="56" t="str">
        <f aca="false">IF(X113="HIGH RATE",O113,"")</f>
        <v/>
      </c>
    </row>
    <row r="114" customFormat="false" ht="15" hidden="false" customHeight="false" outlineLevel="0" collapsed="false">
      <c r="A114" s="56" t="s">
        <v>992</v>
      </c>
      <c r="B114" s="56" t="s">
        <v>993</v>
      </c>
      <c r="C114" s="56" t="s">
        <v>107</v>
      </c>
      <c r="D114" s="56" t="str">
        <f aca="false">IFERROR(INDEX('Brand Map'!$B$4:$B$124,MATCH(C114,'Brand Map'!$A$4:$A$124,0)),"Other")</f>
        <v>DCMJ</v>
      </c>
      <c r="E114" s="57" t="n">
        <v>84</v>
      </c>
      <c r="F114" s="57" t="n">
        <v>6</v>
      </c>
      <c r="G114" s="58" t="n">
        <v>6482.3</v>
      </c>
      <c r="H114" s="58" t="n">
        <v>429.28</v>
      </c>
      <c r="I114" s="58" t="n">
        <v>5390.44</v>
      </c>
      <c r="J114" s="32" t="n">
        <f aca="false">IF(E114&gt;0,F114/E114,0)</f>
        <v>0.0714285714285714</v>
      </c>
      <c r="K114" s="32" t="n">
        <f aca="false">IF(G114&gt;0,H114/G114,0)</f>
        <v>0.0662234083581445</v>
      </c>
      <c r="L114" s="59" t="n">
        <f aca="false">H114/Settings!$B$16</f>
        <v>0.000857927432945141</v>
      </c>
      <c r="M114" s="59" t="n">
        <f aca="false">H114/Settings!$B$20</f>
        <v>3.33268953454226E-005</v>
      </c>
      <c r="N114" s="60" t="n">
        <f aca="false">E114*Settings!$B$3</f>
        <v>2.60283669070492</v>
      </c>
      <c r="O114" s="60" t="n">
        <f aca="false">IF(E114&gt;0,(F114-N114)/SQRT(E114*Settings!$B$3*(1-Settings!$B$3)),0)</f>
        <v>2.13908465797796</v>
      </c>
      <c r="P114" s="60" t="n">
        <f aca="false">MAX(0,F114-N114)</f>
        <v>3.39716330929509</v>
      </c>
      <c r="Q114" s="32" t="n">
        <f aca="false">(F114+Settings!$B$7*Settings!$B$3)/(E114+Settings!$B$7)</f>
        <v>0.0607858292315317</v>
      </c>
      <c r="R114" s="61" t="n">
        <f aca="false">PERCENTRANK($H$2:$H$1780,H114,6)</f>
        <v>0.894263</v>
      </c>
      <c r="S114" s="61" t="n">
        <f aca="false">PERCENTRANK($Q$2:$Q$1780,Q114,6)</f>
        <v>0.951631</v>
      </c>
      <c r="T114" s="61" t="n">
        <f aca="false">PERCENTRANK($F$2:$F$1780,F114,6)</f>
        <v>0.898763</v>
      </c>
      <c r="U114" s="62" t="n">
        <f aca="false">IF(F114&gt;0,(Settings!$B$8*T114+Settings!$B$9*R114+Settings!$B$10*S114)/SUM(Settings!$B$8:$B$10),0)</f>
        <v>0.914885666666667</v>
      </c>
      <c r="V114" s="56" t="n">
        <f aca="false">IF(U114&gt;0,RANK(U114,$U$2:$U$1780)+COUNTIF($U$2:U114,U114)-1,"")</f>
        <v>113</v>
      </c>
      <c r="W114" s="56" t="str">
        <f aca="false">IF(V114="","",IF(V114&lt;=Settings!$B$11,"1 - Fix first",IF(V114&lt;=Settings!$B$12,"2 - Review","3 - Monitor")))</f>
        <v>3 - Monitor</v>
      </c>
      <c r="X114" s="56" t="str">
        <f aca="false">IF(AND(E114&gt;=Settings!$B$4,F114&gt;=Settings!$B$5,O114&gt;=Settings!$B$6),"HIGH RATE","")</f>
        <v/>
      </c>
      <c r="Y114" s="56" t="n">
        <f aca="false">IF(F114&gt;0,RANK(F114,$F$2:$F$1780)+COUNTIF($F$2:F114,F114)-1,"")</f>
        <v>169</v>
      </c>
      <c r="Z114" s="56" t="n">
        <f aca="false">IF(H114&gt;0,RANK(H114,$H$2:$H$1780)+COUNTIF($H$2:H114,H114)-1,"")</f>
        <v>189</v>
      </c>
      <c r="AA114" s="56" t="n">
        <f aca="false">IF(AC114="","",RANK(AC114,$AC$2:$AC$1780)+COUNTIF($AC$2:AC114,AC114)-1)</f>
        <v>41</v>
      </c>
      <c r="AB114" s="56" t="str">
        <f aca="false">IF(AD114="","",RANK(AD114,$AD$2:$AD$1780)+COUNTIF($AD$2:AD114,AD114)-1)</f>
        <v/>
      </c>
      <c r="AC114" s="32" t="n">
        <f aca="false">IF(AND(F114&gt;0,E114&gt;=Settings!$B$4),J114,"")</f>
        <v>0.0714285714285714</v>
      </c>
      <c r="AD114" s="56" t="str">
        <f aca="false">IF(X114="HIGH RATE",O114,"")</f>
        <v/>
      </c>
    </row>
    <row r="115" customFormat="false" ht="15" hidden="false" customHeight="false" outlineLevel="0" collapsed="false">
      <c r="A115" s="56" t="s">
        <v>994</v>
      </c>
      <c r="B115" s="56" t="s">
        <v>995</v>
      </c>
      <c r="C115" s="56" t="s">
        <v>51</v>
      </c>
      <c r="D115" s="56" t="str">
        <f aca="false">IFERROR(INDEX('Brand Map'!$B$4:$B$124,MATCH(C115,'Brand Map'!$A$4:$A$124,0)),"Other")</f>
        <v>AU</v>
      </c>
      <c r="E115" s="57" t="n">
        <v>28</v>
      </c>
      <c r="F115" s="57" t="n">
        <v>4</v>
      </c>
      <c r="G115" s="58" t="n">
        <v>2949.77</v>
      </c>
      <c r="H115" s="58" t="n">
        <v>356.68</v>
      </c>
      <c r="I115" s="58" t="n">
        <v>2424.62</v>
      </c>
      <c r="J115" s="32" t="n">
        <f aca="false">IF(E115&gt;0,F115/E115,0)</f>
        <v>0.142857142857143</v>
      </c>
      <c r="K115" s="32" t="n">
        <f aca="false">IF(G115&gt;0,H115/G115,0)</f>
        <v>0.120917902073721</v>
      </c>
      <c r="L115" s="59" t="n">
        <f aca="false">H115/Settings!$B$16</f>
        <v>0.000712834412930658</v>
      </c>
      <c r="M115" s="59" t="n">
        <f aca="false">H115/Settings!$B$20</f>
        <v>2.76906378862405E-005</v>
      </c>
      <c r="N115" s="60" t="n">
        <f aca="false">E115*Settings!$B$3</f>
        <v>0.867612230234972</v>
      </c>
      <c r="O115" s="60" t="n">
        <f aca="false">IF(E115&gt;0,(F115-N115)/SQRT(E115*Settings!$B$3*(1-Settings!$B$3)),0)</f>
        <v>3.41623466298016</v>
      </c>
      <c r="P115" s="60" t="n">
        <f aca="false">MAX(0,F115-N115)</f>
        <v>3.13238776976503</v>
      </c>
      <c r="Q115" s="32" t="n">
        <f aca="false">(F115+Settings!$B$7*Settings!$B$3)/(E115+Settings!$B$7)</f>
        <v>0.0849928367654244</v>
      </c>
      <c r="R115" s="61" t="n">
        <f aca="false">PERCENTRANK($H$2:$H$1780,H115,6)</f>
        <v>0.880765</v>
      </c>
      <c r="S115" s="61" t="n">
        <f aca="false">PERCENTRANK($Q$2:$Q$1780,Q115,6)</f>
        <v>0.991564</v>
      </c>
      <c r="T115" s="61" t="n">
        <f aca="false">PERCENTRANK($F$2:$F$1780,F115,6)</f>
        <v>0.871766</v>
      </c>
      <c r="U115" s="62" t="n">
        <f aca="false">IF(F115&gt;0,(Settings!$B$8*T115+Settings!$B$9*R115+Settings!$B$10*S115)/SUM(Settings!$B$8:$B$10),0)</f>
        <v>0.914698333333333</v>
      </c>
      <c r="V115" s="56" t="n">
        <f aca="false">IF(U115&gt;0,RANK(U115,$U$2:$U$1780)+COUNTIF($U$2:U115,U115)-1,"")</f>
        <v>114</v>
      </c>
      <c r="W115" s="56" t="str">
        <f aca="false">IF(V115="","",IF(V115&lt;=Settings!$B$11,"1 - Fix first",IF(V115&lt;=Settings!$B$12,"2 - Review","3 - Monitor")))</f>
        <v>3 - Monitor</v>
      </c>
      <c r="X115" s="56" t="str">
        <f aca="false">IF(AND(E115&gt;=Settings!$B$4,F115&gt;=Settings!$B$5,O115&gt;=Settings!$B$6),"HIGH RATE","")</f>
        <v/>
      </c>
      <c r="Y115" s="56" t="n">
        <f aca="false">IF(F115&gt;0,RANK(F115,$F$2:$F$1780)+COUNTIF($F$2:F115,F115)-1,"")</f>
        <v>201</v>
      </c>
      <c r="Z115" s="56" t="n">
        <f aca="false">IF(H115&gt;0,RANK(H115,$H$2:$H$1780)+COUNTIF($H$2:H115,H115)-1,"")</f>
        <v>213</v>
      </c>
      <c r="AA115" s="56" t="str">
        <f aca="false">IF(AC115="","",RANK(AC115,$AC$2:$AC$1780)+COUNTIF($AC$2:AC115,AC115)-1)</f>
        <v/>
      </c>
      <c r="AB115" s="56" t="str">
        <f aca="false">IF(AD115="","",RANK(AD115,$AD$2:$AD$1780)+COUNTIF($AD$2:AD115,AD115)-1)</f>
        <v/>
      </c>
      <c r="AC115" s="56" t="str">
        <f aca="false">IF(AND(F115&gt;0,E115&gt;=Settings!$B$4),J115,"")</f>
        <v/>
      </c>
      <c r="AD115" s="56" t="str">
        <f aca="false">IF(X115="HIGH RATE",O115,"")</f>
        <v/>
      </c>
    </row>
    <row r="116" customFormat="false" ht="15" hidden="false" customHeight="false" outlineLevel="0" collapsed="false">
      <c r="A116" s="56" t="s">
        <v>630</v>
      </c>
      <c r="B116" s="56" t="s">
        <v>631</v>
      </c>
      <c r="C116" s="56" t="s">
        <v>629</v>
      </c>
      <c r="D116" s="56" t="str">
        <f aca="false">IFERROR(INDEX('Brand Map'!$B$4:$B$124,MATCH(C116,'Brand Map'!$A$4:$A$124,0)),"Other")</f>
        <v>Other (small prefixes)</v>
      </c>
      <c r="E116" s="57" t="n">
        <v>197</v>
      </c>
      <c r="F116" s="57" t="n">
        <v>11</v>
      </c>
      <c r="G116" s="58" t="n">
        <v>8645.15</v>
      </c>
      <c r="H116" s="58" t="n">
        <v>554.45</v>
      </c>
      <c r="I116" s="58" t="n">
        <v>8090.7</v>
      </c>
      <c r="J116" s="32" t="n">
        <f aca="false">IF(E116&gt;0,F116/E116,0)</f>
        <v>0.0558375634517767</v>
      </c>
      <c r="K116" s="32" t="n">
        <f aca="false">IF(G116&gt;0,H116/G116,0)</f>
        <v>0.0641342255484289</v>
      </c>
      <c r="L116" s="59" t="n">
        <f aca="false">H116/Settings!$B$16</f>
        <v>0.0011080829882511</v>
      </c>
      <c r="M116" s="59" t="n">
        <f aca="false">H116/Settings!$B$20</f>
        <v>4.30443932264945E-005</v>
      </c>
      <c r="N116" s="60" t="n">
        <f aca="false">E116*Settings!$B$3</f>
        <v>6.10427176272462</v>
      </c>
      <c r="O116" s="60" t="n">
        <f aca="false">IF(E116&gt;0,(F116-N116)/SQRT(E116*Settings!$B$3*(1-Settings!$B$3)),0)</f>
        <v>2.01296108908436</v>
      </c>
      <c r="P116" s="60" t="n">
        <f aca="false">MAX(0,F116-N116)</f>
        <v>4.89572823727538</v>
      </c>
      <c r="Q116" s="32" t="n">
        <f aca="false">(F116+Settings!$B$7*Settings!$B$3)/(E116+Settings!$B$7)</f>
        <v>0.0525532358255269</v>
      </c>
      <c r="R116" s="61" t="n">
        <f aca="false">PERCENTRANK($H$2:$H$1780,H116,6)</f>
        <v>0.909449</v>
      </c>
      <c r="S116" s="61" t="n">
        <f aca="false">PERCENTRANK($Q$2:$Q$1780,Q116,6)</f>
        <v>0.906637</v>
      </c>
      <c r="T116" s="61" t="n">
        <f aca="false">PERCENTRANK($F$2:$F$1780,F116,6)</f>
        <v>0.925759</v>
      </c>
      <c r="U116" s="62" t="n">
        <f aca="false">IF(F116&gt;0,(Settings!$B$8*T116+Settings!$B$9*R116+Settings!$B$10*S116)/SUM(Settings!$B$8:$B$10),0)</f>
        <v>0.913948333333333</v>
      </c>
      <c r="V116" s="56" t="n">
        <f aca="false">IF(U116&gt;0,RANK(U116,$U$2:$U$1780)+COUNTIF($U$2:U116,U116)-1,"")</f>
        <v>115</v>
      </c>
      <c r="W116" s="56" t="str">
        <f aca="false">IF(V116="","",IF(V116&lt;=Settings!$B$11,"1 - Fix first",IF(V116&lt;=Settings!$B$12,"2 - Review","3 - Monitor")))</f>
        <v>3 - Monitor</v>
      </c>
      <c r="X116" s="56" t="str">
        <f aca="false">IF(AND(E116&gt;=Settings!$B$4,F116&gt;=Settings!$B$5,O116&gt;=Settings!$B$6),"HIGH RATE","")</f>
        <v/>
      </c>
      <c r="Y116" s="56" t="n">
        <f aca="false">IF(F116&gt;0,RANK(F116,$F$2:$F$1780)+COUNTIF($F$2:F116,F116)-1,"")</f>
        <v>129</v>
      </c>
      <c r="Z116" s="56" t="n">
        <f aca="false">IF(H116&gt;0,RANK(H116,$H$2:$H$1780)+COUNTIF($H$2:H116,H116)-1,"")</f>
        <v>162</v>
      </c>
      <c r="AA116" s="56" t="n">
        <f aca="false">IF(AC116="","",RANK(AC116,$AC$2:$AC$1780)+COUNTIF($AC$2:AC116,AC116)-1)</f>
        <v>88</v>
      </c>
      <c r="AB116" s="56" t="str">
        <f aca="false">IF(AD116="","",RANK(AD116,$AD$2:$AD$1780)+COUNTIF($AD$2:AD116,AD116)-1)</f>
        <v/>
      </c>
      <c r="AC116" s="32" t="n">
        <f aca="false">IF(AND(F116&gt;0,E116&gt;=Settings!$B$4),J116,"")</f>
        <v>0.0558375634517767</v>
      </c>
      <c r="AD116" s="56" t="str">
        <f aca="false">IF(X116="HIGH RATE",O116,"")</f>
        <v/>
      </c>
    </row>
    <row r="117" customFormat="false" ht="15" hidden="false" customHeight="false" outlineLevel="0" collapsed="false">
      <c r="A117" s="56" t="s">
        <v>319</v>
      </c>
      <c r="B117" s="56" t="s">
        <v>996</v>
      </c>
      <c r="C117" s="56" t="s">
        <v>75</v>
      </c>
      <c r="D117" s="56" t="str">
        <f aca="false">IFERROR(INDEX('Brand Map'!$B$4:$B$124,MATCH(C117,'Brand Map'!$A$4:$A$124,0)),"Other")</f>
        <v>AURP</v>
      </c>
      <c r="E117" s="57" t="n">
        <v>1548</v>
      </c>
      <c r="F117" s="57" t="n">
        <v>67</v>
      </c>
      <c r="G117" s="58" t="n">
        <v>17728.78</v>
      </c>
      <c r="H117" s="58" t="n">
        <v>700.65</v>
      </c>
      <c r="I117" s="58" t="n">
        <v>16634.96</v>
      </c>
      <c r="J117" s="32" t="n">
        <f aca="false">IF(E117&gt;0,F117/E117,0)</f>
        <v>0.04328165374677</v>
      </c>
      <c r="K117" s="32" t="n">
        <f aca="false">IF(G117&gt;0,H117/G117,0)</f>
        <v>0.0395204858991989</v>
      </c>
      <c r="L117" s="59" t="n">
        <f aca="false">H117/Settings!$B$16</f>
        <v>0.00140026755472655</v>
      </c>
      <c r="M117" s="59" t="n">
        <f aca="false">H117/Settings!$B$20</f>
        <v>5.43945425451229E-005</v>
      </c>
      <c r="N117" s="60" t="n">
        <f aca="false">E117*Settings!$B$3</f>
        <v>47.966561871562</v>
      </c>
      <c r="O117" s="60" t="n">
        <f aca="false">IF(E117&gt;0,(F117-N117)/SQRT(E117*Settings!$B$3*(1-Settings!$B$3)),0)</f>
        <v>2.79179135137584</v>
      </c>
      <c r="P117" s="60" t="n">
        <f aca="false">MAX(0,F117-N117)</f>
        <v>19.033438128438</v>
      </c>
      <c r="Q117" s="32" t="n">
        <f aca="false">(F117+Settings!$B$7*Settings!$B$3)/(E117+Settings!$B$7)</f>
        <v>0.0430478989432159</v>
      </c>
      <c r="R117" s="61" t="n">
        <f aca="false">PERCENTRANK($H$2:$H$1780,H117,6)</f>
        <v>0.92126</v>
      </c>
      <c r="S117" s="61" t="n">
        <f aca="false">PERCENTRANK($Q$2:$Q$1780,Q117,6)</f>
        <v>0.835208</v>
      </c>
      <c r="T117" s="61" t="n">
        <f aca="false">PERCENTRANK($F$2:$F$1780,F117,6)</f>
        <v>0.98369</v>
      </c>
      <c r="U117" s="62" t="n">
        <f aca="false">IF(F117&gt;0,(Settings!$B$8*T117+Settings!$B$9*R117+Settings!$B$10*S117)/SUM(Settings!$B$8:$B$10),0)</f>
        <v>0.913386</v>
      </c>
      <c r="V117" s="56" t="n">
        <f aca="false">IF(U117&gt;0,RANK(U117,$U$2:$U$1780)+COUNTIF($U$2:U117,U117)-1,"")</f>
        <v>116</v>
      </c>
      <c r="W117" s="56" t="str">
        <f aca="false">IF(V117="","",IF(V117&lt;=Settings!$B$11,"1 - Fix first",IF(V117&lt;=Settings!$B$12,"2 - Review","3 - Monitor")))</f>
        <v>3 - Monitor</v>
      </c>
      <c r="X117" s="56" t="str">
        <f aca="false">IF(AND(E117&gt;=Settings!$B$4,F117&gt;=Settings!$B$5,O117&gt;=Settings!$B$6),"HIGH RATE","")</f>
        <v/>
      </c>
      <c r="Y117" s="56" t="n">
        <f aca="false">IF(F117&gt;0,RANK(F117,$F$2:$F$1780)+COUNTIF($F$2:F117,F117)-1,"")</f>
        <v>30</v>
      </c>
      <c r="Z117" s="56" t="n">
        <f aca="false">IF(H117&gt;0,RANK(H117,$H$2:$H$1780)+COUNTIF($H$2:H117,H117)-1,"")</f>
        <v>141</v>
      </c>
      <c r="AA117" s="56" t="n">
        <f aca="false">IF(AC117="","",RANK(AC117,$AC$2:$AC$1780)+COUNTIF($AC$2:AC117,AC117)-1)</f>
        <v>168</v>
      </c>
      <c r="AB117" s="56" t="str">
        <f aca="false">IF(AD117="","",RANK(AD117,$AD$2:$AD$1780)+COUNTIF($AD$2:AD117,AD117)-1)</f>
        <v/>
      </c>
      <c r="AC117" s="32" t="n">
        <f aca="false">IF(AND(F117&gt;0,E117&gt;=Settings!$B$4),J117,"")</f>
        <v>0.04328165374677</v>
      </c>
      <c r="AD117" s="56" t="str">
        <f aca="false">IF(X117="HIGH RATE",O117,"")</f>
        <v/>
      </c>
    </row>
    <row r="118" customFormat="false" ht="15" hidden="false" customHeight="false" outlineLevel="0" collapsed="false">
      <c r="A118" s="56" t="s">
        <v>224</v>
      </c>
      <c r="B118" s="56" t="s">
        <v>997</v>
      </c>
      <c r="C118" s="56" t="s">
        <v>55</v>
      </c>
      <c r="D118" s="56" t="str">
        <f aca="false">IFERROR(INDEX('Brand Map'!$B$4:$B$124,MATCH(C118,'Brand Map'!$A$4:$A$124,0)),"Other")</f>
        <v>AUMJ</v>
      </c>
      <c r="E118" s="57" t="n">
        <v>1600</v>
      </c>
      <c r="F118" s="57" t="n">
        <v>55</v>
      </c>
      <c r="G118" s="58" t="n">
        <v>170893.39</v>
      </c>
      <c r="H118" s="58" t="n">
        <v>5585.45</v>
      </c>
      <c r="I118" s="58" t="n">
        <v>159468.03</v>
      </c>
      <c r="J118" s="32" t="n">
        <f aca="false">IF(E118&gt;0,F118/E118,0)</f>
        <v>0.034375</v>
      </c>
      <c r="K118" s="32" t="n">
        <f aca="false">IF(G118&gt;0,H118/G118,0)</f>
        <v>0.0326838270339186</v>
      </c>
      <c r="L118" s="59" t="n">
        <f aca="false">H118/Settings!$B$16</f>
        <v>0.0111626695404944</v>
      </c>
      <c r="M118" s="59" t="n">
        <f aca="false">H118/Settings!$B$20</f>
        <v>0.000433623060955765</v>
      </c>
      <c r="N118" s="60" t="n">
        <f aca="false">E118*Settings!$B$3</f>
        <v>49.5778417277127</v>
      </c>
      <c r="O118" s="60" t="n">
        <f aca="false">IF(E118&gt;0,(F118-N118)/SQRT(E118*Settings!$B$3*(1-Settings!$B$3)),0)</f>
        <v>0.782282094949045</v>
      </c>
      <c r="P118" s="60" t="n">
        <f aca="false">MAX(0,F118-N118)</f>
        <v>5.42215827228733</v>
      </c>
      <c r="Q118" s="32" t="n">
        <f aca="false">(F118+Settings!$B$7*Settings!$B$3)/(E118+Settings!$B$7)</f>
        <v>0.0343126285474814</v>
      </c>
      <c r="R118" s="61" t="n">
        <f aca="false">PERCENTRANK($H$2:$H$1780,H118,6)</f>
        <v>0.990439</v>
      </c>
      <c r="S118" s="61" t="n">
        <f aca="false">PERCENTRANK($Q$2:$Q$1780,Q118,6)</f>
        <v>0.768841</v>
      </c>
      <c r="T118" s="61" t="n">
        <f aca="false">PERCENTRANK($F$2:$F$1780,F118,6)</f>
        <v>0.980315</v>
      </c>
      <c r="U118" s="62" t="n">
        <f aca="false">IF(F118&gt;0,(Settings!$B$8*T118+Settings!$B$9*R118+Settings!$B$10*S118)/SUM(Settings!$B$8:$B$10),0)</f>
        <v>0.913198333333333</v>
      </c>
      <c r="V118" s="56" t="n">
        <f aca="false">IF(U118&gt;0,RANK(U118,$U$2:$U$1780)+COUNTIF($U$2:U118,U118)-1,"")</f>
        <v>117</v>
      </c>
      <c r="W118" s="56" t="str">
        <f aca="false">IF(V118="","",IF(V118&lt;=Settings!$B$11,"1 - Fix first",IF(V118&lt;=Settings!$B$12,"2 - Review","3 - Monitor")))</f>
        <v>3 - Monitor</v>
      </c>
      <c r="X118" s="56" t="str">
        <f aca="false">IF(AND(E118&gt;=Settings!$B$4,F118&gt;=Settings!$B$5,O118&gt;=Settings!$B$6),"HIGH RATE","")</f>
        <v/>
      </c>
      <c r="Y118" s="56" t="n">
        <f aca="false">IF(F118&gt;0,RANK(F118,$F$2:$F$1780)+COUNTIF($F$2:F118,F118)-1,"")</f>
        <v>36</v>
      </c>
      <c r="Z118" s="56" t="n">
        <f aca="false">IF(H118&gt;0,RANK(H118,$H$2:$H$1780)+COUNTIF($H$2:H118,H118)-1,"")</f>
        <v>18</v>
      </c>
      <c r="AA118" s="56" t="n">
        <f aca="false">IF(AC118="","",RANK(AC118,$AC$2:$AC$1780)+COUNTIF($AC$2:AC118,AC118)-1)</f>
        <v>239</v>
      </c>
      <c r="AB118" s="56" t="str">
        <f aca="false">IF(AD118="","",RANK(AD118,$AD$2:$AD$1780)+COUNTIF($AD$2:AD118,AD118)-1)</f>
        <v/>
      </c>
      <c r="AC118" s="32" t="n">
        <f aca="false">IF(AND(F118&gt;0,E118&gt;=Settings!$B$4),J118,"")</f>
        <v>0.034375</v>
      </c>
      <c r="AD118" s="56" t="str">
        <f aca="false">IF(X118="HIGH RATE",O118,"")</f>
        <v/>
      </c>
    </row>
    <row r="119" customFormat="false" ht="15" hidden="false" customHeight="false" outlineLevel="0" collapsed="false">
      <c r="A119" s="56" t="s">
        <v>258</v>
      </c>
      <c r="B119" s="56" t="s">
        <v>901</v>
      </c>
      <c r="C119" s="56" t="s">
        <v>63</v>
      </c>
      <c r="D119" s="56" t="str">
        <f aca="false">IFERROR(INDEX('Brand Map'!$B$4:$B$124,MATCH(C119,'Brand Map'!$A$4:$A$124,0)),"Other")</f>
        <v>AUSGF</v>
      </c>
      <c r="E119" s="57" t="n">
        <v>1106</v>
      </c>
      <c r="F119" s="57" t="n">
        <v>40</v>
      </c>
      <c r="G119" s="58" t="n">
        <v>100816.72</v>
      </c>
      <c r="H119" s="58" t="n">
        <v>3482.27</v>
      </c>
      <c r="I119" s="58" t="n">
        <v>95200.07</v>
      </c>
      <c r="J119" s="32" t="n">
        <f aca="false">IF(E119&gt;0,F119/E119,0)</f>
        <v>0.0361663652802893</v>
      </c>
      <c r="K119" s="32" t="n">
        <f aca="false">IF(G119&gt;0,H119/G119,0)</f>
        <v>0.0345406000115854</v>
      </c>
      <c r="L119" s="59" t="n">
        <f aca="false">H119/Settings!$B$16</f>
        <v>0.00695940868878559</v>
      </c>
      <c r="M119" s="59" t="n">
        <f aca="false">H119/Settings!$B$20</f>
        <v>0.000270343943008071</v>
      </c>
      <c r="N119" s="60" t="n">
        <f aca="false">E119*Settings!$B$3</f>
        <v>34.2706830942814</v>
      </c>
      <c r="O119" s="60" t="n">
        <f aca="false">IF(E119&gt;0,(F119-N119)/SQRT(E119*Settings!$B$3*(1-Settings!$B$3)),0)</f>
        <v>0.994206212464704</v>
      </c>
      <c r="P119" s="60" t="n">
        <f aca="false">MAX(0,F119-N119)</f>
        <v>5.72931690571862</v>
      </c>
      <c r="Q119" s="32" t="n">
        <f aca="false">(F119+Settings!$B$7*Settings!$B$3)/(E119+Settings!$B$7)</f>
        <v>0.0360295638489389</v>
      </c>
      <c r="R119" s="61" t="n">
        <f aca="false">PERCENTRANK($H$2:$H$1780,H119,6)</f>
        <v>0.983127</v>
      </c>
      <c r="S119" s="61" t="n">
        <f aca="false">PERCENTRANK($Q$2:$Q$1780,Q119,6)</f>
        <v>0.78234</v>
      </c>
      <c r="T119" s="61" t="n">
        <f aca="false">PERCENTRANK($F$2:$F$1780,F119,6)</f>
        <v>0.973566</v>
      </c>
      <c r="U119" s="62" t="n">
        <f aca="false">IF(F119&gt;0,(Settings!$B$8*T119+Settings!$B$9*R119+Settings!$B$10*S119)/SUM(Settings!$B$8:$B$10),0)</f>
        <v>0.913011</v>
      </c>
      <c r="V119" s="56" t="n">
        <f aca="false">IF(U119&gt;0,RANK(U119,$U$2:$U$1780)+COUNTIF($U$2:U119,U119)-1,"")</f>
        <v>118</v>
      </c>
      <c r="W119" s="56" t="str">
        <f aca="false">IF(V119="","",IF(V119&lt;=Settings!$B$11,"1 - Fix first",IF(V119&lt;=Settings!$B$12,"2 - Review","3 - Monitor")))</f>
        <v>3 - Monitor</v>
      </c>
      <c r="X119" s="56" t="str">
        <f aca="false">IF(AND(E119&gt;=Settings!$B$4,F119&gt;=Settings!$B$5,O119&gt;=Settings!$B$6),"HIGH RATE","")</f>
        <v/>
      </c>
      <c r="Y119" s="56" t="n">
        <f aca="false">IF(F119&gt;0,RANK(F119,$F$2:$F$1780)+COUNTIF($F$2:F119,F119)-1,"")</f>
        <v>48</v>
      </c>
      <c r="Z119" s="56" t="n">
        <f aca="false">IF(H119&gt;0,RANK(H119,$H$2:$H$1780)+COUNTIF($H$2:H119,H119)-1,"")</f>
        <v>31</v>
      </c>
      <c r="AA119" s="56" t="n">
        <f aca="false">IF(AC119="","",RANK(AC119,$AC$2:$AC$1780)+COUNTIF($AC$2:AC119,AC119)-1)</f>
        <v>220</v>
      </c>
      <c r="AB119" s="56" t="str">
        <f aca="false">IF(AD119="","",RANK(AD119,$AD$2:$AD$1780)+COUNTIF($AD$2:AD119,AD119)-1)</f>
        <v/>
      </c>
      <c r="AC119" s="32" t="n">
        <f aca="false">IF(AND(F119&gt;0,E119&gt;=Settings!$B$4),J119,"")</f>
        <v>0.0361663652802893</v>
      </c>
      <c r="AD119" s="56" t="str">
        <f aca="false">IF(X119="HIGH RATE",O119,"")</f>
        <v/>
      </c>
    </row>
    <row r="120" customFormat="false" ht="15" hidden="false" customHeight="false" outlineLevel="0" collapsed="false">
      <c r="A120" s="56" t="s">
        <v>998</v>
      </c>
      <c r="B120" s="56" t="s">
        <v>999</v>
      </c>
      <c r="C120" s="56" t="s">
        <v>51</v>
      </c>
      <c r="D120" s="56" t="str">
        <f aca="false">IFERROR(INDEX('Brand Map'!$B$4:$B$124,MATCH(C120,'Brand Map'!$A$4:$A$124,0)),"Other")</f>
        <v>AU</v>
      </c>
      <c r="E120" s="57" t="n">
        <v>33</v>
      </c>
      <c r="F120" s="57" t="n">
        <v>3</v>
      </c>
      <c r="G120" s="58" t="n">
        <v>8817.95</v>
      </c>
      <c r="H120" s="58" t="n">
        <v>882.16</v>
      </c>
      <c r="I120" s="58" t="n">
        <v>7851.95</v>
      </c>
      <c r="J120" s="32" t="n">
        <f aca="false">IF(E120&gt;0,F120/E120,0)</f>
        <v>0.0909090909090909</v>
      </c>
      <c r="K120" s="32" t="n">
        <f aca="false">IF(G120&gt;0,H120/G120,0)</f>
        <v>0.10004139284074</v>
      </c>
      <c r="L120" s="59" t="n">
        <f aca="false">H120/Settings!$B$16</f>
        <v>0.00176302009002722</v>
      </c>
      <c r="M120" s="59" t="n">
        <f aca="false">H120/Settings!$B$20</f>
        <v>6.84859625370807E-005</v>
      </c>
      <c r="N120" s="60" t="n">
        <f aca="false">E120*Settings!$B$3</f>
        <v>1.02254298563407</v>
      </c>
      <c r="O120" s="60" t="n">
        <f aca="false">IF(E120&gt;0,(F120-N120)/SQRT(E120*Settings!$B$3*(1-Settings!$B$3)),0)</f>
        <v>1.98655810697619</v>
      </c>
      <c r="P120" s="60" t="n">
        <f aca="false">MAX(0,F120-N120)</f>
        <v>1.97745701436593</v>
      </c>
      <c r="Q120" s="32" t="n">
        <f aca="false">(F120+Settings!$B$7*Settings!$B$3)/(E120+Settings!$B$7)</f>
        <v>0.0623743576570573</v>
      </c>
      <c r="R120" s="61" t="n">
        <f aca="false">PERCENTRANK($H$2:$H$1780,H120,6)</f>
        <v>0.936445</v>
      </c>
      <c r="S120" s="61" t="n">
        <f aca="false">PERCENTRANK($Q$2:$Q$1780,Q120,6)</f>
        <v>0.958943</v>
      </c>
      <c r="T120" s="61" t="n">
        <f aca="false">PERCENTRANK($F$2:$F$1780,F120,6)</f>
        <v>0.84252</v>
      </c>
      <c r="U120" s="62" t="n">
        <f aca="false">IF(F120&gt;0,(Settings!$B$8*T120+Settings!$B$9*R120+Settings!$B$10*S120)/SUM(Settings!$B$8:$B$10),0)</f>
        <v>0.912636</v>
      </c>
      <c r="V120" s="56" t="n">
        <f aca="false">IF(U120&gt;0,RANK(U120,$U$2:$U$1780)+COUNTIF($U$2:U120,U120)-1,"")</f>
        <v>119</v>
      </c>
      <c r="W120" s="56" t="str">
        <f aca="false">IF(V120="","",IF(V120&lt;=Settings!$B$11,"1 - Fix first",IF(V120&lt;=Settings!$B$12,"2 - Review","3 - Monitor")))</f>
        <v>3 - Monitor</v>
      </c>
      <c r="X120" s="56" t="str">
        <f aca="false">IF(AND(E120&gt;=Settings!$B$4,F120&gt;=Settings!$B$5,O120&gt;=Settings!$B$6),"HIGH RATE","")</f>
        <v/>
      </c>
      <c r="Y120" s="56" t="n">
        <f aca="false">IF(F120&gt;0,RANK(F120,$F$2:$F$1780)+COUNTIF($F$2:F120,F120)-1,"")</f>
        <v>231</v>
      </c>
      <c r="Z120" s="56" t="n">
        <f aca="false">IF(H120&gt;0,RANK(H120,$H$2:$H$1780)+COUNTIF($H$2:H120,H120)-1,"")</f>
        <v>114</v>
      </c>
      <c r="AA120" s="56" t="n">
        <f aca="false">IF(AC120="","",RANK(AC120,$AC$2:$AC$1780)+COUNTIF($AC$2:AC120,AC120)-1)</f>
        <v>22</v>
      </c>
      <c r="AB120" s="56" t="str">
        <f aca="false">IF(AD120="","",RANK(AD120,$AD$2:$AD$1780)+COUNTIF($AD$2:AD120,AD120)-1)</f>
        <v/>
      </c>
      <c r="AC120" s="32" t="n">
        <f aca="false">IF(AND(F120&gt;0,E120&gt;=Settings!$B$4),J120,"")</f>
        <v>0.0909090909090909</v>
      </c>
      <c r="AD120" s="56" t="str">
        <f aca="false">IF(X120="HIGH RATE",O120,"")</f>
        <v/>
      </c>
    </row>
    <row r="121" customFormat="false" ht="15" hidden="false" customHeight="false" outlineLevel="0" collapsed="false">
      <c r="A121" s="56" t="s">
        <v>1000</v>
      </c>
      <c r="B121" s="56" t="s">
        <v>1001</v>
      </c>
      <c r="C121" s="56" t="s">
        <v>51</v>
      </c>
      <c r="D121" s="56" t="str">
        <f aca="false">IFERROR(INDEX('Brand Map'!$B$4:$B$124,MATCH(C121,'Brand Map'!$A$4:$A$124,0)),"Other")</f>
        <v>AU</v>
      </c>
      <c r="E121" s="57" t="n">
        <v>863</v>
      </c>
      <c r="F121" s="57" t="n">
        <v>34</v>
      </c>
      <c r="G121" s="58" t="n">
        <v>56184.08</v>
      </c>
      <c r="H121" s="58" t="n">
        <v>2051.32</v>
      </c>
      <c r="I121" s="58" t="n">
        <v>51519.26</v>
      </c>
      <c r="J121" s="32" t="n">
        <f aca="false">IF(E121&gt;0,F121/E121,0)</f>
        <v>0.0393974507531866</v>
      </c>
      <c r="K121" s="32" t="n">
        <f aca="false">IF(G121&gt;0,H121/G121,0)</f>
        <v>0.0365106984042455</v>
      </c>
      <c r="L121" s="59" t="n">
        <f aca="false">H121/Settings!$B$16</f>
        <v>0.00409961727019434</v>
      </c>
      <c r="M121" s="59" t="n">
        <f aca="false">H121/Settings!$B$20</f>
        <v>0.000159252997949991</v>
      </c>
      <c r="N121" s="60" t="n">
        <f aca="false">E121*Settings!$B$3</f>
        <v>26.741048381885</v>
      </c>
      <c r="O121" s="60" t="n">
        <f aca="false">IF(E121&gt;0,(F121-N121)/SQRT(E121*Settings!$B$3*(1-Settings!$B$3)),0)</f>
        <v>1.42600055629115</v>
      </c>
      <c r="P121" s="60" t="n">
        <f aca="false">MAX(0,F121-N121)</f>
        <v>7.25895161811498</v>
      </c>
      <c r="Q121" s="32" t="n">
        <f aca="false">(F121+Settings!$B$7*Settings!$B$3)/(E121+Settings!$B$7)</f>
        <v>0.0391148762960746</v>
      </c>
      <c r="R121" s="61" t="n">
        <f aca="false">PERCENTRANK($H$2:$H$1780,H121,6)</f>
        <v>0.967379</v>
      </c>
      <c r="S121" s="61" t="n">
        <f aca="false">PERCENTRANK($Q$2:$Q$1780,Q121,6)</f>
        <v>0.80315</v>
      </c>
      <c r="T121" s="61" t="n">
        <f aca="false">PERCENTRANK($F$2:$F$1780,F121,6)</f>
        <v>0.966254</v>
      </c>
      <c r="U121" s="62" t="n">
        <f aca="false">IF(F121&gt;0,(Settings!$B$8*T121+Settings!$B$9*R121+Settings!$B$10*S121)/SUM(Settings!$B$8:$B$10),0)</f>
        <v>0.912261</v>
      </c>
      <c r="V121" s="56" t="n">
        <f aca="false">IF(U121&gt;0,RANK(U121,$U$2:$U$1780)+COUNTIF($U$2:U121,U121)-1,"")</f>
        <v>120</v>
      </c>
      <c r="W121" s="56" t="str">
        <f aca="false">IF(V121="","",IF(V121&lt;=Settings!$B$11,"1 - Fix first",IF(V121&lt;=Settings!$B$12,"2 - Review","3 - Monitor")))</f>
        <v>3 - Monitor</v>
      </c>
      <c r="X121" s="56" t="str">
        <f aca="false">IF(AND(E121&gt;=Settings!$B$4,F121&gt;=Settings!$B$5,O121&gt;=Settings!$B$6),"HIGH RATE","")</f>
        <v/>
      </c>
      <c r="Y121" s="56" t="n">
        <f aca="false">IF(F121&gt;0,RANK(F121,$F$2:$F$1780)+COUNTIF($F$2:F121,F121)-1,"")</f>
        <v>60</v>
      </c>
      <c r="Z121" s="56" t="n">
        <f aca="false">IF(H121&gt;0,RANK(H121,$H$2:$H$1780)+COUNTIF($H$2:H121,H121)-1,"")</f>
        <v>59</v>
      </c>
      <c r="AA121" s="56" t="n">
        <f aca="false">IF(AC121="","",RANK(AC121,$AC$2:$AC$1780)+COUNTIF($AC$2:AC121,AC121)-1)</f>
        <v>201</v>
      </c>
      <c r="AB121" s="56" t="str">
        <f aca="false">IF(AD121="","",RANK(AD121,$AD$2:$AD$1780)+COUNTIF($AD$2:AD121,AD121)-1)</f>
        <v/>
      </c>
      <c r="AC121" s="32" t="n">
        <f aca="false">IF(AND(F121&gt;0,E121&gt;=Settings!$B$4),J121,"")</f>
        <v>0.0393974507531866</v>
      </c>
      <c r="AD121" s="56" t="str">
        <f aca="false">IF(X121="HIGH RATE",O121,"")</f>
        <v/>
      </c>
    </row>
    <row r="122" customFormat="false" ht="15" hidden="false" customHeight="false" outlineLevel="0" collapsed="false">
      <c r="A122" s="56" t="s">
        <v>1002</v>
      </c>
      <c r="B122" s="56" t="s">
        <v>1003</v>
      </c>
      <c r="C122" s="56" t="s">
        <v>51</v>
      </c>
      <c r="D122" s="56" t="str">
        <f aca="false">IFERROR(INDEX('Brand Map'!$B$4:$B$124,MATCH(C122,'Brand Map'!$A$4:$A$124,0)),"Other")</f>
        <v>AU</v>
      </c>
      <c r="E122" s="57" t="n">
        <v>63</v>
      </c>
      <c r="F122" s="57" t="n">
        <v>5</v>
      </c>
      <c r="G122" s="58" t="n">
        <v>5059.05</v>
      </c>
      <c r="H122" s="58" t="n">
        <v>372.98</v>
      </c>
      <c r="I122" s="58" t="n">
        <v>4530.09</v>
      </c>
      <c r="J122" s="32" t="n">
        <f aca="false">IF(E122&gt;0,F122/E122,0)</f>
        <v>0.0793650793650794</v>
      </c>
      <c r="K122" s="32" t="n">
        <f aca="false">IF(G122&gt;0,H122/G122,0)</f>
        <v>0.0737253041578953</v>
      </c>
      <c r="L122" s="59" t="n">
        <f aca="false">H122/Settings!$B$16</f>
        <v>0.00074541039400829</v>
      </c>
      <c r="M122" s="59" t="n">
        <f aca="false">H122/Settings!$B$20</f>
        <v>2.89560786105473E-005</v>
      </c>
      <c r="N122" s="60" t="n">
        <f aca="false">E122*Settings!$B$3</f>
        <v>1.95212751802869</v>
      </c>
      <c r="O122" s="60" t="n">
        <f aca="false">IF(E122&gt;0,(F122-N122)/SQRT(E122*Settings!$B$3*(1-Settings!$B$3)),0)</f>
        <v>2.21604058130066</v>
      </c>
      <c r="P122" s="60" t="n">
        <f aca="false">MAX(0,F122-N122)</f>
        <v>3.04787248197131</v>
      </c>
      <c r="Q122" s="32" t="n">
        <f aca="false">(F122+Settings!$B$7*Settings!$B$3)/(E122+Settings!$B$7)</f>
        <v>0.0637589734666087</v>
      </c>
      <c r="R122" s="61" t="n">
        <f aca="false">PERCENTRANK($H$2:$H$1780,H122,6)</f>
        <v>0.883577</v>
      </c>
      <c r="S122" s="61" t="n">
        <f aca="false">PERCENTRANK($Q$2:$Q$1780,Q122,6)</f>
        <v>0.96288</v>
      </c>
      <c r="T122" s="61" t="n">
        <f aca="false">PERCENTRANK($F$2:$F$1780,F122,6)</f>
        <v>0.889764</v>
      </c>
      <c r="U122" s="62" t="n">
        <f aca="false">IF(F122&gt;0,(Settings!$B$8*T122+Settings!$B$9*R122+Settings!$B$10*S122)/SUM(Settings!$B$8:$B$10),0)</f>
        <v>0.912073666666667</v>
      </c>
      <c r="V122" s="56" t="n">
        <f aca="false">IF(U122&gt;0,RANK(U122,$U$2:$U$1780)+COUNTIF($U$2:U122,U122)-1,"")</f>
        <v>121</v>
      </c>
      <c r="W122" s="56" t="str">
        <f aca="false">IF(V122="","",IF(V122&lt;=Settings!$B$11,"1 - Fix first",IF(V122&lt;=Settings!$B$12,"2 - Review","3 - Monitor")))</f>
        <v>3 - Monitor</v>
      </c>
      <c r="X122" s="56" t="str">
        <f aca="false">IF(AND(E122&gt;=Settings!$B$4,F122&gt;=Settings!$B$5,O122&gt;=Settings!$B$6),"HIGH RATE","")</f>
        <v/>
      </c>
      <c r="Y122" s="56" t="n">
        <f aca="false">IF(F122&gt;0,RANK(F122,$F$2:$F$1780)+COUNTIF($F$2:F122,F122)-1,"")</f>
        <v>187</v>
      </c>
      <c r="Z122" s="56" t="n">
        <f aca="false">IF(H122&gt;0,RANK(H122,$H$2:$H$1780)+COUNTIF($H$2:H122,H122)-1,"")</f>
        <v>208</v>
      </c>
      <c r="AA122" s="56" t="n">
        <f aca="false">IF(AC122="","",RANK(AC122,$AC$2:$AC$1780)+COUNTIF($AC$2:AC122,AC122)-1)</f>
        <v>35</v>
      </c>
      <c r="AB122" s="56" t="str">
        <f aca="false">IF(AD122="","",RANK(AD122,$AD$2:$AD$1780)+COUNTIF($AD$2:AD122,AD122)-1)</f>
        <v/>
      </c>
      <c r="AC122" s="32" t="n">
        <f aca="false">IF(AND(F122&gt;0,E122&gt;=Settings!$B$4),J122,"")</f>
        <v>0.0793650793650794</v>
      </c>
      <c r="AD122" s="56" t="str">
        <f aca="false">IF(X122="HIGH RATE",O122,"")</f>
        <v/>
      </c>
    </row>
    <row r="123" customFormat="false" ht="15" hidden="false" customHeight="false" outlineLevel="0" collapsed="false">
      <c r="A123" s="56" t="s">
        <v>1004</v>
      </c>
      <c r="B123" s="56" t="s">
        <v>1005</v>
      </c>
      <c r="C123" s="56" t="s">
        <v>107</v>
      </c>
      <c r="D123" s="56" t="str">
        <f aca="false">IFERROR(INDEX('Brand Map'!$B$4:$B$124,MATCH(C123,'Brand Map'!$A$4:$A$124,0)),"Other")</f>
        <v>DCMJ</v>
      </c>
      <c r="E123" s="57" t="n">
        <v>115</v>
      </c>
      <c r="F123" s="57" t="n">
        <v>7</v>
      </c>
      <c r="G123" s="58" t="n">
        <v>9622.28</v>
      </c>
      <c r="H123" s="58" t="n">
        <v>531.83</v>
      </c>
      <c r="I123" s="58" t="n">
        <v>8160.54</v>
      </c>
      <c r="J123" s="32" t="n">
        <f aca="false">IF(E123&gt;0,F123/E123,0)</f>
        <v>0.0608695652173913</v>
      </c>
      <c r="K123" s="32" t="n">
        <f aca="false">IF(G123&gt;0,H123/G123,0)</f>
        <v>0.0552706842868842</v>
      </c>
      <c r="L123" s="59" t="n">
        <f aca="false">H123/Settings!$B$16</f>
        <v>0.00106287632003171</v>
      </c>
      <c r="M123" s="59" t="n">
        <f aca="false">H123/Settings!$B$20</f>
        <v>4.1288303092518E-005</v>
      </c>
      <c r="N123" s="60" t="n">
        <f aca="false">E123*Settings!$B$3</f>
        <v>3.56340737417935</v>
      </c>
      <c r="O123" s="60" t="n">
        <f aca="false">IF(E123&gt;0,(F123-N123)/SQRT(E123*Settings!$B$3*(1-Settings!$B$3)),0)</f>
        <v>1.84939774901592</v>
      </c>
      <c r="P123" s="60" t="n">
        <f aca="false">MAX(0,F123-N123)</f>
        <v>3.43659262582065</v>
      </c>
      <c r="Q123" s="32" t="n">
        <f aca="false">(F123+Settings!$B$7*Settings!$B$3)/(E123+Settings!$B$7)</f>
        <v>0.0546867898785835</v>
      </c>
      <c r="R123" s="61" t="n">
        <f aca="false">PERCENTRANK($H$2:$H$1780,H123,6)</f>
        <v>0.906637</v>
      </c>
      <c r="S123" s="61" t="n">
        <f aca="false">PERCENTRANK($Q$2:$Q$1780,Q123,6)</f>
        <v>0.919573</v>
      </c>
      <c r="T123" s="61" t="n">
        <f aca="false">PERCENTRANK($F$2:$F$1780,F123,6)</f>
        <v>0.908324</v>
      </c>
      <c r="U123" s="62" t="n">
        <f aca="false">IF(F123&gt;0,(Settings!$B$8*T123+Settings!$B$9*R123+Settings!$B$10*S123)/SUM(Settings!$B$8:$B$10),0)</f>
        <v>0.911511333333333</v>
      </c>
      <c r="V123" s="56" t="n">
        <f aca="false">IF(U123&gt;0,RANK(U123,$U$2:$U$1780)+COUNTIF($U$2:U123,U123)-1,"")</f>
        <v>122</v>
      </c>
      <c r="W123" s="56" t="str">
        <f aca="false">IF(V123="","",IF(V123&lt;=Settings!$B$11,"1 - Fix first",IF(V123&lt;=Settings!$B$12,"2 - Review","3 - Monitor")))</f>
        <v>3 - Monitor</v>
      </c>
      <c r="X123" s="56" t="str">
        <f aca="false">IF(AND(E123&gt;=Settings!$B$4,F123&gt;=Settings!$B$5,O123&gt;=Settings!$B$6),"HIGH RATE","")</f>
        <v/>
      </c>
      <c r="Y123" s="56" t="n">
        <f aca="false">IF(F123&gt;0,RANK(F123,$F$2:$F$1780)+COUNTIF($F$2:F123,F123)-1,"")</f>
        <v>158</v>
      </c>
      <c r="Z123" s="56" t="n">
        <f aca="false">IF(H123&gt;0,RANK(H123,$H$2:$H$1780)+COUNTIF($H$2:H123,H123)-1,"")</f>
        <v>167</v>
      </c>
      <c r="AA123" s="56" t="n">
        <f aca="false">IF(AC123="","",RANK(AC123,$AC$2:$AC$1780)+COUNTIF($AC$2:AC123,AC123)-1)</f>
        <v>68</v>
      </c>
      <c r="AB123" s="56" t="str">
        <f aca="false">IF(AD123="","",RANK(AD123,$AD$2:$AD$1780)+COUNTIF($AD$2:AD123,AD123)-1)</f>
        <v/>
      </c>
      <c r="AC123" s="32" t="n">
        <f aca="false">IF(AND(F123&gt;0,E123&gt;=Settings!$B$4),J123,"")</f>
        <v>0.0608695652173913</v>
      </c>
      <c r="AD123" s="56" t="str">
        <f aca="false">IF(X123="HIGH RATE",O123,"")</f>
        <v/>
      </c>
    </row>
    <row r="124" customFormat="false" ht="15" hidden="false" customHeight="false" outlineLevel="0" collapsed="false">
      <c r="A124" s="56" t="s">
        <v>1006</v>
      </c>
      <c r="B124" s="56" t="s">
        <v>1007</v>
      </c>
      <c r="C124" s="56" t="s">
        <v>83</v>
      </c>
      <c r="D124" s="56" t="str">
        <f aca="false">IFERROR(INDEX('Brand Map'!$B$4:$B$124,MATCH(C124,'Brand Map'!$A$4:$A$124,0)),"Other")</f>
        <v>AUDNAT</v>
      </c>
      <c r="E124" s="57" t="n">
        <v>906</v>
      </c>
      <c r="F124" s="57" t="n">
        <v>34</v>
      </c>
      <c r="G124" s="58" t="n">
        <v>79771.26</v>
      </c>
      <c r="H124" s="58" t="n">
        <v>2872.37</v>
      </c>
      <c r="I124" s="58" t="n">
        <v>72969.36</v>
      </c>
      <c r="J124" s="32" t="n">
        <f aca="false">IF(E124&gt;0,F124/E124,0)</f>
        <v>0.0375275938189845</v>
      </c>
      <c r="K124" s="32" t="n">
        <f aca="false">IF(G124&gt;0,H124/G124,0)</f>
        <v>0.0360075796721777</v>
      </c>
      <c r="L124" s="59" t="n">
        <f aca="false">H124/Settings!$B$16</f>
        <v>0.00574050740907714</v>
      </c>
      <c r="M124" s="59" t="n">
        <f aca="false">H124/Settings!$B$20</f>
        <v>0.000222994722286926</v>
      </c>
      <c r="N124" s="60" t="n">
        <f aca="false">E124*Settings!$B$3</f>
        <v>28.0734528783173</v>
      </c>
      <c r="O124" s="60" t="n">
        <f aca="false">IF(E124&gt;0,(F124-N124)/SQRT(E124*Settings!$B$3*(1-Settings!$B$3)),0)</f>
        <v>1.13628908248772</v>
      </c>
      <c r="P124" s="60" t="n">
        <f aca="false">MAX(0,F124-N124)</f>
        <v>5.9265471216827</v>
      </c>
      <c r="Q124" s="32" t="n">
        <f aca="false">(F124+Settings!$B$7*Settings!$B$3)/(E124+Settings!$B$7)</f>
        <v>0.0373179321927293</v>
      </c>
      <c r="R124" s="61" t="n">
        <f aca="false">PERCENTRANK($H$2:$H$1780,H124,6)</f>
        <v>0.976378</v>
      </c>
      <c r="S124" s="61" t="n">
        <f aca="false">PERCENTRANK($Q$2:$Q$1780,Q124,6)</f>
        <v>0.791339</v>
      </c>
      <c r="T124" s="61" t="n">
        <f aca="false">PERCENTRANK($F$2:$F$1780,F124,6)</f>
        <v>0.966254</v>
      </c>
      <c r="U124" s="62" t="n">
        <f aca="false">IF(F124&gt;0,(Settings!$B$8*T124+Settings!$B$9*R124+Settings!$B$10*S124)/SUM(Settings!$B$8:$B$10),0)</f>
        <v>0.911323666666667</v>
      </c>
      <c r="V124" s="56" t="n">
        <f aca="false">IF(U124&gt;0,RANK(U124,$U$2:$U$1780)+COUNTIF($U$2:U124,U124)-1,"")</f>
        <v>123</v>
      </c>
      <c r="W124" s="56" t="str">
        <f aca="false">IF(V124="","",IF(V124&lt;=Settings!$B$11,"1 - Fix first",IF(V124&lt;=Settings!$B$12,"2 - Review","3 - Monitor")))</f>
        <v>3 - Monitor</v>
      </c>
      <c r="X124" s="56" t="str">
        <f aca="false">IF(AND(E124&gt;=Settings!$B$4,F124&gt;=Settings!$B$5,O124&gt;=Settings!$B$6),"HIGH RATE","")</f>
        <v/>
      </c>
      <c r="Y124" s="56" t="n">
        <f aca="false">IF(F124&gt;0,RANK(F124,$F$2:$F$1780)+COUNTIF($F$2:F124,F124)-1,"")</f>
        <v>61</v>
      </c>
      <c r="Z124" s="56" t="n">
        <f aca="false">IF(H124&gt;0,RANK(H124,$H$2:$H$1780)+COUNTIF($H$2:H124,H124)-1,"")</f>
        <v>43</v>
      </c>
      <c r="AA124" s="56" t="n">
        <f aca="false">IF(AC124="","",RANK(AC124,$AC$2:$AC$1780)+COUNTIF($AC$2:AC124,AC124)-1)</f>
        <v>212</v>
      </c>
      <c r="AB124" s="56" t="str">
        <f aca="false">IF(AD124="","",RANK(AD124,$AD$2:$AD$1780)+COUNTIF($AD$2:AD124,AD124)-1)</f>
        <v/>
      </c>
      <c r="AC124" s="32" t="n">
        <f aca="false">IF(AND(F124&gt;0,E124&gt;=Settings!$B$4),J124,"")</f>
        <v>0.0375275938189845</v>
      </c>
      <c r="AD124" s="56" t="str">
        <f aca="false">IF(X124="HIGH RATE",O124,"")</f>
        <v/>
      </c>
    </row>
    <row r="125" customFormat="false" ht="15" hidden="false" customHeight="false" outlineLevel="0" collapsed="false">
      <c r="A125" s="56" t="s">
        <v>320</v>
      </c>
      <c r="B125" s="56" t="s">
        <v>1008</v>
      </c>
      <c r="C125" s="56" t="s">
        <v>75</v>
      </c>
      <c r="D125" s="56" t="str">
        <f aca="false">IFERROR(INDEX('Brand Map'!$B$4:$B$124,MATCH(C125,'Brand Map'!$A$4:$A$124,0)),"Other")</f>
        <v>AURP</v>
      </c>
      <c r="E125" s="57" t="n">
        <v>761</v>
      </c>
      <c r="F125" s="57" t="n">
        <v>35</v>
      </c>
      <c r="G125" s="58" t="n">
        <v>11676.59</v>
      </c>
      <c r="H125" s="58" t="n">
        <v>612.2</v>
      </c>
      <c r="I125" s="58" t="n">
        <v>10757.22</v>
      </c>
      <c r="J125" s="32" t="n">
        <f aca="false">IF(E125&gt;0,F125/E125,0)</f>
        <v>0.0459921156373193</v>
      </c>
      <c r="K125" s="32" t="n">
        <f aca="false">IF(G125&gt;0,H125/G125,0)</f>
        <v>0.0524296905175227</v>
      </c>
      <c r="L125" s="59" t="n">
        <f aca="false">H125/Settings!$B$16</f>
        <v>0.00122349789053535</v>
      </c>
      <c r="M125" s="59" t="n">
        <f aca="false">H125/Settings!$B$20</f>
        <v>4.7527779841753E-005</v>
      </c>
      <c r="N125" s="60" t="n">
        <f aca="false">E125*Settings!$B$3</f>
        <v>23.5804609717433</v>
      </c>
      <c r="O125" s="60" t="n">
        <f aca="false">IF(E125&gt;0,(F125-N125)/SQRT(E125*Settings!$B$3*(1-Settings!$B$3)),0)</f>
        <v>2.38895206587897</v>
      </c>
      <c r="P125" s="60" t="n">
        <f aca="false">MAX(0,F125-N125)</f>
        <v>11.4195390282567</v>
      </c>
      <c r="Q125" s="32" t="n">
        <f aca="false">(F125+Settings!$B$7*Settings!$B$3)/(E125+Settings!$B$7)</f>
        <v>0.0454229892950627</v>
      </c>
      <c r="R125" s="61" t="n">
        <f aca="false">PERCENTRANK($H$2:$H$1780,H125,6)</f>
        <v>0.915636</v>
      </c>
      <c r="S125" s="61" t="n">
        <f aca="false">PERCENTRANK($Q$2:$Q$1780,Q125,6)</f>
        <v>0.848706</v>
      </c>
      <c r="T125" s="61" t="n">
        <f aca="false">PERCENTRANK($F$2:$F$1780,F125,6)</f>
        <v>0.969629</v>
      </c>
      <c r="U125" s="62" t="n">
        <f aca="false">IF(F125&gt;0,(Settings!$B$8*T125+Settings!$B$9*R125+Settings!$B$10*S125)/SUM(Settings!$B$8:$B$10),0)</f>
        <v>0.911323666666667</v>
      </c>
      <c r="V125" s="56" t="n">
        <f aca="false">IF(U125&gt;0,RANK(U125,$U$2:$U$1780)+COUNTIF($U$2:U125,U125)-1,"")</f>
        <v>124</v>
      </c>
      <c r="W125" s="56" t="str">
        <f aca="false">IF(V125="","",IF(V125&lt;=Settings!$B$11,"1 - Fix first",IF(V125&lt;=Settings!$B$12,"2 - Review","3 - Monitor")))</f>
        <v>3 - Monitor</v>
      </c>
      <c r="X125" s="56" t="str">
        <f aca="false">IF(AND(E125&gt;=Settings!$B$4,F125&gt;=Settings!$B$5,O125&gt;=Settings!$B$6),"HIGH RATE","")</f>
        <v/>
      </c>
      <c r="Y125" s="56" t="n">
        <f aca="false">IF(F125&gt;0,RANK(F125,$F$2:$F$1780)+COUNTIF($F$2:F125,F125)-1,"")</f>
        <v>55</v>
      </c>
      <c r="Z125" s="56" t="n">
        <f aca="false">IF(H125&gt;0,RANK(H125,$H$2:$H$1780)+COUNTIF($H$2:H125,H125)-1,"")</f>
        <v>151</v>
      </c>
      <c r="AA125" s="56" t="n">
        <f aca="false">IF(AC125="","",RANK(AC125,$AC$2:$AC$1780)+COUNTIF($AC$2:AC125,AC125)-1)</f>
        <v>154</v>
      </c>
      <c r="AB125" s="56" t="str">
        <f aca="false">IF(AD125="","",RANK(AD125,$AD$2:$AD$1780)+COUNTIF($AD$2:AD125,AD125)-1)</f>
        <v/>
      </c>
      <c r="AC125" s="32" t="n">
        <f aca="false">IF(AND(F125&gt;0,E125&gt;=Settings!$B$4),J125,"")</f>
        <v>0.0459921156373193</v>
      </c>
      <c r="AD125" s="56" t="str">
        <f aca="false">IF(X125="HIGH RATE",O125,"")</f>
        <v/>
      </c>
    </row>
    <row r="126" customFormat="false" ht="15" hidden="false" customHeight="false" outlineLevel="0" collapsed="false">
      <c r="A126" s="56" t="s">
        <v>1009</v>
      </c>
      <c r="B126" s="56" t="s">
        <v>1010</v>
      </c>
      <c r="C126" s="56" t="s">
        <v>51</v>
      </c>
      <c r="D126" s="56" t="str">
        <f aca="false">IFERROR(INDEX('Brand Map'!$B$4:$B$124,MATCH(C126,'Brand Map'!$A$4:$A$124,0)),"Other")</f>
        <v>AU</v>
      </c>
      <c r="E126" s="57" t="n">
        <v>408</v>
      </c>
      <c r="F126" s="57" t="n">
        <v>17</v>
      </c>
      <c r="G126" s="58" t="n">
        <v>48423.42</v>
      </c>
      <c r="H126" s="58" t="n">
        <v>1937.84</v>
      </c>
      <c r="I126" s="58" t="n">
        <v>44979.65</v>
      </c>
      <c r="J126" s="32" t="n">
        <f aca="false">IF(E126&gt;0,F126/E126,0)</f>
        <v>0.0416666666666667</v>
      </c>
      <c r="K126" s="32" t="n">
        <f aca="false">IF(G126&gt;0,H126/G126,0)</f>
        <v>0.0400186521315512</v>
      </c>
      <c r="L126" s="59" t="n">
        <f aca="false">H126/Settings!$B$16</f>
        <v>0.00387282448904774</v>
      </c>
      <c r="M126" s="59" t="n">
        <f aca="false">H126/Settings!$B$20</f>
        <v>0.000150443046208008</v>
      </c>
      <c r="N126" s="60" t="n">
        <f aca="false">E126*Settings!$B$3</f>
        <v>12.6423496405667</v>
      </c>
      <c r="O126" s="60" t="n">
        <f aca="false">IF(E126&gt;0,(F126-N126)/SQRT(E126*Settings!$B$3*(1-Settings!$B$3)),0)</f>
        <v>1.24501186620235</v>
      </c>
      <c r="P126" s="60" t="n">
        <f aca="false">MAX(0,F126-N126)</f>
        <v>4.35765035943327</v>
      </c>
      <c r="Q126" s="32" t="n">
        <f aca="false">(F126+Settings!$B$7*Settings!$B$3)/(E126+Settings!$B$7)</f>
        <v>0.0409351245031841</v>
      </c>
      <c r="R126" s="61" t="n">
        <f aca="false">PERCENTRANK($H$2:$H$1780,H126,6)</f>
        <v>0.966254</v>
      </c>
      <c r="S126" s="61" t="n">
        <f aca="false">PERCENTRANK($Q$2:$Q$1780,Q126,6)</f>
        <v>0.818898</v>
      </c>
      <c r="T126" s="61" t="n">
        <f aca="false">PERCENTRANK($F$2:$F$1780,F126,6)</f>
        <v>0.947132</v>
      </c>
      <c r="U126" s="62" t="n">
        <f aca="false">IF(F126&gt;0,(Settings!$B$8*T126+Settings!$B$9*R126+Settings!$B$10*S126)/SUM(Settings!$B$8:$B$10),0)</f>
        <v>0.910761333333333</v>
      </c>
      <c r="V126" s="56" t="n">
        <f aca="false">IF(U126&gt;0,RANK(U126,$U$2:$U$1780)+COUNTIF($U$2:U126,U126)-1,"")</f>
        <v>125</v>
      </c>
      <c r="W126" s="56" t="str">
        <f aca="false">IF(V126="","",IF(V126&lt;=Settings!$B$11,"1 - Fix first",IF(V126&lt;=Settings!$B$12,"2 - Review","3 - Monitor")))</f>
        <v>3 - Monitor</v>
      </c>
      <c r="X126" s="56" t="str">
        <f aca="false">IF(AND(E126&gt;=Settings!$B$4,F126&gt;=Settings!$B$5,O126&gt;=Settings!$B$6),"HIGH RATE","")</f>
        <v/>
      </c>
      <c r="Y126" s="56" t="n">
        <f aca="false">IF(F126&gt;0,RANK(F126,$F$2:$F$1780)+COUNTIF($F$2:F126,F126)-1,"")</f>
        <v>95</v>
      </c>
      <c r="Z126" s="56" t="n">
        <f aca="false">IF(H126&gt;0,RANK(H126,$H$2:$H$1780)+COUNTIF($H$2:H126,H126)-1,"")</f>
        <v>61</v>
      </c>
      <c r="AA126" s="56" t="n">
        <f aca="false">IF(AC126="","",RANK(AC126,$AC$2:$AC$1780)+COUNTIF($AC$2:AC126,AC126)-1)</f>
        <v>183</v>
      </c>
      <c r="AB126" s="56" t="str">
        <f aca="false">IF(AD126="","",RANK(AD126,$AD$2:$AD$1780)+COUNTIF($AD$2:AD126,AD126)-1)</f>
        <v/>
      </c>
      <c r="AC126" s="32" t="n">
        <f aca="false">IF(AND(F126&gt;0,E126&gt;=Settings!$B$4),J126,"")</f>
        <v>0.0416666666666667</v>
      </c>
      <c r="AD126" s="56" t="str">
        <f aca="false">IF(X126="HIGH RATE",O126,"")</f>
        <v/>
      </c>
    </row>
    <row r="127" customFormat="false" ht="15" hidden="false" customHeight="false" outlineLevel="0" collapsed="false">
      <c r="A127" s="56" t="s">
        <v>1011</v>
      </c>
      <c r="B127" s="56" t="s">
        <v>1012</v>
      </c>
      <c r="C127" s="56" t="s">
        <v>51</v>
      </c>
      <c r="D127" s="56" t="str">
        <f aca="false">IFERROR(INDEX('Brand Map'!$B$4:$B$124,MATCH(C127,'Brand Map'!$A$4:$A$124,0)),"Other")</f>
        <v>AU</v>
      </c>
      <c r="E127" s="57" t="n">
        <v>53</v>
      </c>
      <c r="F127" s="57" t="n">
        <v>4</v>
      </c>
      <c r="G127" s="58" t="n">
        <v>7827.09</v>
      </c>
      <c r="H127" s="58" t="n">
        <v>595.63</v>
      </c>
      <c r="I127" s="58" t="n">
        <v>7032.64</v>
      </c>
      <c r="J127" s="32" t="n">
        <f aca="false">IF(E127&gt;0,F127/E127,0)</f>
        <v>0.0754716981132075</v>
      </c>
      <c r="K127" s="32" t="n">
        <f aca="false">IF(G127&gt;0,H127/G127,0)</f>
        <v>0.0760985244835565</v>
      </c>
      <c r="L127" s="59" t="n">
        <f aca="false">H127/Settings!$B$16</f>
        <v>0.00119038230731717</v>
      </c>
      <c r="M127" s="59" t="n">
        <f aca="false">H127/Settings!$B$20</f>
        <v>4.62413778293749E-005</v>
      </c>
      <c r="N127" s="60" t="n">
        <f aca="false">E127*Settings!$B$3</f>
        <v>1.64226600723048</v>
      </c>
      <c r="O127" s="60" t="n">
        <f aca="false">IF(E127&gt;0,(F127-N127)/SQRT(E127*Settings!$B$3*(1-Settings!$B$3)),0)</f>
        <v>1.8689946629297</v>
      </c>
      <c r="P127" s="60" t="n">
        <f aca="false">MAX(0,F127-N127)</f>
        <v>2.35773399276952</v>
      </c>
      <c r="Q127" s="32" t="n">
        <f aca="false">(F127+Settings!$B$7*Settings!$B$3)/(E127+Settings!$B$7)</f>
        <v>0.0593925847276459</v>
      </c>
      <c r="R127" s="61" t="n">
        <f aca="false">PERCENTRANK($H$2:$H$1780,H127,6)</f>
        <v>0.913386</v>
      </c>
      <c r="S127" s="61" t="n">
        <f aca="false">PERCENTRANK($Q$2:$Q$1780,Q127,6)</f>
        <v>0.942632</v>
      </c>
      <c r="T127" s="61" t="n">
        <f aca="false">PERCENTRANK($F$2:$F$1780,F127,6)</f>
        <v>0.871766</v>
      </c>
      <c r="U127" s="62" t="n">
        <f aca="false">IF(F127&gt;0,(Settings!$B$8*T127+Settings!$B$9*R127+Settings!$B$10*S127)/SUM(Settings!$B$8:$B$10),0)</f>
        <v>0.909261333333333</v>
      </c>
      <c r="V127" s="56" t="n">
        <f aca="false">IF(U127&gt;0,RANK(U127,$U$2:$U$1780)+COUNTIF($U$2:U127,U127)-1,"")</f>
        <v>126</v>
      </c>
      <c r="W127" s="56" t="str">
        <f aca="false">IF(V127="","",IF(V127&lt;=Settings!$B$11,"1 - Fix first",IF(V127&lt;=Settings!$B$12,"2 - Review","3 - Monitor")))</f>
        <v>3 - Monitor</v>
      </c>
      <c r="X127" s="56" t="str">
        <f aca="false">IF(AND(E127&gt;=Settings!$B$4,F127&gt;=Settings!$B$5,O127&gt;=Settings!$B$6),"HIGH RATE","")</f>
        <v/>
      </c>
      <c r="Y127" s="56" t="n">
        <f aca="false">IF(F127&gt;0,RANK(F127,$F$2:$F$1780)+COUNTIF($F$2:F127,F127)-1,"")</f>
        <v>202</v>
      </c>
      <c r="Z127" s="56" t="n">
        <f aca="false">IF(H127&gt;0,RANK(H127,$H$2:$H$1780)+COUNTIF($H$2:H127,H127)-1,"")</f>
        <v>155</v>
      </c>
      <c r="AA127" s="56" t="n">
        <f aca="false">IF(AC127="","",RANK(AC127,$AC$2:$AC$1780)+COUNTIF($AC$2:AC127,AC127)-1)</f>
        <v>37</v>
      </c>
      <c r="AB127" s="56" t="str">
        <f aca="false">IF(AD127="","",RANK(AD127,$AD$2:$AD$1780)+COUNTIF($AD$2:AD127,AD127)-1)</f>
        <v/>
      </c>
      <c r="AC127" s="32" t="n">
        <f aca="false">IF(AND(F127&gt;0,E127&gt;=Settings!$B$4),J127,"")</f>
        <v>0.0754716981132075</v>
      </c>
      <c r="AD127" s="56" t="str">
        <f aca="false">IF(X127="HIGH RATE",O127,"")</f>
        <v/>
      </c>
    </row>
    <row r="128" customFormat="false" ht="15" hidden="false" customHeight="false" outlineLevel="0" collapsed="false">
      <c r="A128" s="56" t="s">
        <v>1013</v>
      </c>
      <c r="B128" s="56" t="s">
        <v>1014</v>
      </c>
      <c r="C128" s="56" t="s">
        <v>51</v>
      </c>
      <c r="D128" s="56" t="str">
        <f aca="false">IFERROR(INDEX('Brand Map'!$B$4:$B$124,MATCH(C128,'Brand Map'!$A$4:$A$124,0)),"Other")</f>
        <v>AU</v>
      </c>
      <c r="E128" s="57" t="n">
        <v>39</v>
      </c>
      <c r="F128" s="57" t="n">
        <v>4</v>
      </c>
      <c r="G128" s="58" t="n">
        <v>3895.86</v>
      </c>
      <c r="H128" s="58" t="n">
        <v>339.38</v>
      </c>
      <c r="I128" s="58" t="n">
        <v>3486.34</v>
      </c>
      <c r="J128" s="32" t="n">
        <f aca="false">IF(E128&gt;0,F128/E128,0)</f>
        <v>0.102564102564103</v>
      </c>
      <c r="K128" s="32" t="n">
        <f aca="false">IF(G128&gt;0,H128/G128,0)</f>
        <v>0.0871129866062949</v>
      </c>
      <c r="L128" s="59" t="n">
        <f aca="false">H128/Settings!$B$16</f>
        <v>0.000678259905406546</v>
      </c>
      <c r="M128" s="59" t="n">
        <f aca="false">H128/Settings!$B$20</f>
        <v>2.63475627616696E-005</v>
      </c>
      <c r="N128" s="60" t="n">
        <f aca="false">E128*Settings!$B$3</f>
        <v>1.208459892113</v>
      </c>
      <c r="O128" s="60" t="n">
        <f aca="false">IF(E128&gt;0,(F128-N128)/SQRT(E128*Settings!$B$3*(1-Settings!$B$3)),0)</f>
        <v>2.57966172220084</v>
      </c>
      <c r="P128" s="60" t="n">
        <f aca="false">MAX(0,F128-N128)</f>
        <v>2.791540107887</v>
      </c>
      <c r="Q128" s="32" t="n">
        <f aca="false">(F128+Settings!$B$7*Settings!$B$3)/(E128+Settings!$B$7)</f>
        <v>0.0714432540926755</v>
      </c>
      <c r="R128" s="61" t="n">
        <f aca="false">PERCENTRANK($H$2:$H$1780,H128,6)</f>
        <v>0.875703</v>
      </c>
      <c r="S128" s="61" t="n">
        <f aca="false">PERCENTRANK($Q$2:$Q$1780,Q128,6)</f>
        <v>0.97694</v>
      </c>
      <c r="T128" s="61" t="n">
        <f aca="false">PERCENTRANK($F$2:$F$1780,F128,6)</f>
        <v>0.871766</v>
      </c>
      <c r="U128" s="62" t="n">
        <f aca="false">IF(F128&gt;0,(Settings!$B$8*T128+Settings!$B$9*R128+Settings!$B$10*S128)/SUM(Settings!$B$8:$B$10),0)</f>
        <v>0.908136333333333</v>
      </c>
      <c r="V128" s="56" t="n">
        <f aca="false">IF(U128&gt;0,RANK(U128,$U$2:$U$1780)+COUNTIF($U$2:U128,U128)-1,"")</f>
        <v>128</v>
      </c>
      <c r="W128" s="56" t="str">
        <f aca="false">IF(V128="","",IF(V128&lt;=Settings!$B$11,"1 - Fix first",IF(V128&lt;=Settings!$B$12,"2 - Review","3 - Monitor")))</f>
        <v>3 - Monitor</v>
      </c>
      <c r="X128" s="56" t="str">
        <f aca="false">IF(AND(E128&gt;=Settings!$B$4,F128&gt;=Settings!$B$5,O128&gt;=Settings!$B$6),"HIGH RATE","")</f>
        <v/>
      </c>
      <c r="Y128" s="56" t="n">
        <f aca="false">IF(F128&gt;0,RANK(F128,$F$2:$F$1780)+COUNTIF($F$2:F128,F128)-1,"")</f>
        <v>203</v>
      </c>
      <c r="Z128" s="56" t="n">
        <f aca="false">IF(H128&gt;0,RANK(H128,$H$2:$H$1780)+COUNTIF($H$2:H128,H128)-1,"")</f>
        <v>222</v>
      </c>
      <c r="AA128" s="56" t="n">
        <f aca="false">IF(AC128="","",RANK(AC128,$AC$2:$AC$1780)+COUNTIF($AC$2:AC128,AC128)-1)</f>
        <v>13</v>
      </c>
      <c r="AB128" s="56" t="str">
        <f aca="false">IF(AD128="","",RANK(AD128,$AD$2:$AD$1780)+COUNTIF($AD$2:AD128,AD128)-1)</f>
        <v/>
      </c>
      <c r="AC128" s="32" t="n">
        <f aca="false">IF(AND(F128&gt;0,E128&gt;=Settings!$B$4),J128,"")</f>
        <v>0.102564102564103</v>
      </c>
      <c r="AD128" s="56" t="str">
        <f aca="false">IF(X128="HIGH RATE",O128,"")</f>
        <v/>
      </c>
    </row>
    <row r="129" customFormat="false" ht="15" hidden="false" customHeight="false" outlineLevel="0" collapsed="false">
      <c r="A129" s="56" t="s">
        <v>1015</v>
      </c>
      <c r="B129" s="56" t="s">
        <v>1016</v>
      </c>
      <c r="C129" s="56" t="s">
        <v>142</v>
      </c>
      <c r="D129" s="56" t="str">
        <f aca="false">IFERROR(INDEX('Brand Map'!$B$4:$B$124,MATCH(C129,'Brand Map'!$A$4:$A$124,0)),"Other")</f>
        <v>RBC</v>
      </c>
      <c r="E129" s="57" t="n">
        <v>51</v>
      </c>
      <c r="F129" s="57" t="n">
        <v>5</v>
      </c>
      <c r="G129" s="58" t="n">
        <v>3734.76</v>
      </c>
      <c r="H129" s="58" t="n">
        <v>268.69</v>
      </c>
      <c r="I129" s="58" t="n">
        <v>3126.92</v>
      </c>
      <c r="J129" s="32" t="n">
        <f aca="false">IF(E129&gt;0,F129/E129,0)</f>
        <v>0.0980392156862745</v>
      </c>
      <c r="K129" s="32" t="n">
        <f aca="false">IF(G129&gt;0,H129/G129,0)</f>
        <v>0.0719430431942079</v>
      </c>
      <c r="L129" s="59" t="n">
        <f aca="false">H129/Settings!$B$16</f>
        <v>0.000536984070904841</v>
      </c>
      <c r="M129" s="59" t="n">
        <f aca="false">H129/Settings!$B$20</f>
        <v>2.08595870069922E-005</v>
      </c>
      <c r="N129" s="60" t="n">
        <f aca="false">E129*Settings!$B$3</f>
        <v>1.58029370507084</v>
      </c>
      <c r="O129" s="60" t="n">
        <f aca="false">IF(E129&gt;0,(F129-N129)/SQRT(E129*Settings!$B$3*(1-Settings!$B$3)),0)</f>
        <v>2.76347099585591</v>
      </c>
      <c r="P129" s="60" t="n">
        <f aca="false">MAX(0,F129-N129)</f>
        <v>3.41970629492916</v>
      </c>
      <c r="Q129" s="32" t="n">
        <f aca="false">(F129+Settings!$B$7*Settings!$B$3)/(E129+Settings!$B$7)</f>
        <v>0.0732047473135137</v>
      </c>
      <c r="R129" s="61" t="n">
        <f aca="false">PERCENTRANK($H$2:$H$1780,H129,6)</f>
        <v>0.854331</v>
      </c>
      <c r="S129" s="61" t="n">
        <f aca="false">PERCENTRANK($Q$2:$Q$1780,Q129,6)</f>
        <v>0.980315</v>
      </c>
      <c r="T129" s="61" t="n">
        <f aca="false">PERCENTRANK($F$2:$F$1780,F129,6)</f>
        <v>0.889764</v>
      </c>
      <c r="U129" s="62" t="n">
        <f aca="false">IF(F129&gt;0,(Settings!$B$8*T129+Settings!$B$9*R129+Settings!$B$10*S129)/SUM(Settings!$B$8:$B$10),0)</f>
        <v>0.908136666666667</v>
      </c>
      <c r="V129" s="56" t="n">
        <f aca="false">IF(U129&gt;0,RANK(U129,$U$2:$U$1780)+COUNTIF($U$2:U129,U129)-1,"")</f>
        <v>127</v>
      </c>
      <c r="W129" s="56" t="str">
        <f aca="false">IF(V129="","",IF(V129&lt;=Settings!$B$11,"1 - Fix first",IF(V129&lt;=Settings!$B$12,"2 - Review","3 - Monitor")))</f>
        <v>3 - Monitor</v>
      </c>
      <c r="X129" s="56" t="str">
        <f aca="false">IF(AND(E129&gt;=Settings!$B$4,F129&gt;=Settings!$B$5,O129&gt;=Settings!$B$6),"HIGH RATE","")</f>
        <v/>
      </c>
      <c r="Y129" s="56" t="n">
        <f aca="false">IF(F129&gt;0,RANK(F129,$F$2:$F$1780)+COUNTIF($F$2:F129,F129)-1,"")</f>
        <v>188</v>
      </c>
      <c r="Z129" s="56" t="n">
        <f aca="false">IF(H129&gt;0,RANK(H129,$H$2:$H$1780)+COUNTIF($H$2:H129,H129)-1,"")</f>
        <v>260</v>
      </c>
      <c r="AA129" s="56" t="n">
        <f aca="false">IF(AC129="","",RANK(AC129,$AC$2:$AC$1780)+COUNTIF($AC$2:AC129,AC129)-1)</f>
        <v>16</v>
      </c>
      <c r="AB129" s="56" t="str">
        <f aca="false">IF(AD129="","",RANK(AD129,$AD$2:$AD$1780)+COUNTIF($AD$2:AD129,AD129)-1)</f>
        <v/>
      </c>
      <c r="AC129" s="32" t="n">
        <f aca="false">IF(AND(F129&gt;0,E129&gt;=Settings!$B$4),J129,"")</f>
        <v>0.0980392156862745</v>
      </c>
      <c r="AD129" s="56" t="str">
        <f aca="false">IF(X129="HIGH RATE",O129,"")</f>
        <v/>
      </c>
    </row>
    <row r="130" customFormat="false" ht="15" hidden="false" customHeight="false" outlineLevel="0" collapsed="false">
      <c r="A130" s="56" t="s">
        <v>351</v>
      </c>
      <c r="B130" s="56" t="s">
        <v>1017</v>
      </c>
      <c r="C130" s="56" t="s">
        <v>51</v>
      </c>
      <c r="D130" s="56" t="str">
        <f aca="false">IFERROR(INDEX('Brand Map'!$B$4:$B$124,MATCH(C130,'Brand Map'!$A$4:$A$124,0)),"Other")</f>
        <v>AU</v>
      </c>
      <c r="E130" s="57" t="n">
        <v>2</v>
      </c>
      <c r="F130" s="57" t="n">
        <v>2</v>
      </c>
      <c r="G130" s="58" t="n">
        <v>814.45</v>
      </c>
      <c r="H130" s="58" t="n">
        <v>747.52</v>
      </c>
      <c r="I130" s="58" t="n">
        <v>0</v>
      </c>
      <c r="J130" s="32" t="n">
        <f aca="false">IF(E130&gt;0,F130/E130,0)</f>
        <v>1</v>
      </c>
      <c r="K130" s="32" t="n">
        <f aca="false">IF(G130&gt;0,H130/G130,0)</f>
        <v>0.917821842961508</v>
      </c>
      <c r="L130" s="59" t="n">
        <f aca="false">H130/Settings!$B$16</f>
        <v>0.00149393848927309</v>
      </c>
      <c r="M130" s="59" t="n">
        <f aca="false">H130/Settings!$B$20</f>
        <v>5.80332668855067E-005</v>
      </c>
      <c r="N130" s="60" t="n">
        <f aca="false">E130*Settings!$B$3</f>
        <v>0.0619723021596408</v>
      </c>
      <c r="O130" s="60" t="n">
        <f aca="false">IF(E130&gt;0,(F130-N130)/SQRT(E130*Settings!$B$3*(1-Settings!$B$3)),0)</f>
        <v>7.90853740005835</v>
      </c>
      <c r="P130" s="60" t="n">
        <f aca="false">MAX(0,F130-N130)</f>
        <v>1.93802769784036</v>
      </c>
      <c r="Q130" s="32" t="n">
        <f aca="false">(F130+Settings!$B$7*Settings!$B$3)/(E130+Settings!$B$7)</f>
        <v>0.0915495166373316</v>
      </c>
      <c r="R130" s="61" t="n">
        <f aca="false">PERCENTRANK($H$2:$H$1780,H130,6)</f>
        <v>0.926884</v>
      </c>
      <c r="S130" s="61" t="n">
        <f aca="false">PERCENTRANK($Q$2:$Q$1780,Q130,6)</f>
        <v>0.994376</v>
      </c>
      <c r="T130" s="61" t="n">
        <f aca="false">PERCENTRANK($F$2:$F$1780,F130,6)</f>
        <v>0.799775</v>
      </c>
      <c r="U130" s="62" t="n">
        <f aca="false">IF(F130&gt;0,(Settings!$B$8*T130+Settings!$B$9*R130+Settings!$B$10*S130)/SUM(Settings!$B$8:$B$10),0)</f>
        <v>0.907011666666667</v>
      </c>
      <c r="V130" s="56" t="n">
        <f aca="false">IF(U130&gt;0,RANK(U130,$U$2:$U$1780)+COUNTIF($U$2:U130,U130)-1,"")</f>
        <v>129</v>
      </c>
      <c r="W130" s="56" t="str">
        <f aca="false">IF(V130="","",IF(V130&lt;=Settings!$B$11,"1 - Fix first",IF(V130&lt;=Settings!$B$12,"2 - Review","3 - Monitor")))</f>
        <v>3 - Monitor</v>
      </c>
      <c r="X130" s="56" t="str">
        <f aca="false">IF(AND(E130&gt;=Settings!$B$4,F130&gt;=Settings!$B$5,O130&gt;=Settings!$B$6),"HIGH RATE","")</f>
        <v/>
      </c>
      <c r="Y130" s="56" t="n">
        <f aca="false">IF(F130&gt;0,RANK(F130,$F$2:$F$1780)+COUNTIF($F$2:F130,F130)-1,"")</f>
        <v>282</v>
      </c>
      <c r="Z130" s="56" t="n">
        <f aca="false">IF(H130&gt;0,RANK(H130,$H$2:$H$1780)+COUNTIF($H$2:H130,H130)-1,"")</f>
        <v>131</v>
      </c>
      <c r="AA130" s="56" t="str">
        <f aca="false">IF(AC130="","",RANK(AC130,$AC$2:$AC$1780)+COUNTIF($AC$2:AC130,AC130)-1)</f>
        <v/>
      </c>
      <c r="AB130" s="56" t="str">
        <f aca="false">IF(AD130="","",RANK(AD130,$AD$2:$AD$1780)+COUNTIF($AD$2:AD130,AD130)-1)</f>
        <v/>
      </c>
      <c r="AC130" s="56" t="str">
        <f aca="false">IF(AND(F130&gt;0,E130&gt;=Settings!$B$4),J130,"")</f>
        <v/>
      </c>
      <c r="AD130" s="56" t="str">
        <f aca="false">IF(X130="HIGH RATE",O130,"")</f>
        <v/>
      </c>
    </row>
    <row r="131" customFormat="false" ht="15" hidden="false" customHeight="false" outlineLevel="0" collapsed="false">
      <c r="A131" s="56" t="s">
        <v>1018</v>
      </c>
      <c r="B131" s="56" t="s">
        <v>1019</v>
      </c>
      <c r="C131" s="56" t="s">
        <v>145</v>
      </c>
      <c r="D131" s="56" t="str">
        <f aca="false">IFERROR(INDEX('Brand Map'!$B$4:$B$124,MATCH(C131,'Brand Map'!$A$4:$A$124,0)),"Other")</f>
        <v>AUDC</v>
      </c>
      <c r="E131" s="57" t="n">
        <v>83</v>
      </c>
      <c r="F131" s="57" t="n">
        <v>5</v>
      </c>
      <c r="G131" s="58" t="n">
        <v>12834.33</v>
      </c>
      <c r="H131" s="58" t="n">
        <v>711.15</v>
      </c>
      <c r="I131" s="58" t="n">
        <v>11492.02</v>
      </c>
      <c r="J131" s="32" t="n">
        <f aca="false">IF(E131&gt;0,F131/E131,0)</f>
        <v>0.0602409638554217</v>
      </c>
      <c r="K131" s="32" t="n">
        <f aca="false">IF(G131&gt;0,H131/G131,0)</f>
        <v>0.0554099824455192</v>
      </c>
      <c r="L131" s="59" t="n">
        <f aca="false">H131/Settings!$B$16</f>
        <v>0.00142125208241459</v>
      </c>
      <c r="M131" s="59" t="n">
        <f aca="false">H131/Settings!$B$20</f>
        <v>5.52097037478972E-005</v>
      </c>
      <c r="N131" s="60" t="n">
        <f aca="false">E131*Settings!$B$3</f>
        <v>2.5718505396251</v>
      </c>
      <c r="O131" s="60" t="n">
        <f aca="false">IF(E131&gt;0,(F131-N131)/SQRT(E131*Settings!$B$3*(1-Settings!$B$3)),0)</f>
        <v>1.53811058273178</v>
      </c>
      <c r="P131" s="60" t="n">
        <f aca="false">MAX(0,F131-N131)</f>
        <v>2.42814946037491</v>
      </c>
      <c r="Q131" s="32" t="n">
        <f aca="false">(F131+Settings!$B$7*Settings!$B$3)/(E131+Settings!$B$7)</f>
        <v>0.0524741994017222</v>
      </c>
      <c r="R131" s="61" t="n">
        <f aca="false">PERCENTRANK($H$2:$H$1780,H131,6)</f>
        <v>0.92351</v>
      </c>
      <c r="S131" s="61" t="n">
        <f aca="false">PERCENTRANK($Q$2:$Q$1780,Q131,6)</f>
        <v>0.906074</v>
      </c>
      <c r="T131" s="61" t="n">
        <f aca="false">PERCENTRANK($F$2:$F$1780,F131,6)</f>
        <v>0.889764</v>
      </c>
      <c r="U131" s="62" t="n">
        <f aca="false">IF(F131&gt;0,(Settings!$B$8*T131+Settings!$B$9*R131+Settings!$B$10*S131)/SUM(Settings!$B$8:$B$10),0)</f>
        <v>0.906449333333333</v>
      </c>
      <c r="V131" s="56" t="n">
        <f aca="false">IF(U131&gt;0,RANK(U131,$U$2:$U$1780)+COUNTIF($U$2:U131,U131)-1,"")</f>
        <v>130</v>
      </c>
      <c r="W131" s="56" t="str">
        <f aca="false">IF(V131="","",IF(V131&lt;=Settings!$B$11,"1 - Fix first",IF(V131&lt;=Settings!$B$12,"2 - Review","3 - Monitor")))</f>
        <v>3 - Monitor</v>
      </c>
      <c r="X131" s="56" t="str">
        <f aca="false">IF(AND(E131&gt;=Settings!$B$4,F131&gt;=Settings!$B$5,O131&gt;=Settings!$B$6),"HIGH RATE","")</f>
        <v/>
      </c>
      <c r="Y131" s="56" t="n">
        <f aca="false">IF(F131&gt;0,RANK(F131,$F$2:$F$1780)+COUNTIF($F$2:F131,F131)-1,"")</f>
        <v>189</v>
      </c>
      <c r="Z131" s="56" t="n">
        <f aca="false">IF(H131&gt;0,RANK(H131,$H$2:$H$1780)+COUNTIF($H$2:H131,H131)-1,"")</f>
        <v>137</v>
      </c>
      <c r="AA131" s="56" t="n">
        <f aca="false">IF(AC131="","",RANK(AC131,$AC$2:$AC$1780)+COUNTIF($AC$2:AC131,AC131)-1)</f>
        <v>70</v>
      </c>
      <c r="AB131" s="56" t="str">
        <f aca="false">IF(AD131="","",RANK(AD131,$AD$2:$AD$1780)+COUNTIF($AD$2:AD131,AD131)-1)</f>
        <v/>
      </c>
      <c r="AC131" s="32" t="n">
        <f aca="false">IF(AND(F131&gt;0,E131&gt;=Settings!$B$4),J131,"")</f>
        <v>0.0602409638554217</v>
      </c>
      <c r="AD131" s="56" t="str">
        <f aca="false">IF(X131="HIGH RATE",O131,"")</f>
        <v/>
      </c>
    </row>
    <row r="132" customFormat="false" ht="15" hidden="false" customHeight="false" outlineLevel="0" collapsed="false">
      <c r="A132" s="56" t="s">
        <v>321</v>
      </c>
      <c r="B132" s="56" t="s">
        <v>1020</v>
      </c>
      <c r="C132" s="56" t="s">
        <v>75</v>
      </c>
      <c r="D132" s="56" t="str">
        <f aca="false">IFERROR(INDEX('Brand Map'!$B$4:$B$124,MATCH(C132,'Brand Map'!$A$4:$A$124,0)),"Other")</f>
        <v>AURP</v>
      </c>
      <c r="E132" s="57" t="n">
        <v>854</v>
      </c>
      <c r="F132" s="57" t="n">
        <v>38</v>
      </c>
      <c r="G132" s="58" t="n">
        <v>12568.62</v>
      </c>
      <c r="H132" s="58" t="n">
        <v>529.25</v>
      </c>
      <c r="I132" s="58" t="n">
        <v>11608.1</v>
      </c>
      <c r="J132" s="32" t="n">
        <f aca="false">IF(E132&gt;0,F132/E132,0)</f>
        <v>0.0444964871194379</v>
      </c>
      <c r="K132" s="32" t="n">
        <f aca="false">IF(G132&gt;0,H132/G132,0)</f>
        <v>0.0421088393156926</v>
      </c>
      <c r="L132" s="59" t="n">
        <f aca="false">H132/Settings!$B$16</f>
        <v>0.00105772012179979</v>
      </c>
      <c r="M132" s="59" t="n">
        <f aca="false">H132/Settings!$B$20</f>
        <v>4.10880063398363E-005</v>
      </c>
      <c r="N132" s="60" t="n">
        <f aca="false">E132*Settings!$B$3</f>
        <v>26.4621730221666</v>
      </c>
      <c r="O132" s="60" t="n">
        <f aca="false">IF(E132&gt;0,(F132-N132)/SQRT(E132*Settings!$B$3*(1-Settings!$B$3)),0)</f>
        <v>2.27848554455988</v>
      </c>
      <c r="P132" s="60" t="n">
        <f aca="false">MAX(0,F132-N132)</f>
        <v>11.5378269778334</v>
      </c>
      <c r="Q132" s="32" t="n">
        <f aca="false">(F132+Settings!$B$7*Settings!$B$3)/(E132+Settings!$B$7)</f>
        <v>0.0440379915524826</v>
      </c>
      <c r="R132" s="61" t="n">
        <f aca="false">PERCENTRANK($H$2:$H$1780,H132,6)</f>
        <v>0.905512</v>
      </c>
      <c r="S132" s="61" t="n">
        <f aca="false">PERCENTRANK($Q$2:$Q$1780,Q132,6)</f>
        <v>0.841395</v>
      </c>
      <c r="T132" s="61" t="n">
        <f aca="false">PERCENTRANK($F$2:$F$1780,F132,6)</f>
        <v>0.972441</v>
      </c>
      <c r="U132" s="62" t="n">
        <f aca="false">IF(F132&gt;0,(Settings!$B$8*T132+Settings!$B$9*R132+Settings!$B$10*S132)/SUM(Settings!$B$8:$B$10),0)</f>
        <v>0.906449333333333</v>
      </c>
      <c r="V132" s="56" t="n">
        <f aca="false">IF(U132&gt;0,RANK(U132,$U$2:$U$1780)+COUNTIF($U$2:U132,U132)-1,"")</f>
        <v>131</v>
      </c>
      <c r="W132" s="56" t="str">
        <f aca="false">IF(V132="","",IF(V132&lt;=Settings!$B$11,"1 - Fix first",IF(V132&lt;=Settings!$B$12,"2 - Review","3 - Monitor")))</f>
        <v>3 - Monitor</v>
      </c>
      <c r="X132" s="56" t="str">
        <f aca="false">IF(AND(E132&gt;=Settings!$B$4,F132&gt;=Settings!$B$5,O132&gt;=Settings!$B$6),"HIGH RATE","")</f>
        <v/>
      </c>
      <c r="Y132" s="56" t="n">
        <f aca="false">IF(F132&gt;0,RANK(F132,$F$2:$F$1780)+COUNTIF($F$2:F132,F132)-1,"")</f>
        <v>50</v>
      </c>
      <c r="Z132" s="56" t="n">
        <f aca="false">IF(H132&gt;0,RANK(H132,$H$2:$H$1780)+COUNTIF($H$2:H132,H132)-1,"")</f>
        <v>169</v>
      </c>
      <c r="AA132" s="56" t="n">
        <f aca="false">IF(AC132="","",RANK(AC132,$AC$2:$AC$1780)+COUNTIF($AC$2:AC132,AC132)-1)</f>
        <v>161</v>
      </c>
      <c r="AB132" s="56" t="str">
        <f aca="false">IF(AD132="","",RANK(AD132,$AD$2:$AD$1780)+COUNTIF($AD$2:AD132,AD132)-1)</f>
        <v/>
      </c>
      <c r="AC132" s="32" t="n">
        <f aca="false">IF(AND(F132&gt;0,E132&gt;=Settings!$B$4),J132,"")</f>
        <v>0.0444964871194379</v>
      </c>
      <c r="AD132" s="56" t="str">
        <f aca="false">IF(X132="HIGH RATE",O132,"")</f>
        <v/>
      </c>
    </row>
    <row r="133" customFormat="false" ht="15" hidden="false" customHeight="false" outlineLevel="0" collapsed="false">
      <c r="A133" s="56" t="s">
        <v>323</v>
      </c>
      <c r="B133" s="56" t="s">
        <v>1021</v>
      </c>
      <c r="C133" s="56" t="s">
        <v>75</v>
      </c>
      <c r="D133" s="56" t="str">
        <f aca="false">IFERROR(INDEX('Brand Map'!$B$4:$B$124,MATCH(C133,'Brand Map'!$A$4:$A$124,0)),"Other")</f>
        <v>AURP</v>
      </c>
      <c r="E133" s="57" t="n">
        <v>505</v>
      </c>
      <c r="F133" s="57" t="n">
        <v>24</v>
      </c>
      <c r="G133" s="58" t="n">
        <v>11251.18</v>
      </c>
      <c r="H133" s="58" t="n">
        <v>507.78</v>
      </c>
      <c r="I133" s="58" t="n">
        <v>10288.56</v>
      </c>
      <c r="J133" s="32" t="n">
        <f aca="false">IF(E133&gt;0,F133/E133,0)</f>
        <v>0.0475247524752475</v>
      </c>
      <c r="K133" s="32" t="n">
        <f aca="false">IF(G133&gt;0,H133/G133,0)</f>
        <v>0.0451312662316308</v>
      </c>
      <c r="L133" s="59" t="n">
        <f aca="false">H133/Settings!$B$16</f>
        <v>0.00101481175899386</v>
      </c>
      <c r="M133" s="59" t="n">
        <f aca="false">H133/Settings!$B$20</f>
        <v>3.94211957661636E-005</v>
      </c>
      <c r="N133" s="60" t="n">
        <f aca="false">E133*Settings!$B$3</f>
        <v>15.6480062953093</v>
      </c>
      <c r="O133" s="60" t="n">
        <f aca="false">IF(E133&gt;0,(F133-N133)/SQRT(E133*Settings!$B$3*(1-Settings!$B$3)),0)</f>
        <v>2.14484375278507</v>
      </c>
      <c r="P133" s="60" t="n">
        <f aca="false">MAX(0,F133-N133)</f>
        <v>8.35199370469069</v>
      </c>
      <c r="Q133" s="32" t="n">
        <f aca="false">(F133+Settings!$B$7*Settings!$B$3)/(E133+Settings!$B$7)</f>
        <v>0.0465973542661582</v>
      </c>
      <c r="R133" s="61" t="n">
        <f aca="false">PERCENTRANK($H$2:$H$1780,H133,6)</f>
        <v>0.903825</v>
      </c>
      <c r="S133" s="61" t="n">
        <f aca="false">PERCENTRANK($Q$2:$Q$1780,Q133,6)</f>
        <v>0.859393</v>
      </c>
      <c r="T133" s="61" t="n">
        <f aca="false">PERCENTRANK($F$2:$F$1780,F133,6)</f>
        <v>0.95613</v>
      </c>
      <c r="U133" s="62" t="n">
        <f aca="false">IF(F133&gt;0,(Settings!$B$8*T133+Settings!$B$9*R133+Settings!$B$10*S133)/SUM(Settings!$B$8:$B$10),0)</f>
        <v>0.906449333333333</v>
      </c>
      <c r="V133" s="56" t="n">
        <f aca="false">IF(U133&gt;0,RANK(U133,$U$2:$U$1780)+COUNTIF($U$2:U133,U133)-1,"")</f>
        <v>132</v>
      </c>
      <c r="W133" s="56" t="str">
        <f aca="false">IF(V133="","",IF(V133&lt;=Settings!$B$11,"1 - Fix first",IF(V133&lt;=Settings!$B$12,"2 - Review","3 - Monitor")))</f>
        <v>3 - Monitor</v>
      </c>
      <c r="X133" s="56" t="str">
        <f aca="false">IF(AND(E133&gt;=Settings!$B$4,F133&gt;=Settings!$B$5,O133&gt;=Settings!$B$6),"HIGH RATE","")</f>
        <v/>
      </c>
      <c r="Y133" s="56" t="n">
        <f aca="false">IF(F133&gt;0,RANK(F133,$F$2:$F$1780)+COUNTIF($F$2:F133,F133)-1,"")</f>
        <v>79</v>
      </c>
      <c r="Z133" s="56" t="n">
        <f aca="false">IF(H133&gt;0,RANK(H133,$H$2:$H$1780)+COUNTIF($H$2:H133,H133)-1,"")</f>
        <v>172</v>
      </c>
      <c r="AA133" s="56" t="n">
        <f aca="false">IF(AC133="","",RANK(AC133,$AC$2:$AC$1780)+COUNTIF($AC$2:AC133,AC133)-1)</f>
        <v>141</v>
      </c>
      <c r="AB133" s="56" t="str">
        <f aca="false">IF(AD133="","",RANK(AD133,$AD$2:$AD$1780)+COUNTIF($AD$2:AD133,AD133)-1)</f>
        <v/>
      </c>
      <c r="AC133" s="32" t="n">
        <f aca="false">IF(AND(F133&gt;0,E133&gt;=Settings!$B$4),J133,"")</f>
        <v>0.0475247524752475</v>
      </c>
      <c r="AD133" s="56" t="str">
        <f aca="false">IF(X133="HIGH RATE",O133,"")</f>
        <v/>
      </c>
    </row>
    <row r="134" customFormat="false" ht="15" hidden="false" customHeight="false" outlineLevel="0" collapsed="false">
      <c r="A134" s="56" t="s">
        <v>1022</v>
      </c>
      <c r="B134" s="56" t="s">
        <v>1023</v>
      </c>
      <c r="C134" s="56" t="s">
        <v>51</v>
      </c>
      <c r="D134" s="56" t="str">
        <f aca="false">IFERROR(INDEX('Brand Map'!$B$4:$B$124,MATCH(C134,'Brand Map'!$A$4:$A$124,0)),"Other")</f>
        <v>AU</v>
      </c>
      <c r="E134" s="57" t="n">
        <v>80</v>
      </c>
      <c r="F134" s="57" t="n">
        <v>5</v>
      </c>
      <c r="G134" s="58" t="n">
        <v>9245.21</v>
      </c>
      <c r="H134" s="58" t="n">
        <v>564.32</v>
      </c>
      <c r="I134" s="58" t="n">
        <v>8312.08</v>
      </c>
      <c r="J134" s="32" t="n">
        <f aca="false">IF(E134&gt;0,F134/E134,0)</f>
        <v>0.0625</v>
      </c>
      <c r="K134" s="32" t="n">
        <f aca="false">IF(G134&gt;0,H134/G134,0)</f>
        <v>0.0610391759624714</v>
      </c>
      <c r="L134" s="59" t="n">
        <f aca="false">H134/Settings!$B$16</f>
        <v>0.00112780844427787</v>
      </c>
      <c r="M134" s="59" t="n">
        <f aca="false">H134/Settings!$B$20</f>
        <v>4.38106447571023E-005</v>
      </c>
      <c r="N134" s="60" t="n">
        <f aca="false">E134*Settings!$B$3</f>
        <v>2.47889208638563</v>
      </c>
      <c r="O134" s="60" t="n">
        <f aca="false">IF(E134&gt;0,(F134-N134)/SQRT(E134*Settings!$B$3*(1-Settings!$B$3)),0)</f>
        <v>1.62666316784208</v>
      </c>
      <c r="P134" s="60" t="n">
        <f aca="false">MAX(0,F134-N134)</f>
        <v>2.52110791361437</v>
      </c>
      <c r="Q134" s="32" t="n">
        <f aca="false">(F134+Settings!$B$7*Settings!$B$3)/(E134+Settings!$B$7)</f>
        <v>0.0539053139308601</v>
      </c>
      <c r="R134" s="61" t="n">
        <f aca="false">PERCENTRANK($H$2:$H$1780,H134,6)</f>
        <v>0.910574</v>
      </c>
      <c r="S134" s="61" t="n">
        <f aca="false">PERCENTRANK($Q$2:$Q$1780,Q134,6)</f>
        <v>0.917323</v>
      </c>
      <c r="T134" s="61" t="n">
        <f aca="false">PERCENTRANK($F$2:$F$1780,F134,6)</f>
        <v>0.889764</v>
      </c>
      <c r="U134" s="62" t="n">
        <f aca="false">IF(F134&gt;0,(Settings!$B$8*T134+Settings!$B$9*R134+Settings!$B$10*S134)/SUM(Settings!$B$8:$B$10),0)</f>
        <v>0.905887</v>
      </c>
      <c r="V134" s="56" t="n">
        <f aca="false">IF(U134&gt;0,RANK(U134,$U$2:$U$1780)+COUNTIF($U$2:U134,U134)-1,"")</f>
        <v>133</v>
      </c>
      <c r="W134" s="56" t="str">
        <f aca="false">IF(V134="","",IF(V134&lt;=Settings!$B$11,"1 - Fix first",IF(V134&lt;=Settings!$B$12,"2 - Review","3 - Monitor")))</f>
        <v>3 - Monitor</v>
      </c>
      <c r="X134" s="56" t="str">
        <f aca="false">IF(AND(E134&gt;=Settings!$B$4,F134&gt;=Settings!$B$5,O134&gt;=Settings!$B$6),"HIGH RATE","")</f>
        <v/>
      </c>
      <c r="Y134" s="56" t="n">
        <f aca="false">IF(F134&gt;0,RANK(F134,$F$2:$F$1780)+COUNTIF($F$2:F134,F134)-1,"")</f>
        <v>190</v>
      </c>
      <c r="Z134" s="56" t="n">
        <f aca="false">IF(H134&gt;0,RANK(H134,$H$2:$H$1780)+COUNTIF($H$2:H134,H134)-1,"")</f>
        <v>160</v>
      </c>
      <c r="AA134" s="56" t="n">
        <f aca="false">IF(AC134="","",RANK(AC134,$AC$2:$AC$1780)+COUNTIF($AC$2:AC134,AC134)-1)</f>
        <v>60</v>
      </c>
      <c r="AB134" s="56" t="str">
        <f aca="false">IF(AD134="","",RANK(AD134,$AD$2:$AD$1780)+COUNTIF($AD$2:AD134,AD134)-1)</f>
        <v/>
      </c>
      <c r="AC134" s="32" t="n">
        <f aca="false">IF(AND(F134&gt;0,E134&gt;=Settings!$B$4),J134,"")</f>
        <v>0.0625</v>
      </c>
      <c r="AD134" s="56" t="str">
        <f aca="false">IF(X134="HIGH RATE",O134,"")</f>
        <v/>
      </c>
    </row>
    <row r="135" customFormat="false" ht="15" hidden="false" customHeight="false" outlineLevel="0" collapsed="false">
      <c r="A135" s="56" t="s">
        <v>1024</v>
      </c>
      <c r="B135" s="56" t="s">
        <v>1025</v>
      </c>
      <c r="C135" s="56" t="s">
        <v>51</v>
      </c>
      <c r="D135" s="56" t="str">
        <f aca="false">IFERROR(INDEX('Brand Map'!$B$4:$B$124,MATCH(C135,'Brand Map'!$A$4:$A$124,0)),"Other")</f>
        <v>AU</v>
      </c>
      <c r="E135" s="57" t="n">
        <v>163</v>
      </c>
      <c r="F135" s="57" t="n">
        <v>9</v>
      </c>
      <c r="G135" s="58" t="n">
        <v>10615.97</v>
      </c>
      <c r="H135" s="58" t="n">
        <v>520.3</v>
      </c>
      <c r="I135" s="58" t="n">
        <v>9869.27</v>
      </c>
      <c r="J135" s="32" t="n">
        <f aca="false">IF(E135&gt;0,F135/E135,0)</f>
        <v>0.0552147239263804</v>
      </c>
      <c r="K135" s="32" t="n">
        <f aca="false">IF(G135&gt;0,H135/G135,0)</f>
        <v>0.0490110654042918</v>
      </c>
      <c r="L135" s="59" t="n">
        <f aca="false">H135/Settings!$B$16</f>
        <v>0.00103983331010379</v>
      </c>
      <c r="M135" s="59" t="n">
        <f aca="false">H135/Settings!$B$20</f>
        <v>4.03931784574716E-005</v>
      </c>
      <c r="N135" s="60" t="n">
        <f aca="false">E135*Settings!$B$3</f>
        <v>5.05074262601073</v>
      </c>
      <c r="O135" s="60" t="n">
        <f aca="false">IF(E135&gt;0,(F135-N135)/SQRT(E135*Settings!$B$3*(1-Settings!$B$3)),0)</f>
        <v>1.78514224065455</v>
      </c>
      <c r="P135" s="60" t="n">
        <f aca="false">MAX(0,F135-N135)</f>
        <v>3.94925737398927</v>
      </c>
      <c r="Q135" s="32" t="n">
        <f aca="false">(F135+Settings!$B$7*Settings!$B$3)/(E135+Settings!$B$7)</f>
        <v>0.0514486245201793</v>
      </c>
      <c r="R135" s="61" t="n">
        <f aca="false">PERCENTRANK($H$2:$H$1780,H135,6)</f>
        <v>0.904949</v>
      </c>
      <c r="S135" s="61" t="n">
        <f aca="false">PERCENTRANK($Q$2:$Q$1780,Q135,6)</f>
        <v>0.892576</v>
      </c>
      <c r="T135" s="61" t="n">
        <f aca="false">PERCENTRANK($F$2:$F$1780,F135,6)</f>
        <v>0.917323</v>
      </c>
      <c r="U135" s="62" t="n">
        <f aca="false">IF(F135&gt;0,(Settings!$B$8*T135+Settings!$B$9*R135+Settings!$B$10*S135)/SUM(Settings!$B$8:$B$10),0)</f>
        <v>0.904949333333333</v>
      </c>
      <c r="V135" s="56" t="n">
        <f aca="false">IF(U135&gt;0,RANK(U135,$U$2:$U$1780)+COUNTIF($U$2:U135,U135)-1,"")</f>
        <v>134</v>
      </c>
      <c r="W135" s="56" t="str">
        <f aca="false">IF(V135="","",IF(V135&lt;=Settings!$B$11,"1 - Fix first",IF(V135&lt;=Settings!$B$12,"2 - Review","3 - Monitor")))</f>
        <v>3 - Monitor</v>
      </c>
      <c r="X135" s="56" t="str">
        <f aca="false">IF(AND(E135&gt;=Settings!$B$4,F135&gt;=Settings!$B$5,O135&gt;=Settings!$B$6),"HIGH RATE","")</f>
        <v/>
      </c>
      <c r="Y135" s="56" t="n">
        <f aca="false">IF(F135&gt;0,RANK(F135,$F$2:$F$1780)+COUNTIF($F$2:F135,F135)-1,"")</f>
        <v>142</v>
      </c>
      <c r="Z135" s="56" t="n">
        <f aca="false">IF(H135&gt;0,RANK(H135,$H$2:$H$1780)+COUNTIF($H$2:H135,H135)-1,"")</f>
        <v>170</v>
      </c>
      <c r="AA135" s="56" t="n">
        <f aca="false">IF(AC135="","",RANK(AC135,$AC$2:$AC$1780)+COUNTIF($AC$2:AC135,AC135)-1)</f>
        <v>94</v>
      </c>
      <c r="AB135" s="56" t="str">
        <f aca="false">IF(AD135="","",RANK(AD135,$AD$2:$AD$1780)+COUNTIF($AD$2:AD135,AD135)-1)</f>
        <v/>
      </c>
      <c r="AC135" s="32" t="n">
        <f aca="false">IF(AND(F135&gt;0,E135&gt;=Settings!$B$4),J135,"")</f>
        <v>0.0552147239263804</v>
      </c>
      <c r="AD135" s="56" t="str">
        <f aca="false">IF(X135="HIGH RATE",O135,"")</f>
        <v/>
      </c>
    </row>
    <row r="136" customFormat="false" ht="15" hidden="false" customHeight="false" outlineLevel="0" collapsed="false">
      <c r="A136" s="56" t="s">
        <v>1026</v>
      </c>
      <c r="B136" s="56" t="s">
        <v>1027</v>
      </c>
      <c r="C136" s="56" t="s">
        <v>51</v>
      </c>
      <c r="D136" s="56" t="str">
        <f aca="false">IFERROR(INDEX('Brand Map'!$B$4:$B$124,MATCH(C136,'Brand Map'!$A$4:$A$124,0)),"Other")</f>
        <v>AU</v>
      </c>
      <c r="E136" s="57" t="n">
        <v>326</v>
      </c>
      <c r="F136" s="57" t="n">
        <v>14</v>
      </c>
      <c r="G136" s="58" t="n">
        <v>28018.65</v>
      </c>
      <c r="H136" s="58" t="n">
        <v>1092.02</v>
      </c>
      <c r="I136" s="58" t="n">
        <v>25883.11</v>
      </c>
      <c r="J136" s="32" t="n">
        <f aca="false">IF(E136&gt;0,F136/E136,0)</f>
        <v>0.0429447852760736</v>
      </c>
      <c r="K136" s="32" t="n">
        <f aca="false">IF(G136&gt;0,H136/G136,0)</f>
        <v>0.0389747543154292</v>
      </c>
      <c r="L136" s="59" t="n">
        <f aca="false">H136/Settings!$B$16</f>
        <v>0.00218243085008562</v>
      </c>
      <c r="M136" s="59" t="n">
        <f aca="false">H136/Settings!$B$20</f>
        <v>8.47783177765291E-005</v>
      </c>
      <c r="N136" s="60" t="n">
        <f aca="false">E136*Settings!$B$3</f>
        <v>10.1014852520215</v>
      </c>
      <c r="O136" s="60" t="n">
        <f aca="false">IF(E136&gt;0,(F136-N136)/SQRT(E136*Settings!$B$3*(1-Settings!$B$3)),0)</f>
        <v>1.24606751029387</v>
      </c>
      <c r="P136" s="60" t="n">
        <f aca="false">MAX(0,F136-N136)</f>
        <v>3.89851474797854</v>
      </c>
      <c r="Q136" s="32" t="n">
        <f aca="false">(F136+Settings!$B$7*Settings!$B$3)/(E136+Settings!$B$7)</f>
        <v>0.0419370352033557</v>
      </c>
      <c r="R136" s="61" t="n">
        <f aca="false">PERCENTRANK($H$2:$H$1780,H136,6)</f>
        <v>0.946569</v>
      </c>
      <c r="S136" s="61" t="n">
        <f aca="false">PERCENTRANK($Q$2:$Q$1780,Q136,6)</f>
        <v>0.826772</v>
      </c>
      <c r="T136" s="61" t="n">
        <f aca="false">PERCENTRANK($F$2:$F$1780,F136,6)</f>
        <v>0.938133</v>
      </c>
      <c r="U136" s="62" t="n">
        <f aca="false">IF(F136&gt;0,(Settings!$B$8*T136+Settings!$B$9*R136+Settings!$B$10*S136)/SUM(Settings!$B$8:$B$10),0)</f>
        <v>0.903824666666667</v>
      </c>
      <c r="V136" s="56" t="n">
        <f aca="false">IF(U136&gt;0,RANK(U136,$U$2:$U$1780)+COUNTIF($U$2:U136,U136)-1,"")</f>
        <v>135</v>
      </c>
      <c r="W136" s="56" t="str">
        <f aca="false">IF(V136="","",IF(V136&lt;=Settings!$B$11,"1 - Fix first",IF(V136&lt;=Settings!$B$12,"2 - Review","3 - Monitor")))</f>
        <v>3 - Monitor</v>
      </c>
      <c r="X136" s="56" t="str">
        <f aca="false">IF(AND(E136&gt;=Settings!$B$4,F136&gt;=Settings!$B$5,O136&gt;=Settings!$B$6),"HIGH RATE","")</f>
        <v/>
      </c>
      <c r="Y136" s="56" t="n">
        <f aca="false">IF(F136&gt;0,RANK(F136,$F$2:$F$1780)+COUNTIF($F$2:F136,F136)-1,"")</f>
        <v>111</v>
      </c>
      <c r="Z136" s="56" t="n">
        <f aca="false">IF(H136&gt;0,RANK(H136,$H$2:$H$1780)+COUNTIF($H$2:H136,H136)-1,"")</f>
        <v>96</v>
      </c>
      <c r="AA136" s="56" t="n">
        <f aca="false">IF(AC136="","",RANK(AC136,$AC$2:$AC$1780)+COUNTIF($AC$2:AC136,AC136)-1)</f>
        <v>169</v>
      </c>
      <c r="AB136" s="56" t="str">
        <f aca="false">IF(AD136="","",RANK(AD136,$AD$2:$AD$1780)+COUNTIF($AD$2:AD136,AD136)-1)</f>
        <v/>
      </c>
      <c r="AC136" s="32" t="n">
        <f aca="false">IF(AND(F136&gt;0,E136&gt;=Settings!$B$4),J136,"")</f>
        <v>0.0429447852760736</v>
      </c>
      <c r="AD136" s="56" t="str">
        <f aca="false">IF(X136="HIGH RATE",O136,"")</f>
        <v/>
      </c>
    </row>
    <row r="137" customFormat="false" ht="15" hidden="false" customHeight="false" outlineLevel="0" collapsed="false">
      <c r="A137" s="56" t="s">
        <v>1028</v>
      </c>
      <c r="B137" s="56" t="s">
        <v>1029</v>
      </c>
      <c r="C137" s="56" t="s">
        <v>75</v>
      </c>
      <c r="D137" s="56" t="str">
        <f aca="false">IFERROR(INDEX('Brand Map'!$B$4:$B$124,MATCH(C137,'Brand Map'!$A$4:$A$124,0)),"Other")</f>
        <v>AURP</v>
      </c>
      <c r="E137" s="57" t="n">
        <v>564</v>
      </c>
      <c r="F137" s="57" t="n">
        <v>27</v>
      </c>
      <c r="G137" s="58" t="n">
        <v>9887.33</v>
      </c>
      <c r="H137" s="58" t="n">
        <v>396.77</v>
      </c>
      <c r="I137" s="58" t="n">
        <v>9283.31</v>
      </c>
      <c r="J137" s="32" t="n">
        <f aca="false">IF(E137&gt;0,F137/E137,0)</f>
        <v>0.0478723404255319</v>
      </c>
      <c r="K137" s="32" t="n">
        <f aca="false">IF(G137&gt;0,H137/G137,0)</f>
        <v>0.0401291349636353</v>
      </c>
      <c r="L137" s="59" t="n">
        <f aca="false">H137/Settings!$B$16</f>
        <v>0.00079295533817006</v>
      </c>
      <c r="M137" s="59" t="n">
        <f aca="false">H137/Settings!$B$20</f>
        <v>3.0803000992833E-005</v>
      </c>
      <c r="N137" s="60" t="n">
        <f aca="false">E137*Settings!$B$3</f>
        <v>17.4761892090187</v>
      </c>
      <c r="O137" s="60" t="n">
        <f aca="false">IF(E137&gt;0,(F137-N137)/SQRT(E137*Settings!$B$3*(1-Settings!$B$3)),0)</f>
        <v>2.31431461386458</v>
      </c>
      <c r="P137" s="60" t="n">
        <f aca="false">MAX(0,F137-N137)</f>
        <v>9.52381079098128</v>
      </c>
      <c r="Q137" s="32" t="n">
        <f aca="false">(F137+Settings!$B$7*Settings!$B$3)/(E137+Settings!$B$7)</f>
        <v>0.0470195025797889</v>
      </c>
      <c r="R137" s="61" t="n">
        <f aca="false">PERCENTRANK($H$2:$H$1780,H137,6)</f>
        <v>0.889201</v>
      </c>
      <c r="S137" s="61" t="n">
        <f aca="false">PERCENTRANK($Q$2:$Q$1780,Q137,6)</f>
        <v>0.861642</v>
      </c>
      <c r="T137" s="61" t="n">
        <f aca="false">PERCENTRANK($F$2:$F$1780,F137,6)</f>
        <v>0.96063</v>
      </c>
      <c r="U137" s="62" t="n">
        <f aca="false">IF(F137&gt;0,(Settings!$B$8*T137+Settings!$B$9*R137+Settings!$B$10*S137)/SUM(Settings!$B$8:$B$10),0)</f>
        <v>0.903824333333333</v>
      </c>
      <c r="V137" s="56" t="n">
        <f aca="false">IF(U137&gt;0,RANK(U137,$U$2:$U$1780)+COUNTIF($U$2:U137,U137)-1,"")</f>
        <v>136</v>
      </c>
      <c r="W137" s="56" t="str">
        <f aca="false">IF(V137="","",IF(V137&lt;=Settings!$B$11,"1 - Fix first",IF(V137&lt;=Settings!$B$12,"2 - Review","3 - Monitor")))</f>
        <v>3 - Monitor</v>
      </c>
      <c r="X137" s="56" t="str">
        <f aca="false">IF(AND(E137&gt;=Settings!$B$4,F137&gt;=Settings!$B$5,O137&gt;=Settings!$B$6),"HIGH RATE","")</f>
        <v/>
      </c>
      <c r="Y137" s="56" t="n">
        <f aca="false">IF(F137&gt;0,RANK(F137,$F$2:$F$1780)+COUNTIF($F$2:F137,F137)-1,"")</f>
        <v>71</v>
      </c>
      <c r="Z137" s="56" t="n">
        <f aca="false">IF(H137&gt;0,RANK(H137,$H$2:$H$1780)+COUNTIF($H$2:H137,H137)-1,"")</f>
        <v>198</v>
      </c>
      <c r="AA137" s="56" t="n">
        <f aca="false">IF(AC137="","",RANK(AC137,$AC$2:$AC$1780)+COUNTIF($AC$2:AC137,AC137)-1)</f>
        <v>138</v>
      </c>
      <c r="AB137" s="56" t="str">
        <f aca="false">IF(AD137="","",RANK(AD137,$AD$2:$AD$1780)+COUNTIF($AD$2:AD137,AD137)-1)</f>
        <v/>
      </c>
      <c r="AC137" s="32" t="n">
        <f aca="false">IF(AND(F137&gt;0,E137&gt;=Settings!$B$4),J137,"")</f>
        <v>0.0478723404255319</v>
      </c>
      <c r="AD137" s="56" t="str">
        <f aca="false">IF(X137="HIGH RATE",O137,"")</f>
        <v/>
      </c>
    </row>
    <row r="138" customFormat="false" ht="15" hidden="false" customHeight="false" outlineLevel="0" collapsed="false">
      <c r="A138" s="56" t="s">
        <v>241</v>
      </c>
      <c r="B138" s="56" t="s">
        <v>375</v>
      </c>
      <c r="C138" s="56" t="s">
        <v>59</v>
      </c>
      <c r="D138" s="56" t="str">
        <f aca="false">IFERROR(INDEX('Brand Map'!$B$4:$B$124,MATCH(C138,'Brand Map'!$A$4:$A$124,0)),"Other")</f>
        <v>DC</v>
      </c>
      <c r="E138" s="57" t="n">
        <v>1991</v>
      </c>
      <c r="F138" s="57" t="n">
        <v>60</v>
      </c>
      <c r="G138" s="58" t="n">
        <v>158194.42</v>
      </c>
      <c r="H138" s="58" t="n">
        <v>4255.73</v>
      </c>
      <c r="I138" s="58" t="n">
        <v>145068.57</v>
      </c>
      <c r="J138" s="32" t="n">
        <f aca="false">IF(E138&gt;0,F138/E138,0)</f>
        <v>0.0301356102461075</v>
      </c>
      <c r="K138" s="32" t="n">
        <f aca="false">IF(G138&gt;0,H138/G138,0)</f>
        <v>0.0269018970454204</v>
      </c>
      <c r="L138" s="59" t="n">
        <f aca="false">H138/Settings!$B$16</f>
        <v>0.00850518895408038</v>
      </c>
      <c r="M138" s="59" t="n">
        <f aca="false">H138/Settings!$B$20</f>
        <v>0.000330391046236432</v>
      </c>
      <c r="N138" s="60" t="n">
        <f aca="false">E138*Settings!$B$3</f>
        <v>61.6934267999225</v>
      </c>
      <c r="O138" s="60" t="n">
        <f aca="false">IF(E138&gt;0,(F138-N138)/SQRT(E138*Settings!$B$3*(1-Settings!$B$3)),0)</f>
        <v>-0.219019099775949</v>
      </c>
      <c r="P138" s="60" t="n">
        <f aca="false">MAX(0,F138-N138)</f>
        <v>0</v>
      </c>
      <c r="Q138" s="32" t="n">
        <f aca="false">(F138+Settings!$B$7*Settings!$B$3)/(E138+Settings!$B$7)</f>
        <v>0.0301482357903981</v>
      </c>
      <c r="R138" s="61" t="n">
        <f aca="false">PERCENTRANK($H$2:$H$1780,H138,6)</f>
        <v>0.986502</v>
      </c>
      <c r="S138" s="61" t="n">
        <f aca="false">PERCENTRANK($Q$2:$Q$1780,Q138,6)</f>
        <v>0.741845</v>
      </c>
      <c r="T138" s="61" t="n">
        <f aca="false">PERCENTRANK($F$2:$F$1780,F138,6)</f>
        <v>0.982002</v>
      </c>
      <c r="U138" s="62" t="n">
        <f aca="false">IF(F138&gt;0,(Settings!$B$8*T138+Settings!$B$9*R138+Settings!$B$10*S138)/SUM(Settings!$B$8:$B$10),0)</f>
        <v>0.903449666666667</v>
      </c>
      <c r="V138" s="56" t="n">
        <f aca="false">IF(U138&gt;0,RANK(U138,$U$2:$U$1780)+COUNTIF($U$2:U138,U138)-1,"")</f>
        <v>137</v>
      </c>
      <c r="W138" s="56" t="str">
        <f aca="false">IF(V138="","",IF(V138&lt;=Settings!$B$11,"1 - Fix first",IF(V138&lt;=Settings!$B$12,"2 - Review","3 - Monitor")))</f>
        <v>3 - Monitor</v>
      </c>
      <c r="X138" s="56" t="str">
        <f aca="false">IF(AND(E138&gt;=Settings!$B$4,F138&gt;=Settings!$B$5,O138&gt;=Settings!$B$6),"HIGH RATE","")</f>
        <v/>
      </c>
      <c r="Y138" s="56" t="n">
        <f aca="false">IF(F138&gt;0,RANK(F138,$F$2:$F$1780)+COUNTIF($F$2:F138,F138)-1,"")</f>
        <v>33</v>
      </c>
      <c r="Z138" s="56" t="n">
        <f aca="false">IF(H138&gt;0,RANK(H138,$H$2:$H$1780)+COUNTIF($H$2:H138,H138)-1,"")</f>
        <v>25</v>
      </c>
      <c r="AA138" s="56" t="n">
        <f aca="false">IF(AC138="","",RANK(AC138,$AC$2:$AC$1780)+COUNTIF($AC$2:AC138,AC138)-1)</f>
        <v>263</v>
      </c>
      <c r="AB138" s="56" t="str">
        <f aca="false">IF(AD138="","",RANK(AD138,$AD$2:$AD$1780)+COUNTIF($AD$2:AD138,AD138)-1)</f>
        <v/>
      </c>
      <c r="AC138" s="32" t="n">
        <f aca="false">IF(AND(F138&gt;0,E138&gt;=Settings!$B$4),J138,"")</f>
        <v>0.0301356102461075</v>
      </c>
      <c r="AD138" s="56" t="str">
        <f aca="false">IF(X138="HIGH RATE",O138,"")</f>
        <v/>
      </c>
    </row>
    <row r="139" customFormat="false" ht="15" hidden="false" customHeight="false" outlineLevel="0" collapsed="false">
      <c r="A139" s="56" t="s">
        <v>1030</v>
      </c>
      <c r="B139" s="56" t="s">
        <v>1031</v>
      </c>
      <c r="C139" s="56" t="s">
        <v>51</v>
      </c>
      <c r="D139" s="56" t="str">
        <f aca="false">IFERROR(INDEX('Brand Map'!$B$4:$B$124,MATCH(C139,'Brand Map'!$A$4:$A$124,0)),"Other")</f>
        <v>AU</v>
      </c>
      <c r="E139" s="57" t="n">
        <v>28</v>
      </c>
      <c r="F139" s="57" t="n">
        <v>3</v>
      </c>
      <c r="G139" s="58" t="n">
        <v>4602.25</v>
      </c>
      <c r="H139" s="58" t="n">
        <v>463.55</v>
      </c>
      <c r="I139" s="58" t="n">
        <v>4058.9</v>
      </c>
      <c r="J139" s="32" t="n">
        <f aca="false">IF(E139&gt;0,F139/E139,0)</f>
        <v>0.107142857142857</v>
      </c>
      <c r="K139" s="32" t="n">
        <f aca="false">IF(G139&gt;0,H139/G139,0)</f>
        <v>0.100722472703569</v>
      </c>
      <c r="L139" s="59" t="n">
        <f aca="false">H139/Settings!$B$16</f>
        <v>0.000926416934266027</v>
      </c>
      <c r="M139" s="59" t="n">
        <f aca="false">H139/Settings!$B$20</f>
        <v>3.59874262424773E-005</v>
      </c>
      <c r="N139" s="60" t="n">
        <f aca="false">E139*Settings!$B$3</f>
        <v>0.867612230234972</v>
      </c>
      <c r="O139" s="60" t="n">
        <f aca="false">IF(E139&gt;0,(F139-N139)/SQRT(E139*Settings!$B$3*(1-Settings!$B$3)),0)</f>
        <v>2.32561788304157</v>
      </c>
      <c r="P139" s="60" t="n">
        <f aca="false">MAX(0,F139-N139)</f>
        <v>2.13238776976503</v>
      </c>
      <c r="Q139" s="32" t="n">
        <f aca="false">(F139+Settings!$B$7*Settings!$B$3)/(E139+Settings!$B$7)</f>
        <v>0.0677514574550795</v>
      </c>
      <c r="R139" s="61" t="n">
        <f aca="false">PERCENTRANK($H$2:$H$1780,H139,6)</f>
        <v>0.8982</v>
      </c>
      <c r="S139" s="61" t="n">
        <f aca="false">PERCENTRANK($Q$2:$Q$1780,Q139,6)</f>
        <v>0.969629</v>
      </c>
      <c r="T139" s="61" t="n">
        <f aca="false">PERCENTRANK($F$2:$F$1780,F139,6)</f>
        <v>0.84252</v>
      </c>
      <c r="U139" s="62" t="n">
        <f aca="false">IF(F139&gt;0,(Settings!$B$8*T139+Settings!$B$9*R139+Settings!$B$10*S139)/SUM(Settings!$B$8:$B$10),0)</f>
        <v>0.903449666666667</v>
      </c>
      <c r="V139" s="56" t="n">
        <f aca="false">IF(U139&gt;0,RANK(U139,$U$2:$U$1780)+COUNTIF($U$2:U139,U139)-1,"")</f>
        <v>138</v>
      </c>
      <c r="W139" s="56" t="str">
        <f aca="false">IF(V139="","",IF(V139&lt;=Settings!$B$11,"1 - Fix first",IF(V139&lt;=Settings!$B$12,"2 - Review","3 - Monitor")))</f>
        <v>3 - Monitor</v>
      </c>
      <c r="X139" s="56" t="str">
        <f aca="false">IF(AND(E139&gt;=Settings!$B$4,F139&gt;=Settings!$B$5,O139&gt;=Settings!$B$6),"HIGH RATE","")</f>
        <v/>
      </c>
      <c r="Y139" s="56" t="n">
        <f aca="false">IF(F139&gt;0,RANK(F139,$F$2:$F$1780)+COUNTIF($F$2:F139,F139)-1,"")</f>
        <v>232</v>
      </c>
      <c r="Z139" s="56" t="n">
        <f aca="false">IF(H139&gt;0,RANK(H139,$H$2:$H$1780)+COUNTIF($H$2:H139,H139)-1,"")</f>
        <v>182</v>
      </c>
      <c r="AA139" s="56" t="str">
        <f aca="false">IF(AC139="","",RANK(AC139,$AC$2:$AC$1780)+COUNTIF($AC$2:AC139,AC139)-1)</f>
        <v/>
      </c>
      <c r="AB139" s="56" t="str">
        <f aca="false">IF(AD139="","",RANK(AD139,$AD$2:$AD$1780)+COUNTIF($AD$2:AD139,AD139)-1)</f>
        <v/>
      </c>
      <c r="AC139" s="56" t="str">
        <f aca="false">IF(AND(F139&gt;0,E139&gt;=Settings!$B$4),J139,"")</f>
        <v/>
      </c>
      <c r="AD139" s="56" t="str">
        <f aca="false">IF(X139="HIGH RATE",O139,"")</f>
        <v/>
      </c>
    </row>
    <row r="140" customFormat="false" ht="15" hidden="false" customHeight="false" outlineLevel="0" collapsed="false">
      <c r="A140" s="56" t="s">
        <v>1032</v>
      </c>
      <c r="B140" s="56" t="s">
        <v>1033</v>
      </c>
      <c r="C140" s="56" t="s">
        <v>51</v>
      </c>
      <c r="D140" s="56" t="str">
        <f aca="false">IFERROR(INDEX('Brand Map'!$B$4:$B$124,MATCH(C140,'Brand Map'!$A$4:$A$124,0)),"Other")</f>
        <v>AU</v>
      </c>
      <c r="E140" s="57" t="n">
        <v>80</v>
      </c>
      <c r="F140" s="57" t="n">
        <v>5</v>
      </c>
      <c r="G140" s="58" t="n">
        <v>8872.63</v>
      </c>
      <c r="H140" s="58" t="n">
        <v>484.57</v>
      </c>
      <c r="I140" s="58" t="n">
        <v>7955.51</v>
      </c>
      <c r="J140" s="32" t="n">
        <f aca="false">IF(E140&gt;0,F140/E140,0)</f>
        <v>0.0625</v>
      </c>
      <c r="K140" s="32" t="n">
        <f aca="false">IF(G140&gt;0,H140/G140,0)</f>
        <v>0.0546140208709255</v>
      </c>
      <c r="L140" s="59" t="n">
        <f aca="false">H140/Settings!$B$16</f>
        <v>0.000968425960171047</v>
      </c>
      <c r="M140" s="59" t="n">
        <f aca="false">H140/Settings!$B$20</f>
        <v>3.76193013360311E-005</v>
      </c>
      <c r="N140" s="60" t="n">
        <f aca="false">E140*Settings!$B$3</f>
        <v>2.47889208638563</v>
      </c>
      <c r="O140" s="60" t="n">
        <f aca="false">IF(E140&gt;0,(F140-N140)/SQRT(E140*Settings!$B$3*(1-Settings!$B$3)),0)</f>
        <v>1.62666316784208</v>
      </c>
      <c r="P140" s="60" t="n">
        <f aca="false">MAX(0,F140-N140)</f>
        <v>2.52110791361437</v>
      </c>
      <c r="Q140" s="32" t="n">
        <f aca="false">(F140+Settings!$B$7*Settings!$B$3)/(E140+Settings!$B$7)</f>
        <v>0.0539053139308601</v>
      </c>
      <c r="R140" s="61" t="n">
        <f aca="false">PERCENTRANK($H$2:$H$1780,H140,6)</f>
        <v>0.9027</v>
      </c>
      <c r="S140" s="61" t="n">
        <f aca="false">PERCENTRANK($Q$2:$Q$1780,Q140,6)</f>
        <v>0.917323</v>
      </c>
      <c r="T140" s="61" t="n">
        <f aca="false">PERCENTRANK($F$2:$F$1780,F140,6)</f>
        <v>0.889764</v>
      </c>
      <c r="U140" s="62" t="n">
        <f aca="false">IF(F140&gt;0,(Settings!$B$8*T140+Settings!$B$9*R140+Settings!$B$10*S140)/SUM(Settings!$B$8:$B$10),0)</f>
        <v>0.903262333333333</v>
      </c>
      <c r="V140" s="56" t="n">
        <f aca="false">IF(U140&gt;0,RANK(U140,$U$2:$U$1780)+COUNTIF($U$2:U140,U140)-1,"")</f>
        <v>139</v>
      </c>
      <c r="W140" s="56" t="str">
        <f aca="false">IF(V140="","",IF(V140&lt;=Settings!$B$11,"1 - Fix first",IF(V140&lt;=Settings!$B$12,"2 - Review","3 - Monitor")))</f>
        <v>3 - Monitor</v>
      </c>
      <c r="X140" s="56" t="str">
        <f aca="false">IF(AND(E140&gt;=Settings!$B$4,F140&gt;=Settings!$B$5,O140&gt;=Settings!$B$6),"HIGH RATE","")</f>
        <v/>
      </c>
      <c r="Y140" s="56" t="n">
        <f aca="false">IF(F140&gt;0,RANK(F140,$F$2:$F$1780)+COUNTIF($F$2:F140,F140)-1,"")</f>
        <v>191</v>
      </c>
      <c r="Z140" s="56" t="n">
        <f aca="false">IF(H140&gt;0,RANK(H140,$H$2:$H$1780)+COUNTIF($H$2:H140,H140)-1,"")</f>
        <v>174</v>
      </c>
      <c r="AA140" s="56" t="n">
        <f aca="false">IF(AC140="","",RANK(AC140,$AC$2:$AC$1780)+COUNTIF($AC$2:AC140,AC140)-1)</f>
        <v>61</v>
      </c>
      <c r="AB140" s="56" t="str">
        <f aca="false">IF(AD140="","",RANK(AD140,$AD$2:$AD$1780)+COUNTIF($AD$2:AD140,AD140)-1)</f>
        <v/>
      </c>
      <c r="AC140" s="32" t="n">
        <f aca="false">IF(AND(F140&gt;0,E140&gt;=Settings!$B$4),J140,"")</f>
        <v>0.0625</v>
      </c>
      <c r="AD140" s="56" t="str">
        <f aca="false">IF(X140="HIGH RATE",O140,"")</f>
        <v/>
      </c>
    </row>
    <row r="141" customFormat="false" ht="15" hidden="false" customHeight="false" outlineLevel="0" collapsed="false">
      <c r="A141" s="56" t="s">
        <v>297</v>
      </c>
      <c r="B141" s="56" t="s">
        <v>1034</v>
      </c>
      <c r="C141" s="56" t="s">
        <v>71</v>
      </c>
      <c r="D141" s="56" t="str">
        <f aca="false">IFERROR(INDEX('Brand Map'!$B$4:$B$124,MATCH(C141,'Brand Map'!$A$4:$A$124,0)),"Other")</f>
        <v>GF</v>
      </c>
      <c r="E141" s="57" t="n">
        <v>38</v>
      </c>
      <c r="F141" s="57" t="n">
        <v>4</v>
      </c>
      <c r="G141" s="58" t="n">
        <v>2643.2</v>
      </c>
      <c r="H141" s="58" t="n">
        <v>276.64</v>
      </c>
      <c r="I141" s="58" t="n">
        <v>2318.82</v>
      </c>
      <c r="J141" s="32" t="n">
        <f aca="false">IF(E141&gt;0,F141/E141,0)</f>
        <v>0.105263157894737</v>
      </c>
      <c r="K141" s="32" t="n">
        <f aca="false">IF(G141&gt;0,H141/G141,0)</f>
        <v>0.104661016949153</v>
      </c>
      <c r="L141" s="59" t="n">
        <f aca="false">H141/Settings!$B$16</f>
        <v>0.00055287235615436</v>
      </c>
      <c r="M141" s="59" t="n">
        <f aca="false">H141/Settings!$B$20</f>
        <v>2.14767804890927E-005</v>
      </c>
      <c r="N141" s="60" t="n">
        <f aca="false">E141*Settings!$B$3</f>
        <v>1.17747374103318</v>
      </c>
      <c r="O141" s="60" t="n">
        <f aca="false">IF(E141&gt;0,(F141-N141)/SQRT(E141*Settings!$B$3*(1-Settings!$B$3)),0)</f>
        <v>2.64239283892653</v>
      </c>
      <c r="P141" s="60" t="n">
        <f aca="false">MAX(0,F141-N141)</f>
        <v>2.82252625896682</v>
      </c>
      <c r="Q141" s="32" t="n">
        <f aca="false">(F141+Settings!$B$7*Settings!$B$3)/(E141+Settings!$B$7)</f>
        <v>0.0724938901822737</v>
      </c>
      <c r="R141" s="61" t="n">
        <f aca="false">PERCENTRANK($H$2:$H$1780,H141,6)</f>
        <v>0.858268</v>
      </c>
      <c r="S141" s="61" t="n">
        <f aca="false">PERCENTRANK($Q$2:$Q$1780,Q141,6)</f>
        <v>0.979753</v>
      </c>
      <c r="T141" s="61" t="n">
        <f aca="false">PERCENTRANK($F$2:$F$1780,F141,6)</f>
        <v>0.871766</v>
      </c>
      <c r="U141" s="62" t="n">
        <f aca="false">IF(F141&gt;0,(Settings!$B$8*T141+Settings!$B$9*R141+Settings!$B$10*S141)/SUM(Settings!$B$8:$B$10),0)</f>
        <v>0.903262333333333</v>
      </c>
      <c r="V141" s="56" t="n">
        <f aca="false">IF(U141&gt;0,RANK(U141,$U$2:$U$1780)+COUNTIF($U$2:U141,U141)-1,"")</f>
        <v>140</v>
      </c>
      <c r="W141" s="56" t="str">
        <f aca="false">IF(V141="","",IF(V141&lt;=Settings!$B$11,"1 - Fix first",IF(V141&lt;=Settings!$B$12,"2 - Review","3 - Monitor")))</f>
        <v>3 - Monitor</v>
      </c>
      <c r="X141" s="56" t="str">
        <f aca="false">IF(AND(E141&gt;=Settings!$B$4,F141&gt;=Settings!$B$5,O141&gt;=Settings!$B$6),"HIGH RATE","")</f>
        <v/>
      </c>
      <c r="Y141" s="56" t="n">
        <f aca="false">IF(F141&gt;0,RANK(F141,$F$2:$F$1780)+COUNTIF($F$2:F141,F141)-1,"")</f>
        <v>204</v>
      </c>
      <c r="Z141" s="56" t="n">
        <f aca="false">IF(H141&gt;0,RANK(H141,$H$2:$H$1780)+COUNTIF($H$2:H141,H141)-1,"")</f>
        <v>253</v>
      </c>
      <c r="AA141" s="56" t="n">
        <f aca="false">IF(AC141="","",RANK(AC141,$AC$2:$AC$1780)+COUNTIF($AC$2:AC141,AC141)-1)</f>
        <v>11</v>
      </c>
      <c r="AB141" s="56" t="str">
        <f aca="false">IF(AD141="","",RANK(AD141,$AD$2:$AD$1780)+COUNTIF($AD$2:AD141,AD141)-1)</f>
        <v/>
      </c>
      <c r="AC141" s="32" t="n">
        <f aca="false">IF(AND(F141&gt;0,E141&gt;=Settings!$B$4),J141,"")</f>
        <v>0.105263157894737</v>
      </c>
      <c r="AD141" s="56" t="str">
        <f aca="false">IF(X141="HIGH RATE",O141,"")</f>
        <v/>
      </c>
    </row>
    <row r="142" customFormat="false" ht="15" hidden="false" customHeight="false" outlineLevel="0" collapsed="false">
      <c r="A142" s="56" t="s">
        <v>1035</v>
      </c>
      <c r="B142" s="56" t="s">
        <v>1036</v>
      </c>
      <c r="C142" s="56" t="s">
        <v>55</v>
      </c>
      <c r="D142" s="56" t="str">
        <f aca="false">IFERROR(INDEX('Brand Map'!$B$4:$B$124,MATCH(C142,'Brand Map'!$A$4:$A$124,0)),"Other")</f>
        <v>AUMJ</v>
      </c>
      <c r="E142" s="57" t="n">
        <v>49</v>
      </c>
      <c r="F142" s="57" t="n">
        <v>4</v>
      </c>
      <c r="G142" s="58" t="n">
        <v>4762.4</v>
      </c>
      <c r="H142" s="58" t="n">
        <v>341.52</v>
      </c>
      <c r="I142" s="58" t="n">
        <v>4136.43</v>
      </c>
      <c r="J142" s="32" t="n">
        <f aca="false">IF(E142&gt;0,F142/E142,0)</f>
        <v>0.0816326530612245</v>
      </c>
      <c r="K142" s="32" t="n">
        <f aca="false">IF(G142&gt;0,H142/G142,0)</f>
        <v>0.0717117419788342</v>
      </c>
      <c r="L142" s="59" t="n">
        <f aca="false">H142/Settings!$B$16</f>
        <v>0.000682536752002014</v>
      </c>
      <c r="M142" s="59" t="n">
        <f aca="false">H142/Settings!$B$20</f>
        <v>2.6513700378235E-005</v>
      </c>
      <c r="N142" s="60" t="n">
        <f aca="false">E142*Settings!$B$3</f>
        <v>1.5183214029112</v>
      </c>
      <c r="O142" s="60" t="n">
        <f aca="false">IF(E142&gt;0,(F142-N142)/SQRT(E142*Settings!$B$3*(1-Settings!$B$3)),0)</f>
        <v>2.04596729033497</v>
      </c>
      <c r="P142" s="60" t="n">
        <f aca="false">MAX(0,F142-N142)</f>
        <v>2.4816785970888</v>
      </c>
      <c r="Q142" s="32" t="n">
        <f aca="false">(F142+Settings!$B$7*Settings!$B$3)/(E142+Settings!$B$7)</f>
        <v>0.0623998042075267</v>
      </c>
      <c r="R142" s="61" t="n">
        <f aca="false">PERCENTRANK($H$2:$H$1780,H142,6)</f>
        <v>0.877953</v>
      </c>
      <c r="S142" s="61" t="n">
        <f aca="false">PERCENTRANK($Q$2:$Q$1780,Q142,6)</f>
        <v>0.959505</v>
      </c>
      <c r="T142" s="61" t="n">
        <f aca="false">PERCENTRANK($F$2:$F$1780,F142,6)</f>
        <v>0.871766</v>
      </c>
      <c r="U142" s="62" t="n">
        <f aca="false">IF(F142&gt;0,(Settings!$B$8*T142+Settings!$B$9*R142+Settings!$B$10*S142)/SUM(Settings!$B$8:$B$10),0)</f>
        <v>0.903074666666667</v>
      </c>
      <c r="V142" s="56" t="n">
        <f aca="false">IF(U142&gt;0,RANK(U142,$U$2:$U$1780)+COUNTIF($U$2:U142,U142)-1,"")</f>
        <v>141</v>
      </c>
      <c r="W142" s="56" t="str">
        <f aca="false">IF(V142="","",IF(V142&lt;=Settings!$B$11,"1 - Fix first",IF(V142&lt;=Settings!$B$12,"2 - Review","3 - Monitor")))</f>
        <v>3 - Monitor</v>
      </c>
      <c r="X142" s="56" t="str">
        <f aca="false">IF(AND(E142&gt;=Settings!$B$4,F142&gt;=Settings!$B$5,O142&gt;=Settings!$B$6),"HIGH RATE","")</f>
        <v/>
      </c>
      <c r="Y142" s="56" t="n">
        <f aca="false">IF(F142&gt;0,RANK(F142,$F$2:$F$1780)+COUNTIF($F$2:F142,F142)-1,"")</f>
        <v>205</v>
      </c>
      <c r="Z142" s="56" t="n">
        <f aca="false">IF(H142&gt;0,RANK(H142,$H$2:$H$1780)+COUNTIF($H$2:H142,H142)-1,"")</f>
        <v>218</v>
      </c>
      <c r="AA142" s="56" t="n">
        <f aca="false">IF(AC142="","",RANK(AC142,$AC$2:$AC$1780)+COUNTIF($AC$2:AC142,AC142)-1)</f>
        <v>31</v>
      </c>
      <c r="AB142" s="56" t="str">
        <f aca="false">IF(AD142="","",RANK(AD142,$AD$2:$AD$1780)+COUNTIF($AD$2:AD142,AD142)-1)</f>
        <v/>
      </c>
      <c r="AC142" s="32" t="n">
        <f aca="false">IF(AND(F142&gt;0,E142&gt;=Settings!$B$4),J142,"")</f>
        <v>0.0816326530612245</v>
      </c>
      <c r="AD142" s="56" t="str">
        <f aca="false">IF(X142="HIGH RATE",O142,"")</f>
        <v/>
      </c>
    </row>
    <row r="143" customFormat="false" ht="15" hidden="false" customHeight="false" outlineLevel="0" collapsed="false">
      <c r="A143" s="56" t="s">
        <v>567</v>
      </c>
      <c r="B143" s="56" t="s">
        <v>568</v>
      </c>
      <c r="C143" s="56" t="s">
        <v>139</v>
      </c>
      <c r="D143" s="56" t="str">
        <f aca="false">IFERROR(INDEX('Brand Map'!$B$4:$B$124,MATCH(C143,'Brand Map'!$A$4:$A$124,0)),"Other")</f>
        <v>AUSTRT</v>
      </c>
      <c r="E143" s="57" t="n">
        <v>1240</v>
      </c>
      <c r="F143" s="57" t="n">
        <v>43</v>
      </c>
      <c r="G143" s="58" t="n">
        <v>45920.21</v>
      </c>
      <c r="H143" s="58" t="n">
        <v>1542.65</v>
      </c>
      <c r="I143" s="58" t="n">
        <v>42090.76</v>
      </c>
      <c r="J143" s="32" t="n">
        <f aca="false">IF(E143&gt;0,F143/E143,0)</f>
        <v>0.0346774193548387</v>
      </c>
      <c r="K143" s="32" t="n">
        <f aca="false">IF(G143&gt;0,H143/G143,0)</f>
        <v>0.0335941407933457</v>
      </c>
      <c r="L143" s="59" t="n">
        <f aca="false">H143/Settings!$B$16</f>
        <v>0.00308302682266311</v>
      </c>
      <c r="M143" s="59" t="n">
        <f aca="false">H143/Settings!$B$20</f>
        <v>0.000119762707567593</v>
      </c>
      <c r="N143" s="60" t="n">
        <f aca="false">E143*Settings!$B$3</f>
        <v>38.4228273389773</v>
      </c>
      <c r="O143" s="60" t="n">
        <f aca="false">IF(E143&gt;0,(F143-N143)/SQRT(E143*Settings!$B$3*(1-Settings!$B$3)),0)</f>
        <v>0.750131915737865</v>
      </c>
      <c r="P143" s="60" t="n">
        <f aca="false">MAX(0,F143-N143)</f>
        <v>4.57717266102268</v>
      </c>
      <c r="Q143" s="32" t="n">
        <f aca="false">(F143+Settings!$B$7*Settings!$B$3)/(E143+Settings!$B$7)</f>
        <v>0.0345902240412556</v>
      </c>
      <c r="R143" s="61" t="n">
        <f aca="false">PERCENTRANK($H$2:$H$1780,H143,6)</f>
        <v>0.96063</v>
      </c>
      <c r="S143" s="61" t="n">
        <f aca="false">PERCENTRANK($Q$2:$Q$1780,Q143,6)</f>
        <v>0.771091</v>
      </c>
      <c r="T143" s="61" t="n">
        <f aca="false">PERCENTRANK($F$2:$F$1780,F143,6)</f>
        <v>0.976378</v>
      </c>
      <c r="U143" s="62" t="n">
        <f aca="false">IF(F143&gt;0,(Settings!$B$8*T143+Settings!$B$9*R143+Settings!$B$10*S143)/SUM(Settings!$B$8:$B$10),0)</f>
        <v>0.902699666666667</v>
      </c>
      <c r="V143" s="56" t="n">
        <f aca="false">IF(U143&gt;0,RANK(U143,$U$2:$U$1780)+COUNTIF($U$2:U143,U143)-1,"")</f>
        <v>142</v>
      </c>
      <c r="W143" s="56" t="str">
        <f aca="false">IF(V143="","",IF(V143&lt;=Settings!$B$11,"1 - Fix first",IF(V143&lt;=Settings!$B$12,"2 - Review","3 - Monitor")))</f>
        <v>3 - Monitor</v>
      </c>
      <c r="X143" s="56" t="str">
        <f aca="false">IF(AND(E143&gt;=Settings!$B$4,F143&gt;=Settings!$B$5,O143&gt;=Settings!$B$6),"HIGH RATE","")</f>
        <v/>
      </c>
      <c r="Y143" s="56" t="n">
        <f aca="false">IF(F143&gt;0,RANK(F143,$F$2:$F$1780)+COUNTIF($F$2:F143,F143)-1,"")</f>
        <v>43</v>
      </c>
      <c r="Z143" s="56" t="n">
        <f aca="false">IF(H143&gt;0,RANK(H143,$H$2:$H$1780)+COUNTIF($H$2:H143,H143)-1,"")</f>
        <v>71</v>
      </c>
      <c r="AA143" s="56" t="n">
        <f aca="false">IF(AC143="","",RANK(AC143,$AC$2:$AC$1780)+COUNTIF($AC$2:AC143,AC143)-1)</f>
        <v>236</v>
      </c>
      <c r="AB143" s="56" t="str">
        <f aca="false">IF(AD143="","",RANK(AD143,$AD$2:$AD$1780)+COUNTIF($AD$2:AD143,AD143)-1)</f>
        <v/>
      </c>
      <c r="AC143" s="32" t="n">
        <f aca="false">IF(AND(F143&gt;0,E143&gt;=Settings!$B$4),J143,"")</f>
        <v>0.0346774193548387</v>
      </c>
      <c r="AD143" s="56" t="str">
        <f aca="false">IF(X143="HIGH RATE",O143,"")</f>
        <v/>
      </c>
    </row>
    <row r="144" customFormat="false" ht="15" hidden="false" customHeight="false" outlineLevel="0" collapsed="false">
      <c r="A144" s="56" t="s">
        <v>1037</v>
      </c>
      <c r="B144" s="56" t="s">
        <v>1038</v>
      </c>
      <c r="C144" s="56" t="s">
        <v>55</v>
      </c>
      <c r="D144" s="56" t="str">
        <f aca="false">IFERROR(INDEX('Brand Map'!$B$4:$B$124,MATCH(C144,'Brand Map'!$A$4:$A$124,0)),"Other")</f>
        <v>AUMJ</v>
      </c>
      <c r="E144" s="57" t="n">
        <v>450</v>
      </c>
      <c r="F144" s="57" t="n">
        <v>18</v>
      </c>
      <c r="G144" s="58" t="n">
        <v>30780.97</v>
      </c>
      <c r="H144" s="58" t="n">
        <v>1165.43</v>
      </c>
      <c r="I144" s="58" t="n">
        <v>28770.43</v>
      </c>
      <c r="J144" s="32" t="n">
        <f aca="false">IF(E144&gt;0,F144/E144,0)</f>
        <v>0.04</v>
      </c>
      <c r="K144" s="32" t="n">
        <f aca="false">IF(G144&gt;0,H144/G144,0)</f>
        <v>0.0378620296891229</v>
      </c>
      <c r="L144" s="59" t="n">
        <f aca="false">H144/Settings!$B$16</f>
        <v>0.00232914267652175</v>
      </c>
      <c r="M144" s="59" t="n">
        <f aca="false">H144/Settings!$B$20</f>
        <v>9.04774590999252E-005</v>
      </c>
      <c r="N144" s="60" t="n">
        <f aca="false">E144*Settings!$B$3</f>
        <v>13.9437679859192</v>
      </c>
      <c r="O144" s="60" t="n">
        <f aca="false">IF(E144&gt;0,(F144-N144)/SQRT(E144*Settings!$B$3*(1-Settings!$B$3)),0)</f>
        <v>1.10348827392643</v>
      </c>
      <c r="P144" s="60" t="n">
        <f aca="false">MAX(0,F144-N144)</f>
        <v>4.05623201408081</v>
      </c>
      <c r="Q144" s="32" t="n">
        <f aca="false">(F144+Settings!$B$7*Settings!$B$3)/(E144+Settings!$B$7)</f>
        <v>0.0394366344424888</v>
      </c>
      <c r="R144" s="61" t="n">
        <f aca="false">PERCENTRANK($H$2:$H$1780,H144,6)</f>
        <v>0.949944</v>
      </c>
      <c r="S144" s="61" t="n">
        <f aca="false">PERCENTRANK($Q$2:$Q$1780,Q144,6)</f>
        <v>0.809336</v>
      </c>
      <c r="T144" s="61" t="n">
        <f aca="false">PERCENTRANK($F$2:$F$1780,F144,6)</f>
        <v>0.947694</v>
      </c>
      <c r="U144" s="62" t="n">
        <f aca="false">IF(F144&gt;0,(Settings!$B$8*T144+Settings!$B$9*R144+Settings!$B$10*S144)/SUM(Settings!$B$8:$B$10),0)</f>
        <v>0.902324666666667</v>
      </c>
      <c r="V144" s="56" t="n">
        <f aca="false">IF(U144&gt;0,RANK(U144,$U$2:$U$1780)+COUNTIF($U$2:U144,U144)-1,"")</f>
        <v>143</v>
      </c>
      <c r="W144" s="56" t="str">
        <f aca="false">IF(V144="","",IF(V144&lt;=Settings!$B$11,"1 - Fix first",IF(V144&lt;=Settings!$B$12,"2 - Review","3 - Monitor")))</f>
        <v>3 - Monitor</v>
      </c>
      <c r="X144" s="56" t="str">
        <f aca="false">IF(AND(E144&gt;=Settings!$B$4,F144&gt;=Settings!$B$5,O144&gt;=Settings!$B$6),"HIGH RATE","")</f>
        <v/>
      </c>
      <c r="Y144" s="56" t="n">
        <f aca="false">IF(F144&gt;0,RANK(F144,$F$2:$F$1780)+COUNTIF($F$2:F144,F144)-1,"")</f>
        <v>91</v>
      </c>
      <c r="Z144" s="56" t="n">
        <f aca="false">IF(H144&gt;0,RANK(H144,$H$2:$H$1780)+COUNTIF($H$2:H144,H144)-1,"")</f>
        <v>90</v>
      </c>
      <c r="AA144" s="56" t="n">
        <f aca="false">IF(AC144="","",RANK(AC144,$AC$2:$AC$1780)+COUNTIF($AC$2:AC144,AC144)-1)</f>
        <v>195</v>
      </c>
      <c r="AB144" s="56" t="str">
        <f aca="false">IF(AD144="","",RANK(AD144,$AD$2:$AD$1780)+COUNTIF($AD$2:AD144,AD144)-1)</f>
        <v/>
      </c>
      <c r="AC144" s="32" t="n">
        <f aca="false">IF(AND(F144&gt;0,E144&gt;=Settings!$B$4),J144,"")</f>
        <v>0.04</v>
      </c>
      <c r="AD144" s="56" t="str">
        <f aca="false">IF(X144="HIGH RATE",O144,"")</f>
        <v/>
      </c>
    </row>
    <row r="145" customFormat="false" ht="15" hidden="false" customHeight="false" outlineLevel="0" collapsed="false">
      <c r="A145" s="56" t="s">
        <v>1039</v>
      </c>
      <c r="B145" s="56" t="s">
        <v>1040</v>
      </c>
      <c r="C145" s="56" t="s">
        <v>51</v>
      </c>
      <c r="D145" s="56" t="str">
        <f aca="false">IFERROR(INDEX('Brand Map'!$B$4:$B$124,MATCH(C145,'Brand Map'!$A$4:$A$124,0)),"Other")</f>
        <v>AU</v>
      </c>
      <c r="E145" s="57" t="n">
        <v>23</v>
      </c>
      <c r="F145" s="57" t="n">
        <v>3</v>
      </c>
      <c r="G145" s="58" t="n">
        <v>3284.31</v>
      </c>
      <c r="H145" s="58" t="n">
        <v>364.81</v>
      </c>
      <c r="I145" s="58" t="n">
        <v>2824.11</v>
      </c>
      <c r="J145" s="32" t="n">
        <f aca="false">IF(E145&gt;0,F145/E145,0)</f>
        <v>0.130434782608696</v>
      </c>
      <c r="K145" s="32" t="n">
        <f aca="false">IF(G145&gt;0,H145/G145,0)</f>
        <v>0.111076603609282</v>
      </c>
      <c r="L145" s="59" t="n">
        <f aca="false">H145/Settings!$B$16</f>
        <v>0.000729082432940544</v>
      </c>
      <c r="M145" s="59" t="n">
        <f aca="false">H145/Settings!$B$20</f>
        <v>2.83218055603886E-005</v>
      </c>
      <c r="N145" s="60" t="n">
        <f aca="false">E145*Settings!$B$3</f>
        <v>0.71268147483587</v>
      </c>
      <c r="O145" s="60" t="n">
        <f aca="false">IF(E145&gt;0,(F145-N145)/SQRT(E145*Settings!$B$3*(1-Settings!$B$3)),0)</f>
        <v>2.75241502786136</v>
      </c>
      <c r="P145" s="60" t="n">
        <f aca="false">MAX(0,F145-N145)</f>
        <v>2.28731852516413</v>
      </c>
      <c r="Q145" s="32" t="n">
        <f aca="false">(F145+Settings!$B$7*Settings!$B$3)/(E145+Settings!$B$7)</f>
        <v>0.074143104384804</v>
      </c>
      <c r="R145" s="61" t="n">
        <f aca="false">PERCENTRANK($H$2:$H$1780,H145,6)</f>
        <v>0.882452</v>
      </c>
      <c r="S145" s="61" t="n">
        <f aca="false">PERCENTRANK($Q$2:$Q$1780,Q145,6)</f>
        <v>0.98144</v>
      </c>
      <c r="T145" s="61" t="n">
        <f aca="false">PERCENTRANK($F$2:$F$1780,F145,6)</f>
        <v>0.84252</v>
      </c>
      <c r="U145" s="62" t="n">
        <f aca="false">IF(F145&gt;0,(Settings!$B$8*T145+Settings!$B$9*R145+Settings!$B$10*S145)/SUM(Settings!$B$8:$B$10),0)</f>
        <v>0.902137333333334</v>
      </c>
      <c r="V145" s="56" t="n">
        <f aca="false">IF(U145&gt;0,RANK(U145,$U$2:$U$1780)+COUNTIF($U$2:U145,U145)-1,"")</f>
        <v>144</v>
      </c>
      <c r="W145" s="56" t="str">
        <f aca="false">IF(V145="","",IF(V145&lt;=Settings!$B$11,"1 - Fix first",IF(V145&lt;=Settings!$B$12,"2 - Review","3 - Monitor")))</f>
        <v>3 - Monitor</v>
      </c>
      <c r="X145" s="56" t="str">
        <f aca="false">IF(AND(E145&gt;=Settings!$B$4,F145&gt;=Settings!$B$5,O145&gt;=Settings!$B$6),"HIGH RATE","")</f>
        <v/>
      </c>
      <c r="Y145" s="56" t="n">
        <f aca="false">IF(F145&gt;0,RANK(F145,$F$2:$F$1780)+COUNTIF($F$2:F145,F145)-1,"")</f>
        <v>233</v>
      </c>
      <c r="Z145" s="56" t="n">
        <f aca="false">IF(H145&gt;0,RANK(H145,$H$2:$H$1780)+COUNTIF($H$2:H145,H145)-1,"")</f>
        <v>210</v>
      </c>
      <c r="AA145" s="56" t="str">
        <f aca="false">IF(AC145="","",RANK(AC145,$AC$2:$AC$1780)+COUNTIF($AC$2:AC145,AC145)-1)</f>
        <v/>
      </c>
      <c r="AB145" s="56" t="str">
        <f aca="false">IF(AD145="","",RANK(AD145,$AD$2:$AD$1780)+COUNTIF($AD$2:AD145,AD145)-1)</f>
        <v/>
      </c>
      <c r="AC145" s="56" t="str">
        <f aca="false">IF(AND(F145&gt;0,E145&gt;=Settings!$B$4),J145,"")</f>
        <v/>
      </c>
      <c r="AD145" s="56" t="str">
        <f aca="false">IF(X145="HIGH RATE",O145,"")</f>
        <v/>
      </c>
    </row>
    <row r="146" customFormat="false" ht="15" hidden="false" customHeight="false" outlineLevel="0" collapsed="false">
      <c r="A146" s="56" t="s">
        <v>309</v>
      </c>
      <c r="B146" s="56" t="s">
        <v>544</v>
      </c>
      <c r="C146" s="56" t="s">
        <v>75</v>
      </c>
      <c r="D146" s="56" t="str">
        <f aca="false">IFERROR(INDEX('Brand Map'!$B$4:$B$124,MATCH(C146,'Brand Map'!$A$4:$A$124,0)),"Other")</f>
        <v>AURP</v>
      </c>
      <c r="E146" s="57" t="n">
        <v>1309</v>
      </c>
      <c r="F146" s="57" t="n">
        <v>41</v>
      </c>
      <c r="G146" s="58" t="n">
        <v>109370.22</v>
      </c>
      <c r="H146" s="58" t="n">
        <v>2915.48</v>
      </c>
      <c r="I146" s="58" t="n">
        <v>102834.09</v>
      </c>
      <c r="J146" s="32" t="n">
        <f aca="false">IF(E146&gt;0,F146/E146,0)</f>
        <v>0.0313216195569137</v>
      </c>
      <c r="K146" s="32" t="n">
        <f aca="false">IF(G146&gt;0,H146/G146,0)</f>
        <v>0.026656982129139</v>
      </c>
      <c r="L146" s="59" t="n">
        <f aca="false">H146/Settings!$B$16</f>
        <v>0.00582666388418491</v>
      </c>
      <c r="M146" s="59" t="n">
        <f aca="false">H146/Settings!$B$20</f>
        <v>0.000226341541282316</v>
      </c>
      <c r="N146" s="60" t="n">
        <f aca="false">E146*Settings!$B$3</f>
        <v>40.5608717634849</v>
      </c>
      <c r="O146" s="60" t="n">
        <f aca="false">IF(E146&gt;0,(F146-N146)/SQRT(E146*Settings!$B$3*(1-Settings!$B$3)),0)</f>
        <v>0.070044289031285</v>
      </c>
      <c r="P146" s="60" t="n">
        <f aca="false">MAX(0,F146-N146)</f>
        <v>0.439128236515074</v>
      </c>
      <c r="Q146" s="32" t="n">
        <f aca="false">(F146+Settings!$B$7*Settings!$B$3)/(E146+Settings!$B$7)</f>
        <v>0.0313141034595927</v>
      </c>
      <c r="R146" s="61" t="n">
        <f aca="false">PERCENTRANK($H$2:$H$1780,H146,6)</f>
        <v>0.978065</v>
      </c>
      <c r="S146" s="61" t="n">
        <f aca="false">PERCENTRANK($Q$2:$Q$1780,Q146,6)</f>
        <v>0.750281</v>
      </c>
      <c r="T146" s="61" t="n">
        <f aca="false">PERCENTRANK($F$2:$F$1780,F146,6)</f>
        <v>0.974691</v>
      </c>
      <c r="U146" s="62" t="n">
        <f aca="false">IF(F146&gt;0,(Settings!$B$8*T146+Settings!$B$9*R146+Settings!$B$10*S146)/SUM(Settings!$B$8:$B$10),0)</f>
        <v>0.901012333333333</v>
      </c>
      <c r="V146" s="56" t="n">
        <f aca="false">IF(U146&gt;0,RANK(U146,$U$2:$U$1780)+COUNTIF($U$2:U146,U146)-1,"")</f>
        <v>145</v>
      </c>
      <c r="W146" s="56" t="str">
        <f aca="false">IF(V146="","",IF(V146&lt;=Settings!$B$11,"1 - Fix first",IF(V146&lt;=Settings!$B$12,"2 - Review","3 - Monitor")))</f>
        <v>3 - Monitor</v>
      </c>
      <c r="X146" s="56" t="str">
        <f aca="false">IF(AND(E146&gt;=Settings!$B$4,F146&gt;=Settings!$B$5,O146&gt;=Settings!$B$6),"HIGH RATE","")</f>
        <v/>
      </c>
      <c r="Y146" s="56" t="n">
        <f aca="false">IF(F146&gt;0,RANK(F146,$F$2:$F$1780)+COUNTIF($F$2:F146,F146)-1,"")</f>
        <v>46</v>
      </c>
      <c r="Z146" s="56" t="n">
        <f aca="false">IF(H146&gt;0,RANK(H146,$H$2:$H$1780)+COUNTIF($H$2:H146,H146)-1,"")</f>
        <v>40</v>
      </c>
      <c r="AA146" s="56" t="n">
        <f aca="false">IF(AC146="","",RANK(AC146,$AC$2:$AC$1780)+COUNTIF($AC$2:AC146,AC146)-1)</f>
        <v>251</v>
      </c>
      <c r="AB146" s="56" t="str">
        <f aca="false">IF(AD146="","",RANK(AD146,$AD$2:$AD$1780)+COUNTIF($AD$2:AD146,AD146)-1)</f>
        <v/>
      </c>
      <c r="AC146" s="32" t="n">
        <f aca="false">IF(AND(F146&gt;0,E146&gt;=Settings!$B$4),J146,"")</f>
        <v>0.0313216195569137</v>
      </c>
      <c r="AD146" s="56" t="str">
        <f aca="false">IF(X146="HIGH RATE",O146,"")</f>
        <v/>
      </c>
    </row>
    <row r="147" customFormat="false" ht="15" hidden="false" customHeight="false" outlineLevel="0" collapsed="false">
      <c r="A147" s="56" t="s">
        <v>1041</v>
      </c>
      <c r="B147" s="56" t="s">
        <v>1042</v>
      </c>
      <c r="C147" s="56" t="s">
        <v>55</v>
      </c>
      <c r="D147" s="56" t="str">
        <f aca="false">IFERROR(INDEX('Brand Map'!$B$4:$B$124,MATCH(C147,'Brand Map'!$A$4:$A$124,0)),"Other")</f>
        <v>AUMJ</v>
      </c>
      <c r="E147" s="57" t="n">
        <v>248</v>
      </c>
      <c r="F147" s="57" t="n">
        <v>11</v>
      </c>
      <c r="G147" s="58" t="n">
        <v>24807.3</v>
      </c>
      <c r="H147" s="58" t="n">
        <v>1049.71</v>
      </c>
      <c r="I147" s="58" t="n">
        <v>22644.76</v>
      </c>
      <c r="J147" s="32" t="n">
        <f aca="false">IF(E147&gt;0,F147/E147,0)</f>
        <v>0.0443548387096774</v>
      </c>
      <c r="K147" s="32" t="n">
        <f aca="false">IF(G147&gt;0,H147/G147,0)</f>
        <v>0.042314560633362</v>
      </c>
      <c r="L147" s="59" t="n">
        <f aca="false">H147/Settings!$B$16</f>
        <v>0.00209787319613503</v>
      </c>
      <c r="M147" s="59" t="n">
        <f aca="false">H147/Settings!$B$20</f>
        <v>8.14936063013501E-005</v>
      </c>
      <c r="N147" s="60" t="n">
        <f aca="false">E147*Settings!$B$3</f>
        <v>7.68456546779546</v>
      </c>
      <c r="O147" s="60" t="n">
        <f aca="false">IF(E147&gt;0,(F147-N147)/SQRT(E147*Settings!$B$3*(1-Settings!$B$3)),0)</f>
        <v>1.21497070697771</v>
      </c>
      <c r="P147" s="60" t="n">
        <f aca="false">MAX(0,F147-N147)</f>
        <v>3.31543453220454</v>
      </c>
      <c r="Q147" s="32" t="n">
        <f aca="false">(F147+Settings!$B$7*Settings!$B$3)/(E147+Settings!$B$7)</f>
        <v>0.042912174576959</v>
      </c>
      <c r="R147" s="61" t="n">
        <f aca="false">PERCENTRANK($H$2:$H$1780,H147,6)</f>
        <v>0.942632</v>
      </c>
      <c r="S147" s="61" t="n">
        <f aca="false">PERCENTRANK($Q$2:$Q$1780,Q147,6)</f>
        <v>0.833521</v>
      </c>
      <c r="T147" s="61" t="n">
        <f aca="false">PERCENTRANK($F$2:$F$1780,F147,6)</f>
        <v>0.925759</v>
      </c>
      <c r="U147" s="62" t="n">
        <f aca="false">IF(F147&gt;0,(Settings!$B$8*T147+Settings!$B$9*R147+Settings!$B$10*S147)/SUM(Settings!$B$8:$B$10),0)</f>
        <v>0.900637333333333</v>
      </c>
      <c r="V147" s="56" t="n">
        <f aca="false">IF(U147&gt;0,RANK(U147,$U$2:$U$1780)+COUNTIF($U$2:U147,U147)-1,"")</f>
        <v>146</v>
      </c>
      <c r="W147" s="56" t="str">
        <f aca="false">IF(V147="","",IF(V147&lt;=Settings!$B$11,"1 - Fix first",IF(V147&lt;=Settings!$B$12,"2 - Review","3 - Monitor")))</f>
        <v>3 - Monitor</v>
      </c>
      <c r="X147" s="56" t="str">
        <f aca="false">IF(AND(E147&gt;=Settings!$B$4,F147&gt;=Settings!$B$5,O147&gt;=Settings!$B$6),"HIGH RATE","")</f>
        <v/>
      </c>
      <c r="Y147" s="56" t="n">
        <f aca="false">IF(F147&gt;0,RANK(F147,$F$2:$F$1780)+COUNTIF($F$2:F147,F147)-1,"")</f>
        <v>130</v>
      </c>
      <c r="Z147" s="56" t="n">
        <f aca="false">IF(H147&gt;0,RANK(H147,$H$2:$H$1780)+COUNTIF($H$2:H147,H147)-1,"")</f>
        <v>103</v>
      </c>
      <c r="AA147" s="56" t="n">
        <f aca="false">IF(AC147="","",RANK(AC147,$AC$2:$AC$1780)+COUNTIF($AC$2:AC147,AC147)-1)</f>
        <v>163</v>
      </c>
      <c r="AB147" s="56" t="str">
        <f aca="false">IF(AD147="","",RANK(AD147,$AD$2:$AD$1780)+COUNTIF($AD$2:AD147,AD147)-1)</f>
        <v/>
      </c>
      <c r="AC147" s="32" t="n">
        <f aca="false">IF(AND(F147&gt;0,E147&gt;=Settings!$B$4),J147,"")</f>
        <v>0.0443548387096774</v>
      </c>
      <c r="AD147" s="56" t="str">
        <f aca="false">IF(X147="HIGH RATE",O147,"")</f>
        <v/>
      </c>
    </row>
    <row r="148" customFormat="false" ht="15" hidden="false" customHeight="false" outlineLevel="0" collapsed="false">
      <c r="A148" s="56" t="s">
        <v>1043</v>
      </c>
      <c r="B148" s="56" t="s">
        <v>1044</v>
      </c>
      <c r="C148" s="56" t="s">
        <v>114</v>
      </c>
      <c r="D148" s="56" t="str">
        <f aca="false">IFERROR(INDEX('Brand Map'!$B$4:$B$124,MATCH(C148,'Brand Map'!$A$4:$A$124,0)),"Other")</f>
        <v>SB</v>
      </c>
      <c r="E148" s="57" t="n">
        <v>306</v>
      </c>
      <c r="F148" s="57" t="n">
        <v>13</v>
      </c>
      <c r="G148" s="58" t="n">
        <v>27339.92</v>
      </c>
      <c r="H148" s="58" t="n">
        <v>1037.17</v>
      </c>
      <c r="I148" s="58" t="n">
        <v>23715</v>
      </c>
      <c r="J148" s="32" t="n">
        <f aca="false">IF(E148&gt;0,F148/E148,0)</f>
        <v>0.042483660130719</v>
      </c>
      <c r="K148" s="32" t="n">
        <f aca="false">IF(G148&gt;0,H148/G148,0)</f>
        <v>0.0379361022270731</v>
      </c>
      <c r="L148" s="59" t="n">
        <f aca="false">H148/Settings!$B$16</f>
        <v>0.00207281167449616</v>
      </c>
      <c r="M148" s="59" t="n">
        <f aca="false">H148/Settings!$B$20</f>
        <v>8.05200709220369E-005</v>
      </c>
      <c r="N148" s="60" t="n">
        <f aca="false">E148*Settings!$B$3</f>
        <v>9.48176223042505</v>
      </c>
      <c r="O148" s="60" t="n">
        <f aca="false">IF(E148&gt;0,(F148-N148)/SQRT(E148*Settings!$B$3*(1-Settings!$B$3)),0)</f>
        <v>1.16068845421219</v>
      </c>
      <c r="P148" s="60" t="n">
        <f aca="false">MAX(0,F148-N148)</f>
        <v>3.51823776957495</v>
      </c>
      <c r="Q148" s="32" t="n">
        <f aca="false">(F148+Settings!$B$7*Settings!$B$3)/(E148+Settings!$B$7)</f>
        <v>0.041457096822603</v>
      </c>
      <c r="R148" s="61" t="n">
        <f aca="false">PERCENTRANK($H$2:$H$1780,H148,6)</f>
        <v>0.94207</v>
      </c>
      <c r="S148" s="61" t="n">
        <f aca="false">PERCENTRANK($Q$2:$Q$1780,Q148,6)</f>
        <v>0.823397</v>
      </c>
      <c r="T148" s="61" t="n">
        <f aca="false">PERCENTRANK($F$2:$F$1780,F148,6)</f>
        <v>0.934758</v>
      </c>
      <c r="U148" s="62" t="n">
        <f aca="false">IF(F148&gt;0,(Settings!$B$8*T148+Settings!$B$9*R148+Settings!$B$10*S148)/SUM(Settings!$B$8:$B$10),0)</f>
        <v>0.900075</v>
      </c>
      <c r="V148" s="56" t="n">
        <f aca="false">IF(U148&gt;0,RANK(U148,$U$2:$U$1780)+COUNTIF($U$2:U148,U148)-1,"")</f>
        <v>147</v>
      </c>
      <c r="W148" s="56" t="str">
        <f aca="false">IF(V148="","",IF(V148&lt;=Settings!$B$11,"1 - Fix first",IF(V148&lt;=Settings!$B$12,"2 - Review","3 - Monitor")))</f>
        <v>3 - Monitor</v>
      </c>
      <c r="X148" s="56" t="str">
        <f aca="false">IF(AND(E148&gt;=Settings!$B$4,F148&gt;=Settings!$B$5,O148&gt;=Settings!$B$6),"HIGH RATE","")</f>
        <v/>
      </c>
      <c r="Y148" s="56" t="n">
        <f aca="false">IF(F148&gt;0,RANK(F148,$F$2:$F$1780)+COUNTIF($F$2:F148,F148)-1,"")</f>
        <v>113</v>
      </c>
      <c r="Z148" s="56" t="n">
        <f aca="false">IF(H148&gt;0,RANK(H148,$H$2:$H$1780)+COUNTIF($H$2:H148,H148)-1,"")</f>
        <v>104</v>
      </c>
      <c r="AA148" s="56" t="n">
        <f aca="false">IF(AC148="","",RANK(AC148,$AC$2:$AC$1780)+COUNTIF($AC$2:AC148,AC148)-1)</f>
        <v>174</v>
      </c>
      <c r="AB148" s="56" t="str">
        <f aca="false">IF(AD148="","",RANK(AD148,$AD$2:$AD$1780)+COUNTIF($AD$2:AD148,AD148)-1)</f>
        <v/>
      </c>
      <c r="AC148" s="32" t="n">
        <f aca="false">IF(AND(F148&gt;0,E148&gt;=Settings!$B$4),J148,"")</f>
        <v>0.042483660130719</v>
      </c>
      <c r="AD148" s="56" t="str">
        <f aca="false">IF(X148="HIGH RATE",O148,"")</f>
        <v/>
      </c>
    </row>
    <row r="149" customFormat="false" ht="15" hidden="false" customHeight="false" outlineLevel="0" collapsed="false">
      <c r="A149" s="56" t="s">
        <v>1045</v>
      </c>
      <c r="B149" s="56" t="s">
        <v>1046</v>
      </c>
      <c r="C149" s="56" t="s">
        <v>55</v>
      </c>
      <c r="D149" s="56" t="str">
        <f aca="false">IFERROR(INDEX('Brand Map'!$B$4:$B$124,MATCH(C149,'Brand Map'!$A$4:$A$124,0)),"Other")</f>
        <v>AUMJ</v>
      </c>
      <c r="E149" s="57" t="n">
        <v>307</v>
      </c>
      <c r="F149" s="57" t="n">
        <v>13</v>
      </c>
      <c r="G149" s="58" t="n">
        <v>26274.06</v>
      </c>
      <c r="H149" s="58" t="n">
        <v>1052.82</v>
      </c>
      <c r="I149" s="58" t="n">
        <v>24511.36</v>
      </c>
      <c r="J149" s="32" t="n">
        <f aca="false">IF(E149&gt;0,F149/E149,0)</f>
        <v>0.0423452768729642</v>
      </c>
      <c r="K149" s="32" t="n">
        <f aca="false">IF(G149&gt;0,H149/G149,0)</f>
        <v>0.0400707009118499</v>
      </c>
      <c r="L149" s="59" t="n">
        <f aca="false">H149/Settings!$B$16</f>
        <v>0.00210408861338358</v>
      </c>
      <c r="M149" s="59" t="n">
        <f aca="false">H149/Settings!$B$20</f>
        <v>8.17350492861718E-005</v>
      </c>
      <c r="N149" s="60" t="n">
        <f aca="false">E149*Settings!$B$3</f>
        <v>9.51274838150487</v>
      </c>
      <c r="O149" s="60" t="n">
        <f aca="false">IF(E149&gt;0,(F149-N149)/SQRT(E149*Settings!$B$3*(1-Settings!$B$3)),0)</f>
        <v>1.14859067951078</v>
      </c>
      <c r="P149" s="60" t="n">
        <f aca="false">MAX(0,F149-N149)</f>
        <v>3.48725161849513</v>
      </c>
      <c r="Q149" s="32" t="n">
        <f aca="false">(F149+Settings!$B$7*Settings!$B$3)/(E149+Settings!$B$7)</f>
        <v>0.0413340787311413</v>
      </c>
      <c r="R149" s="61" t="n">
        <f aca="false">PERCENTRANK($H$2:$H$1780,H149,6)</f>
        <v>0.943195</v>
      </c>
      <c r="S149" s="61" t="n">
        <f aca="false">PERCENTRANK($Q$2:$Q$1780,Q149,6)</f>
        <v>0.821147</v>
      </c>
      <c r="T149" s="61" t="n">
        <f aca="false">PERCENTRANK($F$2:$F$1780,F149,6)</f>
        <v>0.934758</v>
      </c>
      <c r="U149" s="62" t="n">
        <f aca="false">IF(F149&gt;0,(Settings!$B$8*T149+Settings!$B$9*R149+Settings!$B$10*S149)/SUM(Settings!$B$8:$B$10),0)</f>
        <v>0.8997</v>
      </c>
      <c r="V149" s="56" t="n">
        <f aca="false">IF(U149&gt;0,RANK(U149,$U$2:$U$1780)+COUNTIF($U$2:U149,U149)-1,"")</f>
        <v>148</v>
      </c>
      <c r="W149" s="56" t="str">
        <f aca="false">IF(V149="","",IF(V149&lt;=Settings!$B$11,"1 - Fix first",IF(V149&lt;=Settings!$B$12,"2 - Review","3 - Monitor")))</f>
        <v>3 - Monitor</v>
      </c>
      <c r="X149" s="56" t="str">
        <f aca="false">IF(AND(E149&gt;=Settings!$B$4,F149&gt;=Settings!$B$5,O149&gt;=Settings!$B$6),"HIGH RATE","")</f>
        <v/>
      </c>
      <c r="Y149" s="56" t="n">
        <f aca="false">IF(F149&gt;0,RANK(F149,$F$2:$F$1780)+COUNTIF($F$2:F149,F149)-1,"")</f>
        <v>114</v>
      </c>
      <c r="Z149" s="56" t="n">
        <f aca="false">IF(H149&gt;0,RANK(H149,$H$2:$H$1780)+COUNTIF($H$2:H149,H149)-1,"")</f>
        <v>102</v>
      </c>
      <c r="AA149" s="56" t="n">
        <f aca="false">IF(AC149="","",RANK(AC149,$AC$2:$AC$1780)+COUNTIF($AC$2:AC149,AC149)-1)</f>
        <v>175</v>
      </c>
      <c r="AB149" s="56" t="str">
        <f aca="false">IF(AD149="","",RANK(AD149,$AD$2:$AD$1780)+COUNTIF($AD$2:AD149,AD149)-1)</f>
        <v/>
      </c>
      <c r="AC149" s="32" t="n">
        <f aca="false">IF(AND(F149&gt;0,E149&gt;=Settings!$B$4),J149,"")</f>
        <v>0.0423452768729642</v>
      </c>
      <c r="AD149" s="56" t="str">
        <f aca="false">IF(X149="HIGH RATE",O149,"")</f>
        <v/>
      </c>
    </row>
    <row r="150" customFormat="false" ht="15" hidden="false" customHeight="false" outlineLevel="0" collapsed="false">
      <c r="A150" s="56" t="s">
        <v>1047</v>
      </c>
      <c r="B150" s="56" t="s">
        <v>1048</v>
      </c>
      <c r="C150" s="56" t="s">
        <v>51</v>
      </c>
      <c r="D150" s="56" t="str">
        <f aca="false">IFERROR(INDEX('Brand Map'!$B$4:$B$124,MATCH(C150,'Brand Map'!$A$4:$A$124,0)),"Other")</f>
        <v>AU</v>
      </c>
      <c r="E150" s="57" t="n">
        <v>31</v>
      </c>
      <c r="F150" s="57" t="n">
        <v>3</v>
      </c>
      <c r="G150" s="58" t="n">
        <v>4989.55</v>
      </c>
      <c r="H150" s="58" t="n">
        <v>412.26</v>
      </c>
      <c r="I150" s="58" t="n">
        <v>4374.44</v>
      </c>
      <c r="J150" s="32" t="n">
        <f aca="false">IF(E150&gt;0,F150/E150,0)</f>
        <v>0.0967741935483871</v>
      </c>
      <c r="K150" s="32" t="n">
        <f aca="false">IF(G150&gt;0,H150/G150,0)</f>
        <v>0.0826246855928891</v>
      </c>
      <c r="L150" s="59" t="n">
        <f aca="false">H150/Settings!$B$16</f>
        <v>0.000823912512826043</v>
      </c>
      <c r="M150" s="59" t="n">
        <f aca="false">H150/Settings!$B$20</f>
        <v>3.20055578529257E-005</v>
      </c>
      <c r="N150" s="60" t="n">
        <f aca="false">E150*Settings!$B$3</f>
        <v>0.960570683474433</v>
      </c>
      <c r="O150" s="60" t="n">
        <f aca="false">IF(E150&gt;0,(F150-N150)/SQRT(E150*Settings!$B$3*(1-Settings!$B$3)),0)</f>
        <v>2.11387353727724</v>
      </c>
      <c r="P150" s="60" t="n">
        <f aca="false">MAX(0,F150-N150)</f>
        <v>2.03942931652557</v>
      </c>
      <c r="Q150" s="32" t="n">
        <f aca="false">(F150+Settings!$B$7*Settings!$B$3)/(E150+Settings!$B$7)</f>
        <v>0.0644194185638461</v>
      </c>
      <c r="R150" s="61" t="n">
        <f aca="false">PERCENTRANK($H$2:$H$1780,H150,6)</f>
        <v>0.891451</v>
      </c>
      <c r="S150" s="61" t="n">
        <f aca="false">PERCENTRANK($Q$2:$Q$1780,Q150,6)</f>
        <v>0.965129</v>
      </c>
      <c r="T150" s="61" t="n">
        <f aca="false">PERCENTRANK($F$2:$F$1780,F150,6)</f>
        <v>0.84252</v>
      </c>
      <c r="U150" s="62" t="n">
        <f aca="false">IF(F150&gt;0,(Settings!$B$8*T150+Settings!$B$9*R150+Settings!$B$10*S150)/SUM(Settings!$B$8:$B$10),0)</f>
        <v>0.8997</v>
      </c>
      <c r="V150" s="56" t="n">
        <f aca="false">IF(U150&gt;0,RANK(U150,$U$2:$U$1780)+COUNTIF($U$2:U150,U150)-1,"")</f>
        <v>149</v>
      </c>
      <c r="W150" s="56" t="str">
        <f aca="false">IF(V150="","",IF(V150&lt;=Settings!$B$11,"1 - Fix first",IF(V150&lt;=Settings!$B$12,"2 - Review","3 - Monitor")))</f>
        <v>3 - Monitor</v>
      </c>
      <c r="X150" s="56" t="str">
        <f aca="false">IF(AND(E150&gt;=Settings!$B$4,F150&gt;=Settings!$B$5,O150&gt;=Settings!$B$6),"HIGH RATE","")</f>
        <v/>
      </c>
      <c r="Y150" s="56" t="n">
        <f aca="false">IF(F150&gt;0,RANK(F150,$F$2:$F$1780)+COUNTIF($F$2:F150,F150)-1,"")</f>
        <v>234</v>
      </c>
      <c r="Z150" s="56" t="n">
        <f aca="false">IF(H150&gt;0,RANK(H150,$H$2:$H$1780)+COUNTIF($H$2:H150,H150)-1,"")</f>
        <v>194</v>
      </c>
      <c r="AA150" s="56" t="n">
        <f aca="false">IF(AC150="","",RANK(AC150,$AC$2:$AC$1780)+COUNTIF($AC$2:AC150,AC150)-1)</f>
        <v>17</v>
      </c>
      <c r="AB150" s="56" t="str">
        <f aca="false">IF(AD150="","",RANK(AD150,$AD$2:$AD$1780)+COUNTIF($AD$2:AD150,AD150)-1)</f>
        <v/>
      </c>
      <c r="AC150" s="32" t="n">
        <f aca="false">IF(AND(F150&gt;0,E150&gt;=Settings!$B$4),J150,"")</f>
        <v>0.0967741935483871</v>
      </c>
      <c r="AD150" s="56" t="str">
        <f aca="false">IF(X150="HIGH RATE",O150,"")</f>
        <v/>
      </c>
    </row>
    <row r="151" customFormat="false" ht="15" hidden="false" customHeight="false" outlineLevel="0" collapsed="false">
      <c r="A151" s="56" t="s">
        <v>1049</v>
      </c>
      <c r="B151" s="56" t="s">
        <v>1050</v>
      </c>
      <c r="C151" s="56" t="s">
        <v>111</v>
      </c>
      <c r="D151" s="56" t="str">
        <f aca="false">IFERROR(INDEX('Brand Map'!$B$4:$B$124,MATCH(C151,'Brand Map'!$A$4:$A$124,0)),"Other")</f>
        <v>AUFS</v>
      </c>
      <c r="E151" s="57" t="n">
        <v>65</v>
      </c>
      <c r="F151" s="57" t="n">
        <v>4</v>
      </c>
      <c r="G151" s="58" t="n">
        <v>10764.17</v>
      </c>
      <c r="H151" s="58" t="n">
        <v>792.99</v>
      </c>
      <c r="I151" s="58" t="n">
        <v>9798.89</v>
      </c>
      <c r="J151" s="32" t="n">
        <f aca="false">IF(E151&gt;0,F151/E151,0)</f>
        <v>0.0615384615384615</v>
      </c>
      <c r="K151" s="32" t="n">
        <f aca="false">IF(G151&gt;0,H151/G151,0)</f>
        <v>0.0736694050725695</v>
      </c>
      <c r="L151" s="59" t="n">
        <f aca="false">H151/Settings!$B$16</f>
        <v>0.00158481148679456</v>
      </c>
      <c r="M151" s="59" t="n">
        <f aca="false">H151/Settings!$B$20</f>
        <v>6.15633030655206E-005</v>
      </c>
      <c r="N151" s="60" t="n">
        <f aca="false">E151*Settings!$B$3</f>
        <v>2.01409982018833</v>
      </c>
      <c r="O151" s="60" t="n">
        <f aca="false">IF(E151&gt;0,(F151-N151)/SQRT(E151*Settings!$B$3*(1-Settings!$B$3)),0)</f>
        <v>1.42151657453674</v>
      </c>
      <c r="P151" s="60" t="n">
        <f aca="false">MAX(0,F151-N151)</f>
        <v>1.98590017981167</v>
      </c>
      <c r="Q151" s="32" t="n">
        <f aca="false">(F151+Settings!$B$7*Settings!$B$3)/(E151+Settings!$B$7)</f>
        <v>0.0518903634988907</v>
      </c>
      <c r="R151" s="61" t="n">
        <f aca="false">PERCENTRANK($H$2:$H$1780,H151,6)</f>
        <v>0.931384</v>
      </c>
      <c r="S151" s="61" t="n">
        <f aca="false">PERCENTRANK($Q$2:$Q$1780,Q151,6)</f>
        <v>0.895388</v>
      </c>
      <c r="T151" s="61" t="n">
        <f aca="false">PERCENTRANK($F$2:$F$1780,F151,6)</f>
        <v>0.871766</v>
      </c>
      <c r="U151" s="62" t="n">
        <f aca="false">IF(F151&gt;0,(Settings!$B$8*T151+Settings!$B$9*R151+Settings!$B$10*S151)/SUM(Settings!$B$8:$B$10),0)</f>
        <v>0.899512666666667</v>
      </c>
      <c r="V151" s="56" t="n">
        <f aca="false">IF(U151&gt;0,RANK(U151,$U$2:$U$1780)+COUNTIF($U$2:U151,U151)-1,"")</f>
        <v>150</v>
      </c>
      <c r="W151" s="56" t="str">
        <f aca="false">IF(V151="","",IF(V151&lt;=Settings!$B$11,"1 - Fix first",IF(V151&lt;=Settings!$B$12,"2 - Review","3 - Monitor")))</f>
        <v>3 - Monitor</v>
      </c>
      <c r="X151" s="56" t="str">
        <f aca="false">IF(AND(E151&gt;=Settings!$B$4,F151&gt;=Settings!$B$5,O151&gt;=Settings!$B$6),"HIGH RATE","")</f>
        <v/>
      </c>
      <c r="Y151" s="56" t="n">
        <f aca="false">IF(F151&gt;0,RANK(F151,$F$2:$F$1780)+COUNTIF($F$2:F151,F151)-1,"")</f>
        <v>206</v>
      </c>
      <c r="Z151" s="56" t="n">
        <f aca="false">IF(H151&gt;0,RANK(H151,$H$2:$H$1780)+COUNTIF($H$2:H151,H151)-1,"")</f>
        <v>123</v>
      </c>
      <c r="AA151" s="56" t="n">
        <f aca="false">IF(AC151="","",RANK(AC151,$AC$2:$AC$1780)+COUNTIF($AC$2:AC151,AC151)-1)</f>
        <v>66</v>
      </c>
      <c r="AB151" s="56" t="str">
        <f aca="false">IF(AD151="","",RANK(AD151,$AD$2:$AD$1780)+COUNTIF($AD$2:AD151,AD151)-1)</f>
        <v/>
      </c>
      <c r="AC151" s="32" t="n">
        <f aca="false">IF(AND(F151&gt;0,E151&gt;=Settings!$B$4),J151,"")</f>
        <v>0.0615384615384615</v>
      </c>
      <c r="AD151" s="56" t="str">
        <f aca="false">IF(X151="HIGH RATE",O151,"")</f>
        <v/>
      </c>
    </row>
    <row r="152" customFormat="false" ht="15" hidden="false" customHeight="false" outlineLevel="0" collapsed="false">
      <c r="A152" s="56" t="s">
        <v>1051</v>
      </c>
      <c r="B152" s="56" t="s">
        <v>1052</v>
      </c>
      <c r="C152" s="56" t="s">
        <v>151</v>
      </c>
      <c r="D152" s="56" t="str">
        <f aca="false">IFERROR(INDEX('Brand Map'!$B$4:$B$124,MATCH(C152,'Brand Map'!$A$4:$A$124,0)),"Other")</f>
        <v>WBAU</v>
      </c>
      <c r="E152" s="57" t="n">
        <v>56</v>
      </c>
      <c r="F152" s="57" t="n">
        <v>4</v>
      </c>
      <c r="G152" s="58" t="n">
        <v>6077.51</v>
      </c>
      <c r="H152" s="58" t="n">
        <v>406.02</v>
      </c>
      <c r="I152" s="58" t="n">
        <v>5463.02</v>
      </c>
      <c r="J152" s="32" t="n">
        <f aca="false">IF(E152&gt;0,F152/E152,0)</f>
        <v>0.0714285714285714</v>
      </c>
      <c r="K152" s="32" t="n">
        <f aca="false">IF(G152&gt;0,H152/G152,0)</f>
        <v>0.0668069653525868</v>
      </c>
      <c r="L152" s="59" t="n">
        <f aca="false">H152/Settings!$B$16</f>
        <v>0.000811441707800005</v>
      </c>
      <c r="M152" s="59" t="n">
        <f aca="false">H152/Settings!$B$20</f>
        <v>3.1521119195277E-005</v>
      </c>
      <c r="N152" s="60" t="n">
        <f aca="false">E152*Settings!$B$3</f>
        <v>1.73522446046994</v>
      </c>
      <c r="O152" s="60" t="n">
        <f aca="false">IF(E152&gt;0,(F152-N152)/SQRT(E152*Settings!$B$3*(1-Settings!$B$3)),0)</f>
        <v>1.74655530955396</v>
      </c>
      <c r="P152" s="60" t="n">
        <f aca="false">MAX(0,F152-N152)</f>
        <v>2.26477553953006</v>
      </c>
      <c r="Q152" s="32" t="n">
        <f aca="false">(F152+Settings!$B$7*Settings!$B$3)/(E152+Settings!$B$7)</f>
        <v>0.0573207503766815</v>
      </c>
      <c r="R152" s="61" t="n">
        <f aca="false">PERCENTRANK($H$2:$H$1780,H152,6)</f>
        <v>0.890326</v>
      </c>
      <c r="S152" s="61" t="n">
        <f aca="false">PERCENTRANK($Q$2:$Q$1780,Q152,6)</f>
        <v>0.935321</v>
      </c>
      <c r="T152" s="61" t="n">
        <f aca="false">PERCENTRANK($F$2:$F$1780,F152,6)</f>
        <v>0.871766</v>
      </c>
      <c r="U152" s="62" t="n">
        <f aca="false">IF(F152&gt;0,(Settings!$B$8*T152+Settings!$B$9*R152+Settings!$B$10*S152)/SUM(Settings!$B$8:$B$10),0)</f>
        <v>0.899137666666667</v>
      </c>
      <c r="V152" s="56" t="n">
        <f aca="false">IF(U152&gt;0,RANK(U152,$U$2:$U$1780)+COUNTIF($U$2:U152,U152)-1,"")</f>
        <v>151</v>
      </c>
      <c r="W152" s="56" t="str">
        <f aca="false">IF(V152="","",IF(V152&lt;=Settings!$B$11,"1 - Fix first",IF(V152&lt;=Settings!$B$12,"2 - Review","3 - Monitor")))</f>
        <v>3 - Monitor</v>
      </c>
      <c r="X152" s="56" t="str">
        <f aca="false">IF(AND(E152&gt;=Settings!$B$4,F152&gt;=Settings!$B$5,O152&gt;=Settings!$B$6),"HIGH RATE","")</f>
        <v/>
      </c>
      <c r="Y152" s="56" t="n">
        <f aca="false">IF(F152&gt;0,RANK(F152,$F$2:$F$1780)+COUNTIF($F$2:F152,F152)-1,"")</f>
        <v>207</v>
      </c>
      <c r="Z152" s="56" t="n">
        <f aca="false">IF(H152&gt;0,RANK(H152,$H$2:$H$1780)+COUNTIF($H$2:H152,H152)-1,"")</f>
        <v>196</v>
      </c>
      <c r="AA152" s="56" t="n">
        <f aca="false">IF(AC152="","",RANK(AC152,$AC$2:$AC$1780)+COUNTIF($AC$2:AC152,AC152)-1)</f>
        <v>42</v>
      </c>
      <c r="AB152" s="56" t="str">
        <f aca="false">IF(AD152="","",RANK(AD152,$AD$2:$AD$1780)+COUNTIF($AD$2:AD152,AD152)-1)</f>
        <v/>
      </c>
      <c r="AC152" s="32" t="n">
        <f aca="false">IF(AND(F152&gt;0,E152&gt;=Settings!$B$4),J152,"")</f>
        <v>0.0714285714285714</v>
      </c>
      <c r="AD152" s="56" t="str">
        <f aca="false">IF(X152="HIGH RATE",O152,"")</f>
        <v/>
      </c>
    </row>
    <row r="153" customFormat="false" ht="15" hidden="false" customHeight="false" outlineLevel="0" collapsed="false">
      <c r="A153" s="56" t="s">
        <v>1053</v>
      </c>
      <c r="B153" s="56" t="s">
        <v>1054</v>
      </c>
      <c r="C153" s="56" t="s">
        <v>51</v>
      </c>
      <c r="D153" s="56" t="str">
        <f aca="false">IFERROR(INDEX('Brand Map'!$B$4:$B$124,MATCH(C153,'Brand Map'!$A$4:$A$124,0)),"Other")</f>
        <v>AU</v>
      </c>
      <c r="E153" s="57" t="n">
        <v>217</v>
      </c>
      <c r="F153" s="57" t="n">
        <v>10</v>
      </c>
      <c r="G153" s="58" t="n">
        <v>17665.24</v>
      </c>
      <c r="H153" s="58" t="n">
        <v>714.58</v>
      </c>
      <c r="I153" s="58" t="n">
        <v>16447.38</v>
      </c>
      <c r="J153" s="32" t="n">
        <f aca="false">IF(E153&gt;0,F153/E153,0)</f>
        <v>0.0460829493087558</v>
      </c>
      <c r="K153" s="32" t="n">
        <f aca="false">IF(G153&gt;0,H153/G153,0)</f>
        <v>0.040451191152795</v>
      </c>
      <c r="L153" s="59" t="n">
        <f aca="false">H153/Settings!$B$16</f>
        <v>0.00142810702812602</v>
      </c>
      <c r="M153" s="59" t="n">
        <f aca="false">H153/Settings!$B$20</f>
        <v>5.54759897408034E-005</v>
      </c>
      <c r="N153" s="60" t="n">
        <f aca="false">E153*Settings!$B$3</f>
        <v>6.72399478432103</v>
      </c>
      <c r="O153" s="60" t="n">
        <f aca="false">IF(E153&gt;0,(F153-N153)/SQRT(E153*Settings!$B$3*(1-Settings!$B$3)),0)</f>
        <v>1.28341144723653</v>
      </c>
      <c r="P153" s="60" t="n">
        <f aca="false">MAX(0,F153-N153)</f>
        <v>3.27600521567897</v>
      </c>
      <c r="Q153" s="32" t="n">
        <f aca="false">(F153+Settings!$B$7*Settings!$B$3)/(E153+Settings!$B$7)</f>
        <v>0.0442493300906664</v>
      </c>
      <c r="R153" s="61" t="n">
        <f aca="false">PERCENTRANK($H$2:$H$1780,H153,6)</f>
        <v>0.924072</v>
      </c>
      <c r="S153" s="61" t="n">
        <f aca="false">PERCENTRANK($Q$2:$Q$1780,Q153,6)</f>
        <v>0.841957</v>
      </c>
      <c r="T153" s="61" t="n">
        <f aca="false">PERCENTRANK($F$2:$F$1780,F153,6)</f>
        <v>0.922947</v>
      </c>
      <c r="U153" s="62" t="n">
        <f aca="false">IF(F153&gt;0,(Settings!$B$8*T153+Settings!$B$9*R153+Settings!$B$10*S153)/SUM(Settings!$B$8:$B$10),0)</f>
        <v>0.896325333333333</v>
      </c>
      <c r="V153" s="56" t="n">
        <f aca="false">IF(U153&gt;0,RANK(U153,$U$2:$U$1780)+COUNTIF($U$2:U153,U153)-1,"")</f>
        <v>152</v>
      </c>
      <c r="W153" s="56" t="str">
        <f aca="false">IF(V153="","",IF(V153&lt;=Settings!$B$11,"1 - Fix first",IF(V153&lt;=Settings!$B$12,"2 - Review","3 - Monitor")))</f>
        <v>3 - Monitor</v>
      </c>
      <c r="X153" s="56" t="str">
        <f aca="false">IF(AND(E153&gt;=Settings!$B$4,F153&gt;=Settings!$B$5,O153&gt;=Settings!$B$6),"HIGH RATE","")</f>
        <v/>
      </c>
      <c r="Y153" s="56" t="n">
        <f aca="false">IF(F153&gt;0,RANK(F153,$F$2:$F$1780)+COUNTIF($F$2:F153,F153)-1,"")</f>
        <v>134</v>
      </c>
      <c r="Z153" s="56" t="n">
        <f aca="false">IF(H153&gt;0,RANK(H153,$H$2:$H$1780)+COUNTIF($H$2:H153,H153)-1,"")</f>
        <v>136</v>
      </c>
      <c r="AA153" s="56" t="n">
        <f aca="false">IF(AC153="","",RANK(AC153,$AC$2:$AC$1780)+COUNTIF($AC$2:AC153,AC153)-1)</f>
        <v>153</v>
      </c>
      <c r="AB153" s="56" t="str">
        <f aca="false">IF(AD153="","",RANK(AD153,$AD$2:$AD$1780)+COUNTIF($AD$2:AD153,AD153)-1)</f>
        <v/>
      </c>
      <c r="AC153" s="32" t="n">
        <f aca="false">IF(AND(F153&gt;0,E153&gt;=Settings!$B$4),J153,"")</f>
        <v>0.0460829493087558</v>
      </c>
      <c r="AD153" s="56" t="str">
        <f aca="false">IF(X153="HIGH RATE",O153,"")</f>
        <v/>
      </c>
    </row>
    <row r="154" customFormat="false" ht="15" hidden="false" customHeight="false" outlineLevel="0" collapsed="false">
      <c r="A154" s="56" t="s">
        <v>1055</v>
      </c>
      <c r="B154" s="56" t="s">
        <v>1056</v>
      </c>
      <c r="C154" s="56" t="s">
        <v>51</v>
      </c>
      <c r="D154" s="56" t="str">
        <f aca="false">IFERROR(INDEX('Brand Map'!$B$4:$B$124,MATCH(C154,'Brand Map'!$A$4:$A$124,0)),"Other")</f>
        <v>AU</v>
      </c>
      <c r="E154" s="57" t="n">
        <v>32</v>
      </c>
      <c r="F154" s="57" t="n">
        <v>3</v>
      </c>
      <c r="G154" s="58" t="n">
        <v>4314.36</v>
      </c>
      <c r="H154" s="58" t="n">
        <v>374.87</v>
      </c>
      <c r="I154" s="58" t="n">
        <v>3781.45</v>
      </c>
      <c r="J154" s="32" t="n">
        <f aca="false">IF(E154&gt;0,F154/E154,0)</f>
        <v>0.09375</v>
      </c>
      <c r="K154" s="32" t="n">
        <f aca="false">IF(G154&gt;0,H154/G154,0)</f>
        <v>0.086888901250707</v>
      </c>
      <c r="L154" s="59" t="n">
        <f aca="false">H154/Settings!$B$16</f>
        <v>0.000749187608992138</v>
      </c>
      <c r="M154" s="59" t="n">
        <f aca="false">H154/Settings!$B$20</f>
        <v>2.91028076270466E-005</v>
      </c>
      <c r="N154" s="60" t="n">
        <f aca="false">E154*Settings!$B$3</f>
        <v>0.991556834554253</v>
      </c>
      <c r="O154" s="60" t="n">
        <f aca="false">IF(E154&gt;0,(F154-N154)/SQRT(E154*Settings!$B$3*(1-Settings!$B$3)),0)</f>
        <v>2.04897070195635</v>
      </c>
      <c r="P154" s="60" t="n">
        <f aca="false">MAX(0,F154-N154)</f>
        <v>2.00844316544575</v>
      </c>
      <c r="Q154" s="32" t="n">
        <f aca="false">(F154+Settings!$B$7*Settings!$B$3)/(E154+Settings!$B$7)</f>
        <v>0.0633803956837841</v>
      </c>
      <c r="R154" s="61" t="n">
        <f aca="false">PERCENTRANK($H$2:$H$1780,H154,6)</f>
        <v>0.884702</v>
      </c>
      <c r="S154" s="61" t="n">
        <f aca="false">PERCENTRANK($Q$2:$Q$1780,Q154,6)</f>
        <v>0.96063</v>
      </c>
      <c r="T154" s="61" t="n">
        <f aca="false">PERCENTRANK($F$2:$F$1780,F154,6)</f>
        <v>0.84252</v>
      </c>
      <c r="U154" s="62" t="n">
        <f aca="false">IF(F154&gt;0,(Settings!$B$8*T154+Settings!$B$9*R154+Settings!$B$10*S154)/SUM(Settings!$B$8:$B$10),0)</f>
        <v>0.895950666666667</v>
      </c>
      <c r="V154" s="56" t="n">
        <f aca="false">IF(U154&gt;0,RANK(U154,$U$2:$U$1780)+COUNTIF($U$2:U154,U154)-1,"")</f>
        <v>153</v>
      </c>
      <c r="W154" s="56" t="str">
        <f aca="false">IF(V154="","",IF(V154&lt;=Settings!$B$11,"1 - Fix first",IF(V154&lt;=Settings!$B$12,"2 - Review","3 - Monitor")))</f>
        <v>3 - Monitor</v>
      </c>
      <c r="X154" s="56" t="str">
        <f aca="false">IF(AND(E154&gt;=Settings!$B$4,F154&gt;=Settings!$B$5,O154&gt;=Settings!$B$6),"HIGH RATE","")</f>
        <v/>
      </c>
      <c r="Y154" s="56" t="n">
        <f aca="false">IF(F154&gt;0,RANK(F154,$F$2:$F$1780)+COUNTIF($F$2:F154,F154)-1,"")</f>
        <v>235</v>
      </c>
      <c r="Z154" s="56" t="n">
        <f aca="false">IF(H154&gt;0,RANK(H154,$H$2:$H$1780)+COUNTIF($H$2:H154,H154)-1,"")</f>
        <v>206</v>
      </c>
      <c r="AA154" s="56" t="n">
        <f aca="false">IF(AC154="","",RANK(AC154,$AC$2:$AC$1780)+COUNTIF($AC$2:AC154,AC154)-1)</f>
        <v>20</v>
      </c>
      <c r="AB154" s="56" t="str">
        <f aca="false">IF(AD154="","",RANK(AD154,$AD$2:$AD$1780)+COUNTIF($AD$2:AD154,AD154)-1)</f>
        <v/>
      </c>
      <c r="AC154" s="32" t="n">
        <f aca="false">IF(AND(F154&gt;0,E154&gt;=Settings!$B$4),J154,"")</f>
        <v>0.09375</v>
      </c>
      <c r="AD154" s="56" t="str">
        <f aca="false">IF(X154="HIGH RATE",O154,"")</f>
        <v/>
      </c>
    </row>
    <row r="155" customFormat="false" ht="15" hidden="false" customHeight="false" outlineLevel="0" collapsed="false">
      <c r="A155" s="56" t="s">
        <v>1057</v>
      </c>
      <c r="B155" s="56" t="s">
        <v>1058</v>
      </c>
      <c r="C155" s="56" t="s">
        <v>51</v>
      </c>
      <c r="D155" s="56" t="str">
        <f aca="false">IFERROR(INDEX('Brand Map'!$B$4:$B$124,MATCH(C155,'Brand Map'!$A$4:$A$124,0)),"Other")</f>
        <v>AU</v>
      </c>
      <c r="E155" s="57" t="n">
        <v>31</v>
      </c>
      <c r="F155" s="57" t="n">
        <v>3</v>
      </c>
      <c r="G155" s="58" t="n">
        <v>3539.53</v>
      </c>
      <c r="H155" s="58" t="n">
        <v>349.87</v>
      </c>
      <c r="I155" s="58" t="n">
        <v>3093.6</v>
      </c>
      <c r="J155" s="32" t="n">
        <f aca="false">IF(E155&gt;0,F155/E155,0)</f>
        <v>0.0967741935483871</v>
      </c>
      <c r="K155" s="32" t="n">
        <f aca="false">IF(G155&gt;0,H155/G155,0)</f>
        <v>0.0988464570154795</v>
      </c>
      <c r="L155" s="59" t="n">
        <f aca="false">H155/Settings!$B$16</f>
        <v>0.000699224447830126</v>
      </c>
      <c r="M155" s="59" t="n">
        <f aca="false">H155/Settings!$B$20</f>
        <v>2.71619476204412E-005</v>
      </c>
      <c r="N155" s="60" t="n">
        <f aca="false">E155*Settings!$B$3</f>
        <v>0.960570683474433</v>
      </c>
      <c r="O155" s="60" t="n">
        <f aca="false">IF(E155&gt;0,(F155-N155)/SQRT(E155*Settings!$B$3*(1-Settings!$B$3)),0)</f>
        <v>2.11387353727724</v>
      </c>
      <c r="P155" s="60" t="n">
        <f aca="false">MAX(0,F155-N155)</f>
        <v>2.03942931652557</v>
      </c>
      <c r="Q155" s="32" t="n">
        <f aca="false">(F155+Settings!$B$7*Settings!$B$3)/(E155+Settings!$B$7)</f>
        <v>0.0644194185638461</v>
      </c>
      <c r="R155" s="61" t="n">
        <f aca="false">PERCENTRANK($H$2:$H$1780,H155,6)</f>
        <v>0.879078</v>
      </c>
      <c r="S155" s="61" t="n">
        <f aca="false">PERCENTRANK($Q$2:$Q$1780,Q155,6)</f>
        <v>0.965129</v>
      </c>
      <c r="T155" s="61" t="n">
        <f aca="false">PERCENTRANK($F$2:$F$1780,F155,6)</f>
        <v>0.84252</v>
      </c>
      <c r="U155" s="62" t="n">
        <f aca="false">IF(F155&gt;0,(Settings!$B$8*T155+Settings!$B$9*R155+Settings!$B$10*S155)/SUM(Settings!$B$8:$B$10),0)</f>
        <v>0.895575666666667</v>
      </c>
      <c r="V155" s="56" t="n">
        <f aca="false">IF(U155&gt;0,RANK(U155,$U$2:$U$1780)+COUNTIF($U$2:U155,U155)-1,"")</f>
        <v>154</v>
      </c>
      <c r="W155" s="56" t="str">
        <f aca="false">IF(V155="","",IF(V155&lt;=Settings!$B$11,"1 - Fix first",IF(V155&lt;=Settings!$B$12,"2 - Review","3 - Monitor")))</f>
        <v>3 - Monitor</v>
      </c>
      <c r="X155" s="56" t="str">
        <f aca="false">IF(AND(E155&gt;=Settings!$B$4,F155&gt;=Settings!$B$5,O155&gt;=Settings!$B$6),"HIGH RATE","")</f>
        <v/>
      </c>
      <c r="Y155" s="56" t="n">
        <f aca="false">IF(F155&gt;0,RANK(F155,$F$2:$F$1780)+COUNTIF($F$2:F155,F155)-1,"")</f>
        <v>236</v>
      </c>
      <c r="Z155" s="56" t="n">
        <f aca="false">IF(H155&gt;0,RANK(H155,$H$2:$H$1780)+COUNTIF($H$2:H155,H155)-1,"")</f>
        <v>216</v>
      </c>
      <c r="AA155" s="56" t="n">
        <f aca="false">IF(AC155="","",RANK(AC155,$AC$2:$AC$1780)+COUNTIF($AC$2:AC155,AC155)-1)</f>
        <v>18</v>
      </c>
      <c r="AB155" s="56" t="str">
        <f aca="false">IF(AD155="","",RANK(AD155,$AD$2:$AD$1780)+COUNTIF($AD$2:AD155,AD155)-1)</f>
        <v/>
      </c>
      <c r="AC155" s="32" t="n">
        <f aca="false">IF(AND(F155&gt;0,E155&gt;=Settings!$B$4),J155,"")</f>
        <v>0.0967741935483871</v>
      </c>
      <c r="AD155" s="56" t="str">
        <f aca="false">IF(X155="HIGH RATE",O155,"")</f>
        <v/>
      </c>
    </row>
    <row r="156" customFormat="false" ht="15" hidden="false" customHeight="false" outlineLevel="0" collapsed="false">
      <c r="A156" s="56" t="s">
        <v>1059</v>
      </c>
      <c r="B156" s="56" t="s">
        <v>1060</v>
      </c>
      <c r="C156" s="56" t="s">
        <v>75</v>
      </c>
      <c r="D156" s="56" t="str">
        <f aca="false">IFERROR(INDEX('Brand Map'!$B$4:$B$124,MATCH(C156,'Brand Map'!$A$4:$A$124,0)),"Other")</f>
        <v>AURP</v>
      </c>
      <c r="E156" s="57" t="n">
        <v>224</v>
      </c>
      <c r="F156" s="57" t="n">
        <v>13</v>
      </c>
      <c r="G156" s="58" t="n">
        <v>3930.46</v>
      </c>
      <c r="H156" s="58" t="n">
        <v>214.24</v>
      </c>
      <c r="I156" s="58" t="n">
        <v>3567.96</v>
      </c>
      <c r="J156" s="32" t="n">
        <f aca="false">IF(E156&gt;0,F156/E156,0)</f>
        <v>0.0580357142857143</v>
      </c>
      <c r="K156" s="32" t="n">
        <f aca="false">IF(G156&gt;0,H156/G156,0)</f>
        <v>0.0545076148847718</v>
      </c>
      <c r="L156" s="59" t="n">
        <f aca="false">H156/Settings!$B$16</f>
        <v>0.000428164305893978</v>
      </c>
      <c r="M156" s="59" t="n">
        <f aca="false">H156/Settings!$B$20</f>
        <v>1.66323939126056E-005</v>
      </c>
      <c r="N156" s="60" t="n">
        <f aca="false">E156*Settings!$B$3</f>
        <v>6.94089784187977</v>
      </c>
      <c r="O156" s="60" t="n">
        <f aca="false">IF(E156&gt;0,(F156-N156)/SQRT(E156*Settings!$B$3*(1-Settings!$B$3)),0)</f>
        <v>2.3363368379523</v>
      </c>
      <c r="P156" s="60" t="n">
        <f aca="false">MAX(0,F156-N156)</f>
        <v>6.05910215812023</v>
      </c>
      <c r="Q156" s="32" t="n">
        <f aca="false">(F156+Settings!$B$7*Settings!$B$3)/(E156+Settings!$B$7)</f>
        <v>0.0548408839858056</v>
      </c>
      <c r="R156" s="61" t="n">
        <f aca="false">PERCENTRANK($H$2:$H$1780,H156,6)</f>
        <v>0.830709</v>
      </c>
      <c r="S156" s="61" t="n">
        <f aca="false">PERCENTRANK($Q$2:$Q$1780,Q156,6)</f>
        <v>0.920135</v>
      </c>
      <c r="T156" s="61" t="n">
        <f aca="false">PERCENTRANK($F$2:$F$1780,F156,6)</f>
        <v>0.934758</v>
      </c>
      <c r="U156" s="62" t="n">
        <f aca="false">IF(F156&gt;0,(Settings!$B$8*T156+Settings!$B$9*R156+Settings!$B$10*S156)/SUM(Settings!$B$8:$B$10),0)</f>
        <v>0.895200666666667</v>
      </c>
      <c r="V156" s="56" t="n">
        <f aca="false">IF(U156&gt;0,RANK(U156,$U$2:$U$1780)+COUNTIF($U$2:U156,U156)-1,"")</f>
        <v>155</v>
      </c>
      <c r="W156" s="56" t="str">
        <f aca="false">IF(V156="","",IF(V156&lt;=Settings!$B$11,"1 - Fix first",IF(V156&lt;=Settings!$B$12,"2 - Review","3 - Monitor")))</f>
        <v>3 - Monitor</v>
      </c>
      <c r="X156" s="56" t="str">
        <f aca="false">IF(AND(E156&gt;=Settings!$B$4,F156&gt;=Settings!$B$5,O156&gt;=Settings!$B$6),"HIGH RATE","")</f>
        <v/>
      </c>
      <c r="Y156" s="56" t="n">
        <f aca="false">IF(F156&gt;0,RANK(F156,$F$2:$F$1780)+COUNTIF($F$2:F156,F156)-1,"")</f>
        <v>115</v>
      </c>
      <c r="Z156" s="56" t="n">
        <f aca="false">IF(H156&gt;0,RANK(H156,$H$2:$H$1780)+COUNTIF($H$2:H156,H156)-1,"")</f>
        <v>302</v>
      </c>
      <c r="AA156" s="56" t="n">
        <f aca="false">IF(AC156="","",RANK(AC156,$AC$2:$AC$1780)+COUNTIF($AC$2:AC156,AC156)-1)</f>
        <v>81</v>
      </c>
      <c r="AB156" s="56" t="str">
        <f aca="false">IF(AD156="","",RANK(AD156,$AD$2:$AD$1780)+COUNTIF($AD$2:AD156,AD156)-1)</f>
        <v/>
      </c>
      <c r="AC156" s="32" t="n">
        <f aca="false">IF(AND(F156&gt;0,E156&gt;=Settings!$B$4),J156,"")</f>
        <v>0.0580357142857143</v>
      </c>
      <c r="AD156" s="56" t="str">
        <f aca="false">IF(X156="HIGH RATE",O156,"")</f>
        <v/>
      </c>
    </row>
    <row r="157" customFormat="false" ht="15" hidden="false" customHeight="false" outlineLevel="0" collapsed="false">
      <c r="A157" s="56" t="s">
        <v>1061</v>
      </c>
      <c r="B157" s="56" t="s">
        <v>1062</v>
      </c>
      <c r="C157" s="56" t="s">
        <v>51</v>
      </c>
      <c r="D157" s="56" t="str">
        <f aca="false">IFERROR(INDEX('Brand Map'!$B$4:$B$124,MATCH(C157,'Brand Map'!$A$4:$A$124,0)),"Other")</f>
        <v>AU</v>
      </c>
      <c r="E157" s="57" t="n">
        <v>13</v>
      </c>
      <c r="F157" s="57" t="n">
        <v>2</v>
      </c>
      <c r="G157" s="58" t="n">
        <v>4495.74</v>
      </c>
      <c r="H157" s="58" t="n">
        <v>589.01</v>
      </c>
      <c r="I157" s="58" t="n">
        <v>3664.82</v>
      </c>
      <c r="J157" s="32" t="n">
        <f aca="false">IF(E157&gt;0,F157/E157,0)</f>
        <v>0.153846153846154</v>
      </c>
      <c r="K157" s="32" t="n">
        <f aca="false">IF(G157&gt;0,H157/G157,0)</f>
        <v>0.131015138775819</v>
      </c>
      <c r="L157" s="59" t="n">
        <f aca="false">H157/Settings!$B$16</f>
        <v>0.00117715206224147</v>
      </c>
      <c r="M157" s="59" t="n">
        <f aca="false">H157/Settings!$B$20</f>
        <v>4.57274380996258E-005</v>
      </c>
      <c r="N157" s="60" t="n">
        <f aca="false">E157*Settings!$B$3</f>
        <v>0.402819964037665</v>
      </c>
      <c r="O157" s="60" t="n">
        <f aca="false">IF(E157&gt;0,(F157-N157)/SQRT(E157*Settings!$B$3*(1-Settings!$B$3)),0)</f>
        <v>2.55642695394266</v>
      </c>
      <c r="P157" s="60" t="n">
        <f aca="false">MAX(0,F157-N157)</f>
        <v>1.59718003596233</v>
      </c>
      <c r="Q157" s="32" t="n">
        <f aca="false">(F157+Settings!$B$7*Settings!$B$3)/(E157+Settings!$B$7)</f>
        <v>0.0681298728463863</v>
      </c>
      <c r="R157" s="61" t="n">
        <f aca="false">PERCENTRANK($H$2:$H$1780,H157,6)</f>
        <v>0.912261</v>
      </c>
      <c r="S157" s="61" t="n">
        <f aca="false">PERCENTRANK($Q$2:$Q$1780,Q157,6)</f>
        <v>0.970754</v>
      </c>
      <c r="T157" s="61" t="n">
        <f aca="false">PERCENTRANK($F$2:$F$1780,F157,6)</f>
        <v>0.799775</v>
      </c>
      <c r="U157" s="62" t="n">
        <f aca="false">IF(F157&gt;0,(Settings!$B$8*T157+Settings!$B$9*R157+Settings!$B$10*S157)/SUM(Settings!$B$8:$B$10),0)</f>
        <v>0.894263333333333</v>
      </c>
      <c r="V157" s="56" t="n">
        <f aca="false">IF(U157&gt;0,RANK(U157,$U$2:$U$1780)+COUNTIF($U$2:U157,U157)-1,"")</f>
        <v>156</v>
      </c>
      <c r="W157" s="56" t="str">
        <f aca="false">IF(V157="","",IF(V157&lt;=Settings!$B$11,"1 - Fix first",IF(V157&lt;=Settings!$B$12,"2 - Review","3 - Monitor")))</f>
        <v>3 - Monitor</v>
      </c>
      <c r="X157" s="56" t="str">
        <f aca="false">IF(AND(E157&gt;=Settings!$B$4,F157&gt;=Settings!$B$5,O157&gt;=Settings!$B$6),"HIGH RATE","")</f>
        <v/>
      </c>
      <c r="Y157" s="56" t="n">
        <f aca="false">IF(F157&gt;0,RANK(F157,$F$2:$F$1780)+COUNTIF($F$2:F157,F157)-1,"")</f>
        <v>283</v>
      </c>
      <c r="Z157" s="56" t="n">
        <f aca="false">IF(H157&gt;0,RANK(H157,$H$2:$H$1780)+COUNTIF($H$2:H157,H157)-1,"")</f>
        <v>157</v>
      </c>
      <c r="AA157" s="56" t="str">
        <f aca="false">IF(AC157="","",RANK(AC157,$AC$2:$AC$1780)+COUNTIF($AC$2:AC157,AC157)-1)</f>
        <v/>
      </c>
      <c r="AB157" s="56" t="str">
        <f aca="false">IF(AD157="","",RANK(AD157,$AD$2:$AD$1780)+COUNTIF($AD$2:AD157,AD157)-1)</f>
        <v/>
      </c>
      <c r="AC157" s="56" t="str">
        <f aca="false">IF(AND(F157&gt;0,E157&gt;=Settings!$B$4),J157,"")</f>
        <v/>
      </c>
      <c r="AD157" s="56" t="str">
        <f aca="false">IF(X157="HIGH RATE",O157,"")</f>
        <v/>
      </c>
    </row>
    <row r="158" customFormat="false" ht="15" hidden="false" customHeight="false" outlineLevel="0" collapsed="false">
      <c r="A158" s="56" t="s">
        <v>1063</v>
      </c>
      <c r="B158" s="56" t="s">
        <v>1064</v>
      </c>
      <c r="C158" s="56" t="s">
        <v>75</v>
      </c>
      <c r="D158" s="56" t="str">
        <f aca="false">IFERROR(INDEX('Brand Map'!$B$4:$B$124,MATCH(C158,'Brand Map'!$A$4:$A$124,0)),"Other")</f>
        <v>AURP</v>
      </c>
      <c r="E158" s="57" t="n">
        <v>500</v>
      </c>
      <c r="F158" s="57" t="n">
        <v>29</v>
      </c>
      <c r="G158" s="58" t="n">
        <v>2335.64</v>
      </c>
      <c r="H158" s="58" t="n">
        <v>127.79</v>
      </c>
      <c r="I158" s="58" t="n">
        <v>2155.04</v>
      </c>
      <c r="J158" s="32" t="n">
        <f aca="false">IF(E158&gt;0,F158/E158,0)</f>
        <v>0.058</v>
      </c>
      <c r="K158" s="32" t="n">
        <f aca="false">IF(G158&gt;0,H158/G158,0)</f>
        <v>0.054713055094107</v>
      </c>
      <c r="L158" s="59" t="n">
        <f aca="false">H158/Settings!$B$16</f>
        <v>0.000255391694595741</v>
      </c>
      <c r="M158" s="59" t="n">
        <f aca="false">H158/Settings!$B$20</f>
        <v>9.92090000976416E-006</v>
      </c>
      <c r="N158" s="60" t="n">
        <f aca="false">E158*Settings!$B$3</f>
        <v>15.4930755399102</v>
      </c>
      <c r="O158" s="60" t="n">
        <f aca="false">IF(E158&gt;0,(F158-N158)/SQRT(E158*Settings!$B$3*(1-Settings!$B$3)),0)</f>
        <v>3.48596209014384</v>
      </c>
      <c r="P158" s="60" t="n">
        <f aca="false">MAX(0,F158-N158)</f>
        <v>13.5069244600898</v>
      </c>
      <c r="Q158" s="32" t="n">
        <f aca="false">(F158+Settings!$B$7*Settings!$B$3)/(E158+Settings!$B$7)</f>
        <v>0.0564709142120653</v>
      </c>
      <c r="R158" s="61" t="n">
        <f aca="false">PERCENTRANK($H$2:$H$1780,H158,6)</f>
        <v>0.789651</v>
      </c>
      <c r="S158" s="61" t="n">
        <f aca="false">PERCENTRANK($Q$2:$Q$1780,Q158,6)</f>
        <v>0.929696</v>
      </c>
      <c r="T158" s="61" t="n">
        <f aca="false">PERCENTRANK($F$2:$F$1780,F158,6)</f>
        <v>0.962317</v>
      </c>
      <c r="U158" s="62" t="n">
        <f aca="false">IF(F158&gt;0,(Settings!$B$8*T158+Settings!$B$9*R158+Settings!$B$10*S158)/SUM(Settings!$B$8:$B$10),0)</f>
        <v>0.893888</v>
      </c>
      <c r="V158" s="56" t="n">
        <f aca="false">IF(U158&gt;0,RANK(U158,$U$2:$U$1780)+COUNTIF($U$2:U158,U158)-1,"")</f>
        <v>157</v>
      </c>
      <c r="W158" s="56" t="str">
        <f aca="false">IF(V158="","",IF(V158&lt;=Settings!$B$11,"1 - Fix first",IF(V158&lt;=Settings!$B$12,"2 - Review","3 - Monitor")))</f>
        <v>3 - Monitor</v>
      </c>
      <c r="X158" s="56" t="str">
        <f aca="false">IF(AND(E158&gt;=Settings!$B$4,F158&gt;=Settings!$B$5,O158&gt;=Settings!$B$6),"HIGH RATE","")</f>
        <v>HIGH RATE</v>
      </c>
      <c r="Y158" s="56" t="n">
        <f aca="false">IF(F158&gt;0,RANK(F158,$F$2:$F$1780)+COUNTIF($F$2:F158,F158)-1,"")</f>
        <v>68</v>
      </c>
      <c r="Z158" s="56" t="n">
        <f aca="false">IF(H158&gt;0,RANK(H158,$H$2:$H$1780)+COUNTIF($H$2:H158,H158)-1,"")</f>
        <v>375</v>
      </c>
      <c r="AA158" s="56" t="n">
        <f aca="false">IF(AC158="","",RANK(AC158,$AC$2:$AC$1780)+COUNTIF($AC$2:AC158,AC158)-1)</f>
        <v>82</v>
      </c>
      <c r="AB158" s="56" t="n">
        <f aca="false">IF(AD158="","",RANK(AD158,$AD$2:$AD$1780)+COUNTIF($AD$2:AD158,AD158)-1)</f>
        <v>52</v>
      </c>
      <c r="AC158" s="32" t="n">
        <f aca="false">IF(AND(F158&gt;0,E158&gt;=Settings!$B$4),J158,"")</f>
        <v>0.058</v>
      </c>
      <c r="AD158" s="60" t="n">
        <f aca="false">IF(X158="HIGH RATE",O158,"")</f>
        <v>3.48596209014384</v>
      </c>
    </row>
    <row r="159" customFormat="false" ht="15" hidden="false" customHeight="false" outlineLevel="0" collapsed="false">
      <c r="A159" s="56" t="s">
        <v>318</v>
      </c>
      <c r="B159" s="56" t="s">
        <v>1065</v>
      </c>
      <c r="C159" s="56" t="s">
        <v>75</v>
      </c>
      <c r="D159" s="56" t="str">
        <f aca="false">IFERROR(INDEX('Brand Map'!$B$4:$B$124,MATCH(C159,'Brand Map'!$A$4:$A$124,0)),"Other")</f>
        <v>AURP</v>
      </c>
      <c r="E159" s="57" t="n">
        <v>1440</v>
      </c>
      <c r="F159" s="57" t="n">
        <v>51</v>
      </c>
      <c r="G159" s="58" t="n">
        <v>22799.15</v>
      </c>
      <c r="H159" s="58" t="n">
        <v>710.97</v>
      </c>
      <c r="I159" s="58" t="n">
        <v>21656.95</v>
      </c>
      <c r="J159" s="32" t="n">
        <f aca="false">IF(E159&gt;0,F159/E159,0)</f>
        <v>0.0354166666666667</v>
      </c>
      <c r="K159" s="32" t="n">
        <f aca="false">IF(G159&gt;0,H159/G159,0)</f>
        <v>0.0311840573003818</v>
      </c>
      <c r="L159" s="59" t="n">
        <f aca="false">H159/Settings!$B$16</f>
        <v>0.00142089234765423</v>
      </c>
      <c r="M159" s="59" t="n">
        <f aca="false">H159/Settings!$B$20</f>
        <v>5.51957295558496E-005</v>
      </c>
      <c r="N159" s="60" t="n">
        <f aca="false">E159*Settings!$B$3</f>
        <v>44.6200575549414</v>
      </c>
      <c r="O159" s="60" t="n">
        <f aca="false">IF(E159&gt;0,(F159-N159)/SQRT(E159*Settings!$B$3*(1-Settings!$B$3)),0)</f>
        <v>0.970256823852606</v>
      </c>
      <c r="P159" s="60" t="n">
        <f aca="false">MAX(0,F159-N159)</f>
        <v>6.3799424450586</v>
      </c>
      <c r="Q159" s="32" t="n">
        <f aca="false">(F159+Settings!$B$7*Settings!$B$3)/(E159+Settings!$B$7)</f>
        <v>0.0353262479812208</v>
      </c>
      <c r="R159" s="61" t="n">
        <f aca="false">PERCENTRANK($H$2:$H$1780,H159,6)</f>
        <v>0.922947</v>
      </c>
      <c r="S159" s="61" t="n">
        <f aca="false">PERCENTRANK($Q$2:$Q$1780,Q159,6)</f>
        <v>0.777278</v>
      </c>
      <c r="T159" s="61" t="n">
        <f aca="false">PERCENTRANK($F$2:$F$1780,F159,6)</f>
        <v>0.979753</v>
      </c>
      <c r="U159" s="62" t="n">
        <f aca="false">IF(F159&gt;0,(Settings!$B$8*T159+Settings!$B$9*R159+Settings!$B$10*S159)/SUM(Settings!$B$8:$B$10),0)</f>
        <v>0.893326</v>
      </c>
      <c r="V159" s="56" t="n">
        <f aca="false">IF(U159&gt;0,RANK(U159,$U$2:$U$1780)+COUNTIF($U$2:U159,U159)-1,"")</f>
        <v>158</v>
      </c>
      <c r="W159" s="56" t="str">
        <f aca="false">IF(V159="","",IF(V159&lt;=Settings!$B$11,"1 - Fix first",IF(V159&lt;=Settings!$B$12,"2 - Review","3 - Monitor")))</f>
        <v>3 - Monitor</v>
      </c>
      <c r="X159" s="56" t="str">
        <f aca="false">IF(AND(E159&gt;=Settings!$B$4,F159&gt;=Settings!$B$5,O159&gt;=Settings!$B$6),"HIGH RATE","")</f>
        <v/>
      </c>
      <c r="Y159" s="56" t="n">
        <f aca="false">IF(F159&gt;0,RANK(F159,$F$2:$F$1780)+COUNTIF($F$2:F159,F159)-1,"")</f>
        <v>37</v>
      </c>
      <c r="Z159" s="56" t="n">
        <f aca="false">IF(H159&gt;0,RANK(H159,$H$2:$H$1780)+COUNTIF($H$2:H159,H159)-1,"")</f>
        <v>138</v>
      </c>
      <c r="AA159" s="56" t="n">
        <f aca="false">IF(AC159="","",RANK(AC159,$AC$2:$AC$1780)+COUNTIF($AC$2:AC159,AC159)-1)</f>
        <v>228</v>
      </c>
      <c r="AB159" s="56" t="str">
        <f aca="false">IF(AD159="","",RANK(AD159,$AD$2:$AD$1780)+COUNTIF($AD$2:AD159,AD159)-1)</f>
        <v/>
      </c>
      <c r="AC159" s="32" t="n">
        <f aca="false">IF(AND(F159&gt;0,E159&gt;=Settings!$B$4),J159,"")</f>
        <v>0.0354166666666667</v>
      </c>
      <c r="AD159" s="56" t="str">
        <f aca="false">IF(X159="HIGH RATE",O159,"")</f>
        <v/>
      </c>
    </row>
    <row r="160" customFormat="false" ht="15" hidden="false" customHeight="false" outlineLevel="0" collapsed="false">
      <c r="A160" s="56" t="s">
        <v>1066</v>
      </c>
      <c r="B160" s="56" t="s">
        <v>1067</v>
      </c>
      <c r="C160" s="56" t="s">
        <v>99</v>
      </c>
      <c r="D160" s="56" t="str">
        <f aca="false">IFERROR(INDEX('Brand Map'!$B$4:$B$124,MATCH(C160,'Brand Map'!$A$4:$A$124,0)),"Other")</f>
        <v>AUCH</v>
      </c>
      <c r="E160" s="57" t="n">
        <v>106</v>
      </c>
      <c r="F160" s="57" t="n">
        <v>6</v>
      </c>
      <c r="G160" s="58" t="n">
        <v>7610.45</v>
      </c>
      <c r="H160" s="58" t="n">
        <v>395.11</v>
      </c>
      <c r="I160" s="58" t="n">
        <v>6801.73</v>
      </c>
      <c r="J160" s="32" t="n">
        <f aca="false">IF(E160&gt;0,F160/E160,0)</f>
        <v>0.0566037735849057</v>
      </c>
      <c r="K160" s="32" t="n">
        <f aca="false">IF(G160&gt;0,H160/G160,0)</f>
        <v>0.0519167723327793</v>
      </c>
      <c r="L160" s="59" t="n">
        <f aca="false">H160/Settings!$B$16</f>
        <v>0.000789637784268903</v>
      </c>
      <c r="M160" s="59" t="n">
        <f aca="false">H160/Settings!$B$20</f>
        <v>3.06741278883944E-005</v>
      </c>
      <c r="N160" s="60" t="n">
        <f aca="false">E160*Settings!$B$3</f>
        <v>3.28453201446096</v>
      </c>
      <c r="O160" s="60" t="n">
        <f aca="false">IF(E160&gt;0,(F160-N160)/SQRT(E160*Settings!$B$3*(1-Settings!$B$3)),0)</f>
        <v>1.52209915673461</v>
      </c>
      <c r="P160" s="60" t="n">
        <f aca="false">MAX(0,F160-N160)</f>
        <v>2.71546798553904</v>
      </c>
      <c r="Q160" s="32" t="n">
        <f aca="false">(F160+Settings!$B$7*Settings!$B$3)/(E160+Settings!$B$7)</f>
        <v>0.050952827444078</v>
      </c>
      <c r="R160" s="61" t="n">
        <f aca="false">PERCENTRANK($H$2:$H$1780,H160,6)</f>
        <v>0.888639</v>
      </c>
      <c r="S160" s="61" t="n">
        <f aca="false">PERCENTRANK($Q$2:$Q$1780,Q160,6)</f>
        <v>0.889201</v>
      </c>
      <c r="T160" s="61" t="n">
        <f aca="false">PERCENTRANK($F$2:$F$1780,F160,6)</f>
        <v>0.898763</v>
      </c>
      <c r="U160" s="62" t="n">
        <f aca="false">IF(F160&gt;0,(Settings!$B$8*T160+Settings!$B$9*R160+Settings!$B$10*S160)/SUM(Settings!$B$8:$B$10),0)</f>
        <v>0.892201</v>
      </c>
      <c r="V160" s="56" t="n">
        <f aca="false">IF(U160&gt;0,RANK(U160,$U$2:$U$1780)+COUNTIF($U$2:U160,U160)-1,"")</f>
        <v>159</v>
      </c>
      <c r="W160" s="56" t="str">
        <f aca="false">IF(V160="","",IF(V160&lt;=Settings!$B$11,"1 - Fix first",IF(V160&lt;=Settings!$B$12,"2 - Review","3 - Monitor")))</f>
        <v>3 - Monitor</v>
      </c>
      <c r="X160" s="56" t="str">
        <f aca="false">IF(AND(E160&gt;=Settings!$B$4,F160&gt;=Settings!$B$5,O160&gt;=Settings!$B$6),"HIGH RATE","")</f>
        <v/>
      </c>
      <c r="Y160" s="56" t="n">
        <f aca="false">IF(F160&gt;0,RANK(F160,$F$2:$F$1780)+COUNTIF($F$2:F160,F160)-1,"")</f>
        <v>170</v>
      </c>
      <c r="Z160" s="56" t="n">
        <f aca="false">IF(H160&gt;0,RANK(H160,$H$2:$H$1780)+COUNTIF($H$2:H160,H160)-1,"")</f>
        <v>199</v>
      </c>
      <c r="AA160" s="56" t="n">
        <f aca="false">IF(AC160="","",RANK(AC160,$AC$2:$AC$1780)+COUNTIF($AC$2:AC160,AC160)-1)</f>
        <v>86</v>
      </c>
      <c r="AB160" s="56" t="str">
        <f aca="false">IF(AD160="","",RANK(AD160,$AD$2:$AD$1780)+COUNTIF($AD$2:AD160,AD160)-1)</f>
        <v/>
      </c>
      <c r="AC160" s="32" t="n">
        <f aca="false">IF(AND(F160&gt;0,E160&gt;=Settings!$B$4),J160,"")</f>
        <v>0.0566037735849057</v>
      </c>
      <c r="AD160" s="56" t="str">
        <f aca="false">IF(X160="HIGH RATE",O160,"")</f>
        <v/>
      </c>
    </row>
    <row r="161" customFormat="false" ht="15" hidden="false" customHeight="false" outlineLevel="0" collapsed="false">
      <c r="A161" s="56" t="s">
        <v>1068</v>
      </c>
      <c r="B161" s="56" t="s">
        <v>1069</v>
      </c>
      <c r="C161" s="56" t="s">
        <v>99</v>
      </c>
      <c r="D161" s="56" t="str">
        <f aca="false">IFERROR(INDEX('Brand Map'!$B$4:$B$124,MATCH(C161,'Brand Map'!$A$4:$A$124,0)),"Other")</f>
        <v>AUCH</v>
      </c>
      <c r="E161" s="57" t="n">
        <v>430</v>
      </c>
      <c r="F161" s="57" t="n">
        <v>16</v>
      </c>
      <c r="G161" s="58" t="n">
        <v>30674.17</v>
      </c>
      <c r="H161" s="58" t="n">
        <v>1083.65</v>
      </c>
      <c r="I161" s="58" t="n">
        <v>28825.07</v>
      </c>
      <c r="J161" s="32" t="n">
        <f aca="false">IF(E161&gt;0,F161/E161,0)</f>
        <v>0.0372093023255814</v>
      </c>
      <c r="K161" s="32" t="n">
        <f aca="false">IF(G161&gt;0,H161/G161,0)</f>
        <v>0.0353277692599343</v>
      </c>
      <c r="L161" s="59" t="n">
        <f aca="false">H161/Settings!$B$16</f>
        <v>0.00216570318372857</v>
      </c>
      <c r="M161" s="59" t="n">
        <f aca="false">H161/Settings!$B$20</f>
        <v>8.41285178463176E-005</v>
      </c>
      <c r="N161" s="60" t="n">
        <f aca="false">E161*Settings!$B$3</f>
        <v>13.3240449643228</v>
      </c>
      <c r="O161" s="60" t="n">
        <f aca="false">IF(E161&gt;0,(F161-N161)/SQRT(E161*Settings!$B$3*(1-Settings!$B$3)),0)</f>
        <v>0.744724728683542</v>
      </c>
      <c r="P161" s="60" t="n">
        <f aca="false">MAX(0,F161-N161)</f>
        <v>2.67595503567722</v>
      </c>
      <c r="Q161" s="32" t="n">
        <f aca="false">(F161+Settings!$B$7*Settings!$B$3)/(E161+Settings!$B$7)</f>
        <v>0.0368034446356405</v>
      </c>
      <c r="R161" s="61" t="n">
        <f aca="false">PERCENTRANK($H$2:$H$1780,H161,6)</f>
        <v>0.944319</v>
      </c>
      <c r="S161" s="61" t="n">
        <f aca="false">PERCENTRANK($Q$2:$Q$1780,Q161,6)</f>
        <v>0.787964</v>
      </c>
      <c r="T161" s="61" t="n">
        <f aca="false">PERCENTRANK($F$2:$F$1780,F161,6)</f>
        <v>0.943757</v>
      </c>
      <c r="U161" s="62" t="n">
        <f aca="false">IF(F161&gt;0,(Settings!$B$8*T161+Settings!$B$9*R161+Settings!$B$10*S161)/SUM(Settings!$B$8:$B$10),0)</f>
        <v>0.892013333333333</v>
      </c>
      <c r="V161" s="56" t="n">
        <f aca="false">IF(U161&gt;0,RANK(U161,$U$2:$U$1780)+COUNTIF($U$2:U161,U161)-1,"")</f>
        <v>160</v>
      </c>
      <c r="W161" s="56" t="str">
        <f aca="false">IF(V161="","",IF(V161&lt;=Settings!$B$11,"1 - Fix first",IF(V161&lt;=Settings!$B$12,"2 - Review","3 - Monitor")))</f>
        <v>3 - Monitor</v>
      </c>
      <c r="X161" s="56" t="str">
        <f aca="false">IF(AND(E161&gt;=Settings!$B$4,F161&gt;=Settings!$B$5,O161&gt;=Settings!$B$6),"HIGH RATE","")</f>
        <v/>
      </c>
      <c r="Y161" s="56" t="n">
        <f aca="false">IF(F161&gt;0,RANK(F161,$F$2:$F$1780)+COUNTIF($F$2:F161,F161)-1,"")</f>
        <v>101</v>
      </c>
      <c r="Z161" s="56" t="n">
        <f aca="false">IF(H161&gt;0,RANK(H161,$H$2:$H$1780)+COUNTIF($H$2:H161,H161)-1,"")</f>
        <v>100</v>
      </c>
      <c r="AA161" s="56" t="n">
        <f aca="false">IF(AC161="","",RANK(AC161,$AC$2:$AC$1780)+COUNTIF($AC$2:AC161,AC161)-1)</f>
        <v>214</v>
      </c>
      <c r="AB161" s="56" t="str">
        <f aca="false">IF(AD161="","",RANK(AD161,$AD$2:$AD$1780)+COUNTIF($AD$2:AD161,AD161)-1)</f>
        <v/>
      </c>
      <c r="AC161" s="32" t="n">
        <f aca="false">IF(AND(F161&gt;0,E161&gt;=Settings!$B$4),J161,"")</f>
        <v>0.0372093023255814</v>
      </c>
      <c r="AD161" s="56" t="str">
        <f aca="false">IF(X161="HIGH RATE",O161,"")</f>
        <v/>
      </c>
    </row>
    <row r="162" customFormat="false" ht="15" hidden="false" customHeight="false" outlineLevel="0" collapsed="false">
      <c r="A162" s="56" t="s">
        <v>1070</v>
      </c>
      <c r="B162" s="56" t="s">
        <v>1071</v>
      </c>
      <c r="C162" s="56" t="s">
        <v>51</v>
      </c>
      <c r="D162" s="56" t="str">
        <f aca="false">IFERROR(INDEX('Brand Map'!$B$4:$B$124,MATCH(C162,'Brand Map'!$A$4:$A$124,0)),"Other")</f>
        <v>AU</v>
      </c>
      <c r="E162" s="57" t="n">
        <v>153</v>
      </c>
      <c r="F162" s="57" t="n">
        <v>7</v>
      </c>
      <c r="G162" s="58" t="n">
        <v>16284.34</v>
      </c>
      <c r="H162" s="58" t="n">
        <v>751.94</v>
      </c>
      <c r="I162" s="58" t="n">
        <v>15221.37</v>
      </c>
      <c r="J162" s="32" t="n">
        <f aca="false">IF(E162&gt;0,F162/E162,0)</f>
        <v>0.0457516339869281</v>
      </c>
      <c r="K162" s="32" t="n">
        <f aca="false">IF(G162&gt;0,H162/G162,0)</f>
        <v>0.0461756509628269</v>
      </c>
      <c r="L162" s="59" t="n">
        <f aca="false">H162/Settings!$B$16</f>
        <v>0.00150277197616653</v>
      </c>
      <c r="M162" s="59" t="n">
        <f aca="false">H162/Settings!$B$20</f>
        <v>5.83764109346745E-005</v>
      </c>
      <c r="N162" s="60" t="n">
        <f aca="false">E162*Settings!$B$3</f>
        <v>4.74088111521252</v>
      </c>
      <c r="O162" s="60" t="n">
        <f aca="false">IF(E162&gt;0,(F162-N162)/SQRT(E162*Settings!$B$3*(1-Settings!$B$3)),0)</f>
        <v>1.05400958818584</v>
      </c>
      <c r="P162" s="60" t="n">
        <f aca="false">MAX(0,F162-N162)</f>
        <v>2.25911888478748</v>
      </c>
      <c r="Q162" s="32" t="n">
        <f aca="false">(F162+Settings!$B$7*Settings!$B$3)/(E162+Settings!$B$7)</f>
        <v>0.0433310630185498</v>
      </c>
      <c r="R162" s="61" t="n">
        <f aca="false">PERCENTRANK($H$2:$H$1780,H162,6)</f>
        <v>0.929134</v>
      </c>
      <c r="S162" s="61" t="n">
        <f aca="false">PERCENTRANK($Q$2:$Q$1780,Q162,6)</f>
        <v>0.836333</v>
      </c>
      <c r="T162" s="61" t="n">
        <f aca="false">PERCENTRANK($F$2:$F$1780,F162,6)</f>
        <v>0.908324</v>
      </c>
      <c r="U162" s="62" t="n">
        <f aca="false">IF(F162&gt;0,(Settings!$B$8*T162+Settings!$B$9*R162+Settings!$B$10*S162)/SUM(Settings!$B$8:$B$10),0)</f>
        <v>0.891263666666667</v>
      </c>
      <c r="V162" s="56" t="n">
        <f aca="false">IF(U162&gt;0,RANK(U162,$U$2:$U$1780)+COUNTIF($U$2:U162,U162)-1,"")</f>
        <v>161</v>
      </c>
      <c r="W162" s="56" t="str">
        <f aca="false">IF(V162="","",IF(V162&lt;=Settings!$B$11,"1 - Fix first",IF(V162&lt;=Settings!$B$12,"2 - Review","3 - Monitor")))</f>
        <v>3 - Monitor</v>
      </c>
      <c r="X162" s="56" t="str">
        <f aca="false">IF(AND(E162&gt;=Settings!$B$4,F162&gt;=Settings!$B$5,O162&gt;=Settings!$B$6),"HIGH RATE","")</f>
        <v/>
      </c>
      <c r="Y162" s="56" t="n">
        <f aca="false">IF(F162&gt;0,RANK(F162,$F$2:$F$1780)+COUNTIF($F$2:F162,F162)-1,"")</f>
        <v>159</v>
      </c>
      <c r="Z162" s="56" t="n">
        <f aca="false">IF(H162&gt;0,RANK(H162,$H$2:$H$1780)+COUNTIF($H$2:H162,H162)-1,"")</f>
        <v>127</v>
      </c>
      <c r="AA162" s="56" t="n">
        <f aca="false">IF(AC162="","",RANK(AC162,$AC$2:$AC$1780)+COUNTIF($AC$2:AC162,AC162)-1)</f>
        <v>156</v>
      </c>
      <c r="AB162" s="56" t="str">
        <f aca="false">IF(AD162="","",RANK(AD162,$AD$2:$AD$1780)+COUNTIF($AD$2:AD162,AD162)-1)</f>
        <v/>
      </c>
      <c r="AC162" s="32" t="n">
        <f aca="false">IF(AND(F162&gt;0,E162&gt;=Settings!$B$4),J162,"")</f>
        <v>0.0457516339869281</v>
      </c>
      <c r="AD162" s="56" t="str">
        <f aca="false">IF(X162="HIGH RATE",O162,"")</f>
        <v/>
      </c>
    </row>
    <row r="163" customFormat="false" ht="15" hidden="false" customHeight="false" outlineLevel="0" collapsed="false">
      <c r="A163" s="56" t="s">
        <v>1072</v>
      </c>
      <c r="B163" s="56" t="s">
        <v>1073</v>
      </c>
      <c r="C163" s="56" t="s">
        <v>51</v>
      </c>
      <c r="D163" s="56" t="str">
        <f aca="false">IFERROR(INDEX('Brand Map'!$B$4:$B$124,MATCH(C163,'Brand Map'!$A$4:$A$124,0)),"Other")</f>
        <v>AU</v>
      </c>
      <c r="E163" s="57" t="n">
        <v>58</v>
      </c>
      <c r="F163" s="57" t="n">
        <v>4</v>
      </c>
      <c r="G163" s="58" t="n">
        <v>4650.91</v>
      </c>
      <c r="H163" s="58" t="n">
        <v>330.5</v>
      </c>
      <c r="I163" s="58" t="n">
        <v>4179.7</v>
      </c>
      <c r="J163" s="32" t="n">
        <f aca="false">IF(E163&gt;0,F163/E163,0)</f>
        <v>0.0689655172413793</v>
      </c>
      <c r="K163" s="32" t="n">
        <f aca="false">IF(G163&gt;0,H163/G163,0)</f>
        <v>0.0710613621850348</v>
      </c>
      <c r="L163" s="59" t="n">
        <f aca="false">H163/Settings!$B$16</f>
        <v>0.000660512990561799</v>
      </c>
      <c r="M163" s="59" t="n">
        <f aca="false">H163/Settings!$B$20</f>
        <v>2.56581692873234E-005</v>
      </c>
      <c r="N163" s="60" t="n">
        <f aca="false">E163*Settings!$B$3</f>
        <v>1.79719676262958</v>
      </c>
      <c r="O163" s="60" t="n">
        <f aca="false">IF(E163&gt;0,(F163-N163)/SQRT(E163*Settings!$B$3*(1-Settings!$B$3)),0)</f>
        <v>1.6692173889932</v>
      </c>
      <c r="P163" s="60" t="n">
        <f aca="false">MAX(0,F163-N163)</f>
        <v>2.20280323737042</v>
      </c>
      <c r="Q163" s="32" t="n">
        <f aca="false">(F163+Settings!$B$7*Settings!$B$3)/(E163+Settings!$B$7)</f>
        <v>0.0560180060499388</v>
      </c>
      <c r="R163" s="61" t="n">
        <f aca="false">PERCENTRANK($H$2:$H$1780,H163,6)</f>
        <v>0.873453</v>
      </c>
      <c r="S163" s="61" t="n">
        <f aca="false">PERCENTRANK($Q$2:$Q$1780,Q163,6)</f>
        <v>0.927447</v>
      </c>
      <c r="T163" s="61" t="n">
        <f aca="false">PERCENTRANK($F$2:$F$1780,F163,6)</f>
        <v>0.871766</v>
      </c>
      <c r="U163" s="62" t="n">
        <f aca="false">IF(F163&gt;0,(Settings!$B$8*T163+Settings!$B$9*R163+Settings!$B$10*S163)/SUM(Settings!$B$8:$B$10),0)</f>
        <v>0.890888666666667</v>
      </c>
      <c r="V163" s="56" t="n">
        <f aca="false">IF(U163&gt;0,RANK(U163,$U$2:$U$1780)+COUNTIF($U$2:U163,U163)-1,"")</f>
        <v>162</v>
      </c>
      <c r="W163" s="56" t="str">
        <f aca="false">IF(V163="","",IF(V163&lt;=Settings!$B$11,"1 - Fix first",IF(V163&lt;=Settings!$B$12,"2 - Review","3 - Monitor")))</f>
        <v>3 - Monitor</v>
      </c>
      <c r="X163" s="56" t="str">
        <f aca="false">IF(AND(E163&gt;=Settings!$B$4,F163&gt;=Settings!$B$5,O163&gt;=Settings!$B$6),"HIGH RATE","")</f>
        <v/>
      </c>
      <c r="Y163" s="56" t="n">
        <f aca="false">IF(F163&gt;0,RANK(F163,$F$2:$F$1780)+COUNTIF($F$2:F163,F163)-1,"")</f>
        <v>208</v>
      </c>
      <c r="Z163" s="56" t="n">
        <f aca="false">IF(H163&gt;0,RANK(H163,$H$2:$H$1780)+COUNTIF($H$2:H163,H163)-1,"")</f>
        <v>226</v>
      </c>
      <c r="AA163" s="56" t="n">
        <f aca="false">IF(AC163="","",RANK(AC163,$AC$2:$AC$1780)+COUNTIF($AC$2:AC163,AC163)-1)</f>
        <v>44</v>
      </c>
      <c r="AB163" s="56" t="str">
        <f aca="false">IF(AD163="","",RANK(AD163,$AD$2:$AD$1780)+COUNTIF($AD$2:AD163,AD163)-1)</f>
        <v/>
      </c>
      <c r="AC163" s="32" t="n">
        <f aca="false">IF(AND(F163&gt;0,E163&gt;=Settings!$B$4),J163,"")</f>
        <v>0.0689655172413793</v>
      </c>
      <c r="AD163" s="56" t="str">
        <f aca="false">IF(X163="HIGH RATE",O163,"")</f>
        <v/>
      </c>
    </row>
    <row r="164" customFormat="false" ht="15" hidden="false" customHeight="false" outlineLevel="0" collapsed="false">
      <c r="A164" s="56" t="s">
        <v>322</v>
      </c>
      <c r="B164" s="56" t="s">
        <v>1074</v>
      </c>
      <c r="C164" s="56" t="s">
        <v>75</v>
      </c>
      <c r="D164" s="56" t="str">
        <f aca="false">IFERROR(INDEX('Brand Map'!$B$4:$B$124,MATCH(C164,'Brand Map'!$A$4:$A$124,0)),"Other")</f>
        <v>AURP</v>
      </c>
      <c r="E164" s="57" t="n">
        <v>458</v>
      </c>
      <c r="F164" s="57" t="n">
        <v>19</v>
      </c>
      <c r="G164" s="58" t="n">
        <v>13609.51</v>
      </c>
      <c r="H164" s="58" t="n">
        <v>518.74</v>
      </c>
      <c r="I164" s="58" t="n">
        <v>12696.42</v>
      </c>
      <c r="J164" s="32" t="n">
        <f aca="false">IF(E164&gt;0,F164/E164,0)</f>
        <v>0.0414847161572052</v>
      </c>
      <c r="K164" s="32" t="n">
        <f aca="false">IF(G164&gt;0,H164/G164,0)</f>
        <v>0.0381159938895669</v>
      </c>
      <c r="L164" s="59" t="n">
        <f aca="false">H164/Settings!$B$16</f>
        <v>0.00103671560884728</v>
      </c>
      <c r="M164" s="59" t="n">
        <f aca="false">H164/Settings!$B$20</f>
        <v>4.02720687930594E-005</v>
      </c>
      <c r="N164" s="60" t="n">
        <f aca="false">E164*Settings!$B$3</f>
        <v>14.1916571945578</v>
      </c>
      <c r="O164" s="60" t="n">
        <f aca="false">IF(E164&gt;0,(F164-N164)/SQRT(E164*Settings!$B$3*(1-Settings!$B$3)),0)</f>
        <v>1.29662345867938</v>
      </c>
      <c r="P164" s="60" t="n">
        <f aca="false">MAX(0,F164-N164)</f>
        <v>4.80834280544225</v>
      </c>
      <c r="Q164" s="32" t="n">
        <f aca="false">(F164+Settings!$B$7*Settings!$B$3)/(E164+Settings!$B$7)</f>
        <v>0.0408393125663824</v>
      </c>
      <c r="R164" s="61" t="n">
        <f aca="false">PERCENTRANK($H$2:$H$1780,H164,6)</f>
        <v>0.904387</v>
      </c>
      <c r="S164" s="61" t="n">
        <f aca="false">PERCENTRANK($Q$2:$Q$1780,Q164,6)</f>
        <v>0.81721</v>
      </c>
      <c r="T164" s="61" t="n">
        <f aca="false">PERCENTRANK($F$2:$F$1780,F164,6)</f>
        <v>0.950506</v>
      </c>
      <c r="U164" s="62" t="n">
        <f aca="false">IF(F164&gt;0,(Settings!$B$8*T164+Settings!$B$9*R164+Settings!$B$10*S164)/SUM(Settings!$B$8:$B$10),0)</f>
        <v>0.890701</v>
      </c>
      <c r="V164" s="56" t="n">
        <f aca="false">IF(U164&gt;0,RANK(U164,$U$2:$U$1780)+COUNTIF($U$2:U164,U164)-1,"")</f>
        <v>163</v>
      </c>
      <c r="W164" s="56" t="str">
        <f aca="false">IF(V164="","",IF(V164&lt;=Settings!$B$11,"1 - Fix first",IF(V164&lt;=Settings!$B$12,"2 - Review","3 - Monitor")))</f>
        <v>3 - Monitor</v>
      </c>
      <c r="X164" s="56" t="str">
        <f aca="false">IF(AND(E164&gt;=Settings!$B$4,F164&gt;=Settings!$B$5,O164&gt;=Settings!$B$6),"HIGH RATE","")</f>
        <v/>
      </c>
      <c r="Y164" s="56" t="n">
        <f aca="false">IF(F164&gt;0,RANK(F164,$F$2:$F$1780)+COUNTIF($F$2:F164,F164)-1,"")</f>
        <v>89</v>
      </c>
      <c r="Z164" s="56" t="n">
        <f aca="false">IF(H164&gt;0,RANK(H164,$H$2:$H$1780)+COUNTIF($H$2:H164,H164)-1,"")</f>
        <v>171</v>
      </c>
      <c r="AA164" s="56" t="n">
        <f aca="false">IF(AC164="","",RANK(AC164,$AC$2:$AC$1780)+COUNTIF($AC$2:AC164,AC164)-1)</f>
        <v>186</v>
      </c>
      <c r="AB164" s="56" t="str">
        <f aca="false">IF(AD164="","",RANK(AD164,$AD$2:$AD$1780)+COUNTIF($AD$2:AD164,AD164)-1)</f>
        <v/>
      </c>
      <c r="AC164" s="32" t="n">
        <f aca="false">IF(AND(F164&gt;0,E164&gt;=Settings!$B$4),J164,"")</f>
        <v>0.0414847161572052</v>
      </c>
      <c r="AD164" s="56" t="str">
        <f aca="false">IF(X164="HIGH RATE",O164,"")</f>
        <v/>
      </c>
    </row>
    <row r="165" customFormat="false" ht="15" hidden="false" customHeight="false" outlineLevel="0" collapsed="false">
      <c r="A165" s="56" t="s">
        <v>1075</v>
      </c>
      <c r="B165" s="56" t="s">
        <v>1076</v>
      </c>
      <c r="C165" s="56" t="s">
        <v>91</v>
      </c>
      <c r="D165" s="56" t="str">
        <f aca="false">IFERROR(INDEX('Brand Map'!$B$4:$B$124,MATCH(C165,'Brand Map'!$A$4:$A$124,0)),"Other")</f>
        <v>AUBC</v>
      </c>
      <c r="E165" s="57" t="n">
        <v>198</v>
      </c>
      <c r="F165" s="57" t="n">
        <v>8</v>
      </c>
      <c r="G165" s="58" t="n">
        <v>28728.92</v>
      </c>
      <c r="H165" s="58" t="n">
        <v>1205.68</v>
      </c>
      <c r="I165" s="58" t="n">
        <v>26545.06</v>
      </c>
      <c r="J165" s="32" t="n">
        <f aca="false">IF(E165&gt;0,F165/E165,0)</f>
        <v>0.0404040404040404</v>
      </c>
      <c r="K165" s="32" t="n">
        <f aca="false">IF(G165&gt;0,H165/G165,0)</f>
        <v>0.0419674669287951</v>
      </c>
      <c r="L165" s="59" t="n">
        <f aca="false">H165/Settings!$B$16</f>
        <v>0.00240958336599259</v>
      </c>
      <c r="M165" s="59" t="n">
        <f aca="false">H165/Settings!$B$20</f>
        <v>9.36022437105599E-005</v>
      </c>
      <c r="N165" s="60" t="n">
        <f aca="false">E165*Settings!$B$3</f>
        <v>6.13525791380444</v>
      </c>
      <c r="O165" s="60" t="n">
        <f aca="false">IF(E165&gt;0,(F165-N165)/SQRT(E165*Settings!$B$3*(1-Settings!$B$3)),0)</f>
        <v>0.764781490759947</v>
      </c>
      <c r="P165" s="60" t="n">
        <f aca="false">MAX(0,F165-N165)</f>
        <v>1.86474208619556</v>
      </c>
      <c r="Q165" s="32" t="n">
        <f aca="false">(F165+Settings!$B$7*Settings!$B$3)/(E165+Settings!$B$7)</f>
        <v>0.0391648444403272</v>
      </c>
      <c r="R165" s="61" t="n">
        <f aca="false">PERCENTRANK($H$2:$H$1780,H165,6)</f>
        <v>0.953318</v>
      </c>
      <c r="S165" s="61" t="n">
        <f aca="false">PERCENTRANK($Q$2:$Q$1780,Q165,6)</f>
        <v>0.803712</v>
      </c>
      <c r="T165" s="61" t="n">
        <f aca="false">PERCENTRANK($F$2:$F$1780,F165,6)</f>
        <v>0.912823</v>
      </c>
      <c r="U165" s="62" t="n">
        <f aca="false">IF(F165&gt;0,(Settings!$B$8*T165+Settings!$B$9*R165+Settings!$B$10*S165)/SUM(Settings!$B$8:$B$10),0)</f>
        <v>0.889951</v>
      </c>
      <c r="V165" s="56" t="n">
        <f aca="false">IF(U165&gt;0,RANK(U165,$U$2:$U$1780)+COUNTIF($U$2:U165,U165)-1,"")</f>
        <v>164</v>
      </c>
      <c r="W165" s="56" t="str">
        <f aca="false">IF(V165="","",IF(V165&lt;=Settings!$B$11,"1 - Fix first",IF(V165&lt;=Settings!$B$12,"2 - Review","3 - Monitor")))</f>
        <v>3 - Monitor</v>
      </c>
      <c r="X165" s="56" t="str">
        <f aca="false">IF(AND(E165&gt;=Settings!$B$4,F165&gt;=Settings!$B$5,O165&gt;=Settings!$B$6),"HIGH RATE","")</f>
        <v/>
      </c>
      <c r="Y165" s="56" t="n">
        <f aca="false">IF(F165&gt;0,RANK(F165,$F$2:$F$1780)+COUNTIF($F$2:F165,F165)-1,"")</f>
        <v>153</v>
      </c>
      <c r="Z165" s="56" t="n">
        <f aca="false">IF(H165&gt;0,RANK(H165,$H$2:$H$1780)+COUNTIF($H$2:H165,H165)-1,"")</f>
        <v>84</v>
      </c>
      <c r="AA165" s="56" t="n">
        <f aca="false">IF(AC165="","",RANK(AC165,$AC$2:$AC$1780)+COUNTIF($AC$2:AC165,AC165)-1)</f>
        <v>192</v>
      </c>
      <c r="AB165" s="56" t="str">
        <f aca="false">IF(AD165="","",RANK(AD165,$AD$2:$AD$1780)+COUNTIF($AD$2:AD165,AD165)-1)</f>
        <v/>
      </c>
      <c r="AC165" s="32" t="n">
        <f aca="false">IF(AND(F165&gt;0,E165&gt;=Settings!$B$4),J165,"")</f>
        <v>0.0404040404040404</v>
      </c>
      <c r="AD165" s="56" t="str">
        <f aca="false">IF(X165="HIGH RATE",O165,"")</f>
        <v/>
      </c>
    </row>
    <row r="166" customFormat="false" ht="15" hidden="false" customHeight="false" outlineLevel="0" collapsed="false">
      <c r="A166" s="56" t="s">
        <v>1077</v>
      </c>
      <c r="B166" s="56" t="s">
        <v>1078</v>
      </c>
      <c r="C166" s="56" t="s">
        <v>151</v>
      </c>
      <c r="D166" s="56" t="str">
        <f aca="false">IFERROR(INDEX('Brand Map'!$B$4:$B$124,MATCH(C166,'Brand Map'!$A$4:$A$124,0)),"Other")</f>
        <v>WBAU</v>
      </c>
      <c r="E166" s="57" t="n">
        <v>30</v>
      </c>
      <c r="F166" s="57" t="n">
        <v>3</v>
      </c>
      <c r="G166" s="58" t="n">
        <v>3370.59</v>
      </c>
      <c r="H166" s="58" t="n">
        <v>274.38</v>
      </c>
      <c r="I166" s="58" t="n">
        <v>3036.72</v>
      </c>
      <c r="J166" s="32" t="n">
        <f aca="false">IF(E166&gt;0,F166/E166,0)</f>
        <v>0.1</v>
      </c>
      <c r="K166" s="32" t="n">
        <f aca="false">IF(G166&gt;0,H166/G166,0)</f>
        <v>0.0814041458617037</v>
      </c>
      <c r="L166" s="59" t="n">
        <f aca="false">H166/Settings!$B$16</f>
        <v>0.000548355686385314</v>
      </c>
      <c r="M166" s="59" t="n">
        <f aca="false">H166/Settings!$B$20</f>
        <v>2.13013267444956E-005</v>
      </c>
      <c r="N166" s="60" t="n">
        <f aca="false">E166*Settings!$B$3</f>
        <v>0.929584532394613</v>
      </c>
      <c r="O166" s="60" t="n">
        <f aca="false">IF(E166&gt;0,(F166-N166)/SQRT(E166*Settings!$B$3*(1-Settings!$B$3)),0)</f>
        <v>2.18146408443355</v>
      </c>
      <c r="P166" s="60" t="n">
        <f aca="false">MAX(0,F166-N166)</f>
        <v>2.07041546760539</v>
      </c>
      <c r="Q166" s="32" t="n">
        <f aca="false">(F166+Settings!$B$7*Settings!$B$3)/(E166+Settings!$B$7)</f>
        <v>0.0654930755399102</v>
      </c>
      <c r="R166" s="61" t="n">
        <f aca="false">PERCENTRANK($H$2:$H$1780,H166,6)</f>
        <v>0.857705</v>
      </c>
      <c r="S166" s="61" t="n">
        <f aca="false">PERCENTRANK($Q$2:$Q$1780,Q166,6)</f>
        <v>0.966254</v>
      </c>
      <c r="T166" s="61" t="n">
        <f aca="false">PERCENTRANK($F$2:$F$1780,F166,6)</f>
        <v>0.84252</v>
      </c>
      <c r="U166" s="62" t="n">
        <f aca="false">IF(F166&gt;0,(Settings!$B$8*T166+Settings!$B$9*R166+Settings!$B$10*S166)/SUM(Settings!$B$8:$B$10),0)</f>
        <v>0.888826333333333</v>
      </c>
      <c r="V166" s="56" t="n">
        <f aca="false">IF(U166&gt;0,RANK(U166,$U$2:$U$1780)+COUNTIF($U$2:U166,U166)-1,"")</f>
        <v>165</v>
      </c>
      <c r="W166" s="56" t="str">
        <f aca="false">IF(V166="","",IF(V166&lt;=Settings!$B$11,"1 - Fix first",IF(V166&lt;=Settings!$B$12,"2 - Review","3 - Monitor")))</f>
        <v>3 - Monitor</v>
      </c>
      <c r="X166" s="56" t="str">
        <f aca="false">IF(AND(E166&gt;=Settings!$B$4,F166&gt;=Settings!$B$5,O166&gt;=Settings!$B$6),"HIGH RATE","")</f>
        <v/>
      </c>
      <c r="Y166" s="56" t="n">
        <f aca="false">IF(F166&gt;0,RANK(F166,$F$2:$F$1780)+COUNTIF($F$2:F166,F166)-1,"")</f>
        <v>237</v>
      </c>
      <c r="Z166" s="56" t="n">
        <f aca="false">IF(H166&gt;0,RANK(H166,$H$2:$H$1780)+COUNTIF($H$2:H166,H166)-1,"")</f>
        <v>254</v>
      </c>
      <c r="AA166" s="56" t="n">
        <f aca="false">IF(AC166="","",RANK(AC166,$AC$2:$AC$1780)+COUNTIF($AC$2:AC166,AC166)-1)</f>
        <v>15</v>
      </c>
      <c r="AB166" s="56" t="str">
        <f aca="false">IF(AD166="","",RANK(AD166,$AD$2:$AD$1780)+COUNTIF($AD$2:AD166,AD166)-1)</f>
        <v/>
      </c>
      <c r="AC166" s="32" t="n">
        <f aca="false">IF(AND(F166&gt;0,E166&gt;=Settings!$B$4),J166,"")</f>
        <v>0.1</v>
      </c>
      <c r="AD166" s="56" t="str">
        <f aca="false">IF(X166="HIGH RATE",O166,"")</f>
        <v/>
      </c>
    </row>
    <row r="167" customFormat="false" ht="15" hidden="false" customHeight="false" outlineLevel="0" collapsed="false">
      <c r="A167" s="56" t="s">
        <v>1079</v>
      </c>
      <c r="B167" s="56" t="s">
        <v>1080</v>
      </c>
      <c r="C167" s="56" t="s">
        <v>51</v>
      </c>
      <c r="D167" s="56" t="str">
        <f aca="false">IFERROR(INDEX('Brand Map'!$B$4:$B$124,MATCH(C167,'Brand Map'!$A$4:$A$124,0)),"Other")</f>
        <v>AU</v>
      </c>
      <c r="E167" s="57" t="n">
        <v>227</v>
      </c>
      <c r="F167" s="57" t="n">
        <v>9</v>
      </c>
      <c r="G167" s="58" t="n">
        <v>31620.66</v>
      </c>
      <c r="H167" s="58" t="n">
        <v>1138.96</v>
      </c>
      <c r="I167" s="58" t="n">
        <v>29433.53</v>
      </c>
      <c r="J167" s="32" t="n">
        <f aca="false">IF(E167&gt;0,F167/E167,0)</f>
        <v>0.039647577092511</v>
      </c>
      <c r="K167" s="32" t="n">
        <f aca="false">IF(G167&gt;0,H167/G167,0)</f>
        <v>0.036019488524275</v>
      </c>
      <c r="L167" s="59" t="n">
        <f aca="false">H167/Settings!$B$16</f>
        <v>0.00227624168148341</v>
      </c>
      <c r="M167" s="59" t="n">
        <f aca="false">H167/Settings!$B$20</f>
        <v>8.84224765249314E-005</v>
      </c>
      <c r="N167" s="60" t="n">
        <f aca="false">E167*Settings!$B$3</f>
        <v>7.03385629511924</v>
      </c>
      <c r="O167" s="60" t="n">
        <f aca="false">IF(E167&gt;0,(F167-N167)/SQRT(E167*Settings!$B$3*(1-Settings!$B$3)),0)</f>
        <v>0.753101511995061</v>
      </c>
      <c r="P167" s="60" t="n">
        <f aca="false">MAX(0,F167-N167)</f>
        <v>1.96614370488077</v>
      </c>
      <c r="Q167" s="32" t="n">
        <f aca="false">(F167+Settings!$B$7*Settings!$B$3)/(E167+Settings!$B$7)</f>
        <v>0.0386365156902514</v>
      </c>
      <c r="R167" s="61" t="n">
        <f aca="false">PERCENTRANK($H$2:$H$1780,H167,6)</f>
        <v>0.948819</v>
      </c>
      <c r="S167" s="61" t="n">
        <f aca="false">PERCENTRANK($Q$2:$Q$1780,Q167,6)</f>
        <v>0.799213</v>
      </c>
      <c r="T167" s="61" t="n">
        <f aca="false">PERCENTRANK($F$2:$F$1780,F167,6)</f>
        <v>0.917323</v>
      </c>
      <c r="U167" s="62" t="n">
        <f aca="false">IF(F167&gt;0,(Settings!$B$8*T167+Settings!$B$9*R167+Settings!$B$10*S167)/SUM(Settings!$B$8:$B$10),0)</f>
        <v>0.888451666666667</v>
      </c>
      <c r="V167" s="56" t="n">
        <f aca="false">IF(U167&gt;0,RANK(U167,$U$2:$U$1780)+COUNTIF($U$2:U167,U167)-1,"")</f>
        <v>166</v>
      </c>
      <c r="W167" s="56" t="str">
        <f aca="false">IF(V167="","",IF(V167&lt;=Settings!$B$11,"1 - Fix first",IF(V167&lt;=Settings!$B$12,"2 - Review","3 - Monitor")))</f>
        <v>3 - Monitor</v>
      </c>
      <c r="X167" s="56" t="str">
        <f aca="false">IF(AND(E167&gt;=Settings!$B$4,F167&gt;=Settings!$B$5,O167&gt;=Settings!$B$6),"HIGH RATE","")</f>
        <v/>
      </c>
      <c r="Y167" s="56" t="n">
        <f aca="false">IF(F167&gt;0,RANK(F167,$F$2:$F$1780)+COUNTIF($F$2:F167,F167)-1,"")</f>
        <v>143</v>
      </c>
      <c r="Z167" s="56" t="n">
        <f aca="false">IF(H167&gt;0,RANK(H167,$H$2:$H$1780)+COUNTIF($H$2:H167,H167)-1,"")</f>
        <v>92</v>
      </c>
      <c r="AA167" s="56" t="n">
        <f aca="false">IF(AC167="","",RANK(AC167,$AC$2:$AC$1780)+COUNTIF($AC$2:AC167,AC167)-1)</f>
        <v>199</v>
      </c>
      <c r="AB167" s="56" t="str">
        <f aca="false">IF(AD167="","",RANK(AD167,$AD$2:$AD$1780)+COUNTIF($AD$2:AD167,AD167)-1)</f>
        <v/>
      </c>
      <c r="AC167" s="32" t="n">
        <f aca="false">IF(AND(F167&gt;0,E167&gt;=Settings!$B$4),J167,"")</f>
        <v>0.039647577092511</v>
      </c>
      <c r="AD167" s="56" t="str">
        <f aca="false">IF(X167="HIGH RATE",O167,"")</f>
        <v/>
      </c>
    </row>
    <row r="168" customFormat="false" ht="15" hidden="false" customHeight="false" outlineLevel="0" collapsed="false">
      <c r="A168" s="56" t="s">
        <v>299</v>
      </c>
      <c r="B168" s="56" t="s">
        <v>1081</v>
      </c>
      <c r="C168" s="56" t="s">
        <v>71</v>
      </c>
      <c r="D168" s="56" t="str">
        <f aca="false">IFERROR(INDEX('Brand Map'!$B$4:$B$124,MATCH(C168,'Brand Map'!$A$4:$A$124,0)),"Other")</f>
        <v>GF</v>
      </c>
      <c r="E168" s="57" t="n">
        <v>11</v>
      </c>
      <c r="F168" s="57" t="n">
        <v>3</v>
      </c>
      <c r="G168" s="58" t="n">
        <v>675.83</v>
      </c>
      <c r="H168" s="58" t="n">
        <v>189.87</v>
      </c>
      <c r="I168" s="58" t="n">
        <v>450.84</v>
      </c>
      <c r="J168" s="32" t="n">
        <f aca="false">IF(E168&gt;0,F168/E168,0)</f>
        <v>0.272727272727273</v>
      </c>
      <c r="K168" s="32" t="n">
        <f aca="false">IF(G168&gt;0,H168/G168,0)</f>
        <v>0.280943432520012</v>
      </c>
      <c r="L168" s="59" t="n">
        <f aca="false">H168/Settings!$B$16</f>
        <v>0.000379460216393249</v>
      </c>
      <c r="M168" s="59" t="n">
        <f aca="false">H168/Settings!$B$20</f>
        <v>1.47404435781667E-005</v>
      </c>
      <c r="N168" s="60" t="n">
        <f aca="false">E168*Settings!$B$3</f>
        <v>0.340847661878025</v>
      </c>
      <c r="O168" s="60" t="n">
        <f aca="false">IF(E168&gt;0,(F168-N168)/SQRT(E168*Settings!$B$3*(1-Settings!$B$3)),0)</f>
        <v>4.6269847320975</v>
      </c>
      <c r="P168" s="60" t="n">
        <f aca="false">MAX(0,F168-N168)</f>
        <v>2.65915233812198</v>
      </c>
      <c r="Q168" s="32" t="n">
        <f aca="false">(F168+Settings!$B$7*Settings!$B$3)/(E168+Settings!$B$7)</f>
        <v>0.0958435251803564</v>
      </c>
      <c r="R168" s="61" t="n">
        <f aca="false">PERCENTRANK($H$2:$H$1780,H168,6)</f>
        <v>0.825647</v>
      </c>
      <c r="S168" s="61" t="n">
        <f aca="false">PERCENTRANK($Q$2:$Q$1780,Q168,6)</f>
        <v>0.996063</v>
      </c>
      <c r="T168" s="61" t="n">
        <f aca="false">PERCENTRANK($F$2:$F$1780,F168,6)</f>
        <v>0.84252</v>
      </c>
      <c r="U168" s="62" t="n">
        <f aca="false">IF(F168&gt;0,(Settings!$B$8*T168+Settings!$B$9*R168+Settings!$B$10*S168)/SUM(Settings!$B$8:$B$10),0)</f>
        <v>0.888076666666667</v>
      </c>
      <c r="V168" s="56" t="n">
        <f aca="false">IF(U168&gt;0,RANK(U168,$U$2:$U$1780)+COUNTIF($U$2:U168,U168)-1,"")</f>
        <v>167</v>
      </c>
      <c r="W168" s="56" t="str">
        <f aca="false">IF(V168="","",IF(V168&lt;=Settings!$B$11,"1 - Fix first",IF(V168&lt;=Settings!$B$12,"2 - Review","3 - Monitor")))</f>
        <v>3 - Monitor</v>
      </c>
      <c r="X168" s="56" t="str">
        <f aca="false">IF(AND(E168&gt;=Settings!$B$4,F168&gt;=Settings!$B$5,O168&gt;=Settings!$B$6),"HIGH RATE","")</f>
        <v/>
      </c>
      <c r="Y168" s="56" t="n">
        <f aca="false">IF(F168&gt;0,RANK(F168,$F$2:$F$1780)+COUNTIF($F$2:F168,F168)-1,"")</f>
        <v>238</v>
      </c>
      <c r="Z168" s="56" t="n">
        <f aca="false">IF(H168&gt;0,RANK(H168,$H$2:$H$1780)+COUNTIF($H$2:H168,H168)-1,"")</f>
        <v>311</v>
      </c>
      <c r="AA168" s="56" t="str">
        <f aca="false">IF(AC168="","",RANK(AC168,$AC$2:$AC$1780)+COUNTIF($AC$2:AC168,AC168)-1)</f>
        <v/>
      </c>
      <c r="AB168" s="56" t="str">
        <f aca="false">IF(AD168="","",RANK(AD168,$AD$2:$AD$1780)+COUNTIF($AD$2:AD168,AD168)-1)</f>
        <v/>
      </c>
      <c r="AC168" s="56" t="str">
        <f aca="false">IF(AND(F168&gt;0,E168&gt;=Settings!$B$4),J168,"")</f>
        <v/>
      </c>
      <c r="AD168" s="56" t="str">
        <f aca="false">IF(X168="HIGH RATE",O168,"")</f>
        <v/>
      </c>
    </row>
    <row r="169" customFormat="false" ht="15" hidden="false" customHeight="false" outlineLevel="0" collapsed="false">
      <c r="A169" s="56" t="s">
        <v>1082</v>
      </c>
      <c r="B169" s="56" t="s">
        <v>1083</v>
      </c>
      <c r="C169" s="56" t="s">
        <v>51</v>
      </c>
      <c r="D169" s="56" t="str">
        <f aca="false">IFERROR(INDEX('Brand Map'!$B$4:$B$124,MATCH(C169,'Brand Map'!$A$4:$A$124,0)),"Other")</f>
        <v>AU</v>
      </c>
      <c r="E169" s="57" t="n">
        <v>115</v>
      </c>
      <c r="F169" s="57" t="n">
        <v>6</v>
      </c>
      <c r="G169" s="58" t="n">
        <v>7938.26</v>
      </c>
      <c r="H169" s="58" t="n">
        <v>413.36</v>
      </c>
      <c r="I169" s="58" t="n">
        <v>7270.19</v>
      </c>
      <c r="J169" s="32" t="n">
        <f aca="false">IF(E169&gt;0,F169/E169,0)</f>
        <v>0.0521739130434783</v>
      </c>
      <c r="K169" s="32" t="n">
        <f aca="false">IF(G169&gt;0,H169/G169,0)</f>
        <v>0.0520718646151676</v>
      </c>
      <c r="L169" s="59" t="n">
        <f aca="false">H169/Settings!$B$16</f>
        <v>0.000826110891917172</v>
      </c>
      <c r="M169" s="59" t="n">
        <f aca="false">H169/Settings!$B$20</f>
        <v>3.20909556932163E-005</v>
      </c>
      <c r="N169" s="60" t="n">
        <f aca="false">E169*Settings!$B$3</f>
        <v>3.56340737417935</v>
      </c>
      <c r="O169" s="60" t="n">
        <f aca="false">IF(E169&gt;0,(F169-N169)/SQRT(E169*Settings!$B$3*(1-Settings!$B$3)),0)</f>
        <v>1.31124907956917</v>
      </c>
      <c r="P169" s="60" t="n">
        <f aca="false">MAX(0,F169-N169)</f>
        <v>2.43659262582065</v>
      </c>
      <c r="Q169" s="32" t="n">
        <f aca="false">(F169+Settings!$B$7*Settings!$B$3)/(E169+Settings!$B$7)</f>
        <v>0.0477902381544456</v>
      </c>
      <c r="R169" s="61" t="n">
        <f aca="false">PERCENTRANK($H$2:$H$1780,H169,6)</f>
        <v>0.892013</v>
      </c>
      <c r="S169" s="61" t="n">
        <f aca="false">PERCENTRANK($Q$2:$Q$1780,Q169,6)</f>
        <v>0.871204</v>
      </c>
      <c r="T169" s="61" t="n">
        <f aca="false">PERCENTRANK($F$2:$F$1780,F169,6)</f>
        <v>0.898763</v>
      </c>
      <c r="U169" s="62" t="n">
        <f aca="false">IF(F169&gt;0,(Settings!$B$8*T169+Settings!$B$9*R169+Settings!$B$10*S169)/SUM(Settings!$B$8:$B$10),0)</f>
        <v>0.887326666666667</v>
      </c>
      <c r="V169" s="56" t="n">
        <f aca="false">IF(U169&gt;0,RANK(U169,$U$2:$U$1780)+COUNTIF($U$2:U169,U169)-1,"")</f>
        <v>168</v>
      </c>
      <c r="W169" s="56" t="str">
        <f aca="false">IF(V169="","",IF(V169&lt;=Settings!$B$11,"1 - Fix first",IF(V169&lt;=Settings!$B$12,"2 - Review","3 - Monitor")))</f>
        <v>3 - Monitor</v>
      </c>
      <c r="X169" s="56" t="str">
        <f aca="false">IF(AND(E169&gt;=Settings!$B$4,F169&gt;=Settings!$B$5,O169&gt;=Settings!$B$6),"HIGH RATE","")</f>
        <v/>
      </c>
      <c r="Y169" s="56" t="n">
        <f aca="false">IF(F169&gt;0,RANK(F169,$F$2:$F$1780)+COUNTIF($F$2:F169,F169)-1,"")</f>
        <v>171</v>
      </c>
      <c r="Z169" s="56" t="n">
        <f aca="false">IF(H169&gt;0,RANK(H169,$H$2:$H$1780)+COUNTIF($H$2:H169,H169)-1,"")</f>
        <v>193</v>
      </c>
      <c r="AA169" s="56" t="n">
        <f aca="false">IF(AC169="","",RANK(AC169,$AC$2:$AC$1780)+COUNTIF($AC$2:AC169,AC169)-1)</f>
        <v>111</v>
      </c>
      <c r="AB169" s="56" t="str">
        <f aca="false">IF(AD169="","",RANK(AD169,$AD$2:$AD$1780)+COUNTIF($AD$2:AD169,AD169)-1)</f>
        <v/>
      </c>
      <c r="AC169" s="32" t="n">
        <f aca="false">IF(AND(F169&gt;0,E169&gt;=Settings!$B$4),J169,"")</f>
        <v>0.0521739130434783</v>
      </c>
      <c r="AD169" s="56" t="str">
        <f aca="false">IF(X169="HIGH RATE",O169,"")</f>
        <v/>
      </c>
    </row>
    <row r="170" customFormat="false" ht="15" hidden="false" customHeight="false" outlineLevel="0" collapsed="false">
      <c r="A170" s="56" t="s">
        <v>317</v>
      </c>
      <c r="B170" s="56" t="s">
        <v>1084</v>
      </c>
      <c r="C170" s="56" t="s">
        <v>75</v>
      </c>
      <c r="D170" s="56" t="str">
        <f aca="false">IFERROR(INDEX('Brand Map'!$B$4:$B$124,MATCH(C170,'Brand Map'!$A$4:$A$124,0)),"Other")</f>
        <v>AURP</v>
      </c>
      <c r="E170" s="57" t="n">
        <v>1443</v>
      </c>
      <c r="F170" s="57" t="n">
        <v>48</v>
      </c>
      <c r="G170" s="58" t="n">
        <v>23615.57</v>
      </c>
      <c r="H170" s="58" t="n">
        <v>743.79</v>
      </c>
      <c r="I170" s="58" t="n">
        <v>22364.86</v>
      </c>
      <c r="J170" s="32" t="n">
        <f aca="false">IF(E170&gt;0,F170/E170,0)</f>
        <v>0.0332640332640333</v>
      </c>
      <c r="K170" s="32" t="n">
        <f aca="false">IF(G170&gt;0,H170/G170,0)</f>
        <v>0.0314957462386045</v>
      </c>
      <c r="L170" s="59" t="n">
        <f aca="false">H170/Settings!$B$16</f>
        <v>0.00148648398562772</v>
      </c>
      <c r="M170" s="59" t="n">
        <f aca="false">H170/Settings!$B$20</f>
        <v>5.77436905725212E-005</v>
      </c>
      <c r="N170" s="60" t="n">
        <f aca="false">E170*Settings!$B$3</f>
        <v>44.7130160081809</v>
      </c>
      <c r="O170" s="60" t="n">
        <f aca="false">IF(E170&gt;0,(F170-N170)/SQRT(E170*Settings!$B$3*(1-Settings!$B$3)),0)</f>
        <v>0.499362142280176</v>
      </c>
      <c r="P170" s="60" t="n">
        <f aca="false">MAX(0,F170-N170)</f>
        <v>3.28698399181913</v>
      </c>
      <c r="Q170" s="32" t="n">
        <f aca="false">(F170+Settings!$B$7*Settings!$B$3)/(E170+Settings!$B$7)</f>
        <v>0.0332176405515238</v>
      </c>
      <c r="R170" s="61" t="n">
        <f aca="false">PERCENTRANK($H$2:$H$1780,H170,6)</f>
        <v>0.926322</v>
      </c>
      <c r="S170" s="61" t="n">
        <f aca="false">PERCENTRANK($Q$2:$Q$1780,Q170,6)</f>
        <v>0.75703</v>
      </c>
      <c r="T170" s="61" t="n">
        <f aca="false">PERCENTRANK($F$2:$F$1780,F170,6)</f>
        <v>0.978065</v>
      </c>
      <c r="U170" s="62" t="n">
        <f aca="false">IF(F170&gt;0,(Settings!$B$8*T170+Settings!$B$9*R170+Settings!$B$10*S170)/SUM(Settings!$B$8:$B$10),0)</f>
        <v>0.887139</v>
      </c>
      <c r="V170" s="56" t="n">
        <f aca="false">IF(U170&gt;0,RANK(U170,$U$2:$U$1780)+COUNTIF($U$2:U170,U170)-1,"")</f>
        <v>169</v>
      </c>
      <c r="W170" s="56" t="str">
        <f aca="false">IF(V170="","",IF(V170&lt;=Settings!$B$11,"1 - Fix first",IF(V170&lt;=Settings!$B$12,"2 - Review","3 - Monitor")))</f>
        <v>3 - Monitor</v>
      </c>
      <c r="X170" s="56" t="str">
        <f aca="false">IF(AND(E170&gt;=Settings!$B$4,F170&gt;=Settings!$B$5,O170&gt;=Settings!$B$6),"HIGH RATE","")</f>
        <v/>
      </c>
      <c r="Y170" s="56" t="n">
        <f aca="false">IF(F170&gt;0,RANK(F170,$F$2:$F$1780)+COUNTIF($F$2:F170,F170)-1,"")</f>
        <v>40</v>
      </c>
      <c r="Z170" s="56" t="n">
        <f aca="false">IF(H170&gt;0,RANK(H170,$H$2:$H$1780)+COUNTIF($H$2:H170,H170)-1,"")</f>
        <v>132</v>
      </c>
      <c r="AA170" s="56" t="n">
        <f aca="false">IF(AC170="","",RANK(AC170,$AC$2:$AC$1780)+COUNTIF($AC$2:AC170,AC170)-1)</f>
        <v>245</v>
      </c>
      <c r="AB170" s="56" t="str">
        <f aca="false">IF(AD170="","",RANK(AD170,$AD$2:$AD$1780)+COUNTIF($AD$2:AD170,AD170)-1)</f>
        <v/>
      </c>
      <c r="AC170" s="32" t="n">
        <f aca="false">IF(AND(F170&gt;0,E170&gt;=Settings!$B$4),J170,"")</f>
        <v>0.0332640332640333</v>
      </c>
      <c r="AD170" s="56" t="str">
        <f aca="false">IF(X170="HIGH RATE",O170,"")</f>
        <v/>
      </c>
    </row>
    <row r="171" customFormat="false" ht="15" hidden="false" customHeight="false" outlineLevel="0" collapsed="false">
      <c r="A171" s="56" t="s">
        <v>1085</v>
      </c>
      <c r="B171" s="56" t="s">
        <v>1086</v>
      </c>
      <c r="C171" s="56" t="s">
        <v>51</v>
      </c>
      <c r="D171" s="56" t="str">
        <f aca="false">IFERROR(INDEX('Brand Map'!$B$4:$B$124,MATCH(C171,'Brand Map'!$A$4:$A$124,0)),"Other")</f>
        <v>AU</v>
      </c>
      <c r="E171" s="57" t="n">
        <v>16</v>
      </c>
      <c r="F171" s="57" t="n">
        <v>2</v>
      </c>
      <c r="G171" s="58" t="n">
        <v>3827.97</v>
      </c>
      <c r="H171" s="58" t="n">
        <v>471.73</v>
      </c>
      <c r="I171" s="58" t="n">
        <v>3188.5</v>
      </c>
      <c r="J171" s="32" t="n">
        <f aca="false">IF(E171&gt;0,F171/E171,0)</f>
        <v>0.125</v>
      </c>
      <c r="K171" s="32" t="n">
        <f aca="false">IF(G171&gt;0,H171/G171,0)</f>
        <v>0.123232418226893</v>
      </c>
      <c r="L171" s="59" t="n">
        <f aca="false">H171/Settings!$B$16</f>
        <v>0.000942764880598237</v>
      </c>
      <c r="M171" s="59" t="n">
        <f aca="false">H171/Settings!$B$20</f>
        <v>3.66224756366386E-005</v>
      </c>
      <c r="N171" s="60" t="n">
        <f aca="false">E171*Settings!$B$3</f>
        <v>0.495778417277127</v>
      </c>
      <c r="O171" s="60" t="n">
        <f aca="false">IF(E171&gt;0,(F171-N171)/SQRT(E171*Settings!$B$3*(1-Settings!$B$3)),0)</f>
        <v>2.17021627165379</v>
      </c>
      <c r="P171" s="60" t="n">
        <f aca="false">MAX(0,F171-N171)</f>
        <v>1.50422158272287</v>
      </c>
      <c r="Q171" s="32" t="n">
        <f aca="false">(F171+Settings!$B$7*Settings!$B$3)/(E171+Settings!$B$7)</f>
        <v>0.0636866202694481</v>
      </c>
      <c r="R171" s="61" t="n">
        <f aca="false">PERCENTRANK($H$2:$H$1780,H171,6)</f>
        <v>0.899888</v>
      </c>
      <c r="S171" s="61" t="n">
        <f aca="false">PERCENTRANK($Q$2:$Q$1780,Q171,6)</f>
        <v>0.961192</v>
      </c>
      <c r="T171" s="61" t="n">
        <f aca="false">PERCENTRANK($F$2:$F$1780,F171,6)</f>
        <v>0.799775</v>
      </c>
      <c r="U171" s="62" t="n">
        <f aca="false">IF(F171&gt;0,(Settings!$B$8*T171+Settings!$B$9*R171+Settings!$B$10*S171)/SUM(Settings!$B$8:$B$10),0)</f>
        <v>0.886951666666667</v>
      </c>
      <c r="V171" s="56" t="n">
        <f aca="false">IF(U171&gt;0,RANK(U171,$U$2:$U$1780)+COUNTIF($U$2:U171,U171)-1,"")</f>
        <v>170</v>
      </c>
      <c r="W171" s="56" t="str">
        <f aca="false">IF(V171="","",IF(V171&lt;=Settings!$B$11,"1 - Fix first",IF(V171&lt;=Settings!$B$12,"2 - Review","3 - Monitor")))</f>
        <v>3 - Monitor</v>
      </c>
      <c r="X171" s="56" t="str">
        <f aca="false">IF(AND(E171&gt;=Settings!$B$4,F171&gt;=Settings!$B$5,O171&gt;=Settings!$B$6),"HIGH RATE","")</f>
        <v/>
      </c>
      <c r="Y171" s="56" t="n">
        <f aca="false">IF(F171&gt;0,RANK(F171,$F$2:$F$1780)+COUNTIF($F$2:F171,F171)-1,"")</f>
        <v>284</v>
      </c>
      <c r="Z171" s="56" t="n">
        <f aca="false">IF(H171&gt;0,RANK(H171,$H$2:$H$1780)+COUNTIF($H$2:H171,H171)-1,"")</f>
        <v>179</v>
      </c>
      <c r="AA171" s="56" t="str">
        <f aca="false">IF(AC171="","",RANK(AC171,$AC$2:$AC$1780)+COUNTIF($AC$2:AC171,AC171)-1)</f>
        <v/>
      </c>
      <c r="AB171" s="56" t="str">
        <f aca="false">IF(AD171="","",RANK(AD171,$AD$2:$AD$1780)+COUNTIF($AD$2:AD171,AD171)-1)</f>
        <v/>
      </c>
      <c r="AC171" s="56" t="str">
        <f aca="false">IF(AND(F171&gt;0,E171&gt;=Settings!$B$4),J171,"")</f>
        <v/>
      </c>
      <c r="AD171" s="56" t="str">
        <f aca="false">IF(X171="HIGH RATE",O171,"")</f>
        <v/>
      </c>
    </row>
    <row r="172" customFormat="false" ht="15" hidden="false" customHeight="false" outlineLevel="0" collapsed="false">
      <c r="A172" s="56" t="s">
        <v>1087</v>
      </c>
      <c r="B172" s="56" t="s">
        <v>1088</v>
      </c>
      <c r="C172" s="56" t="s">
        <v>51</v>
      </c>
      <c r="D172" s="56" t="str">
        <f aca="false">IFERROR(INDEX('Brand Map'!$B$4:$B$124,MATCH(C172,'Brand Map'!$A$4:$A$124,0)),"Other")</f>
        <v>AU</v>
      </c>
      <c r="E172" s="57" t="n">
        <v>28</v>
      </c>
      <c r="F172" s="57" t="n">
        <v>3</v>
      </c>
      <c r="G172" s="58" t="n">
        <v>2635.03</v>
      </c>
      <c r="H172" s="58" t="n">
        <v>247.15</v>
      </c>
      <c r="I172" s="58" t="n">
        <v>2307.28</v>
      </c>
      <c r="J172" s="32" t="n">
        <f aca="false">IF(E172&gt;0,F172/E172,0)</f>
        <v>0.107142857142857</v>
      </c>
      <c r="K172" s="32" t="n">
        <f aca="false">IF(G172&gt;0,H172/G172,0)</f>
        <v>0.0937939985503011</v>
      </c>
      <c r="L172" s="59" t="n">
        <f aca="false">H172/Settings!$B$16</f>
        <v>0.000493935811247651</v>
      </c>
      <c r="M172" s="59" t="n">
        <f aca="false">H172/Settings!$B$20</f>
        <v>1.9187342025301E-005</v>
      </c>
      <c r="N172" s="60" t="n">
        <f aca="false">E172*Settings!$B$3</f>
        <v>0.867612230234972</v>
      </c>
      <c r="O172" s="60" t="n">
        <f aca="false">IF(E172&gt;0,(F172-N172)/SQRT(E172*Settings!$B$3*(1-Settings!$B$3)),0)</f>
        <v>2.32561788304157</v>
      </c>
      <c r="P172" s="60" t="n">
        <f aca="false">MAX(0,F172-N172)</f>
        <v>2.13238776976503</v>
      </c>
      <c r="Q172" s="32" t="n">
        <f aca="false">(F172+Settings!$B$7*Settings!$B$3)/(E172+Settings!$B$7)</f>
        <v>0.0677514574550795</v>
      </c>
      <c r="R172" s="61" t="n">
        <f aca="false">PERCENTRANK($H$2:$H$1780,H172,6)</f>
        <v>0.847019</v>
      </c>
      <c r="S172" s="61" t="n">
        <f aca="false">PERCENTRANK($Q$2:$Q$1780,Q172,6)</f>
        <v>0.969629</v>
      </c>
      <c r="T172" s="61" t="n">
        <f aca="false">PERCENTRANK($F$2:$F$1780,F172,6)</f>
        <v>0.84252</v>
      </c>
      <c r="U172" s="62" t="n">
        <f aca="false">IF(F172&gt;0,(Settings!$B$8*T172+Settings!$B$9*R172+Settings!$B$10*S172)/SUM(Settings!$B$8:$B$10),0)</f>
        <v>0.886389333333333</v>
      </c>
      <c r="V172" s="56" t="n">
        <f aca="false">IF(U172&gt;0,RANK(U172,$U$2:$U$1780)+COUNTIF($U$2:U172,U172)-1,"")</f>
        <v>171</v>
      </c>
      <c r="W172" s="56" t="str">
        <f aca="false">IF(V172="","",IF(V172&lt;=Settings!$B$11,"1 - Fix first",IF(V172&lt;=Settings!$B$12,"2 - Review","3 - Monitor")))</f>
        <v>3 - Monitor</v>
      </c>
      <c r="X172" s="56" t="str">
        <f aca="false">IF(AND(E172&gt;=Settings!$B$4,F172&gt;=Settings!$B$5,O172&gt;=Settings!$B$6),"HIGH RATE","")</f>
        <v/>
      </c>
      <c r="Y172" s="56" t="n">
        <f aca="false">IF(F172&gt;0,RANK(F172,$F$2:$F$1780)+COUNTIF($F$2:F172,F172)-1,"")</f>
        <v>239</v>
      </c>
      <c r="Z172" s="56" t="n">
        <f aca="false">IF(H172&gt;0,RANK(H172,$H$2:$H$1780)+COUNTIF($H$2:H172,H172)-1,"")</f>
        <v>273</v>
      </c>
      <c r="AA172" s="56" t="str">
        <f aca="false">IF(AC172="","",RANK(AC172,$AC$2:$AC$1780)+COUNTIF($AC$2:AC172,AC172)-1)</f>
        <v/>
      </c>
      <c r="AB172" s="56" t="str">
        <f aca="false">IF(AD172="","",RANK(AD172,$AD$2:$AD$1780)+COUNTIF($AD$2:AD172,AD172)-1)</f>
        <v/>
      </c>
      <c r="AC172" s="56" t="str">
        <f aca="false">IF(AND(F172&gt;0,E172&gt;=Settings!$B$4),J172,"")</f>
        <v/>
      </c>
      <c r="AD172" s="56" t="str">
        <f aca="false">IF(X172="HIGH RATE",O172,"")</f>
        <v/>
      </c>
    </row>
    <row r="173" customFormat="false" ht="15" hidden="false" customHeight="false" outlineLevel="0" collapsed="false">
      <c r="A173" s="56" t="s">
        <v>1089</v>
      </c>
      <c r="B173" s="56" t="s">
        <v>1090</v>
      </c>
      <c r="C173" s="56" t="s">
        <v>87</v>
      </c>
      <c r="D173" s="56" t="str">
        <f aca="false">IFERROR(INDEX('Brand Map'!$B$4:$B$124,MATCH(C173,'Brand Map'!$A$4:$A$124,0)),"Other")</f>
        <v>FYF</v>
      </c>
      <c r="E173" s="57" t="n">
        <v>36</v>
      </c>
      <c r="F173" s="57" t="n">
        <v>3</v>
      </c>
      <c r="G173" s="58" t="n">
        <v>3778.2</v>
      </c>
      <c r="H173" s="58" t="n">
        <v>314.85</v>
      </c>
      <c r="I173" s="58" t="n">
        <v>3463.35</v>
      </c>
      <c r="J173" s="32" t="n">
        <f aca="false">IF(E173&gt;0,F173/E173,0)</f>
        <v>0.0833333333333333</v>
      </c>
      <c r="K173" s="32" t="n">
        <f aca="false">IF(G173&gt;0,H173/G173,0)</f>
        <v>0.0833333333333333</v>
      </c>
      <c r="L173" s="59" t="n">
        <f aca="false">H173/Settings!$B$16</f>
        <v>0.00062923605167438</v>
      </c>
      <c r="M173" s="59" t="n">
        <f aca="false">H173/Settings!$B$20</f>
        <v>2.44431909231884E-005</v>
      </c>
      <c r="N173" s="60" t="n">
        <f aca="false">E173*Settings!$B$3</f>
        <v>1.11550143887354</v>
      </c>
      <c r="O173" s="60" t="n">
        <f aca="false">IF(E173&gt;0,(F173-N173)/SQRT(E173*Settings!$B$3*(1-Settings!$B$3)),0)</f>
        <v>1.8125740197849</v>
      </c>
      <c r="P173" s="60" t="n">
        <f aca="false">MAX(0,F173-N173)</f>
        <v>1.88449856112647</v>
      </c>
      <c r="Q173" s="32" t="n">
        <f aca="false">(F173+Settings!$B$7*Settings!$B$3)/(E173+Settings!$B$7)</f>
        <v>0.0595391595817366</v>
      </c>
      <c r="R173" s="61" t="n">
        <f aca="false">PERCENTRANK($H$2:$H$1780,H173,6)</f>
        <v>0.870641</v>
      </c>
      <c r="S173" s="61" t="n">
        <f aca="false">PERCENTRANK($Q$2:$Q$1780,Q173,6)</f>
        <v>0.943757</v>
      </c>
      <c r="T173" s="61" t="n">
        <f aca="false">PERCENTRANK($F$2:$F$1780,F173,6)</f>
        <v>0.84252</v>
      </c>
      <c r="U173" s="62" t="n">
        <f aca="false">IF(F173&gt;0,(Settings!$B$8*T173+Settings!$B$9*R173+Settings!$B$10*S173)/SUM(Settings!$B$8:$B$10),0)</f>
        <v>0.885639333333333</v>
      </c>
      <c r="V173" s="56" t="n">
        <f aca="false">IF(U173&gt;0,RANK(U173,$U$2:$U$1780)+COUNTIF($U$2:U173,U173)-1,"")</f>
        <v>172</v>
      </c>
      <c r="W173" s="56" t="str">
        <f aca="false">IF(V173="","",IF(V173&lt;=Settings!$B$11,"1 - Fix first",IF(V173&lt;=Settings!$B$12,"2 - Review","3 - Monitor")))</f>
        <v>3 - Monitor</v>
      </c>
      <c r="X173" s="56" t="str">
        <f aca="false">IF(AND(E173&gt;=Settings!$B$4,F173&gt;=Settings!$B$5,O173&gt;=Settings!$B$6),"HIGH RATE","")</f>
        <v/>
      </c>
      <c r="Y173" s="56" t="n">
        <f aca="false">IF(F173&gt;0,RANK(F173,$F$2:$F$1780)+COUNTIF($F$2:F173,F173)-1,"")</f>
        <v>240</v>
      </c>
      <c r="Z173" s="56" t="n">
        <f aca="false">IF(H173&gt;0,RANK(H173,$H$2:$H$1780)+COUNTIF($H$2:H173,H173)-1,"")</f>
        <v>230</v>
      </c>
      <c r="AA173" s="56" t="n">
        <f aca="false">IF(AC173="","",RANK(AC173,$AC$2:$AC$1780)+COUNTIF($AC$2:AC173,AC173)-1)</f>
        <v>28</v>
      </c>
      <c r="AB173" s="56" t="str">
        <f aca="false">IF(AD173="","",RANK(AD173,$AD$2:$AD$1780)+COUNTIF($AD$2:AD173,AD173)-1)</f>
        <v/>
      </c>
      <c r="AC173" s="32" t="n">
        <f aca="false">IF(AND(F173&gt;0,E173&gt;=Settings!$B$4),J173,"")</f>
        <v>0.0833333333333333</v>
      </c>
      <c r="AD173" s="56" t="str">
        <f aca="false">IF(X173="HIGH RATE",O173,"")</f>
        <v/>
      </c>
    </row>
    <row r="174" customFormat="false" ht="15" hidden="false" customHeight="false" outlineLevel="0" collapsed="false">
      <c r="A174" s="56" t="s">
        <v>245</v>
      </c>
      <c r="B174" s="56" t="s">
        <v>1091</v>
      </c>
      <c r="C174" s="56" t="s">
        <v>59</v>
      </c>
      <c r="D174" s="56" t="str">
        <f aca="false">IFERROR(INDEX('Brand Map'!$B$4:$B$124,MATCH(C174,'Brand Map'!$A$4:$A$124,0)),"Other")</f>
        <v>DC</v>
      </c>
      <c r="E174" s="57" t="n">
        <v>119</v>
      </c>
      <c r="F174" s="57" t="n">
        <v>6</v>
      </c>
      <c r="G174" s="58" t="n">
        <v>10707.45</v>
      </c>
      <c r="H174" s="58" t="n">
        <v>466.03</v>
      </c>
      <c r="I174" s="58" t="n">
        <v>9540.36</v>
      </c>
      <c r="J174" s="32" t="n">
        <f aca="false">IF(E174&gt;0,F174/E174,0)</f>
        <v>0.0504201680672269</v>
      </c>
      <c r="K174" s="32" t="n">
        <f aca="false">IF(G174&gt;0,H174/G174,0)</f>
        <v>0.043523901582543</v>
      </c>
      <c r="L174" s="59" t="n">
        <f aca="false">H174/Settings!$B$16</f>
        <v>0.000931373279853299</v>
      </c>
      <c r="M174" s="59" t="n">
        <f aca="false">H174/Settings!$B$20</f>
        <v>3.61799595551326E-005</v>
      </c>
      <c r="N174" s="60" t="n">
        <f aca="false">E174*Settings!$B$3</f>
        <v>3.68735197849863</v>
      </c>
      <c r="O174" s="60" t="n">
        <f aca="false">IF(E174&gt;0,(F174-N174)/SQRT(E174*Settings!$B$3*(1-Settings!$B$3)),0)</f>
        <v>1.22345288593636</v>
      </c>
      <c r="P174" s="60" t="n">
        <f aca="false">MAX(0,F174-N174)</f>
        <v>2.31264802150137</v>
      </c>
      <c r="Q174" s="32" t="n">
        <f aca="false">(F174+Settings!$B$7*Settings!$B$3)/(E174+Settings!$B$7)</f>
        <v>0.0465072787409034</v>
      </c>
      <c r="R174" s="61" t="n">
        <f aca="false">PERCENTRANK($H$2:$H$1780,H174,6)</f>
        <v>0.898763</v>
      </c>
      <c r="S174" s="61" t="n">
        <f aca="false">PERCENTRANK($Q$2:$Q$1780,Q174,6)</f>
        <v>0.85883</v>
      </c>
      <c r="T174" s="61" t="n">
        <f aca="false">PERCENTRANK($F$2:$F$1780,F174,6)</f>
        <v>0.898763</v>
      </c>
      <c r="U174" s="62" t="n">
        <f aca="false">IF(F174&gt;0,(Settings!$B$8*T174+Settings!$B$9*R174+Settings!$B$10*S174)/SUM(Settings!$B$8:$B$10),0)</f>
        <v>0.885452</v>
      </c>
      <c r="V174" s="56" t="n">
        <f aca="false">IF(U174&gt;0,RANK(U174,$U$2:$U$1780)+COUNTIF($U$2:U174,U174)-1,"")</f>
        <v>173</v>
      </c>
      <c r="W174" s="56" t="str">
        <f aca="false">IF(V174="","",IF(V174&lt;=Settings!$B$11,"1 - Fix first",IF(V174&lt;=Settings!$B$12,"2 - Review","3 - Monitor")))</f>
        <v>3 - Monitor</v>
      </c>
      <c r="X174" s="56" t="str">
        <f aca="false">IF(AND(E174&gt;=Settings!$B$4,F174&gt;=Settings!$B$5,O174&gt;=Settings!$B$6),"HIGH RATE","")</f>
        <v/>
      </c>
      <c r="Y174" s="56" t="n">
        <f aca="false">IF(F174&gt;0,RANK(F174,$F$2:$F$1780)+COUNTIF($F$2:F174,F174)-1,"")</f>
        <v>172</v>
      </c>
      <c r="Z174" s="56" t="n">
        <f aca="false">IF(H174&gt;0,RANK(H174,$H$2:$H$1780)+COUNTIF($H$2:H174,H174)-1,"")</f>
        <v>181</v>
      </c>
      <c r="AA174" s="56" t="n">
        <f aca="false">IF(AC174="","",RANK(AC174,$AC$2:$AC$1780)+COUNTIF($AC$2:AC174,AC174)-1)</f>
        <v>120</v>
      </c>
      <c r="AB174" s="56" t="str">
        <f aca="false">IF(AD174="","",RANK(AD174,$AD$2:$AD$1780)+COUNTIF($AD$2:AD174,AD174)-1)</f>
        <v/>
      </c>
      <c r="AC174" s="32" t="n">
        <f aca="false">IF(AND(F174&gt;0,E174&gt;=Settings!$B$4),J174,"")</f>
        <v>0.0504201680672269</v>
      </c>
      <c r="AD174" s="56" t="str">
        <f aca="false">IF(X174="HIGH RATE",O174,"")</f>
        <v/>
      </c>
    </row>
    <row r="175" customFormat="false" ht="15" hidden="false" customHeight="false" outlineLevel="0" collapsed="false">
      <c r="A175" s="56" t="s">
        <v>353</v>
      </c>
      <c r="B175" s="56" t="s">
        <v>1092</v>
      </c>
      <c r="C175" s="56" t="s">
        <v>51</v>
      </c>
      <c r="D175" s="56" t="str">
        <f aca="false">IFERROR(INDEX('Brand Map'!$B$4:$B$124,MATCH(C175,'Brand Map'!$A$4:$A$124,0)),"Other")</f>
        <v>AU</v>
      </c>
      <c r="E175" s="57" t="n">
        <v>6</v>
      </c>
      <c r="F175" s="57" t="n">
        <v>2</v>
      </c>
      <c r="G175" s="58" t="n">
        <v>1129.93</v>
      </c>
      <c r="H175" s="58" t="n">
        <v>310.83</v>
      </c>
      <c r="I175" s="58" t="n">
        <v>784.57</v>
      </c>
      <c r="J175" s="32" t="n">
        <f aca="false">IF(E175&gt;0,F175/E175,0)</f>
        <v>0.333333333333333</v>
      </c>
      <c r="K175" s="32" t="n">
        <f aca="false">IF(G175&gt;0,H175/G175,0)</f>
        <v>0.275087837299656</v>
      </c>
      <c r="L175" s="59" t="n">
        <f aca="false">H175/Settings!$B$16</f>
        <v>0.000621201975359528</v>
      </c>
      <c r="M175" s="59" t="n">
        <f aca="false">H175/Settings!$B$20</f>
        <v>2.41311006341262E-005</v>
      </c>
      <c r="N175" s="60" t="n">
        <f aca="false">E175*Settings!$B$3</f>
        <v>0.185916906478923</v>
      </c>
      <c r="O175" s="60" t="n">
        <f aca="false">IF(E175&gt;0,(F175-N175)/SQRT(E175*Settings!$B$3*(1-Settings!$B$3)),0)</f>
        <v>4.27398252097367</v>
      </c>
      <c r="P175" s="60" t="n">
        <f aca="false">MAX(0,F175-N175)</f>
        <v>1.81408309352108</v>
      </c>
      <c r="Q175" s="32" t="n">
        <f aca="false">(F175+Settings!$B$7*Settings!$B$3)/(E175+Settings!$B$7)</f>
        <v>0.0813773481220726</v>
      </c>
      <c r="R175" s="61" t="n">
        <f aca="false">PERCENTRANK($H$2:$H$1780,H175,6)</f>
        <v>0.868954</v>
      </c>
      <c r="S175" s="61" t="n">
        <f aca="false">PERCENTRANK($Q$2:$Q$1780,Q175,6)</f>
        <v>0.986502</v>
      </c>
      <c r="T175" s="61" t="n">
        <f aca="false">PERCENTRANK($F$2:$F$1780,F175,6)</f>
        <v>0.799775</v>
      </c>
      <c r="U175" s="62" t="n">
        <f aca="false">IF(F175&gt;0,(Settings!$B$8*T175+Settings!$B$9*R175+Settings!$B$10*S175)/SUM(Settings!$B$8:$B$10),0)</f>
        <v>0.885077</v>
      </c>
      <c r="V175" s="56" t="n">
        <f aca="false">IF(U175&gt;0,RANK(U175,$U$2:$U$1780)+COUNTIF($U$2:U175,U175)-1,"")</f>
        <v>174</v>
      </c>
      <c r="W175" s="56" t="str">
        <f aca="false">IF(V175="","",IF(V175&lt;=Settings!$B$11,"1 - Fix first",IF(V175&lt;=Settings!$B$12,"2 - Review","3 - Monitor")))</f>
        <v>3 - Monitor</v>
      </c>
      <c r="X175" s="56" t="str">
        <f aca="false">IF(AND(E175&gt;=Settings!$B$4,F175&gt;=Settings!$B$5,O175&gt;=Settings!$B$6),"HIGH RATE","")</f>
        <v/>
      </c>
      <c r="Y175" s="56" t="n">
        <f aca="false">IF(F175&gt;0,RANK(F175,$F$2:$F$1780)+COUNTIF($F$2:F175,F175)-1,"")</f>
        <v>285</v>
      </c>
      <c r="Z175" s="56" t="n">
        <f aca="false">IF(H175&gt;0,RANK(H175,$H$2:$H$1780)+COUNTIF($H$2:H175,H175)-1,"")</f>
        <v>234</v>
      </c>
      <c r="AA175" s="56" t="str">
        <f aca="false">IF(AC175="","",RANK(AC175,$AC$2:$AC$1780)+COUNTIF($AC$2:AC175,AC175)-1)</f>
        <v/>
      </c>
      <c r="AB175" s="56" t="str">
        <f aca="false">IF(AD175="","",RANK(AD175,$AD$2:$AD$1780)+COUNTIF($AD$2:AD175,AD175)-1)</f>
        <v/>
      </c>
      <c r="AC175" s="56" t="str">
        <f aca="false">IF(AND(F175&gt;0,E175&gt;=Settings!$B$4),J175,"")</f>
        <v/>
      </c>
      <c r="AD175" s="56" t="str">
        <f aca="false">IF(X175="HIGH RATE",O175,"")</f>
        <v/>
      </c>
    </row>
    <row r="176" customFormat="false" ht="15" hidden="false" customHeight="false" outlineLevel="0" collapsed="false">
      <c r="A176" s="56" t="s">
        <v>1093</v>
      </c>
      <c r="B176" s="56" t="s">
        <v>1005</v>
      </c>
      <c r="C176" s="56" t="s">
        <v>107</v>
      </c>
      <c r="D176" s="56" t="str">
        <f aca="false">IFERROR(INDEX('Brand Map'!$B$4:$B$124,MATCH(C176,'Brand Map'!$A$4:$A$124,0)),"Other")</f>
        <v>DCMJ</v>
      </c>
      <c r="E176" s="57" t="n">
        <v>365</v>
      </c>
      <c r="F176" s="57" t="n">
        <v>13</v>
      </c>
      <c r="G176" s="58" t="n">
        <v>34840.69</v>
      </c>
      <c r="H176" s="58" t="n">
        <v>1072.34</v>
      </c>
      <c r="I176" s="58" t="n">
        <v>31832.92</v>
      </c>
      <c r="J176" s="32" t="n">
        <f aca="false">IF(E176&gt;0,F176/E176,0)</f>
        <v>0.0356164383561644</v>
      </c>
      <c r="K176" s="32" t="n">
        <f aca="false">IF(G176&gt;0,H176/G176,0)</f>
        <v>0.0307783801067086</v>
      </c>
      <c r="L176" s="59" t="n">
        <f aca="false">H176/Settings!$B$16</f>
        <v>0.00214309984961888</v>
      </c>
      <c r="M176" s="59" t="n">
        <f aca="false">H176/Settings!$B$20</f>
        <v>8.32504727793293E-005</v>
      </c>
      <c r="N176" s="60" t="n">
        <f aca="false">E176*Settings!$B$3</f>
        <v>11.3099451441345</v>
      </c>
      <c r="O176" s="60" t="n">
        <f aca="false">IF(E176&gt;0,(F176-N176)/SQRT(E176*Settings!$B$3*(1-Settings!$B$3)),0)</f>
        <v>0.510511535661554</v>
      </c>
      <c r="P176" s="60" t="n">
        <f aca="false">MAX(0,F176-N176)</f>
        <v>1.69005485586555</v>
      </c>
      <c r="Q176" s="32" t="n">
        <f aca="false">(F176+Settings!$B$7*Settings!$B$3)/(E176+Settings!$B$7)</f>
        <v>0.0352647709680876</v>
      </c>
      <c r="R176" s="61" t="n">
        <f aca="false">PERCENTRANK($H$2:$H$1780,H176,6)</f>
        <v>0.943757</v>
      </c>
      <c r="S176" s="61" t="n">
        <f aca="false">PERCENTRANK($Q$2:$Q$1780,Q176,6)</f>
        <v>0.776153</v>
      </c>
      <c r="T176" s="61" t="n">
        <f aca="false">PERCENTRANK($F$2:$F$1780,F176,6)</f>
        <v>0.934758</v>
      </c>
      <c r="U176" s="62" t="n">
        <f aca="false">IF(F176&gt;0,(Settings!$B$8*T176+Settings!$B$9*R176+Settings!$B$10*S176)/SUM(Settings!$B$8:$B$10),0)</f>
        <v>0.884889333333333</v>
      </c>
      <c r="V176" s="56" t="n">
        <f aca="false">IF(U176&gt;0,RANK(U176,$U$2:$U$1780)+COUNTIF($U$2:U176,U176)-1,"")</f>
        <v>175</v>
      </c>
      <c r="W176" s="56" t="str">
        <f aca="false">IF(V176="","",IF(V176&lt;=Settings!$B$11,"1 - Fix first",IF(V176&lt;=Settings!$B$12,"2 - Review","3 - Monitor")))</f>
        <v>3 - Monitor</v>
      </c>
      <c r="X176" s="56" t="str">
        <f aca="false">IF(AND(E176&gt;=Settings!$B$4,F176&gt;=Settings!$B$5,O176&gt;=Settings!$B$6),"HIGH RATE","")</f>
        <v/>
      </c>
      <c r="Y176" s="56" t="n">
        <f aca="false">IF(F176&gt;0,RANK(F176,$F$2:$F$1780)+COUNTIF($F$2:F176,F176)-1,"")</f>
        <v>116</v>
      </c>
      <c r="Z176" s="56" t="n">
        <f aca="false">IF(H176&gt;0,RANK(H176,$H$2:$H$1780)+COUNTIF($H$2:H176,H176)-1,"")</f>
        <v>101</v>
      </c>
      <c r="AA176" s="56" t="n">
        <f aca="false">IF(AC176="","",RANK(AC176,$AC$2:$AC$1780)+COUNTIF($AC$2:AC176,AC176)-1)</f>
        <v>225</v>
      </c>
      <c r="AB176" s="56" t="str">
        <f aca="false">IF(AD176="","",RANK(AD176,$AD$2:$AD$1780)+COUNTIF($AD$2:AD176,AD176)-1)</f>
        <v/>
      </c>
      <c r="AC176" s="32" t="n">
        <f aca="false">IF(AND(F176&gt;0,E176&gt;=Settings!$B$4),J176,"")</f>
        <v>0.0356164383561644</v>
      </c>
      <c r="AD176" s="56" t="str">
        <f aca="false">IF(X176="HIGH RATE",O176,"")</f>
        <v/>
      </c>
    </row>
    <row r="177" customFormat="false" ht="15" hidden="false" customHeight="false" outlineLevel="0" collapsed="false">
      <c r="A177" s="56" t="s">
        <v>1094</v>
      </c>
      <c r="B177" s="56" t="s">
        <v>1095</v>
      </c>
      <c r="C177" s="56" t="s">
        <v>117</v>
      </c>
      <c r="D177" s="56" t="str">
        <f aca="false">IFERROR(INDEX('Brand Map'!$B$4:$B$124,MATCH(C177,'Brand Map'!$A$4:$A$124,0)),"Other")</f>
        <v>LF</v>
      </c>
      <c r="E177" s="57" t="n">
        <v>65</v>
      </c>
      <c r="F177" s="57" t="n">
        <v>4</v>
      </c>
      <c r="G177" s="58" t="n">
        <v>6778.14</v>
      </c>
      <c r="H177" s="58" t="n">
        <v>378.92</v>
      </c>
      <c r="I177" s="58" t="n">
        <v>6226.06</v>
      </c>
      <c r="J177" s="32" t="n">
        <f aca="false">IF(E177&gt;0,F177/E177,0)</f>
        <v>0.0615384615384615</v>
      </c>
      <c r="K177" s="32" t="n">
        <f aca="false">IF(G177&gt;0,H177/G177,0)</f>
        <v>0.0559032418923185</v>
      </c>
      <c r="L177" s="59" t="n">
        <f aca="false">H177/Settings!$B$16</f>
        <v>0.000757281641100384</v>
      </c>
      <c r="M177" s="59" t="n">
        <f aca="false">H177/Settings!$B$20</f>
        <v>2.94172269481167E-005</v>
      </c>
      <c r="N177" s="60" t="n">
        <f aca="false">E177*Settings!$B$3</f>
        <v>2.01409982018833</v>
      </c>
      <c r="O177" s="60" t="n">
        <f aca="false">IF(E177&gt;0,(F177-N177)/SQRT(E177*Settings!$B$3*(1-Settings!$B$3)),0)</f>
        <v>1.42151657453674</v>
      </c>
      <c r="P177" s="60" t="n">
        <f aca="false">MAX(0,F177-N177)</f>
        <v>1.98590017981167</v>
      </c>
      <c r="Q177" s="32" t="n">
        <f aca="false">(F177+Settings!$B$7*Settings!$B$3)/(E177+Settings!$B$7)</f>
        <v>0.0518903634988907</v>
      </c>
      <c r="R177" s="61" t="n">
        <f aca="false">PERCENTRANK($H$2:$H$1780,H177,6)</f>
        <v>0.885827</v>
      </c>
      <c r="S177" s="61" t="n">
        <f aca="false">PERCENTRANK($Q$2:$Q$1780,Q177,6)</f>
        <v>0.895388</v>
      </c>
      <c r="T177" s="61" t="n">
        <f aca="false">PERCENTRANK($F$2:$F$1780,F177,6)</f>
        <v>0.871766</v>
      </c>
      <c r="U177" s="62" t="n">
        <f aca="false">IF(F177&gt;0,(Settings!$B$8*T177+Settings!$B$9*R177+Settings!$B$10*S177)/SUM(Settings!$B$8:$B$10),0)</f>
        <v>0.884327</v>
      </c>
      <c r="V177" s="56" t="n">
        <f aca="false">IF(U177&gt;0,RANK(U177,$U$2:$U$1780)+COUNTIF($U$2:U177,U177)-1,"")</f>
        <v>176</v>
      </c>
      <c r="W177" s="56" t="str">
        <f aca="false">IF(V177="","",IF(V177&lt;=Settings!$B$11,"1 - Fix first",IF(V177&lt;=Settings!$B$12,"2 - Review","3 - Monitor")))</f>
        <v>3 - Monitor</v>
      </c>
      <c r="X177" s="56" t="str">
        <f aca="false">IF(AND(E177&gt;=Settings!$B$4,F177&gt;=Settings!$B$5,O177&gt;=Settings!$B$6),"HIGH RATE","")</f>
        <v/>
      </c>
      <c r="Y177" s="56" t="n">
        <f aca="false">IF(F177&gt;0,RANK(F177,$F$2:$F$1780)+COUNTIF($F$2:F177,F177)-1,"")</f>
        <v>209</v>
      </c>
      <c r="Z177" s="56" t="n">
        <f aca="false">IF(H177&gt;0,RANK(H177,$H$2:$H$1780)+COUNTIF($H$2:H177,H177)-1,"")</f>
        <v>204</v>
      </c>
      <c r="AA177" s="56" t="n">
        <f aca="false">IF(AC177="","",RANK(AC177,$AC$2:$AC$1780)+COUNTIF($AC$2:AC177,AC177)-1)</f>
        <v>67</v>
      </c>
      <c r="AB177" s="56" t="str">
        <f aca="false">IF(AD177="","",RANK(AD177,$AD$2:$AD$1780)+COUNTIF($AD$2:AD177,AD177)-1)</f>
        <v/>
      </c>
      <c r="AC177" s="32" t="n">
        <f aca="false">IF(AND(F177&gt;0,E177&gt;=Settings!$B$4),J177,"")</f>
        <v>0.0615384615384615</v>
      </c>
      <c r="AD177" s="56" t="str">
        <f aca="false">IF(X177="HIGH RATE",O177,"")</f>
        <v/>
      </c>
    </row>
    <row r="178" customFormat="false" ht="15" hidden="false" customHeight="false" outlineLevel="0" collapsed="false">
      <c r="A178" s="56" t="s">
        <v>1096</v>
      </c>
      <c r="B178" s="56" t="s">
        <v>1097</v>
      </c>
      <c r="C178" s="56" t="s">
        <v>51</v>
      </c>
      <c r="D178" s="56" t="str">
        <f aca="false">IFERROR(INDEX('Brand Map'!$B$4:$B$124,MATCH(C178,'Brand Map'!$A$4:$A$124,0)),"Other")</f>
        <v>AU</v>
      </c>
      <c r="E178" s="57" t="n">
        <v>10</v>
      </c>
      <c r="F178" s="57" t="n">
        <v>2</v>
      </c>
      <c r="G178" s="58" t="n">
        <v>1753.65</v>
      </c>
      <c r="H178" s="58" t="n">
        <v>315.38</v>
      </c>
      <c r="I178" s="58" t="n">
        <v>1309.68</v>
      </c>
      <c r="J178" s="32" t="n">
        <f aca="false">IF(E178&gt;0,F178/E178,0)</f>
        <v>0.2</v>
      </c>
      <c r="K178" s="32" t="n">
        <f aca="false">IF(G178&gt;0,H178/G178,0)</f>
        <v>0.179842043737348</v>
      </c>
      <c r="L178" s="59" t="n">
        <f aca="false">H178/Settings!$B$16</f>
        <v>0.000630295270691014</v>
      </c>
      <c r="M178" s="59" t="n">
        <f aca="false">H178/Settings!$B$20</f>
        <v>2.44843371553284E-005</v>
      </c>
      <c r="N178" s="60" t="n">
        <f aca="false">E178*Settings!$B$3</f>
        <v>0.309861510798204</v>
      </c>
      <c r="O178" s="60" t="n">
        <f aca="false">IF(E178&gt;0,(F178-N178)/SQRT(E178*Settings!$B$3*(1-Settings!$B$3)),0)</f>
        <v>3.08441980445907</v>
      </c>
      <c r="P178" s="60" t="n">
        <f aca="false">MAX(0,F178-N178)</f>
        <v>1.6901384892018</v>
      </c>
      <c r="Q178" s="32" t="n">
        <f aca="false">(F178+Settings!$B$7*Settings!$B$3)/(E178+Settings!$B$7)</f>
        <v>0.0732396133098653</v>
      </c>
      <c r="R178" s="61" t="n">
        <f aca="false">PERCENTRANK($H$2:$H$1780,H178,6)</f>
        <v>0.871766</v>
      </c>
      <c r="S178" s="61" t="n">
        <f aca="false">PERCENTRANK($Q$2:$Q$1780,Q178,6)</f>
        <v>0.980877</v>
      </c>
      <c r="T178" s="61" t="n">
        <f aca="false">PERCENTRANK($F$2:$F$1780,F178,6)</f>
        <v>0.799775</v>
      </c>
      <c r="U178" s="62" t="n">
        <f aca="false">IF(F178&gt;0,(Settings!$B$8*T178+Settings!$B$9*R178+Settings!$B$10*S178)/SUM(Settings!$B$8:$B$10),0)</f>
        <v>0.884139333333333</v>
      </c>
      <c r="V178" s="56" t="n">
        <f aca="false">IF(U178&gt;0,RANK(U178,$U$2:$U$1780)+COUNTIF($U$2:U178,U178)-1,"")</f>
        <v>177</v>
      </c>
      <c r="W178" s="56" t="str">
        <f aca="false">IF(V178="","",IF(V178&lt;=Settings!$B$11,"1 - Fix first",IF(V178&lt;=Settings!$B$12,"2 - Review","3 - Monitor")))</f>
        <v>3 - Monitor</v>
      </c>
      <c r="X178" s="56" t="str">
        <f aca="false">IF(AND(E178&gt;=Settings!$B$4,F178&gt;=Settings!$B$5,O178&gt;=Settings!$B$6),"HIGH RATE","")</f>
        <v/>
      </c>
      <c r="Y178" s="56" t="n">
        <f aca="false">IF(F178&gt;0,RANK(F178,$F$2:$F$1780)+COUNTIF($F$2:F178,F178)-1,"")</f>
        <v>286</v>
      </c>
      <c r="Z178" s="56" t="n">
        <f aca="false">IF(H178&gt;0,RANK(H178,$H$2:$H$1780)+COUNTIF($H$2:H178,H178)-1,"")</f>
        <v>229</v>
      </c>
      <c r="AA178" s="56" t="str">
        <f aca="false">IF(AC178="","",RANK(AC178,$AC$2:$AC$1780)+COUNTIF($AC$2:AC178,AC178)-1)</f>
        <v/>
      </c>
      <c r="AB178" s="56" t="str">
        <f aca="false">IF(AD178="","",RANK(AD178,$AD$2:$AD$1780)+COUNTIF($AD$2:AD178,AD178)-1)</f>
        <v/>
      </c>
      <c r="AC178" s="56" t="str">
        <f aca="false">IF(AND(F178&gt;0,E178&gt;=Settings!$B$4),J178,"")</f>
        <v/>
      </c>
      <c r="AD178" s="56" t="str">
        <f aca="false">IF(X178="HIGH RATE",O178,"")</f>
        <v/>
      </c>
    </row>
    <row r="179" customFormat="false" ht="15" hidden="false" customHeight="false" outlineLevel="0" collapsed="false">
      <c r="A179" s="56" t="s">
        <v>1098</v>
      </c>
      <c r="B179" s="56" t="s">
        <v>1099</v>
      </c>
      <c r="C179" s="56" t="s">
        <v>168</v>
      </c>
      <c r="D179" s="56" t="str">
        <f aca="false">IFERROR(INDEX('Brand Map'!$B$4:$B$124,MATCH(C179,'Brand Map'!$A$4:$A$124,0)),"Other")</f>
        <v>OR</v>
      </c>
      <c r="E179" s="57" t="n">
        <v>12</v>
      </c>
      <c r="F179" s="57" t="n">
        <v>2</v>
      </c>
      <c r="G179" s="58" t="n">
        <v>1806.87</v>
      </c>
      <c r="H179" s="58" t="n">
        <v>336.27</v>
      </c>
      <c r="I179" s="58" t="n">
        <v>1470.6</v>
      </c>
      <c r="J179" s="32" t="n">
        <f aca="false">IF(E179&gt;0,F179/E179,0)</f>
        <v>0.166666666666667</v>
      </c>
      <c r="K179" s="32" t="n">
        <f aca="false">IF(G179&gt;0,H179/G179,0)</f>
        <v>0.18610636072324</v>
      </c>
      <c r="L179" s="59" t="n">
        <f aca="false">H179/Settings!$B$16</f>
        <v>0.000672044488157991</v>
      </c>
      <c r="M179" s="59" t="n">
        <f aca="false">H179/Settings!$B$20</f>
        <v>2.61061197768479E-005</v>
      </c>
      <c r="N179" s="60" t="n">
        <f aca="false">E179*Settings!$B$3</f>
        <v>0.371833812957845</v>
      </c>
      <c r="O179" s="60" t="n">
        <f aca="false">IF(E179&gt;0,(F179-N179)/SQRT(E179*Settings!$B$3*(1-Settings!$B$3)),0)</f>
        <v>2.71243474766813</v>
      </c>
      <c r="P179" s="60" t="n">
        <f aca="false">MAX(0,F179-N179)</f>
        <v>1.62816618704215</v>
      </c>
      <c r="Q179" s="32" t="n">
        <f aca="false">(F179+Settings!$B$7*Settings!$B$3)/(E179+Settings!$B$7)</f>
        <v>0.0697520126760622</v>
      </c>
      <c r="R179" s="61" t="n">
        <f aca="false">PERCENTRANK($H$2:$H$1780,H179,6)</f>
        <v>0.874016</v>
      </c>
      <c r="S179" s="61" t="n">
        <f aca="false">PERCENTRANK($Q$2:$Q$1780,Q179,6)</f>
        <v>0.972441</v>
      </c>
      <c r="T179" s="61" t="n">
        <f aca="false">PERCENTRANK($F$2:$F$1780,F179,6)</f>
        <v>0.799775</v>
      </c>
      <c r="U179" s="62" t="n">
        <f aca="false">IF(F179&gt;0,(Settings!$B$8*T179+Settings!$B$9*R179+Settings!$B$10*S179)/SUM(Settings!$B$8:$B$10),0)</f>
        <v>0.882077333333333</v>
      </c>
      <c r="V179" s="56" t="n">
        <f aca="false">IF(U179&gt;0,RANK(U179,$U$2:$U$1780)+COUNTIF($U$2:U179,U179)-1,"")</f>
        <v>178</v>
      </c>
      <c r="W179" s="56" t="str">
        <f aca="false">IF(V179="","",IF(V179&lt;=Settings!$B$11,"1 - Fix first",IF(V179&lt;=Settings!$B$12,"2 - Review","3 - Monitor")))</f>
        <v>3 - Monitor</v>
      </c>
      <c r="X179" s="56" t="str">
        <f aca="false">IF(AND(E179&gt;=Settings!$B$4,F179&gt;=Settings!$B$5,O179&gt;=Settings!$B$6),"HIGH RATE","")</f>
        <v/>
      </c>
      <c r="Y179" s="56" t="n">
        <f aca="false">IF(F179&gt;0,RANK(F179,$F$2:$F$1780)+COUNTIF($F$2:F179,F179)-1,"")</f>
        <v>287</v>
      </c>
      <c r="Z179" s="56" t="n">
        <f aca="false">IF(H179&gt;0,RANK(H179,$H$2:$H$1780)+COUNTIF($H$2:H179,H179)-1,"")</f>
        <v>225</v>
      </c>
      <c r="AA179" s="56" t="str">
        <f aca="false">IF(AC179="","",RANK(AC179,$AC$2:$AC$1780)+COUNTIF($AC$2:AC179,AC179)-1)</f>
        <v/>
      </c>
      <c r="AB179" s="56" t="str">
        <f aca="false">IF(AD179="","",RANK(AD179,$AD$2:$AD$1780)+COUNTIF($AD$2:AD179,AD179)-1)</f>
        <v/>
      </c>
      <c r="AC179" s="56" t="str">
        <f aca="false">IF(AND(F179&gt;0,E179&gt;=Settings!$B$4),J179,"")</f>
        <v/>
      </c>
      <c r="AD179" s="56" t="str">
        <f aca="false">IF(X179="HIGH RATE",O179,"")</f>
        <v/>
      </c>
    </row>
    <row r="180" customFormat="false" ht="15" hidden="false" customHeight="false" outlineLevel="0" collapsed="false">
      <c r="A180" s="56" t="s">
        <v>280</v>
      </c>
      <c r="B180" s="56" t="s">
        <v>1100</v>
      </c>
      <c r="C180" s="56" t="s">
        <v>67</v>
      </c>
      <c r="D180" s="56" t="str">
        <f aca="false">IFERROR(INDEX('Brand Map'!$B$4:$B$124,MATCH(C180,'Brand Map'!$A$4:$A$124,0)),"Other")</f>
        <v>MJ</v>
      </c>
      <c r="E180" s="57" t="n">
        <v>130</v>
      </c>
      <c r="F180" s="57" t="n">
        <v>6</v>
      </c>
      <c r="G180" s="58" t="n">
        <v>12248.25</v>
      </c>
      <c r="H180" s="58" t="n">
        <v>537.66</v>
      </c>
      <c r="I180" s="58" t="n">
        <v>11354.58</v>
      </c>
      <c r="J180" s="32" t="n">
        <f aca="false">IF(E180&gt;0,F180/E180,0)</f>
        <v>0.0461538461538462</v>
      </c>
      <c r="K180" s="32" t="n">
        <f aca="false">IF(G180&gt;0,H180/G180,0)</f>
        <v>0.0438968832282163</v>
      </c>
      <c r="L180" s="59" t="n">
        <f aca="false">H180/Settings!$B$16</f>
        <v>0.0010745277292147</v>
      </c>
      <c r="M180" s="59" t="n">
        <f aca="false">H180/Settings!$B$20</f>
        <v>4.17409116460583E-005</v>
      </c>
      <c r="N180" s="60" t="n">
        <f aca="false">E180*Settings!$B$3</f>
        <v>4.02819964037666</v>
      </c>
      <c r="O180" s="60" t="n">
        <f aca="false">IF(E180&gt;0,(F180-N180)/SQRT(E180*Settings!$B$3*(1-Settings!$B$3)),0)</f>
        <v>0.998027380938476</v>
      </c>
      <c r="P180" s="60" t="n">
        <f aca="false">MAX(0,F180-N180)</f>
        <v>1.97180035962335</v>
      </c>
      <c r="Q180" s="32" t="n">
        <f aca="false">(F180+Settings!$B$7*Settings!$B$3)/(E180+Settings!$B$7)</f>
        <v>0.0433099033274663</v>
      </c>
      <c r="R180" s="61" t="n">
        <f aca="false">PERCENTRANK($H$2:$H$1780,H180,6)</f>
        <v>0.908324</v>
      </c>
      <c r="S180" s="61" t="n">
        <f aca="false">PERCENTRANK($Q$2:$Q$1780,Q180,6)</f>
        <v>0.835771</v>
      </c>
      <c r="T180" s="61" t="n">
        <f aca="false">PERCENTRANK($F$2:$F$1780,F180,6)</f>
        <v>0.898763</v>
      </c>
      <c r="U180" s="62" t="n">
        <f aca="false">IF(F180&gt;0,(Settings!$B$8*T180+Settings!$B$9*R180+Settings!$B$10*S180)/SUM(Settings!$B$8:$B$10),0)</f>
        <v>0.880952666666667</v>
      </c>
      <c r="V180" s="56" t="n">
        <f aca="false">IF(U180&gt;0,RANK(U180,$U$2:$U$1780)+COUNTIF($U$2:U180,U180)-1,"")</f>
        <v>179</v>
      </c>
      <c r="W180" s="56" t="str">
        <f aca="false">IF(V180="","",IF(V180&lt;=Settings!$B$11,"1 - Fix first",IF(V180&lt;=Settings!$B$12,"2 - Review","3 - Monitor")))</f>
        <v>3 - Monitor</v>
      </c>
      <c r="X180" s="56" t="str">
        <f aca="false">IF(AND(E180&gt;=Settings!$B$4,F180&gt;=Settings!$B$5,O180&gt;=Settings!$B$6),"HIGH RATE","")</f>
        <v/>
      </c>
      <c r="Y180" s="56" t="n">
        <f aca="false">IF(F180&gt;0,RANK(F180,$F$2:$F$1780)+COUNTIF($F$2:F180,F180)-1,"")</f>
        <v>173</v>
      </c>
      <c r="Z180" s="56" t="n">
        <f aca="false">IF(H180&gt;0,RANK(H180,$H$2:$H$1780)+COUNTIF($H$2:H180,H180)-1,"")</f>
        <v>164</v>
      </c>
      <c r="AA180" s="56" t="n">
        <f aca="false">IF(AC180="","",RANK(AC180,$AC$2:$AC$1780)+COUNTIF($AC$2:AC180,AC180)-1)</f>
        <v>152</v>
      </c>
      <c r="AB180" s="56" t="str">
        <f aca="false">IF(AD180="","",RANK(AD180,$AD$2:$AD$1780)+COUNTIF($AD$2:AD180,AD180)-1)</f>
        <v/>
      </c>
      <c r="AC180" s="32" t="n">
        <f aca="false">IF(AND(F180&gt;0,E180&gt;=Settings!$B$4),J180,"")</f>
        <v>0.0461538461538462</v>
      </c>
      <c r="AD180" s="56" t="str">
        <f aca="false">IF(X180="HIGH RATE",O180,"")</f>
        <v/>
      </c>
    </row>
    <row r="181" customFormat="false" ht="15" hidden="false" customHeight="false" outlineLevel="0" collapsed="false">
      <c r="A181" s="56" t="s">
        <v>1101</v>
      </c>
      <c r="B181" s="56" t="s">
        <v>1102</v>
      </c>
      <c r="C181" s="56" t="s">
        <v>111</v>
      </c>
      <c r="D181" s="56" t="str">
        <f aca="false">IFERROR(INDEX('Brand Map'!$B$4:$B$124,MATCH(C181,'Brand Map'!$A$4:$A$124,0)),"Other")</f>
        <v>AUFS</v>
      </c>
      <c r="E181" s="57" t="n">
        <v>135</v>
      </c>
      <c r="F181" s="57" t="n">
        <v>6</v>
      </c>
      <c r="G181" s="58" t="n">
        <v>16490.61</v>
      </c>
      <c r="H181" s="58" t="n">
        <v>566.55</v>
      </c>
      <c r="I181" s="58" t="n">
        <v>15323.69</v>
      </c>
      <c r="J181" s="32" t="n">
        <f aca="false">IF(E181&gt;0,F181/E181,0)</f>
        <v>0.0444444444444444</v>
      </c>
      <c r="K181" s="32" t="n">
        <f aca="false">IF(G181&gt;0,H181/G181,0)</f>
        <v>0.0343559152754204</v>
      </c>
      <c r="L181" s="59" t="n">
        <f aca="false">H181/Settings!$B$16</f>
        <v>0.00113226515825352</v>
      </c>
      <c r="M181" s="59" t="n">
        <f aca="false">H181/Settings!$B$20</f>
        <v>4.39837694696915E-005</v>
      </c>
      <c r="N181" s="60" t="n">
        <f aca="false">E181*Settings!$B$3</f>
        <v>4.18313039577576</v>
      </c>
      <c r="O181" s="60" t="n">
        <f aca="false">IF(E181&gt;0,(F181-N181)/SQRT(E181*Settings!$B$3*(1-Settings!$B$3)),0)</f>
        <v>0.902418658200216</v>
      </c>
      <c r="P181" s="60" t="n">
        <f aca="false">MAX(0,F181-N181)</f>
        <v>1.81686960422424</v>
      </c>
      <c r="Q181" s="32" t="n">
        <f aca="false">(F181+Settings!$B$7*Settings!$B$3)/(E181+Settings!$B$7)</f>
        <v>0.0419974820145128</v>
      </c>
      <c r="R181" s="61" t="n">
        <f aca="false">PERCENTRANK($H$2:$H$1780,H181,6)</f>
        <v>0.911136</v>
      </c>
      <c r="S181" s="61" t="n">
        <f aca="false">PERCENTRANK($Q$2:$Q$1780,Q181,6)</f>
        <v>0.831834</v>
      </c>
      <c r="T181" s="61" t="n">
        <f aca="false">PERCENTRANK($F$2:$F$1780,F181,6)</f>
        <v>0.898763</v>
      </c>
      <c r="U181" s="62" t="n">
        <f aca="false">IF(F181&gt;0,(Settings!$B$8*T181+Settings!$B$9*R181+Settings!$B$10*S181)/SUM(Settings!$B$8:$B$10),0)</f>
        <v>0.880577666666667</v>
      </c>
      <c r="V181" s="56" t="n">
        <f aca="false">IF(U181&gt;0,RANK(U181,$U$2:$U$1780)+COUNTIF($U$2:U181,U181)-1,"")</f>
        <v>180</v>
      </c>
      <c r="W181" s="56" t="str">
        <f aca="false">IF(V181="","",IF(V181&lt;=Settings!$B$11,"1 - Fix first",IF(V181&lt;=Settings!$B$12,"2 - Review","3 - Monitor")))</f>
        <v>3 - Monitor</v>
      </c>
      <c r="X181" s="56" t="str">
        <f aca="false">IF(AND(E181&gt;=Settings!$B$4,F181&gt;=Settings!$B$5,O181&gt;=Settings!$B$6),"HIGH RATE","")</f>
        <v/>
      </c>
      <c r="Y181" s="56" t="n">
        <f aca="false">IF(F181&gt;0,RANK(F181,$F$2:$F$1780)+COUNTIF($F$2:F181,F181)-1,"")</f>
        <v>174</v>
      </c>
      <c r="Z181" s="56" t="n">
        <f aca="false">IF(H181&gt;0,RANK(H181,$H$2:$H$1780)+COUNTIF($H$2:H181,H181)-1,"")</f>
        <v>159</v>
      </c>
      <c r="AA181" s="56" t="n">
        <f aca="false">IF(AC181="","",RANK(AC181,$AC$2:$AC$1780)+COUNTIF($AC$2:AC181,AC181)-1)</f>
        <v>162</v>
      </c>
      <c r="AB181" s="56" t="str">
        <f aca="false">IF(AD181="","",RANK(AD181,$AD$2:$AD$1780)+COUNTIF($AD$2:AD181,AD181)-1)</f>
        <v/>
      </c>
      <c r="AC181" s="32" t="n">
        <f aca="false">IF(AND(F181&gt;0,E181&gt;=Settings!$B$4),J181,"")</f>
        <v>0.0444444444444444</v>
      </c>
      <c r="AD181" s="56" t="str">
        <f aca="false">IF(X181="HIGH RATE",O181,"")</f>
        <v/>
      </c>
    </row>
    <row r="182" customFormat="false" ht="15" hidden="false" customHeight="false" outlineLevel="0" collapsed="false">
      <c r="A182" s="56" t="s">
        <v>1103</v>
      </c>
      <c r="B182" s="56" t="s">
        <v>1104</v>
      </c>
      <c r="C182" s="56" t="s">
        <v>139</v>
      </c>
      <c r="D182" s="56" t="str">
        <f aca="false">IFERROR(INDEX('Brand Map'!$B$4:$B$124,MATCH(C182,'Brand Map'!$A$4:$A$124,0)),"Other")</f>
        <v>AUSTRT</v>
      </c>
      <c r="E182" s="57" t="n">
        <v>501</v>
      </c>
      <c r="F182" s="57" t="n">
        <v>18</v>
      </c>
      <c r="G182" s="58" t="n">
        <v>18954.07</v>
      </c>
      <c r="H182" s="58" t="n">
        <v>595.32</v>
      </c>
      <c r="I182" s="58" t="n">
        <v>17461.22</v>
      </c>
      <c r="J182" s="32" t="n">
        <f aca="false">IF(E182&gt;0,F182/E182,0)</f>
        <v>0.0359281437125749</v>
      </c>
      <c r="K182" s="32" t="n">
        <f aca="false">IF(G182&gt;0,H182/G182,0)</f>
        <v>0.0314085576343234</v>
      </c>
      <c r="L182" s="59" t="n">
        <f aca="false">H182/Settings!$B$16</f>
        <v>0.00118976276411876</v>
      </c>
      <c r="M182" s="59" t="n">
        <f aca="false">H182/Settings!$B$20</f>
        <v>4.6217311165293E-005</v>
      </c>
      <c r="N182" s="60" t="n">
        <f aca="false">E182*Settings!$B$3</f>
        <v>15.52406169099</v>
      </c>
      <c r="O182" s="60" t="n">
        <f aca="false">IF(E182&gt;0,(F182-N182)/SQRT(E182*Settings!$B$3*(1-Settings!$B$3)),0)</f>
        <v>0.63836952713692</v>
      </c>
      <c r="P182" s="60" t="n">
        <f aca="false">MAX(0,F182-N182)</f>
        <v>2.47593830900997</v>
      </c>
      <c r="Q182" s="32" t="n">
        <f aca="false">(F182+Settings!$B$7*Settings!$B$3)/(E182+Settings!$B$7)</f>
        <v>0.0356489350892554</v>
      </c>
      <c r="R182" s="61" t="n">
        <f aca="false">PERCENTRANK($H$2:$H$1780,H182,6)</f>
        <v>0.912823</v>
      </c>
      <c r="S182" s="61" t="n">
        <f aca="false">PERCENTRANK($Q$2:$Q$1780,Q182,6)</f>
        <v>0.77784</v>
      </c>
      <c r="T182" s="61" t="n">
        <f aca="false">PERCENTRANK($F$2:$F$1780,F182,6)</f>
        <v>0.947694</v>
      </c>
      <c r="U182" s="62" t="n">
        <f aca="false">IF(F182&gt;0,(Settings!$B$8*T182+Settings!$B$9*R182+Settings!$B$10*S182)/SUM(Settings!$B$8:$B$10),0)</f>
        <v>0.879452333333333</v>
      </c>
      <c r="V182" s="56" t="n">
        <f aca="false">IF(U182&gt;0,RANK(U182,$U$2:$U$1780)+COUNTIF($U$2:U182,U182)-1,"")</f>
        <v>181</v>
      </c>
      <c r="W182" s="56" t="str">
        <f aca="false">IF(V182="","",IF(V182&lt;=Settings!$B$11,"1 - Fix first",IF(V182&lt;=Settings!$B$12,"2 - Review","3 - Monitor")))</f>
        <v>3 - Monitor</v>
      </c>
      <c r="X182" s="56" t="str">
        <f aca="false">IF(AND(E182&gt;=Settings!$B$4,F182&gt;=Settings!$B$5,O182&gt;=Settings!$B$6),"HIGH RATE","")</f>
        <v/>
      </c>
      <c r="Y182" s="56" t="n">
        <f aca="false">IF(F182&gt;0,RANK(F182,$F$2:$F$1780)+COUNTIF($F$2:F182,F182)-1,"")</f>
        <v>92</v>
      </c>
      <c r="Z182" s="56" t="n">
        <f aca="false">IF(H182&gt;0,RANK(H182,$H$2:$H$1780)+COUNTIF($H$2:H182,H182)-1,"")</f>
        <v>156</v>
      </c>
      <c r="AA182" s="56" t="n">
        <f aca="false">IF(AC182="","",RANK(AC182,$AC$2:$AC$1780)+COUNTIF($AC$2:AC182,AC182)-1)</f>
        <v>221</v>
      </c>
      <c r="AB182" s="56" t="str">
        <f aca="false">IF(AD182="","",RANK(AD182,$AD$2:$AD$1780)+COUNTIF($AD$2:AD182,AD182)-1)</f>
        <v/>
      </c>
      <c r="AC182" s="32" t="n">
        <f aca="false">IF(AND(F182&gt;0,E182&gt;=Settings!$B$4),J182,"")</f>
        <v>0.0359281437125749</v>
      </c>
      <c r="AD182" s="56" t="str">
        <f aca="false">IF(X182="HIGH RATE",O182,"")</f>
        <v/>
      </c>
    </row>
    <row r="183" customFormat="false" ht="15" hidden="false" customHeight="false" outlineLevel="0" collapsed="false">
      <c r="A183" s="56" t="s">
        <v>1105</v>
      </c>
      <c r="B183" s="56" t="s">
        <v>1106</v>
      </c>
      <c r="C183" s="56" t="s">
        <v>55</v>
      </c>
      <c r="D183" s="56" t="str">
        <f aca="false">IFERROR(INDEX('Brand Map'!$B$4:$B$124,MATCH(C183,'Brand Map'!$A$4:$A$124,0)),"Other")</f>
        <v>AUMJ</v>
      </c>
      <c r="E183" s="57" t="n">
        <v>501</v>
      </c>
      <c r="F183" s="57" t="n">
        <v>15</v>
      </c>
      <c r="G183" s="58" t="n">
        <v>50951.14</v>
      </c>
      <c r="H183" s="58" t="n">
        <v>1281.35</v>
      </c>
      <c r="I183" s="58" t="n">
        <v>44569.71</v>
      </c>
      <c r="J183" s="32" t="n">
        <f aca="false">IF(E183&gt;0,F183/E183,0)</f>
        <v>0.029940119760479</v>
      </c>
      <c r="K183" s="32" t="n">
        <f aca="false">IF(G183&gt;0,H183/G183,0)</f>
        <v>0.0251486031519609</v>
      </c>
      <c r="L183" s="59" t="n">
        <f aca="false">H183/Settings!$B$16</f>
        <v>0.00256081186219776</v>
      </c>
      <c r="M183" s="59" t="n">
        <f aca="false">H183/Settings!$B$20</f>
        <v>9.94768387785531E-005</v>
      </c>
      <c r="N183" s="60" t="n">
        <f aca="false">E183*Settings!$B$3</f>
        <v>15.52406169099</v>
      </c>
      <c r="O183" s="60" t="n">
        <f aca="false">IF(E183&gt;0,(F183-N183)/SQRT(E183*Settings!$B$3*(1-Settings!$B$3)),0)</f>
        <v>-0.135118477164987</v>
      </c>
      <c r="P183" s="60" t="n">
        <f aca="false">MAX(0,F183-N183)</f>
        <v>0</v>
      </c>
      <c r="Q183" s="32" t="n">
        <f aca="false">(F183+Settings!$B$7*Settings!$B$3)/(E183+Settings!$B$7)</f>
        <v>0.0299992175751311</v>
      </c>
      <c r="R183" s="61" t="n">
        <f aca="false">PERCENTRANK($H$2:$H$1780,H183,6)</f>
        <v>0.955568</v>
      </c>
      <c r="S183" s="61" t="n">
        <f aca="false">PERCENTRANK($Q$2:$Q$1780,Q183,6)</f>
        <v>0.741282</v>
      </c>
      <c r="T183" s="61" t="n">
        <f aca="false">PERCENTRANK($F$2:$F$1780,F183,6)</f>
        <v>0.940945</v>
      </c>
      <c r="U183" s="62" t="n">
        <f aca="false">IF(F183&gt;0,(Settings!$B$8*T183+Settings!$B$9*R183+Settings!$B$10*S183)/SUM(Settings!$B$8:$B$10),0)</f>
        <v>0.879265</v>
      </c>
      <c r="V183" s="56" t="n">
        <f aca="false">IF(U183&gt;0,RANK(U183,$U$2:$U$1780)+COUNTIF($U$2:U183,U183)-1,"")</f>
        <v>182</v>
      </c>
      <c r="W183" s="56" t="str">
        <f aca="false">IF(V183="","",IF(V183&lt;=Settings!$B$11,"1 - Fix first",IF(V183&lt;=Settings!$B$12,"2 - Review","3 - Monitor")))</f>
        <v>3 - Monitor</v>
      </c>
      <c r="X183" s="56" t="str">
        <f aca="false">IF(AND(E183&gt;=Settings!$B$4,F183&gt;=Settings!$B$5,O183&gt;=Settings!$B$6),"HIGH RATE","")</f>
        <v/>
      </c>
      <c r="Y183" s="56" t="n">
        <f aca="false">IF(F183&gt;0,RANK(F183,$F$2:$F$1780)+COUNTIF($F$2:F183,F183)-1,"")</f>
        <v>104</v>
      </c>
      <c r="Z183" s="56" t="n">
        <f aca="false">IF(H183&gt;0,RANK(H183,$H$2:$H$1780)+COUNTIF($H$2:H183,H183)-1,"")</f>
        <v>80</v>
      </c>
      <c r="AA183" s="56" t="n">
        <f aca="false">IF(AC183="","",RANK(AC183,$AC$2:$AC$1780)+COUNTIF($AC$2:AC183,AC183)-1)</f>
        <v>265</v>
      </c>
      <c r="AB183" s="56" t="str">
        <f aca="false">IF(AD183="","",RANK(AD183,$AD$2:$AD$1780)+COUNTIF($AD$2:AD183,AD183)-1)</f>
        <v/>
      </c>
      <c r="AC183" s="32" t="n">
        <f aca="false">IF(AND(F183&gt;0,E183&gt;=Settings!$B$4),J183,"")</f>
        <v>0.029940119760479</v>
      </c>
      <c r="AD183" s="56" t="str">
        <f aca="false">IF(X183="HIGH RATE",O183,"")</f>
        <v/>
      </c>
    </row>
    <row r="184" customFormat="false" ht="15" hidden="false" customHeight="false" outlineLevel="0" collapsed="false">
      <c r="A184" s="56" t="s">
        <v>1107</v>
      </c>
      <c r="B184" s="56" t="s">
        <v>1108</v>
      </c>
      <c r="C184" s="56" t="s">
        <v>165</v>
      </c>
      <c r="D184" s="56" t="str">
        <f aca="false">IFERROR(INDEX('Brand Map'!$B$4:$B$124,MATCH(C184,'Brand Map'!$A$4:$A$124,0)),"Other")</f>
        <v>GWC</v>
      </c>
      <c r="E184" s="57" t="n">
        <v>13</v>
      </c>
      <c r="F184" s="57" t="n">
        <v>2</v>
      </c>
      <c r="G184" s="58" t="n">
        <v>2257.54</v>
      </c>
      <c r="H184" s="58" t="n">
        <v>307.55</v>
      </c>
      <c r="I184" s="58" t="n">
        <v>1854.3</v>
      </c>
      <c r="J184" s="32" t="n">
        <f aca="false">IF(E184&gt;0,F184/E184,0)</f>
        <v>0.153846153846154</v>
      </c>
      <c r="K184" s="32" t="n">
        <f aca="false">IF(G184&gt;0,H184/G184,0)</f>
        <v>0.136232359116561</v>
      </c>
      <c r="L184" s="59" t="n">
        <f aca="false">H184/Settings!$B$16</f>
        <v>0.000614646808615072</v>
      </c>
      <c r="M184" s="59" t="n">
        <f aca="false">H184/Settings!$B$20</f>
        <v>2.38764598012596E-005</v>
      </c>
      <c r="N184" s="60" t="n">
        <f aca="false">E184*Settings!$B$3</f>
        <v>0.402819964037665</v>
      </c>
      <c r="O184" s="60" t="n">
        <f aca="false">IF(E184&gt;0,(F184-N184)/SQRT(E184*Settings!$B$3*(1-Settings!$B$3)),0)</f>
        <v>2.55642695394266</v>
      </c>
      <c r="P184" s="60" t="n">
        <f aca="false">MAX(0,F184-N184)</f>
        <v>1.59718003596233</v>
      </c>
      <c r="Q184" s="32" t="n">
        <f aca="false">(F184+Settings!$B$7*Settings!$B$3)/(E184+Settings!$B$7)</f>
        <v>0.0681298728463863</v>
      </c>
      <c r="R184" s="61" t="n">
        <f aca="false">PERCENTRANK($H$2:$H$1780,H184,6)</f>
        <v>0.866704</v>
      </c>
      <c r="S184" s="61" t="n">
        <f aca="false">PERCENTRANK($Q$2:$Q$1780,Q184,6)</f>
        <v>0.970754</v>
      </c>
      <c r="T184" s="61" t="n">
        <f aca="false">PERCENTRANK($F$2:$F$1780,F184,6)</f>
        <v>0.799775</v>
      </c>
      <c r="U184" s="62" t="n">
        <f aca="false">IF(F184&gt;0,(Settings!$B$8*T184+Settings!$B$9*R184+Settings!$B$10*S184)/SUM(Settings!$B$8:$B$10),0)</f>
        <v>0.879077666666667</v>
      </c>
      <c r="V184" s="56" t="n">
        <f aca="false">IF(U184&gt;0,RANK(U184,$U$2:$U$1780)+COUNTIF($U$2:U184,U184)-1,"")</f>
        <v>183</v>
      </c>
      <c r="W184" s="56" t="str">
        <f aca="false">IF(V184="","",IF(V184&lt;=Settings!$B$11,"1 - Fix first",IF(V184&lt;=Settings!$B$12,"2 - Review","3 - Monitor")))</f>
        <v>3 - Monitor</v>
      </c>
      <c r="X184" s="56" t="str">
        <f aca="false">IF(AND(E184&gt;=Settings!$B$4,F184&gt;=Settings!$B$5,O184&gt;=Settings!$B$6),"HIGH RATE","")</f>
        <v/>
      </c>
      <c r="Y184" s="56" t="n">
        <f aca="false">IF(F184&gt;0,RANK(F184,$F$2:$F$1780)+COUNTIF($F$2:F184,F184)-1,"")</f>
        <v>288</v>
      </c>
      <c r="Z184" s="56" t="n">
        <f aca="false">IF(H184&gt;0,RANK(H184,$H$2:$H$1780)+COUNTIF($H$2:H184,H184)-1,"")</f>
        <v>238</v>
      </c>
      <c r="AA184" s="56" t="str">
        <f aca="false">IF(AC184="","",RANK(AC184,$AC$2:$AC$1780)+COUNTIF($AC$2:AC184,AC184)-1)</f>
        <v/>
      </c>
      <c r="AB184" s="56" t="str">
        <f aca="false">IF(AD184="","",RANK(AD184,$AD$2:$AD$1780)+COUNTIF($AD$2:AD184,AD184)-1)</f>
        <v/>
      </c>
      <c r="AC184" s="56" t="str">
        <f aca="false">IF(AND(F184&gt;0,E184&gt;=Settings!$B$4),J184,"")</f>
        <v/>
      </c>
      <c r="AD184" s="56" t="str">
        <f aca="false">IF(X184="HIGH RATE",O184,"")</f>
        <v/>
      </c>
    </row>
    <row r="185" customFormat="false" ht="15" hidden="false" customHeight="false" outlineLevel="0" collapsed="false">
      <c r="A185" s="56" t="s">
        <v>357</v>
      </c>
      <c r="B185" s="56" t="s">
        <v>1109</v>
      </c>
      <c r="C185" s="56" t="s">
        <v>87</v>
      </c>
      <c r="D185" s="56" t="str">
        <f aca="false">IFERROR(INDEX('Brand Map'!$B$4:$B$124,MATCH(C185,'Brand Map'!$A$4:$A$124,0)),"Other")</f>
        <v>FYF</v>
      </c>
      <c r="E185" s="57" t="n">
        <v>9</v>
      </c>
      <c r="F185" s="57" t="n">
        <v>2</v>
      </c>
      <c r="G185" s="58" t="n">
        <v>1214.55</v>
      </c>
      <c r="H185" s="58" t="n">
        <v>269.9</v>
      </c>
      <c r="I185" s="58" t="n">
        <v>944.65</v>
      </c>
      <c r="J185" s="32" t="n">
        <f aca="false">IF(E185&gt;0,F185/E185,0)</f>
        <v>0.222222222222222</v>
      </c>
      <c r="K185" s="32" t="n">
        <f aca="false">IF(G185&gt;0,H185/G185,0)</f>
        <v>0.222222222222222</v>
      </c>
      <c r="L185" s="59" t="n">
        <f aca="false">H185/Settings!$B$16</f>
        <v>0.000539402287905082</v>
      </c>
      <c r="M185" s="59" t="n">
        <f aca="false">H185/Settings!$B$20</f>
        <v>2.09535246313119E-005</v>
      </c>
      <c r="N185" s="60" t="n">
        <f aca="false">E185*Settings!$B$3</f>
        <v>0.278875359718384</v>
      </c>
      <c r="O185" s="60" t="n">
        <f aca="false">IF(E185&gt;0,(F185-N185)/SQRT(E185*Settings!$B$3*(1-Settings!$B$3)),0)</f>
        <v>3.31087098938542</v>
      </c>
      <c r="P185" s="60" t="n">
        <f aca="false">MAX(0,F185-N185)</f>
        <v>1.72112464028162</v>
      </c>
      <c r="Q185" s="32" t="n">
        <f aca="false">(F185+Settings!$B$7*Settings!$B$3)/(E185+Settings!$B$7)</f>
        <v>0.0751175521126824</v>
      </c>
      <c r="R185" s="61" t="n">
        <f aca="false">PERCENTRANK($H$2:$H$1780,H185,6)</f>
        <v>0.854893</v>
      </c>
      <c r="S185" s="61" t="n">
        <f aca="false">PERCENTRANK($Q$2:$Q$1780,Q185,6)</f>
        <v>0.982002</v>
      </c>
      <c r="T185" s="61" t="n">
        <f aca="false">PERCENTRANK($F$2:$F$1780,F185,6)</f>
        <v>0.799775</v>
      </c>
      <c r="U185" s="62" t="n">
        <f aca="false">IF(F185&gt;0,(Settings!$B$8*T185+Settings!$B$9*R185+Settings!$B$10*S185)/SUM(Settings!$B$8:$B$10),0)</f>
        <v>0.87889</v>
      </c>
      <c r="V185" s="56" t="n">
        <f aca="false">IF(U185&gt;0,RANK(U185,$U$2:$U$1780)+COUNTIF($U$2:U185,U185)-1,"")</f>
        <v>184</v>
      </c>
      <c r="W185" s="56" t="str">
        <f aca="false">IF(V185="","",IF(V185&lt;=Settings!$B$11,"1 - Fix first",IF(V185&lt;=Settings!$B$12,"2 - Review","3 - Monitor")))</f>
        <v>3 - Monitor</v>
      </c>
      <c r="X185" s="56" t="str">
        <f aca="false">IF(AND(E185&gt;=Settings!$B$4,F185&gt;=Settings!$B$5,O185&gt;=Settings!$B$6),"HIGH RATE","")</f>
        <v/>
      </c>
      <c r="Y185" s="56" t="n">
        <f aca="false">IF(F185&gt;0,RANK(F185,$F$2:$F$1780)+COUNTIF($F$2:F185,F185)-1,"")</f>
        <v>289</v>
      </c>
      <c r="Z185" s="56" t="n">
        <f aca="false">IF(H185&gt;0,RANK(H185,$H$2:$H$1780)+COUNTIF($H$2:H185,H185)-1,"")</f>
        <v>259</v>
      </c>
      <c r="AA185" s="56" t="str">
        <f aca="false">IF(AC185="","",RANK(AC185,$AC$2:$AC$1780)+COUNTIF($AC$2:AC185,AC185)-1)</f>
        <v/>
      </c>
      <c r="AB185" s="56" t="str">
        <f aca="false">IF(AD185="","",RANK(AD185,$AD$2:$AD$1780)+COUNTIF($AD$2:AD185,AD185)-1)</f>
        <v/>
      </c>
      <c r="AC185" s="56" t="str">
        <f aca="false">IF(AND(F185&gt;0,E185&gt;=Settings!$B$4),J185,"")</f>
        <v/>
      </c>
      <c r="AD185" s="56" t="str">
        <f aca="false">IF(X185="HIGH RATE",O185,"")</f>
        <v/>
      </c>
    </row>
    <row r="186" customFormat="false" ht="15" hidden="false" customHeight="false" outlineLevel="0" collapsed="false">
      <c r="A186" s="56" t="s">
        <v>1110</v>
      </c>
      <c r="B186" s="56" t="s">
        <v>1111</v>
      </c>
      <c r="C186" s="56" t="s">
        <v>117</v>
      </c>
      <c r="D186" s="56" t="str">
        <f aca="false">IFERROR(INDEX('Brand Map'!$B$4:$B$124,MATCH(C186,'Brand Map'!$A$4:$A$124,0)),"Other")</f>
        <v>LF</v>
      </c>
      <c r="E186" s="57" t="n">
        <v>13</v>
      </c>
      <c r="F186" s="57" t="n">
        <v>2</v>
      </c>
      <c r="G186" s="58" t="n">
        <v>2181.17</v>
      </c>
      <c r="H186" s="58" t="n">
        <v>302.65</v>
      </c>
      <c r="I186" s="58" t="n">
        <v>1735.45</v>
      </c>
      <c r="J186" s="32" t="n">
        <f aca="false">IF(E186&gt;0,F186/E186,0)</f>
        <v>0.153846153846154</v>
      </c>
      <c r="K186" s="32" t="n">
        <f aca="false">IF(G186&gt;0,H186/G186,0)</f>
        <v>0.138755805370512</v>
      </c>
      <c r="L186" s="59" t="n">
        <f aca="false">H186/Settings!$B$16</f>
        <v>0.000604854029027318</v>
      </c>
      <c r="M186" s="59" t="n">
        <f aca="false">H186/Settings!$B$20</f>
        <v>2.3496051239965E-005</v>
      </c>
      <c r="N186" s="60" t="n">
        <f aca="false">E186*Settings!$B$3</f>
        <v>0.402819964037665</v>
      </c>
      <c r="O186" s="60" t="n">
        <f aca="false">IF(E186&gt;0,(F186-N186)/SQRT(E186*Settings!$B$3*(1-Settings!$B$3)),0)</f>
        <v>2.55642695394266</v>
      </c>
      <c r="P186" s="60" t="n">
        <f aca="false">MAX(0,F186-N186)</f>
        <v>1.59718003596233</v>
      </c>
      <c r="Q186" s="32" t="n">
        <f aca="false">(F186+Settings!$B$7*Settings!$B$3)/(E186+Settings!$B$7)</f>
        <v>0.0681298728463863</v>
      </c>
      <c r="R186" s="61" t="n">
        <f aca="false">PERCENTRANK($H$2:$H$1780,H186,6)</f>
        <v>0.865579</v>
      </c>
      <c r="S186" s="61" t="n">
        <f aca="false">PERCENTRANK($Q$2:$Q$1780,Q186,6)</f>
        <v>0.970754</v>
      </c>
      <c r="T186" s="61" t="n">
        <f aca="false">PERCENTRANK($F$2:$F$1780,F186,6)</f>
        <v>0.799775</v>
      </c>
      <c r="U186" s="62" t="n">
        <f aca="false">IF(F186&gt;0,(Settings!$B$8*T186+Settings!$B$9*R186+Settings!$B$10*S186)/SUM(Settings!$B$8:$B$10),0)</f>
        <v>0.878702666666667</v>
      </c>
      <c r="V186" s="56" t="n">
        <f aca="false">IF(U186&gt;0,RANK(U186,$U$2:$U$1780)+COUNTIF($U$2:U186,U186)-1,"")</f>
        <v>185</v>
      </c>
      <c r="W186" s="56" t="str">
        <f aca="false">IF(V186="","",IF(V186&lt;=Settings!$B$11,"1 - Fix first",IF(V186&lt;=Settings!$B$12,"2 - Review","3 - Monitor")))</f>
        <v>3 - Monitor</v>
      </c>
      <c r="X186" s="56" t="str">
        <f aca="false">IF(AND(E186&gt;=Settings!$B$4,F186&gt;=Settings!$B$5,O186&gt;=Settings!$B$6),"HIGH RATE","")</f>
        <v/>
      </c>
      <c r="Y186" s="56" t="n">
        <f aca="false">IF(F186&gt;0,RANK(F186,$F$2:$F$1780)+COUNTIF($F$2:F186,F186)-1,"")</f>
        <v>290</v>
      </c>
      <c r="Z186" s="56" t="n">
        <f aca="false">IF(H186&gt;0,RANK(H186,$H$2:$H$1780)+COUNTIF($H$2:H186,H186)-1,"")</f>
        <v>240</v>
      </c>
      <c r="AA186" s="56" t="str">
        <f aca="false">IF(AC186="","",RANK(AC186,$AC$2:$AC$1780)+COUNTIF($AC$2:AC186,AC186)-1)</f>
        <v/>
      </c>
      <c r="AB186" s="56" t="str">
        <f aca="false">IF(AD186="","",RANK(AD186,$AD$2:$AD$1780)+COUNTIF($AD$2:AD186,AD186)-1)</f>
        <v/>
      </c>
      <c r="AC186" s="56" t="str">
        <f aca="false">IF(AND(F186&gt;0,E186&gt;=Settings!$B$4),J186,"")</f>
        <v/>
      </c>
      <c r="AD186" s="56" t="str">
        <f aca="false">IF(X186="HIGH RATE",O186,"")</f>
        <v/>
      </c>
    </row>
    <row r="187" customFormat="false" ht="15" hidden="false" customHeight="false" outlineLevel="0" collapsed="false">
      <c r="A187" s="56" t="s">
        <v>1112</v>
      </c>
      <c r="B187" s="56" t="s">
        <v>552</v>
      </c>
      <c r="C187" s="56" t="s">
        <v>87</v>
      </c>
      <c r="D187" s="56" t="str">
        <f aca="false">IFERROR(INDEX('Brand Map'!$B$4:$B$124,MATCH(C187,'Brand Map'!$A$4:$A$124,0)),"Other")</f>
        <v>FYF</v>
      </c>
      <c r="E187" s="57" t="n">
        <v>36</v>
      </c>
      <c r="F187" s="57" t="n">
        <v>3</v>
      </c>
      <c r="G187" s="58" t="n">
        <v>3058.2</v>
      </c>
      <c r="H187" s="58" t="n">
        <v>254.85</v>
      </c>
      <c r="I187" s="58" t="n">
        <v>2803.35</v>
      </c>
      <c r="J187" s="32" t="n">
        <f aca="false">IF(E187&gt;0,F187/E187,0)</f>
        <v>0.0833333333333333</v>
      </c>
      <c r="K187" s="32" t="n">
        <f aca="false">IF(G187&gt;0,H187/G187,0)</f>
        <v>0.0833333333333333</v>
      </c>
      <c r="L187" s="59" t="n">
        <f aca="false">H187/Settings!$B$16</f>
        <v>0.000509324464885551</v>
      </c>
      <c r="M187" s="59" t="n">
        <f aca="false">H187/Settings!$B$20</f>
        <v>1.97851269073354E-005</v>
      </c>
      <c r="N187" s="60" t="n">
        <f aca="false">E187*Settings!$B$3</f>
        <v>1.11550143887354</v>
      </c>
      <c r="O187" s="60" t="n">
        <f aca="false">IF(E187&gt;0,(F187-N187)/SQRT(E187*Settings!$B$3*(1-Settings!$B$3)),0)</f>
        <v>1.8125740197849</v>
      </c>
      <c r="P187" s="60" t="n">
        <f aca="false">MAX(0,F187-N187)</f>
        <v>1.88449856112647</v>
      </c>
      <c r="Q187" s="32" t="n">
        <f aca="false">(F187+Settings!$B$7*Settings!$B$3)/(E187+Settings!$B$7)</f>
        <v>0.0595391595817366</v>
      </c>
      <c r="R187" s="61" t="n">
        <f aca="false">PERCENTRANK($H$2:$H$1780,H187,6)</f>
        <v>0.849269</v>
      </c>
      <c r="S187" s="61" t="n">
        <f aca="false">PERCENTRANK($Q$2:$Q$1780,Q187,6)</f>
        <v>0.943757</v>
      </c>
      <c r="T187" s="61" t="n">
        <f aca="false">PERCENTRANK($F$2:$F$1780,F187,6)</f>
        <v>0.84252</v>
      </c>
      <c r="U187" s="62" t="n">
        <f aca="false">IF(F187&gt;0,(Settings!$B$8*T187+Settings!$B$9*R187+Settings!$B$10*S187)/SUM(Settings!$B$8:$B$10),0)</f>
        <v>0.878515333333333</v>
      </c>
      <c r="V187" s="56" t="n">
        <f aca="false">IF(U187&gt;0,RANK(U187,$U$2:$U$1780)+COUNTIF($U$2:U187,U187)-1,"")</f>
        <v>186</v>
      </c>
      <c r="W187" s="56" t="str">
        <f aca="false">IF(V187="","",IF(V187&lt;=Settings!$B$11,"1 - Fix first",IF(V187&lt;=Settings!$B$12,"2 - Review","3 - Monitor")))</f>
        <v>3 - Monitor</v>
      </c>
      <c r="X187" s="56" t="str">
        <f aca="false">IF(AND(E187&gt;=Settings!$B$4,F187&gt;=Settings!$B$5,O187&gt;=Settings!$B$6),"HIGH RATE","")</f>
        <v/>
      </c>
      <c r="Y187" s="56" t="n">
        <f aca="false">IF(F187&gt;0,RANK(F187,$F$2:$F$1780)+COUNTIF($F$2:F187,F187)-1,"")</f>
        <v>241</v>
      </c>
      <c r="Z187" s="56" t="n">
        <f aca="false">IF(H187&gt;0,RANK(H187,$H$2:$H$1780)+COUNTIF($H$2:H187,H187)-1,"")</f>
        <v>267</v>
      </c>
      <c r="AA187" s="56" t="n">
        <f aca="false">IF(AC187="","",RANK(AC187,$AC$2:$AC$1780)+COUNTIF($AC$2:AC187,AC187)-1)</f>
        <v>29</v>
      </c>
      <c r="AB187" s="56" t="str">
        <f aca="false">IF(AD187="","",RANK(AD187,$AD$2:$AD$1780)+COUNTIF($AD$2:AD187,AD187)-1)</f>
        <v/>
      </c>
      <c r="AC187" s="32" t="n">
        <f aca="false">IF(AND(F187&gt;0,E187&gt;=Settings!$B$4),J187,"")</f>
        <v>0.0833333333333333</v>
      </c>
      <c r="AD187" s="56" t="str">
        <f aca="false">IF(X187="HIGH RATE",O187,"")</f>
        <v/>
      </c>
    </row>
    <row r="188" customFormat="false" ht="15" hidden="false" customHeight="false" outlineLevel="0" collapsed="false">
      <c r="A188" s="56" t="s">
        <v>352</v>
      </c>
      <c r="B188" s="56" t="s">
        <v>1113</v>
      </c>
      <c r="C188" s="56" t="s">
        <v>87</v>
      </c>
      <c r="D188" s="56" t="str">
        <f aca="false">IFERROR(INDEX('Brand Map'!$B$4:$B$124,MATCH(C188,'Brand Map'!$A$4:$A$124,0)),"Other")</f>
        <v>FYF</v>
      </c>
      <c r="E188" s="57" t="n">
        <v>4</v>
      </c>
      <c r="F188" s="57" t="n">
        <v>2</v>
      </c>
      <c r="G188" s="58" t="n">
        <v>459.8</v>
      </c>
      <c r="H188" s="58" t="n">
        <v>229.9</v>
      </c>
      <c r="I188" s="58" t="n">
        <v>229.9</v>
      </c>
      <c r="J188" s="32" t="n">
        <f aca="false">IF(E188&gt;0,F188/E188,0)</f>
        <v>0.5</v>
      </c>
      <c r="K188" s="32" t="n">
        <f aca="false">IF(G188&gt;0,H188/G188,0)</f>
        <v>0.5</v>
      </c>
      <c r="L188" s="59" t="n">
        <f aca="false">H188/Settings!$B$16</f>
        <v>0.000459461230045863</v>
      </c>
      <c r="M188" s="59" t="n">
        <f aca="false">H188/Settings!$B$20</f>
        <v>1.78481486207432E-005</v>
      </c>
      <c r="N188" s="60" t="n">
        <f aca="false">E188*Settings!$B$3</f>
        <v>0.123944604319282</v>
      </c>
      <c r="O188" s="60" t="n">
        <f aca="false">IF(E188&gt;0,(F188-N188)/SQRT(E188*Settings!$B$3*(1-Settings!$B$3)),0)</f>
        <v>5.41335929891424</v>
      </c>
      <c r="P188" s="60" t="n">
        <f aca="false">MAX(0,F188-N188)</f>
        <v>1.87605539568072</v>
      </c>
      <c r="Q188" s="32" t="n">
        <f aca="false">(F188+Settings!$B$7*Settings!$B$3)/(E188+Settings!$B$7)</f>
        <v>0.0861642509527827</v>
      </c>
      <c r="R188" s="61" t="n">
        <f aca="false">PERCENTRANK($H$2:$H$1780,H188,6)</f>
        <v>0.84027</v>
      </c>
      <c r="S188" s="61" t="n">
        <f aca="false">PERCENTRANK($Q$2:$Q$1780,Q188,6)</f>
        <v>0.992126</v>
      </c>
      <c r="T188" s="61" t="n">
        <f aca="false">PERCENTRANK($F$2:$F$1780,F188,6)</f>
        <v>0.799775</v>
      </c>
      <c r="U188" s="62" t="n">
        <f aca="false">IF(F188&gt;0,(Settings!$B$8*T188+Settings!$B$9*R188+Settings!$B$10*S188)/SUM(Settings!$B$8:$B$10),0)</f>
        <v>0.877390333333333</v>
      </c>
      <c r="V188" s="56" t="n">
        <f aca="false">IF(U188&gt;0,RANK(U188,$U$2:$U$1780)+COUNTIF($U$2:U188,U188)-1,"")</f>
        <v>187</v>
      </c>
      <c r="W188" s="56" t="str">
        <f aca="false">IF(V188="","",IF(V188&lt;=Settings!$B$11,"1 - Fix first",IF(V188&lt;=Settings!$B$12,"2 - Review","3 - Monitor")))</f>
        <v>3 - Monitor</v>
      </c>
      <c r="X188" s="56" t="str">
        <f aca="false">IF(AND(E188&gt;=Settings!$B$4,F188&gt;=Settings!$B$5,O188&gt;=Settings!$B$6),"HIGH RATE","")</f>
        <v/>
      </c>
      <c r="Y188" s="56" t="n">
        <f aca="false">IF(F188&gt;0,RANK(F188,$F$2:$F$1780)+COUNTIF($F$2:F188,F188)-1,"")</f>
        <v>291</v>
      </c>
      <c r="Z188" s="56" t="n">
        <f aca="false">IF(H188&gt;0,RANK(H188,$H$2:$H$1780)+COUNTIF($H$2:H188,H188)-1,"")</f>
        <v>285</v>
      </c>
      <c r="AA188" s="56" t="str">
        <f aca="false">IF(AC188="","",RANK(AC188,$AC$2:$AC$1780)+COUNTIF($AC$2:AC188,AC188)-1)</f>
        <v/>
      </c>
      <c r="AB188" s="56" t="str">
        <f aca="false">IF(AD188="","",RANK(AD188,$AD$2:$AD$1780)+COUNTIF($AD$2:AD188,AD188)-1)</f>
        <v/>
      </c>
      <c r="AC188" s="56" t="str">
        <f aca="false">IF(AND(F188&gt;0,E188&gt;=Settings!$B$4),J188,"")</f>
        <v/>
      </c>
      <c r="AD188" s="56" t="str">
        <f aca="false">IF(X188="HIGH RATE",O188,"")</f>
        <v/>
      </c>
    </row>
    <row r="189" customFormat="false" ht="15" hidden="false" customHeight="false" outlineLevel="0" collapsed="false">
      <c r="A189" s="56" t="s">
        <v>1114</v>
      </c>
      <c r="B189" s="56" t="s">
        <v>1115</v>
      </c>
      <c r="C189" s="56" t="s">
        <v>51</v>
      </c>
      <c r="D189" s="56" t="str">
        <f aca="false">IFERROR(INDEX('Brand Map'!$B$4:$B$124,MATCH(C189,'Brand Map'!$A$4:$A$124,0)),"Other")</f>
        <v>AU</v>
      </c>
      <c r="E189" s="57" t="n">
        <v>174</v>
      </c>
      <c r="F189" s="57" t="n">
        <v>7</v>
      </c>
      <c r="G189" s="58" t="n">
        <v>17490.32</v>
      </c>
      <c r="H189" s="58" t="n">
        <v>645.14</v>
      </c>
      <c r="I189" s="58" t="n">
        <v>16437.65</v>
      </c>
      <c r="J189" s="32" t="n">
        <f aca="false">IF(E189&gt;0,F189/E189,0)</f>
        <v>0.0402298850574713</v>
      </c>
      <c r="K189" s="32" t="n">
        <f aca="false">IF(G189&gt;0,H189/G189,0)</f>
        <v>0.0368855458333524</v>
      </c>
      <c r="L189" s="59" t="n">
        <f aca="false">H189/Settings!$B$16</f>
        <v>0.00128932935168242</v>
      </c>
      <c r="M189" s="59" t="n">
        <f aca="false">H189/Settings!$B$20</f>
        <v>5.00850569864563E-005</v>
      </c>
      <c r="N189" s="60" t="n">
        <f aca="false">E189*Settings!$B$3</f>
        <v>5.39159028788875</v>
      </c>
      <c r="O189" s="60" t="n">
        <f aca="false">IF(E189&gt;0,(F189-N189)/SQRT(E189*Settings!$B$3*(1-Settings!$B$3)),0)</f>
        <v>0.703676834043927</v>
      </c>
      <c r="P189" s="60" t="n">
        <f aca="false">MAX(0,F189-N189)</f>
        <v>1.60840971211125</v>
      </c>
      <c r="Q189" s="32" t="n">
        <f aca="false">(F189+Settings!$B$7*Settings!$B$3)/(E189+Settings!$B$7)</f>
        <v>0.0388705124136991</v>
      </c>
      <c r="R189" s="61" t="n">
        <f aca="false">PERCENTRANK($H$2:$H$1780,H189,6)</f>
        <v>0.917323</v>
      </c>
      <c r="S189" s="61" t="n">
        <f aca="false">PERCENTRANK($Q$2:$Q$1780,Q189,6)</f>
        <v>0.802025</v>
      </c>
      <c r="T189" s="61" t="n">
        <f aca="false">PERCENTRANK($F$2:$F$1780,F189,6)</f>
        <v>0.908324</v>
      </c>
      <c r="U189" s="62" t="n">
        <f aca="false">IF(F189&gt;0,(Settings!$B$8*T189+Settings!$B$9*R189+Settings!$B$10*S189)/SUM(Settings!$B$8:$B$10),0)</f>
        <v>0.875890666666667</v>
      </c>
      <c r="V189" s="56" t="n">
        <f aca="false">IF(U189&gt;0,RANK(U189,$U$2:$U$1780)+COUNTIF($U$2:U189,U189)-1,"")</f>
        <v>188</v>
      </c>
      <c r="W189" s="56" t="str">
        <f aca="false">IF(V189="","",IF(V189&lt;=Settings!$B$11,"1 - Fix first",IF(V189&lt;=Settings!$B$12,"2 - Review","3 - Monitor")))</f>
        <v>3 - Monitor</v>
      </c>
      <c r="X189" s="56" t="str">
        <f aca="false">IF(AND(E189&gt;=Settings!$B$4,F189&gt;=Settings!$B$5,O189&gt;=Settings!$B$6),"HIGH RATE","")</f>
        <v/>
      </c>
      <c r="Y189" s="56" t="n">
        <f aca="false">IF(F189&gt;0,RANK(F189,$F$2:$F$1780)+COUNTIF($F$2:F189,F189)-1,"")</f>
        <v>160</v>
      </c>
      <c r="Z189" s="56" t="n">
        <f aca="false">IF(H189&gt;0,RANK(H189,$H$2:$H$1780)+COUNTIF($H$2:H189,H189)-1,"")</f>
        <v>148</v>
      </c>
      <c r="AA189" s="56" t="n">
        <f aca="false">IF(AC189="","",RANK(AC189,$AC$2:$AC$1780)+COUNTIF($AC$2:AC189,AC189)-1)</f>
        <v>193</v>
      </c>
      <c r="AB189" s="56" t="str">
        <f aca="false">IF(AD189="","",RANK(AD189,$AD$2:$AD$1780)+COUNTIF($AD$2:AD189,AD189)-1)</f>
        <v/>
      </c>
      <c r="AC189" s="32" t="n">
        <f aca="false">IF(AND(F189&gt;0,E189&gt;=Settings!$B$4),J189,"")</f>
        <v>0.0402298850574713</v>
      </c>
      <c r="AD189" s="56" t="str">
        <f aca="false">IF(X189="HIGH RATE",O189,"")</f>
        <v/>
      </c>
    </row>
    <row r="190" customFormat="false" ht="15" hidden="false" customHeight="false" outlineLevel="0" collapsed="false">
      <c r="A190" s="56" t="s">
        <v>1116</v>
      </c>
      <c r="B190" s="56" t="s">
        <v>1117</v>
      </c>
      <c r="C190" s="56" t="s">
        <v>51</v>
      </c>
      <c r="D190" s="56" t="str">
        <f aca="false">IFERROR(INDEX('Brand Map'!$B$4:$B$124,MATCH(C190,'Brand Map'!$A$4:$A$124,0)),"Other")</f>
        <v>AU</v>
      </c>
      <c r="E190" s="57" t="n">
        <v>301</v>
      </c>
      <c r="F190" s="57" t="n">
        <v>11</v>
      </c>
      <c r="G190" s="58" t="n">
        <v>18479.29</v>
      </c>
      <c r="H190" s="58" t="n">
        <v>664.07</v>
      </c>
      <c r="I190" s="58" t="n">
        <v>16862.6</v>
      </c>
      <c r="J190" s="32" t="n">
        <f aca="false">IF(E190&gt;0,F190/E190,0)</f>
        <v>0.0365448504983389</v>
      </c>
      <c r="K190" s="32" t="n">
        <f aca="false">IF(G190&gt;0,H190/G190,0)</f>
        <v>0.035935904463862</v>
      </c>
      <c r="L190" s="59" t="n">
        <f aca="false">H190/Settings!$B$16</f>
        <v>0.00132716145731429</v>
      </c>
      <c r="M190" s="59" t="n">
        <f aca="false">H190/Settings!$B$20</f>
        <v>5.15546761834579E-005</v>
      </c>
      <c r="N190" s="60" t="n">
        <f aca="false">E190*Settings!$B$3</f>
        <v>9.32683147502595</v>
      </c>
      <c r="O190" s="60" t="n">
        <f aca="false">IF(E190&gt;0,(F190-N190)/SQRT(E190*Settings!$B$3*(1-Settings!$B$3)),0)</f>
        <v>0.556554411372401</v>
      </c>
      <c r="P190" s="60" t="n">
        <f aca="false">MAX(0,F190-N190)</f>
        <v>1.67316852497405</v>
      </c>
      <c r="Q190" s="32" t="n">
        <f aca="false">(F190+Settings!$B$7*Settings!$B$3)/(E190+Settings!$B$7)</f>
        <v>0.0360410408833674</v>
      </c>
      <c r="R190" s="61" t="n">
        <f aca="false">PERCENTRANK($H$2:$H$1780,H190,6)</f>
        <v>0.918448</v>
      </c>
      <c r="S190" s="61" t="n">
        <f aca="false">PERCENTRANK($Q$2:$Q$1780,Q190,6)</f>
        <v>0.782902</v>
      </c>
      <c r="T190" s="61" t="n">
        <f aca="false">PERCENTRANK($F$2:$F$1780,F190,6)</f>
        <v>0.925759</v>
      </c>
      <c r="U190" s="62" t="n">
        <f aca="false">IF(F190&gt;0,(Settings!$B$8*T190+Settings!$B$9*R190+Settings!$B$10*S190)/SUM(Settings!$B$8:$B$10),0)</f>
        <v>0.875703</v>
      </c>
      <c r="V190" s="56" t="n">
        <f aca="false">IF(U190&gt;0,RANK(U190,$U$2:$U$1780)+COUNTIF($U$2:U190,U190)-1,"")</f>
        <v>189</v>
      </c>
      <c r="W190" s="56" t="str">
        <f aca="false">IF(V190="","",IF(V190&lt;=Settings!$B$11,"1 - Fix first",IF(V190&lt;=Settings!$B$12,"2 - Review","3 - Monitor")))</f>
        <v>3 - Monitor</v>
      </c>
      <c r="X190" s="56" t="str">
        <f aca="false">IF(AND(E190&gt;=Settings!$B$4,F190&gt;=Settings!$B$5,O190&gt;=Settings!$B$6),"HIGH RATE","")</f>
        <v/>
      </c>
      <c r="Y190" s="56" t="n">
        <f aca="false">IF(F190&gt;0,RANK(F190,$F$2:$F$1780)+COUNTIF($F$2:F190,F190)-1,"")</f>
        <v>131</v>
      </c>
      <c r="Z190" s="56" t="n">
        <f aca="false">IF(H190&gt;0,RANK(H190,$H$2:$H$1780)+COUNTIF($H$2:H190,H190)-1,"")</f>
        <v>146</v>
      </c>
      <c r="AA190" s="56" t="n">
        <f aca="false">IF(AC190="","",RANK(AC190,$AC$2:$AC$1780)+COUNTIF($AC$2:AC190,AC190)-1)</f>
        <v>218</v>
      </c>
      <c r="AB190" s="56" t="str">
        <f aca="false">IF(AD190="","",RANK(AD190,$AD$2:$AD$1780)+COUNTIF($AD$2:AD190,AD190)-1)</f>
        <v/>
      </c>
      <c r="AC190" s="32" t="n">
        <f aca="false">IF(AND(F190&gt;0,E190&gt;=Settings!$B$4),J190,"")</f>
        <v>0.0365448504983389</v>
      </c>
      <c r="AD190" s="56" t="str">
        <f aca="false">IF(X190="HIGH RATE",O190,"")</f>
        <v/>
      </c>
    </row>
    <row r="191" customFormat="false" ht="15" hidden="false" customHeight="false" outlineLevel="0" collapsed="false">
      <c r="A191" s="56" t="s">
        <v>1118</v>
      </c>
      <c r="B191" s="56" t="s">
        <v>1119</v>
      </c>
      <c r="C191" s="56" t="s">
        <v>51</v>
      </c>
      <c r="D191" s="56" t="str">
        <f aca="false">IFERROR(INDEX('Brand Map'!$B$4:$B$124,MATCH(C191,'Brand Map'!$A$4:$A$124,0)),"Other")</f>
        <v>AU</v>
      </c>
      <c r="E191" s="57" t="n">
        <v>108</v>
      </c>
      <c r="F191" s="57" t="n">
        <v>5</v>
      </c>
      <c r="G191" s="58" t="n">
        <v>11867.64</v>
      </c>
      <c r="H191" s="58" t="n">
        <v>507.11</v>
      </c>
      <c r="I191" s="58" t="n">
        <v>10683.77</v>
      </c>
      <c r="J191" s="32" t="n">
        <f aca="false">IF(E191&gt;0,F191/E191,0)</f>
        <v>0.0462962962962963</v>
      </c>
      <c r="K191" s="32" t="n">
        <f aca="false">IF(G191&gt;0,H191/G191,0)</f>
        <v>0.0427304839041292</v>
      </c>
      <c r="L191" s="59" t="n">
        <f aca="false">H191/Settings!$B$16</f>
        <v>0.00101347274627472</v>
      </c>
      <c r="M191" s="59" t="n">
        <f aca="false">H191/Settings!$B$20</f>
        <v>3.93691807179866E-005</v>
      </c>
      <c r="N191" s="60" t="n">
        <f aca="false">E191*Settings!$B$3</f>
        <v>3.34650431662061</v>
      </c>
      <c r="O191" s="60" t="n">
        <f aca="false">IF(E191&gt;0,(F191-N191)/SQRT(E191*Settings!$B$3*(1-Settings!$B$3)),0)</f>
        <v>0.918210762187879</v>
      </c>
      <c r="P191" s="60" t="n">
        <f aca="false">MAX(0,F191-N191)</f>
        <v>1.65349568337939</v>
      </c>
      <c r="Q191" s="32" t="n">
        <f aca="false">(F191+Settings!$B$7*Settings!$B$3)/(E191+Settings!$B$7)</f>
        <v>0.042968003857932</v>
      </c>
      <c r="R191" s="61" t="n">
        <f aca="false">PERCENTRANK($H$2:$H$1780,H191,6)</f>
        <v>0.903262</v>
      </c>
      <c r="S191" s="61" t="n">
        <f aca="false">PERCENTRANK($Q$2:$Q$1780,Q191,6)</f>
        <v>0.834083</v>
      </c>
      <c r="T191" s="61" t="n">
        <f aca="false">PERCENTRANK($F$2:$F$1780,F191,6)</f>
        <v>0.889764</v>
      </c>
      <c r="U191" s="62" t="n">
        <f aca="false">IF(F191&gt;0,(Settings!$B$8*T191+Settings!$B$9*R191+Settings!$B$10*S191)/SUM(Settings!$B$8:$B$10),0)</f>
        <v>0.875703</v>
      </c>
      <c r="V191" s="56" t="n">
        <f aca="false">IF(U191&gt;0,RANK(U191,$U$2:$U$1780)+COUNTIF($U$2:U191,U191)-1,"")</f>
        <v>190</v>
      </c>
      <c r="W191" s="56" t="str">
        <f aca="false">IF(V191="","",IF(V191&lt;=Settings!$B$11,"1 - Fix first",IF(V191&lt;=Settings!$B$12,"2 - Review","3 - Monitor")))</f>
        <v>3 - Monitor</v>
      </c>
      <c r="X191" s="56" t="str">
        <f aca="false">IF(AND(E191&gt;=Settings!$B$4,F191&gt;=Settings!$B$5,O191&gt;=Settings!$B$6),"HIGH RATE","")</f>
        <v/>
      </c>
      <c r="Y191" s="56" t="n">
        <f aca="false">IF(F191&gt;0,RANK(F191,$F$2:$F$1780)+COUNTIF($F$2:F191,F191)-1,"")</f>
        <v>192</v>
      </c>
      <c r="Z191" s="56" t="n">
        <f aca="false">IF(H191&gt;0,RANK(H191,$H$2:$H$1780)+COUNTIF($H$2:H191,H191)-1,"")</f>
        <v>173</v>
      </c>
      <c r="AA191" s="56" t="n">
        <f aca="false">IF(AC191="","",RANK(AC191,$AC$2:$AC$1780)+COUNTIF($AC$2:AC191,AC191)-1)</f>
        <v>151</v>
      </c>
      <c r="AB191" s="56" t="str">
        <f aca="false">IF(AD191="","",RANK(AD191,$AD$2:$AD$1780)+COUNTIF($AD$2:AD191,AD191)-1)</f>
        <v/>
      </c>
      <c r="AC191" s="32" t="n">
        <f aca="false">IF(AND(F191&gt;0,E191&gt;=Settings!$B$4),J191,"")</f>
        <v>0.0462962962962963</v>
      </c>
      <c r="AD191" s="56" t="str">
        <f aca="false">IF(X191="HIGH RATE",O191,"")</f>
        <v/>
      </c>
    </row>
    <row r="192" customFormat="false" ht="15" hidden="false" customHeight="false" outlineLevel="0" collapsed="false">
      <c r="A192" s="56" t="s">
        <v>1120</v>
      </c>
      <c r="B192" s="56" t="s">
        <v>1121</v>
      </c>
      <c r="C192" s="56" t="s">
        <v>75</v>
      </c>
      <c r="D192" s="56" t="str">
        <f aca="false">IFERROR(INDEX('Brand Map'!$B$4:$B$124,MATCH(C192,'Brand Map'!$A$4:$A$124,0)),"Other")</f>
        <v>AURP</v>
      </c>
      <c r="E192" s="57" t="n">
        <v>442</v>
      </c>
      <c r="F192" s="57" t="n">
        <v>21</v>
      </c>
      <c r="G192" s="58" t="n">
        <v>3763.32</v>
      </c>
      <c r="H192" s="58" t="n">
        <v>163.66</v>
      </c>
      <c r="I192" s="58" t="n">
        <v>3509.64</v>
      </c>
      <c r="J192" s="32" t="n">
        <f aca="false">IF(E192&gt;0,F192/E192,0)</f>
        <v>0.0475113122171946</v>
      </c>
      <c r="K192" s="32" t="n">
        <f aca="false">IF(G192&gt;0,H192/G192,0)</f>
        <v>0.0434881965923706</v>
      </c>
      <c r="L192" s="59" t="n">
        <f aca="false">H192/Settings!$B$16</f>
        <v>0.000327078838230996</v>
      </c>
      <c r="M192" s="59" t="n">
        <f aca="false">H192/Settings!$B$20</f>
        <v>1.27056459472416E-005</v>
      </c>
      <c r="N192" s="60" t="n">
        <f aca="false">E192*Settings!$B$3</f>
        <v>13.6958787772806</v>
      </c>
      <c r="O192" s="60" t="n">
        <f aca="false">IF(E192&gt;0,(F192-N192)/SQRT(E192*Settings!$B$3*(1-Settings!$B$3)),0)</f>
        <v>2.00497069225545</v>
      </c>
      <c r="P192" s="60" t="n">
        <f aca="false">MAX(0,F192-N192)</f>
        <v>7.30412122271938</v>
      </c>
      <c r="Q192" s="32" t="n">
        <f aca="false">(F192+Settings!$B$7*Settings!$B$3)/(E192+Settings!$B$7)</f>
        <v>0.0464609841788022</v>
      </c>
      <c r="R192" s="61" t="n">
        <f aca="false">PERCENTRANK($H$2:$H$1780,H192,6)</f>
        <v>0.813273</v>
      </c>
      <c r="S192" s="61" t="n">
        <f aca="false">PERCENTRANK($Q$2:$Q$1780,Q192,6)</f>
        <v>0.858268</v>
      </c>
      <c r="T192" s="61" t="n">
        <f aca="false">PERCENTRANK($F$2:$F$1780,F192,6)</f>
        <v>0.953881</v>
      </c>
      <c r="U192" s="62" t="n">
        <f aca="false">IF(F192&gt;0,(Settings!$B$8*T192+Settings!$B$9*R192+Settings!$B$10*S192)/SUM(Settings!$B$8:$B$10),0)</f>
        <v>0.875140666666667</v>
      </c>
      <c r="V192" s="56" t="n">
        <f aca="false">IF(U192&gt;0,RANK(U192,$U$2:$U$1780)+COUNTIF($U$2:U192,U192)-1,"")</f>
        <v>191</v>
      </c>
      <c r="W192" s="56" t="str">
        <f aca="false">IF(V192="","",IF(V192&lt;=Settings!$B$11,"1 - Fix first",IF(V192&lt;=Settings!$B$12,"2 - Review","3 - Monitor")))</f>
        <v>3 - Monitor</v>
      </c>
      <c r="X192" s="56" t="str">
        <f aca="false">IF(AND(E192&gt;=Settings!$B$4,F192&gt;=Settings!$B$5,O192&gt;=Settings!$B$6),"HIGH RATE","")</f>
        <v/>
      </c>
      <c r="Y192" s="56" t="n">
        <f aca="false">IF(F192&gt;0,RANK(F192,$F$2:$F$1780)+COUNTIF($F$2:F192,F192)-1,"")</f>
        <v>83</v>
      </c>
      <c r="Z192" s="56" t="n">
        <f aca="false">IF(H192&gt;0,RANK(H192,$H$2:$H$1780)+COUNTIF($H$2:H192,H192)-1,"")</f>
        <v>333</v>
      </c>
      <c r="AA192" s="56" t="n">
        <f aca="false">IF(AC192="","",RANK(AC192,$AC$2:$AC$1780)+COUNTIF($AC$2:AC192,AC192)-1)</f>
        <v>142</v>
      </c>
      <c r="AB192" s="56" t="str">
        <f aca="false">IF(AD192="","",RANK(AD192,$AD$2:$AD$1780)+COUNTIF($AD$2:AD192,AD192)-1)</f>
        <v/>
      </c>
      <c r="AC192" s="32" t="n">
        <f aca="false">IF(AND(F192&gt;0,E192&gt;=Settings!$B$4),J192,"")</f>
        <v>0.0475113122171946</v>
      </c>
      <c r="AD192" s="56" t="str">
        <f aca="false">IF(X192="HIGH RATE",O192,"")</f>
        <v/>
      </c>
    </row>
    <row r="193" customFormat="false" ht="15" hidden="false" customHeight="false" outlineLevel="0" collapsed="false">
      <c r="A193" s="56" t="s">
        <v>1122</v>
      </c>
      <c r="B193" s="56" t="s">
        <v>1123</v>
      </c>
      <c r="C193" s="56" t="s">
        <v>55</v>
      </c>
      <c r="D193" s="56" t="str">
        <f aca="false">IFERROR(INDEX('Brand Map'!$B$4:$B$124,MATCH(C193,'Brand Map'!$A$4:$A$124,0)),"Other")</f>
        <v>AUMJ</v>
      </c>
      <c r="E193" s="57" t="n">
        <v>142</v>
      </c>
      <c r="F193" s="57" t="n">
        <v>6</v>
      </c>
      <c r="G193" s="58" t="n">
        <v>15403</v>
      </c>
      <c r="H193" s="58" t="n">
        <v>536.01</v>
      </c>
      <c r="I193" s="58" t="n">
        <v>14167.29</v>
      </c>
      <c r="J193" s="32" t="n">
        <f aca="false">IF(E193&gt;0,F193/E193,0)</f>
        <v>0.0422535211267606</v>
      </c>
      <c r="K193" s="32" t="n">
        <f aca="false">IF(G193&gt;0,H193/G193,0)</f>
        <v>0.034799065117185</v>
      </c>
      <c r="L193" s="59" t="n">
        <f aca="false">H193/Settings!$B$16</f>
        <v>0.001071230160578</v>
      </c>
      <c r="M193" s="59" t="n">
        <f aca="false">H193/Settings!$B$20</f>
        <v>4.16128148856224E-005</v>
      </c>
      <c r="N193" s="60" t="n">
        <f aca="false">E193*Settings!$B$3</f>
        <v>4.4000334533345</v>
      </c>
      <c r="O193" s="60" t="n">
        <f aca="false">IF(E193&gt;0,(F193-N193)/SQRT(E193*Settings!$B$3*(1-Settings!$B$3)),0)</f>
        <v>0.77485050604699</v>
      </c>
      <c r="P193" s="60" t="n">
        <f aca="false">MAX(0,F193-N193)</f>
        <v>1.5999665466655</v>
      </c>
      <c r="Q193" s="32" t="n">
        <f aca="false">(F193+Settings!$B$7*Settings!$B$3)/(E193+Settings!$B$7)</f>
        <v>0.040288282165085</v>
      </c>
      <c r="R193" s="61" t="n">
        <f aca="false">PERCENTRANK($H$2:$H$1780,H193,6)</f>
        <v>0.907199</v>
      </c>
      <c r="S193" s="61" t="n">
        <f aca="false">PERCENTRANK($Q$2:$Q$1780,Q193,6)</f>
        <v>0.816085</v>
      </c>
      <c r="T193" s="61" t="n">
        <f aca="false">PERCENTRANK($F$2:$F$1780,F193,6)</f>
        <v>0.898763</v>
      </c>
      <c r="U193" s="62" t="n">
        <f aca="false">IF(F193&gt;0,(Settings!$B$8*T193+Settings!$B$9*R193+Settings!$B$10*S193)/SUM(Settings!$B$8:$B$10),0)</f>
        <v>0.874015666666667</v>
      </c>
      <c r="V193" s="56" t="n">
        <f aca="false">IF(U193&gt;0,RANK(U193,$U$2:$U$1780)+COUNTIF($U$2:U193,U193)-1,"")</f>
        <v>192</v>
      </c>
      <c r="W193" s="56" t="str">
        <f aca="false">IF(V193="","",IF(V193&lt;=Settings!$B$11,"1 - Fix first",IF(V193&lt;=Settings!$B$12,"2 - Review","3 - Monitor")))</f>
        <v>3 - Monitor</v>
      </c>
      <c r="X193" s="56" t="str">
        <f aca="false">IF(AND(E193&gt;=Settings!$B$4,F193&gt;=Settings!$B$5,O193&gt;=Settings!$B$6),"HIGH RATE","")</f>
        <v/>
      </c>
      <c r="Y193" s="56" t="n">
        <f aca="false">IF(F193&gt;0,RANK(F193,$F$2:$F$1780)+COUNTIF($F$2:F193,F193)-1,"")</f>
        <v>175</v>
      </c>
      <c r="Z193" s="56" t="n">
        <f aca="false">IF(H193&gt;0,RANK(H193,$H$2:$H$1780)+COUNTIF($H$2:H193,H193)-1,"")</f>
        <v>166</v>
      </c>
      <c r="AA193" s="56" t="n">
        <f aca="false">IF(AC193="","",RANK(AC193,$AC$2:$AC$1780)+COUNTIF($AC$2:AC193,AC193)-1)</f>
        <v>176</v>
      </c>
      <c r="AB193" s="56" t="str">
        <f aca="false">IF(AD193="","",RANK(AD193,$AD$2:$AD$1780)+COUNTIF($AD$2:AD193,AD193)-1)</f>
        <v/>
      </c>
      <c r="AC193" s="32" t="n">
        <f aca="false">IF(AND(F193&gt;0,E193&gt;=Settings!$B$4),J193,"")</f>
        <v>0.0422535211267606</v>
      </c>
      <c r="AD193" s="56" t="str">
        <f aca="false">IF(X193="HIGH RATE",O193,"")</f>
        <v/>
      </c>
    </row>
    <row r="194" customFormat="false" ht="15" hidden="false" customHeight="false" outlineLevel="0" collapsed="false">
      <c r="A194" s="56" t="s">
        <v>1124</v>
      </c>
      <c r="B194" s="56" t="s">
        <v>566</v>
      </c>
      <c r="C194" s="56" t="s">
        <v>51</v>
      </c>
      <c r="D194" s="56" t="str">
        <f aca="false">IFERROR(INDEX('Brand Map'!$B$4:$B$124,MATCH(C194,'Brand Map'!$A$4:$A$124,0)),"Other")</f>
        <v>AU</v>
      </c>
      <c r="E194" s="57" t="n">
        <v>16</v>
      </c>
      <c r="F194" s="57" t="n">
        <v>2</v>
      </c>
      <c r="G194" s="58" t="n">
        <v>2116.06</v>
      </c>
      <c r="H194" s="58" t="n">
        <v>286.27</v>
      </c>
      <c r="I194" s="58" t="n">
        <v>1765.97</v>
      </c>
      <c r="J194" s="32" t="n">
        <f aca="false">IF(E194&gt;0,F194/E194,0)</f>
        <v>0.125</v>
      </c>
      <c r="K194" s="32" t="n">
        <f aca="false">IF(G194&gt;0,H194/G194,0)</f>
        <v>0.135284443730329</v>
      </c>
      <c r="L194" s="59" t="n">
        <f aca="false">H194/Settings!$B$16</f>
        <v>0.000572118165833967</v>
      </c>
      <c r="M194" s="59" t="n">
        <f aca="false">H194/Settings!$B$20</f>
        <v>2.22243997636371E-005</v>
      </c>
      <c r="N194" s="60" t="n">
        <f aca="false">E194*Settings!$B$3</f>
        <v>0.495778417277127</v>
      </c>
      <c r="O194" s="60" t="n">
        <f aca="false">IF(E194&gt;0,(F194-N194)/SQRT(E194*Settings!$B$3*(1-Settings!$B$3)),0)</f>
        <v>2.17021627165379</v>
      </c>
      <c r="P194" s="60" t="n">
        <f aca="false">MAX(0,F194-N194)</f>
        <v>1.50422158272287</v>
      </c>
      <c r="Q194" s="32" t="n">
        <f aca="false">(F194+Settings!$B$7*Settings!$B$3)/(E194+Settings!$B$7)</f>
        <v>0.0636866202694481</v>
      </c>
      <c r="R194" s="61" t="n">
        <f aca="false">PERCENTRANK($H$2:$H$1780,H194,6)</f>
        <v>0.859955</v>
      </c>
      <c r="S194" s="61" t="n">
        <f aca="false">PERCENTRANK($Q$2:$Q$1780,Q194,6)</f>
        <v>0.961192</v>
      </c>
      <c r="T194" s="61" t="n">
        <f aca="false">PERCENTRANK($F$2:$F$1780,F194,6)</f>
        <v>0.799775</v>
      </c>
      <c r="U194" s="62" t="n">
        <f aca="false">IF(F194&gt;0,(Settings!$B$8*T194+Settings!$B$9*R194+Settings!$B$10*S194)/SUM(Settings!$B$8:$B$10),0)</f>
        <v>0.873640666666667</v>
      </c>
      <c r="V194" s="56" t="n">
        <f aca="false">IF(U194&gt;0,RANK(U194,$U$2:$U$1780)+COUNTIF($U$2:U194,U194)-1,"")</f>
        <v>193</v>
      </c>
      <c r="W194" s="56" t="str">
        <f aca="false">IF(V194="","",IF(V194&lt;=Settings!$B$11,"1 - Fix first",IF(V194&lt;=Settings!$B$12,"2 - Review","3 - Monitor")))</f>
        <v>3 - Monitor</v>
      </c>
      <c r="X194" s="56" t="str">
        <f aca="false">IF(AND(E194&gt;=Settings!$B$4,F194&gt;=Settings!$B$5,O194&gt;=Settings!$B$6),"HIGH RATE","")</f>
        <v/>
      </c>
      <c r="Y194" s="56" t="n">
        <f aca="false">IF(F194&gt;0,RANK(F194,$F$2:$F$1780)+COUNTIF($F$2:F194,F194)-1,"")</f>
        <v>292</v>
      </c>
      <c r="Z194" s="56" t="n">
        <f aca="false">IF(H194&gt;0,RANK(H194,$H$2:$H$1780)+COUNTIF($H$2:H194,H194)-1,"")</f>
        <v>250</v>
      </c>
      <c r="AA194" s="56" t="str">
        <f aca="false">IF(AC194="","",RANK(AC194,$AC$2:$AC$1780)+COUNTIF($AC$2:AC194,AC194)-1)</f>
        <v/>
      </c>
      <c r="AB194" s="56" t="str">
        <f aca="false">IF(AD194="","",RANK(AD194,$AD$2:$AD$1780)+COUNTIF($AD$2:AD194,AD194)-1)</f>
        <v/>
      </c>
      <c r="AC194" s="56" t="str">
        <f aca="false">IF(AND(F194&gt;0,E194&gt;=Settings!$B$4),J194,"")</f>
        <v/>
      </c>
      <c r="AD194" s="56" t="str">
        <f aca="false">IF(X194="HIGH RATE",O194,"")</f>
        <v/>
      </c>
    </row>
    <row r="195" customFormat="false" ht="15" hidden="false" customHeight="false" outlineLevel="0" collapsed="false">
      <c r="A195" s="56" t="s">
        <v>1125</v>
      </c>
      <c r="B195" s="56" t="s">
        <v>1126</v>
      </c>
      <c r="C195" s="56" t="s">
        <v>51</v>
      </c>
      <c r="D195" s="56" t="str">
        <f aca="false">IFERROR(INDEX('Brand Map'!$B$4:$B$124,MATCH(C195,'Brand Map'!$A$4:$A$124,0)),"Other")</f>
        <v>AU</v>
      </c>
      <c r="E195" s="57" t="n">
        <v>73</v>
      </c>
      <c r="F195" s="57" t="n">
        <v>4</v>
      </c>
      <c r="G195" s="58" t="n">
        <v>7079.13</v>
      </c>
      <c r="H195" s="58" t="n">
        <v>327.08</v>
      </c>
      <c r="I195" s="58" t="n">
        <v>6493.67</v>
      </c>
      <c r="J195" s="32" t="n">
        <f aca="false">IF(E195&gt;0,F195/E195,0)</f>
        <v>0.0547945205479452</v>
      </c>
      <c r="K195" s="32" t="n">
        <f aca="false">IF(G195&gt;0,H195/G195,0)</f>
        <v>0.0462034176516041</v>
      </c>
      <c r="L195" s="59" t="n">
        <f aca="false">H195/Settings!$B$16</f>
        <v>0.000653678030114836</v>
      </c>
      <c r="M195" s="59" t="n">
        <f aca="false">H195/Settings!$B$20</f>
        <v>2.53926596384198E-005</v>
      </c>
      <c r="N195" s="60" t="n">
        <f aca="false">E195*Settings!$B$3</f>
        <v>2.26198902882689</v>
      </c>
      <c r="O195" s="60" t="n">
        <f aca="false">IF(E195&gt;0,(F195-N195)/SQRT(E195*Settings!$B$3*(1-Settings!$B$3)),0)</f>
        <v>1.17393019817144</v>
      </c>
      <c r="P195" s="60" t="n">
        <f aca="false">MAX(0,F195-N195)</f>
        <v>1.73801097117311</v>
      </c>
      <c r="Q195" s="32" t="n">
        <f aca="false">(F195+Settings!$B$7*Settings!$B$3)/(E195+Settings!$B$7)</f>
        <v>0.0478600440038312</v>
      </c>
      <c r="R195" s="61" t="n">
        <f aca="false">PERCENTRANK($H$2:$H$1780,H195,6)</f>
        <v>0.872891</v>
      </c>
      <c r="S195" s="61" t="n">
        <f aca="false">PERCENTRANK($Q$2:$Q$1780,Q195,6)</f>
        <v>0.872328</v>
      </c>
      <c r="T195" s="61" t="n">
        <f aca="false">PERCENTRANK($F$2:$F$1780,F195,6)</f>
        <v>0.871766</v>
      </c>
      <c r="U195" s="62" t="n">
        <f aca="false">IF(F195&gt;0,(Settings!$B$8*T195+Settings!$B$9*R195+Settings!$B$10*S195)/SUM(Settings!$B$8:$B$10),0)</f>
        <v>0.872328333333333</v>
      </c>
      <c r="V195" s="56" t="n">
        <f aca="false">IF(U195&gt;0,RANK(U195,$U$2:$U$1780)+COUNTIF($U$2:U195,U195)-1,"")</f>
        <v>194</v>
      </c>
      <c r="W195" s="56" t="str">
        <f aca="false">IF(V195="","",IF(V195&lt;=Settings!$B$11,"1 - Fix first",IF(V195&lt;=Settings!$B$12,"2 - Review","3 - Monitor")))</f>
        <v>3 - Monitor</v>
      </c>
      <c r="X195" s="56" t="str">
        <f aca="false">IF(AND(E195&gt;=Settings!$B$4,F195&gt;=Settings!$B$5,O195&gt;=Settings!$B$6),"HIGH RATE","")</f>
        <v/>
      </c>
      <c r="Y195" s="56" t="n">
        <f aca="false">IF(F195&gt;0,RANK(F195,$F$2:$F$1780)+COUNTIF($F$2:F195,F195)-1,"")</f>
        <v>210</v>
      </c>
      <c r="Z195" s="56" t="n">
        <f aca="false">IF(H195&gt;0,RANK(H195,$H$2:$H$1780)+COUNTIF($H$2:H195,H195)-1,"")</f>
        <v>227</v>
      </c>
      <c r="AA195" s="56" t="n">
        <f aca="false">IF(AC195="","",RANK(AC195,$AC$2:$AC$1780)+COUNTIF($AC$2:AC195,AC195)-1)</f>
        <v>96</v>
      </c>
      <c r="AB195" s="56" t="str">
        <f aca="false">IF(AD195="","",RANK(AD195,$AD$2:$AD$1780)+COUNTIF($AD$2:AD195,AD195)-1)</f>
        <v/>
      </c>
      <c r="AC195" s="32" t="n">
        <f aca="false">IF(AND(F195&gt;0,E195&gt;=Settings!$B$4),J195,"")</f>
        <v>0.0547945205479452</v>
      </c>
      <c r="AD195" s="56" t="str">
        <f aca="false">IF(X195="HIGH RATE",O195,"")</f>
        <v/>
      </c>
    </row>
    <row r="196" customFormat="false" ht="15" hidden="false" customHeight="false" outlineLevel="0" collapsed="false">
      <c r="A196" s="56" t="s">
        <v>1127</v>
      </c>
      <c r="B196" s="56" t="s">
        <v>1128</v>
      </c>
      <c r="C196" s="56" t="s">
        <v>51</v>
      </c>
      <c r="D196" s="56" t="str">
        <f aca="false">IFERROR(INDEX('Brand Map'!$B$4:$B$124,MATCH(C196,'Brand Map'!$A$4:$A$124,0)),"Other")</f>
        <v>AU</v>
      </c>
      <c r="E196" s="57" t="n">
        <v>53</v>
      </c>
      <c r="F196" s="57" t="n">
        <v>3</v>
      </c>
      <c r="G196" s="58" t="n">
        <v>11408.6</v>
      </c>
      <c r="H196" s="58" t="n">
        <v>531.69</v>
      </c>
      <c r="I196" s="58" t="n">
        <v>10614.53</v>
      </c>
      <c r="J196" s="32" t="n">
        <f aca="false">IF(E196&gt;0,F196/E196,0)</f>
        <v>0.0566037735849057</v>
      </c>
      <c r="K196" s="32" t="n">
        <f aca="false">IF(G196&gt;0,H196/G196,0)</f>
        <v>0.0466043160422839</v>
      </c>
      <c r="L196" s="59" t="n">
        <f aca="false">H196/Settings!$B$16</f>
        <v>0.00106259652632921</v>
      </c>
      <c r="M196" s="59" t="n">
        <f aca="false">H196/Settings!$B$20</f>
        <v>4.1277434276481E-005</v>
      </c>
      <c r="N196" s="60" t="n">
        <f aca="false">E196*Settings!$B$3</f>
        <v>1.64226600723048</v>
      </c>
      <c r="O196" s="60" t="n">
        <f aca="false">IF(E196&gt;0,(F196-N196)/SQRT(E196*Settings!$B$3*(1-Settings!$B$3)),0)</f>
        <v>1.07628663536537</v>
      </c>
      <c r="P196" s="60" t="n">
        <f aca="false">MAX(0,F196-N196)</f>
        <v>1.35773399276952</v>
      </c>
      <c r="Q196" s="32" t="n">
        <f aca="false">(F196+Settings!$B$7*Settings!$B$3)/(E196+Settings!$B$7)</f>
        <v>0.0473443919565616</v>
      </c>
      <c r="R196" s="61" t="n">
        <f aca="false">PERCENTRANK($H$2:$H$1780,H196,6)</f>
        <v>0.906074</v>
      </c>
      <c r="S196" s="61" t="n">
        <f aca="false">PERCENTRANK($Q$2:$Q$1780,Q196,6)</f>
        <v>0.867829</v>
      </c>
      <c r="T196" s="61" t="n">
        <f aca="false">PERCENTRANK($F$2:$F$1780,F196,6)</f>
        <v>0.84252</v>
      </c>
      <c r="U196" s="62" t="n">
        <f aca="false">IF(F196&gt;0,(Settings!$B$8*T196+Settings!$B$9*R196+Settings!$B$10*S196)/SUM(Settings!$B$8:$B$10),0)</f>
        <v>0.872141</v>
      </c>
      <c r="V196" s="56" t="n">
        <f aca="false">IF(U196&gt;0,RANK(U196,$U$2:$U$1780)+COUNTIF($U$2:U196,U196)-1,"")</f>
        <v>195</v>
      </c>
      <c r="W196" s="56" t="str">
        <f aca="false">IF(V196="","",IF(V196&lt;=Settings!$B$11,"1 - Fix first",IF(V196&lt;=Settings!$B$12,"2 - Review","3 - Monitor")))</f>
        <v>3 - Monitor</v>
      </c>
      <c r="X196" s="56" t="str">
        <f aca="false">IF(AND(E196&gt;=Settings!$B$4,F196&gt;=Settings!$B$5,O196&gt;=Settings!$B$6),"HIGH RATE","")</f>
        <v/>
      </c>
      <c r="Y196" s="56" t="n">
        <f aca="false">IF(F196&gt;0,RANK(F196,$F$2:$F$1780)+COUNTIF($F$2:F196,F196)-1,"")</f>
        <v>242</v>
      </c>
      <c r="Z196" s="56" t="n">
        <f aca="false">IF(H196&gt;0,RANK(H196,$H$2:$H$1780)+COUNTIF($H$2:H196,H196)-1,"")</f>
        <v>168</v>
      </c>
      <c r="AA196" s="56" t="n">
        <f aca="false">IF(AC196="","",RANK(AC196,$AC$2:$AC$1780)+COUNTIF($AC$2:AC196,AC196)-1)</f>
        <v>87</v>
      </c>
      <c r="AB196" s="56" t="str">
        <f aca="false">IF(AD196="","",RANK(AD196,$AD$2:$AD$1780)+COUNTIF($AD$2:AD196,AD196)-1)</f>
        <v/>
      </c>
      <c r="AC196" s="32" t="n">
        <f aca="false">IF(AND(F196&gt;0,E196&gt;=Settings!$B$4),J196,"")</f>
        <v>0.0566037735849057</v>
      </c>
      <c r="AD196" s="56" t="str">
        <f aca="false">IF(X196="HIGH RATE",O196,"")</f>
        <v/>
      </c>
    </row>
    <row r="197" customFormat="false" ht="15" hidden="false" customHeight="false" outlineLevel="0" collapsed="false">
      <c r="A197" s="56" t="s">
        <v>1129</v>
      </c>
      <c r="B197" s="56" t="s">
        <v>1130</v>
      </c>
      <c r="C197" s="56" t="s">
        <v>148</v>
      </c>
      <c r="D197" s="56" t="str">
        <f aca="false">IFERROR(INDEX('Brand Map'!$B$4:$B$124,MATCH(C197,'Brand Map'!$A$4:$A$124,0)),"Other")</f>
        <v>FBAU</v>
      </c>
      <c r="E197" s="57" t="n">
        <v>95</v>
      </c>
      <c r="F197" s="57" t="n">
        <v>5</v>
      </c>
      <c r="G197" s="58" t="n">
        <v>5821.47</v>
      </c>
      <c r="H197" s="58" t="n">
        <v>273.19</v>
      </c>
      <c r="I197" s="58" t="n">
        <v>5366.35</v>
      </c>
      <c r="J197" s="32" t="n">
        <f aca="false">IF(E197&gt;0,F197/E197,0)</f>
        <v>0.0526315789473684</v>
      </c>
      <c r="K197" s="32" t="n">
        <f aca="false">IF(G197&gt;0,H197/G197,0)</f>
        <v>0.046928009592079</v>
      </c>
      <c r="L197" s="59" t="n">
        <f aca="false">H197/Settings!$B$16</f>
        <v>0.000545977439914003</v>
      </c>
      <c r="M197" s="59" t="n">
        <f aca="false">H197/Settings!$B$20</f>
        <v>2.12089418081812E-005</v>
      </c>
      <c r="N197" s="60" t="n">
        <f aca="false">E197*Settings!$B$3</f>
        <v>2.94368435258294</v>
      </c>
      <c r="O197" s="60" t="n">
        <f aca="false">IF(E197&gt;0,(F197-N197)/SQRT(E197*Settings!$B$3*(1-Settings!$B$3)),0)</f>
        <v>1.21752859148646</v>
      </c>
      <c r="P197" s="60" t="n">
        <f aca="false">MAX(0,F197-N197)</f>
        <v>2.05631564741706</v>
      </c>
      <c r="Q197" s="32" t="n">
        <f aca="false">(F197+Settings!$B$7*Settings!$B$3)/(E197+Settings!$B$7)</f>
        <v>0.0474366762591569</v>
      </c>
      <c r="R197" s="61" t="n">
        <f aca="false">PERCENTRANK($H$2:$H$1780,H197,6)</f>
        <v>0.857143</v>
      </c>
      <c r="S197" s="61" t="n">
        <f aca="false">PERCENTRANK($Q$2:$Q$1780,Q197,6)</f>
        <v>0.868954</v>
      </c>
      <c r="T197" s="61" t="n">
        <f aca="false">PERCENTRANK($F$2:$F$1780,F197,6)</f>
        <v>0.889764</v>
      </c>
      <c r="U197" s="62" t="n">
        <f aca="false">IF(F197&gt;0,(Settings!$B$8*T197+Settings!$B$9*R197+Settings!$B$10*S197)/SUM(Settings!$B$8:$B$10),0)</f>
        <v>0.871953666666667</v>
      </c>
      <c r="V197" s="56" t="n">
        <f aca="false">IF(U197&gt;0,RANK(U197,$U$2:$U$1780)+COUNTIF($U$2:U197,U197)-1,"")</f>
        <v>196</v>
      </c>
      <c r="W197" s="56" t="str">
        <f aca="false">IF(V197="","",IF(V197&lt;=Settings!$B$11,"1 - Fix first",IF(V197&lt;=Settings!$B$12,"2 - Review","3 - Monitor")))</f>
        <v>3 - Monitor</v>
      </c>
      <c r="X197" s="56" t="str">
        <f aca="false">IF(AND(E197&gt;=Settings!$B$4,F197&gt;=Settings!$B$5,O197&gt;=Settings!$B$6),"HIGH RATE","")</f>
        <v/>
      </c>
      <c r="Y197" s="56" t="n">
        <f aca="false">IF(F197&gt;0,RANK(F197,$F$2:$F$1780)+COUNTIF($F$2:F197,F197)-1,"")</f>
        <v>193</v>
      </c>
      <c r="Z197" s="56" t="n">
        <f aca="false">IF(H197&gt;0,RANK(H197,$H$2:$H$1780)+COUNTIF($H$2:H197,H197)-1,"")</f>
        <v>255</v>
      </c>
      <c r="AA197" s="56" t="n">
        <f aca="false">IF(AC197="","",RANK(AC197,$AC$2:$AC$1780)+COUNTIF($AC$2:AC197,AC197)-1)</f>
        <v>107</v>
      </c>
      <c r="AB197" s="56" t="str">
        <f aca="false">IF(AD197="","",RANK(AD197,$AD$2:$AD$1780)+COUNTIF($AD$2:AD197,AD197)-1)</f>
        <v/>
      </c>
      <c r="AC197" s="32" t="n">
        <f aca="false">IF(AND(F197&gt;0,E197&gt;=Settings!$B$4),J197,"")</f>
        <v>0.0526315789473684</v>
      </c>
      <c r="AD197" s="56" t="str">
        <f aca="false">IF(X197="HIGH RATE",O197,"")</f>
        <v/>
      </c>
    </row>
    <row r="198" customFormat="false" ht="15" hidden="false" customHeight="false" outlineLevel="0" collapsed="false">
      <c r="A198" s="56" t="s">
        <v>1131</v>
      </c>
      <c r="B198" s="56" t="s">
        <v>1132</v>
      </c>
      <c r="C198" s="56" t="s">
        <v>51</v>
      </c>
      <c r="D198" s="56" t="str">
        <f aca="false">IFERROR(INDEX('Brand Map'!$B$4:$B$124,MATCH(C198,'Brand Map'!$A$4:$A$124,0)),"Other")</f>
        <v>AU</v>
      </c>
      <c r="E198" s="57" t="n">
        <v>12</v>
      </c>
      <c r="F198" s="57" t="n">
        <v>2</v>
      </c>
      <c r="G198" s="58" t="n">
        <v>1451.96</v>
      </c>
      <c r="H198" s="58" t="n">
        <v>236.05</v>
      </c>
      <c r="I198" s="58" t="n">
        <v>1180.43</v>
      </c>
      <c r="J198" s="32" t="n">
        <f aca="false">IF(E198&gt;0,F198/E198,0)</f>
        <v>0.166666666666667</v>
      </c>
      <c r="K198" s="32" t="n">
        <f aca="false">IF(G198&gt;0,H198/G198,0)</f>
        <v>0.162573349128075</v>
      </c>
      <c r="L198" s="59" t="n">
        <f aca="false">H198/Settings!$B$16</f>
        <v>0.000471752167691718</v>
      </c>
      <c r="M198" s="59" t="n">
        <f aca="false">H198/Settings!$B$20</f>
        <v>1.83256001823682E-005</v>
      </c>
      <c r="N198" s="60" t="n">
        <f aca="false">E198*Settings!$B$3</f>
        <v>0.371833812957845</v>
      </c>
      <c r="O198" s="60" t="n">
        <f aca="false">IF(E198&gt;0,(F198-N198)/SQRT(E198*Settings!$B$3*(1-Settings!$B$3)),0)</f>
        <v>2.71243474766813</v>
      </c>
      <c r="P198" s="60" t="n">
        <f aca="false">MAX(0,F198-N198)</f>
        <v>1.62816618704215</v>
      </c>
      <c r="Q198" s="32" t="n">
        <f aca="false">(F198+Settings!$B$7*Settings!$B$3)/(E198+Settings!$B$7)</f>
        <v>0.0697520126760622</v>
      </c>
      <c r="R198" s="61" t="n">
        <f aca="false">PERCENTRANK($H$2:$H$1780,H198,6)</f>
        <v>0.84252</v>
      </c>
      <c r="S198" s="61" t="n">
        <f aca="false">PERCENTRANK($Q$2:$Q$1780,Q198,6)</f>
        <v>0.972441</v>
      </c>
      <c r="T198" s="61" t="n">
        <f aca="false">PERCENTRANK($F$2:$F$1780,F198,6)</f>
        <v>0.799775</v>
      </c>
      <c r="U198" s="62" t="n">
        <f aca="false">IF(F198&gt;0,(Settings!$B$8*T198+Settings!$B$9*R198+Settings!$B$10*S198)/SUM(Settings!$B$8:$B$10),0)</f>
        <v>0.871578666666667</v>
      </c>
      <c r="V198" s="56" t="n">
        <f aca="false">IF(U198&gt;0,RANK(U198,$U$2:$U$1780)+COUNTIF($U$2:U198,U198)-1,"")</f>
        <v>197</v>
      </c>
      <c r="W198" s="56" t="str">
        <f aca="false">IF(V198="","",IF(V198&lt;=Settings!$B$11,"1 - Fix first",IF(V198&lt;=Settings!$B$12,"2 - Review","3 - Monitor")))</f>
        <v>3 - Monitor</v>
      </c>
      <c r="X198" s="56" t="str">
        <f aca="false">IF(AND(E198&gt;=Settings!$B$4,F198&gt;=Settings!$B$5,O198&gt;=Settings!$B$6),"HIGH RATE","")</f>
        <v/>
      </c>
      <c r="Y198" s="56" t="n">
        <f aca="false">IF(F198&gt;0,RANK(F198,$F$2:$F$1780)+COUNTIF($F$2:F198,F198)-1,"")</f>
        <v>293</v>
      </c>
      <c r="Z198" s="56" t="n">
        <f aca="false">IF(H198&gt;0,RANK(H198,$H$2:$H$1780)+COUNTIF($H$2:H198,H198)-1,"")</f>
        <v>281</v>
      </c>
      <c r="AA198" s="56" t="str">
        <f aca="false">IF(AC198="","",RANK(AC198,$AC$2:$AC$1780)+COUNTIF($AC$2:AC198,AC198)-1)</f>
        <v/>
      </c>
      <c r="AB198" s="56" t="str">
        <f aca="false">IF(AD198="","",RANK(AD198,$AD$2:$AD$1780)+COUNTIF($AD$2:AD198,AD198)-1)</f>
        <v/>
      </c>
      <c r="AC198" s="56" t="str">
        <f aca="false">IF(AND(F198&gt;0,E198&gt;=Settings!$B$4),J198,"")</f>
        <v/>
      </c>
      <c r="AD198" s="56" t="str">
        <f aca="false">IF(X198="HIGH RATE",O198,"")</f>
        <v/>
      </c>
    </row>
    <row r="199" customFormat="false" ht="15" hidden="false" customHeight="false" outlineLevel="0" collapsed="false">
      <c r="A199" s="56" t="s">
        <v>1133</v>
      </c>
      <c r="B199" s="56" t="s">
        <v>1134</v>
      </c>
      <c r="C199" s="56" t="s">
        <v>51</v>
      </c>
      <c r="D199" s="56" t="str">
        <f aca="false">IFERROR(INDEX('Brand Map'!$B$4:$B$124,MATCH(C199,'Brand Map'!$A$4:$A$124,0)),"Other")</f>
        <v>AU</v>
      </c>
      <c r="E199" s="57" t="n">
        <v>143</v>
      </c>
      <c r="F199" s="57" t="n">
        <v>6</v>
      </c>
      <c r="G199" s="58" t="n">
        <v>12966.91</v>
      </c>
      <c r="H199" s="58" t="n">
        <v>477.98</v>
      </c>
      <c r="I199" s="58" t="n">
        <v>11937.4</v>
      </c>
      <c r="J199" s="32" t="n">
        <f aca="false">IF(E199&gt;0,F199/E199,0)</f>
        <v>0.041958041958042</v>
      </c>
      <c r="K199" s="32" t="n">
        <f aca="false">IF(G199&gt;0,H199/G199,0)</f>
        <v>0.0368615190511849</v>
      </c>
      <c r="L199" s="59" t="n">
        <f aca="false">H199/Settings!$B$16</f>
        <v>0.00095525567088874</v>
      </c>
      <c r="M199" s="59" t="n">
        <f aca="false">H199/Settings!$B$20</f>
        <v>3.71076906382899E-005</v>
      </c>
      <c r="N199" s="60" t="n">
        <f aca="false">E199*Settings!$B$3</f>
        <v>4.43101960441432</v>
      </c>
      <c r="O199" s="60" t="n">
        <f aca="false">IF(E199&gt;0,(F199-N199)/SQRT(E199*Settings!$B$3*(1-Settings!$B$3)),0)</f>
        <v>0.757182711649501</v>
      </c>
      <c r="P199" s="60" t="n">
        <f aca="false">MAX(0,F199-N199)</f>
        <v>1.56898039558568</v>
      </c>
      <c r="Q199" s="32" t="n">
        <f aca="false">(F199+Settings!$B$7*Settings!$B$3)/(E199+Settings!$B$7)</f>
        <v>0.0400554019213561</v>
      </c>
      <c r="R199" s="61" t="n">
        <f aca="false">PERCENTRANK($H$2:$H$1780,H199,6)</f>
        <v>0.901575</v>
      </c>
      <c r="S199" s="61" t="n">
        <f aca="false">PERCENTRANK($Q$2:$Q$1780,Q199,6)</f>
        <v>0.813273</v>
      </c>
      <c r="T199" s="61" t="n">
        <f aca="false">PERCENTRANK($F$2:$F$1780,F199,6)</f>
        <v>0.898763</v>
      </c>
      <c r="U199" s="62" t="n">
        <f aca="false">IF(F199&gt;0,(Settings!$B$8*T199+Settings!$B$9*R199+Settings!$B$10*S199)/SUM(Settings!$B$8:$B$10),0)</f>
        <v>0.871203666666667</v>
      </c>
      <c r="V199" s="56" t="n">
        <f aca="false">IF(U199&gt;0,RANK(U199,$U$2:$U$1780)+COUNTIF($U$2:U199,U199)-1,"")</f>
        <v>198</v>
      </c>
      <c r="W199" s="56" t="str">
        <f aca="false">IF(V199="","",IF(V199&lt;=Settings!$B$11,"1 - Fix first",IF(V199&lt;=Settings!$B$12,"2 - Review","3 - Monitor")))</f>
        <v>3 - Monitor</v>
      </c>
      <c r="X199" s="56" t="str">
        <f aca="false">IF(AND(E199&gt;=Settings!$B$4,F199&gt;=Settings!$B$5,O199&gt;=Settings!$B$6),"HIGH RATE","")</f>
        <v/>
      </c>
      <c r="Y199" s="56" t="n">
        <f aca="false">IF(F199&gt;0,RANK(F199,$F$2:$F$1780)+COUNTIF($F$2:F199,F199)-1,"")</f>
        <v>176</v>
      </c>
      <c r="Z199" s="56" t="n">
        <f aca="false">IF(H199&gt;0,RANK(H199,$H$2:$H$1780)+COUNTIF($H$2:H199,H199)-1,"")</f>
        <v>176</v>
      </c>
      <c r="AA199" s="56" t="n">
        <f aca="false">IF(AC199="","",RANK(AC199,$AC$2:$AC$1780)+COUNTIF($AC$2:AC199,AC199)-1)</f>
        <v>180</v>
      </c>
      <c r="AB199" s="56" t="str">
        <f aca="false">IF(AD199="","",RANK(AD199,$AD$2:$AD$1780)+COUNTIF($AD$2:AD199,AD199)-1)</f>
        <v/>
      </c>
      <c r="AC199" s="32" t="n">
        <f aca="false">IF(AND(F199&gt;0,E199&gt;=Settings!$B$4),J199,"")</f>
        <v>0.041958041958042</v>
      </c>
      <c r="AD199" s="56" t="str">
        <f aca="false">IF(X199="HIGH RATE",O199,"")</f>
        <v/>
      </c>
    </row>
    <row r="200" customFormat="false" ht="15" hidden="false" customHeight="false" outlineLevel="0" collapsed="false">
      <c r="A200" s="56" t="s">
        <v>1135</v>
      </c>
      <c r="B200" s="56" t="s">
        <v>1136</v>
      </c>
      <c r="C200" s="56" t="s">
        <v>114</v>
      </c>
      <c r="D200" s="56" t="str">
        <f aca="false">IFERROR(INDEX('Brand Map'!$B$4:$B$124,MATCH(C200,'Brand Map'!$A$4:$A$124,0)),"Other")</f>
        <v>SB</v>
      </c>
      <c r="E200" s="57" t="n">
        <v>75</v>
      </c>
      <c r="F200" s="57" t="n">
        <v>4</v>
      </c>
      <c r="G200" s="58" t="n">
        <v>6763.67</v>
      </c>
      <c r="H200" s="58" t="n">
        <v>352.75</v>
      </c>
      <c r="I200" s="58" t="n">
        <v>6022.85</v>
      </c>
      <c r="J200" s="32" t="n">
        <f aca="false">IF(E200&gt;0,F200/E200,0)</f>
        <v>0.0533333333333333</v>
      </c>
      <c r="K200" s="32" t="n">
        <f aca="false">IF(G200&gt;0,H200/G200,0)</f>
        <v>0.0521536384832495</v>
      </c>
      <c r="L200" s="59" t="n">
        <f aca="false">H200/Settings!$B$16</f>
        <v>0.00070498020399599</v>
      </c>
      <c r="M200" s="59" t="n">
        <f aca="false">H200/Settings!$B$20</f>
        <v>2.73855346932022E-005</v>
      </c>
      <c r="N200" s="60" t="n">
        <f aca="false">E200*Settings!$B$3</f>
        <v>2.32396133098653</v>
      </c>
      <c r="O200" s="60" t="n">
        <f aca="false">IF(E200&gt;0,(F200-N200)/SQRT(E200*Settings!$B$3*(1-Settings!$B$3)),0)</f>
        <v>1.11687506114506</v>
      </c>
      <c r="P200" s="60" t="n">
        <f aca="false">MAX(0,F200-N200)</f>
        <v>1.67603866901347</v>
      </c>
      <c r="Q200" s="32" t="n">
        <f aca="false">(F200+Settings!$B$7*Settings!$B$3)/(E200+Settings!$B$7)</f>
        <v>0.0469484241180439</v>
      </c>
      <c r="R200" s="61" t="n">
        <f aca="false">PERCENTRANK($H$2:$H$1780,H200,6)</f>
        <v>0.880202</v>
      </c>
      <c r="S200" s="61" t="n">
        <f aca="false">PERCENTRANK($Q$2:$Q$1780,Q200,6)</f>
        <v>0.86108</v>
      </c>
      <c r="T200" s="61" t="n">
        <f aca="false">PERCENTRANK($F$2:$F$1780,F200,6)</f>
        <v>0.871766</v>
      </c>
      <c r="U200" s="62" t="n">
        <f aca="false">IF(F200&gt;0,(Settings!$B$8*T200+Settings!$B$9*R200+Settings!$B$10*S200)/SUM(Settings!$B$8:$B$10),0)</f>
        <v>0.871016</v>
      </c>
      <c r="V200" s="56" t="n">
        <f aca="false">IF(U200&gt;0,RANK(U200,$U$2:$U$1780)+COUNTIF($U$2:U200,U200)-1,"")</f>
        <v>199</v>
      </c>
      <c r="W200" s="56" t="str">
        <f aca="false">IF(V200="","",IF(V200&lt;=Settings!$B$11,"1 - Fix first",IF(V200&lt;=Settings!$B$12,"2 - Review","3 - Monitor")))</f>
        <v>3 - Monitor</v>
      </c>
      <c r="X200" s="56" t="str">
        <f aca="false">IF(AND(E200&gt;=Settings!$B$4,F200&gt;=Settings!$B$5,O200&gt;=Settings!$B$6),"HIGH RATE","")</f>
        <v/>
      </c>
      <c r="Y200" s="56" t="n">
        <f aca="false">IF(F200&gt;0,RANK(F200,$F$2:$F$1780)+COUNTIF($F$2:F200,F200)-1,"")</f>
        <v>211</v>
      </c>
      <c r="Z200" s="56" t="n">
        <f aca="false">IF(H200&gt;0,RANK(H200,$H$2:$H$1780)+COUNTIF($H$2:H200,H200)-1,"")</f>
        <v>214</v>
      </c>
      <c r="AA200" s="56" t="n">
        <f aca="false">IF(AC200="","",RANK(AC200,$AC$2:$AC$1780)+COUNTIF($AC$2:AC200,AC200)-1)</f>
        <v>104</v>
      </c>
      <c r="AB200" s="56" t="str">
        <f aca="false">IF(AD200="","",RANK(AD200,$AD$2:$AD$1780)+COUNTIF($AD$2:AD200,AD200)-1)</f>
        <v/>
      </c>
      <c r="AC200" s="32" t="n">
        <f aca="false">IF(AND(F200&gt;0,E200&gt;=Settings!$B$4),J200,"")</f>
        <v>0.0533333333333333</v>
      </c>
      <c r="AD200" s="56" t="str">
        <f aca="false">IF(X200="HIGH RATE",O200,"")</f>
        <v/>
      </c>
    </row>
    <row r="201" customFormat="false" ht="15" hidden="false" customHeight="false" outlineLevel="0" collapsed="false">
      <c r="A201" s="56" t="s">
        <v>1137</v>
      </c>
      <c r="B201" s="56" t="s">
        <v>1138</v>
      </c>
      <c r="C201" s="56" t="s">
        <v>55</v>
      </c>
      <c r="D201" s="56" t="str">
        <f aca="false">IFERROR(INDEX('Brand Map'!$B$4:$B$124,MATCH(C201,'Brand Map'!$A$4:$A$124,0)),"Other")</f>
        <v>AUMJ</v>
      </c>
      <c r="E201" s="57" t="n">
        <v>189</v>
      </c>
      <c r="F201" s="57" t="n">
        <v>7</v>
      </c>
      <c r="G201" s="58" t="n">
        <v>20076.69</v>
      </c>
      <c r="H201" s="58" t="n">
        <v>677.4</v>
      </c>
      <c r="I201" s="58" t="n">
        <v>18543.2</v>
      </c>
      <c r="J201" s="32" t="n">
        <f aca="false">IF(E201&gt;0,F201/E201,0)</f>
        <v>0.037037037037037</v>
      </c>
      <c r="K201" s="32" t="n">
        <f aca="false">IF(G201&gt;0,H201/G201,0)</f>
        <v>0.0337406215865265</v>
      </c>
      <c r="L201" s="59" t="n">
        <f aca="false">H201/Settings!$B$16</f>
        <v>0.00135380181484588</v>
      </c>
      <c r="M201" s="59" t="n">
        <f aca="false">H201/Settings!$B$20</f>
        <v>5.25895427389799E-005</v>
      </c>
      <c r="N201" s="60" t="n">
        <f aca="false">E201*Settings!$B$3</f>
        <v>5.85638255408606</v>
      </c>
      <c r="O201" s="60" t="n">
        <f aca="false">IF(E201&gt;0,(F201-N201)/SQRT(E201*Settings!$B$3*(1-Settings!$B$3)),0)</f>
        <v>0.480066123885787</v>
      </c>
      <c r="P201" s="60" t="n">
        <f aca="false">MAX(0,F201-N201)</f>
        <v>1.14361744591394</v>
      </c>
      <c r="Q201" s="32" t="n">
        <f aca="false">(F201+Settings!$B$7*Settings!$B$3)/(E201+Settings!$B$7)</f>
        <v>0.0362081485497471</v>
      </c>
      <c r="R201" s="61" t="n">
        <f aca="false">PERCENTRANK($H$2:$H$1780,H201,6)</f>
        <v>0.920135</v>
      </c>
      <c r="S201" s="61" t="n">
        <f aca="false">PERCENTRANK($Q$2:$Q$1780,Q201,6)</f>
        <v>0.783465</v>
      </c>
      <c r="T201" s="61" t="n">
        <f aca="false">PERCENTRANK($F$2:$F$1780,F201,6)</f>
        <v>0.908324</v>
      </c>
      <c r="U201" s="62" t="n">
        <f aca="false">IF(F201&gt;0,(Settings!$B$8*T201+Settings!$B$9*R201+Settings!$B$10*S201)/SUM(Settings!$B$8:$B$10),0)</f>
        <v>0.870641333333333</v>
      </c>
      <c r="V201" s="56" t="n">
        <f aca="false">IF(U201&gt;0,RANK(U201,$U$2:$U$1780)+COUNTIF($U$2:U201,U201)-1,"")</f>
        <v>200</v>
      </c>
      <c r="W201" s="56" t="str">
        <f aca="false">IF(V201="","",IF(V201&lt;=Settings!$B$11,"1 - Fix first",IF(V201&lt;=Settings!$B$12,"2 - Review","3 - Monitor")))</f>
        <v>3 - Monitor</v>
      </c>
      <c r="X201" s="56" t="str">
        <f aca="false">IF(AND(E201&gt;=Settings!$B$4,F201&gt;=Settings!$B$5,O201&gt;=Settings!$B$6),"HIGH RATE","")</f>
        <v/>
      </c>
      <c r="Y201" s="56" t="n">
        <f aca="false">IF(F201&gt;0,RANK(F201,$F$2:$F$1780)+COUNTIF($F$2:F201,F201)-1,"")</f>
        <v>161</v>
      </c>
      <c r="Z201" s="56" t="n">
        <f aca="false">IF(H201&gt;0,RANK(H201,$H$2:$H$1780)+COUNTIF($H$2:H201,H201)-1,"")</f>
        <v>143</v>
      </c>
      <c r="AA201" s="56" t="n">
        <f aca="false">IF(AC201="","",RANK(AC201,$AC$2:$AC$1780)+COUNTIF($AC$2:AC201,AC201)-1)</f>
        <v>215</v>
      </c>
      <c r="AB201" s="56" t="str">
        <f aca="false">IF(AD201="","",RANK(AD201,$AD$2:$AD$1780)+COUNTIF($AD$2:AD201,AD201)-1)</f>
        <v/>
      </c>
      <c r="AC201" s="32" t="n">
        <f aca="false">IF(AND(F201&gt;0,E201&gt;=Settings!$B$4),J201,"")</f>
        <v>0.037037037037037</v>
      </c>
      <c r="AD201" s="56" t="str">
        <f aca="false">IF(X201="HIGH RATE",O201,"")</f>
        <v/>
      </c>
    </row>
    <row r="202" customFormat="false" ht="15" hidden="false" customHeight="false" outlineLevel="0" collapsed="false">
      <c r="A202" s="56" t="s">
        <v>1139</v>
      </c>
      <c r="B202" s="56" t="s">
        <v>1140</v>
      </c>
      <c r="C202" s="56" t="s">
        <v>91</v>
      </c>
      <c r="D202" s="56" t="str">
        <f aca="false">IFERROR(INDEX('Brand Map'!$B$4:$B$124,MATCH(C202,'Brand Map'!$A$4:$A$124,0)),"Other")</f>
        <v>AUBC</v>
      </c>
      <c r="E202" s="57" t="n">
        <v>89</v>
      </c>
      <c r="F202" s="57" t="n">
        <v>4</v>
      </c>
      <c r="G202" s="58" t="n">
        <v>14591.77</v>
      </c>
      <c r="H202" s="58" t="n">
        <v>651.63</v>
      </c>
      <c r="I202" s="58" t="n">
        <v>13607.23</v>
      </c>
      <c r="J202" s="32" t="n">
        <f aca="false">IF(E202&gt;0,F202/E202,0)</f>
        <v>0.0449438202247191</v>
      </c>
      <c r="K202" s="32" t="n">
        <f aca="false">IF(G202&gt;0,H202/G202,0)</f>
        <v>0.044657365076341</v>
      </c>
      <c r="L202" s="59" t="n">
        <f aca="false">H202/Settings!$B$16</f>
        <v>0.00130229978832008</v>
      </c>
      <c r="M202" s="59" t="n">
        <f aca="false">H202/Settings!$B$20</f>
        <v>5.0588904244171E-005</v>
      </c>
      <c r="N202" s="60" t="n">
        <f aca="false">E202*Settings!$B$3</f>
        <v>2.75776744610402</v>
      </c>
      <c r="O202" s="60" t="n">
        <f aca="false">IF(E202&gt;0,(F202-N202)/SQRT(E202*Settings!$B$3*(1-Settings!$B$3)),0)</f>
        <v>0.759904635658751</v>
      </c>
      <c r="P202" s="60" t="n">
        <f aca="false">MAX(0,F202-N202)</f>
        <v>1.24223255389598</v>
      </c>
      <c r="Q202" s="32" t="n">
        <f aca="false">(F202+Settings!$B$7*Settings!$B$3)/(E202+Settings!$B$7)</f>
        <v>0.0414250801041564</v>
      </c>
      <c r="R202" s="61" t="n">
        <f aca="false">PERCENTRANK($H$2:$H$1780,H202,6)</f>
        <v>0.917885</v>
      </c>
      <c r="S202" s="61" t="n">
        <f aca="false">PERCENTRANK($Q$2:$Q$1780,Q202,6)</f>
        <v>0.822272</v>
      </c>
      <c r="T202" s="61" t="n">
        <f aca="false">PERCENTRANK($F$2:$F$1780,F202,6)</f>
        <v>0.871766</v>
      </c>
      <c r="U202" s="62" t="n">
        <f aca="false">IF(F202&gt;0,(Settings!$B$8*T202+Settings!$B$9*R202+Settings!$B$10*S202)/SUM(Settings!$B$8:$B$10),0)</f>
        <v>0.870641</v>
      </c>
      <c r="V202" s="56" t="n">
        <f aca="false">IF(U202&gt;0,RANK(U202,$U$2:$U$1780)+COUNTIF($U$2:U202,U202)-1,"")</f>
        <v>201</v>
      </c>
      <c r="W202" s="56" t="str">
        <f aca="false">IF(V202="","",IF(V202&lt;=Settings!$B$11,"1 - Fix first",IF(V202&lt;=Settings!$B$12,"2 - Review","3 - Monitor")))</f>
        <v>3 - Monitor</v>
      </c>
      <c r="X202" s="56" t="str">
        <f aca="false">IF(AND(E202&gt;=Settings!$B$4,F202&gt;=Settings!$B$5,O202&gt;=Settings!$B$6),"HIGH RATE","")</f>
        <v/>
      </c>
      <c r="Y202" s="56" t="n">
        <f aca="false">IF(F202&gt;0,RANK(F202,$F$2:$F$1780)+COUNTIF($F$2:F202,F202)-1,"")</f>
        <v>212</v>
      </c>
      <c r="Z202" s="56" t="n">
        <f aca="false">IF(H202&gt;0,RANK(H202,$H$2:$H$1780)+COUNTIF($H$2:H202,H202)-1,"")</f>
        <v>147</v>
      </c>
      <c r="AA202" s="56" t="n">
        <f aca="false">IF(AC202="","",RANK(AC202,$AC$2:$AC$1780)+COUNTIF($AC$2:AC202,AC202)-1)</f>
        <v>159</v>
      </c>
      <c r="AB202" s="56" t="str">
        <f aca="false">IF(AD202="","",RANK(AD202,$AD$2:$AD$1780)+COUNTIF($AD$2:AD202,AD202)-1)</f>
        <v/>
      </c>
      <c r="AC202" s="32" t="n">
        <f aca="false">IF(AND(F202&gt;0,E202&gt;=Settings!$B$4),J202,"")</f>
        <v>0.0449438202247191</v>
      </c>
      <c r="AD202" s="56" t="str">
        <f aca="false">IF(X202="HIGH RATE",O202,"")</f>
        <v/>
      </c>
    </row>
    <row r="203" customFormat="false" ht="15" hidden="false" customHeight="false" outlineLevel="0" collapsed="false">
      <c r="A203" s="56" t="s">
        <v>1141</v>
      </c>
      <c r="B203" s="56" t="s">
        <v>1142</v>
      </c>
      <c r="C203" s="56" t="s">
        <v>51</v>
      </c>
      <c r="D203" s="56" t="str">
        <f aca="false">IFERROR(INDEX('Brand Map'!$B$4:$B$124,MATCH(C203,'Brand Map'!$A$4:$A$124,0)),"Other")</f>
        <v>AU</v>
      </c>
      <c r="E203" s="57" t="n">
        <v>119</v>
      </c>
      <c r="F203" s="57" t="n">
        <v>5</v>
      </c>
      <c r="G203" s="58" t="n">
        <v>14404.56</v>
      </c>
      <c r="H203" s="58" t="n">
        <v>562.53</v>
      </c>
      <c r="I203" s="58" t="n">
        <v>13717.09</v>
      </c>
      <c r="J203" s="32" t="n">
        <f aca="false">IF(E203&gt;0,F203/E203,0)</f>
        <v>0.0420168067226891</v>
      </c>
      <c r="K203" s="32" t="n">
        <f aca="false">IF(G203&gt;0,H203/G203,0)</f>
        <v>0.039052216798014</v>
      </c>
      <c r="L203" s="59" t="n">
        <f aca="false">H203/Settings!$B$16</f>
        <v>0.00112423108193867</v>
      </c>
      <c r="M203" s="59" t="n">
        <f aca="false">H203/Settings!$B$20</f>
        <v>4.36716791806294E-005</v>
      </c>
      <c r="N203" s="60" t="n">
        <f aca="false">E203*Settings!$B$3</f>
        <v>3.68735197849863</v>
      </c>
      <c r="O203" s="60" t="n">
        <f aca="false">IF(E203&gt;0,(F203-N203)/SQRT(E203*Settings!$B$3*(1-Settings!$B$3)),0)</f>
        <v>0.694426041141318</v>
      </c>
      <c r="P203" s="60" t="n">
        <f aca="false">MAX(0,F203-N203)</f>
        <v>1.31264802150137</v>
      </c>
      <c r="Q203" s="32" t="n">
        <f aca="false">(F203+Settings!$B$7*Settings!$B$3)/(E203+Settings!$B$7)</f>
        <v>0.0397958693449303</v>
      </c>
      <c r="R203" s="61" t="n">
        <f aca="false">PERCENTRANK($H$2:$H$1780,H203,6)</f>
        <v>0.910011</v>
      </c>
      <c r="S203" s="61" t="n">
        <f aca="false">PERCENTRANK($Q$2:$Q$1780,Q203,6)</f>
        <v>0.812148</v>
      </c>
      <c r="T203" s="61" t="n">
        <f aca="false">PERCENTRANK($F$2:$F$1780,F203,6)</f>
        <v>0.889764</v>
      </c>
      <c r="U203" s="62" t="n">
        <f aca="false">IF(F203&gt;0,(Settings!$B$8*T203+Settings!$B$9*R203+Settings!$B$10*S203)/SUM(Settings!$B$8:$B$10),0)</f>
        <v>0.870641</v>
      </c>
      <c r="V203" s="56" t="n">
        <f aca="false">IF(U203&gt;0,RANK(U203,$U$2:$U$1780)+COUNTIF($U$2:U203,U203)-1,"")</f>
        <v>202</v>
      </c>
      <c r="W203" s="56" t="str">
        <f aca="false">IF(V203="","",IF(V203&lt;=Settings!$B$11,"1 - Fix first",IF(V203&lt;=Settings!$B$12,"2 - Review","3 - Monitor")))</f>
        <v>3 - Monitor</v>
      </c>
      <c r="X203" s="56" t="str">
        <f aca="false">IF(AND(E203&gt;=Settings!$B$4,F203&gt;=Settings!$B$5,O203&gt;=Settings!$B$6),"HIGH RATE","")</f>
        <v/>
      </c>
      <c r="Y203" s="56" t="n">
        <f aca="false">IF(F203&gt;0,RANK(F203,$F$2:$F$1780)+COUNTIF($F$2:F203,F203)-1,"")</f>
        <v>194</v>
      </c>
      <c r="Z203" s="56" t="n">
        <f aca="false">IF(H203&gt;0,RANK(H203,$H$2:$H$1780)+COUNTIF($H$2:H203,H203)-1,"")</f>
        <v>161</v>
      </c>
      <c r="AA203" s="56" t="n">
        <f aca="false">IF(AC203="","",RANK(AC203,$AC$2:$AC$1780)+COUNTIF($AC$2:AC203,AC203)-1)</f>
        <v>179</v>
      </c>
      <c r="AB203" s="56" t="str">
        <f aca="false">IF(AD203="","",RANK(AD203,$AD$2:$AD$1780)+COUNTIF($AD$2:AD203,AD203)-1)</f>
        <v/>
      </c>
      <c r="AC203" s="32" t="n">
        <f aca="false">IF(AND(F203&gt;0,E203&gt;=Settings!$B$4),J203,"")</f>
        <v>0.0420168067226891</v>
      </c>
      <c r="AD203" s="56" t="str">
        <f aca="false">IF(X203="HIGH RATE",O203,"")</f>
        <v/>
      </c>
    </row>
    <row r="204" customFormat="false" ht="15" hidden="false" customHeight="false" outlineLevel="0" collapsed="false">
      <c r="A204" s="56" t="s">
        <v>1143</v>
      </c>
      <c r="B204" s="56" t="s">
        <v>1144</v>
      </c>
      <c r="C204" s="56" t="s">
        <v>51</v>
      </c>
      <c r="D204" s="56" t="str">
        <f aca="false">IFERROR(INDEX('Brand Map'!$B$4:$B$124,MATCH(C204,'Brand Map'!$A$4:$A$124,0)),"Other")</f>
        <v>AU</v>
      </c>
      <c r="E204" s="57" t="n">
        <v>146</v>
      </c>
      <c r="F204" s="57" t="n">
        <v>6</v>
      </c>
      <c r="G204" s="58" t="n">
        <v>15287.61</v>
      </c>
      <c r="H204" s="58" t="n">
        <v>536.36</v>
      </c>
      <c r="I204" s="58" t="n">
        <v>14302.9</v>
      </c>
      <c r="J204" s="32" t="n">
        <f aca="false">IF(E204&gt;0,F204/E204,0)</f>
        <v>0.0410958904109589</v>
      </c>
      <c r="K204" s="32" t="n">
        <f aca="false">IF(G204&gt;0,H204/G204,0)</f>
        <v>0.0350846208138486</v>
      </c>
      <c r="L204" s="59" t="n">
        <f aca="false">H204/Settings!$B$16</f>
        <v>0.00107192964483427</v>
      </c>
      <c r="M204" s="59" t="n">
        <f aca="false">H204/Settings!$B$20</f>
        <v>4.16399869257149E-005</v>
      </c>
      <c r="N204" s="60" t="n">
        <f aca="false">E204*Settings!$B$3</f>
        <v>4.52397805765378</v>
      </c>
      <c r="O204" s="60" t="n">
        <f aca="false">IF(E204&gt;0,(F204-N204)/SQRT(E204*Settings!$B$3*(1-Settings!$B$3)),0)</f>
        <v>0.704965034221078</v>
      </c>
      <c r="P204" s="60" t="n">
        <f aca="false">MAX(0,F204-N204)</f>
        <v>1.47602194234622</v>
      </c>
      <c r="Q204" s="32" t="n">
        <f aca="false">(F204+Settings!$B$7*Settings!$B$3)/(E204+Settings!$B$7)</f>
        <v>0.0393726393886058</v>
      </c>
      <c r="R204" s="61" t="n">
        <f aca="false">PERCENTRANK($H$2:$H$1780,H204,6)</f>
        <v>0.907762</v>
      </c>
      <c r="S204" s="61" t="n">
        <f aca="false">PERCENTRANK($Q$2:$Q$1780,Q204,6)</f>
        <v>0.804837</v>
      </c>
      <c r="T204" s="61" t="n">
        <f aca="false">PERCENTRANK($F$2:$F$1780,F204,6)</f>
        <v>0.898763</v>
      </c>
      <c r="U204" s="62" t="n">
        <f aca="false">IF(F204&gt;0,(Settings!$B$8*T204+Settings!$B$9*R204+Settings!$B$10*S204)/SUM(Settings!$B$8:$B$10),0)</f>
        <v>0.870454</v>
      </c>
      <c r="V204" s="56" t="n">
        <f aca="false">IF(U204&gt;0,RANK(U204,$U$2:$U$1780)+COUNTIF($U$2:U204,U204)-1,"")</f>
        <v>203</v>
      </c>
      <c r="W204" s="56" t="str">
        <f aca="false">IF(V204="","",IF(V204&lt;=Settings!$B$11,"1 - Fix first",IF(V204&lt;=Settings!$B$12,"2 - Review","3 - Monitor")))</f>
        <v>3 - Monitor</v>
      </c>
      <c r="X204" s="56" t="str">
        <f aca="false">IF(AND(E204&gt;=Settings!$B$4,F204&gt;=Settings!$B$5,O204&gt;=Settings!$B$6),"HIGH RATE","")</f>
        <v/>
      </c>
      <c r="Y204" s="56" t="n">
        <f aca="false">IF(F204&gt;0,RANK(F204,$F$2:$F$1780)+COUNTIF($F$2:F204,F204)-1,"")</f>
        <v>177</v>
      </c>
      <c r="Z204" s="56" t="n">
        <f aca="false">IF(H204&gt;0,RANK(H204,$H$2:$H$1780)+COUNTIF($H$2:H204,H204)-1,"")</f>
        <v>165</v>
      </c>
      <c r="AA204" s="56" t="n">
        <f aca="false">IF(AC204="","",RANK(AC204,$AC$2:$AC$1780)+COUNTIF($AC$2:AC204,AC204)-1)</f>
        <v>189</v>
      </c>
      <c r="AB204" s="56" t="str">
        <f aca="false">IF(AD204="","",RANK(AD204,$AD$2:$AD$1780)+COUNTIF($AD$2:AD204,AD204)-1)</f>
        <v/>
      </c>
      <c r="AC204" s="32" t="n">
        <f aca="false">IF(AND(F204&gt;0,E204&gt;=Settings!$B$4),J204,"")</f>
        <v>0.0410958904109589</v>
      </c>
      <c r="AD204" s="56" t="str">
        <f aca="false">IF(X204="HIGH RATE",O204,"")</f>
        <v/>
      </c>
    </row>
    <row r="205" customFormat="false" ht="15" hidden="false" customHeight="false" outlineLevel="0" collapsed="false">
      <c r="A205" s="56" t="s">
        <v>1145</v>
      </c>
      <c r="B205" s="56" t="s">
        <v>1146</v>
      </c>
      <c r="C205" s="56" t="s">
        <v>51</v>
      </c>
      <c r="D205" s="56" t="str">
        <f aca="false">IFERROR(INDEX('Brand Map'!$B$4:$B$124,MATCH(C205,'Brand Map'!$A$4:$A$124,0)),"Other")</f>
        <v>AU</v>
      </c>
      <c r="E205" s="57" t="n">
        <v>11</v>
      </c>
      <c r="F205" s="57" t="n">
        <v>2</v>
      </c>
      <c r="G205" s="58" t="n">
        <v>1049.49</v>
      </c>
      <c r="H205" s="58" t="n">
        <v>218.56</v>
      </c>
      <c r="I205" s="58" t="n">
        <v>770.09</v>
      </c>
      <c r="J205" s="32" t="n">
        <f aca="false">IF(E205&gt;0,F205/E205,0)</f>
        <v>0.181818181818182</v>
      </c>
      <c r="K205" s="32" t="n">
        <f aca="false">IF(G205&gt;0,H205/G205,0)</f>
        <v>0.208253532668248</v>
      </c>
      <c r="L205" s="59" t="n">
        <f aca="false">H205/Settings!$B$16</f>
        <v>0.000436797940142774</v>
      </c>
      <c r="M205" s="59" t="n">
        <f aca="false">H205/Settings!$B$20</f>
        <v>1.6967774521747E-005</v>
      </c>
      <c r="N205" s="60" t="n">
        <f aca="false">E205*Settings!$B$3</f>
        <v>0.340847661878025</v>
      </c>
      <c r="O205" s="60" t="n">
        <f aca="false">IF(E205&gt;0,(F205-N205)/SQRT(E205*Settings!$B$3*(1-Settings!$B$3)),0)</f>
        <v>2.88696229496052</v>
      </c>
      <c r="P205" s="60" t="n">
        <f aca="false">MAX(0,F205-N205)</f>
        <v>1.65915233812198</v>
      </c>
      <c r="Q205" s="32" t="n">
        <f aca="false">(F205+Settings!$B$7*Settings!$B$3)/(E205+Settings!$B$7)</f>
        <v>0.0714532812779174</v>
      </c>
      <c r="R205" s="61" t="n">
        <f aca="false">PERCENTRANK($H$2:$H$1780,H205,6)</f>
        <v>0.833521</v>
      </c>
      <c r="S205" s="61" t="n">
        <f aca="false">PERCENTRANK($Q$2:$Q$1780,Q205,6)</f>
        <v>0.977503</v>
      </c>
      <c r="T205" s="61" t="n">
        <f aca="false">PERCENTRANK($F$2:$F$1780,F205,6)</f>
        <v>0.799775</v>
      </c>
      <c r="U205" s="62" t="n">
        <f aca="false">IF(F205&gt;0,(Settings!$B$8*T205+Settings!$B$9*R205+Settings!$B$10*S205)/SUM(Settings!$B$8:$B$10),0)</f>
        <v>0.870266333333333</v>
      </c>
      <c r="V205" s="56" t="n">
        <f aca="false">IF(U205&gt;0,RANK(U205,$U$2:$U$1780)+COUNTIF($U$2:U205,U205)-1,"")</f>
        <v>204</v>
      </c>
      <c r="W205" s="56" t="str">
        <f aca="false">IF(V205="","",IF(V205&lt;=Settings!$B$11,"1 - Fix first",IF(V205&lt;=Settings!$B$12,"2 - Review","3 - Monitor")))</f>
        <v>3 - Monitor</v>
      </c>
      <c r="X205" s="56" t="str">
        <f aca="false">IF(AND(E205&gt;=Settings!$B$4,F205&gt;=Settings!$B$5,O205&gt;=Settings!$B$6),"HIGH RATE","")</f>
        <v/>
      </c>
      <c r="Y205" s="56" t="n">
        <f aca="false">IF(F205&gt;0,RANK(F205,$F$2:$F$1780)+COUNTIF($F$2:F205,F205)-1,"")</f>
        <v>294</v>
      </c>
      <c r="Z205" s="56" t="n">
        <f aca="false">IF(H205&gt;0,RANK(H205,$H$2:$H$1780)+COUNTIF($H$2:H205,H205)-1,"")</f>
        <v>297</v>
      </c>
      <c r="AA205" s="56" t="str">
        <f aca="false">IF(AC205="","",RANK(AC205,$AC$2:$AC$1780)+COUNTIF($AC$2:AC205,AC205)-1)</f>
        <v/>
      </c>
      <c r="AB205" s="56" t="str">
        <f aca="false">IF(AD205="","",RANK(AD205,$AD$2:$AD$1780)+COUNTIF($AD$2:AD205,AD205)-1)</f>
        <v/>
      </c>
      <c r="AC205" s="56" t="str">
        <f aca="false">IF(AND(F205&gt;0,E205&gt;=Settings!$B$4),J205,"")</f>
        <v/>
      </c>
      <c r="AD205" s="56" t="str">
        <f aca="false">IF(X205="HIGH RATE",O205,"")</f>
        <v/>
      </c>
    </row>
    <row r="206" customFormat="false" ht="15" hidden="false" customHeight="false" outlineLevel="0" collapsed="false">
      <c r="A206" s="56" t="s">
        <v>1147</v>
      </c>
      <c r="B206" s="56" t="s">
        <v>1148</v>
      </c>
      <c r="C206" s="56" t="s">
        <v>51</v>
      </c>
      <c r="D206" s="56" t="str">
        <f aca="false">IFERROR(INDEX('Brand Map'!$B$4:$B$124,MATCH(C206,'Brand Map'!$A$4:$A$124,0)),"Other")</f>
        <v>AU</v>
      </c>
      <c r="E206" s="57" t="n">
        <v>317</v>
      </c>
      <c r="F206" s="57" t="n">
        <v>10</v>
      </c>
      <c r="G206" s="58" t="n">
        <v>33655.2</v>
      </c>
      <c r="H206" s="58" t="n">
        <v>864.51</v>
      </c>
      <c r="I206" s="58" t="n">
        <v>29206.62</v>
      </c>
      <c r="J206" s="32" t="n">
        <f aca="false">IF(E206&gt;0,F206/E206,0)</f>
        <v>0.0315457413249211</v>
      </c>
      <c r="K206" s="32" t="n">
        <f aca="false">IF(G206&gt;0,H206/G206,0)</f>
        <v>0.0256872637809313</v>
      </c>
      <c r="L206" s="59" t="n">
        <f aca="false">H206/Settings!$B$16</f>
        <v>0.00172774609824684</v>
      </c>
      <c r="M206" s="59" t="n">
        <f aca="false">H206/Settings!$B$20</f>
        <v>6.71157153724173E-005</v>
      </c>
      <c r="N206" s="60" t="n">
        <f aca="false">E206*Settings!$B$3</f>
        <v>9.82260989230307</v>
      </c>
      <c r="O206" s="60" t="n">
        <f aca="false">IF(E206&gt;0,(F206-N206)/SQRT(E206*Settings!$B$3*(1-Settings!$B$3)),0)</f>
        <v>0.0574977641747732</v>
      </c>
      <c r="P206" s="60" t="n">
        <f aca="false">MAX(0,F206-N206)</f>
        <v>0.177390107696928</v>
      </c>
      <c r="Q206" s="32" t="n">
        <f aca="false">(F206+Settings!$B$7*Settings!$B$3)/(E206+Settings!$B$7)</f>
        <v>0.031497361764826</v>
      </c>
      <c r="R206" s="61" t="n">
        <f aca="false">PERCENTRANK($H$2:$H$1780,H206,6)</f>
        <v>0.935321</v>
      </c>
      <c r="S206" s="61" t="n">
        <f aca="false">PERCENTRANK($Q$2:$Q$1780,Q206,6)</f>
        <v>0.751406</v>
      </c>
      <c r="T206" s="61" t="n">
        <f aca="false">PERCENTRANK($F$2:$F$1780,F206,6)</f>
        <v>0.922947</v>
      </c>
      <c r="U206" s="62" t="n">
        <f aca="false">IF(F206&gt;0,(Settings!$B$8*T206+Settings!$B$9*R206+Settings!$B$10*S206)/SUM(Settings!$B$8:$B$10),0)</f>
        <v>0.869891333333333</v>
      </c>
      <c r="V206" s="56" t="n">
        <f aca="false">IF(U206&gt;0,RANK(U206,$U$2:$U$1780)+COUNTIF($U$2:U206,U206)-1,"")</f>
        <v>205</v>
      </c>
      <c r="W206" s="56" t="str">
        <f aca="false">IF(V206="","",IF(V206&lt;=Settings!$B$11,"1 - Fix first",IF(V206&lt;=Settings!$B$12,"2 - Review","3 - Monitor")))</f>
        <v>3 - Monitor</v>
      </c>
      <c r="X206" s="56" t="str">
        <f aca="false">IF(AND(E206&gt;=Settings!$B$4,F206&gt;=Settings!$B$5,O206&gt;=Settings!$B$6),"HIGH RATE","")</f>
        <v/>
      </c>
      <c r="Y206" s="56" t="n">
        <f aca="false">IF(F206&gt;0,RANK(F206,$F$2:$F$1780)+COUNTIF($F$2:F206,F206)-1,"")</f>
        <v>135</v>
      </c>
      <c r="Z206" s="56" t="n">
        <f aca="false">IF(H206&gt;0,RANK(H206,$H$2:$H$1780)+COUNTIF($H$2:H206,H206)-1,"")</f>
        <v>116</v>
      </c>
      <c r="AA206" s="56" t="n">
        <f aca="false">IF(AC206="","",RANK(AC206,$AC$2:$AC$1780)+COUNTIF($AC$2:AC206,AC206)-1)</f>
        <v>250</v>
      </c>
      <c r="AB206" s="56" t="str">
        <f aca="false">IF(AD206="","",RANK(AD206,$AD$2:$AD$1780)+COUNTIF($AD$2:AD206,AD206)-1)</f>
        <v/>
      </c>
      <c r="AC206" s="32" t="n">
        <f aca="false">IF(AND(F206&gt;0,E206&gt;=Settings!$B$4),J206,"")</f>
        <v>0.0315457413249211</v>
      </c>
      <c r="AD206" s="56" t="str">
        <f aca="false">IF(X206="HIGH RATE",O206,"")</f>
        <v/>
      </c>
    </row>
    <row r="207" customFormat="false" ht="15" hidden="false" customHeight="false" outlineLevel="0" collapsed="false">
      <c r="A207" s="56" t="s">
        <v>1149</v>
      </c>
      <c r="B207" s="56" t="s">
        <v>1150</v>
      </c>
      <c r="C207" s="56" t="s">
        <v>132</v>
      </c>
      <c r="D207" s="56" t="str">
        <f aca="false">IFERROR(INDEX('Brand Map'!$B$4:$B$124,MATCH(C207,'Brand Map'!$A$4:$A$124,0)),"Other")</f>
        <v>RP</v>
      </c>
      <c r="E207" s="57" t="n">
        <v>54</v>
      </c>
      <c r="F207" s="57" t="n">
        <v>6</v>
      </c>
      <c r="G207" s="58" t="n">
        <v>641.48</v>
      </c>
      <c r="H207" s="58" t="n">
        <v>70.62</v>
      </c>
      <c r="I207" s="58" t="n">
        <v>549.71</v>
      </c>
      <c r="J207" s="32" t="n">
        <f aca="false">IF(E207&gt;0,F207/E207,0)</f>
        <v>0.111111111111111</v>
      </c>
      <c r="K207" s="32" t="n">
        <f aca="false">IF(G207&gt;0,H207/G207,0)</f>
        <v>0.110089168797157</v>
      </c>
      <c r="L207" s="59" t="n">
        <f aca="false">H207/Settings!$B$16</f>
        <v>0.000141135937650452</v>
      </c>
      <c r="M207" s="59" t="n">
        <f aca="false">H207/Settings!$B$20</f>
        <v>5.48254134665893E-006</v>
      </c>
      <c r="N207" s="60" t="n">
        <f aca="false">E207*Settings!$B$3</f>
        <v>1.6732521583103</v>
      </c>
      <c r="O207" s="60" t="n">
        <f aca="false">IF(E207&gt;0,(F207-N207)/SQRT(E207*Settings!$B$3*(1-Settings!$B$3)),0)</f>
        <v>3.39794149343495</v>
      </c>
      <c r="P207" s="60" t="n">
        <f aca="false">MAX(0,F207-N207)</f>
        <v>4.3267478416897</v>
      </c>
      <c r="Q207" s="32" t="n">
        <f aca="false">(F207+Settings!$B$7*Settings!$B$3)/(E207+Settings!$B$7)</f>
        <v>0.0824950539570787</v>
      </c>
      <c r="R207" s="61" t="n">
        <f aca="false">PERCENTRANK($H$2:$H$1780,H207,6)</f>
        <v>0.722722</v>
      </c>
      <c r="S207" s="61" t="n">
        <f aca="false">PERCENTRANK($Q$2:$Q$1780,Q207,6)</f>
        <v>0.988189</v>
      </c>
      <c r="T207" s="61" t="n">
        <f aca="false">PERCENTRANK($F$2:$F$1780,F207,6)</f>
        <v>0.898763</v>
      </c>
      <c r="U207" s="62" t="n">
        <f aca="false">IF(F207&gt;0,(Settings!$B$8*T207+Settings!$B$9*R207+Settings!$B$10*S207)/SUM(Settings!$B$8:$B$10),0)</f>
        <v>0.869891333333333</v>
      </c>
      <c r="V207" s="56" t="n">
        <f aca="false">IF(U207&gt;0,RANK(U207,$U$2:$U$1780)+COUNTIF($U$2:U207,U207)-1,"")</f>
        <v>206</v>
      </c>
      <c r="W207" s="56" t="str">
        <f aca="false">IF(V207="","",IF(V207&lt;=Settings!$B$11,"1 - Fix first",IF(V207&lt;=Settings!$B$12,"2 - Review","3 - Monitor")))</f>
        <v>3 - Monitor</v>
      </c>
      <c r="X207" s="56" t="str">
        <f aca="false">IF(AND(E207&gt;=Settings!$B$4,F207&gt;=Settings!$B$5,O207&gt;=Settings!$B$6),"HIGH RATE","")</f>
        <v>HIGH RATE</v>
      </c>
      <c r="Y207" s="56" t="n">
        <f aca="false">IF(F207&gt;0,RANK(F207,$F$2:$F$1780)+COUNTIF($F$2:F207,F207)-1,"")</f>
        <v>178</v>
      </c>
      <c r="Z207" s="56" t="n">
        <f aca="false">IF(H207&gt;0,RANK(H207,$H$2:$H$1780)+COUNTIF($H$2:H207,H207)-1,"")</f>
        <v>494</v>
      </c>
      <c r="AA207" s="56" t="n">
        <f aca="false">IF(AC207="","",RANK(AC207,$AC$2:$AC$1780)+COUNTIF($AC$2:AC207,AC207)-1)</f>
        <v>10</v>
      </c>
      <c r="AB207" s="56" t="n">
        <f aca="false">IF(AD207="","",RANK(AD207,$AD$2:$AD$1780)+COUNTIF($AD$2:AD207,AD207)-1)</f>
        <v>54</v>
      </c>
      <c r="AC207" s="32" t="n">
        <f aca="false">IF(AND(F207&gt;0,E207&gt;=Settings!$B$4),J207,"")</f>
        <v>0.111111111111111</v>
      </c>
      <c r="AD207" s="60" t="n">
        <f aca="false">IF(X207="HIGH RATE",O207,"")</f>
        <v>3.39794149343495</v>
      </c>
    </row>
    <row r="208" customFormat="false" ht="15" hidden="false" customHeight="false" outlineLevel="0" collapsed="false">
      <c r="A208" s="56" t="s">
        <v>1151</v>
      </c>
      <c r="B208" s="56" t="s">
        <v>1152</v>
      </c>
      <c r="C208" s="56" t="s">
        <v>51</v>
      </c>
      <c r="D208" s="56" t="str">
        <f aca="false">IFERROR(INDEX('Brand Map'!$B$4:$B$124,MATCH(C208,'Brand Map'!$A$4:$A$124,0)),"Other")</f>
        <v>AU</v>
      </c>
      <c r="E208" s="57" t="n">
        <v>12</v>
      </c>
      <c r="F208" s="57" t="n">
        <v>2</v>
      </c>
      <c r="G208" s="58" t="n">
        <v>1359.45</v>
      </c>
      <c r="H208" s="58" t="n">
        <v>222.64</v>
      </c>
      <c r="I208" s="58" t="n">
        <v>1119.1</v>
      </c>
      <c r="J208" s="32" t="n">
        <f aca="false">IF(E208&gt;0,F208/E208,0)</f>
        <v>0.166666666666667</v>
      </c>
      <c r="K208" s="32" t="n">
        <f aca="false">IF(G208&gt;0,H208/G208,0)</f>
        <v>0.163772113722461</v>
      </c>
      <c r="L208" s="59" t="n">
        <f aca="false">H208/Settings!$B$16</f>
        <v>0.000444951928044414</v>
      </c>
      <c r="M208" s="59" t="n">
        <f aca="false">H208/Settings!$B$20</f>
        <v>1.7284522874825E-005</v>
      </c>
      <c r="N208" s="60" t="n">
        <f aca="false">E208*Settings!$B$3</f>
        <v>0.371833812957845</v>
      </c>
      <c r="O208" s="60" t="n">
        <f aca="false">IF(E208&gt;0,(F208-N208)/SQRT(E208*Settings!$B$3*(1-Settings!$B$3)),0)</f>
        <v>2.71243474766813</v>
      </c>
      <c r="P208" s="60" t="n">
        <f aca="false">MAX(0,F208-N208)</f>
        <v>1.62816618704215</v>
      </c>
      <c r="Q208" s="32" t="n">
        <f aca="false">(F208+Settings!$B$7*Settings!$B$3)/(E208+Settings!$B$7)</f>
        <v>0.0697520126760622</v>
      </c>
      <c r="R208" s="61" t="n">
        <f aca="false">PERCENTRANK($H$2:$H$1780,H208,6)</f>
        <v>0.834646</v>
      </c>
      <c r="S208" s="61" t="n">
        <f aca="false">PERCENTRANK($Q$2:$Q$1780,Q208,6)</f>
        <v>0.972441</v>
      </c>
      <c r="T208" s="61" t="n">
        <f aca="false">PERCENTRANK($F$2:$F$1780,F208,6)</f>
        <v>0.799775</v>
      </c>
      <c r="U208" s="62" t="n">
        <f aca="false">IF(F208&gt;0,(Settings!$B$8*T208+Settings!$B$9*R208+Settings!$B$10*S208)/SUM(Settings!$B$8:$B$10),0)</f>
        <v>0.868954</v>
      </c>
      <c r="V208" s="56" t="n">
        <f aca="false">IF(U208&gt;0,RANK(U208,$U$2:$U$1780)+COUNTIF($U$2:U208,U208)-1,"")</f>
        <v>207</v>
      </c>
      <c r="W208" s="56" t="str">
        <f aca="false">IF(V208="","",IF(V208&lt;=Settings!$B$11,"1 - Fix first",IF(V208&lt;=Settings!$B$12,"2 - Review","3 - Monitor")))</f>
        <v>3 - Monitor</v>
      </c>
      <c r="X208" s="56" t="str">
        <f aca="false">IF(AND(E208&gt;=Settings!$B$4,F208&gt;=Settings!$B$5,O208&gt;=Settings!$B$6),"HIGH RATE","")</f>
        <v/>
      </c>
      <c r="Y208" s="56" t="n">
        <f aca="false">IF(F208&gt;0,RANK(F208,$F$2:$F$1780)+COUNTIF($F$2:F208,F208)-1,"")</f>
        <v>295</v>
      </c>
      <c r="Z208" s="56" t="n">
        <f aca="false">IF(H208&gt;0,RANK(H208,$H$2:$H$1780)+COUNTIF($H$2:H208,H208)-1,"")</f>
        <v>294</v>
      </c>
      <c r="AA208" s="56" t="str">
        <f aca="false">IF(AC208="","",RANK(AC208,$AC$2:$AC$1780)+COUNTIF($AC$2:AC208,AC208)-1)</f>
        <v/>
      </c>
      <c r="AB208" s="56" t="str">
        <f aca="false">IF(AD208="","",RANK(AD208,$AD$2:$AD$1780)+COUNTIF($AD$2:AD208,AD208)-1)</f>
        <v/>
      </c>
      <c r="AC208" s="56" t="str">
        <f aca="false">IF(AND(F208&gt;0,E208&gt;=Settings!$B$4),J208,"")</f>
        <v/>
      </c>
      <c r="AD208" s="56" t="str">
        <f aca="false">IF(X208="HIGH RATE",O208,"")</f>
        <v/>
      </c>
    </row>
    <row r="209" customFormat="false" ht="15" hidden="false" customHeight="false" outlineLevel="0" collapsed="false">
      <c r="A209" s="56" t="s">
        <v>639</v>
      </c>
      <c r="B209" s="56" t="s">
        <v>640</v>
      </c>
      <c r="C209" s="56" t="s">
        <v>638</v>
      </c>
      <c r="D209" s="56" t="str">
        <f aca="false">IFERROR(INDEX('Brand Map'!$B$4:$B$124,MATCH(C209,'Brand Map'!$A$4:$A$124,0)),"Other")</f>
        <v>Other (small prefixes)</v>
      </c>
      <c r="E209" s="57" t="n">
        <v>74</v>
      </c>
      <c r="F209" s="57" t="n">
        <v>4</v>
      </c>
      <c r="G209" s="58" t="n">
        <v>5215.81</v>
      </c>
      <c r="H209" s="58" t="n">
        <v>304.8</v>
      </c>
      <c r="I209" s="58" t="n">
        <v>4795.62</v>
      </c>
      <c r="J209" s="32" t="n">
        <f aca="false">IF(E209&gt;0,F209/E209,0)</f>
        <v>0.0540540540540541</v>
      </c>
      <c r="K209" s="32" t="n">
        <f aca="false">IF(G209&gt;0,H209/G209,0)</f>
        <v>0.0584377114963927</v>
      </c>
      <c r="L209" s="59" t="n">
        <f aca="false">H209/Settings!$B$16</f>
        <v>0.000609150860887251</v>
      </c>
      <c r="M209" s="59" t="n">
        <f aca="false">H209/Settings!$B$20</f>
        <v>2.3662965200533E-005</v>
      </c>
      <c r="N209" s="60" t="n">
        <f aca="false">E209*Settings!$B$3</f>
        <v>2.29297517990671</v>
      </c>
      <c r="O209" s="60" t="n">
        <f aca="false">IF(E209&gt;0,(F209-N209)/SQRT(E209*Settings!$B$3*(1-Settings!$B$3)),0)</f>
        <v>1.14518372395495</v>
      </c>
      <c r="P209" s="60" t="n">
        <f aca="false">MAX(0,F209-N209)</f>
        <v>1.70702482009329</v>
      </c>
      <c r="Q209" s="32" t="n">
        <f aca="false">(F209+Settings!$B$7*Settings!$B$3)/(E209+Settings!$B$7)</f>
        <v>0.0473998512730251</v>
      </c>
      <c r="R209" s="61" t="n">
        <f aca="false">PERCENTRANK($H$2:$H$1780,H209,6)</f>
        <v>0.866142</v>
      </c>
      <c r="S209" s="61" t="n">
        <f aca="false">PERCENTRANK($Q$2:$Q$1780,Q209,6)</f>
        <v>0.868391</v>
      </c>
      <c r="T209" s="61" t="n">
        <f aca="false">PERCENTRANK($F$2:$F$1780,F209,6)</f>
        <v>0.871766</v>
      </c>
      <c r="U209" s="62" t="n">
        <f aca="false">IF(F209&gt;0,(Settings!$B$8*T209+Settings!$B$9*R209+Settings!$B$10*S209)/SUM(Settings!$B$8:$B$10),0)</f>
        <v>0.868766333333333</v>
      </c>
      <c r="V209" s="56" t="n">
        <f aca="false">IF(U209&gt;0,RANK(U209,$U$2:$U$1780)+COUNTIF($U$2:U209,U209)-1,"")</f>
        <v>208</v>
      </c>
      <c r="W209" s="56" t="str">
        <f aca="false">IF(V209="","",IF(V209&lt;=Settings!$B$11,"1 - Fix first",IF(V209&lt;=Settings!$B$12,"2 - Review","3 - Monitor")))</f>
        <v>3 - Monitor</v>
      </c>
      <c r="X209" s="56" t="str">
        <f aca="false">IF(AND(E209&gt;=Settings!$B$4,F209&gt;=Settings!$B$5,O209&gt;=Settings!$B$6),"HIGH RATE","")</f>
        <v/>
      </c>
      <c r="Y209" s="56" t="n">
        <f aca="false">IF(F209&gt;0,RANK(F209,$F$2:$F$1780)+COUNTIF($F$2:F209,F209)-1,"")</f>
        <v>213</v>
      </c>
      <c r="Z209" s="56" t="n">
        <f aca="false">IF(H209&gt;0,RANK(H209,$H$2:$H$1780)+COUNTIF($H$2:H209,H209)-1,"")</f>
        <v>239</v>
      </c>
      <c r="AA209" s="56" t="n">
        <f aca="false">IF(AC209="","",RANK(AC209,$AC$2:$AC$1780)+COUNTIF($AC$2:AC209,AC209)-1)</f>
        <v>98</v>
      </c>
      <c r="AB209" s="56" t="str">
        <f aca="false">IF(AD209="","",RANK(AD209,$AD$2:$AD$1780)+COUNTIF($AD$2:AD209,AD209)-1)</f>
        <v/>
      </c>
      <c r="AC209" s="32" t="n">
        <f aca="false">IF(AND(F209&gt;0,E209&gt;=Settings!$B$4),J209,"")</f>
        <v>0.0540540540540541</v>
      </c>
      <c r="AD209" s="56" t="str">
        <f aca="false">IF(X209="HIGH RATE",O209,"")</f>
        <v/>
      </c>
    </row>
    <row r="210" customFormat="false" ht="15" hidden="false" customHeight="false" outlineLevel="0" collapsed="false">
      <c r="A210" s="56" t="s">
        <v>1153</v>
      </c>
      <c r="B210" s="56" t="s">
        <v>1154</v>
      </c>
      <c r="C210" s="56" t="s">
        <v>55</v>
      </c>
      <c r="D210" s="56" t="str">
        <f aca="false">IFERROR(INDEX('Brand Map'!$B$4:$B$124,MATCH(C210,'Brand Map'!$A$4:$A$124,0)),"Other")</f>
        <v>AUMJ</v>
      </c>
      <c r="E210" s="57" t="n">
        <v>326</v>
      </c>
      <c r="F210" s="57" t="n">
        <v>10</v>
      </c>
      <c r="G210" s="58" t="n">
        <v>33481.99</v>
      </c>
      <c r="H210" s="58" t="n">
        <v>879.62</v>
      </c>
      <c r="I210" s="58" t="n">
        <v>31184.08</v>
      </c>
      <c r="J210" s="32" t="n">
        <f aca="false">IF(E210&gt;0,F210/E210,0)</f>
        <v>0.0306748466257669</v>
      </c>
      <c r="K210" s="32" t="n">
        <f aca="false">IF(G210&gt;0,H210/G210,0)</f>
        <v>0.0262714372712016</v>
      </c>
      <c r="L210" s="59" t="n">
        <f aca="false">H210/Settings!$B$16</f>
        <v>0.00175794383285316</v>
      </c>
      <c r="M210" s="59" t="n">
        <f aca="false">H210/Settings!$B$20</f>
        <v>6.82887711604096E-005</v>
      </c>
      <c r="N210" s="60" t="n">
        <f aca="false">E210*Settings!$B$3</f>
        <v>10.1014852520215</v>
      </c>
      <c r="O210" s="60" t="n">
        <f aca="false">IF(E210&gt;0,(F210-N210)/SQRT(E210*Settings!$B$3*(1-Settings!$B$3)),0)</f>
        <v>-0.0324373469110237</v>
      </c>
      <c r="P210" s="60" t="n">
        <f aca="false">MAX(0,F210-N210)</f>
        <v>0</v>
      </c>
      <c r="Q210" s="32" t="n">
        <f aca="false">(F210+Settings!$B$7*Settings!$B$3)/(E210+Settings!$B$7)</f>
        <v>0.0307010801471759</v>
      </c>
      <c r="R210" s="61" t="n">
        <f aca="false">PERCENTRANK($H$2:$H$1780,H210,6)</f>
        <v>0.935883</v>
      </c>
      <c r="S210" s="61" t="n">
        <f aca="false">PERCENTRANK($Q$2:$Q$1780,Q210,6)</f>
        <v>0.746344</v>
      </c>
      <c r="T210" s="61" t="n">
        <f aca="false">PERCENTRANK($F$2:$F$1780,F210,6)</f>
        <v>0.922947</v>
      </c>
      <c r="U210" s="62" t="n">
        <f aca="false">IF(F210&gt;0,(Settings!$B$8*T210+Settings!$B$9*R210+Settings!$B$10*S210)/SUM(Settings!$B$8:$B$10),0)</f>
        <v>0.868391333333333</v>
      </c>
      <c r="V210" s="56" t="n">
        <f aca="false">IF(U210&gt;0,RANK(U210,$U$2:$U$1780)+COUNTIF($U$2:U210,U210)-1,"")</f>
        <v>209</v>
      </c>
      <c r="W210" s="56" t="str">
        <f aca="false">IF(V210="","",IF(V210&lt;=Settings!$B$11,"1 - Fix first",IF(V210&lt;=Settings!$B$12,"2 - Review","3 - Monitor")))</f>
        <v>3 - Monitor</v>
      </c>
      <c r="X210" s="56" t="str">
        <f aca="false">IF(AND(E210&gt;=Settings!$B$4,F210&gt;=Settings!$B$5,O210&gt;=Settings!$B$6),"HIGH RATE","")</f>
        <v/>
      </c>
      <c r="Y210" s="56" t="n">
        <f aca="false">IF(F210&gt;0,RANK(F210,$F$2:$F$1780)+COUNTIF($F$2:F210,F210)-1,"")</f>
        <v>136</v>
      </c>
      <c r="Z210" s="56" t="n">
        <f aca="false">IF(H210&gt;0,RANK(H210,$H$2:$H$1780)+COUNTIF($H$2:H210,H210)-1,"")</f>
        <v>115</v>
      </c>
      <c r="AA210" s="56" t="n">
        <f aca="false">IF(AC210="","",RANK(AC210,$AC$2:$AC$1780)+COUNTIF($AC$2:AC210,AC210)-1)</f>
        <v>258</v>
      </c>
      <c r="AB210" s="56" t="str">
        <f aca="false">IF(AD210="","",RANK(AD210,$AD$2:$AD$1780)+COUNTIF($AD$2:AD210,AD210)-1)</f>
        <v/>
      </c>
      <c r="AC210" s="32" t="n">
        <f aca="false">IF(AND(F210&gt;0,E210&gt;=Settings!$B$4),J210,"")</f>
        <v>0.0306748466257669</v>
      </c>
      <c r="AD210" s="56" t="str">
        <f aca="false">IF(X210="HIGH RATE",O210,"")</f>
        <v/>
      </c>
    </row>
    <row r="211" customFormat="false" ht="15" hidden="false" customHeight="false" outlineLevel="0" collapsed="false">
      <c r="A211" s="56" t="s">
        <v>1155</v>
      </c>
      <c r="B211" s="56" t="s">
        <v>1156</v>
      </c>
      <c r="C211" s="56" t="s">
        <v>51</v>
      </c>
      <c r="D211" s="56" t="str">
        <f aca="false">IFERROR(INDEX('Brand Map'!$B$4:$B$124,MATCH(C211,'Brand Map'!$A$4:$A$124,0)),"Other")</f>
        <v>AU</v>
      </c>
      <c r="E211" s="57" t="n">
        <v>19</v>
      </c>
      <c r="F211" s="57" t="n">
        <v>2</v>
      </c>
      <c r="G211" s="58" t="n">
        <v>2243.67</v>
      </c>
      <c r="H211" s="58" t="n">
        <v>285.37</v>
      </c>
      <c r="I211" s="58" t="n">
        <v>1904.51</v>
      </c>
      <c r="J211" s="32" t="n">
        <f aca="false">IF(E211&gt;0,F211/E211,0)</f>
        <v>0.105263157894737</v>
      </c>
      <c r="K211" s="32" t="n">
        <f aca="false">IF(G211&gt;0,H211/G211,0)</f>
        <v>0.127188935984347</v>
      </c>
      <c r="L211" s="59" t="n">
        <f aca="false">H211/Settings!$B$16</f>
        <v>0.000570319492032135</v>
      </c>
      <c r="M211" s="59" t="n">
        <f aca="false">H211/Settings!$B$20</f>
        <v>2.21545288033993E-005</v>
      </c>
      <c r="N211" s="60" t="n">
        <f aca="false">E211*Settings!$B$3</f>
        <v>0.588736870516588</v>
      </c>
      <c r="O211" s="60" t="n">
        <f aca="false">IF(E211&gt;0,(F211-N211)/SQRT(E211*Settings!$B$3*(1-Settings!$B$3)),0)</f>
        <v>1.86845389496372</v>
      </c>
      <c r="P211" s="60" t="n">
        <f aca="false">MAX(0,F211-N211)</f>
        <v>1.41126312948341</v>
      </c>
      <c r="Q211" s="32" t="n">
        <f aca="false">(F211+Settings!$B$7*Settings!$B$3)/(E211+Settings!$B$7)</f>
        <v>0.0597874394366248</v>
      </c>
      <c r="R211" s="61" t="n">
        <f aca="false">PERCENTRANK($H$2:$H$1780,H211,6)</f>
        <v>0.859393</v>
      </c>
      <c r="S211" s="61" t="n">
        <f aca="false">PERCENTRANK($Q$2:$Q$1780,Q211,6)</f>
        <v>0.945444</v>
      </c>
      <c r="T211" s="61" t="n">
        <f aca="false">PERCENTRANK($F$2:$F$1780,F211,6)</f>
        <v>0.799775</v>
      </c>
      <c r="U211" s="62" t="n">
        <f aca="false">IF(F211&gt;0,(Settings!$B$8*T211+Settings!$B$9*R211+Settings!$B$10*S211)/SUM(Settings!$B$8:$B$10),0)</f>
        <v>0.868204</v>
      </c>
      <c r="V211" s="56" t="n">
        <f aca="false">IF(U211&gt;0,RANK(U211,$U$2:$U$1780)+COUNTIF($U$2:U211,U211)-1,"")</f>
        <v>210</v>
      </c>
      <c r="W211" s="56" t="str">
        <f aca="false">IF(V211="","",IF(V211&lt;=Settings!$B$11,"1 - Fix first",IF(V211&lt;=Settings!$B$12,"2 - Review","3 - Monitor")))</f>
        <v>3 - Monitor</v>
      </c>
      <c r="X211" s="56" t="str">
        <f aca="false">IF(AND(E211&gt;=Settings!$B$4,F211&gt;=Settings!$B$5,O211&gt;=Settings!$B$6),"HIGH RATE","")</f>
        <v/>
      </c>
      <c r="Y211" s="56" t="n">
        <f aca="false">IF(F211&gt;0,RANK(F211,$F$2:$F$1780)+COUNTIF($F$2:F211,F211)-1,"")</f>
        <v>296</v>
      </c>
      <c r="Z211" s="56" t="n">
        <f aca="false">IF(H211&gt;0,RANK(H211,$H$2:$H$1780)+COUNTIF($H$2:H211,H211)-1,"")</f>
        <v>251</v>
      </c>
      <c r="AA211" s="56" t="str">
        <f aca="false">IF(AC211="","",RANK(AC211,$AC$2:$AC$1780)+COUNTIF($AC$2:AC211,AC211)-1)</f>
        <v/>
      </c>
      <c r="AB211" s="56" t="str">
        <f aca="false">IF(AD211="","",RANK(AD211,$AD$2:$AD$1780)+COUNTIF($AD$2:AD211,AD211)-1)</f>
        <v/>
      </c>
      <c r="AC211" s="56" t="str">
        <f aca="false">IF(AND(F211&gt;0,E211&gt;=Settings!$B$4),J211,"")</f>
        <v/>
      </c>
      <c r="AD211" s="56" t="str">
        <f aca="false">IF(X211="HIGH RATE",O211,"")</f>
        <v/>
      </c>
    </row>
    <row r="212" customFormat="false" ht="15" hidden="false" customHeight="false" outlineLevel="0" collapsed="false">
      <c r="A212" s="56" t="s">
        <v>1157</v>
      </c>
      <c r="B212" s="56" t="s">
        <v>1158</v>
      </c>
      <c r="C212" s="56" t="s">
        <v>51</v>
      </c>
      <c r="D212" s="56" t="str">
        <f aca="false">IFERROR(INDEX('Brand Map'!$B$4:$B$124,MATCH(C212,'Brand Map'!$A$4:$A$124,0)),"Other")</f>
        <v>AU</v>
      </c>
      <c r="E212" s="57" t="n">
        <v>21</v>
      </c>
      <c r="F212" s="57" t="n">
        <v>2</v>
      </c>
      <c r="G212" s="58" t="n">
        <v>3719.26</v>
      </c>
      <c r="H212" s="58" t="n">
        <v>308.1</v>
      </c>
      <c r="I212" s="58" t="n">
        <v>3373.9</v>
      </c>
      <c r="J212" s="32" t="n">
        <f aca="false">IF(E212&gt;0,F212/E212,0)</f>
        <v>0.0952380952380952</v>
      </c>
      <c r="K212" s="32" t="n">
        <f aca="false">IF(G212&gt;0,H212/G212,0)</f>
        <v>0.0828390593827805</v>
      </c>
      <c r="L212" s="59" t="n">
        <f aca="false">H212/Settings!$B$16</f>
        <v>0.000615745998160636</v>
      </c>
      <c r="M212" s="59" t="n">
        <f aca="false">H212/Settings!$B$20</f>
        <v>2.39191587214049E-005</v>
      </c>
      <c r="N212" s="60" t="n">
        <f aca="false">E212*Settings!$B$3</f>
        <v>0.650709172676229</v>
      </c>
      <c r="O212" s="60" t="n">
        <f aca="false">IF(E212&gt;0,(F212-N212)/SQRT(E212*Settings!$B$3*(1-Settings!$B$3)),0)</f>
        <v>1.69921022046925</v>
      </c>
      <c r="P212" s="60" t="n">
        <f aca="false">MAX(0,F212-N212)</f>
        <v>1.34929082732377</v>
      </c>
      <c r="Q212" s="32" t="n">
        <f aca="false">(F212+Settings!$B$7*Settings!$B$3)/(E212+Settings!$B$7)</f>
        <v>0.0574428339685218</v>
      </c>
      <c r="R212" s="61" t="n">
        <f aca="false">PERCENTRANK($H$2:$H$1780,H212,6)</f>
        <v>0.867267</v>
      </c>
      <c r="S212" s="61" t="n">
        <f aca="false">PERCENTRANK($Q$2:$Q$1780,Q212,6)</f>
        <v>0.935883</v>
      </c>
      <c r="T212" s="61" t="n">
        <f aca="false">PERCENTRANK($F$2:$F$1780,F212,6)</f>
        <v>0.799775</v>
      </c>
      <c r="U212" s="62" t="n">
        <f aca="false">IF(F212&gt;0,(Settings!$B$8*T212+Settings!$B$9*R212+Settings!$B$10*S212)/SUM(Settings!$B$8:$B$10),0)</f>
        <v>0.867641666666667</v>
      </c>
      <c r="V212" s="56" t="n">
        <f aca="false">IF(U212&gt;0,RANK(U212,$U$2:$U$1780)+COUNTIF($U$2:U212,U212)-1,"")</f>
        <v>211</v>
      </c>
      <c r="W212" s="56" t="str">
        <f aca="false">IF(V212="","",IF(V212&lt;=Settings!$B$11,"1 - Fix first",IF(V212&lt;=Settings!$B$12,"2 - Review","3 - Monitor")))</f>
        <v>3 - Monitor</v>
      </c>
      <c r="X212" s="56" t="str">
        <f aca="false">IF(AND(E212&gt;=Settings!$B$4,F212&gt;=Settings!$B$5,O212&gt;=Settings!$B$6),"HIGH RATE","")</f>
        <v/>
      </c>
      <c r="Y212" s="56" t="n">
        <f aca="false">IF(F212&gt;0,RANK(F212,$F$2:$F$1780)+COUNTIF($F$2:F212,F212)-1,"")</f>
        <v>297</v>
      </c>
      <c r="Z212" s="56" t="n">
        <f aca="false">IF(H212&gt;0,RANK(H212,$H$2:$H$1780)+COUNTIF($H$2:H212,H212)-1,"")</f>
        <v>237</v>
      </c>
      <c r="AA212" s="56" t="str">
        <f aca="false">IF(AC212="","",RANK(AC212,$AC$2:$AC$1780)+COUNTIF($AC$2:AC212,AC212)-1)</f>
        <v/>
      </c>
      <c r="AB212" s="56" t="str">
        <f aca="false">IF(AD212="","",RANK(AD212,$AD$2:$AD$1780)+COUNTIF($AD$2:AD212,AD212)-1)</f>
        <v/>
      </c>
      <c r="AC212" s="56" t="str">
        <f aca="false">IF(AND(F212&gt;0,E212&gt;=Settings!$B$4),J212,"")</f>
        <v/>
      </c>
      <c r="AD212" s="56" t="str">
        <f aca="false">IF(X212="HIGH RATE",O212,"")</f>
        <v/>
      </c>
    </row>
    <row r="213" customFormat="false" ht="15" hidden="false" customHeight="false" outlineLevel="0" collapsed="false">
      <c r="A213" s="56" t="s">
        <v>1159</v>
      </c>
      <c r="B213" s="56" t="s">
        <v>1160</v>
      </c>
      <c r="C213" s="56" t="s">
        <v>51</v>
      </c>
      <c r="D213" s="56" t="str">
        <f aca="false">IFERROR(INDEX('Brand Map'!$B$4:$B$124,MATCH(C213,'Brand Map'!$A$4:$A$124,0)),"Other")</f>
        <v>AU</v>
      </c>
      <c r="E213" s="57" t="n">
        <v>47</v>
      </c>
      <c r="F213" s="57" t="n">
        <v>3</v>
      </c>
      <c r="G213" s="58" t="n">
        <v>5362.65</v>
      </c>
      <c r="H213" s="58" t="n">
        <v>314.85</v>
      </c>
      <c r="I213" s="58" t="n">
        <v>5019.81</v>
      </c>
      <c r="J213" s="32" t="n">
        <f aca="false">IF(E213&gt;0,F213/E213,0)</f>
        <v>0.0638297872340426</v>
      </c>
      <c r="K213" s="32" t="n">
        <f aca="false">IF(G213&gt;0,H213/G213,0)</f>
        <v>0.0587116444295265</v>
      </c>
      <c r="L213" s="59" t="n">
        <f aca="false">H213/Settings!$B$16</f>
        <v>0.00062923605167438</v>
      </c>
      <c r="M213" s="59" t="n">
        <f aca="false">H213/Settings!$B$20</f>
        <v>2.44431909231884E-005</v>
      </c>
      <c r="N213" s="60" t="n">
        <f aca="false">E213*Settings!$B$3</f>
        <v>1.45634910075156</v>
      </c>
      <c r="O213" s="60" t="n">
        <f aca="false">IF(E213&gt;0,(F213-N213)/SQRT(E213*Settings!$B$3*(1-Settings!$B$3)),0)</f>
        <v>1.29942540175659</v>
      </c>
      <c r="P213" s="60" t="n">
        <f aca="false">MAX(0,F213-N213)</f>
        <v>1.54365089924844</v>
      </c>
      <c r="Q213" s="32" t="n">
        <f aca="false">(F213+Settings!$B$7*Settings!$B$3)/(E213+Settings!$B$7)</f>
        <v>0.0510335653557742</v>
      </c>
      <c r="R213" s="61" t="n">
        <f aca="false">PERCENTRANK($H$2:$H$1780,H213,6)</f>
        <v>0.870641</v>
      </c>
      <c r="S213" s="61" t="n">
        <f aca="false">PERCENTRANK($Q$2:$Q$1780,Q213,6)</f>
        <v>0.889764</v>
      </c>
      <c r="T213" s="61" t="n">
        <f aca="false">PERCENTRANK($F$2:$F$1780,F213,6)</f>
        <v>0.84252</v>
      </c>
      <c r="U213" s="62" t="n">
        <f aca="false">IF(F213&gt;0,(Settings!$B$8*T213+Settings!$B$9*R213+Settings!$B$10*S213)/SUM(Settings!$B$8:$B$10),0)</f>
        <v>0.867641666666667</v>
      </c>
      <c r="V213" s="56" t="n">
        <f aca="false">IF(U213&gt;0,RANK(U213,$U$2:$U$1780)+COUNTIF($U$2:U213,U213)-1,"")</f>
        <v>212</v>
      </c>
      <c r="W213" s="56" t="str">
        <f aca="false">IF(V213="","",IF(V213&lt;=Settings!$B$11,"1 - Fix first",IF(V213&lt;=Settings!$B$12,"2 - Review","3 - Monitor")))</f>
        <v>3 - Monitor</v>
      </c>
      <c r="X213" s="56" t="str">
        <f aca="false">IF(AND(E213&gt;=Settings!$B$4,F213&gt;=Settings!$B$5,O213&gt;=Settings!$B$6),"HIGH RATE","")</f>
        <v/>
      </c>
      <c r="Y213" s="56" t="n">
        <f aca="false">IF(F213&gt;0,RANK(F213,$F$2:$F$1780)+COUNTIF($F$2:F213,F213)-1,"")</f>
        <v>243</v>
      </c>
      <c r="Z213" s="56" t="n">
        <f aca="false">IF(H213&gt;0,RANK(H213,$H$2:$H$1780)+COUNTIF($H$2:H213,H213)-1,"")</f>
        <v>231</v>
      </c>
      <c r="AA213" s="56" t="n">
        <f aca="false">IF(AC213="","",RANK(AC213,$AC$2:$AC$1780)+COUNTIF($AC$2:AC213,AC213)-1)</f>
        <v>55</v>
      </c>
      <c r="AB213" s="56" t="str">
        <f aca="false">IF(AD213="","",RANK(AD213,$AD$2:$AD$1780)+COUNTIF($AD$2:AD213,AD213)-1)</f>
        <v/>
      </c>
      <c r="AC213" s="32" t="n">
        <f aca="false">IF(AND(F213&gt;0,E213&gt;=Settings!$B$4),J213,"")</f>
        <v>0.0638297872340426</v>
      </c>
      <c r="AD213" s="56" t="str">
        <f aca="false">IF(X213="HIGH RATE",O213,"")</f>
        <v/>
      </c>
    </row>
    <row r="214" customFormat="false" ht="15" hidden="false" customHeight="false" outlineLevel="0" collapsed="false">
      <c r="A214" s="56" t="s">
        <v>1161</v>
      </c>
      <c r="B214" s="56" t="s">
        <v>1162</v>
      </c>
      <c r="C214" s="56" t="s">
        <v>87</v>
      </c>
      <c r="D214" s="56" t="str">
        <f aca="false">IFERROR(INDEX('Brand Map'!$B$4:$B$124,MATCH(C214,'Brand Map'!$A$4:$A$124,0)),"Other")</f>
        <v>FYF</v>
      </c>
      <c r="E214" s="57" t="n">
        <v>46</v>
      </c>
      <c r="F214" s="57" t="n">
        <v>3</v>
      </c>
      <c r="G214" s="58" t="n">
        <v>4597.7</v>
      </c>
      <c r="H214" s="58" t="n">
        <v>299.85</v>
      </c>
      <c r="I214" s="58" t="n">
        <v>4297.85</v>
      </c>
      <c r="J214" s="32" t="n">
        <f aca="false">IF(E214&gt;0,F214/E214,0)</f>
        <v>0.0652173913043478</v>
      </c>
      <c r="K214" s="32" t="n">
        <f aca="false">IF(G214&gt;0,H214/G214,0)</f>
        <v>0.0652173913043478</v>
      </c>
      <c r="L214" s="59" t="n">
        <f aca="false">H214/Settings!$B$16</f>
        <v>0.000599258154977172</v>
      </c>
      <c r="M214" s="59" t="n">
        <f aca="false">H214/Settings!$B$20</f>
        <v>2.32786749192252E-005</v>
      </c>
      <c r="N214" s="60" t="n">
        <f aca="false">E214*Settings!$B$3</f>
        <v>1.42536294967174</v>
      </c>
      <c r="O214" s="60" t="n">
        <f aca="false">IF(E214&gt;0,(F214-N214)/SQRT(E214*Settings!$B$3*(1-Settings!$B$3)),0)</f>
        <v>1.33983938881983</v>
      </c>
      <c r="P214" s="60" t="n">
        <f aca="false">MAX(0,F214-N214)</f>
        <v>1.57463705032826</v>
      </c>
      <c r="Q214" s="32" t="n">
        <f aca="false">(F214+Settings!$B$7*Settings!$B$3)/(E214+Settings!$B$7)</f>
        <v>0.0517050596367712</v>
      </c>
      <c r="R214" s="61" t="n">
        <f aca="false">PERCENTRANK($H$2:$H$1780,H214,6)</f>
        <v>0.863892</v>
      </c>
      <c r="S214" s="61" t="n">
        <f aca="false">PERCENTRANK($Q$2:$Q$1780,Q214,6)</f>
        <v>0.893701</v>
      </c>
      <c r="T214" s="61" t="n">
        <f aca="false">PERCENTRANK($F$2:$F$1780,F214,6)</f>
        <v>0.84252</v>
      </c>
      <c r="U214" s="62" t="n">
        <f aca="false">IF(F214&gt;0,(Settings!$B$8*T214+Settings!$B$9*R214+Settings!$B$10*S214)/SUM(Settings!$B$8:$B$10),0)</f>
        <v>0.866704333333333</v>
      </c>
      <c r="V214" s="56" t="n">
        <f aca="false">IF(U214&gt;0,RANK(U214,$U$2:$U$1780)+COUNTIF($U$2:U214,U214)-1,"")</f>
        <v>213</v>
      </c>
      <c r="W214" s="56" t="str">
        <f aca="false">IF(V214="","",IF(V214&lt;=Settings!$B$11,"1 - Fix first",IF(V214&lt;=Settings!$B$12,"2 - Review","3 - Monitor")))</f>
        <v>3 - Monitor</v>
      </c>
      <c r="X214" s="56" t="str">
        <f aca="false">IF(AND(E214&gt;=Settings!$B$4,F214&gt;=Settings!$B$5,O214&gt;=Settings!$B$6),"HIGH RATE","")</f>
        <v/>
      </c>
      <c r="Y214" s="56" t="n">
        <f aca="false">IF(F214&gt;0,RANK(F214,$F$2:$F$1780)+COUNTIF($F$2:F214,F214)-1,"")</f>
        <v>244</v>
      </c>
      <c r="Z214" s="56" t="n">
        <f aca="false">IF(H214&gt;0,RANK(H214,$H$2:$H$1780)+COUNTIF($H$2:H214,H214)-1,"")</f>
        <v>243</v>
      </c>
      <c r="AA214" s="56" t="n">
        <f aca="false">IF(AC214="","",RANK(AC214,$AC$2:$AC$1780)+COUNTIF($AC$2:AC214,AC214)-1)</f>
        <v>52</v>
      </c>
      <c r="AB214" s="56" t="str">
        <f aca="false">IF(AD214="","",RANK(AD214,$AD$2:$AD$1780)+COUNTIF($AD$2:AD214,AD214)-1)</f>
        <v/>
      </c>
      <c r="AC214" s="32" t="n">
        <f aca="false">IF(AND(F214&gt;0,E214&gt;=Settings!$B$4),J214,"")</f>
        <v>0.0652173913043478</v>
      </c>
      <c r="AD214" s="56" t="str">
        <f aca="false">IF(X214="HIGH RATE",O214,"")</f>
        <v/>
      </c>
    </row>
    <row r="215" customFormat="false" ht="15" hidden="false" customHeight="false" outlineLevel="0" collapsed="false">
      <c r="A215" s="56" t="s">
        <v>281</v>
      </c>
      <c r="B215" s="56" t="s">
        <v>1163</v>
      </c>
      <c r="C215" s="56" t="s">
        <v>67</v>
      </c>
      <c r="D215" s="56" t="str">
        <f aca="false">IFERROR(INDEX('Brand Map'!$B$4:$B$124,MATCH(C215,'Brand Map'!$A$4:$A$124,0)),"Other")</f>
        <v>MJ</v>
      </c>
      <c r="E215" s="57" t="n">
        <v>73</v>
      </c>
      <c r="F215" s="57" t="n">
        <v>4</v>
      </c>
      <c r="G215" s="58" t="n">
        <v>5069.87</v>
      </c>
      <c r="H215" s="58" t="n">
        <v>272.1</v>
      </c>
      <c r="I215" s="58" t="n">
        <v>4658.91</v>
      </c>
      <c r="J215" s="32" t="n">
        <f aca="false">IF(E215&gt;0,F215/E215,0)</f>
        <v>0.0547945205479452</v>
      </c>
      <c r="K215" s="32" t="n">
        <f aca="false">IF(G215&gt;0,H215/G215,0)</f>
        <v>0.0536700152074905</v>
      </c>
      <c r="L215" s="59" t="n">
        <f aca="false">H215/Settings!$B$16</f>
        <v>0.000543799046087339</v>
      </c>
      <c r="M215" s="59" t="n">
        <f aca="false">H215/Settings!$B$20</f>
        <v>2.11243203118932E-005</v>
      </c>
      <c r="N215" s="60" t="n">
        <f aca="false">E215*Settings!$B$3</f>
        <v>2.26198902882689</v>
      </c>
      <c r="O215" s="60" t="n">
        <f aca="false">IF(E215&gt;0,(F215-N215)/SQRT(E215*Settings!$B$3*(1-Settings!$B$3)),0)</f>
        <v>1.17393019817144</v>
      </c>
      <c r="P215" s="60" t="n">
        <f aca="false">MAX(0,F215-N215)</f>
        <v>1.73801097117311</v>
      </c>
      <c r="Q215" s="32" t="n">
        <f aca="false">(F215+Settings!$B$7*Settings!$B$3)/(E215+Settings!$B$7)</f>
        <v>0.0478600440038312</v>
      </c>
      <c r="R215" s="61" t="n">
        <f aca="false">PERCENTRANK($H$2:$H$1780,H215,6)</f>
        <v>0.856018</v>
      </c>
      <c r="S215" s="61" t="n">
        <f aca="false">PERCENTRANK($Q$2:$Q$1780,Q215,6)</f>
        <v>0.872328</v>
      </c>
      <c r="T215" s="61" t="n">
        <f aca="false">PERCENTRANK($F$2:$F$1780,F215,6)</f>
        <v>0.871766</v>
      </c>
      <c r="U215" s="62" t="n">
        <f aca="false">IF(F215&gt;0,(Settings!$B$8*T215+Settings!$B$9*R215+Settings!$B$10*S215)/SUM(Settings!$B$8:$B$10),0)</f>
        <v>0.866704</v>
      </c>
      <c r="V215" s="56" t="n">
        <f aca="false">IF(U215&gt;0,RANK(U215,$U$2:$U$1780)+COUNTIF($U$2:U215,U215)-1,"")</f>
        <v>214</v>
      </c>
      <c r="W215" s="56" t="str">
        <f aca="false">IF(V215="","",IF(V215&lt;=Settings!$B$11,"1 - Fix first",IF(V215&lt;=Settings!$B$12,"2 - Review","3 - Monitor")))</f>
        <v>3 - Monitor</v>
      </c>
      <c r="X215" s="56" t="str">
        <f aca="false">IF(AND(E215&gt;=Settings!$B$4,F215&gt;=Settings!$B$5,O215&gt;=Settings!$B$6),"HIGH RATE","")</f>
        <v/>
      </c>
      <c r="Y215" s="56" t="n">
        <f aca="false">IF(F215&gt;0,RANK(F215,$F$2:$F$1780)+COUNTIF($F$2:F215,F215)-1,"")</f>
        <v>214</v>
      </c>
      <c r="Z215" s="56" t="n">
        <f aca="false">IF(H215&gt;0,RANK(H215,$H$2:$H$1780)+COUNTIF($H$2:H215,H215)-1,"")</f>
        <v>257</v>
      </c>
      <c r="AA215" s="56" t="n">
        <f aca="false">IF(AC215="","",RANK(AC215,$AC$2:$AC$1780)+COUNTIF($AC$2:AC215,AC215)-1)</f>
        <v>97</v>
      </c>
      <c r="AB215" s="56" t="str">
        <f aca="false">IF(AD215="","",RANK(AD215,$AD$2:$AD$1780)+COUNTIF($AD$2:AD215,AD215)-1)</f>
        <v/>
      </c>
      <c r="AC215" s="32" t="n">
        <f aca="false">IF(AND(F215&gt;0,E215&gt;=Settings!$B$4),J215,"")</f>
        <v>0.0547945205479452</v>
      </c>
      <c r="AD215" s="56" t="str">
        <f aca="false">IF(X215="HIGH RATE",O215,"")</f>
        <v/>
      </c>
    </row>
    <row r="216" customFormat="false" ht="15" hidden="false" customHeight="false" outlineLevel="0" collapsed="false">
      <c r="A216" s="56" t="s">
        <v>1164</v>
      </c>
      <c r="B216" s="56" t="s">
        <v>1165</v>
      </c>
      <c r="C216" s="56" t="s">
        <v>83</v>
      </c>
      <c r="D216" s="56" t="str">
        <f aca="false">IFERROR(INDEX('Brand Map'!$B$4:$B$124,MATCH(C216,'Brand Map'!$A$4:$A$124,0)),"Other")</f>
        <v>AUDNAT</v>
      </c>
      <c r="E216" s="57" t="n">
        <v>45</v>
      </c>
      <c r="F216" s="57" t="n">
        <v>3</v>
      </c>
      <c r="G216" s="58" t="n">
        <v>4520.46</v>
      </c>
      <c r="H216" s="58" t="n">
        <v>259.88</v>
      </c>
      <c r="I216" s="58" t="n">
        <v>3644.23</v>
      </c>
      <c r="J216" s="32" t="n">
        <f aca="false">IF(E216&gt;0,F216/E216,0)</f>
        <v>0.0666666666666667</v>
      </c>
      <c r="K216" s="32" t="n">
        <f aca="false">IF(G216&gt;0,H216/G216,0)</f>
        <v>0.0574897244970645</v>
      </c>
      <c r="L216" s="59" t="n">
        <f aca="false">H216/Settings!$B$16</f>
        <v>0.000519377052911347</v>
      </c>
      <c r="M216" s="59" t="n">
        <f aca="false">H216/Settings!$B$20</f>
        <v>2.01756279406644E-005</v>
      </c>
      <c r="N216" s="60" t="n">
        <f aca="false">E216*Settings!$B$3</f>
        <v>1.39437679859192</v>
      </c>
      <c r="O216" s="60" t="n">
        <f aca="false">IF(E216&gt;0,(F216-N216)/SQRT(E216*Settings!$B$3*(1-Settings!$B$3)),0)</f>
        <v>1.38130177295416</v>
      </c>
      <c r="P216" s="60" t="n">
        <f aca="false">MAX(0,F216-N216)</f>
        <v>1.60562320140808</v>
      </c>
      <c r="Q216" s="32" t="n">
        <f aca="false">(F216+Settings!$B$7*Settings!$B$3)/(E216+Settings!$B$7)</f>
        <v>0.0523944604319282</v>
      </c>
      <c r="R216" s="61" t="n">
        <f aca="false">PERCENTRANK($H$2:$H$1780,H216,6)</f>
        <v>0.851519</v>
      </c>
      <c r="S216" s="61" t="n">
        <f aca="false">PERCENTRANK($Q$2:$Q$1780,Q216,6)</f>
        <v>0.905512</v>
      </c>
      <c r="T216" s="61" t="n">
        <f aca="false">PERCENTRANK($F$2:$F$1780,F216,6)</f>
        <v>0.84252</v>
      </c>
      <c r="U216" s="62" t="n">
        <f aca="false">IF(F216&gt;0,(Settings!$B$8*T216+Settings!$B$9*R216+Settings!$B$10*S216)/SUM(Settings!$B$8:$B$10),0)</f>
        <v>0.866517</v>
      </c>
      <c r="V216" s="56" t="n">
        <f aca="false">IF(U216&gt;0,RANK(U216,$U$2:$U$1780)+COUNTIF($U$2:U216,U216)-1,"")</f>
        <v>215</v>
      </c>
      <c r="W216" s="56" t="str">
        <f aca="false">IF(V216="","",IF(V216&lt;=Settings!$B$11,"1 - Fix first",IF(V216&lt;=Settings!$B$12,"2 - Review","3 - Monitor")))</f>
        <v>3 - Monitor</v>
      </c>
      <c r="X216" s="56" t="str">
        <f aca="false">IF(AND(E216&gt;=Settings!$B$4,F216&gt;=Settings!$B$5,O216&gt;=Settings!$B$6),"HIGH RATE","")</f>
        <v/>
      </c>
      <c r="Y216" s="56" t="n">
        <f aca="false">IF(F216&gt;0,RANK(F216,$F$2:$F$1780)+COUNTIF($F$2:F216,F216)-1,"")</f>
        <v>245</v>
      </c>
      <c r="Z216" s="56" t="n">
        <f aca="false">IF(H216&gt;0,RANK(H216,$H$2:$H$1780)+COUNTIF($H$2:H216,H216)-1,"")</f>
        <v>265</v>
      </c>
      <c r="AA216" s="56" t="n">
        <f aca="false">IF(AC216="","",RANK(AC216,$AC$2:$AC$1780)+COUNTIF($AC$2:AC216,AC216)-1)</f>
        <v>48</v>
      </c>
      <c r="AB216" s="56" t="str">
        <f aca="false">IF(AD216="","",RANK(AD216,$AD$2:$AD$1780)+COUNTIF($AD$2:AD216,AD216)-1)</f>
        <v/>
      </c>
      <c r="AC216" s="32" t="n">
        <f aca="false">IF(AND(F216&gt;0,E216&gt;=Settings!$B$4),J216,"")</f>
        <v>0.0666666666666667</v>
      </c>
      <c r="AD216" s="56" t="str">
        <f aca="false">IF(X216="HIGH RATE",O216,"")</f>
        <v/>
      </c>
    </row>
    <row r="217" customFormat="false" ht="15" hidden="false" customHeight="false" outlineLevel="0" collapsed="false">
      <c r="A217" s="56" t="s">
        <v>1166</v>
      </c>
      <c r="B217" s="56" t="s">
        <v>1167</v>
      </c>
      <c r="C217" s="56" t="s">
        <v>51</v>
      </c>
      <c r="D217" s="56" t="str">
        <f aca="false">IFERROR(INDEX('Brand Map'!$B$4:$B$124,MATCH(C217,'Brand Map'!$A$4:$A$124,0)),"Other")</f>
        <v>AU</v>
      </c>
      <c r="E217" s="57" t="n">
        <v>50</v>
      </c>
      <c r="F217" s="57" t="n">
        <v>3</v>
      </c>
      <c r="G217" s="58" t="n">
        <v>5723.17</v>
      </c>
      <c r="H217" s="58" t="n">
        <v>336.92</v>
      </c>
      <c r="I217" s="58" t="n">
        <v>5284.33</v>
      </c>
      <c r="J217" s="32" t="n">
        <f aca="false">IF(E217&gt;0,F217/E217,0)</f>
        <v>0.06</v>
      </c>
      <c r="K217" s="32" t="n">
        <f aca="false">IF(G217&gt;0,H217/G217,0)</f>
        <v>0.0588694726873394</v>
      </c>
      <c r="L217" s="59" t="n">
        <f aca="false">H217/Settings!$B$16</f>
        <v>0.000673343530348204</v>
      </c>
      <c r="M217" s="59" t="n">
        <f aca="false">H217/Settings!$B$20</f>
        <v>2.61565821370196E-005</v>
      </c>
      <c r="N217" s="60" t="n">
        <f aca="false">E217*Settings!$B$3</f>
        <v>1.54930755399102</v>
      </c>
      <c r="O217" s="60" t="n">
        <f aca="false">IF(E217&gt;0,(F217-N217)/SQRT(E217*Settings!$B$3*(1-Settings!$B$3)),0)</f>
        <v>1.18397229080151</v>
      </c>
      <c r="P217" s="60" t="n">
        <f aca="false">MAX(0,F217-N217)</f>
        <v>1.45069244600898</v>
      </c>
      <c r="Q217" s="32" t="n">
        <f aca="false">(F217+Settings!$B$7*Settings!$B$3)/(E217+Settings!$B$7)</f>
        <v>0.0491198066549327</v>
      </c>
      <c r="R217" s="61" t="n">
        <f aca="false">PERCENTRANK($H$2:$H$1780,H217,6)</f>
        <v>0.875141</v>
      </c>
      <c r="S217" s="61" t="n">
        <f aca="false">PERCENTRANK($Q$2:$Q$1780,Q217,6)</f>
        <v>0.880202</v>
      </c>
      <c r="T217" s="61" t="n">
        <f aca="false">PERCENTRANK($F$2:$F$1780,F217,6)</f>
        <v>0.84252</v>
      </c>
      <c r="U217" s="62" t="n">
        <f aca="false">IF(F217&gt;0,(Settings!$B$8*T217+Settings!$B$9*R217+Settings!$B$10*S217)/SUM(Settings!$B$8:$B$10),0)</f>
        <v>0.865954333333333</v>
      </c>
      <c r="V217" s="56" t="n">
        <f aca="false">IF(U217&gt;0,RANK(U217,$U$2:$U$1780)+COUNTIF($U$2:U217,U217)-1,"")</f>
        <v>216</v>
      </c>
      <c r="W217" s="56" t="str">
        <f aca="false">IF(V217="","",IF(V217&lt;=Settings!$B$11,"1 - Fix first",IF(V217&lt;=Settings!$B$12,"2 - Review","3 - Monitor")))</f>
        <v>3 - Monitor</v>
      </c>
      <c r="X217" s="56" t="str">
        <f aca="false">IF(AND(E217&gt;=Settings!$B$4,F217&gt;=Settings!$B$5,O217&gt;=Settings!$B$6),"HIGH RATE","")</f>
        <v/>
      </c>
      <c r="Y217" s="56" t="n">
        <f aca="false">IF(F217&gt;0,RANK(F217,$F$2:$F$1780)+COUNTIF($F$2:F217,F217)-1,"")</f>
        <v>246</v>
      </c>
      <c r="Z217" s="56" t="n">
        <f aca="false">IF(H217&gt;0,RANK(H217,$H$2:$H$1780)+COUNTIF($H$2:H217,H217)-1,"")</f>
        <v>223</v>
      </c>
      <c r="AA217" s="56" t="n">
        <f aca="false">IF(AC217="","",RANK(AC217,$AC$2:$AC$1780)+COUNTIF($AC$2:AC217,AC217)-1)</f>
        <v>72</v>
      </c>
      <c r="AB217" s="56" t="str">
        <f aca="false">IF(AD217="","",RANK(AD217,$AD$2:$AD$1780)+COUNTIF($AD$2:AD217,AD217)-1)</f>
        <v/>
      </c>
      <c r="AC217" s="32" t="n">
        <f aca="false">IF(AND(F217&gt;0,E217&gt;=Settings!$B$4),J217,"")</f>
        <v>0.06</v>
      </c>
      <c r="AD217" s="56" t="str">
        <f aca="false">IF(X217="HIGH RATE",O217,"")</f>
        <v/>
      </c>
    </row>
    <row r="218" customFormat="false" ht="15" hidden="false" customHeight="false" outlineLevel="0" collapsed="false">
      <c r="A218" s="56" t="s">
        <v>1168</v>
      </c>
      <c r="B218" s="56" t="s">
        <v>1169</v>
      </c>
      <c r="C218" s="56" t="s">
        <v>117</v>
      </c>
      <c r="D218" s="56" t="str">
        <f aca="false">IFERROR(INDEX('Brand Map'!$B$4:$B$124,MATCH(C218,'Brand Map'!$A$4:$A$124,0)),"Other")</f>
        <v>LF</v>
      </c>
      <c r="E218" s="57" t="n">
        <v>47</v>
      </c>
      <c r="F218" s="57" t="n">
        <v>3</v>
      </c>
      <c r="G218" s="58" t="n">
        <v>4627.8</v>
      </c>
      <c r="H218" s="58" t="n">
        <v>302.59</v>
      </c>
      <c r="I218" s="58" t="n">
        <v>4145.85</v>
      </c>
      <c r="J218" s="32" t="n">
        <f aca="false">IF(E218&gt;0,F218/E218,0)</f>
        <v>0.0638297872340426</v>
      </c>
      <c r="K218" s="32" t="n">
        <f aca="false">IF(G218&gt;0,H218/G218,0)</f>
        <v>0.0653852802627598</v>
      </c>
      <c r="L218" s="59" t="n">
        <f aca="false">H218/Settings!$B$16</f>
        <v>0.000604734117440529</v>
      </c>
      <c r="M218" s="59" t="n">
        <f aca="false">H218/Settings!$B$20</f>
        <v>2.34913931759491E-005</v>
      </c>
      <c r="N218" s="60" t="n">
        <f aca="false">E218*Settings!$B$3</f>
        <v>1.45634910075156</v>
      </c>
      <c r="O218" s="60" t="n">
        <f aca="false">IF(E218&gt;0,(F218-N218)/SQRT(E218*Settings!$B$3*(1-Settings!$B$3)),0)</f>
        <v>1.29942540175659</v>
      </c>
      <c r="P218" s="60" t="n">
        <f aca="false">MAX(0,F218-N218)</f>
        <v>1.54365089924844</v>
      </c>
      <c r="Q218" s="32" t="n">
        <f aca="false">(F218+Settings!$B$7*Settings!$B$3)/(E218+Settings!$B$7)</f>
        <v>0.0510335653557742</v>
      </c>
      <c r="R218" s="61" t="n">
        <f aca="false">PERCENTRANK($H$2:$H$1780,H218,6)</f>
        <v>0.865017</v>
      </c>
      <c r="S218" s="61" t="n">
        <f aca="false">PERCENTRANK($Q$2:$Q$1780,Q218,6)</f>
        <v>0.889764</v>
      </c>
      <c r="T218" s="61" t="n">
        <f aca="false">PERCENTRANK($F$2:$F$1780,F218,6)</f>
        <v>0.84252</v>
      </c>
      <c r="U218" s="62" t="n">
        <f aca="false">IF(F218&gt;0,(Settings!$B$8*T218+Settings!$B$9*R218+Settings!$B$10*S218)/SUM(Settings!$B$8:$B$10),0)</f>
        <v>0.865767</v>
      </c>
      <c r="V218" s="56" t="n">
        <f aca="false">IF(U218&gt;0,RANK(U218,$U$2:$U$1780)+COUNTIF($U$2:U218,U218)-1,"")</f>
        <v>217</v>
      </c>
      <c r="W218" s="56" t="str">
        <f aca="false">IF(V218="","",IF(V218&lt;=Settings!$B$11,"1 - Fix first",IF(V218&lt;=Settings!$B$12,"2 - Review","3 - Monitor")))</f>
        <v>3 - Monitor</v>
      </c>
      <c r="X218" s="56" t="str">
        <f aca="false">IF(AND(E218&gt;=Settings!$B$4,F218&gt;=Settings!$B$5,O218&gt;=Settings!$B$6),"HIGH RATE","")</f>
        <v/>
      </c>
      <c r="Y218" s="56" t="n">
        <f aca="false">IF(F218&gt;0,RANK(F218,$F$2:$F$1780)+COUNTIF($F$2:F218,F218)-1,"")</f>
        <v>247</v>
      </c>
      <c r="Z218" s="56" t="n">
        <f aca="false">IF(H218&gt;0,RANK(H218,$H$2:$H$1780)+COUNTIF($H$2:H218,H218)-1,"")</f>
        <v>241</v>
      </c>
      <c r="AA218" s="56" t="n">
        <f aca="false">IF(AC218="","",RANK(AC218,$AC$2:$AC$1780)+COUNTIF($AC$2:AC218,AC218)-1)</f>
        <v>56</v>
      </c>
      <c r="AB218" s="56" t="str">
        <f aca="false">IF(AD218="","",RANK(AD218,$AD$2:$AD$1780)+COUNTIF($AD$2:AD218,AD218)-1)</f>
        <v/>
      </c>
      <c r="AC218" s="32" t="n">
        <f aca="false">IF(AND(F218&gt;0,E218&gt;=Settings!$B$4),J218,"")</f>
        <v>0.0638297872340426</v>
      </c>
      <c r="AD218" s="56" t="str">
        <f aca="false">IF(X218="HIGH RATE",O218,"")</f>
        <v/>
      </c>
    </row>
    <row r="219" customFormat="false" ht="15" hidden="false" customHeight="false" outlineLevel="0" collapsed="false">
      <c r="A219" s="56" t="s">
        <v>1170</v>
      </c>
      <c r="B219" s="56" t="s">
        <v>1171</v>
      </c>
      <c r="C219" s="56" t="s">
        <v>145</v>
      </c>
      <c r="D219" s="56" t="str">
        <f aca="false">IFERROR(INDEX('Brand Map'!$B$4:$B$124,MATCH(C219,'Brand Map'!$A$4:$A$124,0)),"Other")</f>
        <v>AUDC</v>
      </c>
      <c r="E219" s="57" t="n">
        <v>54</v>
      </c>
      <c r="F219" s="57" t="n">
        <v>3</v>
      </c>
      <c r="G219" s="58" t="n">
        <v>8021.91</v>
      </c>
      <c r="H219" s="58" t="n">
        <v>427.37</v>
      </c>
      <c r="I219" s="58" t="n">
        <v>7194.75</v>
      </c>
      <c r="J219" s="32" t="n">
        <f aca="false">IF(E219&gt;0,F219/E219,0)</f>
        <v>0.0555555555555556</v>
      </c>
      <c r="K219" s="32" t="n">
        <f aca="false">IF(G219&gt;0,H219/G219,0)</f>
        <v>0.0532753421566684</v>
      </c>
      <c r="L219" s="59" t="n">
        <f aca="false">H219/Settings!$B$16</f>
        <v>0.000854110247432363</v>
      </c>
      <c r="M219" s="59" t="n">
        <f aca="false">H219/Settings!$B$20</f>
        <v>3.3178613640918E-005</v>
      </c>
      <c r="N219" s="60" t="n">
        <f aca="false">E219*Settings!$B$3</f>
        <v>1.6732521583103</v>
      </c>
      <c r="O219" s="60" t="n">
        <f aca="false">IF(E219&gt;0,(F219-N219)/SQRT(E219*Settings!$B$3*(1-Settings!$B$3)),0)</f>
        <v>1.04193997606344</v>
      </c>
      <c r="P219" s="60" t="n">
        <f aca="false">MAX(0,F219-N219)</f>
        <v>1.3267478416897</v>
      </c>
      <c r="Q219" s="32" t="n">
        <f aca="false">(F219+Settings!$B$7*Settings!$B$3)/(E219+Settings!$B$7)</f>
        <v>0.046780768242793</v>
      </c>
      <c r="R219" s="61" t="n">
        <f aca="false">PERCENTRANK($H$2:$H$1780,H219,6)</f>
        <v>0.893701</v>
      </c>
      <c r="S219" s="61" t="n">
        <f aca="false">PERCENTRANK($Q$2:$Q$1780,Q219,6)</f>
        <v>0.860517</v>
      </c>
      <c r="T219" s="61" t="n">
        <f aca="false">PERCENTRANK($F$2:$F$1780,F219,6)</f>
        <v>0.84252</v>
      </c>
      <c r="U219" s="62" t="n">
        <f aca="false">IF(F219&gt;0,(Settings!$B$8*T219+Settings!$B$9*R219+Settings!$B$10*S219)/SUM(Settings!$B$8:$B$10),0)</f>
        <v>0.865579333333333</v>
      </c>
      <c r="V219" s="56" t="n">
        <f aca="false">IF(U219&gt;0,RANK(U219,$U$2:$U$1780)+COUNTIF($U$2:U219,U219)-1,"")</f>
        <v>218</v>
      </c>
      <c r="W219" s="56" t="str">
        <f aca="false">IF(V219="","",IF(V219&lt;=Settings!$B$11,"1 - Fix first",IF(V219&lt;=Settings!$B$12,"2 - Review","3 - Monitor")))</f>
        <v>3 - Monitor</v>
      </c>
      <c r="X219" s="56" t="str">
        <f aca="false">IF(AND(E219&gt;=Settings!$B$4,F219&gt;=Settings!$B$5,O219&gt;=Settings!$B$6),"HIGH RATE","")</f>
        <v/>
      </c>
      <c r="Y219" s="56" t="n">
        <f aca="false">IF(F219&gt;0,RANK(F219,$F$2:$F$1780)+COUNTIF($F$2:F219,F219)-1,"")</f>
        <v>248</v>
      </c>
      <c r="Z219" s="56" t="n">
        <f aca="false">IF(H219&gt;0,RANK(H219,$H$2:$H$1780)+COUNTIF($H$2:H219,H219)-1,"")</f>
        <v>190</v>
      </c>
      <c r="AA219" s="56" t="n">
        <f aca="false">IF(AC219="","",RANK(AC219,$AC$2:$AC$1780)+COUNTIF($AC$2:AC219,AC219)-1)</f>
        <v>90</v>
      </c>
      <c r="AB219" s="56" t="str">
        <f aca="false">IF(AD219="","",RANK(AD219,$AD$2:$AD$1780)+COUNTIF($AD$2:AD219,AD219)-1)</f>
        <v/>
      </c>
      <c r="AC219" s="32" t="n">
        <f aca="false">IF(AND(F219&gt;0,E219&gt;=Settings!$B$4),J219,"")</f>
        <v>0.0555555555555556</v>
      </c>
      <c r="AD219" s="56" t="str">
        <f aca="false">IF(X219="HIGH RATE",O219,"")</f>
        <v/>
      </c>
    </row>
    <row r="220" customFormat="false" ht="15" hidden="false" customHeight="false" outlineLevel="0" collapsed="false">
      <c r="A220" s="56" t="s">
        <v>1172</v>
      </c>
      <c r="B220" s="56" t="s">
        <v>1173</v>
      </c>
      <c r="C220" s="56" t="s">
        <v>51</v>
      </c>
      <c r="D220" s="56" t="str">
        <f aca="false">IFERROR(INDEX('Brand Map'!$B$4:$B$124,MATCH(C220,'Brand Map'!$A$4:$A$124,0)),"Other")</f>
        <v>AU</v>
      </c>
      <c r="E220" s="57" t="n">
        <v>21</v>
      </c>
      <c r="F220" s="57" t="n">
        <v>2</v>
      </c>
      <c r="G220" s="58" t="n">
        <v>3557.14</v>
      </c>
      <c r="H220" s="58" t="n">
        <v>272.64</v>
      </c>
      <c r="I220" s="58" t="n">
        <v>3170.7</v>
      </c>
      <c r="J220" s="32" t="n">
        <f aca="false">IF(E220&gt;0,F220/E220,0)</f>
        <v>0.0952380952380952</v>
      </c>
      <c r="K220" s="32" t="n">
        <f aca="false">IF(G220&gt;0,H220/G220,0)</f>
        <v>0.0766458446954576</v>
      </c>
      <c r="L220" s="59" t="n">
        <f aca="false">H220/Settings!$B$16</f>
        <v>0.000544878250368438</v>
      </c>
      <c r="M220" s="59" t="n">
        <f aca="false">H220/Settings!$B$20</f>
        <v>2.11662428880358E-005</v>
      </c>
      <c r="N220" s="60" t="n">
        <f aca="false">E220*Settings!$B$3</f>
        <v>0.650709172676229</v>
      </c>
      <c r="O220" s="60" t="n">
        <f aca="false">IF(E220&gt;0,(F220-N220)/SQRT(E220*Settings!$B$3*(1-Settings!$B$3)),0)</f>
        <v>1.69921022046925</v>
      </c>
      <c r="P220" s="60" t="n">
        <f aca="false">MAX(0,F220-N220)</f>
        <v>1.34929082732377</v>
      </c>
      <c r="Q220" s="32" t="n">
        <f aca="false">(F220+Settings!$B$7*Settings!$B$3)/(E220+Settings!$B$7)</f>
        <v>0.0574428339685218</v>
      </c>
      <c r="R220" s="61" t="n">
        <f aca="false">PERCENTRANK($H$2:$H$1780,H220,6)</f>
        <v>0.85658</v>
      </c>
      <c r="S220" s="61" t="n">
        <f aca="false">PERCENTRANK($Q$2:$Q$1780,Q220,6)</f>
        <v>0.935883</v>
      </c>
      <c r="T220" s="61" t="n">
        <f aca="false">PERCENTRANK($F$2:$F$1780,F220,6)</f>
        <v>0.799775</v>
      </c>
      <c r="U220" s="62" t="n">
        <f aca="false">IF(F220&gt;0,(Settings!$B$8*T220+Settings!$B$9*R220+Settings!$B$10*S220)/SUM(Settings!$B$8:$B$10),0)</f>
        <v>0.864079333333333</v>
      </c>
      <c r="V220" s="56" t="n">
        <f aca="false">IF(U220&gt;0,RANK(U220,$U$2:$U$1780)+COUNTIF($U$2:U220,U220)-1,"")</f>
        <v>219</v>
      </c>
      <c r="W220" s="56" t="str">
        <f aca="false">IF(V220="","",IF(V220&lt;=Settings!$B$11,"1 - Fix first",IF(V220&lt;=Settings!$B$12,"2 - Review","3 - Monitor")))</f>
        <v>3 - Monitor</v>
      </c>
      <c r="X220" s="56" t="str">
        <f aca="false">IF(AND(E220&gt;=Settings!$B$4,F220&gt;=Settings!$B$5,O220&gt;=Settings!$B$6),"HIGH RATE","")</f>
        <v/>
      </c>
      <c r="Y220" s="56" t="n">
        <f aca="false">IF(F220&gt;0,RANK(F220,$F$2:$F$1780)+COUNTIF($F$2:F220,F220)-1,"")</f>
        <v>298</v>
      </c>
      <c r="Z220" s="56" t="n">
        <f aca="false">IF(H220&gt;0,RANK(H220,$H$2:$H$1780)+COUNTIF($H$2:H220,H220)-1,"")</f>
        <v>256</v>
      </c>
      <c r="AA220" s="56" t="str">
        <f aca="false">IF(AC220="","",RANK(AC220,$AC$2:$AC$1780)+COUNTIF($AC$2:AC220,AC220)-1)</f>
        <v/>
      </c>
      <c r="AB220" s="56" t="str">
        <f aca="false">IF(AD220="","",RANK(AD220,$AD$2:$AD$1780)+COUNTIF($AD$2:AD220,AD220)-1)</f>
        <v/>
      </c>
      <c r="AC220" s="56" t="str">
        <f aca="false">IF(AND(F220&gt;0,E220&gt;=Settings!$B$4),J220,"")</f>
        <v/>
      </c>
      <c r="AD220" s="56" t="str">
        <f aca="false">IF(X220="HIGH RATE",O220,"")</f>
        <v/>
      </c>
    </row>
    <row r="221" customFormat="false" ht="15" hidden="false" customHeight="false" outlineLevel="0" collapsed="false">
      <c r="A221" s="56" t="s">
        <v>1174</v>
      </c>
      <c r="B221" s="56" t="s">
        <v>1175</v>
      </c>
      <c r="C221" s="56" t="s">
        <v>51</v>
      </c>
      <c r="D221" s="56" t="str">
        <f aca="false">IFERROR(INDEX('Brand Map'!$B$4:$B$124,MATCH(C221,'Brand Map'!$A$4:$A$124,0)),"Other")</f>
        <v>AU</v>
      </c>
      <c r="E221" s="57" t="n">
        <v>50</v>
      </c>
      <c r="F221" s="57" t="n">
        <v>3</v>
      </c>
      <c r="G221" s="58" t="n">
        <v>5570.7</v>
      </c>
      <c r="H221" s="58" t="n">
        <v>308.95</v>
      </c>
      <c r="I221" s="58" t="n">
        <v>5071.95</v>
      </c>
      <c r="J221" s="32" t="n">
        <f aca="false">IF(E221&gt;0,F221/E221,0)</f>
        <v>0.06</v>
      </c>
      <c r="K221" s="32" t="n">
        <f aca="false">IF(G221&gt;0,H221/G221,0)</f>
        <v>0.0554598165401117</v>
      </c>
      <c r="L221" s="59" t="n">
        <f aca="false">H221/Settings!$B$16</f>
        <v>0.000617444745640145</v>
      </c>
      <c r="M221" s="59" t="n">
        <f aca="false">H221/Settings!$B$20</f>
        <v>2.39851479616295E-005</v>
      </c>
      <c r="N221" s="60" t="n">
        <f aca="false">E221*Settings!$B$3</f>
        <v>1.54930755399102</v>
      </c>
      <c r="O221" s="60" t="n">
        <f aca="false">IF(E221&gt;0,(F221-N221)/SQRT(E221*Settings!$B$3*(1-Settings!$B$3)),0)</f>
        <v>1.18397229080151</v>
      </c>
      <c r="P221" s="60" t="n">
        <f aca="false">MAX(0,F221-N221)</f>
        <v>1.45069244600898</v>
      </c>
      <c r="Q221" s="32" t="n">
        <f aca="false">(F221+Settings!$B$7*Settings!$B$3)/(E221+Settings!$B$7)</f>
        <v>0.0491198066549327</v>
      </c>
      <c r="R221" s="61" t="n">
        <f aca="false">PERCENTRANK($H$2:$H$1780,H221,6)</f>
        <v>0.867829</v>
      </c>
      <c r="S221" s="61" t="n">
        <f aca="false">PERCENTRANK($Q$2:$Q$1780,Q221,6)</f>
        <v>0.880202</v>
      </c>
      <c r="T221" s="61" t="n">
        <f aca="false">PERCENTRANK($F$2:$F$1780,F221,6)</f>
        <v>0.84252</v>
      </c>
      <c r="U221" s="62" t="n">
        <f aca="false">IF(F221&gt;0,(Settings!$B$8*T221+Settings!$B$9*R221+Settings!$B$10*S221)/SUM(Settings!$B$8:$B$10),0)</f>
        <v>0.863517</v>
      </c>
      <c r="V221" s="56" t="n">
        <f aca="false">IF(U221&gt;0,RANK(U221,$U$2:$U$1780)+COUNTIF($U$2:U221,U221)-1,"")</f>
        <v>220</v>
      </c>
      <c r="W221" s="56" t="str">
        <f aca="false">IF(V221="","",IF(V221&lt;=Settings!$B$11,"1 - Fix first",IF(V221&lt;=Settings!$B$12,"2 - Review","3 - Monitor")))</f>
        <v>3 - Monitor</v>
      </c>
      <c r="X221" s="56" t="str">
        <f aca="false">IF(AND(E221&gt;=Settings!$B$4,F221&gt;=Settings!$B$5,O221&gt;=Settings!$B$6),"HIGH RATE","")</f>
        <v/>
      </c>
      <c r="Y221" s="56" t="n">
        <f aca="false">IF(F221&gt;0,RANK(F221,$F$2:$F$1780)+COUNTIF($F$2:F221,F221)-1,"")</f>
        <v>249</v>
      </c>
      <c r="Z221" s="56" t="n">
        <f aca="false">IF(H221&gt;0,RANK(H221,$H$2:$H$1780)+COUNTIF($H$2:H221,H221)-1,"")</f>
        <v>236</v>
      </c>
      <c r="AA221" s="56" t="n">
        <f aca="false">IF(AC221="","",RANK(AC221,$AC$2:$AC$1780)+COUNTIF($AC$2:AC221,AC221)-1)</f>
        <v>73</v>
      </c>
      <c r="AB221" s="56" t="str">
        <f aca="false">IF(AD221="","",RANK(AD221,$AD$2:$AD$1780)+COUNTIF($AD$2:AD221,AD221)-1)</f>
        <v/>
      </c>
      <c r="AC221" s="32" t="n">
        <f aca="false">IF(AND(F221&gt;0,E221&gt;=Settings!$B$4),J221,"")</f>
        <v>0.06</v>
      </c>
      <c r="AD221" s="56" t="str">
        <f aca="false">IF(X221="HIGH RATE",O221,"")</f>
        <v/>
      </c>
    </row>
    <row r="222" customFormat="false" ht="15" hidden="false" customHeight="false" outlineLevel="0" collapsed="false">
      <c r="A222" s="56" t="s">
        <v>1176</v>
      </c>
      <c r="B222" s="56" t="s">
        <v>1177</v>
      </c>
      <c r="C222" s="56" t="s">
        <v>51</v>
      </c>
      <c r="D222" s="56" t="str">
        <f aca="false">IFERROR(INDEX('Brand Map'!$B$4:$B$124,MATCH(C222,'Brand Map'!$A$4:$A$124,0)),"Other")</f>
        <v>AU</v>
      </c>
      <c r="E222" s="57" t="n">
        <v>266</v>
      </c>
      <c r="F222" s="57" t="n">
        <v>8</v>
      </c>
      <c r="G222" s="58" t="n">
        <v>33753.61</v>
      </c>
      <c r="H222" s="58" t="n">
        <v>835.15</v>
      </c>
      <c r="I222" s="58" t="n">
        <v>31712.39</v>
      </c>
      <c r="J222" s="32" t="n">
        <f aca="false">IF(E222&gt;0,F222/E222,0)</f>
        <v>0.0300751879699248</v>
      </c>
      <c r="K222" s="32" t="n">
        <f aca="false">IF(G222&gt;0,H222/G222,0)</f>
        <v>0.02474253864994</v>
      </c>
      <c r="L222" s="59" t="n">
        <f aca="false">H222/Settings!$B$16</f>
        <v>0.00166906936177817</v>
      </c>
      <c r="M222" s="59" t="n">
        <f aca="false">H222/Settings!$B$20</f>
        <v>6.48363693806599E-005</v>
      </c>
      <c r="N222" s="60" t="n">
        <f aca="false">E222*Settings!$B$3</f>
        <v>8.24231618723223</v>
      </c>
      <c r="O222" s="60" t="n">
        <f aca="false">IF(E222&gt;0,(F222-N222)/SQRT(E222*Settings!$B$3*(1-Settings!$B$3)),0)</f>
        <v>-0.0857418400902109</v>
      </c>
      <c r="P222" s="60" t="n">
        <f aca="false">MAX(0,F222-N222)</f>
        <v>0</v>
      </c>
      <c r="Q222" s="32" t="n">
        <f aca="false">(F222+Settings!$B$7*Settings!$B$3)/(E222+Settings!$B$7)</f>
        <v>0.030167515312144</v>
      </c>
      <c r="R222" s="61" t="n">
        <f aca="false">PERCENTRANK($H$2:$H$1780,H222,6)</f>
        <v>0.934196</v>
      </c>
      <c r="S222" s="61" t="n">
        <f aca="false">PERCENTRANK($Q$2:$Q$1780,Q222,6)</f>
        <v>0.742407</v>
      </c>
      <c r="T222" s="61" t="n">
        <f aca="false">PERCENTRANK($F$2:$F$1780,F222,6)</f>
        <v>0.912823</v>
      </c>
      <c r="U222" s="62" t="n">
        <f aca="false">IF(F222&gt;0,(Settings!$B$8*T222+Settings!$B$9*R222+Settings!$B$10*S222)/SUM(Settings!$B$8:$B$10),0)</f>
        <v>0.863142</v>
      </c>
      <c r="V222" s="56" t="n">
        <f aca="false">IF(U222&gt;0,RANK(U222,$U$2:$U$1780)+COUNTIF($U$2:U222,U222)-1,"")</f>
        <v>222</v>
      </c>
      <c r="W222" s="56" t="str">
        <f aca="false">IF(V222="","",IF(V222&lt;=Settings!$B$11,"1 - Fix first",IF(V222&lt;=Settings!$B$12,"2 - Review","3 - Monitor")))</f>
        <v>3 - Monitor</v>
      </c>
      <c r="X222" s="56" t="str">
        <f aca="false">IF(AND(E222&gt;=Settings!$B$4,F222&gt;=Settings!$B$5,O222&gt;=Settings!$B$6),"HIGH RATE","")</f>
        <v/>
      </c>
      <c r="Y222" s="56" t="n">
        <f aca="false">IF(F222&gt;0,RANK(F222,$F$2:$F$1780)+COUNTIF($F$2:F222,F222)-1,"")</f>
        <v>154</v>
      </c>
      <c r="Z222" s="56" t="n">
        <f aca="false">IF(H222&gt;0,RANK(H222,$H$2:$H$1780)+COUNTIF($H$2:H222,H222)-1,"")</f>
        <v>118</v>
      </c>
      <c r="AA222" s="56" t="n">
        <f aca="false">IF(AC222="","",RANK(AC222,$AC$2:$AC$1780)+COUNTIF($AC$2:AC222,AC222)-1)</f>
        <v>264</v>
      </c>
      <c r="AB222" s="56" t="str">
        <f aca="false">IF(AD222="","",RANK(AD222,$AD$2:$AD$1780)+COUNTIF($AD$2:AD222,AD222)-1)</f>
        <v/>
      </c>
      <c r="AC222" s="32" t="n">
        <f aca="false">IF(AND(F222&gt;0,E222&gt;=Settings!$B$4),J222,"")</f>
        <v>0.0300751879699248</v>
      </c>
      <c r="AD222" s="56" t="str">
        <f aca="false">IF(X222="HIGH RATE",O222,"")</f>
        <v/>
      </c>
    </row>
    <row r="223" customFormat="false" ht="15" hidden="false" customHeight="false" outlineLevel="0" collapsed="false">
      <c r="A223" s="56" t="s">
        <v>708</v>
      </c>
      <c r="B223" s="56" t="s">
        <v>709</v>
      </c>
      <c r="C223" s="56" t="s">
        <v>707</v>
      </c>
      <c r="D223" s="56" t="str">
        <f aca="false">IFERROR(INDEX('Brand Map'!$B$4:$B$124,MATCH(C223,'Brand Map'!$A$4:$A$124,0)),"Other")</f>
        <v>Other (small prefixes)</v>
      </c>
      <c r="E223" s="57" t="n">
        <v>14</v>
      </c>
      <c r="F223" s="57" t="n">
        <v>2</v>
      </c>
      <c r="G223" s="58" t="n">
        <v>1070.24</v>
      </c>
      <c r="H223" s="58" t="n">
        <v>181.72</v>
      </c>
      <c r="I223" s="58" t="n">
        <v>832.66</v>
      </c>
      <c r="J223" s="32" t="n">
        <f aca="false">IF(E223&gt;0,F223/E223,0)</f>
        <v>0.142857142857143</v>
      </c>
      <c r="K223" s="32" t="n">
        <f aca="false">IF(G223&gt;0,H223/G223,0)</f>
        <v>0.169793691134699</v>
      </c>
      <c r="L223" s="59" t="n">
        <f aca="false">H223/Settings!$B$16</f>
        <v>0.000363172225854433</v>
      </c>
      <c r="M223" s="59" t="n">
        <f aca="false">H223/Settings!$B$20</f>
        <v>1.41077232160133E-005</v>
      </c>
      <c r="N223" s="60" t="n">
        <f aca="false">E223*Settings!$B$3</f>
        <v>0.433806115117486</v>
      </c>
      <c r="O223" s="60" t="n">
        <f aca="false">IF(E223&gt;0,(F223-N223)/SQRT(E223*Settings!$B$3*(1-Settings!$B$3)),0)</f>
        <v>2.41564269631781</v>
      </c>
      <c r="P223" s="60" t="n">
        <f aca="false">MAX(0,F223-N223)</f>
        <v>1.56619388488251</v>
      </c>
      <c r="Q223" s="32" t="n">
        <f aca="false">(F223+Settings!$B$7*Settings!$B$3)/(E223+Settings!$B$7)</f>
        <v>0.0665814666453321</v>
      </c>
      <c r="R223" s="61" t="n">
        <f aca="false">PERCENTRANK($H$2:$H$1780,H223,6)</f>
        <v>0.82171</v>
      </c>
      <c r="S223" s="61" t="n">
        <f aca="false">PERCENTRANK($Q$2:$Q$1780,Q223,6)</f>
        <v>0.967942</v>
      </c>
      <c r="T223" s="61" t="n">
        <f aca="false">PERCENTRANK($F$2:$F$1780,F223,6)</f>
        <v>0.799775</v>
      </c>
      <c r="U223" s="62" t="n">
        <f aca="false">IF(F223&gt;0,(Settings!$B$8*T223+Settings!$B$9*R223+Settings!$B$10*S223)/SUM(Settings!$B$8:$B$10),0)</f>
        <v>0.863142333333333</v>
      </c>
      <c r="V223" s="56" t="n">
        <f aca="false">IF(U223&gt;0,RANK(U223,$U$2:$U$1780)+COUNTIF($U$2:U223,U223)-1,"")</f>
        <v>221</v>
      </c>
      <c r="W223" s="56" t="str">
        <f aca="false">IF(V223="","",IF(V223&lt;=Settings!$B$11,"1 - Fix first",IF(V223&lt;=Settings!$B$12,"2 - Review","3 - Monitor")))</f>
        <v>3 - Monitor</v>
      </c>
      <c r="X223" s="56" t="str">
        <f aca="false">IF(AND(E223&gt;=Settings!$B$4,F223&gt;=Settings!$B$5,O223&gt;=Settings!$B$6),"HIGH RATE","")</f>
        <v/>
      </c>
      <c r="Y223" s="56" t="n">
        <f aca="false">IF(F223&gt;0,RANK(F223,$F$2:$F$1780)+COUNTIF($F$2:F223,F223)-1,"")</f>
        <v>299</v>
      </c>
      <c r="Z223" s="56" t="n">
        <f aca="false">IF(H223&gt;0,RANK(H223,$H$2:$H$1780)+COUNTIF($H$2:H223,H223)-1,"")</f>
        <v>317</v>
      </c>
      <c r="AA223" s="56" t="str">
        <f aca="false">IF(AC223="","",RANK(AC223,$AC$2:$AC$1780)+COUNTIF($AC$2:AC223,AC223)-1)</f>
        <v/>
      </c>
      <c r="AB223" s="56" t="str">
        <f aca="false">IF(AD223="","",RANK(AD223,$AD$2:$AD$1780)+COUNTIF($AD$2:AD223,AD223)-1)</f>
        <v/>
      </c>
      <c r="AC223" s="56" t="str">
        <f aca="false">IF(AND(F223&gt;0,E223&gt;=Settings!$B$4),J223,"")</f>
        <v/>
      </c>
      <c r="AD223" s="56" t="str">
        <f aca="false">IF(X223="HIGH RATE",O223,"")</f>
        <v/>
      </c>
    </row>
    <row r="224" customFormat="false" ht="15" hidden="false" customHeight="false" outlineLevel="0" collapsed="false">
      <c r="A224" s="56" t="s">
        <v>1178</v>
      </c>
      <c r="B224" s="56" t="s">
        <v>1179</v>
      </c>
      <c r="C224" s="56" t="s">
        <v>87</v>
      </c>
      <c r="D224" s="56" t="str">
        <f aca="false">IFERROR(INDEX('Brand Map'!$B$4:$B$124,MATCH(C224,'Brand Map'!$A$4:$A$124,0)),"Other")</f>
        <v>FYF</v>
      </c>
      <c r="E224" s="57" t="n">
        <v>11</v>
      </c>
      <c r="F224" s="57" t="n">
        <v>2</v>
      </c>
      <c r="G224" s="58" t="n">
        <v>857.45</v>
      </c>
      <c r="H224" s="58" t="n">
        <v>155.9</v>
      </c>
      <c r="I224" s="58" t="n">
        <v>701.55</v>
      </c>
      <c r="J224" s="32" t="n">
        <f aca="false">IF(E224&gt;0,F224/E224,0)</f>
        <v>0.181818181818182</v>
      </c>
      <c r="K224" s="32" t="n">
        <f aca="false">IF(G224&gt;0,H224/G224,0)</f>
        <v>0.181818181818182</v>
      </c>
      <c r="L224" s="59" t="n">
        <f aca="false">H224/Settings!$B$16</f>
        <v>0.000311570273006307</v>
      </c>
      <c r="M224" s="59" t="n">
        <f aca="false">H224/Settings!$B$20</f>
        <v>1.21032030011913E-005</v>
      </c>
      <c r="N224" s="60" t="n">
        <f aca="false">E224*Settings!$B$3</f>
        <v>0.340847661878025</v>
      </c>
      <c r="O224" s="60" t="n">
        <f aca="false">IF(E224&gt;0,(F224-N224)/SQRT(E224*Settings!$B$3*(1-Settings!$B$3)),0)</f>
        <v>2.88696229496052</v>
      </c>
      <c r="P224" s="60" t="n">
        <f aca="false">MAX(0,F224-N224)</f>
        <v>1.65915233812198</v>
      </c>
      <c r="Q224" s="32" t="n">
        <f aca="false">(F224+Settings!$B$7*Settings!$B$3)/(E224+Settings!$B$7)</f>
        <v>0.0714532812779174</v>
      </c>
      <c r="R224" s="61" t="n">
        <f aca="false">PERCENTRANK($H$2:$H$1780,H224,6)</f>
        <v>0.807649</v>
      </c>
      <c r="S224" s="61" t="n">
        <f aca="false">PERCENTRANK($Q$2:$Q$1780,Q224,6)</f>
        <v>0.977503</v>
      </c>
      <c r="T224" s="61" t="n">
        <f aca="false">PERCENTRANK($F$2:$F$1780,F224,6)</f>
        <v>0.799775</v>
      </c>
      <c r="U224" s="62" t="n">
        <f aca="false">IF(F224&gt;0,(Settings!$B$8*T224+Settings!$B$9*R224+Settings!$B$10*S224)/SUM(Settings!$B$8:$B$10),0)</f>
        <v>0.861642333333333</v>
      </c>
      <c r="V224" s="56" t="n">
        <f aca="false">IF(U224&gt;0,RANK(U224,$U$2:$U$1780)+COUNTIF($U$2:U224,U224)-1,"")</f>
        <v>223</v>
      </c>
      <c r="W224" s="56" t="str">
        <f aca="false">IF(V224="","",IF(V224&lt;=Settings!$B$11,"1 - Fix first",IF(V224&lt;=Settings!$B$12,"2 - Review","3 - Monitor")))</f>
        <v>3 - Monitor</v>
      </c>
      <c r="X224" s="56" t="str">
        <f aca="false">IF(AND(E224&gt;=Settings!$B$4,F224&gt;=Settings!$B$5,O224&gt;=Settings!$B$6),"HIGH RATE","")</f>
        <v/>
      </c>
      <c r="Y224" s="56" t="n">
        <f aca="false">IF(F224&gt;0,RANK(F224,$F$2:$F$1780)+COUNTIF($F$2:F224,F224)-1,"")</f>
        <v>300</v>
      </c>
      <c r="Z224" s="56" t="n">
        <f aca="false">IF(H224&gt;0,RANK(H224,$H$2:$H$1780)+COUNTIF($H$2:H224,H224)-1,"")</f>
        <v>343</v>
      </c>
      <c r="AA224" s="56" t="str">
        <f aca="false">IF(AC224="","",RANK(AC224,$AC$2:$AC$1780)+COUNTIF($AC$2:AC224,AC224)-1)</f>
        <v/>
      </c>
      <c r="AB224" s="56" t="str">
        <f aca="false">IF(AD224="","",RANK(AD224,$AD$2:$AD$1780)+COUNTIF($AD$2:AD224,AD224)-1)</f>
        <v/>
      </c>
      <c r="AC224" s="56" t="str">
        <f aca="false">IF(AND(F224&gt;0,E224&gt;=Settings!$B$4),J224,"")</f>
        <v/>
      </c>
      <c r="AD224" s="56" t="str">
        <f aca="false">IF(X224="HIGH RATE",O224,"")</f>
        <v/>
      </c>
    </row>
    <row r="225" customFormat="false" ht="15" hidden="false" customHeight="false" outlineLevel="0" collapsed="false">
      <c r="A225" s="56" t="s">
        <v>1180</v>
      </c>
      <c r="B225" s="56" t="s">
        <v>1181</v>
      </c>
      <c r="C225" s="56" t="s">
        <v>51</v>
      </c>
      <c r="D225" s="56" t="str">
        <f aca="false">IFERROR(INDEX('Brand Map'!$B$4:$B$124,MATCH(C225,'Brand Map'!$A$4:$A$124,0)),"Other")</f>
        <v>AU</v>
      </c>
      <c r="E225" s="57" t="n">
        <v>254</v>
      </c>
      <c r="F225" s="57" t="n">
        <v>9</v>
      </c>
      <c r="G225" s="58" t="n">
        <v>12218.38</v>
      </c>
      <c r="H225" s="58" t="n">
        <v>408.72</v>
      </c>
      <c r="I225" s="58" t="n">
        <v>11681.61</v>
      </c>
      <c r="J225" s="32" t="n">
        <f aca="false">IF(E225&gt;0,F225/E225,0)</f>
        <v>0.0354330708661417</v>
      </c>
      <c r="K225" s="32" t="n">
        <f aca="false">IF(G225&gt;0,H225/G225,0)</f>
        <v>0.0334512431271576</v>
      </c>
      <c r="L225" s="59" t="n">
        <f aca="false">H225/Settings!$B$16</f>
        <v>0.000816837729205502</v>
      </c>
      <c r="M225" s="59" t="n">
        <f aca="false">H225/Settings!$B$20</f>
        <v>3.17307320759903E-005</v>
      </c>
      <c r="N225" s="60" t="n">
        <f aca="false">E225*Settings!$B$3</f>
        <v>7.87048237427439</v>
      </c>
      <c r="O225" s="60" t="n">
        <f aca="false">IF(E225&gt;0,(F225-N225)/SQRT(E225*Settings!$B$3*(1-Settings!$B$3)),0)</f>
        <v>0.409003801907893</v>
      </c>
      <c r="P225" s="60" t="n">
        <f aca="false">MAX(0,F225-N225)</f>
        <v>1.12951762572561</v>
      </c>
      <c r="Q225" s="32" t="n">
        <f aca="false">(F225+Settings!$B$7*Settings!$B$3)/(E225+Settings!$B$7)</f>
        <v>0.0349633258182909</v>
      </c>
      <c r="R225" s="61" t="n">
        <f aca="false">PERCENTRANK($H$2:$H$1780,H225,6)</f>
        <v>0.890889</v>
      </c>
      <c r="S225" s="61" t="n">
        <f aca="false">PERCENTRANK($Q$2:$Q$1780,Q225,6)</f>
        <v>0.772778</v>
      </c>
      <c r="T225" s="61" t="n">
        <f aca="false">PERCENTRANK($F$2:$F$1780,F225,6)</f>
        <v>0.917323</v>
      </c>
      <c r="U225" s="62" t="n">
        <f aca="false">IF(F225&gt;0,(Settings!$B$8*T225+Settings!$B$9*R225+Settings!$B$10*S225)/SUM(Settings!$B$8:$B$10),0)</f>
        <v>0.86033</v>
      </c>
      <c r="V225" s="56" t="n">
        <f aca="false">IF(U225&gt;0,RANK(U225,$U$2:$U$1780)+COUNTIF($U$2:U225,U225)-1,"")</f>
        <v>224</v>
      </c>
      <c r="W225" s="56" t="str">
        <f aca="false">IF(V225="","",IF(V225&lt;=Settings!$B$11,"1 - Fix first",IF(V225&lt;=Settings!$B$12,"2 - Review","3 - Monitor")))</f>
        <v>3 - Monitor</v>
      </c>
      <c r="X225" s="56" t="str">
        <f aca="false">IF(AND(E225&gt;=Settings!$B$4,F225&gt;=Settings!$B$5,O225&gt;=Settings!$B$6),"HIGH RATE","")</f>
        <v/>
      </c>
      <c r="Y225" s="56" t="n">
        <f aca="false">IF(F225&gt;0,RANK(F225,$F$2:$F$1780)+COUNTIF($F$2:F225,F225)-1,"")</f>
        <v>144</v>
      </c>
      <c r="Z225" s="56" t="n">
        <f aca="false">IF(H225&gt;0,RANK(H225,$H$2:$H$1780)+COUNTIF($H$2:H225,H225)-1,"")</f>
        <v>195</v>
      </c>
      <c r="AA225" s="56" t="n">
        <f aca="false">IF(AC225="","",RANK(AC225,$AC$2:$AC$1780)+COUNTIF($AC$2:AC225,AC225)-1)</f>
        <v>227</v>
      </c>
      <c r="AB225" s="56" t="str">
        <f aca="false">IF(AD225="","",RANK(AD225,$AD$2:$AD$1780)+COUNTIF($AD$2:AD225,AD225)-1)</f>
        <v/>
      </c>
      <c r="AC225" s="32" t="n">
        <f aca="false">IF(AND(F225&gt;0,E225&gt;=Settings!$B$4),J225,"")</f>
        <v>0.0354330708661417</v>
      </c>
      <c r="AD225" s="56" t="str">
        <f aca="false">IF(X225="HIGH RATE",O225,"")</f>
        <v/>
      </c>
    </row>
    <row r="226" customFormat="false" ht="15" hidden="false" customHeight="false" outlineLevel="0" collapsed="false">
      <c r="A226" s="56" t="s">
        <v>1182</v>
      </c>
      <c r="B226" s="56" t="s">
        <v>1183</v>
      </c>
      <c r="C226" s="56" t="s">
        <v>75</v>
      </c>
      <c r="D226" s="56" t="str">
        <f aca="false">IFERROR(INDEX('Brand Map'!$B$4:$B$124,MATCH(C226,'Brand Map'!$A$4:$A$124,0)),"Other")</f>
        <v>AURP</v>
      </c>
      <c r="E226" s="57" t="n">
        <v>291</v>
      </c>
      <c r="F226" s="57" t="n">
        <v>11</v>
      </c>
      <c r="G226" s="58" t="n">
        <v>8760.77</v>
      </c>
      <c r="H226" s="58" t="n">
        <v>296.44</v>
      </c>
      <c r="I226" s="58" t="n">
        <v>8253.21</v>
      </c>
      <c r="J226" s="32" t="n">
        <f aca="false">IF(E226&gt;0,F226/E226,0)</f>
        <v>0.0378006872852234</v>
      </c>
      <c r="K226" s="32" t="n">
        <f aca="false">IF(G226&gt;0,H226/G226,0)</f>
        <v>0.0338372083732366</v>
      </c>
      <c r="L226" s="59" t="n">
        <f aca="false">H226/Settings!$B$16</f>
        <v>0.000592443179794674</v>
      </c>
      <c r="M226" s="59" t="n">
        <f aca="false">H226/Settings!$B$20</f>
        <v>2.30139416143242E-005</v>
      </c>
      <c r="N226" s="60" t="n">
        <f aca="false">E226*Settings!$B$3</f>
        <v>9.01696996422774</v>
      </c>
      <c r="O226" s="60" t="n">
        <f aca="false">IF(E226&gt;0,(F226-N226)/SQRT(E226*Settings!$B$3*(1-Settings!$B$3)),0)</f>
        <v>0.670863229872174</v>
      </c>
      <c r="P226" s="60" t="n">
        <f aca="false">MAX(0,F226-N226)</f>
        <v>1.98303003577226</v>
      </c>
      <c r="Q226" s="32" t="n">
        <f aca="false">(F226+Settings!$B$7*Settings!$B$3)/(E226+Settings!$B$7)</f>
        <v>0.0371638147426623</v>
      </c>
      <c r="R226" s="61" t="n">
        <f aca="false">PERCENTRANK($H$2:$H$1780,H226,6)</f>
        <v>0.862205</v>
      </c>
      <c r="S226" s="61" t="n">
        <f aca="false">PERCENTRANK($Q$2:$Q$1780,Q226,6)</f>
        <v>0.790776</v>
      </c>
      <c r="T226" s="61" t="n">
        <f aca="false">PERCENTRANK($F$2:$F$1780,F226,6)</f>
        <v>0.925759</v>
      </c>
      <c r="U226" s="62" t="n">
        <f aca="false">IF(F226&gt;0,(Settings!$B$8*T226+Settings!$B$9*R226+Settings!$B$10*S226)/SUM(Settings!$B$8:$B$10),0)</f>
        <v>0.85958</v>
      </c>
      <c r="V226" s="56" t="n">
        <f aca="false">IF(U226&gt;0,RANK(U226,$U$2:$U$1780)+COUNTIF($U$2:U226,U226)-1,"")</f>
        <v>225</v>
      </c>
      <c r="W226" s="56" t="str">
        <f aca="false">IF(V226="","",IF(V226&lt;=Settings!$B$11,"1 - Fix first",IF(V226&lt;=Settings!$B$12,"2 - Review","3 - Monitor")))</f>
        <v>3 - Monitor</v>
      </c>
      <c r="X226" s="56" t="str">
        <f aca="false">IF(AND(E226&gt;=Settings!$B$4,F226&gt;=Settings!$B$5,O226&gt;=Settings!$B$6),"HIGH RATE","")</f>
        <v/>
      </c>
      <c r="Y226" s="56" t="n">
        <f aca="false">IF(F226&gt;0,RANK(F226,$F$2:$F$1780)+COUNTIF($F$2:F226,F226)-1,"")</f>
        <v>132</v>
      </c>
      <c r="Z226" s="56" t="n">
        <f aca="false">IF(H226&gt;0,RANK(H226,$H$2:$H$1780)+COUNTIF($H$2:H226,H226)-1,"")</f>
        <v>246</v>
      </c>
      <c r="AA226" s="56" t="n">
        <f aca="false">IF(AC226="","",RANK(AC226,$AC$2:$AC$1780)+COUNTIF($AC$2:AC226,AC226)-1)</f>
        <v>210</v>
      </c>
      <c r="AB226" s="56" t="str">
        <f aca="false">IF(AD226="","",RANK(AD226,$AD$2:$AD$1780)+COUNTIF($AD$2:AD226,AD226)-1)</f>
        <v/>
      </c>
      <c r="AC226" s="32" t="n">
        <f aca="false">IF(AND(F226&gt;0,E226&gt;=Settings!$B$4),J226,"")</f>
        <v>0.0378006872852234</v>
      </c>
      <c r="AD226" s="56" t="str">
        <f aca="false">IF(X226="HIGH RATE",O226,"")</f>
        <v/>
      </c>
    </row>
    <row r="227" customFormat="false" ht="15" hidden="false" customHeight="false" outlineLevel="0" collapsed="false">
      <c r="A227" s="56" t="s">
        <v>711</v>
      </c>
      <c r="B227" s="56" t="s">
        <v>712</v>
      </c>
      <c r="C227" s="56" t="s">
        <v>710</v>
      </c>
      <c r="D227" s="56" t="str">
        <f aca="false">IFERROR(INDEX('Brand Map'!$B$4:$B$124,MATCH(C227,'Brand Map'!$A$4:$A$124,0)),"Other")</f>
        <v>Other (small prefixes)</v>
      </c>
      <c r="E227" s="57" t="n">
        <v>16</v>
      </c>
      <c r="F227" s="57" t="n">
        <v>2</v>
      </c>
      <c r="G227" s="58" t="n">
        <v>1359.2</v>
      </c>
      <c r="H227" s="58" t="n">
        <v>169.9</v>
      </c>
      <c r="I227" s="58" t="n">
        <v>1189.3</v>
      </c>
      <c r="J227" s="32" t="n">
        <f aca="false">IF(E227&gt;0,F227/E227,0)</f>
        <v>0.125</v>
      </c>
      <c r="K227" s="32" t="n">
        <f aca="false">IF(G227&gt;0,H227/G227,0)</f>
        <v>0.125</v>
      </c>
      <c r="L227" s="59" t="n">
        <f aca="false">H227/Settings!$B$16</f>
        <v>0.000339549643257034</v>
      </c>
      <c r="M227" s="59" t="n">
        <f aca="false">H227/Settings!$B$20</f>
        <v>1.31900846048903E-005</v>
      </c>
      <c r="N227" s="60" t="n">
        <f aca="false">E227*Settings!$B$3</f>
        <v>0.495778417277127</v>
      </c>
      <c r="O227" s="60" t="n">
        <f aca="false">IF(E227&gt;0,(F227-N227)/SQRT(E227*Settings!$B$3*(1-Settings!$B$3)),0)</f>
        <v>2.17021627165379</v>
      </c>
      <c r="P227" s="60" t="n">
        <f aca="false">MAX(0,F227-N227)</f>
        <v>1.50422158272287</v>
      </c>
      <c r="Q227" s="32" t="n">
        <f aca="false">(F227+Settings!$B$7*Settings!$B$3)/(E227+Settings!$B$7)</f>
        <v>0.0636866202694481</v>
      </c>
      <c r="R227" s="61" t="n">
        <f aca="false">PERCENTRANK($H$2:$H$1780,H227,6)</f>
        <v>0.816648</v>
      </c>
      <c r="S227" s="61" t="n">
        <f aca="false">PERCENTRANK($Q$2:$Q$1780,Q227,6)</f>
        <v>0.961192</v>
      </c>
      <c r="T227" s="61" t="n">
        <f aca="false">PERCENTRANK($F$2:$F$1780,F227,6)</f>
        <v>0.799775</v>
      </c>
      <c r="U227" s="62" t="n">
        <f aca="false">IF(F227&gt;0,(Settings!$B$8*T227+Settings!$B$9*R227+Settings!$B$10*S227)/SUM(Settings!$B$8:$B$10),0)</f>
        <v>0.859205</v>
      </c>
      <c r="V227" s="56" t="n">
        <f aca="false">IF(U227&gt;0,RANK(U227,$U$2:$U$1780)+COUNTIF($U$2:U227,U227)-1,"")</f>
        <v>226</v>
      </c>
      <c r="W227" s="56" t="str">
        <f aca="false">IF(V227="","",IF(V227&lt;=Settings!$B$11,"1 - Fix first",IF(V227&lt;=Settings!$B$12,"2 - Review","3 - Monitor")))</f>
        <v>3 - Monitor</v>
      </c>
      <c r="X227" s="56" t="str">
        <f aca="false">IF(AND(E227&gt;=Settings!$B$4,F227&gt;=Settings!$B$5,O227&gt;=Settings!$B$6),"HIGH RATE","")</f>
        <v/>
      </c>
      <c r="Y227" s="56" t="n">
        <f aca="false">IF(F227&gt;0,RANK(F227,$F$2:$F$1780)+COUNTIF($F$2:F227,F227)-1,"")</f>
        <v>301</v>
      </c>
      <c r="Z227" s="56" t="n">
        <f aca="false">IF(H227&gt;0,RANK(H227,$H$2:$H$1780)+COUNTIF($H$2:H227,H227)-1,"")</f>
        <v>325</v>
      </c>
      <c r="AA227" s="56" t="str">
        <f aca="false">IF(AC227="","",RANK(AC227,$AC$2:$AC$1780)+COUNTIF($AC$2:AC227,AC227)-1)</f>
        <v/>
      </c>
      <c r="AB227" s="56" t="str">
        <f aca="false">IF(AD227="","",RANK(AD227,$AD$2:$AD$1780)+COUNTIF($AD$2:AD227,AD227)-1)</f>
        <v/>
      </c>
      <c r="AC227" s="56" t="str">
        <f aca="false">IF(AND(F227&gt;0,E227&gt;=Settings!$B$4),J227,"")</f>
        <v/>
      </c>
      <c r="AD227" s="56" t="str">
        <f aca="false">IF(X227="HIGH RATE",O227,"")</f>
        <v/>
      </c>
    </row>
    <row r="228" customFormat="false" ht="15" hidden="false" customHeight="false" outlineLevel="0" collapsed="false">
      <c r="A228" s="56" t="s">
        <v>1184</v>
      </c>
      <c r="B228" s="56" t="s">
        <v>1185</v>
      </c>
      <c r="C228" s="56" t="s">
        <v>51</v>
      </c>
      <c r="D228" s="56" t="str">
        <f aca="false">IFERROR(INDEX('Brand Map'!$B$4:$B$124,MATCH(C228,'Brand Map'!$A$4:$A$124,0)),"Other")</f>
        <v>AU</v>
      </c>
      <c r="E228" s="57" t="n">
        <v>12</v>
      </c>
      <c r="F228" s="57" t="n">
        <v>2</v>
      </c>
      <c r="G228" s="58" t="n">
        <v>886.7</v>
      </c>
      <c r="H228" s="58" t="n">
        <v>152.63</v>
      </c>
      <c r="I228" s="58" t="n">
        <v>726.81</v>
      </c>
      <c r="J228" s="32" t="n">
        <f aca="false">IF(E228&gt;0,F228/E228,0)</f>
        <v>0.166666666666667</v>
      </c>
      <c r="K228" s="32" t="n">
        <f aca="false">IF(G228&gt;0,H228/G228,0)</f>
        <v>0.172132626592985</v>
      </c>
      <c r="L228" s="59" t="n">
        <f aca="false">H228/Settings!$B$16</f>
        <v>0.000305035091526316</v>
      </c>
      <c r="M228" s="59" t="n">
        <f aca="false">H228/Settings!$B$20</f>
        <v>1.18493385123273E-005</v>
      </c>
      <c r="N228" s="60" t="n">
        <f aca="false">E228*Settings!$B$3</f>
        <v>0.371833812957845</v>
      </c>
      <c r="O228" s="60" t="n">
        <f aca="false">IF(E228&gt;0,(F228-N228)/SQRT(E228*Settings!$B$3*(1-Settings!$B$3)),0)</f>
        <v>2.71243474766813</v>
      </c>
      <c r="P228" s="60" t="n">
        <f aca="false">MAX(0,F228-N228)</f>
        <v>1.62816618704215</v>
      </c>
      <c r="Q228" s="32" t="n">
        <f aca="false">(F228+Settings!$B$7*Settings!$B$3)/(E228+Settings!$B$7)</f>
        <v>0.0697520126760622</v>
      </c>
      <c r="R228" s="61" t="n">
        <f aca="false">PERCENTRANK($H$2:$H$1780,H228,6)</f>
        <v>0.804837</v>
      </c>
      <c r="S228" s="61" t="n">
        <f aca="false">PERCENTRANK($Q$2:$Q$1780,Q228,6)</f>
        <v>0.972441</v>
      </c>
      <c r="T228" s="61" t="n">
        <f aca="false">PERCENTRANK($F$2:$F$1780,F228,6)</f>
        <v>0.799775</v>
      </c>
      <c r="U228" s="62" t="n">
        <f aca="false">IF(F228&gt;0,(Settings!$B$8*T228+Settings!$B$9*R228+Settings!$B$10*S228)/SUM(Settings!$B$8:$B$10),0)</f>
        <v>0.859017666666667</v>
      </c>
      <c r="V228" s="56" t="n">
        <f aca="false">IF(U228&gt;0,RANK(U228,$U$2:$U$1780)+COUNTIF($U$2:U228,U228)-1,"")</f>
        <v>227</v>
      </c>
      <c r="W228" s="56" t="str">
        <f aca="false">IF(V228="","",IF(V228&lt;=Settings!$B$11,"1 - Fix first",IF(V228&lt;=Settings!$B$12,"2 - Review","3 - Monitor")))</f>
        <v>3 - Monitor</v>
      </c>
      <c r="X228" s="56" t="str">
        <f aca="false">IF(AND(E228&gt;=Settings!$B$4,F228&gt;=Settings!$B$5,O228&gt;=Settings!$B$6),"HIGH RATE","")</f>
        <v/>
      </c>
      <c r="Y228" s="56" t="n">
        <f aca="false">IF(F228&gt;0,RANK(F228,$F$2:$F$1780)+COUNTIF($F$2:F228,F228)-1,"")</f>
        <v>302</v>
      </c>
      <c r="Z228" s="56" t="n">
        <f aca="false">IF(H228&gt;0,RANK(H228,$H$2:$H$1780)+COUNTIF($H$2:H228,H228)-1,"")</f>
        <v>348</v>
      </c>
      <c r="AA228" s="56" t="str">
        <f aca="false">IF(AC228="","",RANK(AC228,$AC$2:$AC$1780)+COUNTIF($AC$2:AC228,AC228)-1)</f>
        <v/>
      </c>
      <c r="AB228" s="56" t="str">
        <f aca="false">IF(AD228="","",RANK(AD228,$AD$2:$AD$1780)+COUNTIF($AD$2:AD228,AD228)-1)</f>
        <v/>
      </c>
      <c r="AC228" s="56" t="str">
        <f aca="false">IF(AND(F228&gt;0,E228&gt;=Settings!$B$4),J228,"")</f>
        <v/>
      </c>
      <c r="AD228" s="56" t="str">
        <f aca="false">IF(X228="HIGH RATE",O228,"")</f>
        <v/>
      </c>
    </row>
    <row r="229" customFormat="false" ht="15" hidden="false" customHeight="false" outlineLevel="0" collapsed="false">
      <c r="A229" s="56" t="s">
        <v>1186</v>
      </c>
      <c r="B229" s="56" t="s">
        <v>1187</v>
      </c>
      <c r="C229" s="56" t="s">
        <v>51</v>
      </c>
      <c r="D229" s="56" t="str">
        <f aca="false">IFERROR(INDEX('Brand Map'!$B$4:$B$124,MATCH(C229,'Brand Map'!$A$4:$A$124,0)),"Other")</f>
        <v>AU</v>
      </c>
      <c r="E229" s="57" t="n">
        <v>97</v>
      </c>
      <c r="F229" s="57" t="n">
        <v>4</v>
      </c>
      <c r="G229" s="58" t="n">
        <v>12075.83</v>
      </c>
      <c r="H229" s="58" t="n">
        <v>473.57</v>
      </c>
      <c r="I229" s="58" t="n">
        <v>11124.48</v>
      </c>
      <c r="J229" s="32" t="n">
        <f aca="false">IF(E229&gt;0,F229/E229,0)</f>
        <v>0.0412371134020619</v>
      </c>
      <c r="K229" s="32" t="n">
        <f aca="false">IF(G229&gt;0,H229/G229,0)</f>
        <v>0.0392163520023054</v>
      </c>
      <c r="L229" s="59" t="n">
        <f aca="false">H229/Settings!$B$16</f>
        <v>0.000946442169259761</v>
      </c>
      <c r="M229" s="59" t="n">
        <f aca="false">H229/Settings!$B$20</f>
        <v>3.67653229331247E-005</v>
      </c>
      <c r="N229" s="60" t="n">
        <f aca="false">E229*Settings!$B$3</f>
        <v>3.00565665474258</v>
      </c>
      <c r="O229" s="60" t="n">
        <f aca="false">IF(E229&gt;0,(F229-N229)/SQRT(E229*Settings!$B$3*(1-Settings!$B$3)),0)</f>
        <v>0.582641876141715</v>
      </c>
      <c r="P229" s="60" t="n">
        <f aca="false">MAX(0,F229-N229)</f>
        <v>0.994343345257419</v>
      </c>
      <c r="Q229" s="32" t="n">
        <f aca="false">(F229+Settings!$B$7*Settings!$B$3)/(E229+Settings!$B$7)</f>
        <v>0.0388156262393277</v>
      </c>
      <c r="R229" s="61" t="n">
        <f aca="false">PERCENTRANK($H$2:$H$1780,H229,6)</f>
        <v>0.90045</v>
      </c>
      <c r="S229" s="61" t="n">
        <f aca="false">PERCENTRANK($Q$2:$Q$1780,Q229,6)</f>
        <v>0.8009</v>
      </c>
      <c r="T229" s="61" t="n">
        <f aca="false">PERCENTRANK($F$2:$F$1780,F229,6)</f>
        <v>0.871766</v>
      </c>
      <c r="U229" s="62" t="n">
        <f aca="false">IF(F229&gt;0,(Settings!$B$8*T229+Settings!$B$9*R229+Settings!$B$10*S229)/SUM(Settings!$B$8:$B$10),0)</f>
        <v>0.857705333333333</v>
      </c>
      <c r="V229" s="56" t="n">
        <f aca="false">IF(U229&gt;0,RANK(U229,$U$2:$U$1780)+COUNTIF($U$2:U229,U229)-1,"")</f>
        <v>228</v>
      </c>
      <c r="W229" s="56" t="str">
        <f aca="false">IF(V229="","",IF(V229&lt;=Settings!$B$11,"1 - Fix first",IF(V229&lt;=Settings!$B$12,"2 - Review","3 - Monitor")))</f>
        <v>3 - Monitor</v>
      </c>
      <c r="X229" s="56" t="str">
        <f aca="false">IF(AND(E229&gt;=Settings!$B$4,F229&gt;=Settings!$B$5,O229&gt;=Settings!$B$6),"HIGH RATE","")</f>
        <v/>
      </c>
      <c r="Y229" s="56" t="n">
        <f aca="false">IF(F229&gt;0,RANK(F229,$F$2:$F$1780)+COUNTIF($F$2:F229,F229)-1,"")</f>
        <v>215</v>
      </c>
      <c r="Z229" s="56" t="n">
        <f aca="false">IF(H229&gt;0,RANK(H229,$H$2:$H$1780)+COUNTIF($H$2:H229,H229)-1,"")</f>
        <v>178</v>
      </c>
      <c r="AA229" s="56" t="n">
        <f aca="false">IF(AC229="","",RANK(AC229,$AC$2:$AC$1780)+COUNTIF($AC$2:AC229,AC229)-1)</f>
        <v>187</v>
      </c>
      <c r="AB229" s="56" t="str">
        <f aca="false">IF(AD229="","",RANK(AD229,$AD$2:$AD$1780)+COUNTIF($AD$2:AD229,AD229)-1)</f>
        <v/>
      </c>
      <c r="AC229" s="32" t="n">
        <f aca="false">IF(AND(F229&gt;0,E229&gt;=Settings!$B$4),J229,"")</f>
        <v>0.0412371134020619</v>
      </c>
      <c r="AD229" s="56" t="str">
        <f aca="false">IF(X229="HIGH RATE",O229,"")</f>
        <v/>
      </c>
    </row>
    <row r="230" customFormat="false" ht="15" hidden="false" customHeight="false" outlineLevel="0" collapsed="false">
      <c r="A230" s="56" t="s">
        <v>1188</v>
      </c>
      <c r="B230" s="56" t="s">
        <v>1189</v>
      </c>
      <c r="C230" s="56" t="s">
        <v>680</v>
      </c>
      <c r="D230" s="56" t="str">
        <f aca="false">IFERROR(INDEX('Brand Map'!$B$4:$B$124,MATCH(C230,'Brand Map'!$A$4:$A$124,0)),"Other")</f>
        <v>Other (small prefixes)</v>
      </c>
      <c r="E230" s="57" t="n">
        <v>11</v>
      </c>
      <c r="F230" s="57" t="n">
        <v>2</v>
      </c>
      <c r="G230" s="58" t="n">
        <v>769.45</v>
      </c>
      <c r="H230" s="58" t="n">
        <v>139.9</v>
      </c>
      <c r="I230" s="58" t="n">
        <v>629.55</v>
      </c>
      <c r="J230" s="32" t="n">
        <f aca="false">IF(E230&gt;0,F230/E230,0)</f>
        <v>0.181818181818182</v>
      </c>
      <c r="K230" s="32" t="n">
        <f aca="false">IF(G230&gt;0,H230/G230,0)</f>
        <v>0.181818181818182</v>
      </c>
      <c r="L230" s="59" t="n">
        <f aca="false">H230/Settings!$B$16</f>
        <v>0.000279593849862619</v>
      </c>
      <c r="M230" s="59" t="n">
        <f aca="false">H230/Settings!$B$20</f>
        <v>1.08610525969638E-005</v>
      </c>
      <c r="N230" s="60" t="n">
        <f aca="false">E230*Settings!$B$3</f>
        <v>0.340847661878025</v>
      </c>
      <c r="O230" s="60" t="n">
        <f aca="false">IF(E230&gt;0,(F230-N230)/SQRT(E230*Settings!$B$3*(1-Settings!$B$3)),0)</f>
        <v>2.88696229496052</v>
      </c>
      <c r="P230" s="60" t="n">
        <f aca="false">MAX(0,F230-N230)</f>
        <v>1.65915233812198</v>
      </c>
      <c r="Q230" s="32" t="n">
        <f aca="false">(F230+Settings!$B$7*Settings!$B$3)/(E230+Settings!$B$7)</f>
        <v>0.0714532812779174</v>
      </c>
      <c r="R230" s="61" t="n">
        <f aca="false">PERCENTRANK($H$2:$H$1780,H230,6)</f>
        <v>0.794713</v>
      </c>
      <c r="S230" s="61" t="n">
        <f aca="false">PERCENTRANK($Q$2:$Q$1780,Q230,6)</f>
        <v>0.977503</v>
      </c>
      <c r="T230" s="61" t="n">
        <f aca="false">PERCENTRANK($F$2:$F$1780,F230,6)</f>
        <v>0.799775</v>
      </c>
      <c r="U230" s="62" t="n">
        <f aca="false">IF(F230&gt;0,(Settings!$B$8*T230+Settings!$B$9*R230+Settings!$B$10*S230)/SUM(Settings!$B$8:$B$10),0)</f>
        <v>0.857330333333333</v>
      </c>
      <c r="V230" s="56" t="n">
        <f aca="false">IF(U230&gt;0,RANK(U230,$U$2:$U$1780)+COUNTIF($U$2:U230,U230)-1,"")</f>
        <v>229</v>
      </c>
      <c r="W230" s="56" t="str">
        <f aca="false">IF(V230="","",IF(V230&lt;=Settings!$B$11,"1 - Fix first",IF(V230&lt;=Settings!$B$12,"2 - Review","3 - Monitor")))</f>
        <v>3 - Monitor</v>
      </c>
      <c r="X230" s="56" t="str">
        <f aca="false">IF(AND(E230&gt;=Settings!$B$4,F230&gt;=Settings!$B$5,O230&gt;=Settings!$B$6),"HIGH RATE","")</f>
        <v/>
      </c>
      <c r="Y230" s="56" t="n">
        <f aca="false">IF(F230&gt;0,RANK(F230,$F$2:$F$1780)+COUNTIF($F$2:F230,F230)-1,"")</f>
        <v>303</v>
      </c>
      <c r="Z230" s="56" t="n">
        <f aca="false">IF(H230&gt;0,RANK(H230,$H$2:$H$1780)+COUNTIF($H$2:H230,H230)-1,"")</f>
        <v>365</v>
      </c>
      <c r="AA230" s="56" t="str">
        <f aca="false">IF(AC230="","",RANK(AC230,$AC$2:$AC$1780)+COUNTIF($AC$2:AC230,AC230)-1)</f>
        <v/>
      </c>
      <c r="AB230" s="56" t="str">
        <f aca="false">IF(AD230="","",RANK(AD230,$AD$2:$AD$1780)+COUNTIF($AD$2:AD230,AD230)-1)</f>
        <v/>
      </c>
      <c r="AC230" s="56" t="str">
        <f aca="false">IF(AND(F230&gt;0,E230&gt;=Settings!$B$4),J230,"")</f>
        <v/>
      </c>
      <c r="AD230" s="56" t="str">
        <f aca="false">IF(X230="HIGH RATE",O230,"")</f>
        <v/>
      </c>
    </row>
    <row r="231" customFormat="false" ht="15" hidden="false" customHeight="false" outlineLevel="0" collapsed="false">
      <c r="A231" s="56" t="s">
        <v>1190</v>
      </c>
      <c r="B231" s="56" t="s">
        <v>1191</v>
      </c>
      <c r="C231" s="56" t="s">
        <v>51</v>
      </c>
      <c r="D231" s="56" t="str">
        <f aca="false">IFERROR(INDEX('Brand Map'!$B$4:$B$124,MATCH(C231,'Brand Map'!$A$4:$A$124,0)),"Other")</f>
        <v>AU</v>
      </c>
      <c r="E231" s="57" t="n">
        <v>132</v>
      </c>
      <c r="F231" s="57" t="n">
        <v>5</v>
      </c>
      <c r="G231" s="58" t="n">
        <v>11384.57</v>
      </c>
      <c r="H231" s="58" t="n">
        <v>435.46</v>
      </c>
      <c r="I231" s="58" t="n">
        <v>10440.24</v>
      </c>
      <c r="J231" s="32" t="n">
        <f aca="false">IF(E231&gt;0,F231/E231,0)</f>
        <v>0.0378787878787879</v>
      </c>
      <c r="K231" s="32" t="n">
        <f aca="false">IF(G231&gt;0,H231/G231,0)</f>
        <v>0.0382500173480421</v>
      </c>
      <c r="L231" s="59" t="n">
        <f aca="false">H231/Settings!$B$16</f>
        <v>0.00087027832638439</v>
      </c>
      <c r="M231" s="59" t="n">
        <f aca="false">H231/Settings!$B$20</f>
        <v>3.38066759390555E-005</v>
      </c>
      <c r="N231" s="60" t="n">
        <f aca="false">E231*Settings!$B$3</f>
        <v>4.0901719425363</v>
      </c>
      <c r="O231" s="60" t="n">
        <f aca="false">IF(E231&gt;0,(F231-N231)/SQRT(E231*Settings!$B$3*(1-Settings!$B$3)),0)</f>
        <v>0.457007735282802</v>
      </c>
      <c r="P231" s="60" t="n">
        <f aca="false">MAX(0,F231-N231)</f>
        <v>0.909828057463705</v>
      </c>
      <c r="Q231" s="32" t="n">
        <f aca="false">(F231+Settings!$B$7*Settings!$B$3)/(E231+Settings!$B$7)</f>
        <v>0.0366023736567569</v>
      </c>
      <c r="R231" s="61" t="n">
        <f aca="false">PERCENTRANK($H$2:$H$1780,H231,6)</f>
        <v>0.894826</v>
      </c>
      <c r="S231" s="61" t="n">
        <f aca="false">PERCENTRANK($Q$2:$Q$1780,Q231,6)</f>
        <v>0.786839</v>
      </c>
      <c r="T231" s="61" t="n">
        <f aca="false">PERCENTRANK($F$2:$F$1780,F231,6)</f>
        <v>0.889764</v>
      </c>
      <c r="U231" s="62" t="n">
        <f aca="false">IF(F231&gt;0,(Settings!$B$8*T231+Settings!$B$9*R231+Settings!$B$10*S231)/SUM(Settings!$B$8:$B$10),0)</f>
        <v>0.857143</v>
      </c>
      <c r="V231" s="56" t="n">
        <f aca="false">IF(U231&gt;0,RANK(U231,$U$2:$U$1780)+COUNTIF($U$2:U231,U231)-1,"")</f>
        <v>230</v>
      </c>
      <c r="W231" s="56" t="str">
        <f aca="false">IF(V231="","",IF(V231&lt;=Settings!$B$11,"1 - Fix first",IF(V231&lt;=Settings!$B$12,"2 - Review","3 - Monitor")))</f>
        <v>3 - Monitor</v>
      </c>
      <c r="X231" s="56" t="str">
        <f aca="false">IF(AND(E231&gt;=Settings!$B$4,F231&gt;=Settings!$B$5,O231&gt;=Settings!$B$6),"HIGH RATE","")</f>
        <v/>
      </c>
      <c r="Y231" s="56" t="n">
        <f aca="false">IF(F231&gt;0,RANK(F231,$F$2:$F$1780)+COUNTIF($F$2:F231,F231)-1,"")</f>
        <v>195</v>
      </c>
      <c r="Z231" s="56" t="n">
        <f aca="false">IF(H231&gt;0,RANK(H231,$H$2:$H$1780)+COUNTIF($H$2:H231,H231)-1,"")</f>
        <v>188</v>
      </c>
      <c r="AA231" s="56" t="n">
        <f aca="false">IF(AC231="","",RANK(AC231,$AC$2:$AC$1780)+COUNTIF($AC$2:AC231,AC231)-1)</f>
        <v>209</v>
      </c>
      <c r="AB231" s="56" t="str">
        <f aca="false">IF(AD231="","",RANK(AD231,$AD$2:$AD$1780)+COUNTIF($AD$2:AD231,AD231)-1)</f>
        <v/>
      </c>
      <c r="AC231" s="32" t="n">
        <f aca="false">IF(AND(F231&gt;0,E231&gt;=Settings!$B$4),J231,"")</f>
        <v>0.0378787878787879</v>
      </c>
      <c r="AD231" s="56" t="str">
        <f aca="false">IF(X231="HIGH RATE",O231,"")</f>
        <v/>
      </c>
    </row>
    <row r="232" customFormat="false" ht="15" hidden="false" customHeight="false" outlineLevel="0" collapsed="false">
      <c r="A232" s="56" t="s">
        <v>1192</v>
      </c>
      <c r="B232" s="56" t="s">
        <v>1193</v>
      </c>
      <c r="C232" s="56" t="s">
        <v>145</v>
      </c>
      <c r="D232" s="56" t="str">
        <f aca="false">IFERROR(INDEX('Brand Map'!$B$4:$B$124,MATCH(C232,'Brand Map'!$A$4:$A$124,0)),"Other")</f>
        <v>AUDC</v>
      </c>
      <c r="E232" s="57" t="n">
        <v>95</v>
      </c>
      <c r="F232" s="57" t="n">
        <v>4</v>
      </c>
      <c r="G232" s="58" t="n">
        <v>10245.13</v>
      </c>
      <c r="H232" s="58" t="n">
        <v>404.36</v>
      </c>
      <c r="I232" s="58" t="n">
        <v>9459.85</v>
      </c>
      <c r="J232" s="32" t="n">
        <f aca="false">IF(E232&gt;0,F232/E232,0)</f>
        <v>0.0421052631578947</v>
      </c>
      <c r="K232" s="32" t="n">
        <f aca="false">IF(G232&gt;0,H232/G232,0)</f>
        <v>0.0394685084523086</v>
      </c>
      <c r="L232" s="59" t="n">
        <f aca="false">H232/Settings!$B$16</f>
        <v>0.000808124153898847</v>
      </c>
      <c r="M232" s="59" t="n">
        <f aca="false">H232/Settings!$B$20</f>
        <v>3.13922460908384E-005</v>
      </c>
      <c r="N232" s="60" t="n">
        <f aca="false">E232*Settings!$B$3</f>
        <v>2.94368435258294</v>
      </c>
      <c r="O232" s="60" t="n">
        <f aca="false">IF(E232&gt;0,(F232-N232)/SQRT(E232*Settings!$B$3*(1-Settings!$B$3)),0)</f>
        <v>0.625436325391128</v>
      </c>
      <c r="P232" s="60" t="n">
        <f aca="false">MAX(0,F232-N232)</f>
        <v>1.05631564741706</v>
      </c>
      <c r="Q232" s="32" t="n">
        <f aca="false">(F232+Settings!$B$7*Settings!$B$3)/(E232+Settings!$B$7)</f>
        <v>0.0394366762591569</v>
      </c>
      <c r="R232" s="61" t="n">
        <f aca="false">PERCENTRANK($H$2:$H$1780,H232,6)</f>
        <v>0.889764</v>
      </c>
      <c r="S232" s="61" t="n">
        <f aca="false">PERCENTRANK($Q$2:$Q$1780,Q232,6)</f>
        <v>0.809899</v>
      </c>
      <c r="T232" s="61" t="n">
        <f aca="false">PERCENTRANK($F$2:$F$1780,F232,6)</f>
        <v>0.871766</v>
      </c>
      <c r="U232" s="62" t="n">
        <f aca="false">IF(F232&gt;0,(Settings!$B$8*T232+Settings!$B$9*R232+Settings!$B$10*S232)/SUM(Settings!$B$8:$B$10),0)</f>
        <v>0.857143</v>
      </c>
      <c r="V232" s="56" t="n">
        <f aca="false">IF(U232&gt;0,RANK(U232,$U$2:$U$1780)+COUNTIF($U$2:U232,U232)-1,"")</f>
        <v>231</v>
      </c>
      <c r="W232" s="56" t="str">
        <f aca="false">IF(V232="","",IF(V232&lt;=Settings!$B$11,"1 - Fix first",IF(V232&lt;=Settings!$B$12,"2 - Review","3 - Monitor")))</f>
        <v>3 - Monitor</v>
      </c>
      <c r="X232" s="56" t="str">
        <f aca="false">IF(AND(E232&gt;=Settings!$B$4,F232&gt;=Settings!$B$5,O232&gt;=Settings!$B$6),"HIGH RATE","")</f>
        <v/>
      </c>
      <c r="Y232" s="56" t="n">
        <f aca="false">IF(F232&gt;0,RANK(F232,$F$2:$F$1780)+COUNTIF($F$2:F232,F232)-1,"")</f>
        <v>216</v>
      </c>
      <c r="Z232" s="56" t="n">
        <f aca="false">IF(H232&gt;0,RANK(H232,$H$2:$H$1780)+COUNTIF($H$2:H232,H232)-1,"")</f>
        <v>197</v>
      </c>
      <c r="AA232" s="56" t="n">
        <f aca="false">IF(AC232="","",RANK(AC232,$AC$2:$AC$1780)+COUNTIF($AC$2:AC232,AC232)-1)</f>
        <v>177</v>
      </c>
      <c r="AB232" s="56" t="str">
        <f aca="false">IF(AD232="","",RANK(AD232,$AD$2:$AD$1780)+COUNTIF($AD$2:AD232,AD232)-1)</f>
        <v/>
      </c>
      <c r="AC232" s="32" t="n">
        <f aca="false">IF(AND(F232&gt;0,E232&gt;=Settings!$B$4),J232,"")</f>
        <v>0.0421052631578947</v>
      </c>
      <c r="AD232" s="56" t="str">
        <f aca="false">IF(X232="HIGH RATE",O232,"")</f>
        <v/>
      </c>
    </row>
    <row r="233" customFormat="false" ht="15" hidden="false" customHeight="false" outlineLevel="0" collapsed="false">
      <c r="A233" s="56" t="s">
        <v>1194</v>
      </c>
      <c r="B233" s="56" t="s">
        <v>1195</v>
      </c>
      <c r="C233" s="56" t="s">
        <v>51</v>
      </c>
      <c r="D233" s="56" t="str">
        <f aca="false">IFERROR(INDEX('Brand Map'!$B$4:$B$124,MATCH(C233,'Brand Map'!$A$4:$A$124,0)),"Other")</f>
        <v>AU</v>
      </c>
      <c r="E233" s="57" t="n">
        <v>86</v>
      </c>
      <c r="F233" s="57" t="n">
        <v>4</v>
      </c>
      <c r="G233" s="58" t="n">
        <v>7493.98</v>
      </c>
      <c r="H233" s="58" t="n">
        <v>292.79</v>
      </c>
      <c r="I233" s="58" t="n">
        <v>6921.4</v>
      </c>
      <c r="J233" s="32" t="n">
        <f aca="false">IF(E233&gt;0,F233/E233,0)</f>
        <v>0.0465116279069767</v>
      </c>
      <c r="K233" s="32" t="n">
        <f aca="false">IF(G233&gt;0,H233/G233,0)</f>
        <v>0.0390700268749049</v>
      </c>
      <c r="L233" s="59" t="n">
        <f aca="false">H233/Settings!$B$16</f>
        <v>0.00058514855826502</v>
      </c>
      <c r="M233" s="59" t="n">
        <f aca="false">H233/Settings!$B$20</f>
        <v>2.27305760533598E-005</v>
      </c>
      <c r="N233" s="60" t="n">
        <f aca="false">E233*Settings!$B$3</f>
        <v>2.66480899286456</v>
      </c>
      <c r="O233" s="60" t="n">
        <f aca="false">IF(E233&gt;0,(F233-N233)/SQRT(E233*Settings!$B$3*(1-Settings!$B$3)),0)</f>
        <v>0.830893504678129</v>
      </c>
      <c r="P233" s="60" t="n">
        <f aca="false">MAX(0,F233-N233)</f>
        <v>1.33519100713544</v>
      </c>
      <c r="Q233" s="32" t="n">
        <f aca="false">(F233+Settings!$B$7*Settings!$B$3)/(E233+Settings!$B$7)</f>
        <v>0.0424964183827122</v>
      </c>
      <c r="R233" s="61" t="n">
        <f aca="false">PERCENTRANK($H$2:$H$1780,H233,6)</f>
        <v>0.861642</v>
      </c>
      <c r="S233" s="61" t="n">
        <f aca="false">PERCENTRANK($Q$2:$Q$1780,Q233,6)</f>
        <v>0.832396</v>
      </c>
      <c r="T233" s="61" t="n">
        <f aca="false">PERCENTRANK($F$2:$F$1780,F233,6)</f>
        <v>0.871766</v>
      </c>
      <c r="U233" s="62" t="n">
        <f aca="false">IF(F233&gt;0,(Settings!$B$8*T233+Settings!$B$9*R233+Settings!$B$10*S233)/SUM(Settings!$B$8:$B$10),0)</f>
        <v>0.855268</v>
      </c>
      <c r="V233" s="56" t="n">
        <f aca="false">IF(U233&gt;0,RANK(U233,$U$2:$U$1780)+COUNTIF($U$2:U233,U233)-1,"")</f>
        <v>232</v>
      </c>
      <c r="W233" s="56" t="str">
        <f aca="false">IF(V233="","",IF(V233&lt;=Settings!$B$11,"1 - Fix first",IF(V233&lt;=Settings!$B$12,"2 - Review","3 - Monitor")))</f>
        <v>3 - Monitor</v>
      </c>
      <c r="X233" s="56" t="str">
        <f aca="false">IF(AND(E233&gt;=Settings!$B$4,F233&gt;=Settings!$B$5,O233&gt;=Settings!$B$6),"HIGH RATE","")</f>
        <v/>
      </c>
      <c r="Y233" s="56" t="n">
        <f aca="false">IF(F233&gt;0,RANK(F233,$F$2:$F$1780)+COUNTIF($F$2:F233,F233)-1,"")</f>
        <v>217</v>
      </c>
      <c r="Z233" s="56" t="n">
        <f aca="false">IF(H233&gt;0,RANK(H233,$H$2:$H$1780)+COUNTIF($H$2:H233,H233)-1,"")</f>
        <v>247</v>
      </c>
      <c r="AA233" s="56" t="n">
        <f aca="false">IF(AC233="","",RANK(AC233,$AC$2:$AC$1780)+COUNTIF($AC$2:AC233,AC233)-1)</f>
        <v>147</v>
      </c>
      <c r="AB233" s="56" t="str">
        <f aca="false">IF(AD233="","",RANK(AD233,$AD$2:$AD$1780)+COUNTIF($AD$2:AD233,AD233)-1)</f>
        <v/>
      </c>
      <c r="AC233" s="32" t="n">
        <f aca="false">IF(AND(F233&gt;0,E233&gt;=Settings!$B$4),J233,"")</f>
        <v>0.0465116279069767</v>
      </c>
      <c r="AD233" s="56" t="str">
        <f aca="false">IF(X233="HIGH RATE",O233,"")</f>
        <v/>
      </c>
    </row>
    <row r="234" customFormat="false" ht="15" hidden="false" customHeight="false" outlineLevel="0" collapsed="false">
      <c r="A234" s="56" t="s">
        <v>1196</v>
      </c>
      <c r="B234" s="56" t="s">
        <v>1197</v>
      </c>
      <c r="C234" s="56" t="s">
        <v>83</v>
      </c>
      <c r="D234" s="56" t="str">
        <f aca="false">IFERROR(INDEX('Brand Map'!$B$4:$B$124,MATCH(C234,'Brand Map'!$A$4:$A$124,0)),"Other")</f>
        <v>AUDNAT</v>
      </c>
      <c r="E234" s="57" t="n">
        <v>22</v>
      </c>
      <c r="F234" s="57" t="n">
        <v>2</v>
      </c>
      <c r="G234" s="58" t="n">
        <v>2808</v>
      </c>
      <c r="H234" s="58" t="n">
        <v>225.16</v>
      </c>
      <c r="I234" s="58" t="n">
        <v>2185.79</v>
      </c>
      <c r="J234" s="32" t="n">
        <f aca="false">IF(E234&gt;0,F234/E234,0)</f>
        <v>0.0909090909090909</v>
      </c>
      <c r="K234" s="32" t="n">
        <f aca="false">IF(G234&gt;0,H234/G234,0)</f>
        <v>0.0801851851851852</v>
      </c>
      <c r="L234" s="59" t="n">
        <f aca="false">H234/Settings!$B$16</f>
        <v>0.000449988214689545</v>
      </c>
      <c r="M234" s="59" t="n">
        <f aca="false">H234/Settings!$B$20</f>
        <v>1.74801615634909E-005</v>
      </c>
      <c r="N234" s="60" t="n">
        <f aca="false">E234*Settings!$B$3</f>
        <v>0.681695323756049</v>
      </c>
      <c r="O234" s="60" t="n">
        <f aca="false">IF(E234&gt;0,(F234-N234)/SQRT(E234*Settings!$B$3*(1-Settings!$B$3)),0)</f>
        <v>1.62201790216032</v>
      </c>
      <c r="P234" s="60" t="n">
        <f aca="false">MAX(0,F234-N234)</f>
        <v>1.31830467624395</v>
      </c>
      <c r="Q234" s="32" t="n">
        <f aca="false">(F234+Settings!$B$7*Settings!$B$3)/(E234+Settings!$B$7)</f>
        <v>0.0563381640845118</v>
      </c>
      <c r="R234" s="61" t="n">
        <f aca="false">PERCENTRANK($H$2:$H$1780,H234,6)</f>
        <v>0.836333</v>
      </c>
      <c r="S234" s="61" t="n">
        <f aca="false">PERCENTRANK($Q$2:$Q$1780,Q234,6)</f>
        <v>0.928571</v>
      </c>
      <c r="T234" s="61" t="n">
        <f aca="false">PERCENTRANK($F$2:$F$1780,F234,6)</f>
        <v>0.799775</v>
      </c>
      <c r="U234" s="62" t="n">
        <f aca="false">IF(F234&gt;0,(Settings!$B$8*T234+Settings!$B$9*R234+Settings!$B$10*S234)/SUM(Settings!$B$8:$B$10),0)</f>
        <v>0.854893</v>
      </c>
      <c r="V234" s="56" t="n">
        <f aca="false">IF(U234&gt;0,RANK(U234,$U$2:$U$1780)+COUNTIF($U$2:U234,U234)-1,"")</f>
        <v>233</v>
      </c>
      <c r="W234" s="56" t="str">
        <f aca="false">IF(V234="","",IF(V234&lt;=Settings!$B$11,"1 - Fix first",IF(V234&lt;=Settings!$B$12,"2 - Review","3 - Monitor")))</f>
        <v>3 - Monitor</v>
      </c>
      <c r="X234" s="56" t="str">
        <f aca="false">IF(AND(E234&gt;=Settings!$B$4,F234&gt;=Settings!$B$5,O234&gt;=Settings!$B$6),"HIGH RATE","")</f>
        <v/>
      </c>
      <c r="Y234" s="56" t="n">
        <f aca="false">IF(F234&gt;0,RANK(F234,$F$2:$F$1780)+COUNTIF($F$2:F234,F234)-1,"")</f>
        <v>304</v>
      </c>
      <c r="Z234" s="56" t="n">
        <f aca="false">IF(H234&gt;0,RANK(H234,$H$2:$H$1780)+COUNTIF($H$2:H234,H234)-1,"")</f>
        <v>292</v>
      </c>
      <c r="AA234" s="56" t="str">
        <f aca="false">IF(AC234="","",RANK(AC234,$AC$2:$AC$1780)+COUNTIF($AC$2:AC234,AC234)-1)</f>
        <v/>
      </c>
      <c r="AB234" s="56" t="str">
        <f aca="false">IF(AD234="","",RANK(AD234,$AD$2:$AD$1780)+COUNTIF($AD$2:AD234,AD234)-1)</f>
        <v/>
      </c>
      <c r="AC234" s="56" t="str">
        <f aca="false">IF(AND(F234&gt;0,E234&gt;=Settings!$B$4),J234,"")</f>
        <v/>
      </c>
      <c r="AD234" s="56" t="str">
        <f aca="false">IF(X234="HIGH RATE",O234,"")</f>
        <v/>
      </c>
    </row>
    <row r="235" customFormat="false" ht="15" hidden="false" customHeight="false" outlineLevel="0" collapsed="false">
      <c r="A235" s="56" t="s">
        <v>1198</v>
      </c>
      <c r="B235" s="56" t="s">
        <v>1199</v>
      </c>
      <c r="C235" s="56" t="s">
        <v>51</v>
      </c>
      <c r="D235" s="56" t="str">
        <f aca="false">IFERROR(INDEX('Brand Map'!$B$4:$B$124,MATCH(C235,'Brand Map'!$A$4:$A$124,0)),"Other")</f>
        <v>AU</v>
      </c>
      <c r="E235" s="57" t="n">
        <v>97</v>
      </c>
      <c r="F235" s="57" t="n">
        <v>4</v>
      </c>
      <c r="G235" s="58" t="n">
        <v>10661.84</v>
      </c>
      <c r="H235" s="58" t="n">
        <v>392.57</v>
      </c>
      <c r="I235" s="58" t="n">
        <v>9878.27</v>
      </c>
      <c r="J235" s="32" t="n">
        <f aca="false">IF(E235&gt;0,F235/E235,0)</f>
        <v>0.0412371134020619</v>
      </c>
      <c r="K235" s="32" t="n">
        <f aca="false">IF(G235&gt;0,H235/G235,0)</f>
        <v>0.0368200985946141</v>
      </c>
      <c r="L235" s="59" t="n">
        <f aca="false">H235/Settings!$B$16</f>
        <v>0.000784561527094842</v>
      </c>
      <c r="M235" s="59" t="n">
        <f aca="false">H235/Settings!$B$20</f>
        <v>3.04769365117233E-005</v>
      </c>
      <c r="N235" s="60" t="n">
        <f aca="false">E235*Settings!$B$3</f>
        <v>3.00565665474258</v>
      </c>
      <c r="O235" s="60" t="n">
        <f aca="false">IF(E235&gt;0,(F235-N235)/SQRT(E235*Settings!$B$3*(1-Settings!$B$3)),0)</f>
        <v>0.582641876141715</v>
      </c>
      <c r="P235" s="60" t="n">
        <f aca="false">MAX(0,F235-N235)</f>
        <v>0.994343345257419</v>
      </c>
      <c r="Q235" s="32" t="n">
        <f aca="false">(F235+Settings!$B$7*Settings!$B$3)/(E235+Settings!$B$7)</f>
        <v>0.0388156262393277</v>
      </c>
      <c r="R235" s="61" t="n">
        <f aca="false">PERCENTRANK($H$2:$H$1780,H235,6)</f>
        <v>0.888076</v>
      </c>
      <c r="S235" s="61" t="n">
        <f aca="false">PERCENTRANK($Q$2:$Q$1780,Q235,6)</f>
        <v>0.8009</v>
      </c>
      <c r="T235" s="61" t="n">
        <f aca="false">PERCENTRANK($F$2:$F$1780,F235,6)</f>
        <v>0.871766</v>
      </c>
      <c r="U235" s="62" t="n">
        <f aca="false">IF(F235&gt;0,(Settings!$B$8*T235+Settings!$B$9*R235+Settings!$B$10*S235)/SUM(Settings!$B$8:$B$10),0)</f>
        <v>0.853580666666667</v>
      </c>
      <c r="V235" s="56" t="n">
        <f aca="false">IF(U235&gt;0,RANK(U235,$U$2:$U$1780)+COUNTIF($U$2:U235,U235)-1,"")</f>
        <v>234</v>
      </c>
      <c r="W235" s="56" t="str">
        <f aca="false">IF(V235="","",IF(V235&lt;=Settings!$B$11,"1 - Fix first",IF(V235&lt;=Settings!$B$12,"2 - Review","3 - Monitor")))</f>
        <v>3 - Monitor</v>
      </c>
      <c r="X235" s="56" t="str">
        <f aca="false">IF(AND(E235&gt;=Settings!$B$4,F235&gt;=Settings!$B$5,O235&gt;=Settings!$B$6),"HIGH RATE","")</f>
        <v/>
      </c>
      <c r="Y235" s="56" t="n">
        <f aca="false">IF(F235&gt;0,RANK(F235,$F$2:$F$1780)+COUNTIF($F$2:F235,F235)-1,"")</f>
        <v>218</v>
      </c>
      <c r="Z235" s="56" t="n">
        <f aca="false">IF(H235&gt;0,RANK(H235,$H$2:$H$1780)+COUNTIF($H$2:H235,H235)-1,"")</f>
        <v>200</v>
      </c>
      <c r="AA235" s="56" t="n">
        <f aca="false">IF(AC235="","",RANK(AC235,$AC$2:$AC$1780)+COUNTIF($AC$2:AC235,AC235)-1)</f>
        <v>188</v>
      </c>
      <c r="AB235" s="56" t="str">
        <f aca="false">IF(AD235="","",RANK(AD235,$AD$2:$AD$1780)+COUNTIF($AD$2:AD235,AD235)-1)</f>
        <v/>
      </c>
      <c r="AC235" s="32" t="n">
        <f aca="false">IF(AND(F235&gt;0,E235&gt;=Settings!$B$4),J235,"")</f>
        <v>0.0412371134020619</v>
      </c>
      <c r="AD235" s="56" t="str">
        <f aca="false">IF(X235="HIGH RATE",O235,"")</f>
        <v/>
      </c>
    </row>
    <row r="236" customFormat="false" ht="15" hidden="false" customHeight="false" outlineLevel="0" collapsed="false">
      <c r="A236" s="56" t="s">
        <v>1200</v>
      </c>
      <c r="B236" s="56" t="s">
        <v>1201</v>
      </c>
      <c r="C236" s="56" t="s">
        <v>162</v>
      </c>
      <c r="D236" s="56" t="str">
        <f aca="false">IFERROR(INDEX('Brand Map'!$B$4:$B$124,MATCH(C236,'Brand Map'!$A$4:$A$124,0)),"Other")</f>
        <v>GBAU</v>
      </c>
      <c r="E236" s="57" t="n">
        <v>94</v>
      </c>
      <c r="F236" s="57" t="n">
        <v>4</v>
      </c>
      <c r="G236" s="58" t="n">
        <v>8859.05</v>
      </c>
      <c r="H236" s="58" t="n">
        <v>340.59</v>
      </c>
      <c r="I236" s="58" t="n">
        <v>8292.24</v>
      </c>
      <c r="J236" s="32" t="n">
        <f aca="false">IF(E236&gt;0,F236/E236,0)</f>
        <v>0.0425531914893617</v>
      </c>
      <c r="K236" s="32" t="n">
        <f aca="false">IF(G236&gt;0,H236/G236,0)</f>
        <v>0.0384454315078931</v>
      </c>
      <c r="L236" s="59" t="n">
        <f aca="false">H236/Settings!$B$16</f>
        <v>0.000680678122406787</v>
      </c>
      <c r="M236" s="59" t="n">
        <f aca="false">H236/Settings!$B$20</f>
        <v>2.64415003859893E-005</v>
      </c>
      <c r="N236" s="60" t="n">
        <f aca="false">E236*Settings!$B$3</f>
        <v>2.91269820150312</v>
      </c>
      <c r="O236" s="60" t="n">
        <f aca="false">IF(E236&gt;0,(F236-N236)/SQRT(E236*Settings!$B$3*(1-Settings!$B$3)),0)</f>
        <v>0.647198304122241</v>
      </c>
      <c r="P236" s="60" t="n">
        <f aca="false">MAX(0,F236-N236)</f>
        <v>1.08730179849688</v>
      </c>
      <c r="Q236" s="32" t="n">
        <f aca="false">(F236+Settings!$B$7*Settings!$B$3)/(E236+Settings!$B$7)</f>
        <v>0.0397547139709243</v>
      </c>
      <c r="R236" s="61" t="n">
        <f aca="false">PERCENTRANK($H$2:$H$1780,H236,6)</f>
        <v>0.876828</v>
      </c>
      <c r="S236" s="61" t="n">
        <f aca="false">PERCENTRANK($Q$2:$Q$1780,Q236,6)</f>
        <v>0.811586</v>
      </c>
      <c r="T236" s="61" t="n">
        <f aca="false">PERCENTRANK($F$2:$F$1780,F236,6)</f>
        <v>0.871766</v>
      </c>
      <c r="U236" s="62" t="n">
        <f aca="false">IF(F236&gt;0,(Settings!$B$8*T236+Settings!$B$9*R236+Settings!$B$10*S236)/SUM(Settings!$B$8:$B$10),0)</f>
        <v>0.853393333333333</v>
      </c>
      <c r="V236" s="56" t="n">
        <f aca="false">IF(U236&gt;0,RANK(U236,$U$2:$U$1780)+COUNTIF($U$2:U236,U236)-1,"")</f>
        <v>235</v>
      </c>
      <c r="W236" s="56" t="str">
        <f aca="false">IF(V236="","",IF(V236&lt;=Settings!$B$11,"1 - Fix first",IF(V236&lt;=Settings!$B$12,"2 - Review","3 - Monitor")))</f>
        <v>3 - Monitor</v>
      </c>
      <c r="X236" s="56" t="str">
        <f aca="false">IF(AND(E236&gt;=Settings!$B$4,F236&gt;=Settings!$B$5,O236&gt;=Settings!$B$6),"HIGH RATE","")</f>
        <v/>
      </c>
      <c r="Y236" s="56" t="n">
        <f aca="false">IF(F236&gt;0,RANK(F236,$F$2:$F$1780)+COUNTIF($F$2:F236,F236)-1,"")</f>
        <v>219</v>
      </c>
      <c r="Z236" s="56" t="n">
        <f aca="false">IF(H236&gt;0,RANK(H236,$H$2:$H$1780)+COUNTIF($H$2:H236,H236)-1,"")</f>
        <v>220</v>
      </c>
      <c r="AA236" s="56" t="n">
        <f aca="false">IF(AC236="","",RANK(AC236,$AC$2:$AC$1780)+COUNTIF($AC$2:AC236,AC236)-1)</f>
        <v>171</v>
      </c>
      <c r="AB236" s="56" t="str">
        <f aca="false">IF(AD236="","",RANK(AD236,$AD$2:$AD$1780)+COUNTIF($AD$2:AD236,AD236)-1)</f>
        <v/>
      </c>
      <c r="AC236" s="32" t="n">
        <f aca="false">IF(AND(F236&gt;0,E236&gt;=Settings!$B$4),J236,"")</f>
        <v>0.0425531914893617</v>
      </c>
      <c r="AD236" s="56" t="str">
        <f aca="false">IF(X236="HIGH RATE",O236,"")</f>
        <v/>
      </c>
    </row>
    <row r="237" customFormat="false" ht="15" hidden="false" customHeight="false" outlineLevel="0" collapsed="false">
      <c r="A237" s="56" t="s">
        <v>1202</v>
      </c>
      <c r="B237" s="56" t="s">
        <v>1203</v>
      </c>
      <c r="C237" s="56" t="s">
        <v>132</v>
      </c>
      <c r="D237" s="56" t="str">
        <f aca="false">IFERROR(INDEX('Brand Map'!$B$4:$B$124,MATCH(C237,'Brand Map'!$A$4:$A$124,0)),"Other")</f>
        <v>RP</v>
      </c>
      <c r="E237" s="57" t="n">
        <v>439</v>
      </c>
      <c r="F237" s="57" t="n">
        <v>22</v>
      </c>
      <c r="G237" s="58" t="n">
        <v>1583.12</v>
      </c>
      <c r="H237" s="58" t="n">
        <v>74.85</v>
      </c>
      <c r="I237" s="58" t="n">
        <v>1458.43</v>
      </c>
      <c r="J237" s="32" t="n">
        <f aca="false">IF(E237&gt;0,F237/E237,0)</f>
        <v>0.0501138952164009</v>
      </c>
      <c r="K237" s="32" t="n">
        <f aca="false">IF(G237&gt;0,H237/G237,0)</f>
        <v>0.0472800545757744</v>
      </c>
      <c r="L237" s="59" t="n">
        <f aca="false">H237/Settings!$B$16</f>
        <v>0.000149589704519064</v>
      </c>
      <c r="M237" s="59" t="n">
        <f aca="false">H237/Settings!$B$20</f>
        <v>5.81093485977656E-006</v>
      </c>
      <c r="N237" s="60" t="n">
        <f aca="false">E237*Settings!$B$3</f>
        <v>13.6029203240412</v>
      </c>
      <c r="O237" s="60" t="n">
        <f aca="false">IF(E237&gt;0,(F237-N237)/SQRT(E237*Settings!$B$3*(1-Settings!$B$3)),0)</f>
        <v>2.31284860161957</v>
      </c>
      <c r="P237" s="60" t="n">
        <f aca="false">MAX(0,F237-N237)</f>
        <v>8.39707967595884</v>
      </c>
      <c r="Q237" s="32" t="n">
        <f aca="false">(F237+Settings!$B$7*Settings!$B$3)/(E237+Settings!$B$7)</f>
        <v>0.048890372137302</v>
      </c>
      <c r="R237" s="61" t="n">
        <f aca="false">PERCENTRANK($H$2:$H$1780,H237,6)</f>
        <v>0.724972</v>
      </c>
      <c r="S237" s="61" t="n">
        <f aca="false">PERCENTRANK($Q$2:$Q$1780,Q237,6)</f>
        <v>0.878515</v>
      </c>
      <c r="T237" s="61" t="n">
        <f aca="false">PERCENTRANK($F$2:$F$1780,F237,6)</f>
        <v>0.954443</v>
      </c>
      <c r="U237" s="62" t="n">
        <f aca="false">IF(F237&gt;0,(Settings!$B$8*T237+Settings!$B$9*R237+Settings!$B$10*S237)/SUM(Settings!$B$8:$B$10),0)</f>
        <v>0.852643333333333</v>
      </c>
      <c r="V237" s="56" t="n">
        <f aca="false">IF(U237&gt;0,RANK(U237,$U$2:$U$1780)+COUNTIF($U$2:U237,U237)-1,"")</f>
        <v>236</v>
      </c>
      <c r="W237" s="56" t="str">
        <f aca="false">IF(V237="","",IF(V237&lt;=Settings!$B$11,"1 - Fix first",IF(V237&lt;=Settings!$B$12,"2 - Review","3 - Monitor")))</f>
        <v>3 - Monitor</v>
      </c>
      <c r="X237" s="56" t="str">
        <f aca="false">IF(AND(E237&gt;=Settings!$B$4,F237&gt;=Settings!$B$5,O237&gt;=Settings!$B$6),"HIGH RATE","")</f>
        <v/>
      </c>
      <c r="Y237" s="56" t="n">
        <f aca="false">IF(F237&gt;0,RANK(F237,$F$2:$F$1780)+COUNTIF($F$2:F237,F237)-1,"")</f>
        <v>82</v>
      </c>
      <c r="Z237" s="56" t="n">
        <f aca="false">IF(H237&gt;0,RANK(H237,$H$2:$H$1780)+COUNTIF($H$2:H237,H237)-1,"")</f>
        <v>490</v>
      </c>
      <c r="AA237" s="56" t="n">
        <f aca="false">IF(AC237="","",RANK(AC237,$AC$2:$AC$1780)+COUNTIF($AC$2:AC237,AC237)-1)</f>
        <v>123</v>
      </c>
      <c r="AB237" s="56" t="str">
        <f aca="false">IF(AD237="","",RANK(AD237,$AD$2:$AD$1780)+COUNTIF($AD$2:AD237,AD237)-1)</f>
        <v/>
      </c>
      <c r="AC237" s="32" t="n">
        <f aca="false">IF(AND(F237&gt;0,E237&gt;=Settings!$B$4),J237,"")</f>
        <v>0.0501138952164009</v>
      </c>
      <c r="AD237" s="56" t="str">
        <f aca="false">IF(X237="HIGH RATE",O237,"")</f>
        <v/>
      </c>
    </row>
    <row r="238" customFormat="false" ht="15" hidden="false" customHeight="false" outlineLevel="0" collapsed="false">
      <c r="A238" s="56" t="s">
        <v>636</v>
      </c>
      <c r="B238" s="56" t="s">
        <v>637</v>
      </c>
      <c r="C238" s="56" t="s">
        <v>635</v>
      </c>
      <c r="D238" s="56" t="str">
        <f aca="false">IFERROR(INDEX('Brand Map'!$B$4:$B$124,MATCH(C238,'Brand Map'!$A$4:$A$124,0)),"Other")</f>
        <v>Other (small prefixes)</v>
      </c>
      <c r="E238" s="57" t="n">
        <v>66</v>
      </c>
      <c r="F238" s="57" t="n">
        <v>3</v>
      </c>
      <c r="G238" s="58" t="n">
        <v>9995.98</v>
      </c>
      <c r="H238" s="58" t="n">
        <v>441.69</v>
      </c>
      <c r="I238" s="58" t="n">
        <v>9447.72</v>
      </c>
      <c r="J238" s="32" t="n">
        <f aca="false">IF(E238&gt;0,F238/E238,0)</f>
        <v>0.0454545454545455</v>
      </c>
      <c r="K238" s="32" t="n">
        <f aca="false">IF(G238&gt;0,H238/G238,0)</f>
        <v>0.0441867630787577</v>
      </c>
      <c r="L238" s="59" t="n">
        <f aca="false">H238/Settings!$B$16</f>
        <v>0.000882729146145964</v>
      </c>
      <c r="M238" s="59" t="n">
        <f aca="false">H238/Settings!$B$20</f>
        <v>3.42903382527015E-005</v>
      </c>
      <c r="N238" s="60" t="n">
        <f aca="false">E238*Settings!$B$3</f>
        <v>2.04508597126815</v>
      </c>
      <c r="O238" s="60" t="n">
        <f aca="false">IF(E238&gt;0,(F238-N238)/SQRT(E238*Settings!$B$3*(1-Settings!$B$3)),0)</f>
        <v>0.678333861338144</v>
      </c>
      <c r="P238" s="60" t="n">
        <f aca="false">MAX(0,F238-N238)</f>
        <v>0.954914028731853</v>
      </c>
      <c r="Q238" s="32" t="n">
        <f aca="false">(F238+Settings!$B$7*Settings!$B$3)/(E238+Settings!$B$7)</f>
        <v>0.0409331722124439</v>
      </c>
      <c r="R238" s="61" t="n">
        <f aca="false">PERCENTRANK($H$2:$H$1780,H238,6)</f>
        <v>0.895951</v>
      </c>
      <c r="S238" s="61" t="n">
        <f aca="false">PERCENTRANK($Q$2:$Q$1780,Q238,6)</f>
        <v>0.818335</v>
      </c>
      <c r="T238" s="61" t="n">
        <f aca="false">PERCENTRANK($F$2:$F$1780,F238,6)</f>
        <v>0.84252</v>
      </c>
      <c r="U238" s="62" t="n">
        <f aca="false">IF(F238&gt;0,(Settings!$B$8*T238+Settings!$B$9*R238+Settings!$B$10*S238)/SUM(Settings!$B$8:$B$10),0)</f>
        <v>0.852268666666667</v>
      </c>
      <c r="V238" s="56" t="n">
        <f aca="false">IF(U238&gt;0,RANK(U238,$U$2:$U$1780)+COUNTIF($U$2:U238,U238)-1,"")</f>
        <v>237</v>
      </c>
      <c r="W238" s="56" t="str">
        <f aca="false">IF(V238="","",IF(V238&lt;=Settings!$B$11,"1 - Fix first",IF(V238&lt;=Settings!$B$12,"2 - Review","3 - Monitor")))</f>
        <v>3 - Monitor</v>
      </c>
      <c r="X238" s="56" t="str">
        <f aca="false">IF(AND(E238&gt;=Settings!$B$4,F238&gt;=Settings!$B$5,O238&gt;=Settings!$B$6),"HIGH RATE","")</f>
        <v/>
      </c>
      <c r="Y238" s="56" t="n">
        <f aca="false">IF(F238&gt;0,RANK(F238,$F$2:$F$1780)+COUNTIF($F$2:F238,F238)-1,"")</f>
        <v>250</v>
      </c>
      <c r="Z238" s="56" t="n">
        <f aca="false">IF(H238&gt;0,RANK(H238,$H$2:$H$1780)+COUNTIF($H$2:H238,H238)-1,"")</f>
        <v>186</v>
      </c>
      <c r="AA238" s="56" t="n">
        <f aca="false">IF(AC238="","",RANK(AC238,$AC$2:$AC$1780)+COUNTIF($AC$2:AC238,AC238)-1)</f>
        <v>157</v>
      </c>
      <c r="AB238" s="56" t="str">
        <f aca="false">IF(AD238="","",RANK(AD238,$AD$2:$AD$1780)+COUNTIF($AD$2:AD238,AD238)-1)</f>
        <v/>
      </c>
      <c r="AC238" s="32" t="n">
        <f aca="false">IF(AND(F238&gt;0,E238&gt;=Settings!$B$4),J238,"")</f>
        <v>0.0454545454545455</v>
      </c>
      <c r="AD238" s="56" t="str">
        <f aca="false">IF(X238="HIGH RATE",O238,"")</f>
        <v/>
      </c>
    </row>
    <row r="239" customFormat="false" ht="15" hidden="false" customHeight="false" outlineLevel="0" collapsed="false">
      <c r="A239" s="56" t="s">
        <v>1204</v>
      </c>
      <c r="B239" s="56" t="s">
        <v>1205</v>
      </c>
      <c r="C239" s="56" t="s">
        <v>51</v>
      </c>
      <c r="D239" s="56" t="str">
        <f aca="false">IFERROR(INDEX('Brand Map'!$B$4:$B$124,MATCH(C239,'Brand Map'!$A$4:$A$124,0)),"Other")</f>
        <v>AU</v>
      </c>
      <c r="E239" s="57" t="n">
        <v>19</v>
      </c>
      <c r="F239" s="57" t="n">
        <v>2</v>
      </c>
      <c r="G239" s="58" t="n">
        <v>1567.26</v>
      </c>
      <c r="H239" s="58" t="n">
        <v>156.51</v>
      </c>
      <c r="I239" s="58" t="n">
        <v>1317.16</v>
      </c>
      <c r="J239" s="32" t="n">
        <f aca="false">IF(E239&gt;0,F239/E239,0)</f>
        <v>0.105263157894737</v>
      </c>
      <c r="K239" s="32" t="n">
        <f aca="false">IF(G239&gt;0,H239/G239,0)</f>
        <v>0.0998621798552889</v>
      </c>
      <c r="L239" s="59" t="n">
        <f aca="false">H239/Settings!$B$16</f>
        <v>0.00031278937413866</v>
      </c>
      <c r="M239" s="59" t="n">
        <f aca="false">H239/Settings!$B$20</f>
        <v>1.21505599853524E-005</v>
      </c>
      <c r="N239" s="60" t="n">
        <f aca="false">E239*Settings!$B$3</f>
        <v>0.588736870516588</v>
      </c>
      <c r="O239" s="60" t="n">
        <f aca="false">IF(E239&gt;0,(F239-N239)/SQRT(E239*Settings!$B$3*(1-Settings!$B$3)),0)</f>
        <v>1.86845389496372</v>
      </c>
      <c r="P239" s="60" t="n">
        <f aca="false">MAX(0,F239-N239)</f>
        <v>1.41126312948341</v>
      </c>
      <c r="Q239" s="32" t="n">
        <f aca="false">(F239+Settings!$B$7*Settings!$B$3)/(E239+Settings!$B$7)</f>
        <v>0.0597874394366248</v>
      </c>
      <c r="R239" s="61" t="n">
        <f aca="false">PERCENTRANK($H$2:$H$1780,H239,6)</f>
        <v>0.808774</v>
      </c>
      <c r="S239" s="61" t="n">
        <f aca="false">PERCENTRANK($Q$2:$Q$1780,Q239,6)</f>
        <v>0.945444</v>
      </c>
      <c r="T239" s="61" t="n">
        <f aca="false">PERCENTRANK($F$2:$F$1780,F239,6)</f>
        <v>0.799775</v>
      </c>
      <c r="U239" s="62" t="n">
        <f aca="false">IF(F239&gt;0,(Settings!$B$8*T239+Settings!$B$9*R239+Settings!$B$10*S239)/SUM(Settings!$B$8:$B$10),0)</f>
        <v>0.851331</v>
      </c>
      <c r="V239" s="56" t="n">
        <f aca="false">IF(U239&gt;0,RANK(U239,$U$2:$U$1780)+COUNTIF($U$2:U239,U239)-1,"")</f>
        <v>238</v>
      </c>
      <c r="W239" s="56" t="str">
        <f aca="false">IF(V239="","",IF(V239&lt;=Settings!$B$11,"1 - Fix first",IF(V239&lt;=Settings!$B$12,"2 - Review","3 - Monitor")))</f>
        <v>3 - Monitor</v>
      </c>
      <c r="X239" s="56" t="str">
        <f aca="false">IF(AND(E239&gt;=Settings!$B$4,F239&gt;=Settings!$B$5,O239&gt;=Settings!$B$6),"HIGH RATE","")</f>
        <v/>
      </c>
      <c r="Y239" s="56" t="n">
        <f aca="false">IF(F239&gt;0,RANK(F239,$F$2:$F$1780)+COUNTIF($F$2:F239,F239)-1,"")</f>
        <v>305</v>
      </c>
      <c r="Z239" s="56" t="n">
        <f aca="false">IF(H239&gt;0,RANK(H239,$H$2:$H$1780)+COUNTIF($H$2:H239,H239)-1,"")</f>
        <v>341</v>
      </c>
      <c r="AA239" s="56" t="str">
        <f aca="false">IF(AC239="","",RANK(AC239,$AC$2:$AC$1780)+COUNTIF($AC$2:AC239,AC239)-1)</f>
        <v/>
      </c>
      <c r="AB239" s="56" t="str">
        <f aca="false">IF(AD239="","",RANK(AD239,$AD$2:$AD$1780)+COUNTIF($AD$2:AD239,AD239)-1)</f>
        <v/>
      </c>
      <c r="AC239" s="56" t="str">
        <f aca="false">IF(AND(F239&gt;0,E239&gt;=Settings!$B$4),J239,"")</f>
        <v/>
      </c>
      <c r="AD239" s="56" t="str">
        <f aca="false">IF(X239="HIGH RATE",O239,"")</f>
        <v/>
      </c>
    </row>
    <row r="240" customFormat="false" ht="15" hidden="false" customHeight="false" outlineLevel="0" collapsed="false">
      <c r="A240" s="56" t="s">
        <v>1206</v>
      </c>
      <c r="B240" s="56" t="s">
        <v>1207</v>
      </c>
      <c r="C240" s="56" t="s">
        <v>51</v>
      </c>
      <c r="D240" s="56" t="str">
        <f aca="false">IFERROR(INDEX('Brand Map'!$B$4:$B$124,MATCH(C240,'Brand Map'!$A$4:$A$124,0)),"Other")</f>
        <v>AU</v>
      </c>
      <c r="E240" s="57" t="n">
        <v>11</v>
      </c>
      <c r="F240" s="57" t="n">
        <v>2</v>
      </c>
      <c r="G240" s="58" t="n">
        <v>732.24</v>
      </c>
      <c r="H240" s="58" t="n">
        <v>118.1</v>
      </c>
      <c r="I240" s="58" t="n">
        <v>606.88</v>
      </c>
      <c r="J240" s="32" t="n">
        <f aca="false">IF(E240&gt;0,F240/E240,0)</f>
        <v>0.181818181818182</v>
      </c>
      <c r="K240" s="32" t="n">
        <f aca="false">IF(G240&gt;0,H240/G240,0)</f>
        <v>0.161285917185622</v>
      </c>
      <c r="L240" s="59" t="n">
        <f aca="false">H240/Settings!$B$16</f>
        <v>0.000236025973329345</v>
      </c>
      <c r="M240" s="59" t="n">
        <f aca="false">H240/Settings!$B$20</f>
        <v>9.1686226712039E-006</v>
      </c>
      <c r="N240" s="60" t="n">
        <f aca="false">E240*Settings!$B$3</f>
        <v>0.340847661878025</v>
      </c>
      <c r="O240" s="60" t="n">
        <f aca="false">IF(E240&gt;0,(F240-N240)/SQRT(E240*Settings!$B$3*(1-Settings!$B$3)),0)</f>
        <v>2.88696229496052</v>
      </c>
      <c r="P240" s="60" t="n">
        <f aca="false">MAX(0,F240-N240)</f>
        <v>1.65915233812198</v>
      </c>
      <c r="Q240" s="32" t="n">
        <f aca="false">(F240+Settings!$B$7*Settings!$B$3)/(E240+Settings!$B$7)</f>
        <v>0.0714532812779174</v>
      </c>
      <c r="R240" s="61" t="n">
        <f aca="false">PERCENTRANK($H$2:$H$1780,H240,6)</f>
        <v>0.776715</v>
      </c>
      <c r="S240" s="61" t="n">
        <f aca="false">PERCENTRANK($Q$2:$Q$1780,Q240,6)</f>
        <v>0.977503</v>
      </c>
      <c r="T240" s="61" t="n">
        <f aca="false">PERCENTRANK($F$2:$F$1780,F240,6)</f>
        <v>0.799775</v>
      </c>
      <c r="U240" s="62" t="n">
        <f aca="false">IF(F240&gt;0,(Settings!$B$8*T240+Settings!$B$9*R240+Settings!$B$10*S240)/SUM(Settings!$B$8:$B$10),0)</f>
        <v>0.851331</v>
      </c>
      <c r="V240" s="56" t="n">
        <f aca="false">IF(U240&gt;0,RANK(U240,$U$2:$U$1780)+COUNTIF($U$2:U240,U240)-1,"")</f>
        <v>239</v>
      </c>
      <c r="W240" s="56" t="str">
        <f aca="false">IF(V240="","",IF(V240&lt;=Settings!$B$11,"1 - Fix first",IF(V240&lt;=Settings!$B$12,"2 - Review","3 - Monitor")))</f>
        <v>3 - Monitor</v>
      </c>
      <c r="X240" s="56" t="str">
        <f aca="false">IF(AND(E240&gt;=Settings!$B$4,F240&gt;=Settings!$B$5,O240&gt;=Settings!$B$6),"HIGH RATE","")</f>
        <v/>
      </c>
      <c r="Y240" s="56" t="n">
        <f aca="false">IF(F240&gt;0,RANK(F240,$F$2:$F$1780)+COUNTIF($F$2:F240,F240)-1,"")</f>
        <v>306</v>
      </c>
      <c r="Z240" s="56" t="n">
        <f aca="false">IF(H240&gt;0,RANK(H240,$H$2:$H$1780)+COUNTIF($H$2:H240,H240)-1,"")</f>
        <v>398</v>
      </c>
      <c r="AA240" s="56" t="str">
        <f aca="false">IF(AC240="","",RANK(AC240,$AC$2:$AC$1780)+COUNTIF($AC$2:AC240,AC240)-1)</f>
        <v/>
      </c>
      <c r="AB240" s="56" t="str">
        <f aca="false">IF(AD240="","",RANK(AD240,$AD$2:$AD$1780)+COUNTIF($AD$2:AD240,AD240)-1)</f>
        <v/>
      </c>
      <c r="AC240" s="56" t="str">
        <f aca="false">IF(AND(F240&gt;0,E240&gt;=Settings!$B$4),J240,"")</f>
        <v/>
      </c>
      <c r="AD240" s="56" t="str">
        <f aca="false">IF(X240="HIGH RATE",O240,"")</f>
        <v/>
      </c>
    </row>
    <row r="241" customFormat="false" ht="15" hidden="false" customHeight="false" outlineLevel="0" collapsed="false">
      <c r="A241" s="56" t="s">
        <v>1208</v>
      </c>
      <c r="B241" s="56" t="s">
        <v>1209</v>
      </c>
      <c r="C241" s="56" t="s">
        <v>87</v>
      </c>
      <c r="D241" s="56" t="str">
        <f aca="false">IFERROR(INDEX('Brand Map'!$B$4:$B$124,MATCH(C241,'Brand Map'!$A$4:$A$124,0)),"Other")</f>
        <v>FYF</v>
      </c>
      <c r="E241" s="57" t="n">
        <v>89</v>
      </c>
      <c r="F241" s="57" t="n">
        <v>4</v>
      </c>
      <c r="G241" s="58" t="n">
        <v>6225.55</v>
      </c>
      <c r="H241" s="58" t="n">
        <v>279.8</v>
      </c>
      <c r="I241" s="58" t="n">
        <v>5945.75</v>
      </c>
      <c r="J241" s="32" t="n">
        <f aca="false">IF(E241&gt;0,F241/E241,0)</f>
        <v>0.0449438202247191</v>
      </c>
      <c r="K241" s="32" t="n">
        <f aca="false">IF(G241&gt;0,H241/G241,0)</f>
        <v>0.0449438202247191</v>
      </c>
      <c r="L241" s="59" t="n">
        <f aca="false">H241/Settings!$B$16</f>
        <v>0.000559187699725239</v>
      </c>
      <c r="M241" s="59" t="n">
        <f aca="false">H241/Settings!$B$20</f>
        <v>2.17221051939276E-005</v>
      </c>
      <c r="N241" s="60" t="n">
        <f aca="false">E241*Settings!$B$3</f>
        <v>2.75776744610402</v>
      </c>
      <c r="O241" s="60" t="n">
        <f aca="false">IF(E241&gt;0,(F241-N241)/SQRT(E241*Settings!$B$3*(1-Settings!$B$3)),0)</f>
        <v>0.759904635658751</v>
      </c>
      <c r="P241" s="60" t="n">
        <f aca="false">MAX(0,F241-N241)</f>
        <v>1.24223255389598</v>
      </c>
      <c r="Q241" s="32" t="n">
        <f aca="false">(F241+Settings!$B$7*Settings!$B$3)/(E241+Settings!$B$7)</f>
        <v>0.0414250801041564</v>
      </c>
      <c r="R241" s="61" t="n">
        <f aca="false">PERCENTRANK($H$2:$H$1780,H241,6)</f>
        <v>0.85883</v>
      </c>
      <c r="S241" s="61" t="n">
        <f aca="false">PERCENTRANK($Q$2:$Q$1780,Q241,6)</f>
        <v>0.822272</v>
      </c>
      <c r="T241" s="61" t="n">
        <f aca="false">PERCENTRANK($F$2:$F$1780,F241,6)</f>
        <v>0.871766</v>
      </c>
      <c r="U241" s="62" t="n">
        <f aca="false">IF(F241&gt;0,(Settings!$B$8*T241+Settings!$B$9*R241+Settings!$B$10*S241)/SUM(Settings!$B$8:$B$10),0)</f>
        <v>0.850956</v>
      </c>
      <c r="V241" s="56" t="n">
        <f aca="false">IF(U241&gt;0,RANK(U241,$U$2:$U$1780)+COUNTIF($U$2:U241,U241)-1,"")</f>
        <v>240</v>
      </c>
      <c r="W241" s="56" t="str">
        <f aca="false">IF(V241="","",IF(V241&lt;=Settings!$B$11,"1 - Fix first",IF(V241&lt;=Settings!$B$12,"2 - Review","3 - Monitor")))</f>
        <v>3 - Monitor</v>
      </c>
      <c r="X241" s="56" t="str">
        <f aca="false">IF(AND(E241&gt;=Settings!$B$4,F241&gt;=Settings!$B$5,O241&gt;=Settings!$B$6),"HIGH RATE","")</f>
        <v/>
      </c>
      <c r="Y241" s="56" t="n">
        <f aca="false">IF(F241&gt;0,RANK(F241,$F$2:$F$1780)+COUNTIF($F$2:F241,F241)-1,"")</f>
        <v>220</v>
      </c>
      <c r="Z241" s="56" t="n">
        <f aca="false">IF(H241&gt;0,RANK(H241,$H$2:$H$1780)+COUNTIF($H$2:H241,H241)-1,"")</f>
        <v>252</v>
      </c>
      <c r="AA241" s="56" t="n">
        <f aca="false">IF(AC241="","",RANK(AC241,$AC$2:$AC$1780)+COUNTIF($AC$2:AC241,AC241)-1)</f>
        <v>160</v>
      </c>
      <c r="AB241" s="56" t="str">
        <f aca="false">IF(AD241="","",RANK(AD241,$AD$2:$AD$1780)+COUNTIF($AD$2:AD241,AD241)-1)</f>
        <v/>
      </c>
      <c r="AC241" s="32" t="n">
        <f aca="false">IF(AND(F241&gt;0,E241&gt;=Settings!$B$4),J241,"")</f>
        <v>0.0449438202247191</v>
      </c>
      <c r="AD241" s="56" t="str">
        <f aca="false">IF(X241="HIGH RATE",O241,"")</f>
        <v/>
      </c>
    </row>
    <row r="242" customFormat="false" ht="15" hidden="false" customHeight="false" outlineLevel="0" collapsed="false">
      <c r="A242" s="56" t="s">
        <v>1210</v>
      </c>
      <c r="B242" s="56" t="s">
        <v>1211</v>
      </c>
      <c r="C242" s="56" t="s">
        <v>51</v>
      </c>
      <c r="D242" s="56" t="str">
        <f aca="false">IFERROR(INDEX('Brand Map'!$B$4:$B$124,MATCH(C242,'Brand Map'!$A$4:$A$124,0)),"Other")</f>
        <v>AU</v>
      </c>
      <c r="E242" s="57" t="n">
        <v>100</v>
      </c>
      <c r="F242" s="57" t="n">
        <v>4</v>
      </c>
      <c r="G242" s="58" t="n">
        <v>10592</v>
      </c>
      <c r="H242" s="58" t="n">
        <v>376.88</v>
      </c>
      <c r="I242" s="58" t="n">
        <v>9784.59</v>
      </c>
      <c r="J242" s="32" t="n">
        <f aca="false">IF(E242&gt;0,F242/E242,0)</f>
        <v>0.04</v>
      </c>
      <c r="K242" s="32" t="n">
        <f aca="false">IF(G242&gt;0,H242/G242,0)</f>
        <v>0.0355815709969789</v>
      </c>
      <c r="L242" s="59" t="n">
        <f aca="false">H242/Settings!$B$16</f>
        <v>0.000753204647149564</v>
      </c>
      <c r="M242" s="59" t="n">
        <f aca="false">H242/Settings!$B$20</f>
        <v>2.92588527715777E-005</v>
      </c>
      <c r="N242" s="60" t="n">
        <f aca="false">E242*Settings!$B$3</f>
        <v>3.09861510798204</v>
      </c>
      <c r="O242" s="60" t="n">
        <f aca="false">IF(E242&gt;0,(F242-N242)/SQRT(E242*Settings!$B$3*(1-Settings!$B$3)),0)</f>
        <v>0.520189360968812</v>
      </c>
      <c r="P242" s="60" t="n">
        <f aca="false">MAX(0,F242-N242)</f>
        <v>0.901384892017958</v>
      </c>
      <c r="Q242" s="32" t="n">
        <f aca="false">(F242+Settings!$B$7*Settings!$B$3)/(E242+Settings!$B$7)</f>
        <v>0.0379198810184201</v>
      </c>
      <c r="R242" s="61" t="n">
        <f aca="false">PERCENTRANK($H$2:$H$1780,H242,6)</f>
        <v>0.885264</v>
      </c>
      <c r="S242" s="61" t="n">
        <f aca="false">PERCENTRANK($Q$2:$Q$1780,Q242,6)</f>
        <v>0.794713</v>
      </c>
      <c r="T242" s="61" t="n">
        <f aca="false">PERCENTRANK($F$2:$F$1780,F242,6)</f>
        <v>0.871766</v>
      </c>
      <c r="U242" s="62" t="n">
        <f aca="false">IF(F242&gt;0,(Settings!$B$8*T242+Settings!$B$9*R242+Settings!$B$10*S242)/SUM(Settings!$B$8:$B$10),0)</f>
        <v>0.850581</v>
      </c>
      <c r="V242" s="56" t="n">
        <f aca="false">IF(U242&gt;0,RANK(U242,$U$2:$U$1780)+COUNTIF($U$2:U242,U242)-1,"")</f>
        <v>241</v>
      </c>
      <c r="W242" s="56" t="str">
        <f aca="false">IF(V242="","",IF(V242&lt;=Settings!$B$11,"1 - Fix first",IF(V242&lt;=Settings!$B$12,"2 - Review","3 - Monitor")))</f>
        <v>3 - Monitor</v>
      </c>
      <c r="X242" s="56" t="str">
        <f aca="false">IF(AND(E242&gt;=Settings!$B$4,F242&gt;=Settings!$B$5,O242&gt;=Settings!$B$6),"HIGH RATE","")</f>
        <v/>
      </c>
      <c r="Y242" s="56" t="n">
        <f aca="false">IF(F242&gt;0,RANK(F242,$F$2:$F$1780)+COUNTIF($F$2:F242,F242)-1,"")</f>
        <v>221</v>
      </c>
      <c r="Z242" s="56" t="n">
        <f aca="false">IF(H242&gt;0,RANK(H242,$H$2:$H$1780)+COUNTIF($H$2:H242,H242)-1,"")</f>
        <v>205</v>
      </c>
      <c r="AA242" s="56" t="n">
        <f aca="false">IF(AC242="","",RANK(AC242,$AC$2:$AC$1780)+COUNTIF($AC$2:AC242,AC242)-1)</f>
        <v>196</v>
      </c>
      <c r="AB242" s="56" t="str">
        <f aca="false">IF(AD242="","",RANK(AD242,$AD$2:$AD$1780)+COUNTIF($AD$2:AD242,AD242)-1)</f>
        <v/>
      </c>
      <c r="AC242" s="32" t="n">
        <f aca="false">IF(AND(F242&gt;0,E242&gt;=Settings!$B$4),J242,"")</f>
        <v>0.04</v>
      </c>
      <c r="AD242" s="56" t="str">
        <f aca="false">IF(X242="HIGH RATE",O242,"")</f>
        <v/>
      </c>
    </row>
    <row r="243" customFormat="false" ht="15" hidden="false" customHeight="false" outlineLevel="0" collapsed="false">
      <c r="A243" s="56" t="s">
        <v>1212</v>
      </c>
      <c r="B243" s="56" t="s">
        <v>1213</v>
      </c>
      <c r="C243" s="56" t="s">
        <v>87</v>
      </c>
      <c r="D243" s="56" t="str">
        <f aca="false">IFERROR(INDEX('Brand Map'!$B$4:$B$124,MATCH(C243,'Brand Map'!$A$4:$A$124,0)),"Other")</f>
        <v>FYF</v>
      </c>
      <c r="E243" s="57" t="n">
        <v>64</v>
      </c>
      <c r="F243" s="57" t="n">
        <v>3</v>
      </c>
      <c r="G243" s="58" t="n">
        <v>7676.8</v>
      </c>
      <c r="H243" s="58" t="n">
        <v>359.85</v>
      </c>
      <c r="I243" s="58" t="n">
        <v>7316.95</v>
      </c>
      <c r="J243" s="32" t="n">
        <f aca="false">IF(E243&gt;0,F243/E243,0)</f>
        <v>0.046875</v>
      </c>
      <c r="K243" s="32" t="n">
        <f aca="false">IF(G243&gt;0,H243/G243,0)</f>
        <v>0.046875</v>
      </c>
      <c r="L243" s="59" t="n">
        <f aca="false">H243/Settings!$B$16</f>
        <v>0.000719169741766001</v>
      </c>
      <c r="M243" s="59" t="n">
        <f aca="false">H243/Settings!$B$20</f>
        <v>2.79367389350781E-005</v>
      </c>
      <c r="N243" s="60" t="n">
        <f aca="false">E243*Settings!$B$3</f>
        <v>1.98311366910851</v>
      </c>
      <c r="O243" s="60" t="n">
        <f aca="false">IF(E243&gt;0,(F243-N243)/SQRT(E243*Settings!$B$3*(1-Settings!$B$3)),0)</f>
        <v>0.733556574068122</v>
      </c>
      <c r="P243" s="60" t="n">
        <f aca="false">MAX(0,F243-N243)</f>
        <v>1.01688633089149</v>
      </c>
      <c r="Q243" s="32" t="n">
        <f aca="false">(F243+Settings!$B$7*Settings!$B$3)/(E243+Settings!$B$7)</f>
        <v>0.0418040907701555</v>
      </c>
      <c r="R243" s="61" t="n">
        <f aca="false">PERCENTRANK($H$2:$H$1780,H243,6)</f>
        <v>0.88189</v>
      </c>
      <c r="S243" s="61" t="n">
        <f aca="false">PERCENTRANK($Q$2:$Q$1780,Q243,6)</f>
        <v>0.825084</v>
      </c>
      <c r="T243" s="61" t="n">
        <f aca="false">PERCENTRANK($F$2:$F$1780,F243,6)</f>
        <v>0.84252</v>
      </c>
      <c r="U243" s="62" t="n">
        <f aca="false">IF(F243&gt;0,(Settings!$B$8*T243+Settings!$B$9*R243+Settings!$B$10*S243)/SUM(Settings!$B$8:$B$10),0)</f>
        <v>0.849831333333333</v>
      </c>
      <c r="V243" s="56" t="n">
        <f aca="false">IF(U243&gt;0,RANK(U243,$U$2:$U$1780)+COUNTIF($U$2:U243,U243)-1,"")</f>
        <v>242</v>
      </c>
      <c r="W243" s="56" t="str">
        <f aca="false">IF(V243="","",IF(V243&lt;=Settings!$B$11,"1 - Fix first",IF(V243&lt;=Settings!$B$12,"2 - Review","3 - Monitor")))</f>
        <v>3 - Monitor</v>
      </c>
      <c r="X243" s="56" t="str">
        <f aca="false">IF(AND(E243&gt;=Settings!$B$4,F243&gt;=Settings!$B$5,O243&gt;=Settings!$B$6),"HIGH RATE","")</f>
        <v/>
      </c>
      <c r="Y243" s="56" t="n">
        <f aca="false">IF(F243&gt;0,RANK(F243,$F$2:$F$1780)+COUNTIF($F$2:F243,F243)-1,"")</f>
        <v>251</v>
      </c>
      <c r="Z243" s="56" t="n">
        <f aca="false">IF(H243&gt;0,RANK(H243,$H$2:$H$1780)+COUNTIF($H$2:H243,H243)-1,"")</f>
        <v>211</v>
      </c>
      <c r="AA243" s="56" t="n">
        <f aca="false">IF(AC243="","",RANK(AC243,$AC$2:$AC$1780)+COUNTIF($AC$2:AC243,AC243)-1)</f>
        <v>146</v>
      </c>
      <c r="AB243" s="56" t="str">
        <f aca="false">IF(AD243="","",RANK(AD243,$AD$2:$AD$1780)+COUNTIF($AD$2:AD243,AD243)-1)</f>
        <v/>
      </c>
      <c r="AC243" s="32" t="n">
        <f aca="false">IF(AND(F243&gt;0,E243&gt;=Settings!$B$4),J243,"")</f>
        <v>0.046875</v>
      </c>
      <c r="AD243" s="56" t="str">
        <f aca="false">IF(X243="HIGH RATE",O243,"")</f>
        <v/>
      </c>
    </row>
    <row r="244" customFormat="false" ht="15" hidden="false" customHeight="false" outlineLevel="0" collapsed="false">
      <c r="A244" s="56" t="s">
        <v>356</v>
      </c>
      <c r="B244" s="56" t="s">
        <v>1214</v>
      </c>
      <c r="C244" s="56" t="s">
        <v>87</v>
      </c>
      <c r="D244" s="56" t="str">
        <f aca="false">IFERROR(INDEX('Brand Map'!$B$4:$B$124,MATCH(C244,'Brand Map'!$A$4:$A$124,0)),"Other")</f>
        <v>FYF</v>
      </c>
      <c r="E244" s="57" t="n">
        <v>8</v>
      </c>
      <c r="F244" s="57" t="n">
        <v>2</v>
      </c>
      <c r="G244" s="58" t="n">
        <v>439.6</v>
      </c>
      <c r="H244" s="58" t="n">
        <v>109.9</v>
      </c>
      <c r="I244" s="58" t="n">
        <v>329.7</v>
      </c>
      <c r="J244" s="32" t="n">
        <f aca="false">IF(E244&gt;0,F244/E244,0)</f>
        <v>0.25</v>
      </c>
      <c r="K244" s="32" t="n">
        <f aca="false">IF(G244&gt;0,H244/G244,0)</f>
        <v>0.25</v>
      </c>
      <c r="L244" s="59" t="n">
        <f aca="false">H244/Settings!$B$16</f>
        <v>0.000219638056468205</v>
      </c>
      <c r="M244" s="59" t="n">
        <f aca="false">H244/Settings!$B$20</f>
        <v>8.53202058903733E-006</v>
      </c>
      <c r="N244" s="60" t="n">
        <f aca="false">E244*Settings!$B$3</f>
        <v>0.247889208638563</v>
      </c>
      <c r="O244" s="60" t="n">
        <f aca="false">IF(E244&gt;0,(F244-N244)/SQRT(E244*Settings!$B$3*(1-Settings!$B$3)),0)</f>
        <v>3.5749318077262</v>
      </c>
      <c r="P244" s="60" t="n">
        <f aca="false">MAX(0,F244-N244)</f>
        <v>1.75211079136144</v>
      </c>
      <c r="Q244" s="32" t="n">
        <f aca="false">(F244+Settings!$B$7*Settings!$B$3)/(E244+Settings!$B$7)</f>
        <v>0.0770943297998582</v>
      </c>
      <c r="R244" s="61" t="n">
        <f aca="false">PERCENTRANK($H$2:$H$1780,H244,6)</f>
        <v>0.766029</v>
      </c>
      <c r="S244" s="61" t="n">
        <f aca="false">PERCENTRANK($Q$2:$Q$1780,Q244,6)</f>
        <v>0.98369</v>
      </c>
      <c r="T244" s="61" t="n">
        <f aca="false">PERCENTRANK($F$2:$F$1780,F244,6)</f>
        <v>0.799775</v>
      </c>
      <c r="U244" s="62" t="n">
        <f aca="false">IF(F244&gt;0,(Settings!$B$8*T244+Settings!$B$9*R244+Settings!$B$10*S244)/SUM(Settings!$B$8:$B$10),0)</f>
        <v>0.849831333333333</v>
      </c>
      <c r="V244" s="56" t="n">
        <f aca="false">IF(U244&gt;0,RANK(U244,$U$2:$U$1780)+COUNTIF($U$2:U244,U244)-1,"")</f>
        <v>243</v>
      </c>
      <c r="W244" s="56" t="str">
        <f aca="false">IF(V244="","",IF(V244&lt;=Settings!$B$11,"1 - Fix first",IF(V244&lt;=Settings!$B$12,"2 - Review","3 - Monitor")))</f>
        <v>3 - Monitor</v>
      </c>
      <c r="X244" s="56" t="str">
        <f aca="false">IF(AND(E244&gt;=Settings!$B$4,F244&gt;=Settings!$B$5,O244&gt;=Settings!$B$6),"HIGH RATE","")</f>
        <v/>
      </c>
      <c r="Y244" s="56" t="n">
        <f aca="false">IF(F244&gt;0,RANK(F244,$F$2:$F$1780)+COUNTIF($F$2:F244,F244)-1,"")</f>
        <v>307</v>
      </c>
      <c r="Z244" s="56" t="n">
        <f aca="false">IF(H244&gt;0,RANK(H244,$H$2:$H$1780)+COUNTIF($H$2:H244,H244)-1,"")</f>
        <v>417</v>
      </c>
      <c r="AA244" s="56" t="str">
        <f aca="false">IF(AC244="","",RANK(AC244,$AC$2:$AC$1780)+COUNTIF($AC$2:AC244,AC244)-1)</f>
        <v/>
      </c>
      <c r="AB244" s="56" t="str">
        <f aca="false">IF(AD244="","",RANK(AD244,$AD$2:$AD$1780)+COUNTIF($AD$2:AD244,AD244)-1)</f>
        <v/>
      </c>
      <c r="AC244" s="56" t="str">
        <f aca="false">IF(AND(F244&gt;0,E244&gt;=Settings!$B$4),J244,"")</f>
        <v/>
      </c>
      <c r="AD244" s="56" t="str">
        <f aca="false">IF(X244="HIGH RATE",O244,"")</f>
        <v/>
      </c>
    </row>
    <row r="245" customFormat="false" ht="15" hidden="false" customHeight="false" outlineLevel="0" collapsed="false">
      <c r="A245" s="56" t="s">
        <v>1215</v>
      </c>
      <c r="B245" s="56" t="s">
        <v>1216</v>
      </c>
      <c r="C245" s="56" t="s">
        <v>51</v>
      </c>
      <c r="D245" s="56" t="str">
        <f aca="false">IFERROR(INDEX('Brand Map'!$B$4:$B$124,MATCH(C245,'Brand Map'!$A$4:$A$124,0)),"Other")</f>
        <v>AU</v>
      </c>
      <c r="E245" s="57" t="n">
        <v>141</v>
      </c>
      <c r="F245" s="57" t="n">
        <v>5</v>
      </c>
      <c r="G245" s="58" t="n">
        <v>12052.16</v>
      </c>
      <c r="H245" s="58" t="n">
        <v>389.94</v>
      </c>
      <c r="I245" s="58" t="n">
        <v>11282.24</v>
      </c>
      <c r="J245" s="32" t="n">
        <f aca="false">IF(E245&gt;0,F245/E245,0)</f>
        <v>0.0354609929078014</v>
      </c>
      <c r="K245" s="32" t="n">
        <f aca="false">IF(G245&gt;0,H245/G245,0)</f>
        <v>0.0323543663542469</v>
      </c>
      <c r="L245" s="59" t="n">
        <f aca="false">H245/Settings!$B$16</f>
        <v>0.000779305402540599</v>
      </c>
      <c r="M245" s="59" t="n">
        <f aca="false">H245/Settings!$B$20</f>
        <v>3.02727580390284E-005</v>
      </c>
      <c r="N245" s="60" t="n">
        <f aca="false">E245*Settings!$B$3</f>
        <v>4.36904730225468</v>
      </c>
      <c r="O245" s="60" t="n">
        <f aca="false">IF(E245&gt;0,(F245-N245)/SQRT(E245*Settings!$B$3*(1-Settings!$B$3)),0)</f>
        <v>0.306646799500061</v>
      </c>
      <c r="P245" s="60" t="n">
        <f aca="false">MAX(0,F245-N245)</f>
        <v>0.630952697745321</v>
      </c>
      <c r="Q245" s="32" t="n">
        <f aca="false">(F245+Settings!$B$7*Settings!$B$3)/(E245+Settings!$B$7)</f>
        <v>0.0346759329379802</v>
      </c>
      <c r="R245" s="61" t="n">
        <f aca="false">PERCENTRANK($H$2:$H$1780,H245,6)</f>
        <v>0.887514</v>
      </c>
      <c r="S245" s="61" t="n">
        <f aca="false">PERCENTRANK($Q$2:$Q$1780,Q245,6)</f>
        <v>0.771654</v>
      </c>
      <c r="T245" s="61" t="n">
        <f aca="false">PERCENTRANK($F$2:$F$1780,F245,6)</f>
        <v>0.889764</v>
      </c>
      <c r="U245" s="62" t="n">
        <f aca="false">IF(F245&gt;0,(Settings!$B$8*T245+Settings!$B$9*R245+Settings!$B$10*S245)/SUM(Settings!$B$8:$B$10),0)</f>
        <v>0.849644</v>
      </c>
      <c r="V245" s="56" t="n">
        <f aca="false">IF(U245&gt;0,RANK(U245,$U$2:$U$1780)+COUNTIF($U$2:U245,U245)-1,"")</f>
        <v>244</v>
      </c>
      <c r="W245" s="56" t="str">
        <f aca="false">IF(V245="","",IF(V245&lt;=Settings!$B$11,"1 - Fix first",IF(V245&lt;=Settings!$B$12,"2 - Review","3 - Monitor")))</f>
        <v>3 - Monitor</v>
      </c>
      <c r="X245" s="56" t="str">
        <f aca="false">IF(AND(E245&gt;=Settings!$B$4,F245&gt;=Settings!$B$5,O245&gt;=Settings!$B$6),"HIGH RATE","")</f>
        <v/>
      </c>
      <c r="Y245" s="56" t="n">
        <f aca="false">IF(F245&gt;0,RANK(F245,$F$2:$F$1780)+COUNTIF($F$2:F245,F245)-1,"")</f>
        <v>196</v>
      </c>
      <c r="Z245" s="56" t="n">
        <f aca="false">IF(H245&gt;0,RANK(H245,$H$2:$H$1780)+COUNTIF($H$2:H245,H245)-1,"")</f>
        <v>201</v>
      </c>
      <c r="AA245" s="56" t="n">
        <f aca="false">IF(AC245="","",RANK(AC245,$AC$2:$AC$1780)+COUNTIF($AC$2:AC245,AC245)-1)</f>
        <v>226</v>
      </c>
      <c r="AB245" s="56" t="str">
        <f aca="false">IF(AD245="","",RANK(AD245,$AD$2:$AD$1780)+COUNTIF($AD$2:AD245,AD245)-1)</f>
        <v/>
      </c>
      <c r="AC245" s="32" t="n">
        <f aca="false">IF(AND(F245&gt;0,E245&gt;=Settings!$B$4),J245,"")</f>
        <v>0.0354609929078014</v>
      </c>
      <c r="AD245" s="56" t="str">
        <f aca="false">IF(X245="HIGH RATE",O245,"")</f>
        <v/>
      </c>
    </row>
    <row r="246" customFormat="false" ht="15" hidden="false" customHeight="false" outlineLevel="0" collapsed="false">
      <c r="A246" s="56" t="s">
        <v>1217</v>
      </c>
      <c r="B246" s="56" t="s">
        <v>1218</v>
      </c>
      <c r="C246" s="56" t="s">
        <v>87</v>
      </c>
      <c r="D246" s="56" t="str">
        <f aca="false">IFERROR(INDEX('Brand Map'!$B$4:$B$124,MATCH(C246,'Brand Map'!$A$4:$A$124,0)),"Other")</f>
        <v>FYF</v>
      </c>
      <c r="E246" s="57" t="n">
        <v>26</v>
      </c>
      <c r="F246" s="57" t="n">
        <v>2</v>
      </c>
      <c r="G246" s="58" t="n">
        <v>3118.7</v>
      </c>
      <c r="H246" s="58" t="n">
        <v>239.9</v>
      </c>
      <c r="I246" s="58" t="n">
        <v>2878.8</v>
      </c>
      <c r="J246" s="32" t="n">
        <f aca="false">IF(E246&gt;0,F246/E246,0)</f>
        <v>0.0769230769230769</v>
      </c>
      <c r="K246" s="32" t="n">
        <f aca="false">IF(G246&gt;0,H246/G246,0)</f>
        <v>0.0769230769230769</v>
      </c>
      <c r="L246" s="59" t="n">
        <f aca="false">H246/Settings!$B$16</f>
        <v>0.000479446494510667</v>
      </c>
      <c r="M246" s="59" t="n">
        <f aca="false">H246/Settings!$B$20</f>
        <v>1.86244926233854E-005</v>
      </c>
      <c r="N246" s="60" t="n">
        <f aca="false">E246*Settings!$B$3</f>
        <v>0.805639928075331</v>
      </c>
      <c r="O246" s="60" t="n">
        <f aca="false">IF(E246&gt;0,(F246-N246)/SQRT(E246*Settings!$B$3*(1-Settings!$B$3)),0)</f>
        <v>1.35176062944975</v>
      </c>
      <c r="P246" s="60" t="n">
        <f aca="false">MAX(0,F246-N246)</f>
        <v>1.19436007192467</v>
      </c>
      <c r="Q246" s="32" t="n">
        <f aca="false">(F246+Settings!$B$7*Settings!$B$3)/(E246+Settings!$B$7)</f>
        <v>0.0523140095070467</v>
      </c>
      <c r="R246" s="61" t="n">
        <f aca="false">PERCENTRANK($H$2:$H$1780,H246,6)</f>
        <v>0.844769</v>
      </c>
      <c r="S246" s="61" t="n">
        <f aca="false">PERCENTRANK($Q$2:$Q$1780,Q246,6)</f>
        <v>0.904387</v>
      </c>
      <c r="T246" s="61" t="n">
        <f aca="false">PERCENTRANK($F$2:$F$1780,F246,6)</f>
        <v>0.799775</v>
      </c>
      <c r="U246" s="62" t="n">
        <f aca="false">IF(F246&gt;0,(Settings!$B$8*T246+Settings!$B$9*R246+Settings!$B$10*S246)/SUM(Settings!$B$8:$B$10),0)</f>
        <v>0.849643666666667</v>
      </c>
      <c r="V246" s="56" t="n">
        <f aca="false">IF(U246&gt;0,RANK(U246,$U$2:$U$1780)+COUNTIF($U$2:U246,U246)-1,"")</f>
        <v>245</v>
      </c>
      <c r="W246" s="56" t="str">
        <f aca="false">IF(V246="","",IF(V246&lt;=Settings!$B$11,"1 - Fix first",IF(V246&lt;=Settings!$B$12,"2 - Review","3 - Monitor")))</f>
        <v>3 - Monitor</v>
      </c>
      <c r="X246" s="56" t="str">
        <f aca="false">IF(AND(E246&gt;=Settings!$B$4,F246&gt;=Settings!$B$5,O246&gt;=Settings!$B$6),"HIGH RATE","")</f>
        <v/>
      </c>
      <c r="Y246" s="56" t="n">
        <f aca="false">IF(F246&gt;0,RANK(F246,$F$2:$F$1780)+COUNTIF($F$2:F246,F246)-1,"")</f>
        <v>308</v>
      </c>
      <c r="Z246" s="56" t="n">
        <f aca="false">IF(H246&gt;0,RANK(H246,$H$2:$H$1780)+COUNTIF($H$2:H246,H246)-1,"")</f>
        <v>277</v>
      </c>
      <c r="AA246" s="56" t="str">
        <f aca="false">IF(AC246="","",RANK(AC246,$AC$2:$AC$1780)+COUNTIF($AC$2:AC246,AC246)-1)</f>
        <v/>
      </c>
      <c r="AB246" s="56" t="str">
        <f aca="false">IF(AD246="","",RANK(AD246,$AD$2:$AD$1780)+COUNTIF($AD$2:AD246,AD246)-1)</f>
        <v/>
      </c>
      <c r="AC246" s="56" t="str">
        <f aca="false">IF(AND(F246&gt;0,E246&gt;=Settings!$B$4),J246,"")</f>
        <v/>
      </c>
      <c r="AD246" s="56" t="str">
        <f aca="false">IF(X246="HIGH RATE",O246,"")</f>
        <v/>
      </c>
    </row>
    <row r="247" customFormat="false" ht="15" hidden="false" customHeight="false" outlineLevel="0" collapsed="false">
      <c r="A247" s="56" t="s">
        <v>1219</v>
      </c>
      <c r="B247" s="56" t="s">
        <v>1220</v>
      </c>
      <c r="C247" s="56" t="s">
        <v>117</v>
      </c>
      <c r="D247" s="56" t="str">
        <f aca="false">IFERROR(INDEX('Brand Map'!$B$4:$B$124,MATCH(C247,'Brand Map'!$A$4:$A$124,0)),"Other")</f>
        <v>LF</v>
      </c>
      <c r="E247" s="57" t="n">
        <v>18</v>
      </c>
      <c r="F247" s="57" t="n">
        <v>2</v>
      </c>
      <c r="G247" s="58" t="n">
        <v>1087.67</v>
      </c>
      <c r="H247" s="58" t="n">
        <v>135.69</v>
      </c>
      <c r="I247" s="58" t="n">
        <v>919.92</v>
      </c>
      <c r="J247" s="32" t="n">
        <f aca="false">IF(E247&gt;0,F247/E247,0)</f>
        <v>0.111111111111111</v>
      </c>
      <c r="K247" s="32" t="n">
        <f aca="false">IF(G247&gt;0,H247/G247,0)</f>
        <v>0.12475291218844</v>
      </c>
      <c r="L247" s="59" t="n">
        <f aca="false">H247/Settings!$B$16</f>
        <v>0.000271180053522936</v>
      </c>
      <c r="M247" s="59" t="n">
        <f aca="false">H247/Settings!$B$20</f>
        <v>1.05342117718515E-005</v>
      </c>
      <c r="N247" s="60" t="n">
        <f aca="false">E247*Settings!$B$3</f>
        <v>0.557750719436768</v>
      </c>
      <c r="O247" s="60" t="n">
        <f aca="false">IF(E247&gt;0,(F247-N247)/SQRT(E247*Settings!$B$3*(1-Settings!$B$3)),0)</f>
        <v>1.96180243592527</v>
      </c>
      <c r="P247" s="60" t="n">
        <f aca="false">MAX(0,F247-N247)</f>
        <v>1.44224928056323</v>
      </c>
      <c r="Q247" s="32" t="n">
        <f aca="false">(F247+Settings!$B$7*Settings!$B$3)/(E247+Settings!$B$7)</f>
        <v>0.0610330110915544</v>
      </c>
      <c r="R247" s="61" t="n">
        <f aca="false">PERCENTRANK($H$2:$H$1780,H247,6)</f>
        <v>0.794151</v>
      </c>
      <c r="S247" s="61" t="n">
        <f aca="false">PERCENTRANK($Q$2:$Q$1780,Q247,6)</f>
        <v>0.952756</v>
      </c>
      <c r="T247" s="61" t="n">
        <f aca="false">PERCENTRANK($F$2:$F$1780,F247,6)</f>
        <v>0.799775</v>
      </c>
      <c r="U247" s="62" t="n">
        <f aca="false">IF(F247&gt;0,(Settings!$B$8*T247+Settings!$B$9*R247+Settings!$B$10*S247)/SUM(Settings!$B$8:$B$10),0)</f>
        <v>0.848894</v>
      </c>
      <c r="V247" s="56" t="n">
        <f aca="false">IF(U247&gt;0,RANK(U247,$U$2:$U$1780)+COUNTIF($U$2:U247,U247)-1,"")</f>
        <v>246</v>
      </c>
      <c r="W247" s="56" t="str">
        <f aca="false">IF(V247="","",IF(V247&lt;=Settings!$B$11,"1 - Fix first",IF(V247&lt;=Settings!$B$12,"2 - Review","3 - Monitor")))</f>
        <v>3 - Monitor</v>
      </c>
      <c r="X247" s="56" t="str">
        <f aca="false">IF(AND(E247&gt;=Settings!$B$4,F247&gt;=Settings!$B$5,O247&gt;=Settings!$B$6),"HIGH RATE","")</f>
        <v/>
      </c>
      <c r="Y247" s="56" t="n">
        <f aca="false">IF(F247&gt;0,RANK(F247,$F$2:$F$1780)+COUNTIF($F$2:F247,F247)-1,"")</f>
        <v>309</v>
      </c>
      <c r="Z247" s="56" t="n">
        <f aca="false">IF(H247&gt;0,RANK(H247,$H$2:$H$1780)+COUNTIF($H$2:H247,H247)-1,"")</f>
        <v>367</v>
      </c>
      <c r="AA247" s="56" t="str">
        <f aca="false">IF(AC247="","",RANK(AC247,$AC$2:$AC$1780)+COUNTIF($AC$2:AC247,AC247)-1)</f>
        <v/>
      </c>
      <c r="AB247" s="56" t="str">
        <f aca="false">IF(AD247="","",RANK(AD247,$AD$2:$AD$1780)+COUNTIF($AD$2:AD247,AD247)-1)</f>
        <v/>
      </c>
      <c r="AC247" s="56" t="str">
        <f aca="false">IF(AND(F247&gt;0,E247&gt;=Settings!$B$4),J247,"")</f>
        <v/>
      </c>
      <c r="AD247" s="56" t="str">
        <f aca="false">IF(X247="HIGH RATE",O247,"")</f>
        <v/>
      </c>
    </row>
    <row r="248" customFormat="false" ht="15" hidden="false" customHeight="false" outlineLevel="0" collapsed="false">
      <c r="A248" s="56" t="s">
        <v>282</v>
      </c>
      <c r="B248" s="56" t="s">
        <v>1221</v>
      </c>
      <c r="C248" s="56" t="s">
        <v>67</v>
      </c>
      <c r="D248" s="56" t="str">
        <f aca="false">IFERROR(INDEX('Brand Map'!$B$4:$B$124,MATCH(C248,'Brand Map'!$A$4:$A$124,0)),"Other")</f>
        <v>MJ</v>
      </c>
      <c r="E248" s="57" t="n">
        <v>57</v>
      </c>
      <c r="F248" s="57" t="n">
        <v>3</v>
      </c>
      <c r="G248" s="58" t="n">
        <v>5455.37</v>
      </c>
      <c r="H248" s="58" t="n">
        <v>260.41</v>
      </c>
      <c r="I248" s="58" t="n">
        <v>4967.2</v>
      </c>
      <c r="J248" s="32" t="n">
        <f aca="false">IF(E248&gt;0,F248/E248,0)</f>
        <v>0.0526315789473684</v>
      </c>
      <c r="K248" s="32" t="n">
        <f aca="false">IF(G248&gt;0,H248/G248,0)</f>
        <v>0.0477346174503288</v>
      </c>
      <c r="L248" s="59" t="n">
        <f aca="false">H248/Settings!$B$16</f>
        <v>0.000520436271927982</v>
      </c>
      <c r="M248" s="59" t="n">
        <f aca="false">H248/Settings!$B$20</f>
        <v>2.02167741728045E-005</v>
      </c>
      <c r="N248" s="60" t="n">
        <f aca="false">E248*Settings!$B$3</f>
        <v>1.76621061154976</v>
      </c>
      <c r="O248" s="60" t="n">
        <f aca="false">IF(E248&gt;0,(F248-N248)/SQRT(E248*Settings!$B$3*(1-Settings!$B$3)),0)</f>
        <v>0.943093591671689</v>
      </c>
      <c r="P248" s="60" t="n">
        <f aca="false">MAX(0,F248-N248)</f>
        <v>1.23378938845024</v>
      </c>
      <c r="Q248" s="32" t="n">
        <f aca="false">(F248+Settings!$B$7*Settings!$B$3)/(E248+Settings!$B$7)</f>
        <v>0.0451676383033864</v>
      </c>
      <c r="R248" s="61" t="n">
        <f aca="false">PERCENTRANK($H$2:$H$1780,H248,6)</f>
        <v>0.852081</v>
      </c>
      <c r="S248" s="61" t="n">
        <f aca="false">PERCENTRANK($Q$2:$Q$1780,Q248,6)</f>
        <v>0.847582</v>
      </c>
      <c r="T248" s="61" t="n">
        <f aca="false">PERCENTRANK($F$2:$F$1780,F248,6)</f>
        <v>0.84252</v>
      </c>
      <c r="U248" s="62" t="n">
        <f aca="false">IF(F248&gt;0,(Settings!$B$8*T248+Settings!$B$9*R248+Settings!$B$10*S248)/SUM(Settings!$B$8:$B$10),0)</f>
        <v>0.847394333333333</v>
      </c>
      <c r="V248" s="56" t="n">
        <f aca="false">IF(U248&gt;0,RANK(U248,$U$2:$U$1780)+COUNTIF($U$2:U248,U248)-1,"")</f>
        <v>247</v>
      </c>
      <c r="W248" s="56" t="str">
        <f aca="false">IF(V248="","",IF(V248&lt;=Settings!$B$11,"1 - Fix first",IF(V248&lt;=Settings!$B$12,"2 - Review","3 - Monitor")))</f>
        <v>3 - Monitor</v>
      </c>
      <c r="X248" s="56" t="str">
        <f aca="false">IF(AND(E248&gt;=Settings!$B$4,F248&gt;=Settings!$B$5,O248&gt;=Settings!$B$6),"HIGH RATE","")</f>
        <v/>
      </c>
      <c r="Y248" s="56" t="n">
        <f aca="false">IF(F248&gt;0,RANK(F248,$F$2:$F$1780)+COUNTIF($F$2:F248,F248)-1,"")</f>
        <v>252</v>
      </c>
      <c r="Z248" s="56" t="n">
        <f aca="false">IF(H248&gt;0,RANK(H248,$H$2:$H$1780)+COUNTIF($H$2:H248,H248)-1,"")</f>
        <v>264</v>
      </c>
      <c r="AA248" s="56" t="n">
        <f aca="false">IF(AC248="","",RANK(AC248,$AC$2:$AC$1780)+COUNTIF($AC$2:AC248,AC248)-1)</f>
        <v>108</v>
      </c>
      <c r="AB248" s="56" t="str">
        <f aca="false">IF(AD248="","",RANK(AD248,$AD$2:$AD$1780)+COUNTIF($AD$2:AD248,AD248)-1)</f>
        <v/>
      </c>
      <c r="AC248" s="32" t="n">
        <f aca="false">IF(AND(F248&gt;0,E248&gt;=Settings!$B$4),J248,"")</f>
        <v>0.0526315789473684</v>
      </c>
      <c r="AD248" s="56" t="str">
        <f aca="false">IF(X248="HIGH RATE",O248,"")</f>
        <v/>
      </c>
    </row>
    <row r="249" customFormat="false" ht="15" hidden="false" customHeight="false" outlineLevel="0" collapsed="false">
      <c r="A249" s="56" t="s">
        <v>1222</v>
      </c>
      <c r="B249" s="56" t="s">
        <v>1223</v>
      </c>
      <c r="C249" s="56" t="s">
        <v>87</v>
      </c>
      <c r="D249" s="56" t="str">
        <f aca="false">IFERROR(INDEX('Brand Map'!$B$4:$B$124,MATCH(C249,'Brand Map'!$A$4:$A$124,0)),"Other")</f>
        <v>FYF</v>
      </c>
      <c r="E249" s="57" t="n">
        <v>57</v>
      </c>
      <c r="F249" s="57" t="n">
        <v>3</v>
      </c>
      <c r="G249" s="58" t="n">
        <v>4842.15</v>
      </c>
      <c r="H249" s="58" t="n">
        <v>254.85</v>
      </c>
      <c r="I249" s="58" t="n">
        <v>4587.3</v>
      </c>
      <c r="J249" s="32" t="n">
        <f aca="false">IF(E249&gt;0,F249/E249,0)</f>
        <v>0.0526315789473684</v>
      </c>
      <c r="K249" s="32" t="n">
        <f aca="false">IF(G249&gt;0,H249/G249,0)</f>
        <v>0.0526315789473684</v>
      </c>
      <c r="L249" s="59" t="n">
        <f aca="false">H249/Settings!$B$16</f>
        <v>0.000509324464885551</v>
      </c>
      <c r="M249" s="59" t="n">
        <f aca="false">H249/Settings!$B$20</f>
        <v>1.97851269073354E-005</v>
      </c>
      <c r="N249" s="60" t="n">
        <f aca="false">E249*Settings!$B$3</f>
        <v>1.76621061154976</v>
      </c>
      <c r="O249" s="60" t="n">
        <f aca="false">IF(E249&gt;0,(F249-N249)/SQRT(E249*Settings!$B$3*(1-Settings!$B$3)),0)</f>
        <v>0.943093591671689</v>
      </c>
      <c r="P249" s="60" t="n">
        <f aca="false">MAX(0,F249-N249)</f>
        <v>1.23378938845024</v>
      </c>
      <c r="Q249" s="32" t="n">
        <f aca="false">(F249+Settings!$B$7*Settings!$B$3)/(E249+Settings!$B$7)</f>
        <v>0.0451676383033864</v>
      </c>
      <c r="R249" s="61" t="n">
        <f aca="false">PERCENTRANK($H$2:$H$1780,H249,6)</f>
        <v>0.849269</v>
      </c>
      <c r="S249" s="61" t="n">
        <f aca="false">PERCENTRANK($Q$2:$Q$1780,Q249,6)</f>
        <v>0.847582</v>
      </c>
      <c r="T249" s="61" t="n">
        <f aca="false">PERCENTRANK($F$2:$F$1780,F249,6)</f>
        <v>0.84252</v>
      </c>
      <c r="U249" s="62" t="n">
        <f aca="false">IF(F249&gt;0,(Settings!$B$8*T249+Settings!$B$9*R249+Settings!$B$10*S249)/SUM(Settings!$B$8:$B$10),0)</f>
        <v>0.846457</v>
      </c>
      <c r="V249" s="56" t="n">
        <f aca="false">IF(U249&gt;0,RANK(U249,$U$2:$U$1780)+COUNTIF($U$2:U249,U249)-1,"")</f>
        <v>248</v>
      </c>
      <c r="W249" s="56" t="str">
        <f aca="false">IF(V249="","",IF(V249&lt;=Settings!$B$11,"1 - Fix first",IF(V249&lt;=Settings!$B$12,"2 - Review","3 - Monitor")))</f>
        <v>3 - Monitor</v>
      </c>
      <c r="X249" s="56" t="str">
        <f aca="false">IF(AND(E249&gt;=Settings!$B$4,F249&gt;=Settings!$B$5,O249&gt;=Settings!$B$6),"HIGH RATE","")</f>
        <v/>
      </c>
      <c r="Y249" s="56" t="n">
        <f aca="false">IF(F249&gt;0,RANK(F249,$F$2:$F$1780)+COUNTIF($F$2:F249,F249)-1,"")</f>
        <v>253</v>
      </c>
      <c r="Z249" s="56" t="n">
        <f aca="false">IF(H249&gt;0,RANK(H249,$H$2:$H$1780)+COUNTIF($H$2:H249,H249)-1,"")</f>
        <v>268</v>
      </c>
      <c r="AA249" s="56" t="n">
        <f aca="false">IF(AC249="","",RANK(AC249,$AC$2:$AC$1780)+COUNTIF($AC$2:AC249,AC249)-1)</f>
        <v>109</v>
      </c>
      <c r="AB249" s="56" t="str">
        <f aca="false">IF(AD249="","",RANK(AD249,$AD$2:$AD$1780)+COUNTIF($AD$2:AD249,AD249)-1)</f>
        <v/>
      </c>
      <c r="AC249" s="32" t="n">
        <f aca="false">IF(AND(F249&gt;0,E249&gt;=Settings!$B$4),J249,"")</f>
        <v>0.0526315789473684</v>
      </c>
      <c r="AD249" s="56" t="str">
        <f aca="false">IF(X249="HIGH RATE",O249,"")</f>
        <v/>
      </c>
    </row>
    <row r="250" customFormat="false" ht="15" hidden="false" customHeight="false" outlineLevel="0" collapsed="false">
      <c r="A250" s="56" t="s">
        <v>1224</v>
      </c>
      <c r="B250" s="56" t="s">
        <v>1225</v>
      </c>
      <c r="C250" s="56" t="s">
        <v>75</v>
      </c>
      <c r="D250" s="56" t="str">
        <f aca="false">IFERROR(INDEX('Brand Map'!$B$4:$B$124,MATCH(C250,'Brand Map'!$A$4:$A$124,0)),"Other")</f>
        <v>AURP</v>
      </c>
      <c r="E250" s="57" t="n">
        <v>568</v>
      </c>
      <c r="F250" s="57" t="n">
        <v>20</v>
      </c>
      <c r="G250" s="58" t="n">
        <v>4824.5</v>
      </c>
      <c r="H250" s="58" t="n">
        <v>161.82</v>
      </c>
      <c r="I250" s="58" t="n">
        <v>4543.39</v>
      </c>
      <c r="J250" s="32" t="n">
        <f aca="false">IF(E250&gt;0,F250/E250,0)</f>
        <v>0.0352112676056338</v>
      </c>
      <c r="K250" s="32" t="n">
        <f aca="false">IF(G250&gt;0,H250/G250,0)</f>
        <v>0.0335412996165406</v>
      </c>
      <c r="L250" s="59" t="n">
        <f aca="false">H250/Settings!$B$16</f>
        <v>0.000323401549569471</v>
      </c>
      <c r="M250" s="59" t="n">
        <f aca="false">H250/Settings!$B$20</f>
        <v>1.25627986507554E-005</v>
      </c>
      <c r="N250" s="60" t="n">
        <f aca="false">E250*Settings!$B$3</f>
        <v>17.600133813338</v>
      </c>
      <c r="O250" s="60" t="n">
        <f aca="false">IF(E250&gt;0,(F250-N250)/SQRT(E250*Settings!$B$3*(1-Settings!$B$3)),0)</f>
        <v>0.581117628070282</v>
      </c>
      <c r="P250" s="60" t="n">
        <f aca="false">MAX(0,F250-N250)</f>
        <v>2.399866186662</v>
      </c>
      <c r="Q250" s="32" t="n">
        <f aca="false">(F250+Settings!$B$7*Settings!$B$3)/(E250+Settings!$B$7)</f>
        <v>0.0349993052381181</v>
      </c>
      <c r="R250" s="61" t="n">
        <f aca="false">PERCENTRANK($H$2:$H$1780,H250,6)</f>
        <v>0.811586</v>
      </c>
      <c r="S250" s="61" t="n">
        <f aca="false">PERCENTRANK($Q$2:$Q$1780,Q250,6)</f>
        <v>0.773341</v>
      </c>
      <c r="T250" s="61" t="n">
        <f aca="false">PERCENTRANK($F$2:$F$1780,F250,6)</f>
        <v>0.952193</v>
      </c>
      <c r="U250" s="62" t="n">
        <f aca="false">IF(F250&gt;0,(Settings!$B$8*T250+Settings!$B$9*R250+Settings!$B$10*S250)/SUM(Settings!$B$8:$B$10),0)</f>
        <v>0.845706666666667</v>
      </c>
      <c r="V250" s="56" t="n">
        <f aca="false">IF(U250&gt;0,RANK(U250,$U$2:$U$1780)+COUNTIF($U$2:U250,U250)-1,"")</f>
        <v>249</v>
      </c>
      <c r="W250" s="56" t="str">
        <f aca="false">IF(V250="","",IF(V250&lt;=Settings!$B$11,"1 - Fix first",IF(V250&lt;=Settings!$B$12,"2 - Review","3 - Monitor")))</f>
        <v>3 - Monitor</v>
      </c>
      <c r="X250" s="56" t="str">
        <f aca="false">IF(AND(E250&gt;=Settings!$B$4,F250&gt;=Settings!$B$5,O250&gt;=Settings!$B$6),"HIGH RATE","")</f>
        <v/>
      </c>
      <c r="Y250" s="56" t="n">
        <f aca="false">IF(F250&gt;0,RANK(F250,$F$2:$F$1780)+COUNTIF($F$2:F250,F250)-1,"")</f>
        <v>86</v>
      </c>
      <c r="Z250" s="56" t="n">
        <f aca="false">IF(H250&gt;0,RANK(H250,$H$2:$H$1780)+COUNTIF($H$2:H250,H250)-1,"")</f>
        <v>336</v>
      </c>
      <c r="AA250" s="56" t="n">
        <f aca="false">IF(AC250="","",RANK(AC250,$AC$2:$AC$1780)+COUNTIF($AC$2:AC250,AC250)-1)</f>
        <v>231</v>
      </c>
      <c r="AB250" s="56" t="str">
        <f aca="false">IF(AD250="","",RANK(AD250,$AD$2:$AD$1780)+COUNTIF($AD$2:AD250,AD250)-1)</f>
        <v/>
      </c>
      <c r="AC250" s="32" t="n">
        <f aca="false">IF(AND(F250&gt;0,E250&gt;=Settings!$B$4),J250,"")</f>
        <v>0.0352112676056338</v>
      </c>
      <c r="AD250" s="56" t="str">
        <f aca="false">IF(X250="HIGH RATE",O250,"")</f>
        <v/>
      </c>
    </row>
    <row r="251" customFormat="false" ht="15" hidden="false" customHeight="false" outlineLevel="0" collapsed="false">
      <c r="A251" s="56" t="s">
        <v>1226</v>
      </c>
      <c r="B251" s="56" t="s">
        <v>1227</v>
      </c>
      <c r="C251" s="56" t="s">
        <v>51</v>
      </c>
      <c r="D251" s="56" t="str">
        <f aca="false">IFERROR(INDEX('Brand Map'!$B$4:$B$124,MATCH(C251,'Brand Map'!$A$4:$A$124,0)),"Other")</f>
        <v>AU</v>
      </c>
      <c r="E251" s="57" t="n">
        <v>114</v>
      </c>
      <c r="F251" s="57" t="n">
        <v>4</v>
      </c>
      <c r="G251" s="58" t="n">
        <v>12531.7</v>
      </c>
      <c r="H251" s="58" t="n">
        <v>417.99</v>
      </c>
      <c r="I251" s="58" t="n">
        <v>11724.68</v>
      </c>
      <c r="J251" s="32" t="n">
        <f aca="false">IF(E251&gt;0,F251/E251,0)</f>
        <v>0.0350877192982456</v>
      </c>
      <c r="K251" s="32" t="n">
        <f aca="false">IF(G251&gt;0,H251/G251,0)</f>
        <v>0.0333546127021873</v>
      </c>
      <c r="L251" s="59" t="n">
        <f aca="false">H251/Settings!$B$16</f>
        <v>0.000835364069364376</v>
      </c>
      <c r="M251" s="59" t="n">
        <f aca="false">H251/Settings!$B$20</f>
        <v>3.24504029664396E-005</v>
      </c>
      <c r="N251" s="60" t="n">
        <f aca="false">E251*Settings!$B$3</f>
        <v>3.53242122309953</v>
      </c>
      <c r="O251" s="60" t="n">
        <f aca="false">IF(E251&gt;0,(F251-N251)/SQRT(E251*Settings!$B$3*(1-Settings!$B$3)),0)</f>
        <v>0.252728113713369</v>
      </c>
      <c r="P251" s="60" t="n">
        <f aca="false">MAX(0,F251-N251)</f>
        <v>0.467578776900472</v>
      </c>
      <c r="Q251" s="32" t="n">
        <f aca="false">(F251+Settings!$B$7*Settings!$B$3)/(E251+Settings!$B$7)</f>
        <v>0.034233225919407</v>
      </c>
      <c r="R251" s="61" t="n">
        <f aca="false">PERCENTRANK($H$2:$H$1780,H251,6)</f>
        <v>0.893138</v>
      </c>
      <c r="S251" s="61" t="n">
        <f aca="false">PERCENTRANK($Q$2:$Q$1780,Q251,6)</f>
        <v>0.767717</v>
      </c>
      <c r="T251" s="61" t="n">
        <f aca="false">PERCENTRANK($F$2:$F$1780,F251,6)</f>
        <v>0.871766</v>
      </c>
      <c r="U251" s="62" t="n">
        <f aca="false">IF(F251&gt;0,(Settings!$B$8*T251+Settings!$B$9*R251+Settings!$B$10*S251)/SUM(Settings!$B$8:$B$10),0)</f>
        <v>0.844207</v>
      </c>
      <c r="V251" s="56" t="n">
        <f aca="false">IF(U251&gt;0,RANK(U251,$U$2:$U$1780)+COUNTIF($U$2:U251,U251)-1,"")</f>
        <v>251</v>
      </c>
      <c r="W251" s="56" t="str">
        <f aca="false">IF(V251="","",IF(V251&lt;=Settings!$B$11,"1 - Fix first",IF(V251&lt;=Settings!$B$12,"2 - Review","3 - Monitor")))</f>
        <v>3 - Monitor</v>
      </c>
      <c r="X251" s="56" t="str">
        <f aca="false">IF(AND(E251&gt;=Settings!$B$4,F251&gt;=Settings!$B$5,O251&gt;=Settings!$B$6),"HIGH RATE","")</f>
        <v/>
      </c>
      <c r="Y251" s="56" t="n">
        <f aca="false">IF(F251&gt;0,RANK(F251,$F$2:$F$1780)+COUNTIF($F$2:F251,F251)-1,"")</f>
        <v>222</v>
      </c>
      <c r="Z251" s="56" t="n">
        <f aca="false">IF(H251&gt;0,RANK(H251,$H$2:$H$1780)+COUNTIF($H$2:H251,H251)-1,"")</f>
        <v>191</v>
      </c>
      <c r="AA251" s="56" t="n">
        <f aca="false">IF(AC251="","",RANK(AC251,$AC$2:$AC$1780)+COUNTIF($AC$2:AC251,AC251)-1)</f>
        <v>232</v>
      </c>
      <c r="AB251" s="56" t="str">
        <f aca="false">IF(AD251="","",RANK(AD251,$AD$2:$AD$1780)+COUNTIF($AD$2:AD251,AD251)-1)</f>
        <v/>
      </c>
      <c r="AC251" s="32" t="n">
        <f aca="false">IF(AND(F251&gt;0,E251&gt;=Settings!$B$4),J251,"")</f>
        <v>0.0350877192982456</v>
      </c>
      <c r="AD251" s="56" t="str">
        <f aca="false">IF(X251="HIGH RATE",O251,"")</f>
        <v/>
      </c>
    </row>
    <row r="252" customFormat="false" ht="15" hidden="false" customHeight="false" outlineLevel="0" collapsed="false">
      <c r="A252" s="56" t="s">
        <v>1228</v>
      </c>
      <c r="B252" s="56" t="s">
        <v>1229</v>
      </c>
      <c r="C252" s="56" t="s">
        <v>55</v>
      </c>
      <c r="D252" s="56" t="str">
        <f aca="false">IFERROR(INDEX('Brand Map'!$B$4:$B$124,MATCH(C252,'Brand Map'!$A$4:$A$124,0)),"Other")</f>
        <v>AUMJ</v>
      </c>
      <c r="E252" s="57" t="n">
        <v>56</v>
      </c>
      <c r="F252" s="57" t="n">
        <v>3</v>
      </c>
      <c r="G252" s="58" t="n">
        <v>4249.56</v>
      </c>
      <c r="H252" s="58" t="n">
        <v>229.21</v>
      </c>
      <c r="I252" s="58" t="n">
        <v>3887.62</v>
      </c>
      <c r="J252" s="32" t="n">
        <f aca="false">IF(E252&gt;0,F252/E252,0)</f>
        <v>0.0535714285714286</v>
      </c>
      <c r="K252" s="32" t="n">
        <f aca="false">IF(G252&gt;0,H252/G252,0)</f>
        <v>0.0539373488078766</v>
      </c>
      <c r="L252" s="59" t="n">
        <f aca="false">H252/Settings!$B$16</f>
        <v>0.000458082246797791</v>
      </c>
      <c r="M252" s="59" t="n">
        <f aca="false">H252/Settings!$B$20</f>
        <v>1.77945808845609E-005</v>
      </c>
      <c r="N252" s="60" t="n">
        <f aca="false">E252*Settings!$B$3</f>
        <v>1.73522446046994</v>
      </c>
      <c r="O252" s="60" t="n">
        <f aca="false">IF(E252&gt;0,(F252-N252)/SQRT(E252*Settings!$B$3*(1-Settings!$B$3)),0)</f>
        <v>0.975372788783549</v>
      </c>
      <c r="P252" s="60" t="n">
        <f aca="false">MAX(0,F252-N252)</f>
        <v>1.26477553953006</v>
      </c>
      <c r="Q252" s="32" t="n">
        <f aca="false">(F252+Settings!$B$7*Settings!$B$3)/(E252+Settings!$B$7)</f>
        <v>0.0456928433999374</v>
      </c>
      <c r="R252" s="61" t="n">
        <f aca="false">PERCENTRANK($H$2:$H$1780,H252,6)</f>
        <v>0.839708</v>
      </c>
      <c r="S252" s="61" t="n">
        <f aca="false">PERCENTRANK($Q$2:$Q$1780,Q252,6)</f>
        <v>0.850394</v>
      </c>
      <c r="T252" s="61" t="n">
        <f aca="false">PERCENTRANK($F$2:$F$1780,F252,6)</f>
        <v>0.84252</v>
      </c>
      <c r="U252" s="62" t="n">
        <f aca="false">IF(F252&gt;0,(Settings!$B$8*T252+Settings!$B$9*R252+Settings!$B$10*S252)/SUM(Settings!$B$8:$B$10),0)</f>
        <v>0.844207333333333</v>
      </c>
      <c r="V252" s="56" t="n">
        <f aca="false">IF(U252&gt;0,RANK(U252,$U$2:$U$1780)+COUNTIF($U$2:U252,U252)-1,"")</f>
        <v>250</v>
      </c>
      <c r="W252" s="56" t="str">
        <f aca="false">IF(V252="","",IF(V252&lt;=Settings!$B$11,"1 - Fix first",IF(V252&lt;=Settings!$B$12,"2 - Review","3 - Monitor")))</f>
        <v>3 - Monitor</v>
      </c>
      <c r="X252" s="56" t="str">
        <f aca="false">IF(AND(E252&gt;=Settings!$B$4,F252&gt;=Settings!$B$5,O252&gt;=Settings!$B$6),"HIGH RATE","")</f>
        <v/>
      </c>
      <c r="Y252" s="56" t="n">
        <f aca="false">IF(F252&gt;0,RANK(F252,$F$2:$F$1780)+COUNTIF($F$2:F252,F252)-1,"")</f>
        <v>254</v>
      </c>
      <c r="Z252" s="56" t="n">
        <f aca="false">IF(H252&gt;0,RANK(H252,$H$2:$H$1780)+COUNTIF($H$2:H252,H252)-1,"")</f>
        <v>286</v>
      </c>
      <c r="AA252" s="56" t="n">
        <f aca="false">IF(AC252="","",RANK(AC252,$AC$2:$AC$1780)+COUNTIF($AC$2:AC252,AC252)-1)</f>
        <v>102</v>
      </c>
      <c r="AB252" s="56" t="str">
        <f aca="false">IF(AD252="","",RANK(AD252,$AD$2:$AD$1780)+COUNTIF($AD$2:AD252,AD252)-1)</f>
        <v/>
      </c>
      <c r="AC252" s="32" t="n">
        <f aca="false">IF(AND(F252&gt;0,E252&gt;=Settings!$B$4),J252,"")</f>
        <v>0.0535714285714286</v>
      </c>
      <c r="AD252" s="56" t="str">
        <f aca="false">IF(X252="HIGH RATE",O252,"")</f>
        <v/>
      </c>
    </row>
    <row r="253" customFormat="false" ht="15" hidden="false" customHeight="false" outlineLevel="0" collapsed="false">
      <c r="A253" s="56" t="s">
        <v>1230</v>
      </c>
      <c r="B253" s="56" t="s">
        <v>1231</v>
      </c>
      <c r="C253" s="56" t="s">
        <v>641</v>
      </c>
      <c r="D253" s="56" t="str">
        <f aca="false">IFERROR(INDEX('Brand Map'!$B$4:$B$124,MATCH(C253,'Brand Map'!$A$4:$A$124,0)),"Other")</f>
        <v>Other (small prefixes)</v>
      </c>
      <c r="E253" s="57" t="n">
        <v>27</v>
      </c>
      <c r="F253" s="57" t="n">
        <v>2</v>
      </c>
      <c r="G253" s="58" t="n">
        <v>3598.71</v>
      </c>
      <c r="H253" s="58" t="n">
        <v>228.1</v>
      </c>
      <c r="I253" s="58" t="n">
        <v>3051.25</v>
      </c>
      <c r="J253" s="32" t="n">
        <f aca="false">IF(E253&gt;0,F253/E253,0)</f>
        <v>0.0740740740740741</v>
      </c>
      <c r="K253" s="32" t="n">
        <f aca="false">IF(G253&gt;0,H253/G253,0)</f>
        <v>0.0633838236479183</v>
      </c>
      <c r="L253" s="59" t="n">
        <f aca="false">H253/Settings!$B$16</f>
        <v>0.000455863882442198</v>
      </c>
      <c r="M253" s="59" t="n">
        <f aca="false">H253/Settings!$B$20</f>
        <v>1.77084067002677E-005</v>
      </c>
      <c r="N253" s="60" t="n">
        <f aca="false">E253*Settings!$B$3</f>
        <v>0.836626079155151</v>
      </c>
      <c r="O253" s="60" t="n">
        <f aca="false">IF(E253&gt;0,(F253-N253)/SQRT(E253*Settings!$B$3*(1-Settings!$B$3)),0)</f>
        <v>1.29207770580354</v>
      </c>
      <c r="P253" s="60" t="n">
        <f aca="false">MAX(0,F253-N253)</f>
        <v>1.16337392084485</v>
      </c>
      <c r="Q253" s="32" t="n">
        <f aca="false">(F253+Settings!$B$7*Settings!$B$3)/(E253+Settings!$B$7)</f>
        <v>0.0513962198665722</v>
      </c>
      <c r="R253" s="61" t="n">
        <f aca="false">PERCENTRANK($H$2:$H$1780,H253,6)</f>
        <v>0.839145</v>
      </c>
      <c r="S253" s="61" t="n">
        <f aca="false">PERCENTRANK($Q$2:$Q$1780,Q253,6)</f>
        <v>0.891451</v>
      </c>
      <c r="T253" s="61" t="n">
        <f aca="false">PERCENTRANK($F$2:$F$1780,F253,6)</f>
        <v>0.799775</v>
      </c>
      <c r="U253" s="62" t="n">
        <f aca="false">IF(F253&gt;0,(Settings!$B$8*T253+Settings!$B$9*R253+Settings!$B$10*S253)/SUM(Settings!$B$8:$B$10),0)</f>
        <v>0.843457</v>
      </c>
      <c r="V253" s="56" t="n">
        <f aca="false">IF(U253&gt;0,RANK(U253,$U$2:$U$1780)+COUNTIF($U$2:U253,U253)-1,"")</f>
        <v>252</v>
      </c>
      <c r="W253" s="56" t="str">
        <f aca="false">IF(V253="","",IF(V253&lt;=Settings!$B$11,"1 - Fix first",IF(V253&lt;=Settings!$B$12,"2 - Review","3 - Monitor")))</f>
        <v>3 - Monitor</v>
      </c>
      <c r="X253" s="56" t="str">
        <f aca="false">IF(AND(E253&gt;=Settings!$B$4,F253&gt;=Settings!$B$5,O253&gt;=Settings!$B$6),"HIGH RATE","")</f>
        <v/>
      </c>
      <c r="Y253" s="56" t="n">
        <f aca="false">IF(F253&gt;0,RANK(F253,$F$2:$F$1780)+COUNTIF($F$2:F253,F253)-1,"")</f>
        <v>310</v>
      </c>
      <c r="Z253" s="56" t="n">
        <f aca="false">IF(H253&gt;0,RANK(H253,$H$2:$H$1780)+COUNTIF($H$2:H253,H253)-1,"")</f>
        <v>287</v>
      </c>
      <c r="AA253" s="56" t="str">
        <f aca="false">IF(AC253="","",RANK(AC253,$AC$2:$AC$1780)+COUNTIF($AC$2:AC253,AC253)-1)</f>
        <v/>
      </c>
      <c r="AB253" s="56" t="str">
        <f aca="false">IF(AD253="","",RANK(AD253,$AD$2:$AD$1780)+COUNTIF($AD$2:AD253,AD253)-1)</f>
        <v/>
      </c>
      <c r="AC253" s="56" t="str">
        <f aca="false">IF(AND(F253&gt;0,E253&gt;=Settings!$B$4),J253,"")</f>
        <v/>
      </c>
      <c r="AD253" s="56" t="str">
        <f aca="false">IF(X253="HIGH RATE",O253,"")</f>
        <v/>
      </c>
    </row>
    <row r="254" customFormat="false" ht="15" hidden="false" customHeight="false" outlineLevel="0" collapsed="false">
      <c r="A254" s="56" t="s">
        <v>354</v>
      </c>
      <c r="B254" s="56" t="s">
        <v>1232</v>
      </c>
      <c r="C254" s="56" t="s">
        <v>87</v>
      </c>
      <c r="D254" s="56" t="str">
        <f aca="false">IFERROR(INDEX('Brand Map'!$B$4:$B$124,MATCH(C254,'Brand Map'!$A$4:$A$124,0)),"Other")</f>
        <v>FYF</v>
      </c>
      <c r="E254" s="57" t="n">
        <v>7</v>
      </c>
      <c r="F254" s="57" t="n">
        <v>2</v>
      </c>
      <c r="G254" s="58" t="n">
        <v>314.65</v>
      </c>
      <c r="H254" s="58" t="n">
        <v>89.9</v>
      </c>
      <c r="I254" s="58" t="n">
        <v>224.75</v>
      </c>
      <c r="J254" s="32" t="n">
        <f aca="false">IF(E254&gt;0,F254/E254,0)</f>
        <v>0.285714285714286</v>
      </c>
      <c r="K254" s="32" t="n">
        <f aca="false">IF(G254&gt;0,H254/G254,0)</f>
        <v>0.285714285714286</v>
      </c>
      <c r="L254" s="59" t="n">
        <f aca="false">H254/Settings!$B$16</f>
        <v>0.000179667527538595</v>
      </c>
      <c r="M254" s="59" t="n">
        <f aca="false">H254/Settings!$B$20</f>
        <v>6.97933258375301E-006</v>
      </c>
      <c r="N254" s="60" t="n">
        <f aca="false">E254*Settings!$B$3</f>
        <v>0.216903057558743</v>
      </c>
      <c r="O254" s="60" t="n">
        <f aca="false">IF(E254&gt;0,(F254-N254)/SQRT(E254*Settings!$B$3*(1-Settings!$B$3)),0)</f>
        <v>3.88935089136726</v>
      </c>
      <c r="P254" s="60" t="n">
        <f aca="false">MAX(0,F254-N254)</f>
        <v>1.78309694244126</v>
      </c>
      <c r="Q254" s="32" t="n">
        <f aca="false">(F254+Settings!$B$7*Settings!$B$3)/(E254+Settings!$B$7)</f>
        <v>0.0791779603349895</v>
      </c>
      <c r="R254" s="61" t="n">
        <f aca="false">PERCENTRANK($H$2:$H$1780,H254,6)</f>
        <v>0.743532</v>
      </c>
      <c r="S254" s="61" t="n">
        <f aca="false">PERCENTRANK($Q$2:$Q$1780,Q254,6)</f>
        <v>0.985377</v>
      </c>
      <c r="T254" s="61" t="n">
        <f aca="false">PERCENTRANK($F$2:$F$1780,F254,6)</f>
        <v>0.799775</v>
      </c>
      <c r="U254" s="62" t="n">
        <f aca="false">IF(F254&gt;0,(Settings!$B$8*T254+Settings!$B$9*R254+Settings!$B$10*S254)/SUM(Settings!$B$8:$B$10),0)</f>
        <v>0.842894666666667</v>
      </c>
      <c r="V254" s="56" t="n">
        <f aca="false">IF(U254&gt;0,RANK(U254,$U$2:$U$1780)+COUNTIF($U$2:U254,U254)-1,"")</f>
        <v>253</v>
      </c>
      <c r="W254" s="56" t="str">
        <f aca="false">IF(V254="","",IF(V254&lt;=Settings!$B$11,"1 - Fix first",IF(V254&lt;=Settings!$B$12,"2 - Review","3 - Monitor")))</f>
        <v>3 - Monitor</v>
      </c>
      <c r="X254" s="56" t="str">
        <f aca="false">IF(AND(E254&gt;=Settings!$B$4,F254&gt;=Settings!$B$5,O254&gt;=Settings!$B$6),"HIGH RATE","")</f>
        <v/>
      </c>
      <c r="Y254" s="56" t="n">
        <f aca="false">IF(F254&gt;0,RANK(F254,$F$2:$F$1780)+COUNTIF($F$2:F254,F254)-1,"")</f>
        <v>311</v>
      </c>
      <c r="Z254" s="56" t="n">
        <f aca="false">IF(H254&gt;0,RANK(H254,$H$2:$H$1780)+COUNTIF($H$2:H254,H254)-1,"")</f>
        <v>457</v>
      </c>
      <c r="AA254" s="56" t="str">
        <f aca="false">IF(AC254="","",RANK(AC254,$AC$2:$AC$1780)+COUNTIF($AC$2:AC254,AC254)-1)</f>
        <v/>
      </c>
      <c r="AB254" s="56" t="str">
        <f aca="false">IF(AD254="","",RANK(AD254,$AD$2:$AD$1780)+COUNTIF($AD$2:AD254,AD254)-1)</f>
        <v/>
      </c>
      <c r="AC254" s="56" t="str">
        <f aca="false">IF(AND(F254&gt;0,E254&gt;=Settings!$B$4),J254,"")</f>
        <v/>
      </c>
      <c r="AD254" s="56" t="str">
        <f aca="false">IF(X254="HIGH RATE",O254,"")</f>
        <v/>
      </c>
    </row>
    <row r="255" customFormat="false" ht="15" hidden="false" customHeight="false" outlineLevel="0" collapsed="false">
      <c r="A255" s="56" t="s">
        <v>246</v>
      </c>
      <c r="B255" s="56" t="s">
        <v>1233</v>
      </c>
      <c r="C255" s="56" t="s">
        <v>59</v>
      </c>
      <c r="D255" s="56" t="str">
        <f aca="false">IFERROR(INDEX('Brand Map'!$B$4:$B$124,MATCH(C255,'Brand Map'!$A$4:$A$124,0)),"Other")</f>
        <v>DC</v>
      </c>
      <c r="E255" s="57" t="n">
        <v>72</v>
      </c>
      <c r="F255" s="57" t="n">
        <v>3</v>
      </c>
      <c r="G255" s="58" t="n">
        <v>11480.94</v>
      </c>
      <c r="H255" s="58" t="n">
        <v>374.66</v>
      </c>
      <c r="I255" s="58" t="n">
        <v>10678.04</v>
      </c>
      <c r="J255" s="32" t="n">
        <f aca="false">IF(E255&gt;0,F255/E255,0)</f>
        <v>0.0416666666666667</v>
      </c>
      <c r="K255" s="32" t="n">
        <f aca="false">IF(G255&gt;0,H255/G255,0)</f>
        <v>0.0326332164439497</v>
      </c>
      <c r="L255" s="59" t="n">
        <f aca="false">H255/Settings!$B$16</f>
        <v>0.000748767918438377</v>
      </c>
      <c r="M255" s="59" t="n">
        <f aca="false">H255/Settings!$B$20</f>
        <v>2.90865044029912E-005</v>
      </c>
      <c r="N255" s="60" t="n">
        <f aca="false">E255*Settings!$B$3</f>
        <v>2.23100287774707</v>
      </c>
      <c r="O255" s="60" t="n">
        <f aca="false">IF(E255&gt;0,(F255-N255)/SQRT(E255*Settings!$B$3*(1-Settings!$B$3)),0)</f>
        <v>0.52300959618651</v>
      </c>
      <c r="P255" s="60" t="n">
        <f aca="false">MAX(0,F255-N255)</f>
        <v>0.76899712225293</v>
      </c>
      <c r="Q255" s="32" t="n">
        <f aca="false">(F255+Settings!$B$7*Settings!$B$3)/(E255+Settings!$B$7)</f>
        <v>0.0385253385528884</v>
      </c>
      <c r="R255" s="61" t="n">
        <f aca="false">PERCENTRANK($H$2:$H$1780,H255,6)</f>
        <v>0.884139</v>
      </c>
      <c r="S255" s="61" t="n">
        <f aca="false">PERCENTRANK($Q$2:$Q$1780,Q255,6)</f>
        <v>0.797525</v>
      </c>
      <c r="T255" s="61" t="n">
        <f aca="false">PERCENTRANK($F$2:$F$1780,F255,6)</f>
        <v>0.84252</v>
      </c>
      <c r="U255" s="62" t="n">
        <f aca="false">IF(F255&gt;0,(Settings!$B$8*T255+Settings!$B$9*R255+Settings!$B$10*S255)/SUM(Settings!$B$8:$B$10),0)</f>
        <v>0.841394666666667</v>
      </c>
      <c r="V255" s="56" t="n">
        <f aca="false">IF(U255&gt;0,RANK(U255,$U$2:$U$1780)+COUNTIF($U$2:U255,U255)-1,"")</f>
        <v>254</v>
      </c>
      <c r="W255" s="56" t="str">
        <f aca="false">IF(V255="","",IF(V255&lt;=Settings!$B$11,"1 - Fix first",IF(V255&lt;=Settings!$B$12,"2 - Review","3 - Monitor")))</f>
        <v>3 - Monitor</v>
      </c>
      <c r="X255" s="56" t="str">
        <f aca="false">IF(AND(E255&gt;=Settings!$B$4,F255&gt;=Settings!$B$5,O255&gt;=Settings!$B$6),"HIGH RATE","")</f>
        <v/>
      </c>
      <c r="Y255" s="56" t="n">
        <f aca="false">IF(F255&gt;0,RANK(F255,$F$2:$F$1780)+COUNTIF($F$2:F255,F255)-1,"")</f>
        <v>255</v>
      </c>
      <c r="Z255" s="56" t="n">
        <f aca="false">IF(H255&gt;0,RANK(H255,$H$2:$H$1780)+COUNTIF($H$2:H255,H255)-1,"")</f>
        <v>207</v>
      </c>
      <c r="AA255" s="56" t="n">
        <f aca="false">IF(AC255="","",RANK(AC255,$AC$2:$AC$1780)+COUNTIF($AC$2:AC255,AC255)-1)</f>
        <v>184</v>
      </c>
      <c r="AB255" s="56" t="str">
        <f aca="false">IF(AD255="","",RANK(AD255,$AD$2:$AD$1780)+COUNTIF($AD$2:AD255,AD255)-1)</f>
        <v/>
      </c>
      <c r="AC255" s="32" t="n">
        <f aca="false">IF(AND(F255&gt;0,E255&gt;=Settings!$B$4),J255,"")</f>
        <v>0.0416666666666667</v>
      </c>
      <c r="AD255" s="56" t="str">
        <f aca="false">IF(X255="HIGH RATE",O255,"")</f>
        <v/>
      </c>
    </row>
    <row r="256" customFormat="false" ht="15" hidden="false" customHeight="false" outlineLevel="0" collapsed="false">
      <c r="A256" s="56" t="s">
        <v>1234</v>
      </c>
      <c r="B256" s="56" t="s">
        <v>984</v>
      </c>
      <c r="C256" s="56" t="s">
        <v>125</v>
      </c>
      <c r="D256" s="56" t="str">
        <f aca="false">IFERROR(INDEX('Brand Map'!$B$4:$B$124,MATCH(C256,'Brand Map'!$A$4:$A$124,0)),"Other")</f>
        <v>DCB</v>
      </c>
      <c r="E256" s="57" t="n">
        <v>102</v>
      </c>
      <c r="F256" s="57" t="n">
        <v>4</v>
      </c>
      <c r="G256" s="58" t="n">
        <v>8384.06</v>
      </c>
      <c r="H256" s="58" t="n">
        <v>286.74</v>
      </c>
      <c r="I256" s="58" t="n">
        <v>7310.49</v>
      </c>
      <c r="J256" s="32" t="n">
        <f aca="false">IF(E256&gt;0,F256/E256,0)</f>
        <v>0.0392156862745098</v>
      </c>
      <c r="K256" s="32" t="n">
        <f aca="false">IF(G256&gt;0,H256/G256,0)</f>
        <v>0.0342006140223233</v>
      </c>
      <c r="L256" s="59" t="n">
        <f aca="false">H256/Settings!$B$16</f>
        <v>0.000573057473263813</v>
      </c>
      <c r="M256" s="59" t="n">
        <f aca="false">H256/Settings!$B$20</f>
        <v>2.22608879317613E-005</v>
      </c>
      <c r="N256" s="60" t="n">
        <f aca="false">E256*Settings!$B$3</f>
        <v>3.16058741014168</v>
      </c>
      <c r="O256" s="60" t="n">
        <f aca="false">IF(E256&gt;0,(F256-N256)/SQRT(E256*Settings!$B$3*(1-Settings!$B$3)),0)</f>
        <v>0.479652357950613</v>
      </c>
      <c r="P256" s="60" t="n">
        <f aca="false">MAX(0,F256-N256)</f>
        <v>0.839412589858318</v>
      </c>
      <c r="Q256" s="32" t="n">
        <f aca="false">(F256+Settings!$B$7*Settings!$B$3)/(E256+Settings!$B$7)</f>
        <v>0.0373453373666259</v>
      </c>
      <c r="R256" s="61" t="n">
        <f aca="false">PERCENTRANK($H$2:$H$1780,H256,6)</f>
        <v>0.860517</v>
      </c>
      <c r="S256" s="61" t="n">
        <f aca="false">PERCENTRANK($Q$2:$Q$1780,Q256,6)</f>
        <v>0.791901</v>
      </c>
      <c r="T256" s="61" t="n">
        <f aca="false">PERCENTRANK($F$2:$F$1780,F256,6)</f>
        <v>0.871766</v>
      </c>
      <c r="U256" s="62" t="n">
        <f aca="false">IF(F256&gt;0,(Settings!$B$8*T256+Settings!$B$9*R256+Settings!$B$10*S256)/SUM(Settings!$B$8:$B$10),0)</f>
        <v>0.841394666666667</v>
      </c>
      <c r="V256" s="56" t="n">
        <f aca="false">IF(U256&gt;0,RANK(U256,$U$2:$U$1780)+COUNTIF($U$2:U256,U256)-1,"")</f>
        <v>255</v>
      </c>
      <c r="W256" s="56" t="str">
        <f aca="false">IF(V256="","",IF(V256&lt;=Settings!$B$11,"1 - Fix first",IF(V256&lt;=Settings!$B$12,"2 - Review","3 - Monitor")))</f>
        <v>3 - Monitor</v>
      </c>
      <c r="X256" s="56" t="str">
        <f aca="false">IF(AND(E256&gt;=Settings!$B$4,F256&gt;=Settings!$B$5,O256&gt;=Settings!$B$6),"HIGH RATE","")</f>
        <v/>
      </c>
      <c r="Y256" s="56" t="n">
        <f aca="false">IF(F256&gt;0,RANK(F256,$F$2:$F$1780)+COUNTIF($F$2:F256,F256)-1,"")</f>
        <v>223</v>
      </c>
      <c r="Z256" s="56" t="n">
        <f aca="false">IF(H256&gt;0,RANK(H256,$H$2:$H$1780)+COUNTIF($H$2:H256,H256)-1,"")</f>
        <v>249</v>
      </c>
      <c r="AA256" s="56" t="n">
        <f aca="false">IF(AC256="","",RANK(AC256,$AC$2:$AC$1780)+COUNTIF($AC$2:AC256,AC256)-1)</f>
        <v>202</v>
      </c>
      <c r="AB256" s="56" t="str">
        <f aca="false">IF(AD256="","",RANK(AD256,$AD$2:$AD$1780)+COUNTIF($AD$2:AD256,AD256)-1)</f>
        <v/>
      </c>
      <c r="AC256" s="32" t="n">
        <f aca="false">IF(AND(F256&gt;0,E256&gt;=Settings!$B$4),J256,"")</f>
        <v>0.0392156862745098</v>
      </c>
      <c r="AD256" s="56" t="str">
        <f aca="false">IF(X256="HIGH RATE",O256,"")</f>
        <v/>
      </c>
    </row>
    <row r="257" customFormat="false" ht="15" hidden="false" customHeight="false" outlineLevel="0" collapsed="false">
      <c r="A257" s="56" t="s">
        <v>355</v>
      </c>
      <c r="B257" s="56" t="s">
        <v>1235</v>
      </c>
      <c r="C257" s="56" t="s">
        <v>692</v>
      </c>
      <c r="D257" s="56" t="str">
        <f aca="false">IFERROR(INDEX('Brand Map'!$B$4:$B$124,MATCH(C257,'Brand Map'!$A$4:$A$124,0)),"Other")</f>
        <v>Other (small prefixes)</v>
      </c>
      <c r="E257" s="57" t="n">
        <v>8</v>
      </c>
      <c r="F257" s="57" t="n">
        <v>2</v>
      </c>
      <c r="G257" s="58" t="n">
        <v>309.6</v>
      </c>
      <c r="H257" s="58" t="n">
        <v>84.9</v>
      </c>
      <c r="I257" s="58" t="n">
        <v>224.7</v>
      </c>
      <c r="J257" s="32" t="n">
        <f aca="false">IF(E257&gt;0,F257/E257,0)</f>
        <v>0.25</v>
      </c>
      <c r="K257" s="32" t="n">
        <f aca="false">IF(G257&gt;0,H257/G257,0)</f>
        <v>0.27422480620155</v>
      </c>
      <c r="L257" s="59" t="n">
        <f aca="false">H257/Settings!$B$16</f>
        <v>0.000169674895306193</v>
      </c>
      <c r="M257" s="59" t="n">
        <f aca="false">H257/Settings!$B$20</f>
        <v>6.59116058243193E-006</v>
      </c>
      <c r="N257" s="60" t="n">
        <f aca="false">E257*Settings!$B$3</f>
        <v>0.247889208638563</v>
      </c>
      <c r="O257" s="60" t="n">
        <f aca="false">IF(E257&gt;0,(F257-N257)/SQRT(E257*Settings!$B$3*(1-Settings!$B$3)),0)</f>
        <v>3.5749318077262</v>
      </c>
      <c r="P257" s="60" t="n">
        <f aca="false">MAX(0,F257-N257)</f>
        <v>1.75211079136144</v>
      </c>
      <c r="Q257" s="32" t="n">
        <f aca="false">(F257+Settings!$B$7*Settings!$B$3)/(E257+Settings!$B$7)</f>
        <v>0.0770943297998582</v>
      </c>
      <c r="R257" s="61" t="n">
        <f aca="false">PERCENTRANK($H$2:$H$1780,H257,6)</f>
        <v>0.735096</v>
      </c>
      <c r="S257" s="61" t="n">
        <f aca="false">PERCENTRANK($Q$2:$Q$1780,Q257,6)</f>
        <v>0.98369</v>
      </c>
      <c r="T257" s="61" t="n">
        <f aca="false">PERCENTRANK($F$2:$F$1780,F257,6)</f>
        <v>0.799775</v>
      </c>
      <c r="U257" s="62" t="n">
        <f aca="false">IF(F257&gt;0,(Settings!$B$8*T257+Settings!$B$9*R257+Settings!$B$10*S257)/SUM(Settings!$B$8:$B$10),0)</f>
        <v>0.839520333333333</v>
      </c>
      <c r="V257" s="56" t="n">
        <f aca="false">IF(U257&gt;0,RANK(U257,$U$2:$U$1780)+COUNTIF($U$2:U257,U257)-1,"")</f>
        <v>256</v>
      </c>
      <c r="W257" s="56" t="str">
        <f aca="false">IF(V257="","",IF(V257&lt;=Settings!$B$11,"1 - Fix first",IF(V257&lt;=Settings!$B$12,"2 - Review","3 - Monitor")))</f>
        <v>3 - Monitor</v>
      </c>
      <c r="X257" s="56" t="str">
        <f aca="false">IF(AND(E257&gt;=Settings!$B$4,F257&gt;=Settings!$B$5,O257&gt;=Settings!$B$6),"HIGH RATE","")</f>
        <v/>
      </c>
      <c r="Y257" s="56" t="n">
        <f aca="false">IF(F257&gt;0,RANK(F257,$F$2:$F$1780)+COUNTIF($F$2:F257,F257)-1,"")</f>
        <v>312</v>
      </c>
      <c r="Z257" s="56" t="n">
        <f aca="false">IF(H257&gt;0,RANK(H257,$H$2:$H$1780)+COUNTIF($H$2:H257,H257)-1,"")</f>
        <v>472</v>
      </c>
      <c r="AA257" s="56" t="str">
        <f aca="false">IF(AC257="","",RANK(AC257,$AC$2:$AC$1780)+COUNTIF($AC$2:AC257,AC257)-1)</f>
        <v/>
      </c>
      <c r="AB257" s="56" t="str">
        <f aca="false">IF(AD257="","",RANK(AD257,$AD$2:$AD$1780)+COUNTIF($AD$2:AD257,AD257)-1)</f>
        <v/>
      </c>
      <c r="AC257" s="56" t="str">
        <f aca="false">IF(AND(F257&gt;0,E257&gt;=Settings!$B$4),J257,"")</f>
        <v/>
      </c>
      <c r="AD257" s="56" t="str">
        <f aca="false">IF(X257="HIGH RATE",O257,"")</f>
        <v/>
      </c>
    </row>
    <row r="258" customFormat="false" ht="15" hidden="false" customHeight="false" outlineLevel="0" collapsed="false">
      <c r="A258" s="56" t="s">
        <v>1236</v>
      </c>
      <c r="B258" s="56" t="s">
        <v>1237</v>
      </c>
      <c r="C258" s="56" t="s">
        <v>114</v>
      </c>
      <c r="D258" s="56" t="str">
        <f aca="false">IFERROR(INDEX('Brand Map'!$B$4:$B$124,MATCH(C258,'Brand Map'!$A$4:$A$124,0)),"Other")</f>
        <v>SB</v>
      </c>
      <c r="E258" s="57" t="n">
        <v>116</v>
      </c>
      <c r="F258" s="57" t="n">
        <v>4</v>
      </c>
      <c r="G258" s="58" t="n">
        <v>10755.4</v>
      </c>
      <c r="H258" s="58" t="n">
        <v>349.82</v>
      </c>
      <c r="I258" s="58" t="n">
        <v>10219.49</v>
      </c>
      <c r="J258" s="32" t="n">
        <f aca="false">IF(E258&gt;0,F258/E258,0)</f>
        <v>0.0344827586206897</v>
      </c>
      <c r="K258" s="32" t="n">
        <f aca="false">IF(G258&gt;0,H258/G258,0)</f>
        <v>0.0325250571805791</v>
      </c>
      <c r="L258" s="59" t="n">
        <f aca="false">H258/Settings!$B$16</f>
        <v>0.000699124521507802</v>
      </c>
      <c r="M258" s="59" t="n">
        <f aca="false">H258/Settings!$B$20</f>
        <v>2.7158065900428E-005</v>
      </c>
      <c r="N258" s="60" t="n">
        <f aca="false">E258*Settings!$B$3</f>
        <v>3.59439352525917</v>
      </c>
      <c r="O258" s="60" t="n">
        <f aca="false">IF(E258&gt;0,(F258-N258)/SQRT(E258*Settings!$B$3*(1-Settings!$B$3)),0)</f>
        <v>0.217333700877258</v>
      </c>
      <c r="P258" s="60" t="n">
        <f aca="false">MAX(0,F258-N258)</f>
        <v>0.405606474740832</v>
      </c>
      <c r="Q258" s="32" t="n">
        <f aca="false">(F258+Settings!$B$7*Settings!$B$3)/(E258+Settings!$B$7)</f>
        <v>0.0337642776191412</v>
      </c>
      <c r="R258" s="61" t="n">
        <f aca="false">PERCENTRANK($H$2:$H$1780,H258,6)</f>
        <v>0.878515</v>
      </c>
      <c r="S258" s="61" t="n">
        <f aca="false">PERCENTRANK($Q$2:$Q$1780,Q258,6)</f>
        <v>0.763217</v>
      </c>
      <c r="T258" s="61" t="n">
        <f aca="false">PERCENTRANK($F$2:$F$1780,F258,6)</f>
        <v>0.871766</v>
      </c>
      <c r="U258" s="62" t="n">
        <f aca="false">IF(F258&gt;0,(Settings!$B$8*T258+Settings!$B$9*R258+Settings!$B$10*S258)/SUM(Settings!$B$8:$B$10),0)</f>
        <v>0.837832666666667</v>
      </c>
      <c r="V258" s="56" t="n">
        <f aca="false">IF(U258&gt;0,RANK(U258,$U$2:$U$1780)+COUNTIF($U$2:U258,U258)-1,"")</f>
        <v>257</v>
      </c>
      <c r="W258" s="56" t="str">
        <f aca="false">IF(V258="","",IF(V258&lt;=Settings!$B$11,"1 - Fix first",IF(V258&lt;=Settings!$B$12,"2 - Review","3 - Monitor")))</f>
        <v>3 - Monitor</v>
      </c>
      <c r="X258" s="56" t="str">
        <f aca="false">IF(AND(E258&gt;=Settings!$B$4,F258&gt;=Settings!$B$5,O258&gt;=Settings!$B$6),"HIGH RATE","")</f>
        <v/>
      </c>
      <c r="Y258" s="56" t="n">
        <f aca="false">IF(F258&gt;0,RANK(F258,$F$2:$F$1780)+COUNTIF($F$2:F258,F258)-1,"")</f>
        <v>224</v>
      </c>
      <c r="Z258" s="56" t="n">
        <f aca="false">IF(H258&gt;0,RANK(H258,$H$2:$H$1780)+COUNTIF($H$2:H258,H258)-1,"")</f>
        <v>217</v>
      </c>
      <c r="AA258" s="56" t="n">
        <f aca="false">IF(AC258="","",RANK(AC258,$AC$2:$AC$1780)+COUNTIF($AC$2:AC258,AC258)-1)</f>
        <v>237</v>
      </c>
      <c r="AB258" s="56" t="str">
        <f aca="false">IF(AD258="","",RANK(AD258,$AD$2:$AD$1780)+COUNTIF($AD$2:AD258,AD258)-1)</f>
        <v/>
      </c>
      <c r="AC258" s="32" t="n">
        <f aca="false">IF(AND(F258&gt;0,E258&gt;=Settings!$B$4),J258,"")</f>
        <v>0.0344827586206897</v>
      </c>
      <c r="AD258" s="56" t="str">
        <f aca="false">IF(X258="HIGH RATE",O258,"")</f>
        <v/>
      </c>
    </row>
    <row r="259" customFormat="false" ht="15" hidden="false" customHeight="false" outlineLevel="0" collapsed="false">
      <c r="A259" s="56" t="s">
        <v>1238</v>
      </c>
      <c r="B259" s="56" t="s">
        <v>1239</v>
      </c>
      <c r="C259" s="56" t="s">
        <v>51</v>
      </c>
      <c r="D259" s="56" t="str">
        <f aca="false">IFERROR(INDEX('Brand Map'!$B$4:$B$124,MATCH(C259,'Brand Map'!$A$4:$A$124,0)),"Other")</f>
        <v>AU</v>
      </c>
      <c r="E259" s="57" t="n">
        <v>87</v>
      </c>
      <c r="F259" s="57" t="n">
        <v>3</v>
      </c>
      <c r="G259" s="58" t="n">
        <v>15842.74</v>
      </c>
      <c r="H259" s="58" t="n">
        <v>478.52</v>
      </c>
      <c r="I259" s="58" t="n">
        <v>14725.93</v>
      </c>
      <c r="J259" s="32" t="n">
        <f aca="false">IF(E259&gt;0,F259/E259,0)</f>
        <v>0.0344827586206897</v>
      </c>
      <c r="K259" s="32" t="n">
        <f aca="false">IF(G259&gt;0,H259/G259,0)</f>
        <v>0.0302043712135653</v>
      </c>
      <c r="L259" s="59" t="n">
        <f aca="false">H259/Settings!$B$16</f>
        <v>0.00095633487516984</v>
      </c>
      <c r="M259" s="59" t="n">
        <f aca="false">H259/Settings!$B$20</f>
        <v>3.71496132144326E-005</v>
      </c>
      <c r="N259" s="60" t="n">
        <f aca="false">E259*Settings!$B$3</f>
        <v>2.69579514394438</v>
      </c>
      <c r="O259" s="60" t="n">
        <f aca="false">IF(E259&gt;0,(F259-N259)/SQRT(E259*Settings!$B$3*(1-Settings!$B$3)),0)</f>
        <v>0.188216506058194</v>
      </c>
      <c r="P259" s="60" t="n">
        <f aca="false">MAX(0,F259-N259)</f>
        <v>0.304204856055624</v>
      </c>
      <c r="Q259" s="32" t="n">
        <f aca="false">(F259+Settings!$B$7*Settings!$B$3)/(E259+Settings!$B$7)</f>
        <v>0.0335861925845693</v>
      </c>
      <c r="R259" s="61" t="n">
        <f aca="false">PERCENTRANK($H$2:$H$1780,H259,6)</f>
        <v>0.902137</v>
      </c>
      <c r="S259" s="61" t="n">
        <f aca="false">PERCENTRANK($Q$2:$Q$1780,Q259,6)</f>
        <v>0.762655</v>
      </c>
      <c r="T259" s="61" t="n">
        <f aca="false">PERCENTRANK($F$2:$F$1780,F259,6)</f>
        <v>0.84252</v>
      </c>
      <c r="U259" s="62" t="n">
        <f aca="false">IF(F259&gt;0,(Settings!$B$8*T259+Settings!$B$9*R259+Settings!$B$10*S259)/SUM(Settings!$B$8:$B$10),0)</f>
        <v>0.835770666666667</v>
      </c>
      <c r="V259" s="56" t="n">
        <f aca="false">IF(U259&gt;0,RANK(U259,$U$2:$U$1780)+COUNTIF($U$2:U259,U259)-1,"")</f>
        <v>258</v>
      </c>
      <c r="W259" s="56" t="str">
        <f aca="false">IF(V259="","",IF(V259&lt;=Settings!$B$11,"1 - Fix first",IF(V259&lt;=Settings!$B$12,"2 - Review","3 - Monitor")))</f>
        <v>3 - Monitor</v>
      </c>
      <c r="X259" s="56" t="str">
        <f aca="false">IF(AND(E259&gt;=Settings!$B$4,F259&gt;=Settings!$B$5,O259&gt;=Settings!$B$6),"HIGH RATE","")</f>
        <v/>
      </c>
      <c r="Y259" s="56" t="n">
        <f aca="false">IF(F259&gt;0,RANK(F259,$F$2:$F$1780)+COUNTIF($F$2:F259,F259)-1,"")</f>
        <v>256</v>
      </c>
      <c r="Z259" s="56" t="n">
        <f aca="false">IF(H259&gt;0,RANK(H259,$H$2:$H$1780)+COUNTIF($H$2:H259,H259)-1,"")</f>
        <v>175</v>
      </c>
      <c r="AA259" s="56" t="n">
        <f aca="false">IF(AC259="","",RANK(AC259,$AC$2:$AC$1780)+COUNTIF($AC$2:AC259,AC259)-1)</f>
        <v>238</v>
      </c>
      <c r="AB259" s="56" t="str">
        <f aca="false">IF(AD259="","",RANK(AD259,$AD$2:$AD$1780)+COUNTIF($AD$2:AD259,AD259)-1)</f>
        <v/>
      </c>
      <c r="AC259" s="32" t="n">
        <f aca="false">IF(AND(F259&gt;0,E259&gt;=Settings!$B$4),J259,"")</f>
        <v>0.0344827586206897</v>
      </c>
      <c r="AD259" s="56" t="str">
        <f aca="false">IF(X259="HIGH RATE",O259,"")</f>
        <v/>
      </c>
    </row>
    <row r="260" customFormat="false" ht="15" hidden="false" customHeight="false" outlineLevel="0" collapsed="false">
      <c r="A260" s="56" t="s">
        <v>1240</v>
      </c>
      <c r="B260" s="56" t="s">
        <v>1241</v>
      </c>
      <c r="C260" s="56" t="s">
        <v>51</v>
      </c>
      <c r="D260" s="56" t="str">
        <f aca="false">IFERROR(INDEX('Brand Map'!$B$4:$B$124,MATCH(C260,'Brand Map'!$A$4:$A$124,0)),"Other")</f>
        <v>AU</v>
      </c>
      <c r="E260" s="57" t="n">
        <v>77</v>
      </c>
      <c r="F260" s="57" t="n">
        <v>3</v>
      </c>
      <c r="G260" s="58" t="n">
        <v>9568.73</v>
      </c>
      <c r="H260" s="58" t="n">
        <v>340.77</v>
      </c>
      <c r="I260" s="58" t="n">
        <v>8980.95</v>
      </c>
      <c r="J260" s="32" t="n">
        <f aca="false">IF(E260&gt;0,F260/E260,0)</f>
        <v>0.038961038961039</v>
      </c>
      <c r="K260" s="32" t="n">
        <f aca="false">IF(G260&gt;0,H260/G260,0)</f>
        <v>0.035612876525934</v>
      </c>
      <c r="L260" s="59" t="n">
        <f aca="false">H260/Settings!$B$16</f>
        <v>0.000681037857167154</v>
      </c>
      <c r="M260" s="59" t="n">
        <f aca="false">H260/Settings!$B$20</f>
        <v>2.64554745780369E-005</v>
      </c>
      <c r="N260" s="60" t="n">
        <f aca="false">E260*Settings!$B$3</f>
        <v>2.38593363314617</v>
      </c>
      <c r="O260" s="60" t="n">
        <f aca="false">IF(E260&gt;0,(F260-N260)/SQRT(E260*Settings!$B$3*(1-Settings!$B$3)),0)</f>
        <v>0.403850978642023</v>
      </c>
      <c r="P260" s="60" t="n">
        <f aca="false">MAX(0,F260-N260)</f>
        <v>0.614066366853828</v>
      </c>
      <c r="Q260" s="32" t="n">
        <f aca="false">(F260+Settings!$B$7*Settings!$B$3)/(E260+Settings!$B$7)</f>
        <v>0.0367250890878001</v>
      </c>
      <c r="R260" s="61" t="n">
        <f aca="false">PERCENTRANK($H$2:$H$1780,H260,6)</f>
        <v>0.87739</v>
      </c>
      <c r="S260" s="61" t="n">
        <f aca="false">PERCENTRANK($Q$2:$Q$1780,Q260,6)</f>
        <v>0.787402</v>
      </c>
      <c r="T260" s="61" t="n">
        <f aca="false">PERCENTRANK($F$2:$F$1780,F260,6)</f>
        <v>0.84252</v>
      </c>
      <c r="U260" s="62" t="n">
        <f aca="false">IF(F260&gt;0,(Settings!$B$8*T260+Settings!$B$9*R260+Settings!$B$10*S260)/SUM(Settings!$B$8:$B$10),0)</f>
        <v>0.835770666666667</v>
      </c>
      <c r="V260" s="56" t="n">
        <f aca="false">IF(U260&gt;0,RANK(U260,$U$2:$U$1780)+COUNTIF($U$2:U260,U260)-1,"")</f>
        <v>259</v>
      </c>
      <c r="W260" s="56" t="str">
        <f aca="false">IF(V260="","",IF(V260&lt;=Settings!$B$11,"1 - Fix first",IF(V260&lt;=Settings!$B$12,"2 - Review","3 - Monitor")))</f>
        <v>3 - Monitor</v>
      </c>
      <c r="X260" s="56" t="str">
        <f aca="false">IF(AND(E260&gt;=Settings!$B$4,F260&gt;=Settings!$B$5,O260&gt;=Settings!$B$6),"HIGH RATE","")</f>
        <v/>
      </c>
      <c r="Y260" s="56" t="n">
        <f aca="false">IF(F260&gt;0,RANK(F260,$F$2:$F$1780)+COUNTIF($F$2:F260,F260)-1,"")</f>
        <v>257</v>
      </c>
      <c r="Z260" s="56" t="n">
        <f aca="false">IF(H260&gt;0,RANK(H260,$H$2:$H$1780)+COUNTIF($H$2:H260,H260)-1,"")</f>
        <v>219</v>
      </c>
      <c r="AA260" s="56" t="n">
        <f aca="false">IF(AC260="","",RANK(AC260,$AC$2:$AC$1780)+COUNTIF($AC$2:AC260,AC260)-1)</f>
        <v>206</v>
      </c>
      <c r="AB260" s="56" t="str">
        <f aca="false">IF(AD260="","",RANK(AD260,$AD$2:$AD$1780)+COUNTIF($AD$2:AD260,AD260)-1)</f>
        <v/>
      </c>
      <c r="AC260" s="32" t="n">
        <f aca="false">IF(AND(F260&gt;0,E260&gt;=Settings!$B$4),J260,"")</f>
        <v>0.038961038961039</v>
      </c>
      <c r="AD260" s="56" t="str">
        <f aca="false">IF(X260="HIGH RATE",O260,"")</f>
        <v/>
      </c>
    </row>
    <row r="261" customFormat="false" ht="15" hidden="false" customHeight="false" outlineLevel="0" collapsed="false">
      <c r="A261" s="56" t="s">
        <v>606</v>
      </c>
      <c r="B261" s="56" t="s">
        <v>607</v>
      </c>
      <c r="C261" s="56" t="s">
        <v>165</v>
      </c>
      <c r="D261" s="56" t="str">
        <f aca="false">IFERROR(INDEX('Brand Map'!$B$4:$B$124,MATCH(C261,'Brand Map'!$A$4:$A$124,0)),"Other")</f>
        <v>GWC</v>
      </c>
      <c r="E261" s="57" t="n">
        <v>85</v>
      </c>
      <c r="F261" s="57" t="n">
        <v>3</v>
      </c>
      <c r="G261" s="58" t="n">
        <v>13355.45</v>
      </c>
      <c r="H261" s="58" t="n">
        <v>443.5</v>
      </c>
      <c r="I261" s="58" t="n">
        <v>11737.32</v>
      </c>
      <c r="J261" s="32" t="n">
        <f aca="false">IF(E261&gt;0,F261/E261,0)</f>
        <v>0.0352941176470588</v>
      </c>
      <c r="K261" s="32" t="n">
        <f aca="false">IF(G261&gt;0,H261/G261,0)</f>
        <v>0.0332074171967249</v>
      </c>
      <c r="L261" s="59" t="n">
        <f aca="false">H261/Settings!$B$16</f>
        <v>0.000886346479014093</v>
      </c>
      <c r="M261" s="59" t="n">
        <f aca="false">H261/Settings!$B$20</f>
        <v>3.44308565171798E-005</v>
      </c>
      <c r="N261" s="60" t="n">
        <f aca="false">E261*Settings!$B$3</f>
        <v>2.63382284178474</v>
      </c>
      <c r="O261" s="60" t="n">
        <f aca="false">IF(E261&gt;0,(F261-N261)/SQRT(E261*Settings!$B$3*(1-Settings!$B$3)),0)</f>
        <v>0.229209692269562</v>
      </c>
      <c r="P261" s="60" t="n">
        <f aca="false">MAX(0,F261-N261)</f>
        <v>0.366177158215264</v>
      </c>
      <c r="Q261" s="32" t="n">
        <f aca="false">(F261+Settings!$B$7*Settings!$B$3)/(E261+Settings!$B$7)</f>
        <v>0.0341703002816923</v>
      </c>
      <c r="R261" s="61" t="n">
        <f aca="false">PERCENTRANK($H$2:$H$1780,H261,6)</f>
        <v>0.896513</v>
      </c>
      <c r="S261" s="61" t="n">
        <f aca="false">PERCENTRANK($Q$2:$Q$1780,Q261,6)</f>
        <v>0.766592</v>
      </c>
      <c r="T261" s="61" t="n">
        <f aca="false">PERCENTRANK($F$2:$F$1780,F261,6)</f>
        <v>0.84252</v>
      </c>
      <c r="U261" s="62" t="n">
        <f aca="false">IF(F261&gt;0,(Settings!$B$8*T261+Settings!$B$9*R261+Settings!$B$10*S261)/SUM(Settings!$B$8:$B$10),0)</f>
        <v>0.835208333333333</v>
      </c>
      <c r="V261" s="56" t="n">
        <f aca="false">IF(U261&gt;0,RANK(U261,$U$2:$U$1780)+COUNTIF($U$2:U261,U261)-1,"")</f>
        <v>260</v>
      </c>
      <c r="W261" s="56" t="str">
        <f aca="false">IF(V261="","",IF(V261&lt;=Settings!$B$11,"1 - Fix first",IF(V261&lt;=Settings!$B$12,"2 - Review","3 - Monitor")))</f>
        <v>3 - Monitor</v>
      </c>
      <c r="X261" s="56" t="str">
        <f aca="false">IF(AND(E261&gt;=Settings!$B$4,F261&gt;=Settings!$B$5,O261&gt;=Settings!$B$6),"HIGH RATE","")</f>
        <v/>
      </c>
      <c r="Y261" s="56" t="n">
        <f aca="false">IF(F261&gt;0,RANK(F261,$F$2:$F$1780)+COUNTIF($F$2:F261,F261)-1,"")</f>
        <v>258</v>
      </c>
      <c r="Z261" s="56" t="n">
        <f aca="false">IF(H261&gt;0,RANK(H261,$H$2:$H$1780)+COUNTIF($H$2:H261,H261)-1,"")</f>
        <v>185</v>
      </c>
      <c r="AA261" s="56" t="n">
        <f aca="false">IF(AC261="","",RANK(AC261,$AC$2:$AC$1780)+COUNTIF($AC$2:AC261,AC261)-1)</f>
        <v>229</v>
      </c>
      <c r="AB261" s="56" t="str">
        <f aca="false">IF(AD261="","",RANK(AD261,$AD$2:$AD$1780)+COUNTIF($AD$2:AD261,AD261)-1)</f>
        <v/>
      </c>
      <c r="AC261" s="32" t="n">
        <f aca="false">IF(AND(F261&gt;0,E261&gt;=Settings!$B$4),J261,"")</f>
        <v>0.0352941176470588</v>
      </c>
      <c r="AD261" s="56" t="str">
        <f aca="false">IF(X261="HIGH RATE",O261,"")</f>
        <v/>
      </c>
    </row>
    <row r="262" customFormat="false" ht="15" hidden="false" customHeight="false" outlineLevel="0" collapsed="false">
      <c r="A262" s="56" t="s">
        <v>1242</v>
      </c>
      <c r="B262" s="56" t="s">
        <v>1243</v>
      </c>
      <c r="C262" s="56" t="s">
        <v>51</v>
      </c>
      <c r="D262" s="56" t="str">
        <f aca="false">IFERROR(INDEX('Brand Map'!$B$4:$B$124,MATCH(C262,'Brand Map'!$A$4:$A$124,0)),"Other")</f>
        <v>AU</v>
      </c>
      <c r="E262" s="57" t="n">
        <v>80</v>
      </c>
      <c r="F262" s="57" t="n">
        <v>3</v>
      </c>
      <c r="G262" s="58" t="n">
        <v>8687.61</v>
      </c>
      <c r="H262" s="58" t="n">
        <v>370.33</v>
      </c>
      <c r="I262" s="58" t="n">
        <v>7975.26</v>
      </c>
      <c r="J262" s="32" t="n">
        <f aca="false">IF(E262&gt;0,F262/E262,0)</f>
        <v>0.0375</v>
      </c>
      <c r="K262" s="32" t="n">
        <f aca="false">IF(G262&gt;0,H262/G262,0)</f>
        <v>0.0426273739267762</v>
      </c>
      <c r="L262" s="59" t="n">
        <f aca="false">H262/Settings!$B$16</f>
        <v>0.000740114298925117</v>
      </c>
      <c r="M262" s="59" t="n">
        <f aca="false">H262/Settings!$B$20</f>
        <v>2.87503474498471E-005</v>
      </c>
      <c r="N262" s="60" t="n">
        <f aca="false">E262*Settings!$B$3</f>
        <v>2.47889208638563</v>
      </c>
      <c r="O262" s="60" t="n">
        <f aca="false">IF(E262&gt;0,(F262-N262)/SQRT(E262*Settings!$B$3*(1-Settings!$B$3)),0)</f>
        <v>0.336227991261298</v>
      </c>
      <c r="P262" s="60" t="n">
        <f aca="false">MAX(0,F262-N262)</f>
        <v>0.521107913614367</v>
      </c>
      <c r="Q262" s="32" t="n">
        <f aca="false">(F262+Settings!$B$7*Settings!$B$3)/(E262+Settings!$B$7)</f>
        <v>0.0357234957490419</v>
      </c>
      <c r="R262" s="61" t="n">
        <f aca="false">PERCENTRANK($H$2:$H$1780,H262,6)</f>
        <v>0.883015</v>
      </c>
      <c r="S262" s="61" t="n">
        <f aca="false">PERCENTRANK($Q$2:$Q$1780,Q262,6)</f>
        <v>0.778403</v>
      </c>
      <c r="T262" s="61" t="n">
        <f aca="false">PERCENTRANK($F$2:$F$1780,F262,6)</f>
        <v>0.84252</v>
      </c>
      <c r="U262" s="62" t="n">
        <f aca="false">IF(F262&gt;0,(Settings!$B$8*T262+Settings!$B$9*R262+Settings!$B$10*S262)/SUM(Settings!$B$8:$B$10),0)</f>
        <v>0.834646</v>
      </c>
      <c r="V262" s="56" t="n">
        <f aca="false">IF(U262&gt;0,RANK(U262,$U$2:$U$1780)+COUNTIF($U$2:U262,U262)-1,"")</f>
        <v>261</v>
      </c>
      <c r="W262" s="56" t="str">
        <f aca="false">IF(V262="","",IF(V262&lt;=Settings!$B$11,"1 - Fix first",IF(V262&lt;=Settings!$B$12,"2 - Review","3 - Monitor")))</f>
        <v>3 - Monitor</v>
      </c>
      <c r="X262" s="56" t="str">
        <f aca="false">IF(AND(E262&gt;=Settings!$B$4,F262&gt;=Settings!$B$5,O262&gt;=Settings!$B$6),"HIGH RATE","")</f>
        <v/>
      </c>
      <c r="Y262" s="56" t="n">
        <f aca="false">IF(F262&gt;0,RANK(F262,$F$2:$F$1780)+COUNTIF($F$2:F262,F262)-1,"")</f>
        <v>259</v>
      </c>
      <c r="Z262" s="56" t="n">
        <f aca="false">IF(H262&gt;0,RANK(H262,$H$2:$H$1780)+COUNTIF($H$2:H262,H262)-1,"")</f>
        <v>209</v>
      </c>
      <c r="AA262" s="56" t="n">
        <f aca="false">IF(AC262="","",RANK(AC262,$AC$2:$AC$1780)+COUNTIF($AC$2:AC262,AC262)-1)</f>
        <v>213</v>
      </c>
      <c r="AB262" s="56" t="str">
        <f aca="false">IF(AD262="","",RANK(AD262,$AD$2:$AD$1780)+COUNTIF($AD$2:AD262,AD262)-1)</f>
        <v/>
      </c>
      <c r="AC262" s="32" t="n">
        <f aca="false">IF(AND(F262&gt;0,E262&gt;=Settings!$B$4),J262,"")</f>
        <v>0.0375</v>
      </c>
      <c r="AD262" s="56" t="str">
        <f aca="false">IF(X262="HIGH RATE",O262,"")</f>
        <v/>
      </c>
    </row>
    <row r="263" customFormat="false" ht="15" hidden="false" customHeight="false" outlineLevel="0" collapsed="false">
      <c r="A263" s="56" t="s">
        <v>1244</v>
      </c>
      <c r="B263" s="56" t="s">
        <v>1245</v>
      </c>
      <c r="C263" s="56" t="s">
        <v>51</v>
      </c>
      <c r="D263" s="56" t="str">
        <f aca="false">IFERROR(INDEX('Brand Map'!$B$4:$B$124,MATCH(C263,'Brand Map'!$A$4:$A$124,0)),"Other")</f>
        <v>AU</v>
      </c>
      <c r="E263" s="57" t="n">
        <v>173</v>
      </c>
      <c r="F263" s="57" t="n">
        <v>6</v>
      </c>
      <c r="G263" s="58" t="n">
        <v>7518.18</v>
      </c>
      <c r="H263" s="58" t="n">
        <v>226.34</v>
      </c>
      <c r="I263" s="58" t="n">
        <v>6975.79</v>
      </c>
      <c r="J263" s="32" t="n">
        <f aca="false">IF(E263&gt;0,F263/E263,0)</f>
        <v>0.0346820809248555</v>
      </c>
      <c r="K263" s="32" t="n">
        <f aca="false">IF(G263&gt;0,H263/G263,0)</f>
        <v>0.0301056904729602</v>
      </c>
      <c r="L263" s="59" t="n">
        <f aca="false">H263/Settings!$B$16</f>
        <v>0.000452346475896392</v>
      </c>
      <c r="M263" s="59" t="n">
        <f aca="false">H263/Settings!$B$20</f>
        <v>1.75717701558026E-005</v>
      </c>
      <c r="N263" s="60" t="n">
        <f aca="false">E263*Settings!$B$3</f>
        <v>5.36060413680893</v>
      </c>
      <c r="O263" s="60" t="n">
        <f aca="false">IF(E263&gt;0,(F263-N263)/SQRT(E263*Settings!$B$3*(1-Settings!$B$3)),0)</f>
        <v>0.280542047019133</v>
      </c>
      <c r="P263" s="60" t="n">
        <f aca="false">MAX(0,F263-N263)</f>
        <v>0.639395863191067</v>
      </c>
      <c r="Q263" s="32" t="n">
        <f aca="false">(F263+Settings!$B$7*Settings!$B$3)/(E263+Settings!$B$7)</f>
        <v>0.0341358843960326</v>
      </c>
      <c r="R263" s="61" t="n">
        <f aca="false">PERCENTRANK($H$2:$H$1780,H263,6)</f>
        <v>0.836895</v>
      </c>
      <c r="S263" s="61" t="n">
        <f aca="false">PERCENTRANK($Q$2:$Q$1780,Q263,6)</f>
        <v>0.766029</v>
      </c>
      <c r="T263" s="61" t="n">
        <f aca="false">PERCENTRANK($F$2:$F$1780,F263,6)</f>
        <v>0.898763</v>
      </c>
      <c r="U263" s="62" t="n">
        <f aca="false">IF(F263&gt;0,(Settings!$B$8*T263+Settings!$B$9*R263+Settings!$B$10*S263)/SUM(Settings!$B$8:$B$10),0)</f>
        <v>0.833895666666667</v>
      </c>
      <c r="V263" s="56" t="n">
        <f aca="false">IF(U263&gt;0,RANK(U263,$U$2:$U$1780)+COUNTIF($U$2:U263,U263)-1,"")</f>
        <v>262</v>
      </c>
      <c r="W263" s="56" t="str">
        <f aca="false">IF(V263="","",IF(V263&lt;=Settings!$B$11,"1 - Fix first",IF(V263&lt;=Settings!$B$12,"2 - Review","3 - Monitor")))</f>
        <v>3 - Monitor</v>
      </c>
      <c r="X263" s="56" t="str">
        <f aca="false">IF(AND(E263&gt;=Settings!$B$4,F263&gt;=Settings!$B$5,O263&gt;=Settings!$B$6),"HIGH RATE","")</f>
        <v/>
      </c>
      <c r="Y263" s="56" t="n">
        <f aca="false">IF(F263&gt;0,RANK(F263,$F$2:$F$1780)+COUNTIF($F$2:F263,F263)-1,"")</f>
        <v>179</v>
      </c>
      <c r="Z263" s="56" t="n">
        <f aca="false">IF(H263&gt;0,RANK(H263,$H$2:$H$1780)+COUNTIF($H$2:H263,H263)-1,"")</f>
        <v>291</v>
      </c>
      <c r="AA263" s="56" t="n">
        <f aca="false">IF(AC263="","",RANK(AC263,$AC$2:$AC$1780)+COUNTIF($AC$2:AC263,AC263)-1)</f>
        <v>235</v>
      </c>
      <c r="AB263" s="56" t="str">
        <f aca="false">IF(AD263="","",RANK(AD263,$AD$2:$AD$1780)+COUNTIF($AD$2:AD263,AD263)-1)</f>
        <v/>
      </c>
      <c r="AC263" s="32" t="n">
        <f aca="false">IF(AND(F263&gt;0,E263&gt;=Settings!$B$4),J263,"")</f>
        <v>0.0346820809248555</v>
      </c>
      <c r="AD263" s="56" t="str">
        <f aca="false">IF(X263="HIGH RATE",O263,"")</f>
        <v/>
      </c>
    </row>
    <row r="264" customFormat="false" ht="15" hidden="false" customHeight="false" outlineLevel="0" collapsed="false">
      <c r="A264" s="56" t="s">
        <v>1246</v>
      </c>
      <c r="B264" s="56" t="s">
        <v>1247</v>
      </c>
      <c r="C264" s="56" t="s">
        <v>162</v>
      </c>
      <c r="D264" s="56" t="str">
        <f aca="false">IFERROR(INDEX('Brand Map'!$B$4:$B$124,MATCH(C264,'Brand Map'!$A$4:$A$124,0)),"Other")</f>
        <v>GBAU</v>
      </c>
      <c r="E264" s="57" t="n">
        <v>34</v>
      </c>
      <c r="F264" s="57" t="n">
        <v>2</v>
      </c>
      <c r="G264" s="58" t="n">
        <v>4416.14</v>
      </c>
      <c r="H264" s="58" t="n">
        <v>246.41</v>
      </c>
      <c r="I264" s="58" t="n">
        <v>4032.7</v>
      </c>
      <c r="J264" s="32" t="n">
        <f aca="false">IF(E264&gt;0,F264/E264,0)</f>
        <v>0.0588235294117647</v>
      </c>
      <c r="K264" s="32" t="n">
        <f aca="false">IF(G264&gt;0,H264/G264,0)</f>
        <v>0.055797596996472</v>
      </c>
      <c r="L264" s="59" t="n">
        <f aca="false">H264/Settings!$B$16</f>
        <v>0.000492456901677255</v>
      </c>
      <c r="M264" s="59" t="n">
        <f aca="false">H264/Settings!$B$20</f>
        <v>1.91298925691055E-005</v>
      </c>
      <c r="N264" s="60" t="n">
        <f aca="false">E264*Settings!$B$3</f>
        <v>1.05352913671389</v>
      </c>
      <c r="O264" s="60" t="n">
        <f aca="false">IF(E264&gt;0,(F264-N264)/SQRT(E264*Settings!$B$3*(1-Settings!$B$3)),0)</f>
        <v>0.936739818523246</v>
      </c>
      <c r="P264" s="60" t="n">
        <f aca="false">MAX(0,F264-N264)</f>
        <v>0.946470863286106</v>
      </c>
      <c r="Q264" s="32" t="n">
        <f aca="false">(F264+Settings!$B$7*Settings!$B$3)/(E264+Settings!$B$7)</f>
        <v>0.0457747583186658</v>
      </c>
      <c r="R264" s="61" t="n">
        <f aca="false">PERCENTRANK($H$2:$H$1780,H264,6)</f>
        <v>0.846457</v>
      </c>
      <c r="S264" s="61" t="n">
        <f aca="false">PERCENTRANK($Q$2:$Q$1780,Q264,6)</f>
        <v>0.850956</v>
      </c>
      <c r="T264" s="61" t="n">
        <f aca="false">PERCENTRANK($F$2:$F$1780,F264,6)</f>
        <v>0.799775</v>
      </c>
      <c r="U264" s="62" t="n">
        <f aca="false">IF(F264&gt;0,(Settings!$B$8*T264+Settings!$B$9*R264+Settings!$B$10*S264)/SUM(Settings!$B$8:$B$10),0)</f>
        <v>0.832396</v>
      </c>
      <c r="V264" s="56" t="n">
        <f aca="false">IF(U264&gt;0,RANK(U264,$U$2:$U$1780)+COUNTIF($U$2:U264,U264)-1,"")</f>
        <v>263</v>
      </c>
      <c r="W264" s="56" t="str">
        <f aca="false">IF(V264="","",IF(V264&lt;=Settings!$B$11,"1 - Fix first",IF(V264&lt;=Settings!$B$12,"2 - Review","3 - Monitor")))</f>
        <v>3 - Monitor</v>
      </c>
      <c r="X264" s="56" t="str">
        <f aca="false">IF(AND(E264&gt;=Settings!$B$4,F264&gt;=Settings!$B$5,O264&gt;=Settings!$B$6),"HIGH RATE","")</f>
        <v/>
      </c>
      <c r="Y264" s="56" t="n">
        <f aca="false">IF(F264&gt;0,RANK(F264,$F$2:$F$1780)+COUNTIF($F$2:F264,F264)-1,"")</f>
        <v>313</v>
      </c>
      <c r="Z264" s="56" t="n">
        <f aca="false">IF(H264&gt;0,RANK(H264,$H$2:$H$1780)+COUNTIF($H$2:H264,H264)-1,"")</f>
        <v>274</v>
      </c>
      <c r="AA264" s="56" t="n">
        <f aca="false">IF(AC264="","",RANK(AC264,$AC$2:$AC$1780)+COUNTIF($AC$2:AC264,AC264)-1)</f>
        <v>79</v>
      </c>
      <c r="AB264" s="56" t="str">
        <f aca="false">IF(AD264="","",RANK(AD264,$AD$2:$AD$1780)+COUNTIF($AD$2:AD264,AD264)-1)</f>
        <v/>
      </c>
      <c r="AC264" s="32" t="n">
        <f aca="false">IF(AND(F264&gt;0,E264&gt;=Settings!$B$4),J264,"")</f>
        <v>0.0588235294117647</v>
      </c>
      <c r="AD264" s="56" t="str">
        <f aca="false">IF(X264="HIGH RATE",O264,"")</f>
        <v/>
      </c>
    </row>
    <row r="265" customFormat="false" ht="15" hidden="false" customHeight="false" outlineLevel="0" collapsed="false">
      <c r="A265" s="56" t="s">
        <v>687</v>
      </c>
      <c r="B265" s="56" t="s">
        <v>688</v>
      </c>
      <c r="C265" s="56" t="s">
        <v>686</v>
      </c>
      <c r="D265" s="56" t="str">
        <f aca="false">IFERROR(INDEX('Brand Map'!$B$4:$B$124,MATCH(C265,'Brand Map'!$A$4:$A$124,0)),"Other")</f>
        <v>Other (small prefixes)</v>
      </c>
      <c r="E265" s="57" t="n">
        <v>35</v>
      </c>
      <c r="F265" s="57" t="n">
        <v>2</v>
      </c>
      <c r="G265" s="58" t="n">
        <v>4445.13</v>
      </c>
      <c r="H265" s="58" t="n">
        <v>249.91</v>
      </c>
      <c r="I265" s="58" t="n">
        <v>4050.52</v>
      </c>
      <c r="J265" s="32" t="n">
        <f aca="false">IF(E265&gt;0,F265/E265,0)</f>
        <v>0.0571428571428571</v>
      </c>
      <c r="K265" s="32" t="n">
        <f aca="false">IF(G265&gt;0,H265/G265,0)</f>
        <v>0.0562210778987341</v>
      </c>
      <c r="L265" s="59" t="n">
        <f aca="false">H265/Settings!$B$16</f>
        <v>0.000499451744239937</v>
      </c>
      <c r="M265" s="59" t="n">
        <f aca="false">H265/Settings!$B$20</f>
        <v>1.94016129700302E-005</v>
      </c>
      <c r="N265" s="60" t="n">
        <f aca="false">E265*Settings!$B$3</f>
        <v>1.08451528779371</v>
      </c>
      <c r="O265" s="60" t="n">
        <f aca="false">IF(E265&gt;0,(F265-N265)/SQRT(E265*Settings!$B$3*(1-Settings!$B$3)),0)</f>
        <v>0.893034557943818</v>
      </c>
      <c r="P265" s="60" t="n">
        <f aca="false">MAX(0,F265-N265)</f>
        <v>0.915484712206286</v>
      </c>
      <c r="Q265" s="32" t="n">
        <f aca="false">(F265+Settings!$B$7*Settings!$B$3)/(E265+Settings!$B$7)</f>
        <v>0.0450705312676094</v>
      </c>
      <c r="R265" s="61" t="n">
        <f aca="false">PERCENTRANK($H$2:$H$1780,H265,6)</f>
        <v>0.848144</v>
      </c>
      <c r="S265" s="61" t="n">
        <f aca="false">PERCENTRANK($Q$2:$Q$1780,Q265,6)</f>
        <v>0.847019</v>
      </c>
      <c r="T265" s="61" t="n">
        <f aca="false">PERCENTRANK($F$2:$F$1780,F265,6)</f>
        <v>0.799775</v>
      </c>
      <c r="U265" s="62" t="n">
        <f aca="false">IF(F265&gt;0,(Settings!$B$8*T265+Settings!$B$9*R265+Settings!$B$10*S265)/SUM(Settings!$B$8:$B$10),0)</f>
        <v>0.831646</v>
      </c>
      <c r="V265" s="56" t="n">
        <f aca="false">IF(U265&gt;0,RANK(U265,$U$2:$U$1780)+COUNTIF($U$2:U265,U265)-1,"")</f>
        <v>264</v>
      </c>
      <c r="W265" s="56" t="str">
        <f aca="false">IF(V265="","",IF(V265&lt;=Settings!$B$11,"1 - Fix first",IF(V265&lt;=Settings!$B$12,"2 - Review","3 - Monitor")))</f>
        <v>3 - Monitor</v>
      </c>
      <c r="X265" s="56" t="str">
        <f aca="false">IF(AND(E265&gt;=Settings!$B$4,F265&gt;=Settings!$B$5,O265&gt;=Settings!$B$6),"HIGH RATE","")</f>
        <v/>
      </c>
      <c r="Y265" s="56" t="n">
        <f aca="false">IF(F265&gt;0,RANK(F265,$F$2:$F$1780)+COUNTIF($F$2:F265,F265)-1,"")</f>
        <v>314</v>
      </c>
      <c r="Z265" s="56" t="n">
        <f aca="false">IF(H265&gt;0,RANK(H265,$H$2:$H$1780)+COUNTIF($H$2:H265,H265)-1,"")</f>
        <v>271</v>
      </c>
      <c r="AA265" s="56" t="n">
        <f aca="false">IF(AC265="","",RANK(AC265,$AC$2:$AC$1780)+COUNTIF($AC$2:AC265,AC265)-1)</f>
        <v>85</v>
      </c>
      <c r="AB265" s="56" t="str">
        <f aca="false">IF(AD265="","",RANK(AD265,$AD$2:$AD$1780)+COUNTIF($AD$2:AD265,AD265)-1)</f>
        <v/>
      </c>
      <c r="AC265" s="32" t="n">
        <f aca="false">IF(AND(F265&gt;0,E265&gt;=Settings!$B$4),J265,"")</f>
        <v>0.0571428571428571</v>
      </c>
      <c r="AD265" s="56" t="str">
        <f aca="false">IF(X265="HIGH RATE",O265,"")</f>
        <v/>
      </c>
    </row>
    <row r="266" customFormat="false" ht="15" hidden="false" customHeight="false" outlineLevel="0" collapsed="false">
      <c r="A266" s="56" t="s">
        <v>296</v>
      </c>
      <c r="B266" s="56" t="s">
        <v>991</v>
      </c>
      <c r="C266" s="56" t="s">
        <v>71</v>
      </c>
      <c r="D266" s="56" t="str">
        <f aca="false">IFERROR(INDEX('Brand Map'!$B$4:$B$124,MATCH(C266,'Brand Map'!$A$4:$A$124,0)),"Other")</f>
        <v>GF</v>
      </c>
      <c r="E266" s="57" t="n">
        <v>2</v>
      </c>
      <c r="F266" s="57" t="n">
        <v>1</v>
      </c>
      <c r="G266" s="58" t="n">
        <v>527.17</v>
      </c>
      <c r="H266" s="58" t="n">
        <v>290.86</v>
      </c>
      <c r="I266" s="58" t="n">
        <v>200.87</v>
      </c>
      <c r="J266" s="32" t="n">
        <f aca="false">IF(E266&gt;0,F266/E266,0)</f>
        <v>0.5</v>
      </c>
      <c r="K266" s="32" t="n">
        <f aca="false">IF(G266&gt;0,H266/G266,0)</f>
        <v>0.551738528368458</v>
      </c>
      <c r="L266" s="59" t="n">
        <f aca="false">H266/Settings!$B$16</f>
        <v>0.000581291402223313</v>
      </c>
      <c r="M266" s="59" t="n">
        <f aca="false">H266/Settings!$B$20</f>
        <v>2.25807416608499E-005</v>
      </c>
      <c r="N266" s="60" t="n">
        <f aca="false">E266*Settings!$B$3</f>
        <v>0.0619723021596408</v>
      </c>
      <c r="O266" s="60" t="n">
        <f aca="false">IF(E266&gt;0,(F266-N266)/SQRT(E266*Settings!$B$3*(1-Settings!$B$3)),0)</f>
        <v>3.82782306926152</v>
      </c>
      <c r="P266" s="60" t="n">
        <f aca="false">MAX(0,F266-N266)</f>
        <v>0.938027697840359</v>
      </c>
      <c r="Q266" s="32" t="n">
        <f aca="false">(F266+Settings!$B$7*Settings!$B$3)/(E266+Settings!$B$7)</f>
        <v>0.0602995166373316</v>
      </c>
      <c r="R266" s="61" t="n">
        <f aca="false">PERCENTRANK($H$2:$H$1780,H266,6)</f>
        <v>0.86108</v>
      </c>
      <c r="S266" s="61" t="n">
        <f aca="false">PERCENTRANK($Q$2:$Q$1780,Q266,6)</f>
        <v>0.946569</v>
      </c>
      <c r="T266" s="61" t="n">
        <f aca="false">PERCENTRANK($F$2:$F$1780,F266,6)</f>
        <v>0.685039</v>
      </c>
      <c r="U266" s="62" t="n">
        <f aca="false">IF(F266&gt;0,(Settings!$B$8*T266+Settings!$B$9*R266+Settings!$B$10*S266)/SUM(Settings!$B$8:$B$10),0)</f>
        <v>0.830896</v>
      </c>
      <c r="V266" s="56" t="n">
        <f aca="false">IF(U266&gt;0,RANK(U266,$U$2:$U$1780)+COUNTIF($U$2:U266,U266)-1,"")</f>
        <v>266</v>
      </c>
      <c r="W266" s="56" t="str">
        <f aca="false">IF(V266="","",IF(V266&lt;=Settings!$B$11,"1 - Fix first",IF(V266&lt;=Settings!$B$12,"2 - Review","3 - Monitor")))</f>
        <v>3 - Monitor</v>
      </c>
      <c r="X266" s="56" t="str">
        <f aca="false">IF(AND(E266&gt;=Settings!$B$4,F266&gt;=Settings!$B$5,O266&gt;=Settings!$B$6),"HIGH RATE","")</f>
        <v/>
      </c>
      <c r="Y266" s="56" t="n">
        <f aca="false">IF(F266&gt;0,RANK(F266,$F$2:$F$1780)+COUNTIF($F$2:F266,F266)-1,"")</f>
        <v>358</v>
      </c>
      <c r="Z266" s="56" t="n">
        <f aca="false">IF(H266&gt;0,RANK(H266,$H$2:$H$1780)+COUNTIF($H$2:H266,H266)-1,"")</f>
        <v>248</v>
      </c>
      <c r="AA266" s="56" t="str">
        <f aca="false">IF(AC266="","",RANK(AC266,$AC$2:$AC$1780)+COUNTIF($AC$2:AC266,AC266)-1)</f>
        <v/>
      </c>
      <c r="AB266" s="56" t="str">
        <f aca="false">IF(AD266="","",RANK(AD266,$AD$2:$AD$1780)+COUNTIF($AD$2:AD266,AD266)-1)</f>
        <v/>
      </c>
      <c r="AC266" s="56" t="str">
        <f aca="false">IF(AND(F266&gt;0,E266&gt;=Settings!$B$4),J266,"")</f>
        <v/>
      </c>
      <c r="AD266" s="56" t="str">
        <f aca="false">IF(X266="HIGH RATE",O266,"")</f>
        <v/>
      </c>
    </row>
    <row r="267" customFormat="false" ht="15" hidden="false" customHeight="false" outlineLevel="0" collapsed="false">
      <c r="A267" s="56" t="s">
        <v>1248</v>
      </c>
      <c r="B267" s="56" t="s">
        <v>1249</v>
      </c>
      <c r="C267" s="56" t="s">
        <v>51</v>
      </c>
      <c r="D267" s="56" t="str">
        <f aca="false">IFERROR(INDEX('Brand Map'!$B$4:$B$124,MATCH(C267,'Brand Map'!$A$4:$A$124,0)),"Other")</f>
        <v>AU</v>
      </c>
      <c r="E267" s="57" t="n">
        <v>28</v>
      </c>
      <c r="F267" s="57" t="n">
        <v>2</v>
      </c>
      <c r="G267" s="58" t="n">
        <v>2600.52</v>
      </c>
      <c r="H267" s="58" t="n">
        <v>154.46</v>
      </c>
      <c r="I267" s="58" t="n">
        <v>2401.78</v>
      </c>
      <c r="J267" s="32" t="n">
        <f aca="false">IF(E267&gt;0,F267/E267,0)</f>
        <v>0.0714285714285714</v>
      </c>
      <c r="K267" s="32" t="n">
        <f aca="false">IF(G267&gt;0,H267/G267,0)</f>
        <v>0.0593958131450633</v>
      </c>
      <c r="L267" s="59" t="n">
        <f aca="false">H267/Settings!$B$16</f>
        <v>0.000308692394923375</v>
      </c>
      <c r="M267" s="59" t="n">
        <f aca="false">H267/Settings!$B$20</f>
        <v>1.19914094648108E-005</v>
      </c>
      <c r="N267" s="60" t="n">
        <f aca="false">E267*Settings!$B$3</f>
        <v>0.867612230234972</v>
      </c>
      <c r="O267" s="60" t="n">
        <f aca="false">IF(E267&gt;0,(F267-N267)/SQRT(E267*Settings!$B$3*(1-Settings!$B$3)),0)</f>
        <v>1.23500110310298</v>
      </c>
      <c r="P267" s="60" t="n">
        <f aca="false">MAX(0,F267-N267)</f>
        <v>1.13238776976503</v>
      </c>
      <c r="Q267" s="32" t="n">
        <f aca="false">(F267+Settings!$B$7*Settings!$B$3)/(E267+Settings!$B$7)</f>
        <v>0.0505100781447347</v>
      </c>
      <c r="R267" s="61" t="n">
        <f aca="false">PERCENTRANK($H$2:$H$1780,H267,6)</f>
        <v>0.805962</v>
      </c>
      <c r="S267" s="61" t="n">
        <f aca="false">PERCENTRANK($Q$2:$Q$1780,Q267,6)</f>
        <v>0.886952</v>
      </c>
      <c r="T267" s="61" t="n">
        <f aca="false">PERCENTRANK($F$2:$F$1780,F267,6)</f>
        <v>0.799775</v>
      </c>
      <c r="U267" s="62" t="n">
        <f aca="false">IF(F267&gt;0,(Settings!$B$8*T267+Settings!$B$9*R267+Settings!$B$10*S267)/SUM(Settings!$B$8:$B$10),0)</f>
        <v>0.830896333333333</v>
      </c>
      <c r="V267" s="56" t="n">
        <f aca="false">IF(U267&gt;0,RANK(U267,$U$2:$U$1780)+COUNTIF($U$2:U267,U267)-1,"")</f>
        <v>265</v>
      </c>
      <c r="W267" s="56" t="str">
        <f aca="false">IF(V267="","",IF(V267&lt;=Settings!$B$11,"1 - Fix first",IF(V267&lt;=Settings!$B$12,"2 - Review","3 - Monitor")))</f>
        <v>3 - Monitor</v>
      </c>
      <c r="X267" s="56" t="str">
        <f aca="false">IF(AND(E267&gt;=Settings!$B$4,F267&gt;=Settings!$B$5,O267&gt;=Settings!$B$6),"HIGH RATE","")</f>
        <v/>
      </c>
      <c r="Y267" s="56" t="n">
        <f aca="false">IF(F267&gt;0,RANK(F267,$F$2:$F$1780)+COUNTIF($F$2:F267,F267)-1,"")</f>
        <v>315</v>
      </c>
      <c r="Z267" s="56" t="n">
        <f aca="false">IF(H267&gt;0,RANK(H267,$H$2:$H$1780)+COUNTIF($H$2:H267,H267)-1,"")</f>
        <v>346</v>
      </c>
      <c r="AA267" s="56" t="str">
        <f aca="false">IF(AC267="","",RANK(AC267,$AC$2:$AC$1780)+COUNTIF($AC$2:AC267,AC267)-1)</f>
        <v/>
      </c>
      <c r="AB267" s="56" t="str">
        <f aca="false">IF(AD267="","",RANK(AD267,$AD$2:$AD$1780)+COUNTIF($AD$2:AD267,AD267)-1)</f>
        <v/>
      </c>
      <c r="AC267" s="56" t="str">
        <f aca="false">IF(AND(F267&gt;0,E267&gt;=Settings!$B$4),J267,"")</f>
        <v/>
      </c>
      <c r="AD267" s="56" t="str">
        <f aca="false">IF(X267="HIGH RATE",O267,"")</f>
        <v/>
      </c>
    </row>
    <row r="268" customFormat="false" ht="15" hidden="false" customHeight="false" outlineLevel="0" collapsed="false">
      <c r="A268" s="56" t="s">
        <v>1250</v>
      </c>
      <c r="B268" s="56" t="s">
        <v>1251</v>
      </c>
      <c r="C268" s="56" t="s">
        <v>51</v>
      </c>
      <c r="D268" s="56" t="str">
        <f aca="false">IFERROR(INDEX('Brand Map'!$B$4:$B$124,MATCH(C268,'Brand Map'!$A$4:$A$124,0)),"Other")</f>
        <v>AU</v>
      </c>
      <c r="E268" s="57" t="n">
        <v>30</v>
      </c>
      <c r="F268" s="57" t="n">
        <v>2</v>
      </c>
      <c r="G268" s="58" t="n">
        <v>2714.99</v>
      </c>
      <c r="H268" s="58" t="n">
        <v>162.1</v>
      </c>
      <c r="I268" s="58" t="n">
        <v>2466.98</v>
      </c>
      <c r="J268" s="32" t="n">
        <f aca="false">IF(E268&gt;0,F268/E268,0)</f>
        <v>0.0666666666666667</v>
      </c>
      <c r="K268" s="32" t="n">
        <f aca="false">IF(G268&gt;0,H268/G268,0)</f>
        <v>0.0597055606097997</v>
      </c>
      <c r="L268" s="59" t="n">
        <f aca="false">H268/Settings!$B$16</f>
        <v>0.000323961136974486</v>
      </c>
      <c r="M268" s="59" t="n">
        <f aca="false">H268/Settings!$B$20</f>
        <v>1.25845362828294E-005</v>
      </c>
      <c r="N268" s="60" t="n">
        <f aca="false">E268*Settings!$B$3</f>
        <v>0.929584532394613</v>
      </c>
      <c r="O268" s="60" t="n">
        <f aca="false">IF(E268&gt;0,(F268-N268)/SQRT(E268*Settings!$B$3*(1-Settings!$B$3)),0)</f>
        <v>1.12782817484647</v>
      </c>
      <c r="P268" s="60" t="n">
        <f aca="false">MAX(0,F268-N268)</f>
        <v>1.07041546760539</v>
      </c>
      <c r="Q268" s="32" t="n">
        <f aca="false">(F268+Settings!$B$7*Settings!$B$3)/(E268+Settings!$B$7)</f>
        <v>0.0488264088732435</v>
      </c>
      <c r="R268" s="61" t="n">
        <f aca="false">PERCENTRANK($H$2:$H$1780,H268,6)</f>
        <v>0.812148</v>
      </c>
      <c r="S268" s="61" t="n">
        <f aca="false">PERCENTRANK($Q$2:$Q$1780,Q268,6)</f>
        <v>0.87739</v>
      </c>
      <c r="T268" s="61" t="n">
        <f aca="false">PERCENTRANK($F$2:$F$1780,F268,6)</f>
        <v>0.799775</v>
      </c>
      <c r="U268" s="62" t="n">
        <f aca="false">IF(F268&gt;0,(Settings!$B$8*T268+Settings!$B$9*R268+Settings!$B$10*S268)/SUM(Settings!$B$8:$B$10),0)</f>
        <v>0.829771</v>
      </c>
      <c r="V268" s="56" t="n">
        <f aca="false">IF(U268&gt;0,RANK(U268,$U$2:$U$1780)+COUNTIF($U$2:U268,U268)-1,"")</f>
        <v>267</v>
      </c>
      <c r="W268" s="56" t="str">
        <f aca="false">IF(V268="","",IF(V268&lt;=Settings!$B$11,"1 - Fix first",IF(V268&lt;=Settings!$B$12,"2 - Review","3 - Monitor")))</f>
        <v>3 - Monitor</v>
      </c>
      <c r="X268" s="56" t="str">
        <f aca="false">IF(AND(E268&gt;=Settings!$B$4,F268&gt;=Settings!$B$5,O268&gt;=Settings!$B$6),"HIGH RATE","")</f>
        <v/>
      </c>
      <c r="Y268" s="56" t="n">
        <f aca="false">IF(F268&gt;0,RANK(F268,$F$2:$F$1780)+COUNTIF($F$2:F268,F268)-1,"")</f>
        <v>316</v>
      </c>
      <c r="Z268" s="56" t="n">
        <f aca="false">IF(H268&gt;0,RANK(H268,$H$2:$H$1780)+COUNTIF($H$2:H268,H268)-1,"")</f>
        <v>335</v>
      </c>
      <c r="AA268" s="56" t="n">
        <f aca="false">IF(AC268="","",RANK(AC268,$AC$2:$AC$1780)+COUNTIF($AC$2:AC268,AC268)-1)</f>
        <v>49</v>
      </c>
      <c r="AB268" s="56" t="str">
        <f aca="false">IF(AD268="","",RANK(AD268,$AD$2:$AD$1780)+COUNTIF($AD$2:AD268,AD268)-1)</f>
        <v/>
      </c>
      <c r="AC268" s="32" t="n">
        <f aca="false">IF(AND(F268&gt;0,E268&gt;=Settings!$B$4),J268,"")</f>
        <v>0.0666666666666667</v>
      </c>
      <c r="AD268" s="56" t="str">
        <f aca="false">IF(X268="HIGH RATE",O268,"")</f>
        <v/>
      </c>
    </row>
    <row r="269" customFormat="false" ht="15" hidden="false" customHeight="false" outlineLevel="0" collapsed="false">
      <c r="A269" s="56" t="s">
        <v>1252</v>
      </c>
      <c r="B269" s="56" t="s">
        <v>1253</v>
      </c>
      <c r="C269" s="56" t="s">
        <v>151</v>
      </c>
      <c r="D269" s="56" t="str">
        <f aca="false">IFERROR(INDEX('Brand Map'!$B$4:$B$124,MATCH(C269,'Brand Map'!$A$4:$A$124,0)),"Other")</f>
        <v>WBAU</v>
      </c>
      <c r="E269" s="57" t="n">
        <v>73</v>
      </c>
      <c r="F269" s="57" t="n">
        <v>3</v>
      </c>
      <c r="G269" s="58" t="n">
        <v>5905.98</v>
      </c>
      <c r="H269" s="58" t="n">
        <v>247.87</v>
      </c>
      <c r="I269" s="58" t="n">
        <v>5408.75</v>
      </c>
      <c r="J269" s="32" t="n">
        <f aca="false">IF(E269&gt;0,F269/E269,0)</f>
        <v>0.0410958904109589</v>
      </c>
      <c r="K269" s="32" t="n">
        <f aca="false">IF(G269&gt;0,H269/G269,0)</f>
        <v>0.0419693260051676</v>
      </c>
      <c r="L269" s="59" t="n">
        <f aca="false">H269/Settings!$B$16</f>
        <v>0.000495374750289117</v>
      </c>
      <c r="M269" s="59" t="n">
        <f aca="false">H269/Settings!$B$20</f>
        <v>1.92432387934912E-005</v>
      </c>
      <c r="N269" s="60" t="n">
        <f aca="false">E269*Settings!$B$3</f>
        <v>2.26198902882689</v>
      </c>
      <c r="O269" s="60" t="n">
        <f aca="false">IF(E269&gt;0,(F269-N269)/SQRT(E269*Settings!$B$3*(1-Settings!$B$3)),0)</f>
        <v>0.498485556197131</v>
      </c>
      <c r="P269" s="60" t="n">
        <f aca="false">MAX(0,F269-N269)</f>
        <v>0.73801097117311</v>
      </c>
      <c r="Q269" s="32" t="n">
        <f aca="false">(F269+Settings!$B$7*Settings!$B$3)/(E269+Settings!$B$7)</f>
        <v>0.0381513061397535</v>
      </c>
      <c r="R269" s="61" t="n">
        <f aca="false">PERCENTRANK($H$2:$H$1780,H269,6)</f>
        <v>0.847582</v>
      </c>
      <c r="S269" s="61" t="n">
        <f aca="false">PERCENTRANK($Q$2:$Q$1780,Q269,6)</f>
        <v>0.7964</v>
      </c>
      <c r="T269" s="61" t="n">
        <f aca="false">PERCENTRANK($F$2:$F$1780,F269,6)</f>
        <v>0.84252</v>
      </c>
      <c r="U269" s="62" t="n">
        <f aca="false">IF(F269&gt;0,(Settings!$B$8*T269+Settings!$B$9*R269+Settings!$B$10*S269)/SUM(Settings!$B$8:$B$10),0)</f>
        <v>0.828834</v>
      </c>
      <c r="V269" s="56" t="n">
        <f aca="false">IF(U269&gt;0,RANK(U269,$U$2:$U$1780)+COUNTIF($U$2:U269,U269)-1,"")</f>
        <v>268</v>
      </c>
      <c r="W269" s="56" t="str">
        <f aca="false">IF(V269="","",IF(V269&lt;=Settings!$B$11,"1 - Fix first",IF(V269&lt;=Settings!$B$12,"2 - Review","3 - Monitor")))</f>
        <v>3 - Monitor</v>
      </c>
      <c r="X269" s="56" t="str">
        <f aca="false">IF(AND(E269&gt;=Settings!$B$4,F269&gt;=Settings!$B$5,O269&gt;=Settings!$B$6),"HIGH RATE","")</f>
        <v/>
      </c>
      <c r="Y269" s="56" t="n">
        <f aca="false">IF(F269&gt;0,RANK(F269,$F$2:$F$1780)+COUNTIF($F$2:F269,F269)-1,"")</f>
        <v>260</v>
      </c>
      <c r="Z269" s="56" t="n">
        <f aca="false">IF(H269&gt;0,RANK(H269,$H$2:$H$1780)+COUNTIF($H$2:H269,H269)-1,"")</f>
        <v>272</v>
      </c>
      <c r="AA269" s="56" t="n">
        <f aca="false">IF(AC269="","",RANK(AC269,$AC$2:$AC$1780)+COUNTIF($AC$2:AC269,AC269)-1)</f>
        <v>190</v>
      </c>
      <c r="AB269" s="56" t="str">
        <f aca="false">IF(AD269="","",RANK(AD269,$AD$2:$AD$1780)+COUNTIF($AD$2:AD269,AD269)-1)</f>
        <v/>
      </c>
      <c r="AC269" s="32" t="n">
        <f aca="false">IF(AND(F269&gt;0,E269&gt;=Settings!$B$4),J269,"")</f>
        <v>0.0410958904109589</v>
      </c>
      <c r="AD269" s="56" t="str">
        <f aca="false">IF(X269="HIGH RATE",O269,"")</f>
        <v/>
      </c>
    </row>
    <row r="270" customFormat="false" ht="15" hidden="false" customHeight="false" outlineLevel="0" collapsed="false">
      <c r="A270" s="56" t="s">
        <v>654</v>
      </c>
      <c r="B270" s="56" t="s">
        <v>655</v>
      </c>
      <c r="C270" s="56" t="s">
        <v>653</v>
      </c>
      <c r="D270" s="56" t="str">
        <f aca="false">IFERROR(INDEX('Brand Map'!$B$4:$B$124,MATCH(C270,'Brand Map'!$A$4:$A$124,0)),"Other")</f>
        <v>Other (small prefixes)</v>
      </c>
      <c r="E270" s="57" t="n">
        <v>32</v>
      </c>
      <c r="F270" s="57" t="n">
        <v>2</v>
      </c>
      <c r="G270" s="58" t="n">
        <v>2886.72</v>
      </c>
      <c r="H270" s="58" t="n">
        <v>172.63</v>
      </c>
      <c r="I270" s="58" t="n">
        <v>2633.27</v>
      </c>
      <c r="J270" s="32" t="n">
        <f aca="false">IF(E270&gt;0,F270/E270,0)</f>
        <v>0.0625</v>
      </c>
      <c r="K270" s="32" t="n">
        <f aca="false">IF(G270&gt;0,H270/G270,0)</f>
        <v>0.0598014355392972</v>
      </c>
      <c r="L270" s="59" t="n">
        <f aca="false">H270/Settings!$B$16</f>
        <v>0.000345005620455925</v>
      </c>
      <c r="M270" s="59" t="n">
        <f aca="false">H270/Settings!$B$20</f>
        <v>1.34020265176116E-005</v>
      </c>
      <c r="N270" s="60" t="n">
        <f aca="false">E270*Settings!$B$3</f>
        <v>0.991556834554253</v>
      </c>
      <c r="O270" s="60" t="n">
        <f aca="false">IF(E270&gt;0,(F270-N270)/SQRT(E270*Settings!$B$3*(1-Settings!$B$3)),0)</f>
        <v>1.02879211925715</v>
      </c>
      <c r="P270" s="60" t="n">
        <f aca="false">MAX(0,F270-N270)</f>
        <v>1.00844316544575</v>
      </c>
      <c r="Q270" s="32" t="n">
        <f aca="false">(F270+Settings!$B$7*Settings!$B$3)/(E270+Settings!$B$7)</f>
        <v>0.0472513634257196</v>
      </c>
      <c r="R270" s="61" t="n">
        <f aca="false">PERCENTRANK($H$2:$H$1780,H270,6)</f>
        <v>0.81946</v>
      </c>
      <c r="S270" s="61" t="n">
        <f aca="false">PERCENTRANK($Q$2:$Q$1780,Q270,6)</f>
        <v>0.866704</v>
      </c>
      <c r="T270" s="61" t="n">
        <f aca="false">PERCENTRANK($F$2:$F$1780,F270,6)</f>
        <v>0.799775</v>
      </c>
      <c r="U270" s="62" t="n">
        <f aca="false">IF(F270&gt;0,(Settings!$B$8*T270+Settings!$B$9*R270+Settings!$B$10*S270)/SUM(Settings!$B$8:$B$10),0)</f>
        <v>0.828646333333333</v>
      </c>
      <c r="V270" s="56" t="n">
        <f aca="false">IF(U270&gt;0,RANK(U270,$U$2:$U$1780)+COUNTIF($U$2:U270,U270)-1,"")</f>
        <v>269</v>
      </c>
      <c r="W270" s="56" t="str">
        <f aca="false">IF(V270="","",IF(V270&lt;=Settings!$B$11,"1 - Fix first",IF(V270&lt;=Settings!$B$12,"2 - Review","3 - Monitor")))</f>
        <v>3 - Monitor</v>
      </c>
      <c r="X270" s="56" t="str">
        <f aca="false">IF(AND(E270&gt;=Settings!$B$4,F270&gt;=Settings!$B$5,O270&gt;=Settings!$B$6),"HIGH RATE","")</f>
        <v/>
      </c>
      <c r="Y270" s="56" t="n">
        <f aca="false">IF(F270&gt;0,RANK(F270,$F$2:$F$1780)+COUNTIF($F$2:F270,F270)-1,"")</f>
        <v>317</v>
      </c>
      <c r="Z270" s="56" t="n">
        <f aca="false">IF(H270&gt;0,RANK(H270,$H$2:$H$1780)+COUNTIF($H$2:H270,H270)-1,"")</f>
        <v>322</v>
      </c>
      <c r="AA270" s="56" t="n">
        <f aca="false">IF(AC270="","",RANK(AC270,$AC$2:$AC$1780)+COUNTIF($AC$2:AC270,AC270)-1)</f>
        <v>62</v>
      </c>
      <c r="AB270" s="56" t="str">
        <f aca="false">IF(AD270="","",RANK(AD270,$AD$2:$AD$1780)+COUNTIF($AD$2:AD270,AD270)-1)</f>
        <v/>
      </c>
      <c r="AC270" s="32" t="n">
        <f aca="false">IF(AND(F270&gt;0,E270&gt;=Settings!$B$4),J270,"")</f>
        <v>0.0625</v>
      </c>
      <c r="AD270" s="56" t="str">
        <f aca="false">IF(X270="HIGH RATE",O270,"")</f>
        <v/>
      </c>
    </row>
    <row r="271" customFormat="false" ht="15" hidden="false" customHeight="false" outlineLevel="0" collapsed="false">
      <c r="A271" s="56" t="s">
        <v>1254</v>
      </c>
      <c r="B271" s="56" t="s">
        <v>1255</v>
      </c>
      <c r="C271" s="56" t="s">
        <v>51</v>
      </c>
      <c r="D271" s="56" t="str">
        <f aca="false">IFERROR(INDEX('Brand Map'!$B$4:$B$124,MATCH(C271,'Brand Map'!$A$4:$A$124,0)),"Other")</f>
        <v>AU</v>
      </c>
      <c r="E271" s="57" t="n">
        <v>46</v>
      </c>
      <c r="F271" s="57" t="n">
        <v>2</v>
      </c>
      <c r="G271" s="58" t="n">
        <v>8863.3</v>
      </c>
      <c r="H271" s="58" t="n">
        <v>381.73</v>
      </c>
      <c r="I271" s="58" t="n">
        <v>8245.8</v>
      </c>
      <c r="J271" s="32" t="n">
        <f aca="false">IF(E271&gt;0,F271/E271,0)</f>
        <v>0.0434782608695652</v>
      </c>
      <c r="K271" s="32" t="n">
        <f aca="false">IF(G271&gt;0,H271/G271,0)</f>
        <v>0.0430686087574606</v>
      </c>
      <c r="L271" s="59" t="n">
        <f aca="false">H271/Settings!$B$16</f>
        <v>0.000762897500414994</v>
      </c>
      <c r="M271" s="59" t="n">
        <f aca="false">H271/Settings!$B$20</f>
        <v>2.96353796128592E-005</v>
      </c>
      <c r="N271" s="60" t="n">
        <f aca="false">E271*Settings!$B$3</f>
        <v>1.42536294967174</v>
      </c>
      <c r="O271" s="60" t="n">
        <f aca="false">IF(E271&gt;0,(F271-N271)/SQRT(E271*Settings!$B$3*(1-Settings!$B$3)),0)</f>
        <v>0.48895163119942</v>
      </c>
      <c r="P271" s="60" t="n">
        <f aca="false">MAX(0,F271-N271)</f>
        <v>0.574637050328261</v>
      </c>
      <c r="Q271" s="32" t="n">
        <f aca="false">(F271+Settings!$B$7*Settings!$B$3)/(E271+Settings!$B$7)</f>
        <v>0.0385471648999291</v>
      </c>
      <c r="R271" s="61" t="n">
        <f aca="false">PERCENTRANK($H$2:$H$1780,H271,6)</f>
        <v>0.886952</v>
      </c>
      <c r="S271" s="61" t="n">
        <f aca="false">PERCENTRANK($Q$2:$Q$1780,Q271,6)</f>
        <v>0.798088</v>
      </c>
      <c r="T271" s="61" t="n">
        <f aca="false">PERCENTRANK($F$2:$F$1780,F271,6)</f>
        <v>0.799775</v>
      </c>
      <c r="U271" s="62" t="n">
        <f aca="false">IF(F271&gt;0,(Settings!$B$8*T271+Settings!$B$9*R271+Settings!$B$10*S271)/SUM(Settings!$B$8:$B$10),0)</f>
        <v>0.828271666666667</v>
      </c>
      <c r="V271" s="56" t="n">
        <f aca="false">IF(U271&gt;0,RANK(U271,$U$2:$U$1780)+COUNTIF($U$2:U271,U271)-1,"")</f>
        <v>270</v>
      </c>
      <c r="W271" s="56" t="str">
        <f aca="false">IF(V271="","",IF(V271&lt;=Settings!$B$11,"1 - Fix first",IF(V271&lt;=Settings!$B$12,"2 - Review","3 - Monitor")))</f>
        <v>3 - Monitor</v>
      </c>
      <c r="X271" s="56" t="str">
        <f aca="false">IF(AND(E271&gt;=Settings!$B$4,F271&gt;=Settings!$B$5,O271&gt;=Settings!$B$6),"HIGH RATE","")</f>
        <v/>
      </c>
      <c r="Y271" s="56" t="n">
        <f aca="false">IF(F271&gt;0,RANK(F271,$F$2:$F$1780)+COUNTIF($F$2:F271,F271)-1,"")</f>
        <v>318</v>
      </c>
      <c r="Z271" s="56" t="n">
        <f aca="false">IF(H271&gt;0,RANK(H271,$H$2:$H$1780)+COUNTIF($H$2:H271,H271)-1,"")</f>
        <v>202</v>
      </c>
      <c r="AA271" s="56" t="n">
        <f aca="false">IF(AC271="","",RANK(AC271,$AC$2:$AC$1780)+COUNTIF($AC$2:AC271,AC271)-1)</f>
        <v>167</v>
      </c>
      <c r="AB271" s="56" t="str">
        <f aca="false">IF(AD271="","",RANK(AD271,$AD$2:$AD$1780)+COUNTIF($AD$2:AD271,AD271)-1)</f>
        <v/>
      </c>
      <c r="AC271" s="32" t="n">
        <f aca="false">IF(AND(F271&gt;0,E271&gt;=Settings!$B$4),J271,"")</f>
        <v>0.0434782608695652</v>
      </c>
      <c r="AD271" s="56" t="str">
        <f aca="false">IF(X271="HIGH RATE",O271,"")</f>
        <v/>
      </c>
    </row>
    <row r="272" customFormat="false" ht="15" hidden="false" customHeight="false" outlineLevel="0" collapsed="false">
      <c r="A272" s="56" t="s">
        <v>1256</v>
      </c>
      <c r="B272" s="56" t="s">
        <v>958</v>
      </c>
      <c r="C272" s="56" t="s">
        <v>55</v>
      </c>
      <c r="D272" s="56" t="str">
        <f aca="false">IFERROR(INDEX('Brand Map'!$B$4:$B$124,MATCH(C272,'Brand Map'!$A$4:$A$124,0)),"Other")</f>
        <v>AUMJ</v>
      </c>
      <c r="E272" s="57" t="n">
        <v>26</v>
      </c>
      <c r="F272" s="57" t="n">
        <v>2</v>
      </c>
      <c r="G272" s="58" t="n">
        <v>1850.99</v>
      </c>
      <c r="H272" s="58" t="n">
        <v>121.51</v>
      </c>
      <c r="I272" s="58" t="n">
        <v>1654.14</v>
      </c>
      <c r="J272" s="32" t="n">
        <f aca="false">IF(E272&gt;0,F272/E272,0)</f>
        <v>0.0769230769230769</v>
      </c>
      <c r="K272" s="32" t="n">
        <f aca="false">IF(G272&gt;0,H272/G272,0)</f>
        <v>0.0656459516258867</v>
      </c>
      <c r="L272" s="59" t="n">
        <f aca="false">H272/Settings!$B$16</f>
        <v>0.000242840948511843</v>
      </c>
      <c r="M272" s="59" t="n">
        <f aca="false">H272/Settings!$B$20</f>
        <v>9.43335597610488E-006</v>
      </c>
      <c r="N272" s="60" t="n">
        <f aca="false">E272*Settings!$B$3</f>
        <v>0.805639928075331</v>
      </c>
      <c r="O272" s="60" t="n">
        <f aca="false">IF(E272&gt;0,(F272-N272)/SQRT(E272*Settings!$B$3*(1-Settings!$B$3)),0)</f>
        <v>1.35176062944975</v>
      </c>
      <c r="P272" s="60" t="n">
        <f aca="false">MAX(0,F272-N272)</f>
        <v>1.19436007192467</v>
      </c>
      <c r="Q272" s="32" t="n">
        <f aca="false">(F272+Settings!$B$7*Settings!$B$3)/(E272+Settings!$B$7)</f>
        <v>0.0523140095070467</v>
      </c>
      <c r="R272" s="61" t="n">
        <f aca="false">PERCENTRANK($H$2:$H$1780,H272,6)</f>
        <v>0.780652</v>
      </c>
      <c r="S272" s="61" t="n">
        <f aca="false">PERCENTRANK($Q$2:$Q$1780,Q272,6)</f>
        <v>0.904387</v>
      </c>
      <c r="T272" s="61" t="n">
        <f aca="false">PERCENTRANK($F$2:$F$1780,F272,6)</f>
        <v>0.799775</v>
      </c>
      <c r="U272" s="62" t="n">
        <f aca="false">IF(F272&gt;0,(Settings!$B$8*T272+Settings!$B$9*R272+Settings!$B$10*S272)/SUM(Settings!$B$8:$B$10),0)</f>
        <v>0.828271333333333</v>
      </c>
      <c r="V272" s="56" t="n">
        <f aca="false">IF(U272&gt;0,RANK(U272,$U$2:$U$1780)+COUNTIF($U$2:U272,U272)-1,"")</f>
        <v>271</v>
      </c>
      <c r="W272" s="56" t="str">
        <f aca="false">IF(V272="","",IF(V272&lt;=Settings!$B$11,"1 - Fix first",IF(V272&lt;=Settings!$B$12,"2 - Review","3 - Monitor")))</f>
        <v>3 - Monitor</v>
      </c>
      <c r="X272" s="56" t="str">
        <f aca="false">IF(AND(E272&gt;=Settings!$B$4,F272&gt;=Settings!$B$5,O272&gt;=Settings!$B$6),"HIGH RATE","")</f>
        <v/>
      </c>
      <c r="Y272" s="56" t="n">
        <f aca="false">IF(F272&gt;0,RANK(F272,$F$2:$F$1780)+COUNTIF($F$2:F272,F272)-1,"")</f>
        <v>319</v>
      </c>
      <c r="Z272" s="56" t="n">
        <f aca="false">IF(H272&gt;0,RANK(H272,$H$2:$H$1780)+COUNTIF($H$2:H272,H272)-1,"")</f>
        <v>391</v>
      </c>
      <c r="AA272" s="56" t="str">
        <f aca="false">IF(AC272="","",RANK(AC272,$AC$2:$AC$1780)+COUNTIF($AC$2:AC272,AC272)-1)</f>
        <v/>
      </c>
      <c r="AB272" s="56" t="str">
        <f aca="false">IF(AD272="","",RANK(AD272,$AD$2:$AD$1780)+COUNTIF($AD$2:AD272,AD272)-1)</f>
        <v/>
      </c>
      <c r="AC272" s="56" t="str">
        <f aca="false">IF(AND(F272&gt;0,E272&gt;=Settings!$B$4),J272,"")</f>
        <v/>
      </c>
      <c r="AD272" s="56" t="str">
        <f aca="false">IF(X272="HIGH RATE",O272,"")</f>
        <v/>
      </c>
    </row>
    <row r="273" customFormat="false" ht="15" hidden="false" customHeight="false" outlineLevel="0" collapsed="false">
      <c r="A273" s="56" t="s">
        <v>618</v>
      </c>
      <c r="B273" s="56" t="s">
        <v>619</v>
      </c>
      <c r="C273" s="56" t="s">
        <v>617</v>
      </c>
      <c r="D273" s="56" t="str">
        <f aca="false">IFERROR(INDEX('Brand Map'!$B$4:$B$124,MATCH(C273,'Brand Map'!$A$4:$A$124,0)),"Other")</f>
        <v>Other (small prefixes)</v>
      </c>
      <c r="E273" s="57" t="n">
        <v>132</v>
      </c>
      <c r="F273" s="57" t="n">
        <v>4</v>
      </c>
      <c r="G273" s="58" t="n">
        <v>9893.4</v>
      </c>
      <c r="H273" s="58" t="n">
        <v>299.8</v>
      </c>
      <c r="I273" s="58" t="n">
        <v>9593.6</v>
      </c>
      <c r="J273" s="32" t="n">
        <f aca="false">IF(E273&gt;0,F273/E273,0)</f>
        <v>0.0303030303030303</v>
      </c>
      <c r="K273" s="32" t="n">
        <f aca="false">IF(G273&gt;0,H273/G273,0)</f>
        <v>0.0303030303030303</v>
      </c>
      <c r="L273" s="59" t="n">
        <f aca="false">H273/Settings!$B$16</f>
        <v>0.000599158228654848</v>
      </c>
      <c r="M273" s="59" t="n">
        <f aca="false">H273/Settings!$B$20</f>
        <v>2.32747931992119E-005</v>
      </c>
      <c r="N273" s="60" t="n">
        <f aca="false">E273*Settings!$B$3</f>
        <v>4.0901719425363</v>
      </c>
      <c r="O273" s="60" t="n">
        <f aca="false">IF(E273&gt;0,(F273-N273)/SQRT(E273*Settings!$B$3*(1-Settings!$B$3)),0)</f>
        <v>-0.0452934759557105</v>
      </c>
      <c r="P273" s="60" t="n">
        <f aca="false">MAX(0,F273-N273)</f>
        <v>0</v>
      </c>
      <c r="Q273" s="32" t="n">
        <f aca="false">(F273+Settings!$B$7*Settings!$B$3)/(E273+Settings!$B$7)</f>
        <v>0.030429534150584</v>
      </c>
      <c r="R273" s="61" t="n">
        <f aca="false">PERCENTRANK($H$2:$H$1780,H273,6)</f>
        <v>0.86333</v>
      </c>
      <c r="S273" s="61" t="n">
        <f aca="false">PERCENTRANK($Q$2:$Q$1780,Q273,6)</f>
        <v>0.744094</v>
      </c>
      <c r="T273" s="61" t="n">
        <f aca="false">PERCENTRANK($F$2:$F$1780,F273,6)</f>
        <v>0.871766</v>
      </c>
      <c r="U273" s="62" t="n">
        <f aca="false">IF(F273&gt;0,(Settings!$B$8*T273+Settings!$B$9*R273+Settings!$B$10*S273)/SUM(Settings!$B$8:$B$10),0)</f>
        <v>0.826396666666667</v>
      </c>
      <c r="V273" s="56" t="n">
        <f aca="false">IF(U273&gt;0,RANK(U273,$U$2:$U$1780)+COUNTIF($U$2:U273,U273)-1,"")</f>
        <v>272</v>
      </c>
      <c r="W273" s="56" t="str">
        <f aca="false">IF(V273="","",IF(V273&lt;=Settings!$B$11,"1 - Fix first",IF(V273&lt;=Settings!$B$12,"2 - Review","3 - Monitor")))</f>
        <v>3 - Monitor</v>
      </c>
      <c r="X273" s="56" t="str">
        <f aca="false">IF(AND(E273&gt;=Settings!$B$4,F273&gt;=Settings!$B$5,O273&gt;=Settings!$B$6),"HIGH RATE","")</f>
        <v/>
      </c>
      <c r="Y273" s="56" t="n">
        <f aca="false">IF(F273&gt;0,RANK(F273,$F$2:$F$1780)+COUNTIF($F$2:F273,F273)-1,"")</f>
        <v>225</v>
      </c>
      <c r="Z273" s="56" t="n">
        <f aca="false">IF(H273&gt;0,RANK(H273,$H$2:$H$1780)+COUNTIF($H$2:H273,H273)-1,"")</f>
        <v>244</v>
      </c>
      <c r="AA273" s="56" t="n">
        <f aca="false">IF(AC273="","",RANK(AC273,$AC$2:$AC$1780)+COUNTIF($AC$2:AC273,AC273)-1)</f>
        <v>259</v>
      </c>
      <c r="AB273" s="56" t="str">
        <f aca="false">IF(AD273="","",RANK(AD273,$AD$2:$AD$1780)+COUNTIF($AD$2:AD273,AD273)-1)</f>
        <v/>
      </c>
      <c r="AC273" s="32" t="n">
        <f aca="false">IF(AND(F273&gt;0,E273&gt;=Settings!$B$4),J273,"")</f>
        <v>0.0303030303030303</v>
      </c>
      <c r="AD273" s="56" t="str">
        <f aca="false">IF(X273="HIGH RATE",O273,"")</f>
        <v/>
      </c>
    </row>
    <row r="274" customFormat="false" ht="15" hidden="false" customHeight="false" outlineLevel="0" collapsed="false">
      <c r="A274" s="56" t="s">
        <v>1257</v>
      </c>
      <c r="B274" s="56" t="s">
        <v>1258</v>
      </c>
      <c r="C274" s="56" t="s">
        <v>51</v>
      </c>
      <c r="D274" s="56" t="str">
        <f aca="false">IFERROR(INDEX('Brand Map'!$B$4:$B$124,MATCH(C274,'Brand Map'!$A$4:$A$124,0)),"Other")</f>
        <v>AU</v>
      </c>
      <c r="E274" s="57" t="n">
        <v>17</v>
      </c>
      <c r="F274" s="57" t="n">
        <v>2</v>
      </c>
      <c r="G274" s="58" t="n">
        <v>578.26</v>
      </c>
      <c r="H274" s="58" t="n">
        <v>66.72</v>
      </c>
      <c r="I274" s="58" t="n">
        <v>508.36</v>
      </c>
      <c r="J274" s="32" t="n">
        <f aca="false">IF(E274&gt;0,F274/E274,0)</f>
        <v>0.117647058823529</v>
      </c>
      <c r="K274" s="32" t="n">
        <f aca="false">IF(G274&gt;0,H274/G274,0)</f>
        <v>0.115380624632518</v>
      </c>
      <c r="L274" s="59" t="n">
        <f aca="false">H274/Settings!$B$16</f>
        <v>0.000133341684509178</v>
      </c>
      <c r="M274" s="59" t="n">
        <f aca="false">H274/Settings!$B$20</f>
        <v>5.17976718562849E-006</v>
      </c>
      <c r="N274" s="60" t="n">
        <f aca="false">E274*Settings!$B$3</f>
        <v>0.526764568356947</v>
      </c>
      <c r="O274" s="60" t="n">
        <f aca="false">IF(E274&gt;0,(F274-N274)/SQRT(E274*Settings!$B$3*(1-Settings!$B$3)),0)</f>
        <v>2.06204854609008</v>
      </c>
      <c r="P274" s="60" t="n">
        <f aca="false">MAX(0,F274-N274)</f>
        <v>1.47323543164305</v>
      </c>
      <c r="Q274" s="32" t="n">
        <f aca="false">(F274+Settings!$B$7*Settings!$B$3)/(E274+Settings!$B$7)</f>
        <v>0.0623315857956301</v>
      </c>
      <c r="R274" s="61" t="n">
        <f aca="false">PERCENTRANK($H$2:$H$1780,H274,6)</f>
        <v>0.71991</v>
      </c>
      <c r="S274" s="61" t="n">
        <f aca="false">PERCENTRANK($Q$2:$Q$1780,Q274,6)</f>
        <v>0.957818</v>
      </c>
      <c r="T274" s="61" t="n">
        <f aca="false">PERCENTRANK($F$2:$F$1780,F274,6)</f>
        <v>0.799775</v>
      </c>
      <c r="U274" s="62" t="n">
        <f aca="false">IF(F274&gt;0,(Settings!$B$8*T274+Settings!$B$9*R274+Settings!$B$10*S274)/SUM(Settings!$B$8:$B$10),0)</f>
        <v>0.825834333333333</v>
      </c>
      <c r="V274" s="56" t="n">
        <f aca="false">IF(U274&gt;0,RANK(U274,$U$2:$U$1780)+COUNTIF($U$2:U274,U274)-1,"")</f>
        <v>273</v>
      </c>
      <c r="W274" s="56" t="str">
        <f aca="false">IF(V274="","",IF(V274&lt;=Settings!$B$11,"1 - Fix first",IF(V274&lt;=Settings!$B$12,"2 - Review","3 - Monitor")))</f>
        <v>3 - Monitor</v>
      </c>
      <c r="X274" s="56" t="str">
        <f aca="false">IF(AND(E274&gt;=Settings!$B$4,F274&gt;=Settings!$B$5,O274&gt;=Settings!$B$6),"HIGH RATE","")</f>
        <v/>
      </c>
      <c r="Y274" s="56" t="n">
        <f aca="false">IF(F274&gt;0,RANK(F274,$F$2:$F$1780)+COUNTIF($F$2:F274,F274)-1,"")</f>
        <v>320</v>
      </c>
      <c r="Z274" s="56" t="n">
        <f aca="false">IF(H274&gt;0,RANK(H274,$H$2:$H$1780)+COUNTIF($H$2:H274,H274)-1,"")</f>
        <v>499</v>
      </c>
      <c r="AA274" s="56" t="str">
        <f aca="false">IF(AC274="","",RANK(AC274,$AC$2:$AC$1780)+COUNTIF($AC$2:AC274,AC274)-1)</f>
        <v/>
      </c>
      <c r="AB274" s="56" t="str">
        <f aca="false">IF(AD274="","",RANK(AD274,$AD$2:$AD$1780)+COUNTIF($AD$2:AD274,AD274)-1)</f>
        <v/>
      </c>
      <c r="AC274" s="56" t="str">
        <f aca="false">IF(AND(F274&gt;0,E274&gt;=Settings!$B$4),J274,"")</f>
        <v/>
      </c>
      <c r="AD274" s="56" t="str">
        <f aca="false">IF(X274="HIGH RATE",O274,"")</f>
        <v/>
      </c>
    </row>
    <row r="275" customFormat="false" ht="15" hidden="false" customHeight="false" outlineLevel="0" collapsed="false">
      <c r="A275" s="56" t="s">
        <v>1259</v>
      </c>
      <c r="B275" s="56" t="s">
        <v>1260</v>
      </c>
      <c r="C275" s="56" t="s">
        <v>51</v>
      </c>
      <c r="D275" s="56" t="str">
        <f aca="false">IFERROR(INDEX('Brand Map'!$B$4:$B$124,MATCH(C275,'Brand Map'!$A$4:$A$124,0)),"Other")</f>
        <v>AU</v>
      </c>
      <c r="E275" s="57" t="n">
        <v>2</v>
      </c>
      <c r="F275" s="57" t="n">
        <v>1</v>
      </c>
      <c r="G275" s="58" t="n">
        <v>475.65</v>
      </c>
      <c r="H275" s="58" t="n">
        <v>239.05</v>
      </c>
      <c r="I275" s="58" t="n">
        <v>236.6</v>
      </c>
      <c r="J275" s="32" t="n">
        <f aca="false">IF(E275&gt;0,F275/E275,0)</f>
        <v>0.5</v>
      </c>
      <c r="K275" s="32" t="n">
        <f aca="false">IF(G275&gt;0,H275/G275,0)</f>
        <v>0.502575423105225</v>
      </c>
      <c r="L275" s="59" t="n">
        <f aca="false">H275/Settings!$B$16</f>
        <v>0.000477747747031159</v>
      </c>
      <c r="M275" s="59" t="n">
        <f aca="false">H275/Settings!$B$20</f>
        <v>1.85585033831608E-005</v>
      </c>
      <c r="N275" s="60" t="n">
        <f aca="false">E275*Settings!$B$3</f>
        <v>0.0619723021596408</v>
      </c>
      <c r="O275" s="60" t="n">
        <f aca="false">IF(E275&gt;0,(F275-N275)/SQRT(E275*Settings!$B$3*(1-Settings!$B$3)),0)</f>
        <v>3.82782306926152</v>
      </c>
      <c r="P275" s="60" t="n">
        <f aca="false">MAX(0,F275-N275)</f>
        <v>0.938027697840359</v>
      </c>
      <c r="Q275" s="32" t="n">
        <f aca="false">(F275+Settings!$B$7*Settings!$B$3)/(E275+Settings!$B$7)</f>
        <v>0.0602995166373316</v>
      </c>
      <c r="R275" s="61" t="n">
        <f aca="false">PERCENTRANK($H$2:$H$1780,H275,6)</f>
        <v>0.844207</v>
      </c>
      <c r="S275" s="61" t="n">
        <f aca="false">PERCENTRANK($Q$2:$Q$1780,Q275,6)</f>
        <v>0.946569</v>
      </c>
      <c r="T275" s="61" t="n">
        <f aca="false">PERCENTRANK($F$2:$F$1780,F275,6)</f>
        <v>0.685039</v>
      </c>
      <c r="U275" s="62" t="n">
        <f aca="false">IF(F275&gt;0,(Settings!$B$8*T275+Settings!$B$9*R275+Settings!$B$10*S275)/SUM(Settings!$B$8:$B$10),0)</f>
        <v>0.825271666666667</v>
      </c>
      <c r="V275" s="56" t="n">
        <f aca="false">IF(U275&gt;0,RANK(U275,$U$2:$U$1780)+COUNTIF($U$2:U275,U275)-1,"")</f>
        <v>274</v>
      </c>
      <c r="W275" s="56" t="str">
        <f aca="false">IF(V275="","",IF(V275&lt;=Settings!$B$11,"1 - Fix first",IF(V275&lt;=Settings!$B$12,"2 - Review","3 - Monitor")))</f>
        <v>3 - Monitor</v>
      </c>
      <c r="X275" s="56" t="str">
        <f aca="false">IF(AND(E275&gt;=Settings!$B$4,F275&gt;=Settings!$B$5,O275&gt;=Settings!$B$6),"HIGH RATE","")</f>
        <v/>
      </c>
      <c r="Y275" s="56" t="n">
        <f aca="false">IF(F275&gt;0,RANK(F275,$F$2:$F$1780)+COUNTIF($F$2:F275,F275)-1,"")</f>
        <v>359</v>
      </c>
      <c r="Z275" s="56" t="n">
        <f aca="false">IF(H275&gt;0,RANK(H275,$H$2:$H$1780)+COUNTIF($H$2:H275,H275)-1,"")</f>
        <v>278</v>
      </c>
      <c r="AA275" s="56" t="str">
        <f aca="false">IF(AC275="","",RANK(AC275,$AC$2:$AC$1780)+COUNTIF($AC$2:AC275,AC275)-1)</f>
        <v/>
      </c>
      <c r="AB275" s="56" t="str">
        <f aca="false">IF(AD275="","",RANK(AD275,$AD$2:$AD$1780)+COUNTIF($AD$2:AD275,AD275)-1)</f>
        <v/>
      </c>
      <c r="AC275" s="56" t="str">
        <f aca="false">IF(AND(F275&gt;0,E275&gt;=Settings!$B$4),J275,"")</f>
        <v/>
      </c>
      <c r="AD275" s="56" t="str">
        <f aca="false">IF(X275="HIGH RATE",O275,"")</f>
        <v/>
      </c>
    </row>
    <row r="276" customFormat="false" ht="15" hidden="false" customHeight="false" outlineLevel="0" collapsed="false">
      <c r="A276" s="56" t="s">
        <v>1261</v>
      </c>
      <c r="B276" s="56" t="s">
        <v>1262</v>
      </c>
      <c r="C276" s="56" t="s">
        <v>51</v>
      </c>
      <c r="D276" s="56" t="str">
        <f aca="false">IFERROR(INDEX('Brand Map'!$B$4:$B$124,MATCH(C276,'Brand Map'!$A$4:$A$124,0)),"Other")</f>
        <v>AU</v>
      </c>
      <c r="E276" s="57" t="n">
        <v>5</v>
      </c>
      <c r="F276" s="57" t="n">
        <v>1</v>
      </c>
      <c r="G276" s="58" t="n">
        <v>1519.28</v>
      </c>
      <c r="H276" s="58" t="n">
        <v>311.53</v>
      </c>
      <c r="I276" s="58" t="n">
        <v>1207.75</v>
      </c>
      <c r="J276" s="32" t="n">
        <f aca="false">IF(E276&gt;0,F276/E276,0)</f>
        <v>0.2</v>
      </c>
      <c r="K276" s="32" t="n">
        <f aca="false">IF(G276&gt;0,H276/G276,0)</f>
        <v>0.205051076825865</v>
      </c>
      <c r="L276" s="59" t="n">
        <f aca="false">H276/Settings!$B$16</f>
        <v>0.000622600943872064</v>
      </c>
      <c r="M276" s="59" t="n">
        <f aca="false">H276/Settings!$B$20</f>
        <v>2.41854447143112E-005</v>
      </c>
      <c r="N276" s="60" t="n">
        <f aca="false">E276*Settings!$B$3</f>
        <v>0.154930755399102</v>
      </c>
      <c r="O276" s="60" t="n">
        <f aca="false">IF(E276&gt;0,(F276-N276)/SQRT(E276*Settings!$B$3*(1-Settings!$B$3)),0)</f>
        <v>2.18101415975909</v>
      </c>
      <c r="P276" s="60" t="n">
        <f aca="false">MAX(0,F276-N276)</f>
        <v>0.845069244600898</v>
      </c>
      <c r="Q276" s="32" t="n">
        <f aca="false">(F276+Settings!$B$7*Settings!$B$3)/(E276+Settings!$B$7)</f>
        <v>0.0551309866398461</v>
      </c>
      <c r="R276" s="61" t="n">
        <f aca="false">PERCENTRANK($H$2:$H$1780,H276,6)</f>
        <v>0.869516</v>
      </c>
      <c r="S276" s="61" t="n">
        <f aca="false">PERCENTRANK($Q$2:$Q$1780,Q276,6)</f>
        <v>0.920697</v>
      </c>
      <c r="T276" s="61" t="n">
        <f aca="false">PERCENTRANK($F$2:$F$1780,F276,6)</f>
        <v>0.685039</v>
      </c>
      <c r="U276" s="62" t="n">
        <f aca="false">IF(F276&gt;0,(Settings!$B$8*T276+Settings!$B$9*R276+Settings!$B$10*S276)/SUM(Settings!$B$8:$B$10),0)</f>
        <v>0.825084</v>
      </c>
      <c r="V276" s="56" t="n">
        <f aca="false">IF(U276&gt;0,RANK(U276,$U$2:$U$1780)+COUNTIF($U$2:U276,U276)-1,"")</f>
        <v>275</v>
      </c>
      <c r="W276" s="56" t="str">
        <f aca="false">IF(V276="","",IF(V276&lt;=Settings!$B$11,"1 - Fix first",IF(V276&lt;=Settings!$B$12,"2 - Review","3 - Monitor")))</f>
        <v>3 - Monitor</v>
      </c>
      <c r="X276" s="56" t="str">
        <f aca="false">IF(AND(E276&gt;=Settings!$B$4,F276&gt;=Settings!$B$5,O276&gt;=Settings!$B$6),"HIGH RATE","")</f>
        <v/>
      </c>
      <c r="Y276" s="56" t="n">
        <f aca="false">IF(F276&gt;0,RANK(F276,$F$2:$F$1780)+COUNTIF($F$2:F276,F276)-1,"")</f>
        <v>360</v>
      </c>
      <c r="Z276" s="56" t="n">
        <f aca="false">IF(H276&gt;0,RANK(H276,$H$2:$H$1780)+COUNTIF($H$2:H276,H276)-1,"")</f>
        <v>233</v>
      </c>
      <c r="AA276" s="56" t="str">
        <f aca="false">IF(AC276="","",RANK(AC276,$AC$2:$AC$1780)+COUNTIF($AC$2:AC276,AC276)-1)</f>
        <v/>
      </c>
      <c r="AB276" s="56" t="str">
        <f aca="false">IF(AD276="","",RANK(AD276,$AD$2:$AD$1780)+COUNTIF($AD$2:AD276,AD276)-1)</f>
        <v/>
      </c>
      <c r="AC276" s="56" t="str">
        <f aca="false">IF(AND(F276&gt;0,E276&gt;=Settings!$B$4),J276,"")</f>
        <v/>
      </c>
      <c r="AD276" s="56" t="str">
        <f aca="false">IF(X276="HIGH RATE",O276,"")</f>
        <v/>
      </c>
    </row>
    <row r="277" customFormat="false" ht="15" hidden="false" customHeight="false" outlineLevel="0" collapsed="false">
      <c r="A277" s="56" t="s">
        <v>1263</v>
      </c>
      <c r="B277" s="56" t="s">
        <v>1264</v>
      </c>
      <c r="C277" s="56" t="s">
        <v>623</v>
      </c>
      <c r="D277" s="56" t="str">
        <f aca="false">IFERROR(INDEX('Brand Map'!$B$4:$B$124,MATCH(C277,'Brand Map'!$A$4:$A$124,0)),"Other")</f>
        <v>Other (small prefixes)</v>
      </c>
      <c r="E277" s="57" t="n">
        <v>36</v>
      </c>
      <c r="F277" s="57" t="n">
        <v>2</v>
      </c>
      <c r="G277" s="58" t="n">
        <v>3368.63</v>
      </c>
      <c r="H277" s="58" t="n">
        <v>212.41</v>
      </c>
      <c r="I277" s="58" t="n">
        <v>3008.97</v>
      </c>
      <c r="J277" s="32" t="n">
        <f aca="false">IF(E277&gt;0,F277/E277,0)</f>
        <v>0.0555555555555556</v>
      </c>
      <c r="K277" s="32" t="n">
        <f aca="false">IF(G277&gt;0,H277/G277,0)</f>
        <v>0.0630553073504659</v>
      </c>
      <c r="L277" s="59" t="n">
        <f aca="false">H277/Settings!$B$16</f>
        <v>0.000424507002496919</v>
      </c>
      <c r="M277" s="59" t="n">
        <f aca="false">H277/Settings!$B$20</f>
        <v>1.64903229601221E-005</v>
      </c>
      <c r="N277" s="60" t="n">
        <f aca="false">E277*Settings!$B$3</f>
        <v>1.11550143887354</v>
      </c>
      <c r="O277" s="60" t="n">
        <f aca="false">IF(E277&gt;0,(F277-N277)/SQRT(E277*Settings!$B$3*(1-Settings!$B$3)),0)</f>
        <v>0.850740427987713</v>
      </c>
      <c r="P277" s="60" t="n">
        <f aca="false">MAX(0,F277-N277)</f>
        <v>0.884498561126465</v>
      </c>
      <c r="Q277" s="32" t="n">
        <f aca="false">(F277+Settings!$B$7*Settings!$B$3)/(E277+Settings!$B$7)</f>
        <v>0.0443876444302214</v>
      </c>
      <c r="R277" s="61" t="n">
        <f aca="false">PERCENTRANK($H$2:$H$1780,H277,6)</f>
        <v>0.830146</v>
      </c>
      <c r="S277" s="61" t="n">
        <f aca="false">PERCENTRANK($Q$2:$Q$1780,Q277,6)</f>
        <v>0.84252</v>
      </c>
      <c r="T277" s="61" t="n">
        <f aca="false">PERCENTRANK($F$2:$F$1780,F277,6)</f>
        <v>0.799775</v>
      </c>
      <c r="U277" s="62" t="n">
        <f aca="false">IF(F277&gt;0,(Settings!$B$8*T277+Settings!$B$9*R277+Settings!$B$10*S277)/SUM(Settings!$B$8:$B$10),0)</f>
        <v>0.824147</v>
      </c>
      <c r="V277" s="56" t="n">
        <f aca="false">IF(U277&gt;0,RANK(U277,$U$2:$U$1780)+COUNTIF($U$2:U277,U277)-1,"")</f>
        <v>276</v>
      </c>
      <c r="W277" s="56" t="str">
        <f aca="false">IF(V277="","",IF(V277&lt;=Settings!$B$11,"1 - Fix first",IF(V277&lt;=Settings!$B$12,"2 - Review","3 - Monitor")))</f>
        <v>3 - Monitor</v>
      </c>
      <c r="X277" s="56" t="str">
        <f aca="false">IF(AND(E277&gt;=Settings!$B$4,F277&gt;=Settings!$B$5,O277&gt;=Settings!$B$6),"HIGH RATE","")</f>
        <v/>
      </c>
      <c r="Y277" s="56" t="n">
        <f aca="false">IF(F277&gt;0,RANK(F277,$F$2:$F$1780)+COUNTIF($F$2:F277,F277)-1,"")</f>
        <v>321</v>
      </c>
      <c r="Z277" s="56" t="n">
        <f aca="false">IF(H277&gt;0,RANK(H277,$H$2:$H$1780)+COUNTIF($H$2:H277,H277)-1,"")</f>
        <v>303</v>
      </c>
      <c r="AA277" s="56" t="n">
        <f aca="false">IF(AC277="","",RANK(AC277,$AC$2:$AC$1780)+COUNTIF($AC$2:AC277,AC277)-1)</f>
        <v>91</v>
      </c>
      <c r="AB277" s="56" t="str">
        <f aca="false">IF(AD277="","",RANK(AD277,$AD$2:$AD$1780)+COUNTIF($AD$2:AD277,AD277)-1)</f>
        <v/>
      </c>
      <c r="AC277" s="32" t="n">
        <f aca="false">IF(AND(F277&gt;0,E277&gt;=Settings!$B$4),J277,"")</f>
        <v>0.0555555555555556</v>
      </c>
      <c r="AD277" s="56" t="str">
        <f aca="false">IF(X277="HIGH RATE",O277,"")</f>
        <v/>
      </c>
    </row>
    <row r="278" customFormat="false" ht="15" hidden="false" customHeight="false" outlineLevel="0" collapsed="false">
      <c r="A278" s="56" t="s">
        <v>1265</v>
      </c>
      <c r="B278" s="56" t="s">
        <v>1266</v>
      </c>
      <c r="C278" s="56" t="s">
        <v>51</v>
      </c>
      <c r="D278" s="56" t="str">
        <f aca="false">IFERROR(INDEX('Brand Map'!$B$4:$B$124,MATCH(C278,'Brand Map'!$A$4:$A$124,0)),"Other")</f>
        <v>AU</v>
      </c>
      <c r="E278" s="57" t="n">
        <v>6</v>
      </c>
      <c r="F278" s="57" t="n">
        <v>1</v>
      </c>
      <c r="G278" s="58" t="n">
        <v>2051.55</v>
      </c>
      <c r="H278" s="58" t="n">
        <v>336.32</v>
      </c>
      <c r="I278" s="58" t="n">
        <v>1715.23</v>
      </c>
      <c r="J278" s="32" t="n">
        <f aca="false">IF(E278&gt;0,F278/E278,0)</f>
        <v>0.166666666666667</v>
      </c>
      <c r="K278" s="32" t="n">
        <f aca="false">IF(G278&gt;0,H278/G278,0)</f>
        <v>0.163934586044698</v>
      </c>
      <c r="L278" s="59" t="n">
        <f aca="false">H278/Settings!$B$16</f>
        <v>0.000672144414480315</v>
      </c>
      <c r="M278" s="59" t="n">
        <f aca="false">H278/Settings!$B$20</f>
        <v>2.61100014968611E-005</v>
      </c>
      <c r="N278" s="60" t="n">
        <f aca="false">E278*Settings!$B$3</f>
        <v>0.185916906478923</v>
      </c>
      <c r="O278" s="60" t="n">
        <f aca="false">IF(E278&gt;0,(F278-N278)/SQRT(E278*Settings!$B$3*(1-Settings!$B$3)),0)</f>
        <v>1.91798100360216</v>
      </c>
      <c r="P278" s="60" t="n">
        <f aca="false">MAX(0,F278-N278)</f>
        <v>0.814083093521077</v>
      </c>
      <c r="Q278" s="32" t="n">
        <f aca="false">(F278+Settings!$B$7*Settings!$B$3)/(E278+Settings!$B$7)</f>
        <v>0.0535995703442948</v>
      </c>
      <c r="R278" s="61" t="n">
        <f aca="false">PERCENTRANK($H$2:$H$1780,H278,6)</f>
        <v>0.874578</v>
      </c>
      <c r="S278" s="61" t="n">
        <f aca="false">PERCENTRANK($Q$2:$Q$1780,Q278,6)</f>
        <v>0.909449</v>
      </c>
      <c r="T278" s="61" t="n">
        <f aca="false">PERCENTRANK($F$2:$F$1780,F278,6)</f>
        <v>0.685039</v>
      </c>
      <c r="U278" s="62" t="n">
        <f aca="false">IF(F278&gt;0,(Settings!$B$8*T278+Settings!$B$9*R278+Settings!$B$10*S278)/SUM(Settings!$B$8:$B$10),0)</f>
        <v>0.823022</v>
      </c>
      <c r="V278" s="56" t="n">
        <f aca="false">IF(U278&gt;0,RANK(U278,$U$2:$U$1780)+COUNTIF($U$2:U278,U278)-1,"")</f>
        <v>277</v>
      </c>
      <c r="W278" s="56" t="str">
        <f aca="false">IF(V278="","",IF(V278&lt;=Settings!$B$11,"1 - Fix first",IF(V278&lt;=Settings!$B$12,"2 - Review","3 - Monitor")))</f>
        <v>3 - Monitor</v>
      </c>
      <c r="X278" s="56" t="str">
        <f aca="false">IF(AND(E278&gt;=Settings!$B$4,F278&gt;=Settings!$B$5,O278&gt;=Settings!$B$6),"HIGH RATE","")</f>
        <v/>
      </c>
      <c r="Y278" s="56" t="n">
        <f aca="false">IF(F278&gt;0,RANK(F278,$F$2:$F$1780)+COUNTIF($F$2:F278,F278)-1,"")</f>
        <v>361</v>
      </c>
      <c r="Z278" s="56" t="n">
        <f aca="false">IF(H278&gt;0,RANK(H278,$H$2:$H$1780)+COUNTIF($H$2:H278,H278)-1,"")</f>
        <v>224</v>
      </c>
      <c r="AA278" s="56" t="str">
        <f aca="false">IF(AC278="","",RANK(AC278,$AC$2:$AC$1780)+COUNTIF($AC$2:AC278,AC278)-1)</f>
        <v/>
      </c>
      <c r="AB278" s="56" t="str">
        <f aca="false">IF(AD278="","",RANK(AD278,$AD$2:$AD$1780)+COUNTIF($AD$2:AD278,AD278)-1)</f>
        <v/>
      </c>
      <c r="AC278" s="56" t="str">
        <f aca="false">IF(AND(F278&gt;0,E278&gt;=Settings!$B$4),J278,"")</f>
        <v/>
      </c>
      <c r="AD278" s="56" t="str">
        <f aca="false">IF(X278="HIGH RATE",O278,"")</f>
        <v/>
      </c>
    </row>
    <row r="279" customFormat="false" ht="15" hidden="false" customHeight="false" outlineLevel="0" collapsed="false">
      <c r="A279" s="56" t="s">
        <v>1267</v>
      </c>
      <c r="B279" s="56" t="s">
        <v>1268</v>
      </c>
      <c r="C279" s="56" t="s">
        <v>162</v>
      </c>
      <c r="D279" s="56" t="str">
        <f aca="false">IFERROR(INDEX('Brand Map'!$B$4:$B$124,MATCH(C279,'Brand Map'!$A$4:$A$124,0)),"Other")</f>
        <v>GBAU</v>
      </c>
      <c r="E279" s="57" t="n">
        <v>36</v>
      </c>
      <c r="F279" s="57" t="n">
        <v>2</v>
      </c>
      <c r="G279" s="58" t="n">
        <v>3872.98</v>
      </c>
      <c r="H279" s="58" t="n">
        <v>190.41</v>
      </c>
      <c r="I279" s="58" t="n">
        <v>3632.82</v>
      </c>
      <c r="J279" s="32" t="n">
        <f aca="false">IF(E279&gt;0,F279/E279,0)</f>
        <v>0.0555555555555556</v>
      </c>
      <c r="K279" s="32" t="n">
        <f aca="false">IF(G279&gt;0,H279/G279,0)</f>
        <v>0.0491636930735506</v>
      </c>
      <c r="L279" s="59" t="n">
        <f aca="false">H279/Settings!$B$16</f>
        <v>0.000380539420674348</v>
      </c>
      <c r="M279" s="59" t="n">
        <f aca="false">H279/Settings!$B$20</f>
        <v>1.47823661543094E-005</v>
      </c>
      <c r="N279" s="60" t="n">
        <f aca="false">E279*Settings!$B$3</f>
        <v>1.11550143887354</v>
      </c>
      <c r="O279" s="60" t="n">
        <f aca="false">IF(E279&gt;0,(F279-N279)/SQRT(E279*Settings!$B$3*(1-Settings!$B$3)),0)</f>
        <v>0.850740427987713</v>
      </c>
      <c r="P279" s="60" t="n">
        <f aca="false">MAX(0,F279-N279)</f>
        <v>0.884498561126465</v>
      </c>
      <c r="Q279" s="32" t="n">
        <f aca="false">(F279+Settings!$B$7*Settings!$B$3)/(E279+Settings!$B$7)</f>
        <v>0.0443876444302214</v>
      </c>
      <c r="R279" s="61" t="n">
        <f aca="false">PERCENTRANK($H$2:$H$1780,H279,6)</f>
        <v>0.826209</v>
      </c>
      <c r="S279" s="61" t="n">
        <f aca="false">PERCENTRANK($Q$2:$Q$1780,Q279,6)</f>
        <v>0.84252</v>
      </c>
      <c r="T279" s="61" t="n">
        <f aca="false">PERCENTRANK($F$2:$F$1780,F279,6)</f>
        <v>0.799775</v>
      </c>
      <c r="U279" s="62" t="n">
        <f aca="false">IF(F279&gt;0,(Settings!$B$8*T279+Settings!$B$9*R279+Settings!$B$10*S279)/SUM(Settings!$B$8:$B$10),0)</f>
        <v>0.822834666666667</v>
      </c>
      <c r="V279" s="56" t="n">
        <f aca="false">IF(U279&gt;0,RANK(U279,$U$2:$U$1780)+COUNTIF($U$2:U279,U279)-1,"")</f>
        <v>278</v>
      </c>
      <c r="W279" s="56" t="str">
        <f aca="false">IF(V279="","",IF(V279&lt;=Settings!$B$11,"1 - Fix first",IF(V279&lt;=Settings!$B$12,"2 - Review","3 - Monitor")))</f>
        <v>3 - Monitor</v>
      </c>
      <c r="X279" s="56" t="str">
        <f aca="false">IF(AND(E279&gt;=Settings!$B$4,F279&gt;=Settings!$B$5,O279&gt;=Settings!$B$6),"HIGH RATE","")</f>
        <v/>
      </c>
      <c r="Y279" s="56" t="n">
        <f aca="false">IF(F279&gt;0,RANK(F279,$F$2:$F$1780)+COUNTIF($F$2:F279,F279)-1,"")</f>
        <v>322</v>
      </c>
      <c r="Z279" s="56" t="n">
        <f aca="false">IF(H279&gt;0,RANK(H279,$H$2:$H$1780)+COUNTIF($H$2:H279,H279)-1,"")</f>
        <v>310</v>
      </c>
      <c r="AA279" s="56" t="n">
        <f aca="false">IF(AC279="","",RANK(AC279,$AC$2:$AC$1780)+COUNTIF($AC$2:AC279,AC279)-1)</f>
        <v>92</v>
      </c>
      <c r="AB279" s="56" t="str">
        <f aca="false">IF(AD279="","",RANK(AD279,$AD$2:$AD$1780)+COUNTIF($AD$2:AD279,AD279)-1)</f>
        <v/>
      </c>
      <c r="AC279" s="32" t="n">
        <f aca="false">IF(AND(F279&gt;0,E279&gt;=Settings!$B$4),J279,"")</f>
        <v>0.0555555555555556</v>
      </c>
      <c r="AD279" s="56" t="str">
        <f aca="false">IF(X279="HIGH RATE",O279,"")</f>
        <v/>
      </c>
    </row>
    <row r="280" customFormat="false" ht="15" hidden="false" customHeight="false" outlineLevel="0" collapsed="false">
      <c r="A280" s="56" t="s">
        <v>1269</v>
      </c>
      <c r="B280" s="56" t="s">
        <v>1270</v>
      </c>
      <c r="C280" s="56" t="s">
        <v>638</v>
      </c>
      <c r="D280" s="56" t="str">
        <f aca="false">IFERROR(INDEX('Brand Map'!$B$4:$B$124,MATCH(C280,'Brand Map'!$A$4:$A$124,0)),"Other")</f>
        <v>Other (small prefixes)</v>
      </c>
      <c r="E280" s="57" t="n">
        <v>40</v>
      </c>
      <c r="F280" s="57" t="n">
        <v>2</v>
      </c>
      <c r="G280" s="58" t="n">
        <v>3783.11</v>
      </c>
      <c r="H280" s="58" t="n">
        <v>234.9</v>
      </c>
      <c r="I280" s="58" t="n">
        <v>3477.26</v>
      </c>
      <c r="J280" s="32" t="n">
        <f aca="false">IF(E280&gt;0,F280/E280,0)</f>
        <v>0.05</v>
      </c>
      <c r="K280" s="32" t="n">
        <f aca="false">IF(G280&gt;0,H280/G280,0)</f>
        <v>0.0620917710560888</v>
      </c>
      <c r="L280" s="59" t="n">
        <f aca="false">H280/Settings!$B$16</f>
        <v>0.000469453862278265</v>
      </c>
      <c r="M280" s="59" t="n">
        <f aca="false">H280/Settings!$B$20</f>
        <v>1.82363206220643E-005</v>
      </c>
      <c r="N280" s="60" t="n">
        <f aca="false">E280*Settings!$B$3</f>
        <v>1.23944604319282</v>
      </c>
      <c r="O280" s="60" t="n">
        <f aca="false">IF(E280&gt;0,(F280-N280)/SQRT(E280*Settings!$B$3*(1-Settings!$B$3)),0)</f>
        <v>0.69398682466656</v>
      </c>
      <c r="P280" s="60" t="n">
        <f aca="false">MAX(0,F280-N280)</f>
        <v>0.760553956807183</v>
      </c>
      <c r="Q280" s="32" t="n">
        <f aca="false">(F280+Settings!$B$7*Settings!$B$3)/(E280+Settings!$B$7)</f>
        <v>0.0418512076056373</v>
      </c>
      <c r="R280" s="61" t="n">
        <f aca="false">PERCENTRANK($H$2:$H$1780,H280,6)</f>
        <v>0.841395</v>
      </c>
      <c r="S280" s="61" t="n">
        <f aca="false">PERCENTRANK($Q$2:$Q$1780,Q280,6)</f>
        <v>0.825647</v>
      </c>
      <c r="T280" s="61" t="n">
        <f aca="false">PERCENTRANK($F$2:$F$1780,F280,6)</f>
        <v>0.799775</v>
      </c>
      <c r="U280" s="62" t="n">
        <f aca="false">IF(F280&gt;0,(Settings!$B$8*T280+Settings!$B$9*R280+Settings!$B$10*S280)/SUM(Settings!$B$8:$B$10),0)</f>
        <v>0.822272333333333</v>
      </c>
      <c r="V280" s="56" t="n">
        <f aca="false">IF(U280&gt;0,RANK(U280,$U$2:$U$1780)+COUNTIF($U$2:U280,U280)-1,"")</f>
        <v>279</v>
      </c>
      <c r="W280" s="56" t="str">
        <f aca="false">IF(V280="","",IF(V280&lt;=Settings!$B$11,"1 - Fix first",IF(V280&lt;=Settings!$B$12,"2 - Review","3 - Monitor")))</f>
        <v>3 - Monitor</v>
      </c>
      <c r="X280" s="56" t="str">
        <f aca="false">IF(AND(E280&gt;=Settings!$B$4,F280&gt;=Settings!$B$5,O280&gt;=Settings!$B$6),"HIGH RATE","")</f>
        <v/>
      </c>
      <c r="Y280" s="56" t="n">
        <f aca="false">IF(F280&gt;0,RANK(F280,$F$2:$F$1780)+COUNTIF($F$2:F280,F280)-1,"")</f>
        <v>323</v>
      </c>
      <c r="Z280" s="56" t="n">
        <f aca="false">IF(H280&gt;0,RANK(H280,$H$2:$H$1780)+COUNTIF($H$2:H280,H280)-1,"")</f>
        <v>282</v>
      </c>
      <c r="AA280" s="56" t="n">
        <f aca="false">IF(AC280="","",RANK(AC280,$AC$2:$AC$1780)+COUNTIF($AC$2:AC280,AC280)-1)</f>
        <v>124</v>
      </c>
      <c r="AB280" s="56" t="str">
        <f aca="false">IF(AD280="","",RANK(AD280,$AD$2:$AD$1780)+COUNTIF($AD$2:AD280,AD280)-1)</f>
        <v/>
      </c>
      <c r="AC280" s="32" t="n">
        <f aca="false">IF(AND(F280&gt;0,E280&gt;=Settings!$B$4),J280,"")</f>
        <v>0.05</v>
      </c>
      <c r="AD280" s="56" t="str">
        <f aca="false">IF(X280="HIGH RATE",O280,"")</f>
        <v/>
      </c>
    </row>
    <row r="281" customFormat="false" ht="15" hidden="false" customHeight="false" outlineLevel="0" collapsed="false">
      <c r="A281" s="56" t="s">
        <v>1271</v>
      </c>
      <c r="B281" s="56" t="s">
        <v>1272</v>
      </c>
      <c r="C281" s="56" t="s">
        <v>87</v>
      </c>
      <c r="D281" s="56" t="str">
        <f aca="false">IFERROR(INDEX('Brand Map'!$B$4:$B$124,MATCH(C281,'Brand Map'!$A$4:$A$124,0)),"Other")</f>
        <v>FYF</v>
      </c>
      <c r="E281" s="57" t="n">
        <v>1</v>
      </c>
      <c r="F281" s="57" t="n">
        <v>1</v>
      </c>
      <c r="G281" s="58" t="n">
        <v>184.95</v>
      </c>
      <c r="H281" s="58" t="n">
        <v>184.95</v>
      </c>
      <c r="I281" s="58" t="n">
        <v>0</v>
      </c>
      <c r="J281" s="32" t="n">
        <f aca="false">IF(E281&gt;0,F281/E281,0)</f>
        <v>1</v>
      </c>
      <c r="K281" s="32" t="n">
        <f aca="false">IF(G281&gt;0,H281/G281,0)</f>
        <v>1</v>
      </c>
      <c r="L281" s="59" t="n">
        <f aca="false">H281/Settings!$B$16</f>
        <v>0.000369627466276565</v>
      </c>
      <c r="M281" s="59" t="n">
        <f aca="false">H281/Settings!$B$20</f>
        <v>1.43584823288667E-005</v>
      </c>
      <c r="N281" s="60" t="n">
        <f aca="false">E281*Settings!$B$3</f>
        <v>0.0309861510798204</v>
      </c>
      <c r="O281" s="60" t="n">
        <f aca="false">IF(E281&gt;0,(F281-N281)/SQRT(E281*Settings!$B$3*(1-Settings!$B$3)),0)</f>
        <v>5.59218042484869</v>
      </c>
      <c r="P281" s="60" t="n">
        <f aca="false">MAX(0,F281-N281)</f>
        <v>0.96901384892018</v>
      </c>
      <c r="Q281" s="32" t="n">
        <f aca="false">(F281+Settings!$B$7*Settings!$B$3)/(E281+Settings!$B$7)</f>
        <v>0.0622446623353101</v>
      </c>
      <c r="R281" s="61" t="n">
        <f aca="false">PERCENTRANK($H$2:$H$1780,H281,6)</f>
        <v>0.823397</v>
      </c>
      <c r="S281" s="61" t="n">
        <f aca="false">PERCENTRANK($Q$2:$Q$1780,Q281,6)</f>
        <v>0.955568</v>
      </c>
      <c r="T281" s="61" t="n">
        <f aca="false">PERCENTRANK($F$2:$F$1780,F281,6)</f>
        <v>0.685039</v>
      </c>
      <c r="U281" s="62" t="n">
        <f aca="false">IF(F281&gt;0,(Settings!$B$8*T281+Settings!$B$9*R281+Settings!$B$10*S281)/SUM(Settings!$B$8:$B$10),0)</f>
        <v>0.821334666666667</v>
      </c>
      <c r="V281" s="56" t="n">
        <f aca="false">IF(U281&gt;0,RANK(U281,$U$2:$U$1780)+COUNTIF($U$2:U281,U281)-1,"")</f>
        <v>280</v>
      </c>
      <c r="W281" s="56" t="str">
        <f aca="false">IF(V281="","",IF(V281&lt;=Settings!$B$11,"1 - Fix first",IF(V281&lt;=Settings!$B$12,"2 - Review","3 - Monitor")))</f>
        <v>3 - Monitor</v>
      </c>
      <c r="X281" s="56" t="str">
        <f aca="false">IF(AND(E281&gt;=Settings!$B$4,F281&gt;=Settings!$B$5,O281&gt;=Settings!$B$6),"HIGH RATE","")</f>
        <v/>
      </c>
      <c r="Y281" s="56" t="n">
        <f aca="false">IF(F281&gt;0,RANK(F281,$F$2:$F$1780)+COUNTIF($F$2:F281,F281)-1,"")</f>
        <v>362</v>
      </c>
      <c r="Z281" s="56" t="n">
        <f aca="false">IF(H281&gt;0,RANK(H281,$H$2:$H$1780)+COUNTIF($H$2:H281,H281)-1,"")</f>
        <v>313</v>
      </c>
      <c r="AA281" s="56" t="str">
        <f aca="false">IF(AC281="","",RANK(AC281,$AC$2:$AC$1780)+COUNTIF($AC$2:AC281,AC281)-1)</f>
        <v/>
      </c>
      <c r="AB281" s="56" t="str">
        <f aca="false">IF(AD281="","",RANK(AD281,$AD$2:$AD$1780)+COUNTIF($AD$2:AD281,AD281)-1)</f>
        <v/>
      </c>
      <c r="AC281" s="56" t="str">
        <f aca="false">IF(AND(F281&gt;0,E281&gt;=Settings!$B$4),J281,"")</f>
        <v/>
      </c>
      <c r="AD281" s="56" t="str">
        <f aca="false">IF(X281="HIGH RATE",O281,"")</f>
        <v/>
      </c>
    </row>
    <row r="282" customFormat="false" ht="15" hidden="false" customHeight="false" outlineLevel="0" collapsed="false">
      <c r="A282" s="56" t="s">
        <v>1273</v>
      </c>
      <c r="B282" s="56" t="s">
        <v>1274</v>
      </c>
      <c r="C282" s="56" t="s">
        <v>51</v>
      </c>
      <c r="D282" s="56" t="str">
        <f aca="false">IFERROR(INDEX('Brand Map'!$B$4:$B$124,MATCH(C282,'Brand Map'!$A$4:$A$124,0)),"Other")</f>
        <v>AU</v>
      </c>
      <c r="E282" s="57" t="n">
        <v>5</v>
      </c>
      <c r="F282" s="57" t="n">
        <v>1</v>
      </c>
      <c r="G282" s="58" t="n">
        <v>1367.04</v>
      </c>
      <c r="H282" s="58" t="n">
        <v>265.46</v>
      </c>
      <c r="I282" s="58" t="n">
        <v>1072.09</v>
      </c>
      <c r="J282" s="32" t="n">
        <f aca="false">IF(E282&gt;0,F282/E282,0)</f>
        <v>0.2</v>
      </c>
      <c r="K282" s="32" t="n">
        <f aca="false">IF(G282&gt;0,H282/G282,0)</f>
        <v>0.194185978464419</v>
      </c>
      <c r="L282" s="59" t="n">
        <f aca="false">H282/Settings!$B$16</f>
        <v>0.000530528830482709</v>
      </c>
      <c r="M282" s="59" t="n">
        <f aca="false">H282/Settings!$B$20</f>
        <v>2.06088278941388E-005</v>
      </c>
      <c r="N282" s="60" t="n">
        <f aca="false">E282*Settings!$B$3</f>
        <v>0.154930755399102</v>
      </c>
      <c r="O282" s="60" t="n">
        <f aca="false">IF(E282&gt;0,(F282-N282)/SQRT(E282*Settings!$B$3*(1-Settings!$B$3)),0)</f>
        <v>2.18101415975909</v>
      </c>
      <c r="P282" s="60" t="n">
        <f aca="false">MAX(0,F282-N282)</f>
        <v>0.845069244600898</v>
      </c>
      <c r="Q282" s="32" t="n">
        <f aca="false">(F282+Settings!$B$7*Settings!$B$3)/(E282+Settings!$B$7)</f>
        <v>0.0551309866398461</v>
      </c>
      <c r="R282" s="61" t="n">
        <f aca="false">PERCENTRANK($H$2:$H$1780,H282,6)</f>
        <v>0.853768</v>
      </c>
      <c r="S282" s="61" t="n">
        <f aca="false">PERCENTRANK($Q$2:$Q$1780,Q282,6)</f>
        <v>0.920697</v>
      </c>
      <c r="T282" s="61" t="n">
        <f aca="false">PERCENTRANK($F$2:$F$1780,F282,6)</f>
        <v>0.685039</v>
      </c>
      <c r="U282" s="62" t="n">
        <f aca="false">IF(F282&gt;0,(Settings!$B$8*T282+Settings!$B$9*R282+Settings!$B$10*S282)/SUM(Settings!$B$8:$B$10),0)</f>
        <v>0.819834666666667</v>
      </c>
      <c r="V282" s="56" t="n">
        <f aca="false">IF(U282&gt;0,RANK(U282,$U$2:$U$1780)+COUNTIF($U$2:U282,U282)-1,"")</f>
        <v>281</v>
      </c>
      <c r="W282" s="56" t="str">
        <f aca="false">IF(V282="","",IF(V282&lt;=Settings!$B$11,"1 - Fix first",IF(V282&lt;=Settings!$B$12,"2 - Review","3 - Monitor")))</f>
        <v>3 - Monitor</v>
      </c>
      <c r="X282" s="56" t="str">
        <f aca="false">IF(AND(E282&gt;=Settings!$B$4,F282&gt;=Settings!$B$5,O282&gt;=Settings!$B$6),"HIGH RATE","")</f>
        <v/>
      </c>
      <c r="Y282" s="56" t="n">
        <f aca="false">IF(F282&gt;0,RANK(F282,$F$2:$F$1780)+COUNTIF($F$2:F282,F282)-1,"")</f>
        <v>363</v>
      </c>
      <c r="Z282" s="56" t="n">
        <f aca="false">IF(H282&gt;0,RANK(H282,$H$2:$H$1780)+COUNTIF($H$2:H282,H282)-1,"")</f>
        <v>261</v>
      </c>
      <c r="AA282" s="56" t="str">
        <f aca="false">IF(AC282="","",RANK(AC282,$AC$2:$AC$1780)+COUNTIF($AC$2:AC282,AC282)-1)</f>
        <v/>
      </c>
      <c r="AB282" s="56" t="str">
        <f aca="false">IF(AD282="","",RANK(AD282,$AD$2:$AD$1780)+COUNTIF($AD$2:AD282,AD282)-1)</f>
        <v/>
      </c>
      <c r="AC282" s="56" t="str">
        <f aca="false">IF(AND(F282&gt;0,E282&gt;=Settings!$B$4),J282,"")</f>
        <v/>
      </c>
      <c r="AD282" s="56" t="str">
        <f aca="false">IF(X282="HIGH RATE",O282,"")</f>
        <v/>
      </c>
    </row>
    <row r="283" customFormat="false" ht="15" hidden="false" customHeight="false" outlineLevel="0" collapsed="false">
      <c r="A283" s="56" t="s">
        <v>1275</v>
      </c>
      <c r="B283" s="56" t="s">
        <v>1276</v>
      </c>
      <c r="C283" s="56" t="s">
        <v>111</v>
      </c>
      <c r="D283" s="56" t="str">
        <f aca="false">IFERROR(INDEX('Brand Map'!$B$4:$B$124,MATCH(C283,'Brand Map'!$A$4:$A$124,0)),"Other")</f>
        <v>AUFS</v>
      </c>
      <c r="E283" s="57" t="n">
        <v>2</v>
      </c>
      <c r="F283" s="57" t="n">
        <v>1</v>
      </c>
      <c r="G283" s="58" t="n">
        <v>349.9</v>
      </c>
      <c r="H283" s="58" t="n">
        <v>174.95</v>
      </c>
      <c r="I283" s="58" t="n">
        <v>174.95</v>
      </c>
      <c r="J283" s="32" t="n">
        <f aca="false">IF(E283&gt;0,F283/E283,0)</f>
        <v>0.5</v>
      </c>
      <c r="K283" s="32" t="n">
        <f aca="false">IF(G283&gt;0,H283/G283,0)</f>
        <v>0.5</v>
      </c>
      <c r="L283" s="59" t="n">
        <f aca="false">H283/Settings!$B$16</f>
        <v>0.00034964220181176</v>
      </c>
      <c r="M283" s="59" t="n">
        <f aca="false">H283/Settings!$B$20</f>
        <v>1.35821383262246E-005</v>
      </c>
      <c r="N283" s="60" t="n">
        <f aca="false">E283*Settings!$B$3</f>
        <v>0.0619723021596408</v>
      </c>
      <c r="O283" s="60" t="n">
        <f aca="false">IF(E283&gt;0,(F283-N283)/SQRT(E283*Settings!$B$3*(1-Settings!$B$3)),0)</f>
        <v>3.82782306926152</v>
      </c>
      <c r="P283" s="60" t="n">
        <f aca="false">MAX(0,F283-N283)</f>
        <v>0.938027697840359</v>
      </c>
      <c r="Q283" s="32" t="n">
        <f aca="false">(F283+Settings!$B$7*Settings!$B$3)/(E283+Settings!$B$7)</f>
        <v>0.0602995166373316</v>
      </c>
      <c r="R283" s="61" t="n">
        <f aca="false">PERCENTRANK($H$2:$H$1780,H283,6)</f>
        <v>0.820022</v>
      </c>
      <c r="S283" s="61" t="n">
        <f aca="false">PERCENTRANK($Q$2:$Q$1780,Q283,6)</f>
        <v>0.946569</v>
      </c>
      <c r="T283" s="61" t="n">
        <f aca="false">PERCENTRANK($F$2:$F$1780,F283,6)</f>
        <v>0.685039</v>
      </c>
      <c r="U283" s="62" t="n">
        <f aca="false">IF(F283&gt;0,(Settings!$B$8*T283+Settings!$B$9*R283+Settings!$B$10*S283)/SUM(Settings!$B$8:$B$10),0)</f>
        <v>0.81721</v>
      </c>
      <c r="V283" s="56" t="n">
        <f aca="false">IF(U283&gt;0,RANK(U283,$U$2:$U$1780)+COUNTIF($U$2:U283,U283)-1,"")</f>
        <v>282</v>
      </c>
      <c r="W283" s="56" t="str">
        <f aca="false">IF(V283="","",IF(V283&lt;=Settings!$B$11,"1 - Fix first",IF(V283&lt;=Settings!$B$12,"2 - Review","3 - Monitor")))</f>
        <v>3 - Monitor</v>
      </c>
      <c r="X283" s="56" t="str">
        <f aca="false">IF(AND(E283&gt;=Settings!$B$4,F283&gt;=Settings!$B$5,O283&gt;=Settings!$B$6),"HIGH RATE","")</f>
        <v/>
      </c>
      <c r="Y283" s="56" t="n">
        <f aca="false">IF(F283&gt;0,RANK(F283,$F$2:$F$1780)+COUNTIF($F$2:F283,F283)-1,"")</f>
        <v>364</v>
      </c>
      <c r="Z283" s="56" t="n">
        <f aca="false">IF(H283&gt;0,RANK(H283,$H$2:$H$1780)+COUNTIF($H$2:H283,H283)-1,"")</f>
        <v>321</v>
      </c>
      <c r="AA283" s="56" t="str">
        <f aca="false">IF(AC283="","",RANK(AC283,$AC$2:$AC$1780)+COUNTIF($AC$2:AC283,AC283)-1)</f>
        <v/>
      </c>
      <c r="AB283" s="56" t="str">
        <f aca="false">IF(AD283="","",RANK(AD283,$AD$2:$AD$1780)+COUNTIF($AD$2:AD283,AD283)-1)</f>
        <v/>
      </c>
      <c r="AC283" s="56" t="str">
        <f aca="false">IF(AND(F283&gt;0,E283&gt;=Settings!$B$4),J283,"")</f>
        <v/>
      </c>
      <c r="AD283" s="56" t="str">
        <f aca="false">IF(X283="HIGH RATE",O283,"")</f>
        <v/>
      </c>
    </row>
    <row r="284" customFormat="false" ht="15" hidden="false" customHeight="false" outlineLevel="0" collapsed="false">
      <c r="A284" s="56" t="s">
        <v>1277</v>
      </c>
      <c r="B284" s="56" t="s">
        <v>1278</v>
      </c>
      <c r="C284" s="56" t="s">
        <v>51</v>
      </c>
      <c r="D284" s="56" t="str">
        <f aca="false">IFERROR(INDEX('Brand Map'!$B$4:$B$124,MATCH(C284,'Brand Map'!$A$4:$A$124,0)),"Other")</f>
        <v>AU</v>
      </c>
      <c r="E284" s="57" t="n">
        <v>42</v>
      </c>
      <c r="F284" s="57" t="n">
        <v>2</v>
      </c>
      <c r="G284" s="58" t="n">
        <v>5177.6</v>
      </c>
      <c r="H284" s="58" t="n">
        <v>222.64</v>
      </c>
      <c r="I284" s="58" t="n">
        <v>4716.76</v>
      </c>
      <c r="J284" s="32" t="n">
        <f aca="false">IF(E284&gt;0,F284/E284,0)</f>
        <v>0.0476190476190476</v>
      </c>
      <c r="K284" s="32" t="n">
        <f aca="false">IF(G284&gt;0,H284/G284,0)</f>
        <v>0.0430006180469716</v>
      </c>
      <c r="L284" s="59" t="n">
        <f aca="false">H284/Settings!$B$16</f>
        <v>0.000444951928044414</v>
      </c>
      <c r="M284" s="59" t="n">
        <f aca="false">H284/Settings!$B$20</f>
        <v>1.7284522874825E-005</v>
      </c>
      <c r="N284" s="60" t="n">
        <f aca="false">E284*Settings!$B$3</f>
        <v>1.30141834535246</v>
      </c>
      <c r="O284" s="60" t="n">
        <f aca="false">IF(E284&gt;0,(F284-N284)/SQRT(E284*Settings!$B$3*(1-Settings!$B$3)),0)</f>
        <v>0.622076395266061</v>
      </c>
      <c r="P284" s="60" t="n">
        <f aca="false">MAX(0,F284-N284)</f>
        <v>0.698581654647543</v>
      </c>
      <c r="Q284" s="32" t="n">
        <f aca="false">(F284+Settings!$B$7*Settings!$B$3)/(E284+Settings!$B$7)</f>
        <v>0.0406886740610363</v>
      </c>
      <c r="R284" s="61" t="n">
        <f aca="false">PERCENTRANK($H$2:$H$1780,H284,6)</f>
        <v>0.834646</v>
      </c>
      <c r="S284" s="61" t="n">
        <f aca="false">PERCENTRANK($Q$2:$Q$1780,Q284,6)</f>
        <v>0.816648</v>
      </c>
      <c r="T284" s="61" t="n">
        <f aca="false">PERCENTRANK($F$2:$F$1780,F284,6)</f>
        <v>0.799775</v>
      </c>
      <c r="U284" s="62" t="n">
        <f aca="false">IF(F284&gt;0,(Settings!$B$8*T284+Settings!$B$9*R284+Settings!$B$10*S284)/SUM(Settings!$B$8:$B$10),0)</f>
        <v>0.817023</v>
      </c>
      <c r="V284" s="56" t="n">
        <f aca="false">IF(U284&gt;0,RANK(U284,$U$2:$U$1780)+COUNTIF($U$2:U284,U284)-1,"")</f>
        <v>283</v>
      </c>
      <c r="W284" s="56" t="str">
        <f aca="false">IF(V284="","",IF(V284&lt;=Settings!$B$11,"1 - Fix first",IF(V284&lt;=Settings!$B$12,"2 - Review","3 - Monitor")))</f>
        <v>3 - Monitor</v>
      </c>
      <c r="X284" s="56" t="str">
        <f aca="false">IF(AND(E284&gt;=Settings!$B$4,F284&gt;=Settings!$B$5,O284&gt;=Settings!$B$6),"HIGH RATE","")</f>
        <v/>
      </c>
      <c r="Y284" s="56" t="n">
        <f aca="false">IF(F284&gt;0,RANK(F284,$F$2:$F$1780)+COUNTIF($F$2:F284,F284)-1,"")</f>
        <v>324</v>
      </c>
      <c r="Z284" s="56" t="n">
        <f aca="false">IF(H284&gt;0,RANK(H284,$H$2:$H$1780)+COUNTIF($H$2:H284,H284)-1,"")</f>
        <v>295</v>
      </c>
      <c r="AA284" s="56" t="n">
        <f aca="false">IF(AC284="","",RANK(AC284,$AC$2:$AC$1780)+COUNTIF($AC$2:AC284,AC284)-1)</f>
        <v>140</v>
      </c>
      <c r="AB284" s="56" t="str">
        <f aca="false">IF(AD284="","",RANK(AD284,$AD$2:$AD$1780)+COUNTIF($AD$2:AD284,AD284)-1)</f>
        <v/>
      </c>
      <c r="AC284" s="32" t="n">
        <f aca="false">IF(AND(F284&gt;0,E284&gt;=Settings!$B$4),J284,"")</f>
        <v>0.0476190476190476</v>
      </c>
      <c r="AD284" s="56" t="str">
        <f aca="false">IF(X284="HIGH RATE",O284,"")</f>
        <v/>
      </c>
    </row>
    <row r="285" customFormat="false" ht="15" hidden="false" customHeight="false" outlineLevel="0" collapsed="false">
      <c r="A285" s="56" t="s">
        <v>1279</v>
      </c>
      <c r="B285" s="56" t="s">
        <v>1280</v>
      </c>
      <c r="C285" s="56" t="s">
        <v>87</v>
      </c>
      <c r="D285" s="56" t="str">
        <f aca="false">IFERROR(INDEX('Brand Map'!$B$4:$B$124,MATCH(C285,'Brand Map'!$A$4:$A$124,0)),"Other")</f>
        <v>FYF</v>
      </c>
      <c r="E285" s="57" t="n">
        <v>89</v>
      </c>
      <c r="F285" s="57" t="n">
        <v>3</v>
      </c>
      <c r="G285" s="58" t="n">
        <v>7560.55</v>
      </c>
      <c r="H285" s="58" t="n">
        <v>254.85</v>
      </c>
      <c r="I285" s="58" t="n">
        <v>7305.7</v>
      </c>
      <c r="J285" s="32" t="n">
        <f aca="false">IF(E285&gt;0,F285/E285,0)</f>
        <v>0.0337078651685393</v>
      </c>
      <c r="K285" s="32" t="n">
        <f aca="false">IF(G285&gt;0,H285/G285,0)</f>
        <v>0.0337078651685393</v>
      </c>
      <c r="L285" s="59" t="n">
        <f aca="false">H285/Settings!$B$16</f>
        <v>0.000509324464885551</v>
      </c>
      <c r="M285" s="59" t="n">
        <f aca="false">H285/Settings!$B$20</f>
        <v>1.97851269073354E-005</v>
      </c>
      <c r="N285" s="60" t="n">
        <f aca="false">E285*Settings!$B$3</f>
        <v>2.75776744610402</v>
      </c>
      <c r="O285" s="60" t="n">
        <f aca="false">IF(E285&gt;0,(F285-N285)/SQRT(E285*Settings!$B$3*(1-Settings!$B$3)),0)</f>
        <v>0.148179694724398</v>
      </c>
      <c r="P285" s="60" t="n">
        <f aca="false">MAX(0,F285-N285)</f>
        <v>0.242232553895983</v>
      </c>
      <c r="Q285" s="32" t="n">
        <f aca="false">(F285+Settings!$B$7*Settings!$B$3)/(E285+Settings!$B$7)</f>
        <v>0.0330217187596186</v>
      </c>
      <c r="R285" s="61" t="n">
        <f aca="false">PERCENTRANK($H$2:$H$1780,H285,6)</f>
        <v>0.849269</v>
      </c>
      <c r="S285" s="61" t="n">
        <f aca="false">PERCENTRANK($Q$2:$Q$1780,Q285,6)</f>
        <v>0.756468</v>
      </c>
      <c r="T285" s="61" t="n">
        <f aca="false">PERCENTRANK($F$2:$F$1780,F285,6)</f>
        <v>0.84252</v>
      </c>
      <c r="U285" s="62" t="n">
        <f aca="false">IF(F285&gt;0,(Settings!$B$8*T285+Settings!$B$9*R285+Settings!$B$10*S285)/SUM(Settings!$B$8:$B$10),0)</f>
        <v>0.816085666666667</v>
      </c>
      <c r="V285" s="56" t="n">
        <f aca="false">IF(U285&gt;0,RANK(U285,$U$2:$U$1780)+COUNTIF($U$2:U285,U285)-1,"")</f>
        <v>284</v>
      </c>
      <c r="W285" s="56" t="str">
        <f aca="false">IF(V285="","",IF(V285&lt;=Settings!$B$11,"1 - Fix first",IF(V285&lt;=Settings!$B$12,"2 - Review","3 - Monitor")))</f>
        <v>3 - Monitor</v>
      </c>
      <c r="X285" s="56" t="str">
        <f aca="false">IF(AND(E285&gt;=Settings!$B$4,F285&gt;=Settings!$B$5,O285&gt;=Settings!$B$6),"HIGH RATE","")</f>
        <v/>
      </c>
      <c r="Y285" s="56" t="n">
        <f aca="false">IF(F285&gt;0,RANK(F285,$F$2:$F$1780)+COUNTIF($F$2:F285,F285)-1,"")</f>
        <v>261</v>
      </c>
      <c r="Z285" s="56" t="n">
        <f aca="false">IF(H285&gt;0,RANK(H285,$H$2:$H$1780)+COUNTIF($H$2:H285,H285)-1,"")</f>
        <v>269</v>
      </c>
      <c r="AA285" s="56" t="n">
        <f aca="false">IF(AC285="","",RANK(AC285,$AC$2:$AC$1780)+COUNTIF($AC$2:AC285,AC285)-1)</f>
        <v>241</v>
      </c>
      <c r="AB285" s="56" t="str">
        <f aca="false">IF(AD285="","",RANK(AD285,$AD$2:$AD$1780)+COUNTIF($AD$2:AD285,AD285)-1)</f>
        <v/>
      </c>
      <c r="AC285" s="32" t="n">
        <f aca="false">IF(AND(F285&gt;0,E285&gt;=Settings!$B$4),J285,"")</f>
        <v>0.0337078651685393</v>
      </c>
      <c r="AD285" s="56" t="str">
        <f aca="false">IF(X285="HIGH RATE",O285,"")</f>
        <v/>
      </c>
    </row>
    <row r="286" customFormat="false" ht="15" hidden="false" customHeight="false" outlineLevel="0" collapsed="false">
      <c r="A286" s="56" t="s">
        <v>1281</v>
      </c>
      <c r="B286" s="56" t="s">
        <v>1282</v>
      </c>
      <c r="C286" s="56" t="s">
        <v>117</v>
      </c>
      <c r="D286" s="56" t="str">
        <f aca="false">IFERROR(INDEX('Brand Map'!$B$4:$B$124,MATCH(C286,'Brand Map'!$A$4:$A$124,0)),"Other")</f>
        <v>LF</v>
      </c>
      <c r="E286" s="57" t="n">
        <v>6</v>
      </c>
      <c r="F286" s="57" t="n">
        <v>1</v>
      </c>
      <c r="G286" s="58" t="n">
        <v>1660.62</v>
      </c>
      <c r="H286" s="58" t="n">
        <v>263.59</v>
      </c>
      <c r="I286" s="58" t="n">
        <v>1353.54</v>
      </c>
      <c r="J286" s="32" t="n">
        <f aca="false">IF(E286&gt;0,F286/E286,0)</f>
        <v>0.166666666666667</v>
      </c>
      <c r="K286" s="32" t="n">
        <f aca="false">IF(G286&gt;0,H286/G286,0)</f>
        <v>0.158729871975527</v>
      </c>
      <c r="L286" s="59" t="n">
        <f aca="false">H286/Settings!$B$16</f>
        <v>0.00052679158602779</v>
      </c>
      <c r="M286" s="59" t="n">
        <f aca="false">H286/Settings!$B$20</f>
        <v>2.04636515656447E-005</v>
      </c>
      <c r="N286" s="60" t="n">
        <f aca="false">E286*Settings!$B$3</f>
        <v>0.185916906478923</v>
      </c>
      <c r="O286" s="60" t="n">
        <f aca="false">IF(E286&gt;0,(F286-N286)/SQRT(E286*Settings!$B$3*(1-Settings!$B$3)),0)</f>
        <v>1.91798100360216</v>
      </c>
      <c r="P286" s="60" t="n">
        <f aca="false">MAX(0,F286-N286)</f>
        <v>0.814083093521077</v>
      </c>
      <c r="Q286" s="32" t="n">
        <f aca="false">(F286+Settings!$B$7*Settings!$B$3)/(E286+Settings!$B$7)</f>
        <v>0.0535995703442948</v>
      </c>
      <c r="R286" s="61" t="n">
        <f aca="false">PERCENTRANK($H$2:$H$1780,H286,6)</f>
        <v>0.853206</v>
      </c>
      <c r="S286" s="61" t="n">
        <f aca="false">PERCENTRANK($Q$2:$Q$1780,Q286,6)</f>
        <v>0.909449</v>
      </c>
      <c r="T286" s="61" t="n">
        <f aca="false">PERCENTRANK($F$2:$F$1780,F286,6)</f>
        <v>0.685039</v>
      </c>
      <c r="U286" s="62" t="n">
        <f aca="false">IF(F286&gt;0,(Settings!$B$8*T286+Settings!$B$9*R286+Settings!$B$10*S286)/SUM(Settings!$B$8:$B$10),0)</f>
        <v>0.815898</v>
      </c>
      <c r="V286" s="56" t="n">
        <f aca="false">IF(U286&gt;0,RANK(U286,$U$2:$U$1780)+COUNTIF($U$2:U286,U286)-1,"")</f>
        <v>285</v>
      </c>
      <c r="W286" s="56" t="str">
        <f aca="false">IF(V286="","",IF(V286&lt;=Settings!$B$11,"1 - Fix first",IF(V286&lt;=Settings!$B$12,"2 - Review","3 - Monitor")))</f>
        <v>3 - Monitor</v>
      </c>
      <c r="X286" s="56" t="str">
        <f aca="false">IF(AND(E286&gt;=Settings!$B$4,F286&gt;=Settings!$B$5,O286&gt;=Settings!$B$6),"HIGH RATE","")</f>
        <v/>
      </c>
      <c r="Y286" s="56" t="n">
        <f aca="false">IF(F286&gt;0,RANK(F286,$F$2:$F$1780)+COUNTIF($F$2:F286,F286)-1,"")</f>
        <v>365</v>
      </c>
      <c r="Z286" s="56" t="n">
        <f aca="false">IF(H286&gt;0,RANK(H286,$H$2:$H$1780)+COUNTIF($H$2:H286,H286)-1,"")</f>
        <v>262</v>
      </c>
      <c r="AA286" s="56" t="str">
        <f aca="false">IF(AC286="","",RANK(AC286,$AC$2:$AC$1780)+COUNTIF($AC$2:AC286,AC286)-1)</f>
        <v/>
      </c>
      <c r="AB286" s="56" t="str">
        <f aca="false">IF(AD286="","",RANK(AD286,$AD$2:$AD$1780)+COUNTIF($AD$2:AD286,AD286)-1)</f>
        <v/>
      </c>
      <c r="AC286" s="56" t="str">
        <f aca="false">IF(AND(F286&gt;0,E286&gt;=Settings!$B$4),J286,"")</f>
        <v/>
      </c>
      <c r="AD286" s="56" t="str">
        <f aca="false">IF(X286="HIGH RATE",O286,"")</f>
        <v/>
      </c>
    </row>
    <row r="287" customFormat="false" ht="15" hidden="false" customHeight="false" outlineLevel="0" collapsed="false">
      <c r="A287" s="56" t="s">
        <v>1283</v>
      </c>
      <c r="B287" s="56" t="s">
        <v>1284</v>
      </c>
      <c r="C287" s="56" t="s">
        <v>51</v>
      </c>
      <c r="D287" s="56" t="str">
        <f aca="false">IFERROR(INDEX('Brand Map'!$B$4:$B$124,MATCH(C287,'Brand Map'!$A$4:$A$124,0)),"Other")</f>
        <v>AU</v>
      </c>
      <c r="E287" s="57" t="n">
        <v>41</v>
      </c>
      <c r="F287" s="57" t="n">
        <v>2</v>
      </c>
      <c r="G287" s="58" t="n">
        <v>4056.55</v>
      </c>
      <c r="H287" s="58" t="n">
        <v>188.81</v>
      </c>
      <c r="I287" s="58" t="n">
        <v>3721.48</v>
      </c>
      <c r="J287" s="32" t="n">
        <f aca="false">IF(E287&gt;0,F287/E287,0)</f>
        <v>0.0487804878048781</v>
      </c>
      <c r="K287" s="32" t="n">
        <f aca="false">IF(G287&gt;0,H287/G287,0)</f>
        <v>0.0465444774500499</v>
      </c>
      <c r="L287" s="59" t="n">
        <f aca="false">H287/Settings!$B$16</f>
        <v>0.00037734177835998</v>
      </c>
      <c r="M287" s="59" t="n">
        <f aca="false">H287/Settings!$B$20</f>
        <v>1.46581511138866E-005</v>
      </c>
      <c r="N287" s="60" t="n">
        <f aca="false">E287*Settings!$B$3</f>
        <v>1.27043219427264</v>
      </c>
      <c r="O287" s="60" t="n">
        <f aca="false">IF(E287&gt;0,(F287-N287)/SQRT(E287*Settings!$B$3*(1-Settings!$B$3)),0)</f>
        <v>0.657544158465692</v>
      </c>
      <c r="P287" s="60" t="n">
        <f aca="false">MAX(0,F287-N287)</f>
        <v>0.729567805727363</v>
      </c>
      <c r="Q287" s="32" t="n">
        <f aca="false">(F287+Settings!$B$7*Settings!$B$3)/(E287+Settings!$B$7)</f>
        <v>0.0412617539773889</v>
      </c>
      <c r="R287" s="61" t="n">
        <f aca="false">PERCENTRANK($H$2:$H$1780,H287,6)</f>
        <v>0.825084</v>
      </c>
      <c r="S287" s="61" t="n">
        <f aca="false">PERCENTRANK($Q$2:$Q$1780,Q287,6)</f>
        <v>0.820585</v>
      </c>
      <c r="T287" s="61" t="n">
        <f aca="false">PERCENTRANK($F$2:$F$1780,F287,6)</f>
        <v>0.799775</v>
      </c>
      <c r="U287" s="62" t="n">
        <f aca="false">IF(F287&gt;0,(Settings!$B$8*T287+Settings!$B$9*R287+Settings!$B$10*S287)/SUM(Settings!$B$8:$B$10),0)</f>
        <v>0.815148</v>
      </c>
      <c r="V287" s="56" t="n">
        <f aca="false">IF(U287&gt;0,RANK(U287,$U$2:$U$1780)+COUNTIF($U$2:U287,U287)-1,"")</f>
        <v>286</v>
      </c>
      <c r="W287" s="56" t="str">
        <f aca="false">IF(V287="","",IF(V287&lt;=Settings!$B$11,"1 - Fix first",IF(V287&lt;=Settings!$B$12,"2 - Review","3 - Monitor")))</f>
        <v>3 - Monitor</v>
      </c>
      <c r="X287" s="56" t="str">
        <f aca="false">IF(AND(E287&gt;=Settings!$B$4,F287&gt;=Settings!$B$5,O287&gt;=Settings!$B$6),"HIGH RATE","")</f>
        <v/>
      </c>
      <c r="Y287" s="56" t="n">
        <f aca="false">IF(F287&gt;0,RANK(F287,$F$2:$F$1780)+COUNTIF($F$2:F287,F287)-1,"")</f>
        <v>325</v>
      </c>
      <c r="Z287" s="56" t="n">
        <f aca="false">IF(H287&gt;0,RANK(H287,$H$2:$H$1780)+COUNTIF($H$2:H287,H287)-1,"")</f>
        <v>312</v>
      </c>
      <c r="AA287" s="56" t="n">
        <f aca="false">IF(AC287="","",RANK(AC287,$AC$2:$AC$1780)+COUNTIF($AC$2:AC287,AC287)-1)</f>
        <v>132</v>
      </c>
      <c r="AB287" s="56" t="str">
        <f aca="false">IF(AD287="","",RANK(AD287,$AD$2:$AD$1780)+COUNTIF($AD$2:AD287,AD287)-1)</f>
        <v/>
      </c>
      <c r="AC287" s="32" t="n">
        <f aca="false">IF(AND(F287&gt;0,E287&gt;=Settings!$B$4),J287,"")</f>
        <v>0.0487804878048781</v>
      </c>
      <c r="AD287" s="56" t="str">
        <f aca="false">IF(X287="HIGH RATE",O287,"")</f>
        <v/>
      </c>
    </row>
    <row r="288" customFormat="false" ht="15" hidden="false" customHeight="false" outlineLevel="0" collapsed="false">
      <c r="A288" s="56" t="s">
        <v>1285</v>
      </c>
      <c r="B288" s="56" t="s">
        <v>1286</v>
      </c>
      <c r="C288" s="56" t="s">
        <v>132</v>
      </c>
      <c r="D288" s="56" t="str">
        <f aca="false">IFERROR(INDEX('Brand Map'!$B$4:$B$124,MATCH(C288,'Brand Map'!$A$4:$A$124,0)),"Other")</f>
        <v>RP</v>
      </c>
      <c r="E288" s="57" t="n">
        <v>17</v>
      </c>
      <c r="F288" s="57" t="n">
        <v>2</v>
      </c>
      <c r="G288" s="58" t="n">
        <v>107.32</v>
      </c>
      <c r="H288" s="58" t="n">
        <v>10.42</v>
      </c>
      <c r="I288" s="58" t="n">
        <v>84.93</v>
      </c>
      <c r="J288" s="32" t="n">
        <f aca="false">IF(E288&gt;0,F288/E288,0)</f>
        <v>0.117647058823529</v>
      </c>
      <c r="K288" s="32" t="n">
        <f aca="false">IF(G288&gt;0,H288/G288,0)</f>
        <v>0.0970928065598211</v>
      </c>
      <c r="L288" s="59" t="n">
        <f aca="false">H288/Settings!$B$16</f>
        <v>2.08246455723266E-005</v>
      </c>
      <c r="M288" s="59" t="n">
        <f aca="false">H288/Settings!$B$20</f>
        <v>8.0895045075313E-007</v>
      </c>
      <c r="N288" s="60" t="n">
        <f aca="false">E288*Settings!$B$3</f>
        <v>0.526764568356947</v>
      </c>
      <c r="O288" s="60" t="n">
        <f aca="false">IF(E288&gt;0,(F288-N288)/SQRT(E288*Settings!$B$3*(1-Settings!$B$3)),0)</f>
        <v>2.06204854609008</v>
      </c>
      <c r="P288" s="60" t="n">
        <f aca="false">MAX(0,F288-N288)</f>
        <v>1.47323543164305</v>
      </c>
      <c r="Q288" s="32" t="n">
        <f aca="false">(F288+Settings!$B$7*Settings!$B$3)/(E288+Settings!$B$7)</f>
        <v>0.0623315857956301</v>
      </c>
      <c r="R288" s="61" t="n">
        <f aca="false">PERCENTRANK($H$2:$H$1780,H288,6)</f>
        <v>0.686164</v>
      </c>
      <c r="S288" s="61" t="n">
        <f aca="false">PERCENTRANK($Q$2:$Q$1780,Q288,6)</f>
        <v>0.957818</v>
      </c>
      <c r="T288" s="61" t="n">
        <f aca="false">PERCENTRANK($F$2:$F$1780,F288,6)</f>
        <v>0.799775</v>
      </c>
      <c r="U288" s="62" t="n">
        <f aca="false">IF(F288&gt;0,(Settings!$B$8*T288+Settings!$B$9*R288+Settings!$B$10*S288)/SUM(Settings!$B$8:$B$10),0)</f>
        <v>0.814585666666667</v>
      </c>
      <c r="V288" s="56" t="n">
        <f aca="false">IF(U288&gt;0,RANK(U288,$U$2:$U$1780)+COUNTIF($U$2:U288,U288)-1,"")</f>
        <v>287</v>
      </c>
      <c r="W288" s="56" t="str">
        <f aca="false">IF(V288="","",IF(V288&lt;=Settings!$B$11,"1 - Fix first",IF(V288&lt;=Settings!$B$12,"2 - Review","3 - Monitor")))</f>
        <v>3 - Monitor</v>
      </c>
      <c r="X288" s="56" t="str">
        <f aca="false">IF(AND(E288&gt;=Settings!$B$4,F288&gt;=Settings!$B$5,O288&gt;=Settings!$B$6),"HIGH RATE","")</f>
        <v/>
      </c>
      <c r="Y288" s="56" t="n">
        <f aca="false">IF(F288&gt;0,RANK(F288,$F$2:$F$1780)+COUNTIF($F$2:F288,F288)-1,"")</f>
        <v>326</v>
      </c>
      <c r="Z288" s="56" t="n">
        <f aca="false">IF(H288&gt;0,RANK(H288,$H$2:$H$1780)+COUNTIF($H$2:H288,H288)-1,"")</f>
        <v>559</v>
      </c>
      <c r="AA288" s="56" t="str">
        <f aca="false">IF(AC288="","",RANK(AC288,$AC$2:$AC$1780)+COUNTIF($AC$2:AC288,AC288)-1)</f>
        <v/>
      </c>
      <c r="AB288" s="56" t="str">
        <f aca="false">IF(AD288="","",RANK(AD288,$AD$2:$AD$1780)+COUNTIF($AD$2:AD288,AD288)-1)</f>
        <v/>
      </c>
      <c r="AC288" s="56" t="str">
        <f aca="false">IF(AND(F288&gt;0,E288&gt;=Settings!$B$4),J288,"")</f>
        <v/>
      </c>
      <c r="AD288" s="56" t="str">
        <f aca="false">IF(X288="HIGH RATE",O288,"")</f>
        <v/>
      </c>
    </row>
    <row r="289" customFormat="false" ht="15" hidden="false" customHeight="false" outlineLevel="0" collapsed="false">
      <c r="A289" s="56" t="s">
        <v>762</v>
      </c>
      <c r="B289" s="56" t="s">
        <v>763</v>
      </c>
      <c r="C289" s="56" t="s">
        <v>761</v>
      </c>
      <c r="D289" s="56" t="str">
        <f aca="false">IFERROR(INDEX('Brand Map'!$B$4:$B$124,MATCH(C289,'Brand Map'!$A$4:$A$124,0)),"Other")</f>
        <v>Other (small prefixes)</v>
      </c>
      <c r="E289" s="57" t="n">
        <v>2</v>
      </c>
      <c r="F289" s="57" t="n">
        <v>1</v>
      </c>
      <c r="G289" s="58" t="n">
        <v>323.54</v>
      </c>
      <c r="H289" s="58" t="n">
        <v>161.77</v>
      </c>
      <c r="I289" s="58" t="n">
        <v>161.77</v>
      </c>
      <c r="J289" s="32" t="n">
        <f aca="false">IF(E289&gt;0,F289/E289,0)</f>
        <v>0.5</v>
      </c>
      <c r="K289" s="32" t="n">
        <f aca="false">IF(G289&gt;0,H289/G289,0)</f>
        <v>0.5</v>
      </c>
      <c r="L289" s="59" t="n">
        <f aca="false">H289/Settings!$B$16</f>
        <v>0.000323301623247147</v>
      </c>
      <c r="M289" s="59" t="n">
        <f aca="false">H289/Settings!$B$20</f>
        <v>1.25589169307422E-005</v>
      </c>
      <c r="N289" s="60" t="n">
        <f aca="false">E289*Settings!$B$3</f>
        <v>0.0619723021596408</v>
      </c>
      <c r="O289" s="60" t="n">
        <f aca="false">IF(E289&gt;0,(F289-N289)/SQRT(E289*Settings!$B$3*(1-Settings!$B$3)),0)</f>
        <v>3.82782306926152</v>
      </c>
      <c r="P289" s="60" t="n">
        <f aca="false">MAX(0,F289-N289)</f>
        <v>0.938027697840359</v>
      </c>
      <c r="Q289" s="32" t="n">
        <f aca="false">(F289+Settings!$B$7*Settings!$B$3)/(E289+Settings!$B$7)</f>
        <v>0.0602995166373316</v>
      </c>
      <c r="R289" s="61" t="n">
        <f aca="false">PERCENTRANK($H$2:$H$1780,H289,6)</f>
        <v>0.811024</v>
      </c>
      <c r="S289" s="61" t="n">
        <f aca="false">PERCENTRANK($Q$2:$Q$1780,Q289,6)</f>
        <v>0.946569</v>
      </c>
      <c r="T289" s="61" t="n">
        <f aca="false">PERCENTRANK($F$2:$F$1780,F289,6)</f>
        <v>0.685039</v>
      </c>
      <c r="U289" s="62" t="n">
        <f aca="false">IF(F289&gt;0,(Settings!$B$8*T289+Settings!$B$9*R289+Settings!$B$10*S289)/SUM(Settings!$B$8:$B$10),0)</f>
        <v>0.814210666666667</v>
      </c>
      <c r="V289" s="56" t="n">
        <f aca="false">IF(U289&gt;0,RANK(U289,$U$2:$U$1780)+COUNTIF($U$2:U289,U289)-1,"")</f>
        <v>288</v>
      </c>
      <c r="W289" s="56" t="str">
        <f aca="false">IF(V289="","",IF(V289&lt;=Settings!$B$11,"1 - Fix first",IF(V289&lt;=Settings!$B$12,"2 - Review","3 - Monitor")))</f>
        <v>3 - Monitor</v>
      </c>
      <c r="X289" s="56" t="str">
        <f aca="false">IF(AND(E289&gt;=Settings!$B$4,F289&gt;=Settings!$B$5,O289&gt;=Settings!$B$6),"HIGH RATE","")</f>
        <v/>
      </c>
      <c r="Y289" s="56" t="n">
        <f aca="false">IF(F289&gt;0,RANK(F289,$F$2:$F$1780)+COUNTIF($F$2:F289,F289)-1,"")</f>
        <v>366</v>
      </c>
      <c r="Z289" s="56" t="n">
        <f aca="false">IF(H289&gt;0,RANK(H289,$H$2:$H$1780)+COUNTIF($H$2:H289,H289)-1,"")</f>
        <v>337</v>
      </c>
      <c r="AA289" s="56" t="str">
        <f aca="false">IF(AC289="","",RANK(AC289,$AC$2:$AC$1780)+COUNTIF($AC$2:AC289,AC289)-1)</f>
        <v/>
      </c>
      <c r="AB289" s="56" t="str">
        <f aca="false">IF(AD289="","",RANK(AD289,$AD$2:$AD$1780)+COUNTIF($AD$2:AD289,AD289)-1)</f>
        <v/>
      </c>
      <c r="AC289" s="56" t="str">
        <f aca="false">IF(AND(F289&gt;0,E289&gt;=Settings!$B$4),J289,"")</f>
        <v/>
      </c>
      <c r="AD289" s="56" t="str">
        <f aca="false">IF(X289="HIGH RATE",O289,"")</f>
        <v/>
      </c>
    </row>
    <row r="290" customFormat="false" ht="15" hidden="false" customHeight="false" outlineLevel="0" collapsed="false">
      <c r="A290" s="56" t="s">
        <v>1287</v>
      </c>
      <c r="B290" s="56" t="s">
        <v>1288</v>
      </c>
      <c r="C290" s="56" t="s">
        <v>51</v>
      </c>
      <c r="D290" s="56" t="str">
        <f aca="false">IFERROR(INDEX('Brand Map'!$B$4:$B$124,MATCH(C290,'Brand Map'!$A$4:$A$124,0)),"Other")</f>
        <v>AU</v>
      </c>
      <c r="E290" s="57" t="n">
        <v>88</v>
      </c>
      <c r="F290" s="57" t="n">
        <v>3</v>
      </c>
      <c r="G290" s="58" t="n">
        <v>8042.9</v>
      </c>
      <c r="H290" s="58" t="n">
        <v>227.13</v>
      </c>
      <c r="I290" s="58" t="n">
        <v>7657.36</v>
      </c>
      <c r="J290" s="32" t="n">
        <f aca="false">IF(E290&gt;0,F290/E290,0)</f>
        <v>0.0340909090909091</v>
      </c>
      <c r="K290" s="32" t="n">
        <f aca="false">IF(G290&gt;0,H290/G290,0)</f>
        <v>0.0282398139974387</v>
      </c>
      <c r="L290" s="59" t="n">
        <f aca="false">H290/Settings!$B$16</f>
        <v>0.000453925311789112</v>
      </c>
      <c r="M290" s="59" t="n">
        <f aca="false">H290/Settings!$B$20</f>
        <v>1.76331013320114E-005</v>
      </c>
      <c r="N290" s="60" t="n">
        <f aca="false">E290*Settings!$B$3</f>
        <v>2.7267812950242</v>
      </c>
      <c r="O290" s="60" t="n">
        <f aca="false">IF(E290&gt;0,(F290-N290)/SQRT(E290*Settings!$B$3*(1-Settings!$B$3)),0)</f>
        <v>0.16808164252988</v>
      </c>
      <c r="P290" s="60" t="n">
        <f aca="false">MAX(0,F290-N290)</f>
        <v>0.273218704975803</v>
      </c>
      <c r="Q290" s="32" t="n">
        <f aca="false">(F290+Settings!$B$7*Settings!$B$3)/(E290+Settings!$B$7)</f>
        <v>0.0333015638338526</v>
      </c>
      <c r="R290" s="61" t="n">
        <f aca="false">PERCENTRANK($H$2:$H$1780,H290,6)</f>
        <v>0.837458</v>
      </c>
      <c r="S290" s="61" t="n">
        <f aca="false">PERCENTRANK($Q$2:$Q$1780,Q290,6)</f>
        <v>0.762092</v>
      </c>
      <c r="T290" s="61" t="n">
        <f aca="false">PERCENTRANK($F$2:$F$1780,F290,6)</f>
        <v>0.84252</v>
      </c>
      <c r="U290" s="62" t="n">
        <f aca="false">IF(F290&gt;0,(Settings!$B$8*T290+Settings!$B$9*R290+Settings!$B$10*S290)/SUM(Settings!$B$8:$B$10),0)</f>
        <v>0.814023333333333</v>
      </c>
      <c r="V290" s="56" t="n">
        <f aca="false">IF(U290&gt;0,RANK(U290,$U$2:$U$1780)+COUNTIF($U$2:U290,U290)-1,"")</f>
        <v>289</v>
      </c>
      <c r="W290" s="56" t="str">
        <f aca="false">IF(V290="","",IF(V290&lt;=Settings!$B$11,"1 - Fix first",IF(V290&lt;=Settings!$B$12,"2 - Review","3 - Monitor")))</f>
        <v>3 - Monitor</v>
      </c>
      <c r="X290" s="56" t="str">
        <f aca="false">IF(AND(E290&gt;=Settings!$B$4,F290&gt;=Settings!$B$5,O290&gt;=Settings!$B$6),"HIGH RATE","")</f>
        <v/>
      </c>
      <c r="Y290" s="56" t="n">
        <f aca="false">IF(F290&gt;0,RANK(F290,$F$2:$F$1780)+COUNTIF($F$2:F290,F290)-1,"")</f>
        <v>262</v>
      </c>
      <c r="Z290" s="56" t="n">
        <f aca="false">IF(H290&gt;0,RANK(H290,$H$2:$H$1780)+COUNTIF($H$2:H290,H290)-1,"")</f>
        <v>290</v>
      </c>
      <c r="AA290" s="56" t="n">
        <f aca="false">IF(AC290="","",RANK(AC290,$AC$2:$AC$1780)+COUNTIF($AC$2:AC290,AC290)-1)</f>
        <v>240</v>
      </c>
      <c r="AB290" s="56" t="str">
        <f aca="false">IF(AD290="","",RANK(AD290,$AD$2:$AD$1780)+COUNTIF($AD$2:AD290,AD290)-1)</f>
        <v/>
      </c>
      <c r="AC290" s="32" t="n">
        <f aca="false">IF(AND(F290&gt;0,E290&gt;=Settings!$B$4),J290,"")</f>
        <v>0.0340909090909091</v>
      </c>
      <c r="AD290" s="56" t="str">
        <f aca="false">IF(X290="HIGH RATE",O290,"")</f>
        <v/>
      </c>
    </row>
    <row r="291" customFormat="false" ht="15" hidden="false" customHeight="false" outlineLevel="0" collapsed="false">
      <c r="A291" s="56" t="s">
        <v>1289</v>
      </c>
      <c r="B291" s="56" t="s">
        <v>1280</v>
      </c>
      <c r="C291" s="56" t="s">
        <v>87</v>
      </c>
      <c r="D291" s="56" t="str">
        <f aca="false">IFERROR(INDEX('Brand Map'!$B$4:$B$124,MATCH(C291,'Brand Map'!$A$4:$A$124,0)),"Other")</f>
        <v>FYF</v>
      </c>
      <c r="E291" s="57" t="n">
        <v>40</v>
      </c>
      <c r="F291" s="57" t="n">
        <v>2</v>
      </c>
      <c r="G291" s="58" t="n">
        <v>3398</v>
      </c>
      <c r="H291" s="58" t="n">
        <v>169.9</v>
      </c>
      <c r="I291" s="58" t="n">
        <v>3228.1</v>
      </c>
      <c r="J291" s="32" t="n">
        <f aca="false">IF(E291&gt;0,F291/E291,0)</f>
        <v>0.05</v>
      </c>
      <c r="K291" s="32" t="n">
        <f aca="false">IF(G291&gt;0,H291/G291,0)</f>
        <v>0.05</v>
      </c>
      <c r="L291" s="59" t="n">
        <f aca="false">H291/Settings!$B$16</f>
        <v>0.000339549643257034</v>
      </c>
      <c r="M291" s="59" t="n">
        <f aca="false">H291/Settings!$B$20</f>
        <v>1.31900846048903E-005</v>
      </c>
      <c r="N291" s="60" t="n">
        <f aca="false">E291*Settings!$B$3</f>
        <v>1.23944604319282</v>
      </c>
      <c r="O291" s="60" t="n">
        <f aca="false">IF(E291&gt;0,(F291-N291)/SQRT(E291*Settings!$B$3*(1-Settings!$B$3)),0)</f>
        <v>0.69398682466656</v>
      </c>
      <c r="P291" s="60" t="n">
        <f aca="false">MAX(0,F291-N291)</f>
        <v>0.760553956807183</v>
      </c>
      <c r="Q291" s="32" t="n">
        <f aca="false">(F291+Settings!$B$7*Settings!$B$3)/(E291+Settings!$B$7)</f>
        <v>0.0418512076056373</v>
      </c>
      <c r="R291" s="61" t="n">
        <f aca="false">PERCENTRANK($H$2:$H$1780,H291,6)</f>
        <v>0.816648</v>
      </c>
      <c r="S291" s="61" t="n">
        <f aca="false">PERCENTRANK($Q$2:$Q$1780,Q291,6)</f>
        <v>0.825647</v>
      </c>
      <c r="T291" s="61" t="n">
        <f aca="false">PERCENTRANK($F$2:$F$1780,F291,6)</f>
        <v>0.799775</v>
      </c>
      <c r="U291" s="62" t="n">
        <f aca="false">IF(F291&gt;0,(Settings!$B$8*T291+Settings!$B$9*R291+Settings!$B$10*S291)/SUM(Settings!$B$8:$B$10),0)</f>
        <v>0.814023333333333</v>
      </c>
      <c r="V291" s="56" t="n">
        <f aca="false">IF(U291&gt;0,RANK(U291,$U$2:$U$1780)+COUNTIF($U$2:U291,U291)-1,"")</f>
        <v>290</v>
      </c>
      <c r="W291" s="56" t="str">
        <f aca="false">IF(V291="","",IF(V291&lt;=Settings!$B$11,"1 - Fix first",IF(V291&lt;=Settings!$B$12,"2 - Review","3 - Monitor")))</f>
        <v>3 - Monitor</v>
      </c>
      <c r="X291" s="56" t="str">
        <f aca="false">IF(AND(E291&gt;=Settings!$B$4,F291&gt;=Settings!$B$5,O291&gt;=Settings!$B$6),"HIGH RATE","")</f>
        <v/>
      </c>
      <c r="Y291" s="56" t="n">
        <f aca="false">IF(F291&gt;0,RANK(F291,$F$2:$F$1780)+COUNTIF($F$2:F291,F291)-1,"")</f>
        <v>327</v>
      </c>
      <c r="Z291" s="56" t="n">
        <f aca="false">IF(H291&gt;0,RANK(H291,$H$2:$H$1780)+COUNTIF($H$2:H291,H291)-1,"")</f>
        <v>326</v>
      </c>
      <c r="AA291" s="56" t="n">
        <f aca="false">IF(AC291="","",RANK(AC291,$AC$2:$AC$1780)+COUNTIF($AC$2:AC291,AC291)-1)</f>
        <v>125</v>
      </c>
      <c r="AB291" s="56" t="str">
        <f aca="false">IF(AD291="","",RANK(AD291,$AD$2:$AD$1780)+COUNTIF($AD$2:AD291,AD291)-1)</f>
        <v/>
      </c>
      <c r="AC291" s="32" t="n">
        <f aca="false">IF(AND(F291&gt;0,E291&gt;=Settings!$B$4),J291,"")</f>
        <v>0.05</v>
      </c>
      <c r="AD291" s="56" t="str">
        <f aca="false">IF(X291="HIGH RATE",O291,"")</f>
        <v/>
      </c>
    </row>
    <row r="292" customFormat="false" ht="15" hidden="false" customHeight="false" outlineLevel="0" collapsed="false">
      <c r="A292" s="56" t="s">
        <v>714</v>
      </c>
      <c r="B292" s="56" t="s">
        <v>715</v>
      </c>
      <c r="C292" s="56" t="s">
        <v>713</v>
      </c>
      <c r="D292" s="56" t="str">
        <f aca="false">IFERROR(INDEX('Brand Map'!$B$4:$B$124,MATCH(C292,'Brand Map'!$A$4:$A$124,0)),"Other")</f>
        <v>Other (small prefixes)</v>
      </c>
      <c r="E292" s="57" t="n">
        <v>421</v>
      </c>
      <c r="F292" s="57" t="n">
        <v>15</v>
      </c>
      <c r="G292" s="58" t="n">
        <v>2100</v>
      </c>
      <c r="H292" s="58" t="n">
        <v>70.55</v>
      </c>
      <c r="I292" s="58" t="n">
        <v>1958.38</v>
      </c>
      <c r="J292" s="32" t="n">
        <f aca="false">IF(E292&gt;0,F292/E292,0)</f>
        <v>0.0356294536817102</v>
      </c>
      <c r="K292" s="32" t="n">
        <f aca="false">IF(G292&gt;0,H292/G292,0)</f>
        <v>0.0335952380952381</v>
      </c>
      <c r="L292" s="59" t="n">
        <f aca="false">H292/Settings!$B$16</f>
        <v>0.000140996040799198</v>
      </c>
      <c r="M292" s="59" t="n">
        <f aca="false">H292/Settings!$B$20</f>
        <v>5.47710693864044E-006</v>
      </c>
      <c r="N292" s="60" t="n">
        <f aca="false">E292*Settings!$B$3</f>
        <v>13.0451696046044</v>
      </c>
      <c r="O292" s="60" t="n">
        <f aca="false">IF(E292&gt;0,(F292-N292)/SQRT(E292*Settings!$B$3*(1-Settings!$B$3)),0)</f>
        <v>0.549818345075364</v>
      </c>
      <c r="P292" s="60" t="n">
        <f aca="false">MAX(0,F292-N292)</f>
        <v>1.9548303953956</v>
      </c>
      <c r="Q292" s="32" t="n">
        <f aca="false">(F292+Settings!$B$7*Settings!$B$3)/(E292+Settings!$B$7)</f>
        <v>0.0353205865463295</v>
      </c>
      <c r="R292" s="61" t="n">
        <f aca="false">PERCENTRANK($H$2:$H$1780,H292,6)</f>
        <v>0.72216</v>
      </c>
      <c r="S292" s="61" t="n">
        <f aca="false">PERCENTRANK($Q$2:$Q$1780,Q292,6)</f>
        <v>0.776715</v>
      </c>
      <c r="T292" s="61" t="n">
        <f aca="false">PERCENTRANK($F$2:$F$1780,F292,6)</f>
        <v>0.940945</v>
      </c>
      <c r="U292" s="62" t="n">
        <f aca="false">IF(F292&gt;0,(Settings!$B$8*T292+Settings!$B$9*R292+Settings!$B$10*S292)/SUM(Settings!$B$8:$B$10),0)</f>
        <v>0.813273333333333</v>
      </c>
      <c r="V292" s="56" t="n">
        <f aca="false">IF(U292&gt;0,RANK(U292,$U$2:$U$1780)+COUNTIF($U$2:U292,U292)-1,"")</f>
        <v>291</v>
      </c>
      <c r="W292" s="56" t="str">
        <f aca="false">IF(V292="","",IF(V292&lt;=Settings!$B$11,"1 - Fix first",IF(V292&lt;=Settings!$B$12,"2 - Review","3 - Monitor")))</f>
        <v>3 - Monitor</v>
      </c>
      <c r="X292" s="56" t="str">
        <f aca="false">IF(AND(E292&gt;=Settings!$B$4,F292&gt;=Settings!$B$5,O292&gt;=Settings!$B$6),"HIGH RATE","")</f>
        <v/>
      </c>
      <c r="Y292" s="56" t="n">
        <f aca="false">IF(F292&gt;0,RANK(F292,$F$2:$F$1780)+COUNTIF($F$2:F292,F292)-1,"")</f>
        <v>105</v>
      </c>
      <c r="Z292" s="56" t="n">
        <f aca="false">IF(H292&gt;0,RANK(H292,$H$2:$H$1780)+COUNTIF($H$2:H292,H292)-1,"")</f>
        <v>495</v>
      </c>
      <c r="AA292" s="56" t="n">
        <f aca="false">IF(AC292="","",RANK(AC292,$AC$2:$AC$1780)+COUNTIF($AC$2:AC292,AC292)-1)</f>
        <v>224</v>
      </c>
      <c r="AB292" s="56" t="str">
        <f aca="false">IF(AD292="","",RANK(AD292,$AD$2:$AD$1780)+COUNTIF($AD$2:AD292,AD292)-1)</f>
        <v/>
      </c>
      <c r="AC292" s="32" t="n">
        <f aca="false">IF(AND(F292&gt;0,E292&gt;=Settings!$B$4),J292,"")</f>
        <v>0.0356294536817102</v>
      </c>
      <c r="AD292" s="56" t="str">
        <f aca="false">IF(X292="HIGH RATE",O292,"")</f>
        <v/>
      </c>
    </row>
    <row r="293" customFormat="false" ht="15" hidden="false" customHeight="false" outlineLevel="0" collapsed="false">
      <c r="A293" s="56" t="s">
        <v>1290</v>
      </c>
      <c r="B293" s="56" t="s">
        <v>1291</v>
      </c>
      <c r="C293" s="56" t="s">
        <v>87</v>
      </c>
      <c r="D293" s="56" t="str">
        <f aca="false">IFERROR(INDEX('Brand Map'!$B$4:$B$124,MATCH(C293,'Brand Map'!$A$4:$A$124,0)),"Other")</f>
        <v>FYF</v>
      </c>
      <c r="E293" s="57" t="n">
        <v>4</v>
      </c>
      <c r="F293" s="57" t="n">
        <v>1</v>
      </c>
      <c r="G293" s="58" t="n">
        <v>739.8</v>
      </c>
      <c r="H293" s="58" t="n">
        <v>184.95</v>
      </c>
      <c r="I293" s="58" t="n">
        <v>554.85</v>
      </c>
      <c r="J293" s="32" t="n">
        <f aca="false">IF(E293&gt;0,F293/E293,0)</f>
        <v>0.25</v>
      </c>
      <c r="K293" s="32" t="n">
        <f aca="false">IF(G293&gt;0,H293/G293,0)</f>
        <v>0.25</v>
      </c>
      <c r="L293" s="59" t="n">
        <f aca="false">H293/Settings!$B$16</f>
        <v>0.000369627466276565</v>
      </c>
      <c r="M293" s="59" t="n">
        <f aca="false">H293/Settings!$B$20</f>
        <v>1.43584823288667E-005</v>
      </c>
      <c r="N293" s="60" t="n">
        <f aca="false">E293*Settings!$B$3</f>
        <v>0.123944604319282</v>
      </c>
      <c r="O293" s="60" t="n">
        <f aca="false">IF(E293&gt;0,(F293-N293)/SQRT(E293*Settings!$B$3*(1-Settings!$B$3)),0)</f>
        <v>2.52785852352268</v>
      </c>
      <c r="P293" s="60" t="n">
        <f aca="false">MAX(0,F293-N293)</f>
        <v>0.876055395680718</v>
      </c>
      <c r="Q293" s="32" t="n">
        <f aca="false">(F293+Settings!$B$7*Settings!$B$3)/(E293+Settings!$B$7)</f>
        <v>0.0567524862469004</v>
      </c>
      <c r="R293" s="61" t="n">
        <f aca="false">PERCENTRANK($H$2:$H$1780,H293,6)</f>
        <v>0.823397</v>
      </c>
      <c r="S293" s="61" t="n">
        <f aca="false">PERCENTRANK($Q$2:$Q$1780,Q293,6)</f>
        <v>0.930821</v>
      </c>
      <c r="T293" s="61" t="n">
        <f aca="false">PERCENTRANK($F$2:$F$1780,F293,6)</f>
        <v>0.685039</v>
      </c>
      <c r="U293" s="62" t="n">
        <f aca="false">IF(F293&gt;0,(Settings!$B$8*T293+Settings!$B$9*R293+Settings!$B$10*S293)/SUM(Settings!$B$8:$B$10),0)</f>
        <v>0.813085666666667</v>
      </c>
      <c r="V293" s="56" t="n">
        <f aca="false">IF(U293&gt;0,RANK(U293,$U$2:$U$1780)+COUNTIF($U$2:U293,U293)-1,"")</f>
        <v>292</v>
      </c>
      <c r="W293" s="56" t="str">
        <f aca="false">IF(V293="","",IF(V293&lt;=Settings!$B$11,"1 - Fix first",IF(V293&lt;=Settings!$B$12,"2 - Review","3 - Monitor")))</f>
        <v>3 - Monitor</v>
      </c>
      <c r="X293" s="56" t="str">
        <f aca="false">IF(AND(E293&gt;=Settings!$B$4,F293&gt;=Settings!$B$5,O293&gt;=Settings!$B$6),"HIGH RATE","")</f>
        <v/>
      </c>
      <c r="Y293" s="56" t="n">
        <f aca="false">IF(F293&gt;0,RANK(F293,$F$2:$F$1780)+COUNTIF($F$2:F293,F293)-1,"")</f>
        <v>367</v>
      </c>
      <c r="Z293" s="56" t="n">
        <f aca="false">IF(H293&gt;0,RANK(H293,$H$2:$H$1780)+COUNTIF($H$2:H293,H293)-1,"")</f>
        <v>314</v>
      </c>
      <c r="AA293" s="56" t="str">
        <f aca="false">IF(AC293="","",RANK(AC293,$AC$2:$AC$1780)+COUNTIF($AC$2:AC293,AC293)-1)</f>
        <v/>
      </c>
      <c r="AB293" s="56" t="str">
        <f aca="false">IF(AD293="","",RANK(AD293,$AD$2:$AD$1780)+COUNTIF($AD$2:AD293,AD293)-1)</f>
        <v/>
      </c>
      <c r="AC293" s="56" t="str">
        <f aca="false">IF(AND(F293&gt;0,E293&gt;=Settings!$B$4),J293,"")</f>
        <v/>
      </c>
      <c r="AD293" s="56" t="str">
        <f aca="false">IF(X293="HIGH RATE",O293,"")</f>
        <v/>
      </c>
    </row>
    <row r="294" customFormat="false" ht="15" hidden="false" customHeight="false" outlineLevel="0" collapsed="false">
      <c r="A294" s="56" t="s">
        <v>248</v>
      </c>
      <c r="B294" s="56" t="s">
        <v>1292</v>
      </c>
      <c r="C294" s="56" t="s">
        <v>59</v>
      </c>
      <c r="D294" s="56" t="str">
        <f aca="false">IFERROR(INDEX('Brand Map'!$B$4:$B$124,MATCH(C294,'Brand Map'!$A$4:$A$124,0)),"Other")</f>
        <v>DC</v>
      </c>
      <c r="E294" s="57" t="n">
        <v>47</v>
      </c>
      <c r="F294" s="57" t="n">
        <v>2</v>
      </c>
      <c r="G294" s="58" t="n">
        <v>6077.52</v>
      </c>
      <c r="H294" s="58" t="n">
        <v>237.19</v>
      </c>
      <c r="I294" s="58" t="n">
        <v>5512.61</v>
      </c>
      <c r="J294" s="32" t="n">
        <f aca="false">IF(E294&gt;0,F294/E294,0)</f>
        <v>0.0425531914893617</v>
      </c>
      <c r="K294" s="32" t="n">
        <f aca="false">IF(G294&gt;0,H294/G294,0)</f>
        <v>0.0390274322420987</v>
      </c>
      <c r="L294" s="59" t="n">
        <f aca="false">H294/Settings!$B$16</f>
        <v>0.000474030487840705</v>
      </c>
      <c r="M294" s="59" t="n">
        <f aca="false">H294/Settings!$B$20</f>
        <v>1.84141033986694E-005</v>
      </c>
      <c r="N294" s="60" t="n">
        <f aca="false">E294*Settings!$B$3</f>
        <v>1.45634910075156</v>
      </c>
      <c r="O294" s="60" t="n">
        <f aca="false">IF(E294&gt;0,(F294-N294)/SQRT(E294*Settings!$B$3*(1-Settings!$B$3)),0)</f>
        <v>0.45763830961727</v>
      </c>
      <c r="P294" s="60" t="n">
        <f aca="false">MAX(0,F294-N294)</f>
        <v>0.54365089924844</v>
      </c>
      <c r="Q294" s="32" t="n">
        <f aca="false">(F294+Settings!$B$7*Settings!$B$3)/(E294+Settings!$B$7)</f>
        <v>0.0380465523687612</v>
      </c>
      <c r="R294" s="61" t="n">
        <f aca="false">PERCENTRANK($H$2:$H$1780,H294,6)</f>
        <v>0.843082</v>
      </c>
      <c r="S294" s="61" t="n">
        <f aca="false">PERCENTRANK($Q$2:$Q$1780,Q294,6)</f>
        <v>0.795276</v>
      </c>
      <c r="T294" s="61" t="n">
        <f aca="false">PERCENTRANK($F$2:$F$1780,F294,6)</f>
        <v>0.799775</v>
      </c>
      <c r="U294" s="62" t="n">
        <f aca="false">IF(F294&gt;0,(Settings!$B$8*T294+Settings!$B$9*R294+Settings!$B$10*S294)/SUM(Settings!$B$8:$B$10),0)</f>
        <v>0.812711</v>
      </c>
      <c r="V294" s="56" t="n">
        <f aca="false">IF(U294&gt;0,RANK(U294,$U$2:$U$1780)+COUNTIF($U$2:U294,U294)-1,"")</f>
        <v>293</v>
      </c>
      <c r="W294" s="56" t="str">
        <f aca="false">IF(V294="","",IF(V294&lt;=Settings!$B$11,"1 - Fix first",IF(V294&lt;=Settings!$B$12,"2 - Review","3 - Monitor")))</f>
        <v>3 - Monitor</v>
      </c>
      <c r="X294" s="56" t="str">
        <f aca="false">IF(AND(E294&gt;=Settings!$B$4,F294&gt;=Settings!$B$5,O294&gt;=Settings!$B$6),"HIGH RATE","")</f>
        <v/>
      </c>
      <c r="Y294" s="56" t="n">
        <f aca="false">IF(F294&gt;0,RANK(F294,$F$2:$F$1780)+COUNTIF($F$2:F294,F294)-1,"")</f>
        <v>328</v>
      </c>
      <c r="Z294" s="56" t="n">
        <f aca="false">IF(H294&gt;0,RANK(H294,$H$2:$H$1780)+COUNTIF($H$2:H294,H294)-1,"")</f>
        <v>280</v>
      </c>
      <c r="AA294" s="56" t="n">
        <f aca="false">IF(AC294="","",RANK(AC294,$AC$2:$AC$1780)+COUNTIF($AC$2:AC294,AC294)-1)</f>
        <v>172</v>
      </c>
      <c r="AB294" s="56" t="str">
        <f aca="false">IF(AD294="","",RANK(AD294,$AD$2:$AD$1780)+COUNTIF($AD$2:AD294,AD294)-1)</f>
        <v/>
      </c>
      <c r="AC294" s="32" t="n">
        <f aca="false">IF(AND(F294&gt;0,E294&gt;=Settings!$B$4),J294,"")</f>
        <v>0.0425531914893617</v>
      </c>
      <c r="AD294" s="56" t="str">
        <f aca="false">IF(X294="HIGH RATE",O294,"")</f>
        <v/>
      </c>
    </row>
    <row r="295" customFormat="false" ht="15" hidden="false" customHeight="false" outlineLevel="0" collapsed="false">
      <c r="A295" s="56" t="s">
        <v>1293</v>
      </c>
      <c r="B295" s="56" t="s">
        <v>1294</v>
      </c>
      <c r="C295" s="56" t="s">
        <v>611</v>
      </c>
      <c r="D295" s="56" t="str">
        <f aca="false">IFERROR(INDEX('Brand Map'!$B$4:$B$124,MATCH(C295,'Brand Map'!$A$4:$A$124,0)),"Other")</f>
        <v>Other (small prefixes)</v>
      </c>
      <c r="E295" s="57" t="n">
        <v>86</v>
      </c>
      <c r="F295" s="57" t="n">
        <v>3</v>
      </c>
      <c r="G295" s="58" t="n">
        <v>6417.63</v>
      </c>
      <c r="H295" s="58" t="n">
        <v>209.93</v>
      </c>
      <c r="I295" s="58" t="n">
        <v>6021.48</v>
      </c>
      <c r="J295" s="32" t="n">
        <f aca="false">IF(E295&gt;0,F295/E295,0)</f>
        <v>0.0348837209302326</v>
      </c>
      <c r="K295" s="32" t="n">
        <f aca="false">IF(G295&gt;0,H295/G295,0)</f>
        <v>0.0327114526702225</v>
      </c>
      <c r="L295" s="59" t="n">
        <f aca="false">H295/Settings!$B$16</f>
        <v>0.000419550656909647</v>
      </c>
      <c r="M295" s="59" t="n">
        <f aca="false">H295/Settings!$B$20</f>
        <v>1.62977896474669E-005</v>
      </c>
      <c r="N295" s="60" t="n">
        <f aca="false">E295*Settings!$B$3</f>
        <v>2.66480899286456</v>
      </c>
      <c r="O295" s="60" t="n">
        <f aca="false">IF(E295&gt;0,(F295-N295)/SQRT(E295*Settings!$B$3*(1-Settings!$B$3)),0)</f>
        <v>0.20859040329584</v>
      </c>
      <c r="P295" s="60" t="n">
        <f aca="false">MAX(0,F295-N295)</f>
        <v>0.335191007135444</v>
      </c>
      <c r="Q295" s="32" t="n">
        <f aca="false">(F295+Settings!$B$7*Settings!$B$3)/(E295+Settings!$B$7)</f>
        <v>0.0338757287275398</v>
      </c>
      <c r="R295" s="61" t="n">
        <f aca="false">PERCENTRANK($H$2:$H$1780,H295,6)</f>
        <v>0.829584</v>
      </c>
      <c r="S295" s="61" t="n">
        <f aca="false">PERCENTRANK($Q$2:$Q$1780,Q295,6)</f>
        <v>0.764904</v>
      </c>
      <c r="T295" s="61" t="n">
        <f aca="false">PERCENTRANK($F$2:$F$1780,F295,6)</f>
        <v>0.84252</v>
      </c>
      <c r="U295" s="62" t="n">
        <f aca="false">IF(F295&gt;0,(Settings!$B$8*T295+Settings!$B$9*R295+Settings!$B$10*S295)/SUM(Settings!$B$8:$B$10),0)</f>
        <v>0.812336</v>
      </c>
      <c r="V295" s="56" t="n">
        <f aca="false">IF(U295&gt;0,RANK(U295,$U$2:$U$1780)+COUNTIF($U$2:U295,U295)-1,"")</f>
        <v>294</v>
      </c>
      <c r="W295" s="56" t="str">
        <f aca="false">IF(V295="","",IF(V295&lt;=Settings!$B$11,"1 - Fix first",IF(V295&lt;=Settings!$B$12,"2 - Review","3 - Monitor")))</f>
        <v>3 - Monitor</v>
      </c>
      <c r="X295" s="56" t="str">
        <f aca="false">IF(AND(E295&gt;=Settings!$B$4,F295&gt;=Settings!$B$5,O295&gt;=Settings!$B$6),"HIGH RATE","")</f>
        <v/>
      </c>
      <c r="Y295" s="56" t="n">
        <f aca="false">IF(F295&gt;0,RANK(F295,$F$2:$F$1780)+COUNTIF($F$2:F295,F295)-1,"")</f>
        <v>263</v>
      </c>
      <c r="Z295" s="56" t="n">
        <f aca="false">IF(H295&gt;0,RANK(H295,$H$2:$H$1780)+COUNTIF($H$2:H295,H295)-1,"")</f>
        <v>304</v>
      </c>
      <c r="AA295" s="56" t="n">
        <f aca="false">IF(AC295="","",RANK(AC295,$AC$2:$AC$1780)+COUNTIF($AC$2:AC295,AC295)-1)</f>
        <v>234</v>
      </c>
      <c r="AB295" s="56" t="str">
        <f aca="false">IF(AD295="","",RANK(AD295,$AD$2:$AD$1780)+COUNTIF($AD$2:AD295,AD295)-1)</f>
        <v/>
      </c>
      <c r="AC295" s="32" t="n">
        <f aca="false">IF(AND(F295&gt;0,E295&gt;=Settings!$B$4),J295,"")</f>
        <v>0.0348837209302326</v>
      </c>
      <c r="AD295" s="56" t="str">
        <f aca="false">IF(X295="HIGH RATE",O295,"")</f>
        <v/>
      </c>
    </row>
    <row r="296" customFormat="false" ht="15" hidden="false" customHeight="false" outlineLevel="0" collapsed="false">
      <c r="A296" s="56" t="s">
        <v>298</v>
      </c>
      <c r="B296" s="56" t="s">
        <v>1295</v>
      </c>
      <c r="C296" s="56" t="s">
        <v>71</v>
      </c>
      <c r="D296" s="56" t="str">
        <f aca="false">IFERROR(INDEX('Brand Map'!$B$4:$B$124,MATCH(C296,'Brand Map'!$A$4:$A$124,0)),"Other")</f>
        <v>GF</v>
      </c>
      <c r="E296" s="57" t="n">
        <v>6</v>
      </c>
      <c r="F296" s="57" t="n">
        <v>1</v>
      </c>
      <c r="G296" s="58" t="n">
        <v>1517.89</v>
      </c>
      <c r="H296" s="58" t="n">
        <v>231.78</v>
      </c>
      <c r="I296" s="58" t="n">
        <v>1209.78</v>
      </c>
      <c r="J296" s="32" t="n">
        <f aca="false">IF(E296&gt;0,F296/E296,0)</f>
        <v>0.166666666666667</v>
      </c>
      <c r="K296" s="32" t="n">
        <f aca="false">IF(G296&gt;0,H296/G296,0)</f>
        <v>0.15269881216689</v>
      </c>
      <c r="L296" s="59" t="n">
        <f aca="false">H296/Settings!$B$16</f>
        <v>0.000463218459765246</v>
      </c>
      <c r="M296" s="59" t="n">
        <f aca="false">H296/Settings!$B$20</f>
        <v>1.799410129324E-005</v>
      </c>
      <c r="N296" s="60" t="n">
        <f aca="false">E296*Settings!$B$3</f>
        <v>0.185916906478923</v>
      </c>
      <c r="O296" s="60" t="n">
        <f aca="false">IF(E296&gt;0,(F296-N296)/SQRT(E296*Settings!$B$3*(1-Settings!$B$3)),0)</f>
        <v>1.91798100360216</v>
      </c>
      <c r="P296" s="60" t="n">
        <f aca="false">MAX(0,F296-N296)</f>
        <v>0.814083093521077</v>
      </c>
      <c r="Q296" s="32" t="n">
        <f aca="false">(F296+Settings!$B$7*Settings!$B$3)/(E296+Settings!$B$7)</f>
        <v>0.0535995703442948</v>
      </c>
      <c r="R296" s="61" t="n">
        <f aca="false">PERCENTRANK($H$2:$H$1780,H296,6)</f>
        <v>0.840832</v>
      </c>
      <c r="S296" s="61" t="n">
        <f aca="false">PERCENTRANK($Q$2:$Q$1780,Q296,6)</f>
        <v>0.909449</v>
      </c>
      <c r="T296" s="61" t="n">
        <f aca="false">PERCENTRANK($F$2:$F$1780,F296,6)</f>
        <v>0.685039</v>
      </c>
      <c r="U296" s="62" t="n">
        <f aca="false">IF(F296&gt;0,(Settings!$B$8*T296+Settings!$B$9*R296+Settings!$B$10*S296)/SUM(Settings!$B$8:$B$10),0)</f>
        <v>0.811773333333333</v>
      </c>
      <c r="V296" s="56" t="n">
        <f aca="false">IF(U296&gt;0,RANK(U296,$U$2:$U$1780)+COUNTIF($U$2:U296,U296)-1,"")</f>
        <v>295</v>
      </c>
      <c r="W296" s="56" t="str">
        <f aca="false">IF(V296="","",IF(V296&lt;=Settings!$B$11,"1 - Fix first",IF(V296&lt;=Settings!$B$12,"2 - Review","3 - Monitor")))</f>
        <v>3 - Monitor</v>
      </c>
      <c r="X296" s="56" t="str">
        <f aca="false">IF(AND(E296&gt;=Settings!$B$4,F296&gt;=Settings!$B$5,O296&gt;=Settings!$B$6),"HIGH RATE","")</f>
        <v/>
      </c>
      <c r="Y296" s="56" t="n">
        <f aca="false">IF(F296&gt;0,RANK(F296,$F$2:$F$1780)+COUNTIF($F$2:F296,F296)-1,"")</f>
        <v>368</v>
      </c>
      <c r="Z296" s="56" t="n">
        <f aca="false">IF(H296&gt;0,RANK(H296,$H$2:$H$1780)+COUNTIF($H$2:H296,H296)-1,"")</f>
        <v>284</v>
      </c>
      <c r="AA296" s="56" t="str">
        <f aca="false">IF(AC296="","",RANK(AC296,$AC$2:$AC$1780)+COUNTIF($AC$2:AC296,AC296)-1)</f>
        <v/>
      </c>
      <c r="AB296" s="56" t="str">
        <f aca="false">IF(AD296="","",RANK(AD296,$AD$2:$AD$1780)+COUNTIF($AD$2:AD296,AD296)-1)</f>
        <v/>
      </c>
      <c r="AC296" s="56" t="str">
        <f aca="false">IF(AND(F296&gt;0,E296&gt;=Settings!$B$4),J296,"")</f>
        <v/>
      </c>
      <c r="AD296" s="56" t="str">
        <f aca="false">IF(X296="HIGH RATE",O296,"")</f>
        <v/>
      </c>
    </row>
    <row r="297" customFormat="false" ht="15" hidden="false" customHeight="false" outlineLevel="0" collapsed="false">
      <c r="A297" s="56" t="s">
        <v>1296</v>
      </c>
      <c r="B297" s="56" t="s">
        <v>1297</v>
      </c>
      <c r="C297" s="56" t="s">
        <v>51</v>
      </c>
      <c r="D297" s="56" t="str">
        <f aca="false">IFERROR(INDEX('Brand Map'!$B$4:$B$124,MATCH(C297,'Brand Map'!$A$4:$A$124,0)),"Other")</f>
        <v>AU</v>
      </c>
      <c r="E297" s="57" t="n">
        <v>2</v>
      </c>
      <c r="F297" s="57" t="n">
        <v>1</v>
      </c>
      <c r="G297" s="58" t="n">
        <v>323.9</v>
      </c>
      <c r="H297" s="58" t="n">
        <v>146.95</v>
      </c>
      <c r="I297" s="58" t="n">
        <v>176.95</v>
      </c>
      <c r="J297" s="32" t="n">
        <f aca="false">IF(E297&gt;0,F297/E297,0)</f>
        <v>0.5</v>
      </c>
      <c r="K297" s="32" t="n">
        <f aca="false">IF(G297&gt;0,H297/G297,0)</f>
        <v>0.453689410311825</v>
      </c>
      <c r="L297" s="59" t="n">
        <f aca="false">H297/Settings!$B$16</f>
        <v>0.000293683461310307</v>
      </c>
      <c r="M297" s="59" t="n">
        <f aca="false">H297/Settings!$B$20</f>
        <v>1.14083751188265E-005</v>
      </c>
      <c r="N297" s="60" t="n">
        <f aca="false">E297*Settings!$B$3</f>
        <v>0.0619723021596408</v>
      </c>
      <c r="O297" s="60" t="n">
        <f aca="false">IF(E297&gt;0,(F297-N297)/SQRT(E297*Settings!$B$3*(1-Settings!$B$3)),0)</f>
        <v>3.82782306926152</v>
      </c>
      <c r="P297" s="60" t="n">
        <f aca="false">MAX(0,F297-N297)</f>
        <v>0.938027697840359</v>
      </c>
      <c r="Q297" s="32" t="n">
        <f aca="false">(F297+Settings!$B$7*Settings!$B$3)/(E297+Settings!$B$7)</f>
        <v>0.0602995166373316</v>
      </c>
      <c r="R297" s="61" t="n">
        <f aca="false">PERCENTRANK($H$2:$H$1780,H297,6)</f>
        <v>0.802587</v>
      </c>
      <c r="S297" s="61" t="n">
        <f aca="false">PERCENTRANK($Q$2:$Q$1780,Q297,6)</f>
        <v>0.946569</v>
      </c>
      <c r="T297" s="61" t="n">
        <f aca="false">PERCENTRANK($F$2:$F$1780,F297,6)</f>
        <v>0.685039</v>
      </c>
      <c r="U297" s="62" t="n">
        <f aca="false">IF(F297&gt;0,(Settings!$B$8*T297+Settings!$B$9*R297+Settings!$B$10*S297)/SUM(Settings!$B$8:$B$10),0)</f>
        <v>0.811398333333333</v>
      </c>
      <c r="V297" s="56" t="n">
        <f aca="false">IF(U297&gt;0,RANK(U297,$U$2:$U$1780)+COUNTIF($U$2:U297,U297)-1,"")</f>
        <v>296</v>
      </c>
      <c r="W297" s="56" t="str">
        <f aca="false">IF(V297="","",IF(V297&lt;=Settings!$B$11,"1 - Fix first",IF(V297&lt;=Settings!$B$12,"2 - Review","3 - Monitor")))</f>
        <v>3 - Monitor</v>
      </c>
      <c r="X297" s="56" t="str">
        <f aca="false">IF(AND(E297&gt;=Settings!$B$4,F297&gt;=Settings!$B$5,O297&gt;=Settings!$B$6),"HIGH RATE","")</f>
        <v/>
      </c>
      <c r="Y297" s="56" t="n">
        <f aca="false">IF(F297&gt;0,RANK(F297,$F$2:$F$1780)+COUNTIF($F$2:F297,F297)-1,"")</f>
        <v>369</v>
      </c>
      <c r="Z297" s="56" t="n">
        <f aca="false">IF(H297&gt;0,RANK(H297,$H$2:$H$1780)+COUNTIF($H$2:H297,H297)-1,"")</f>
        <v>352</v>
      </c>
      <c r="AA297" s="56" t="str">
        <f aca="false">IF(AC297="","",RANK(AC297,$AC$2:$AC$1780)+COUNTIF($AC$2:AC297,AC297)-1)</f>
        <v/>
      </c>
      <c r="AB297" s="56" t="str">
        <f aca="false">IF(AD297="","",RANK(AD297,$AD$2:$AD$1780)+COUNTIF($AD$2:AD297,AD297)-1)</f>
        <v/>
      </c>
      <c r="AC297" s="56" t="str">
        <f aca="false">IF(AND(F297&gt;0,E297&gt;=Settings!$B$4),J297,"")</f>
        <v/>
      </c>
      <c r="AD297" s="56" t="str">
        <f aca="false">IF(X297="HIGH RATE",O297,"")</f>
        <v/>
      </c>
    </row>
    <row r="298" customFormat="false" ht="15" hidden="false" customHeight="false" outlineLevel="0" collapsed="false">
      <c r="A298" s="56" t="s">
        <v>1298</v>
      </c>
      <c r="B298" s="56" t="s">
        <v>1299</v>
      </c>
      <c r="C298" s="56" t="s">
        <v>87</v>
      </c>
      <c r="D298" s="56" t="str">
        <f aca="false">IFERROR(INDEX('Brand Map'!$B$4:$B$124,MATCH(C298,'Brand Map'!$A$4:$A$124,0)),"Other")</f>
        <v>FYF</v>
      </c>
      <c r="E298" s="57" t="n">
        <v>5</v>
      </c>
      <c r="F298" s="57" t="n">
        <v>1</v>
      </c>
      <c r="G298" s="58" t="n">
        <v>974.75</v>
      </c>
      <c r="H298" s="58" t="n">
        <v>194.95</v>
      </c>
      <c r="I298" s="58" t="n">
        <v>779.8</v>
      </c>
      <c r="J298" s="32" t="n">
        <f aca="false">IF(E298&gt;0,F298/E298,0)</f>
        <v>0.2</v>
      </c>
      <c r="K298" s="32" t="n">
        <f aca="false">IF(G298&gt;0,H298/G298,0)</f>
        <v>0.2</v>
      </c>
      <c r="L298" s="59" t="n">
        <f aca="false">H298/Settings!$B$16</f>
        <v>0.00038961273074137</v>
      </c>
      <c r="M298" s="59" t="n">
        <f aca="false">H298/Settings!$B$20</f>
        <v>1.51348263315089E-005</v>
      </c>
      <c r="N298" s="60" t="n">
        <f aca="false">E298*Settings!$B$3</f>
        <v>0.154930755399102</v>
      </c>
      <c r="O298" s="60" t="n">
        <f aca="false">IF(E298&gt;0,(F298-N298)/SQRT(E298*Settings!$B$3*(1-Settings!$B$3)),0)</f>
        <v>2.18101415975909</v>
      </c>
      <c r="P298" s="60" t="n">
        <f aca="false">MAX(0,F298-N298)</f>
        <v>0.845069244600898</v>
      </c>
      <c r="Q298" s="32" t="n">
        <f aca="false">(F298+Settings!$B$7*Settings!$B$3)/(E298+Settings!$B$7)</f>
        <v>0.0551309866398461</v>
      </c>
      <c r="R298" s="61" t="n">
        <f aca="false">PERCENTRANK($H$2:$H$1780,H298,6)</f>
        <v>0.827897</v>
      </c>
      <c r="S298" s="61" t="n">
        <f aca="false">PERCENTRANK($Q$2:$Q$1780,Q298,6)</f>
        <v>0.920697</v>
      </c>
      <c r="T298" s="61" t="n">
        <f aca="false">PERCENTRANK($F$2:$F$1780,F298,6)</f>
        <v>0.685039</v>
      </c>
      <c r="U298" s="62" t="n">
        <f aca="false">IF(F298&gt;0,(Settings!$B$8*T298+Settings!$B$9*R298+Settings!$B$10*S298)/SUM(Settings!$B$8:$B$10),0)</f>
        <v>0.811211</v>
      </c>
      <c r="V298" s="56" t="n">
        <f aca="false">IF(U298&gt;0,RANK(U298,$U$2:$U$1780)+COUNTIF($U$2:U298,U298)-1,"")</f>
        <v>297</v>
      </c>
      <c r="W298" s="56" t="str">
        <f aca="false">IF(V298="","",IF(V298&lt;=Settings!$B$11,"1 - Fix first",IF(V298&lt;=Settings!$B$12,"2 - Review","3 - Monitor")))</f>
        <v>3 - Monitor</v>
      </c>
      <c r="X298" s="56" t="str">
        <f aca="false">IF(AND(E298&gt;=Settings!$B$4,F298&gt;=Settings!$B$5,O298&gt;=Settings!$B$6),"HIGH RATE","")</f>
        <v/>
      </c>
      <c r="Y298" s="56" t="n">
        <f aca="false">IF(F298&gt;0,RANK(F298,$F$2:$F$1780)+COUNTIF($F$2:F298,F298)-1,"")</f>
        <v>370</v>
      </c>
      <c r="Z298" s="56" t="n">
        <f aca="false">IF(H298&gt;0,RANK(H298,$H$2:$H$1780)+COUNTIF($H$2:H298,H298)-1,"")</f>
        <v>307</v>
      </c>
      <c r="AA298" s="56" t="str">
        <f aca="false">IF(AC298="","",RANK(AC298,$AC$2:$AC$1780)+COUNTIF($AC$2:AC298,AC298)-1)</f>
        <v/>
      </c>
      <c r="AB298" s="56" t="str">
        <f aca="false">IF(AD298="","",RANK(AD298,$AD$2:$AD$1780)+COUNTIF($AD$2:AD298,AD298)-1)</f>
        <v/>
      </c>
      <c r="AC298" s="56" t="str">
        <f aca="false">IF(AND(F298&gt;0,E298&gt;=Settings!$B$4),J298,"")</f>
        <v/>
      </c>
      <c r="AD298" s="56" t="str">
        <f aca="false">IF(X298="HIGH RATE",O298,"")</f>
        <v/>
      </c>
    </row>
    <row r="299" customFormat="false" ht="15" hidden="false" customHeight="false" outlineLevel="0" collapsed="false">
      <c r="A299" s="56" t="s">
        <v>1300</v>
      </c>
      <c r="B299" s="56" t="s">
        <v>1243</v>
      </c>
      <c r="C299" s="56" t="s">
        <v>51</v>
      </c>
      <c r="D299" s="56" t="str">
        <f aca="false">IFERROR(INDEX('Brand Map'!$B$4:$B$124,MATCH(C299,'Brand Map'!$A$4:$A$124,0)),"Other")</f>
        <v>AU</v>
      </c>
      <c r="E299" s="57" t="n">
        <v>2</v>
      </c>
      <c r="F299" s="57" t="n">
        <v>1</v>
      </c>
      <c r="G299" s="58" t="n">
        <v>296.4</v>
      </c>
      <c r="H299" s="58" t="n">
        <v>141.45</v>
      </c>
      <c r="I299" s="58" t="n">
        <v>154.95</v>
      </c>
      <c r="J299" s="32" t="n">
        <f aca="false">IF(E299&gt;0,F299/E299,0)</f>
        <v>0.5</v>
      </c>
      <c r="K299" s="32" t="n">
        <f aca="false">IF(G299&gt;0,H299/G299,0)</f>
        <v>0.477226720647773</v>
      </c>
      <c r="L299" s="59" t="n">
        <f aca="false">H299/Settings!$B$16</f>
        <v>0.000282691565854664</v>
      </c>
      <c r="M299" s="59" t="n">
        <f aca="false">H299/Settings!$B$20</f>
        <v>1.09813859173733E-005</v>
      </c>
      <c r="N299" s="60" t="n">
        <f aca="false">E299*Settings!$B$3</f>
        <v>0.0619723021596408</v>
      </c>
      <c r="O299" s="60" t="n">
        <f aca="false">IF(E299&gt;0,(F299-N299)/SQRT(E299*Settings!$B$3*(1-Settings!$B$3)),0)</f>
        <v>3.82782306926152</v>
      </c>
      <c r="P299" s="60" t="n">
        <f aca="false">MAX(0,F299-N299)</f>
        <v>0.938027697840359</v>
      </c>
      <c r="Q299" s="32" t="n">
        <f aca="false">(F299+Settings!$B$7*Settings!$B$3)/(E299+Settings!$B$7)</f>
        <v>0.0602995166373316</v>
      </c>
      <c r="R299" s="61" t="n">
        <f aca="false">PERCENTRANK($H$2:$H$1780,H299,6)</f>
        <v>0.798088</v>
      </c>
      <c r="S299" s="61" t="n">
        <f aca="false">PERCENTRANK($Q$2:$Q$1780,Q299,6)</f>
        <v>0.946569</v>
      </c>
      <c r="T299" s="61" t="n">
        <f aca="false">PERCENTRANK($F$2:$F$1780,F299,6)</f>
        <v>0.685039</v>
      </c>
      <c r="U299" s="62" t="n">
        <f aca="false">IF(F299&gt;0,(Settings!$B$8*T299+Settings!$B$9*R299+Settings!$B$10*S299)/SUM(Settings!$B$8:$B$10),0)</f>
        <v>0.809898666666667</v>
      </c>
      <c r="V299" s="56" t="n">
        <f aca="false">IF(U299&gt;0,RANK(U299,$U$2:$U$1780)+COUNTIF($U$2:U299,U299)-1,"")</f>
        <v>298</v>
      </c>
      <c r="W299" s="56" t="str">
        <f aca="false">IF(V299="","",IF(V299&lt;=Settings!$B$11,"1 - Fix first",IF(V299&lt;=Settings!$B$12,"2 - Review","3 - Monitor")))</f>
        <v>3 - Monitor</v>
      </c>
      <c r="X299" s="56" t="str">
        <f aca="false">IF(AND(E299&gt;=Settings!$B$4,F299&gt;=Settings!$B$5,O299&gt;=Settings!$B$6),"HIGH RATE","")</f>
        <v/>
      </c>
      <c r="Y299" s="56" t="n">
        <f aca="false">IF(F299&gt;0,RANK(F299,$F$2:$F$1780)+COUNTIF($F$2:F299,F299)-1,"")</f>
        <v>371</v>
      </c>
      <c r="Z299" s="56" t="n">
        <f aca="false">IF(H299&gt;0,RANK(H299,$H$2:$H$1780)+COUNTIF($H$2:H299,H299)-1,"")</f>
        <v>360</v>
      </c>
      <c r="AA299" s="56" t="str">
        <f aca="false">IF(AC299="","",RANK(AC299,$AC$2:$AC$1780)+COUNTIF($AC$2:AC299,AC299)-1)</f>
        <v/>
      </c>
      <c r="AB299" s="56" t="str">
        <f aca="false">IF(AD299="","",RANK(AD299,$AD$2:$AD$1780)+COUNTIF($AD$2:AD299,AD299)-1)</f>
        <v/>
      </c>
      <c r="AC299" s="56" t="str">
        <f aca="false">IF(AND(F299&gt;0,E299&gt;=Settings!$B$4),J299,"")</f>
        <v/>
      </c>
      <c r="AD299" s="56" t="str">
        <f aca="false">IF(X299="HIGH RATE",O299,"")</f>
        <v/>
      </c>
    </row>
    <row r="300" customFormat="false" ht="15" hidden="false" customHeight="false" outlineLevel="0" collapsed="false">
      <c r="A300" s="56" t="s">
        <v>1301</v>
      </c>
      <c r="B300" s="56" t="s">
        <v>1302</v>
      </c>
      <c r="C300" s="56" t="s">
        <v>51</v>
      </c>
      <c r="D300" s="56" t="str">
        <f aca="false">IFERROR(INDEX('Brand Map'!$B$4:$B$124,MATCH(C300,'Brand Map'!$A$4:$A$124,0)),"Other")</f>
        <v>AU</v>
      </c>
      <c r="E300" s="57" t="n">
        <v>2</v>
      </c>
      <c r="F300" s="57" t="n">
        <v>1</v>
      </c>
      <c r="G300" s="58" t="n">
        <v>294.9</v>
      </c>
      <c r="H300" s="58" t="n">
        <v>139.95</v>
      </c>
      <c r="I300" s="58" t="n">
        <v>154.95</v>
      </c>
      <c r="J300" s="32" t="n">
        <f aca="false">IF(E300&gt;0,F300/E300,0)</f>
        <v>0.5</v>
      </c>
      <c r="K300" s="32" t="n">
        <f aca="false">IF(G300&gt;0,H300/G300,0)</f>
        <v>0.474567650050865</v>
      </c>
      <c r="L300" s="59" t="n">
        <f aca="false">H300/Settings!$B$16</f>
        <v>0.000279693776184943</v>
      </c>
      <c r="M300" s="59" t="n">
        <f aca="false">H300/Settings!$B$20</f>
        <v>1.0864934316977E-005</v>
      </c>
      <c r="N300" s="60" t="n">
        <f aca="false">E300*Settings!$B$3</f>
        <v>0.0619723021596408</v>
      </c>
      <c r="O300" s="60" t="n">
        <f aca="false">IF(E300&gt;0,(F300-N300)/SQRT(E300*Settings!$B$3*(1-Settings!$B$3)),0)</f>
        <v>3.82782306926152</v>
      </c>
      <c r="P300" s="60" t="n">
        <f aca="false">MAX(0,F300-N300)</f>
        <v>0.938027697840359</v>
      </c>
      <c r="Q300" s="32" t="n">
        <f aca="false">(F300+Settings!$B$7*Settings!$B$3)/(E300+Settings!$B$7)</f>
        <v>0.0602995166373316</v>
      </c>
      <c r="R300" s="61" t="n">
        <f aca="false">PERCENTRANK($H$2:$H$1780,H300,6)</f>
        <v>0.795838</v>
      </c>
      <c r="S300" s="61" t="n">
        <f aca="false">PERCENTRANK($Q$2:$Q$1780,Q300,6)</f>
        <v>0.946569</v>
      </c>
      <c r="T300" s="61" t="n">
        <f aca="false">PERCENTRANK($F$2:$F$1780,F300,6)</f>
        <v>0.685039</v>
      </c>
      <c r="U300" s="62" t="n">
        <f aca="false">IF(F300&gt;0,(Settings!$B$8*T300+Settings!$B$9*R300+Settings!$B$10*S300)/SUM(Settings!$B$8:$B$10),0)</f>
        <v>0.809148666666667</v>
      </c>
      <c r="V300" s="56" t="n">
        <f aca="false">IF(U300&gt;0,RANK(U300,$U$2:$U$1780)+COUNTIF($U$2:U300,U300)-1,"")</f>
        <v>299</v>
      </c>
      <c r="W300" s="56" t="str">
        <f aca="false">IF(V300="","",IF(V300&lt;=Settings!$B$11,"1 - Fix first",IF(V300&lt;=Settings!$B$12,"2 - Review","3 - Monitor")))</f>
        <v>3 - Monitor</v>
      </c>
      <c r="X300" s="56" t="str">
        <f aca="false">IF(AND(E300&gt;=Settings!$B$4,F300&gt;=Settings!$B$5,O300&gt;=Settings!$B$6),"HIGH RATE","")</f>
        <v/>
      </c>
      <c r="Y300" s="56" t="n">
        <f aca="false">IF(F300&gt;0,RANK(F300,$F$2:$F$1780)+COUNTIF($F$2:F300,F300)-1,"")</f>
        <v>372</v>
      </c>
      <c r="Z300" s="56" t="n">
        <f aca="false">IF(H300&gt;0,RANK(H300,$H$2:$H$1780)+COUNTIF($H$2:H300,H300)-1,"")</f>
        <v>363</v>
      </c>
      <c r="AA300" s="56" t="str">
        <f aca="false">IF(AC300="","",RANK(AC300,$AC$2:$AC$1780)+COUNTIF($AC$2:AC300,AC300)-1)</f>
        <v/>
      </c>
      <c r="AB300" s="56" t="str">
        <f aca="false">IF(AD300="","",RANK(AD300,$AD$2:$AD$1780)+COUNTIF($AD$2:AD300,AD300)-1)</f>
        <v/>
      </c>
      <c r="AC300" s="56" t="str">
        <f aca="false">IF(AND(F300&gt;0,E300&gt;=Settings!$B$4),J300,"")</f>
        <v/>
      </c>
      <c r="AD300" s="56" t="str">
        <f aca="false">IF(X300="HIGH RATE",O300,"")</f>
        <v/>
      </c>
    </row>
    <row r="301" customFormat="false" ht="15" hidden="false" customHeight="false" outlineLevel="0" collapsed="false">
      <c r="A301" s="56" t="s">
        <v>1303</v>
      </c>
      <c r="B301" s="56" t="s">
        <v>1304</v>
      </c>
      <c r="C301" s="56" t="s">
        <v>51</v>
      </c>
      <c r="D301" s="56" t="str">
        <f aca="false">IFERROR(INDEX('Brand Map'!$B$4:$B$124,MATCH(C301,'Brand Map'!$A$4:$A$124,0)),"Other")</f>
        <v>AU</v>
      </c>
      <c r="E301" s="57" t="n">
        <v>5</v>
      </c>
      <c r="F301" s="57" t="n">
        <v>1</v>
      </c>
      <c r="G301" s="58" t="n">
        <v>899.75</v>
      </c>
      <c r="H301" s="58" t="n">
        <v>179.95</v>
      </c>
      <c r="I301" s="58" t="n">
        <v>719.8</v>
      </c>
      <c r="J301" s="32" t="n">
        <f aca="false">IF(E301&gt;0,F301/E301,0)</f>
        <v>0.2</v>
      </c>
      <c r="K301" s="32" t="n">
        <f aca="false">IF(G301&gt;0,H301/G301,0)</f>
        <v>0.2</v>
      </c>
      <c r="L301" s="59" t="n">
        <f aca="false">H301/Settings!$B$16</f>
        <v>0.000359634834044163</v>
      </c>
      <c r="M301" s="59" t="n">
        <f aca="false">H301/Settings!$B$20</f>
        <v>1.39703103275457E-005</v>
      </c>
      <c r="N301" s="60" t="n">
        <f aca="false">E301*Settings!$B$3</f>
        <v>0.154930755399102</v>
      </c>
      <c r="O301" s="60" t="n">
        <f aca="false">IF(E301&gt;0,(F301-N301)/SQRT(E301*Settings!$B$3*(1-Settings!$B$3)),0)</f>
        <v>2.18101415975909</v>
      </c>
      <c r="P301" s="60" t="n">
        <f aca="false">MAX(0,F301-N301)</f>
        <v>0.845069244600898</v>
      </c>
      <c r="Q301" s="32" t="n">
        <f aca="false">(F301+Settings!$B$7*Settings!$B$3)/(E301+Settings!$B$7)</f>
        <v>0.0551309866398461</v>
      </c>
      <c r="R301" s="61" t="n">
        <f aca="false">PERCENTRANK($H$2:$H$1780,H301,6)</f>
        <v>0.821147</v>
      </c>
      <c r="S301" s="61" t="n">
        <f aca="false">PERCENTRANK($Q$2:$Q$1780,Q301,6)</f>
        <v>0.920697</v>
      </c>
      <c r="T301" s="61" t="n">
        <f aca="false">PERCENTRANK($F$2:$F$1780,F301,6)</f>
        <v>0.685039</v>
      </c>
      <c r="U301" s="62" t="n">
        <f aca="false">IF(F301&gt;0,(Settings!$B$8*T301+Settings!$B$9*R301+Settings!$B$10*S301)/SUM(Settings!$B$8:$B$10),0)</f>
        <v>0.808961</v>
      </c>
      <c r="V301" s="56" t="n">
        <f aca="false">IF(U301&gt;0,RANK(U301,$U$2:$U$1780)+COUNTIF($U$2:U301,U301)-1,"")</f>
        <v>300</v>
      </c>
      <c r="W301" s="56" t="str">
        <f aca="false">IF(V301="","",IF(V301&lt;=Settings!$B$11,"1 - Fix first",IF(V301&lt;=Settings!$B$12,"2 - Review","3 - Monitor")))</f>
        <v>3 - Monitor</v>
      </c>
      <c r="X301" s="56" t="str">
        <f aca="false">IF(AND(E301&gt;=Settings!$B$4,F301&gt;=Settings!$B$5,O301&gt;=Settings!$B$6),"HIGH RATE","")</f>
        <v/>
      </c>
      <c r="Y301" s="56" t="n">
        <f aca="false">IF(F301&gt;0,RANK(F301,$F$2:$F$1780)+COUNTIF($F$2:F301,F301)-1,"")</f>
        <v>373</v>
      </c>
      <c r="Z301" s="56" t="n">
        <f aca="false">IF(H301&gt;0,RANK(H301,$H$2:$H$1780)+COUNTIF($H$2:H301,H301)-1,"")</f>
        <v>319</v>
      </c>
      <c r="AA301" s="56" t="str">
        <f aca="false">IF(AC301="","",RANK(AC301,$AC$2:$AC$1780)+COUNTIF($AC$2:AC301,AC301)-1)</f>
        <v/>
      </c>
      <c r="AB301" s="56" t="str">
        <f aca="false">IF(AD301="","",RANK(AD301,$AD$2:$AD$1780)+COUNTIF($AD$2:AD301,AD301)-1)</f>
        <v/>
      </c>
      <c r="AC301" s="56" t="str">
        <f aca="false">IF(AND(F301&gt;0,E301&gt;=Settings!$B$4),J301,"")</f>
        <v/>
      </c>
      <c r="AD301" s="56" t="str">
        <f aca="false">IF(X301="HIGH RATE",O301,"")</f>
        <v/>
      </c>
    </row>
    <row r="302" customFormat="false" ht="15" hidden="false" customHeight="false" outlineLevel="0" collapsed="false">
      <c r="A302" s="56" t="s">
        <v>1305</v>
      </c>
      <c r="B302" s="56" t="s">
        <v>1306</v>
      </c>
      <c r="C302" s="56" t="s">
        <v>75</v>
      </c>
      <c r="D302" s="56" t="str">
        <f aca="false">IFERROR(INDEX('Brand Map'!$B$4:$B$124,MATCH(C302,'Brand Map'!$A$4:$A$124,0)),"Other")</f>
        <v>AURP</v>
      </c>
      <c r="E302" s="57" t="n">
        <v>196</v>
      </c>
      <c r="F302" s="57" t="n">
        <v>7</v>
      </c>
      <c r="G302" s="58" t="n">
        <v>2451.28</v>
      </c>
      <c r="H302" s="58" t="n">
        <v>86.93</v>
      </c>
      <c r="I302" s="58" t="n">
        <v>2343.95</v>
      </c>
      <c r="J302" s="32" t="n">
        <f aca="false">IF(E302&gt;0,F302/E302,0)</f>
        <v>0.0357142857142857</v>
      </c>
      <c r="K302" s="32" t="n">
        <f aca="false">IF(G302&gt;0,H302/G302,0)</f>
        <v>0.035463104990046</v>
      </c>
      <c r="L302" s="59" t="n">
        <f aca="false">H302/Settings!$B$16</f>
        <v>0.000173731903992548</v>
      </c>
      <c r="M302" s="59" t="n">
        <f aca="false">H302/Settings!$B$20</f>
        <v>6.74875841496829E-006</v>
      </c>
      <c r="N302" s="60" t="n">
        <f aca="false">E302*Settings!$B$3</f>
        <v>6.0732856116448</v>
      </c>
      <c r="O302" s="60" t="n">
        <f aca="false">IF(E302&gt;0,(F302-N302)/SQRT(E302*Settings!$B$3*(1-Settings!$B$3)),0)</f>
        <v>0.382005012309349</v>
      </c>
      <c r="P302" s="60" t="n">
        <f aca="false">MAX(0,F302-N302)</f>
        <v>0.926714388355198</v>
      </c>
      <c r="Q302" s="32" t="n">
        <f aca="false">(F302+Settings!$B$7*Settings!$B$3)/(E302+Settings!$B$7)</f>
        <v>0.035086657222985</v>
      </c>
      <c r="R302" s="61" t="n">
        <f aca="false">PERCENTRANK($H$2:$H$1780,H302,6)</f>
        <v>0.741845</v>
      </c>
      <c r="S302" s="61" t="n">
        <f aca="false">PERCENTRANK($Q$2:$Q$1780,Q302,6)</f>
        <v>0.775591</v>
      </c>
      <c r="T302" s="61" t="n">
        <f aca="false">PERCENTRANK($F$2:$F$1780,F302,6)</f>
        <v>0.908324</v>
      </c>
      <c r="U302" s="62" t="n">
        <f aca="false">IF(F302&gt;0,(Settings!$B$8*T302+Settings!$B$9*R302+Settings!$B$10*S302)/SUM(Settings!$B$8:$B$10),0)</f>
        <v>0.808586666666667</v>
      </c>
      <c r="V302" s="56" t="n">
        <f aca="false">IF(U302&gt;0,RANK(U302,$U$2:$U$1780)+COUNTIF($U$2:U302,U302)-1,"")</f>
        <v>301</v>
      </c>
      <c r="W302" s="56" t="str">
        <f aca="false">IF(V302="","",IF(V302&lt;=Settings!$B$11,"1 - Fix first",IF(V302&lt;=Settings!$B$12,"2 - Review","3 - Monitor")))</f>
        <v>3 - Monitor</v>
      </c>
      <c r="X302" s="56" t="str">
        <f aca="false">IF(AND(E302&gt;=Settings!$B$4,F302&gt;=Settings!$B$5,O302&gt;=Settings!$B$6),"HIGH RATE","")</f>
        <v/>
      </c>
      <c r="Y302" s="56" t="n">
        <f aca="false">IF(F302&gt;0,RANK(F302,$F$2:$F$1780)+COUNTIF($F$2:F302,F302)-1,"")</f>
        <v>162</v>
      </c>
      <c r="Z302" s="56" t="n">
        <f aca="false">IF(H302&gt;0,RANK(H302,$H$2:$H$1780)+COUNTIF($H$2:H302,H302)-1,"")</f>
        <v>460</v>
      </c>
      <c r="AA302" s="56" t="n">
        <f aca="false">IF(AC302="","",RANK(AC302,$AC$2:$AC$1780)+COUNTIF($AC$2:AC302,AC302)-1)</f>
        <v>222</v>
      </c>
      <c r="AB302" s="56" t="str">
        <f aca="false">IF(AD302="","",RANK(AD302,$AD$2:$AD$1780)+COUNTIF($AD$2:AD302,AD302)-1)</f>
        <v/>
      </c>
      <c r="AC302" s="32" t="n">
        <f aca="false">IF(AND(F302&gt;0,E302&gt;=Settings!$B$4),J302,"")</f>
        <v>0.0357142857142857</v>
      </c>
      <c r="AD302" s="56" t="str">
        <f aca="false">IF(X302="HIGH RATE",O302,"")</f>
        <v/>
      </c>
    </row>
    <row r="303" customFormat="false" ht="15" hidden="false" customHeight="false" outlineLevel="0" collapsed="false">
      <c r="A303" s="56" t="s">
        <v>1307</v>
      </c>
      <c r="B303" s="56" t="s">
        <v>1308</v>
      </c>
      <c r="C303" s="56" t="s">
        <v>51</v>
      </c>
      <c r="D303" s="56" t="str">
        <f aca="false">IFERROR(INDEX('Brand Map'!$B$4:$B$124,MATCH(C303,'Brand Map'!$A$4:$A$124,0)),"Other")</f>
        <v>AU</v>
      </c>
      <c r="E303" s="57" t="n">
        <v>95</v>
      </c>
      <c r="F303" s="57" t="n">
        <v>3</v>
      </c>
      <c r="G303" s="58" t="n">
        <v>6687.24</v>
      </c>
      <c r="H303" s="58" t="n">
        <v>200.28</v>
      </c>
      <c r="I303" s="58" t="n">
        <v>6111.96</v>
      </c>
      <c r="J303" s="32" t="n">
        <f aca="false">IF(E303&gt;0,F303/E303,0)</f>
        <v>0.0315789473684211</v>
      </c>
      <c r="K303" s="32" t="n">
        <f aca="false">IF(G303&gt;0,H303/G303,0)</f>
        <v>0.0299495756096686</v>
      </c>
      <c r="L303" s="59" t="n">
        <f aca="false">H303/Settings!$B$16</f>
        <v>0.000400264876701111</v>
      </c>
      <c r="M303" s="59" t="n">
        <f aca="false">H303/Settings!$B$20</f>
        <v>1.55486176849172E-005</v>
      </c>
      <c r="N303" s="60" t="n">
        <f aca="false">E303*Settings!$B$3</f>
        <v>2.94368435258294</v>
      </c>
      <c r="O303" s="60" t="n">
        <f aca="false">IF(E303&gt;0,(F303-N303)/SQRT(E303*Settings!$B$3*(1-Settings!$B$3)),0)</f>
        <v>0.0333440592957932</v>
      </c>
      <c r="P303" s="60" t="n">
        <f aca="false">MAX(0,F303-N303)</f>
        <v>0.0563156474170605</v>
      </c>
      <c r="Q303" s="32" t="n">
        <f aca="false">(F303+Settings!$B$7*Settings!$B$3)/(E303+Settings!$B$7)</f>
        <v>0.0314366762591569</v>
      </c>
      <c r="R303" s="61" t="n">
        <f aca="false">PERCENTRANK($H$2:$H$1780,H303,6)</f>
        <v>0.829021</v>
      </c>
      <c r="S303" s="61" t="n">
        <f aca="false">PERCENTRANK($Q$2:$Q$1780,Q303,6)</f>
        <v>0.750844</v>
      </c>
      <c r="T303" s="61" t="n">
        <f aca="false">PERCENTRANK($F$2:$F$1780,F303,6)</f>
        <v>0.84252</v>
      </c>
      <c r="U303" s="62" t="n">
        <f aca="false">IF(F303&gt;0,(Settings!$B$8*T303+Settings!$B$9*R303+Settings!$B$10*S303)/SUM(Settings!$B$8:$B$10),0)</f>
        <v>0.807461666666667</v>
      </c>
      <c r="V303" s="56" t="n">
        <f aca="false">IF(U303&gt;0,RANK(U303,$U$2:$U$1780)+COUNTIF($U$2:U303,U303)-1,"")</f>
        <v>302</v>
      </c>
      <c r="W303" s="56" t="str">
        <f aca="false">IF(V303="","",IF(V303&lt;=Settings!$B$11,"1 - Fix first",IF(V303&lt;=Settings!$B$12,"2 - Review","3 - Monitor")))</f>
        <v>3 - Monitor</v>
      </c>
      <c r="X303" s="56" t="str">
        <f aca="false">IF(AND(E303&gt;=Settings!$B$4,F303&gt;=Settings!$B$5,O303&gt;=Settings!$B$6),"HIGH RATE","")</f>
        <v/>
      </c>
      <c r="Y303" s="56" t="n">
        <f aca="false">IF(F303&gt;0,RANK(F303,$F$2:$F$1780)+COUNTIF($F$2:F303,F303)-1,"")</f>
        <v>264</v>
      </c>
      <c r="Z303" s="56" t="n">
        <f aca="false">IF(H303&gt;0,RANK(H303,$H$2:$H$1780)+COUNTIF($H$2:H303,H303)-1,"")</f>
        <v>305</v>
      </c>
      <c r="AA303" s="56" t="n">
        <f aca="false">IF(AC303="","",RANK(AC303,$AC$2:$AC$1780)+COUNTIF($AC$2:AC303,AC303)-1)</f>
        <v>249</v>
      </c>
      <c r="AB303" s="56" t="str">
        <f aca="false">IF(AD303="","",RANK(AD303,$AD$2:$AD$1780)+COUNTIF($AD$2:AD303,AD303)-1)</f>
        <v/>
      </c>
      <c r="AC303" s="32" t="n">
        <f aca="false">IF(AND(F303&gt;0,E303&gt;=Settings!$B$4),J303,"")</f>
        <v>0.0315789473684211</v>
      </c>
      <c r="AD303" s="56" t="str">
        <f aca="false">IF(X303="HIGH RATE",O303,"")</f>
        <v/>
      </c>
    </row>
    <row r="304" customFormat="false" ht="15" hidden="false" customHeight="false" outlineLevel="0" collapsed="false">
      <c r="A304" s="56" t="s">
        <v>1309</v>
      </c>
      <c r="B304" s="56" t="s">
        <v>1310</v>
      </c>
      <c r="C304" s="56" t="s">
        <v>51</v>
      </c>
      <c r="D304" s="56" t="str">
        <f aca="false">IFERROR(INDEX('Brand Map'!$B$4:$B$124,MATCH(C304,'Brand Map'!$A$4:$A$124,0)),"Other")</f>
        <v>AU</v>
      </c>
      <c r="E304" s="57" t="n">
        <v>2</v>
      </c>
      <c r="F304" s="57" t="n">
        <v>1</v>
      </c>
      <c r="G304" s="58" t="n">
        <v>259.5</v>
      </c>
      <c r="H304" s="58" t="n">
        <v>129.75</v>
      </c>
      <c r="I304" s="58" t="n">
        <v>129.75</v>
      </c>
      <c r="J304" s="32" t="n">
        <f aca="false">IF(E304&gt;0,F304/E304,0)</f>
        <v>0.5</v>
      </c>
      <c r="K304" s="32" t="n">
        <f aca="false">IF(G304&gt;0,H304/G304,0)</f>
        <v>0.5</v>
      </c>
      <c r="L304" s="59" t="n">
        <f aca="false">H304/Settings!$B$16</f>
        <v>0.000259308806430842</v>
      </c>
      <c r="M304" s="59" t="n">
        <f aca="false">H304/Settings!$B$20</f>
        <v>1.0073063434282E-005</v>
      </c>
      <c r="N304" s="60" t="n">
        <f aca="false">E304*Settings!$B$3</f>
        <v>0.0619723021596408</v>
      </c>
      <c r="O304" s="60" t="n">
        <f aca="false">IF(E304&gt;0,(F304-N304)/SQRT(E304*Settings!$B$3*(1-Settings!$B$3)),0)</f>
        <v>3.82782306926152</v>
      </c>
      <c r="P304" s="60" t="n">
        <f aca="false">MAX(0,F304-N304)</f>
        <v>0.938027697840359</v>
      </c>
      <c r="Q304" s="32" t="n">
        <f aca="false">(F304+Settings!$B$7*Settings!$B$3)/(E304+Settings!$B$7)</f>
        <v>0.0602995166373316</v>
      </c>
      <c r="R304" s="61" t="n">
        <f aca="false">PERCENTRANK($H$2:$H$1780,H304,6)</f>
        <v>0.790214</v>
      </c>
      <c r="S304" s="61" t="n">
        <f aca="false">PERCENTRANK($Q$2:$Q$1780,Q304,6)</f>
        <v>0.946569</v>
      </c>
      <c r="T304" s="61" t="n">
        <f aca="false">PERCENTRANK($F$2:$F$1780,F304,6)</f>
        <v>0.685039</v>
      </c>
      <c r="U304" s="62" t="n">
        <f aca="false">IF(F304&gt;0,(Settings!$B$8*T304+Settings!$B$9*R304+Settings!$B$10*S304)/SUM(Settings!$B$8:$B$10),0)</f>
        <v>0.807274</v>
      </c>
      <c r="V304" s="56" t="n">
        <f aca="false">IF(U304&gt;0,RANK(U304,$U$2:$U$1780)+COUNTIF($U$2:U304,U304)-1,"")</f>
        <v>303</v>
      </c>
      <c r="W304" s="56" t="str">
        <f aca="false">IF(V304="","",IF(V304&lt;=Settings!$B$11,"1 - Fix first",IF(V304&lt;=Settings!$B$12,"2 - Review","3 - Monitor")))</f>
        <v>3 - Monitor</v>
      </c>
      <c r="X304" s="56" t="str">
        <f aca="false">IF(AND(E304&gt;=Settings!$B$4,F304&gt;=Settings!$B$5,O304&gt;=Settings!$B$6),"HIGH RATE","")</f>
        <v/>
      </c>
      <c r="Y304" s="56" t="n">
        <f aca="false">IF(F304&gt;0,RANK(F304,$F$2:$F$1780)+COUNTIF($F$2:F304,F304)-1,"")</f>
        <v>374</v>
      </c>
      <c r="Z304" s="56" t="n">
        <f aca="false">IF(H304&gt;0,RANK(H304,$H$2:$H$1780)+COUNTIF($H$2:H304,H304)-1,"")</f>
        <v>374</v>
      </c>
      <c r="AA304" s="56" t="str">
        <f aca="false">IF(AC304="","",RANK(AC304,$AC$2:$AC$1780)+COUNTIF($AC$2:AC304,AC304)-1)</f>
        <v/>
      </c>
      <c r="AB304" s="56" t="str">
        <f aca="false">IF(AD304="","",RANK(AD304,$AD$2:$AD$1780)+COUNTIF($AD$2:AD304,AD304)-1)</f>
        <v/>
      </c>
      <c r="AC304" s="56" t="str">
        <f aca="false">IF(AND(F304&gt;0,E304&gt;=Settings!$B$4),J304,"")</f>
        <v/>
      </c>
      <c r="AD304" s="56" t="str">
        <f aca="false">IF(X304="HIGH RATE",O304,"")</f>
        <v/>
      </c>
    </row>
    <row r="305" customFormat="false" ht="15" hidden="false" customHeight="false" outlineLevel="0" collapsed="false">
      <c r="A305" s="56" t="s">
        <v>1311</v>
      </c>
      <c r="B305" s="56" t="s">
        <v>1278</v>
      </c>
      <c r="C305" s="56" t="s">
        <v>51</v>
      </c>
      <c r="D305" s="56" t="str">
        <f aca="false">IFERROR(INDEX('Brand Map'!$B$4:$B$124,MATCH(C305,'Brand Map'!$A$4:$A$124,0)),"Other")</f>
        <v>AU</v>
      </c>
      <c r="E305" s="57" t="n">
        <v>5</v>
      </c>
      <c r="F305" s="57" t="n">
        <v>1</v>
      </c>
      <c r="G305" s="58" t="n">
        <v>824.75</v>
      </c>
      <c r="H305" s="58" t="n">
        <v>164.95</v>
      </c>
      <c r="I305" s="58" t="n">
        <v>659.8</v>
      </c>
      <c r="J305" s="32" t="n">
        <f aca="false">IF(E305&gt;0,F305/E305,0)</f>
        <v>0.2</v>
      </c>
      <c r="K305" s="32" t="n">
        <f aca="false">IF(G305&gt;0,H305/G305,0)</f>
        <v>0.2</v>
      </c>
      <c r="L305" s="59" t="n">
        <f aca="false">H305/Settings!$B$16</f>
        <v>0.000329656937346955</v>
      </c>
      <c r="M305" s="59" t="n">
        <f aca="false">H305/Settings!$B$20</f>
        <v>1.28057943235824E-005</v>
      </c>
      <c r="N305" s="60" t="n">
        <f aca="false">E305*Settings!$B$3</f>
        <v>0.154930755399102</v>
      </c>
      <c r="O305" s="60" t="n">
        <f aca="false">IF(E305&gt;0,(F305-N305)/SQRT(E305*Settings!$B$3*(1-Settings!$B$3)),0)</f>
        <v>2.18101415975909</v>
      </c>
      <c r="P305" s="60" t="n">
        <f aca="false">MAX(0,F305-N305)</f>
        <v>0.845069244600898</v>
      </c>
      <c r="Q305" s="32" t="n">
        <f aca="false">(F305+Settings!$B$7*Settings!$B$3)/(E305+Settings!$B$7)</f>
        <v>0.0551309866398461</v>
      </c>
      <c r="R305" s="61" t="n">
        <f aca="false">PERCENTRANK($H$2:$H$1780,H305,6)</f>
        <v>0.814398</v>
      </c>
      <c r="S305" s="61" t="n">
        <f aca="false">PERCENTRANK($Q$2:$Q$1780,Q305,6)</f>
        <v>0.920697</v>
      </c>
      <c r="T305" s="61" t="n">
        <f aca="false">PERCENTRANK($F$2:$F$1780,F305,6)</f>
        <v>0.685039</v>
      </c>
      <c r="U305" s="62" t="n">
        <f aca="false">IF(F305&gt;0,(Settings!$B$8*T305+Settings!$B$9*R305+Settings!$B$10*S305)/SUM(Settings!$B$8:$B$10),0)</f>
        <v>0.806711333333333</v>
      </c>
      <c r="V305" s="56" t="n">
        <f aca="false">IF(U305&gt;0,RANK(U305,$U$2:$U$1780)+COUNTIF($U$2:U305,U305)-1,"")</f>
        <v>304</v>
      </c>
      <c r="W305" s="56" t="str">
        <f aca="false">IF(V305="","",IF(V305&lt;=Settings!$B$11,"1 - Fix first",IF(V305&lt;=Settings!$B$12,"2 - Review","3 - Monitor")))</f>
        <v>3 - Monitor</v>
      </c>
      <c r="X305" s="56" t="str">
        <f aca="false">IF(AND(E305&gt;=Settings!$B$4,F305&gt;=Settings!$B$5,O305&gt;=Settings!$B$6),"HIGH RATE","")</f>
        <v/>
      </c>
      <c r="Y305" s="56" t="n">
        <f aca="false">IF(F305&gt;0,RANK(F305,$F$2:$F$1780)+COUNTIF($F$2:F305,F305)-1,"")</f>
        <v>375</v>
      </c>
      <c r="Z305" s="56" t="n">
        <f aca="false">IF(H305&gt;0,RANK(H305,$H$2:$H$1780)+COUNTIF($H$2:H305,H305)-1,"")</f>
        <v>330</v>
      </c>
      <c r="AA305" s="56" t="str">
        <f aca="false">IF(AC305="","",RANK(AC305,$AC$2:$AC$1780)+COUNTIF($AC$2:AC305,AC305)-1)</f>
        <v/>
      </c>
      <c r="AB305" s="56" t="str">
        <f aca="false">IF(AD305="","",RANK(AD305,$AD$2:$AD$1780)+COUNTIF($AD$2:AD305,AD305)-1)</f>
        <v/>
      </c>
      <c r="AC305" s="56" t="str">
        <f aca="false">IF(AND(F305&gt;0,E305&gt;=Settings!$B$4),J305,"")</f>
        <v/>
      </c>
      <c r="AD305" s="56" t="str">
        <f aca="false">IF(X305="HIGH RATE",O305,"")</f>
        <v/>
      </c>
    </row>
    <row r="306" customFormat="false" ht="15" hidden="false" customHeight="false" outlineLevel="0" collapsed="false">
      <c r="A306" s="56" t="s">
        <v>1312</v>
      </c>
      <c r="B306" s="56" t="s">
        <v>601</v>
      </c>
      <c r="C306" s="56" t="s">
        <v>154</v>
      </c>
      <c r="D306" s="56" t="str">
        <f aca="false">IFERROR(INDEX('Brand Map'!$B$4:$B$124,MATCH(C306,'Brand Map'!$A$4:$A$124,0)),"Other")</f>
        <v>AUSRP</v>
      </c>
      <c r="E306" s="57" t="n">
        <v>22</v>
      </c>
      <c r="F306" s="57" t="n">
        <v>2</v>
      </c>
      <c r="G306" s="58" t="n">
        <v>219.78</v>
      </c>
      <c r="H306" s="58" t="n">
        <v>19.98</v>
      </c>
      <c r="I306" s="58" t="n">
        <v>199.8</v>
      </c>
      <c r="J306" s="32" t="n">
        <f aca="false">IF(E306&gt;0,F306/E306,0)</f>
        <v>0.0909090909090909</v>
      </c>
      <c r="K306" s="32" t="n">
        <f aca="false">IF(G306&gt;0,H306/G306,0)</f>
        <v>0.0909090909090909</v>
      </c>
      <c r="L306" s="59" t="n">
        <f aca="false">H306/Settings!$B$16</f>
        <v>3.993055840068E-005</v>
      </c>
      <c r="M306" s="59" t="n">
        <f aca="false">H306/Settings!$B$20</f>
        <v>1.55113531727903E-006</v>
      </c>
      <c r="N306" s="60" t="n">
        <f aca="false">E306*Settings!$B$3</f>
        <v>0.681695323756049</v>
      </c>
      <c r="O306" s="60" t="n">
        <f aca="false">IF(E306&gt;0,(F306-N306)/SQRT(E306*Settings!$B$3*(1-Settings!$B$3)),0)</f>
        <v>1.62201790216032</v>
      </c>
      <c r="P306" s="60" t="n">
        <f aca="false">MAX(0,F306-N306)</f>
        <v>1.31830467624395</v>
      </c>
      <c r="Q306" s="32" t="n">
        <f aca="false">(F306+Settings!$B$7*Settings!$B$3)/(E306+Settings!$B$7)</f>
        <v>0.0563381640845118</v>
      </c>
      <c r="R306" s="61" t="n">
        <f aca="false">PERCENTRANK($H$2:$H$1780,H306,6)</f>
        <v>0.690101</v>
      </c>
      <c r="S306" s="61" t="n">
        <f aca="false">PERCENTRANK($Q$2:$Q$1780,Q306,6)</f>
        <v>0.928571</v>
      </c>
      <c r="T306" s="61" t="n">
        <f aca="false">PERCENTRANK($F$2:$F$1780,F306,6)</f>
        <v>0.799775</v>
      </c>
      <c r="U306" s="62" t="n">
        <f aca="false">IF(F306&gt;0,(Settings!$B$8*T306+Settings!$B$9*R306+Settings!$B$10*S306)/SUM(Settings!$B$8:$B$10),0)</f>
        <v>0.806149</v>
      </c>
      <c r="V306" s="56" t="n">
        <f aca="false">IF(U306&gt;0,RANK(U306,$U$2:$U$1780)+COUNTIF($U$2:U306,U306)-1,"")</f>
        <v>305</v>
      </c>
      <c r="W306" s="56" t="str">
        <f aca="false">IF(V306="","",IF(V306&lt;=Settings!$B$11,"1 - Fix first",IF(V306&lt;=Settings!$B$12,"2 - Review","3 - Monitor")))</f>
        <v>3 - Monitor</v>
      </c>
      <c r="X306" s="56" t="str">
        <f aca="false">IF(AND(E306&gt;=Settings!$B$4,F306&gt;=Settings!$B$5,O306&gt;=Settings!$B$6),"HIGH RATE","")</f>
        <v/>
      </c>
      <c r="Y306" s="56" t="n">
        <f aca="false">IF(F306&gt;0,RANK(F306,$F$2:$F$1780)+COUNTIF($F$2:F306,F306)-1,"")</f>
        <v>329</v>
      </c>
      <c r="Z306" s="56" t="n">
        <f aca="false">IF(H306&gt;0,RANK(H306,$H$2:$H$1780)+COUNTIF($H$2:H306,H306)-1,"")</f>
        <v>552</v>
      </c>
      <c r="AA306" s="56" t="str">
        <f aca="false">IF(AC306="","",RANK(AC306,$AC$2:$AC$1780)+COUNTIF($AC$2:AC306,AC306)-1)</f>
        <v/>
      </c>
      <c r="AB306" s="56" t="str">
        <f aca="false">IF(AD306="","",RANK(AD306,$AD$2:$AD$1780)+COUNTIF($AD$2:AD306,AD306)-1)</f>
        <v/>
      </c>
      <c r="AC306" s="56" t="str">
        <f aca="false">IF(AND(F306&gt;0,E306&gt;=Settings!$B$4),J306,"")</f>
        <v/>
      </c>
      <c r="AD306" s="56" t="str">
        <f aca="false">IF(X306="HIGH RATE",O306,"")</f>
        <v/>
      </c>
    </row>
    <row r="307" customFormat="false" ht="15" hidden="false" customHeight="false" outlineLevel="0" collapsed="false">
      <c r="A307" s="56" t="s">
        <v>1313</v>
      </c>
      <c r="B307" s="56" t="s">
        <v>1314</v>
      </c>
      <c r="C307" s="56" t="s">
        <v>148</v>
      </c>
      <c r="D307" s="56" t="str">
        <f aca="false">IFERROR(INDEX('Brand Map'!$B$4:$B$124,MATCH(C307,'Brand Map'!$A$4:$A$124,0)),"Other")</f>
        <v>FBAU</v>
      </c>
      <c r="E307" s="57" t="n">
        <v>54</v>
      </c>
      <c r="F307" s="57" t="n">
        <v>2</v>
      </c>
      <c r="G307" s="58" t="n">
        <v>6176.2</v>
      </c>
      <c r="H307" s="58" t="n">
        <v>237.41</v>
      </c>
      <c r="I307" s="58" t="n">
        <v>5662.87</v>
      </c>
      <c r="J307" s="32" t="n">
        <f aca="false">IF(E307&gt;0,F307/E307,0)</f>
        <v>0.037037037037037</v>
      </c>
      <c r="K307" s="32" t="n">
        <f aca="false">IF(G307&gt;0,H307/G307,0)</f>
        <v>0.038439493539717</v>
      </c>
      <c r="L307" s="59" t="n">
        <f aca="false">H307/Settings!$B$16</f>
        <v>0.000474470163658931</v>
      </c>
      <c r="M307" s="59" t="n">
        <f aca="false">H307/Settings!$B$20</f>
        <v>1.84311829667275E-005</v>
      </c>
      <c r="N307" s="60" t="n">
        <f aca="false">E307*Settings!$B$3</f>
        <v>1.6732521583103</v>
      </c>
      <c r="O307" s="60" t="n">
        <f aca="false">IF(E307&gt;0,(F307-N307)/SQRT(E307*Settings!$B$3*(1-Settings!$B$3)),0)</f>
        <v>0.256606136939598</v>
      </c>
      <c r="P307" s="60" t="n">
        <f aca="false">MAX(0,F307-N307)</f>
        <v>0.326747841689697</v>
      </c>
      <c r="Q307" s="32" t="n">
        <f aca="false">(F307+Settings!$B$7*Settings!$B$3)/(E307+Settings!$B$7)</f>
        <v>0.0348760063380311</v>
      </c>
      <c r="R307" s="61" t="n">
        <f aca="false">PERCENTRANK($H$2:$H$1780,H307,6)</f>
        <v>0.843645</v>
      </c>
      <c r="S307" s="61" t="n">
        <f aca="false">PERCENTRANK($Q$2:$Q$1780,Q307,6)</f>
        <v>0.772216</v>
      </c>
      <c r="T307" s="61" t="n">
        <f aca="false">PERCENTRANK($F$2:$F$1780,F307,6)</f>
        <v>0.799775</v>
      </c>
      <c r="U307" s="62" t="n">
        <f aca="false">IF(F307&gt;0,(Settings!$B$8*T307+Settings!$B$9*R307+Settings!$B$10*S307)/SUM(Settings!$B$8:$B$10),0)</f>
        <v>0.805212</v>
      </c>
      <c r="V307" s="56" t="n">
        <f aca="false">IF(U307&gt;0,RANK(U307,$U$2:$U$1780)+COUNTIF($U$2:U307,U307)-1,"")</f>
        <v>306</v>
      </c>
      <c r="W307" s="56" t="str">
        <f aca="false">IF(V307="","",IF(V307&lt;=Settings!$B$11,"1 - Fix first",IF(V307&lt;=Settings!$B$12,"2 - Review","3 - Monitor")))</f>
        <v>3 - Monitor</v>
      </c>
      <c r="X307" s="56" t="str">
        <f aca="false">IF(AND(E307&gt;=Settings!$B$4,F307&gt;=Settings!$B$5,O307&gt;=Settings!$B$6),"HIGH RATE","")</f>
        <v/>
      </c>
      <c r="Y307" s="56" t="n">
        <f aca="false">IF(F307&gt;0,RANK(F307,$F$2:$F$1780)+COUNTIF($F$2:F307,F307)-1,"")</f>
        <v>330</v>
      </c>
      <c r="Z307" s="56" t="n">
        <f aca="false">IF(H307&gt;0,RANK(H307,$H$2:$H$1780)+COUNTIF($H$2:H307,H307)-1,"")</f>
        <v>279</v>
      </c>
      <c r="AA307" s="56" t="n">
        <f aca="false">IF(AC307="","",RANK(AC307,$AC$2:$AC$1780)+COUNTIF($AC$2:AC307,AC307)-1)</f>
        <v>216</v>
      </c>
      <c r="AB307" s="56" t="str">
        <f aca="false">IF(AD307="","",RANK(AD307,$AD$2:$AD$1780)+COUNTIF($AD$2:AD307,AD307)-1)</f>
        <v/>
      </c>
      <c r="AC307" s="32" t="n">
        <f aca="false">IF(AND(F307&gt;0,E307&gt;=Settings!$B$4),J307,"")</f>
        <v>0.037037037037037</v>
      </c>
      <c r="AD307" s="56" t="str">
        <f aca="false">IF(X307="HIGH RATE",O307,"")</f>
        <v/>
      </c>
    </row>
    <row r="308" customFormat="false" ht="15" hidden="false" customHeight="false" outlineLevel="0" collapsed="false">
      <c r="A308" s="56" t="s">
        <v>1315</v>
      </c>
      <c r="B308" s="56" t="s">
        <v>1316</v>
      </c>
      <c r="C308" s="56" t="s">
        <v>87</v>
      </c>
      <c r="D308" s="56" t="str">
        <f aca="false">IFERROR(INDEX('Brand Map'!$B$4:$B$124,MATCH(C308,'Brand Map'!$A$4:$A$124,0)),"Other")</f>
        <v>FYF</v>
      </c>
      <c r="E308" s="57" t="n">
        <v>47</v>
      </c>
      <c r="F308" s="57" t="n">
        <v>2</v>
      </c>
      <c r="G308" s="58" t="n">
        <v>4227.65</v>
      </c>
      <c r="H308" s="58" t="n">
        <v>179.9</v>
      </c>
      <c r="I308" s="58" t="n">
        <v>4047.75</v>
      </c>
      <c r="J308" s="32" t="n">
        <f aca="false">IF(E308&gt;0,F308/E308,0)</f>
        <v>0.0425531914893617</v>
      </c>
      <c r="K308" s="32" t="n">
        <f aca="false">IF(G308&gt;0,H308/G308,0)</f>
        <v>0.0425531914893617</v>
      </c>
      <c r="L308" s="59" t="n">
        <f aca="false">H308/Settings!$B$16</f>
        <v>0.000359534907721839</v>
      </c>
      <c r="M308" s="59" t="n">
        <f aca="false">H308/Settings!$B$20</f>
        <v>1.39664286075324E-005</v>
      </c>
      <c r="N308" s="60" t="n">
        <f aca="false">E308*Settings!$B$3</f>
        <v>1.45634910075156</v>
      </c>
      <c r="O308" s="60" t="n">
        <f aca="false">IF(E308&gt;0,(F308-N308)/SQRT(E308*Settings!$B$3*(1-Settings!$B$3)),0)</f>
        <v>0.45763830961727</v>
      </c>
      <c r="P308" s="60" t="n">
        <f aca="false">MAX(0,F308-N308)</f>
        <v>0.54365089924844</v>
      </c>
      <c r="Q308" s="32" t="n">
        <f aca="false">(F308+Settings!$B$7*Settings!$B$3)/(E308+Settings!$B$7)</f>
        <v>0.0380465523687612</v>
      </c>
      <c r="R308" s="61" t="n">
        <f aca="false">PERCENTRANK($H$2:$H$1780,H308,6)</f>
        <v>0.820585</v>
      </c>
      <c r="S308" s="61" t="n">
        <f aca="false">PERCENTRANK($Q$2:$Q$1780,Q308,6)</f>
        <v>0.795276</v>
      </c>
      <c r="T308" s="61" t="n">
        <f aca="false">PERCENTRANK($F$2:$F$1780,F308,6)</f>
        <v>0.799775</v>
      </c>
      <c r="U308" s="62" t="n">
        <f aca="false">IF(F308&gt;0,(Settings!$B$8*T308+Settings!$B$9*R308+Settings!$B$10*S308)/SUM(Settings!$B$8:$B$10),0)</f>
        <v>0.805212</v>
      </c>
      <c r="V308" s="56" t="n">
        <f aca="false">IF(U308&gt;0,RANK(U308,$U$2:$U$1780)+COUNTIF($U$2:U308,U308)-1,"")</f>
        <v>307</v>
      </c>
      <c r="W308" s="56" t="str">
        <f aca="false">IF(V308="","",IF(V308&lt;=Settings!$B$11,"1 - Fix first",IF(V308&lt;=Settings!$B$12,"2 - Review","3 - Monitor")))</f>
        <v>3 - Monitor</v>
      </c>
      <c r="X308" s="56" t="str">
        <f aca="false">IF(AND(E308&gt;=Settings!$B$4,F308&gt;=Settings!$B$5,O308&gt;=Settings!$B$6),"HIGH RATE","")</f>
        <v/>
      </c>
      <c r="Y308" s="56" t="n">
        <f aca="false">IF(F308&gt;0,RANK(F308,$F$2:$F$1780)+COUNTIF($F$2:F308,F308)-1,"")</f>
        <v>331</v>
      </c>
      <c r="Z308" s="56" t="n">
        <f aca="false">IF(H308&gt;0,RANK(H308,$H$2:$H$1780)+COUNTIF($H$2:H308,H308)-1,"")</f>
        <v>320</v>
      </c>
      <c r="AA308" s="56" t="n">
        <f aca="false">IF(AC308="","",RANK(AC308,$AC$2:$AC$1780)+COUNTIF($AC$2:AC308,AC308)-1)</f>
        <v>173</v>
      </c>
      <c r="AB308" s="56" t="str">
        <f aca="false">IF(AD308="","",RANK(AD308,$AD$2:$AD$1780)+COUNTIF($AD$2:AD308,AD308)-1)</f>
        <v/>
      </c>
      <c r="AC308" s="32" t="n">
        <f aca="false">IF(AND(F308&gt;0,E308&gt;=Settings!$B$4),J308,"")</f>
        <v>0.0425531914893617</v>
      </c>
      <c r="AD308" s="56" t="str">
        <f aca="false">IF(X308="HIGH RATE",O308,"")</f>
        <v/>
      </c>
    </row>
    <row r="309" customFormat="false" ht="15" hidden="false" customHeight="false" outlineLevel="0" collapsed="false">
      <c r="A309" s="56" t="s">
        <v>1317</v>
      </c>
      <c r="B309" s="56" t="s">
        <v>1318</v>
      </c>
      <c r="C309" s="56" t="s">
        <v>51</v>
      </c>
      <c r="D309" s="56" t="str">
        <f aca="false">IFERROR(INDEX('Brand Map'!$B$4:$B$124,MATCH(C309,'Brand Map'!$A$4:$A$124,0)),"Other")</f>
        <v>AU</v>
      </c>
      <c r="E309" s="57" t="n">
        <v>12</v>
      </c>
      <c r="F309" s="57" t="n">
        <v>1</v>
      </c>
      <c r="G309" s="58" t="n">
        <v>4728.5</v>
      </c>
      <c r="H309" s="58" t="n">
        <v>339.96</v>
      </c>
      <c r="I309" s="58" t="n">
        <v>4328.55</v>
      </c>
      <c r="J309" s="32" t="n">
        <f aca="false">IF(E309&gt;0,F309/E309,0)</f>
        <v>0.0833333333333333</v>
      </c>
      <c r="K309" s="32" t="n">
        <f aca="false">IF(G309&gt;0,H309/G309,0)</f>
        <v>0.0718959500898805</v>
      </c>
      <c r="L309" s="59" t="n">
        <f aca="false">H309/Settings!$B$16</f>
        <v>0.000679419050745504</v>
      </c>
      <c r="M309" s="59" t="n">
        <f aca="false">H309/Settings!$B$20</f>
        <v>2.63925907138229E-005</v>
      </c>
      <c r="N309" s="60" t="n">
        <f aca="false">E309*Settings!$B$3</f>
        <v>0.371833812957845</v>
      </c>
      <c r="O309" s="60" t="n">
        <f aca="false">IF(E309&gt;0,(F309-N309)/SQRT(E309*Settings!$B$3*(1-Settings!$B$3)),0)</f>
        <v>1.04649009824894</v>
      </c>
      <c r="P309" s="60" t="n">
        <f aca="false">MAX(0,F309-N309)</f>
        <v>0.628166187042155</v>
      </c>
      <c r="Q309" s="32" t="n">
        <f aca="false">(F309+Settings!$B$7*Settings!$B$3)/(E309+Settings!$B$7)</f>
        <v>0.0459424888665384</v>
      </c>
      <c r="R309" s="61" t="n">
        <f aca="false">PERCENTRANK($H$2:$H$1780,H309,6)</f>
        <v>0.876265</v>
      </c>
      <c r="S309" s="61" t="n">
        <f aca="false">PERCENTRANK($Q$2:$Q$1780,Q309,6)</f>
        <v>0.851519</v>
      </c>
      <c r="T309" s="61" t="n">
        <f aca="false">PERCENTRANK($F$2:$F$1780,F309,6)</f>
        <v>0.685039</v>
      </c>
      <c r="U309" s="62" t="n">
        <f aca="false">IF(F309&gt;0,(Settings!$B$8*T309+Settings!$B$9*R309+Settings!$B$10*S309)/SUM(Settings!$B$8:$B$10),0)</f>
        <v>0.804274333333333</v>
      </c>
      <c r="V309" s="56" t="n">
        <f aca="false">IF(U309&gt;0,RANK(U309,$U$2:$U$1780)+COUNTIF($U$2:U309,U309)-1,"")</f>
        <v>308</v>
      </c>
      <c r="W309" s="56" t="str">
        <f aca="false">IF(V309="","",IF(V309&lt;=Settings!$B$11,"1 - Fix first",IF(V309&lt;=Settings!$B$12,"2 - Review","3 - Monitor")))</f>
        <v>3 - Monitor</v>
      </c>
      <c r="X309" s="56" t="str">
        <f aca="false">IF(AND(E309&gt;=Settings!$B$4,F309&gt;=Settings!$B$5,O309&gt;=Settings!$B$6),"HIGH RATE","")</f>
        <v/>
      </c>
      <c r="Y309" s="56" t="n">
        <f aca="false">IF(F309&gt;0,RANK(F309,$F$2:$F$1780)+COUNTIF($F$2:F309,F309)-1,"")</f>
        <v>376</v>
      </c>
      <c r="Z309" s="56" t="n">
        <f aca="false">IF(H309&gt;0,RANK(H309,$H$2:$H$1780)+COUNTIF($H$2:H309,H309)-1,"")</f>
        <v>221</v>
      </c>
      <c r="AA309" s="56" t="str">
        <f aca="false">IF(AC309="","",RANK(AC309,$AC$2:$AC$1780)+COUNTIF($AC$2:AC309,AC309)-1)</f>
        <v/>
      </c>
      <c r="AB309" s="56" t="str">
        <f aca="false">IF(AD309="","",RANK(AD309,$AD$2:$AD$1780)+COUNTIF($AD$2:AD309,AD309)-1)</f>
        <v/>
      </c>
      <c r="AC309" s="56" t="str">
        <f aca="false">IF(AND(F309&gt;0,E309&gt;=Settings!$B$4),J309,"")</f>
        <v/>
      </c>
      <c r="AD309" s="56" t="str">
        <f aca="false">IF(X309="HIGH RATE",O309,"")</f>
        <v/>
      </c>
    </row>
    <row r="310" customFormat="false" ht="15" hidden="false" customHeight="false" outlineLevel="0" collapsed="false">
      <c r="A310" s="56" t="s">
        <v>744</v>
      </c>
      <c r="B310" s="56" t="s">
        <v>745</v>
      </c>
      <c r="C310" s="56" t="s">
        <v>743</v>
      </c>
      <c r="D310" s="56" t="str">
        <f aca="false">IFERROR(INDEX('Brand Map'!$B$4:$B$124,MATCH(C310,'Brand Map'!$A$4:$A$124,0)),"Other")</f>
        <v>Other (small prefixes)</v>
      </c>
      <c r="E310" s="57" t="n">
        <v>4</v>
      </c>
      <c r="F310" s="57" t="n">
        <v>1</v>
      </c>
      <c r="G310" s="58" t="n">
        <v>577.53</v>
      </c>
      <c r="H310" s="58" t="n">
        <v>140.86</v>
      </c>
      <c r="I310" s="58" t="n">
        <v>436.67</v>
      </c>
      <c r="J310" s="32" t="n">
        <f aca="false">IF(E310&gt;0,F310/E310,0)</f>
        <v>0.25</v>
      </c>
      <c r="K310" s="32" t="n">
        <f aca="false">IF(G310&gt;0,H310/G310,0)</f>
        <v>0.243900749744602</v>
      </c>
      <c r="L310" s="59" t="n">
        <f aca="false">H310/Settings!$B$16</f>
        <v>0.000281512435251241</v>
      </c>
      <c r="M310" s="59" t="n">
        <f aca="false">H310/Settings!$B$20</f>
        <v>1.09355816212175E-005</v>
      </c>
      <c r="N310" s="60" t="n">
        <f aca="false">E310*Settings!$B$3</f>
        <v>0.123944604319282</v>
      </c>
      <c r="O310" s="60" t="n">
        <f aca="false">IF(E310&gt;0,(F310-N310)/SQRT(E310*Settings!$B$3*(1-Settings!$B$3)),0)</f>
        <v>2.52785852352268</v>
      </c>
      <c r="P310" s="60" t="n">
        <f aca="false">MAX(0,F310-N310)</f>
        <v>0.876055395680718</v>
      </c>
      <c r="Q310" s="32" t="n">
        <f aca="false">(F310+Settings!$B$7*Settings!$B$3)/(E310+Settings!$B$7)</f>
        <v>0.0567524862469004</v>
      </c>
      <c r="R310" s="61" t="n">
        <f aca="false">PERCENTRANK($H$2:$H$1780,H310,6)</f>
        <v>0.796963</v>
      </c>
      <c r="S310" s="61" t="n">
        <f aca="false">PERCENTRANK($Q$2:$Q$1780,Q310,6)</f>
        <v>0.930821</v>
      </c>
      <c r="T310" s="61" t="n">
        <f aca="false">PERCENTRANK($F$2:$F$1780,F310,6)</f>
        <v>0.685039</v>
      </c>
      <c r="U310" s="62" t="n">
        <f aca="false">IF(F310&gt;0,(Settings!$B$8*T310+Settings!$B$9*R310+Settings!$B$10*S310)/SUM(Settings!$B$8:$B$10),0)</f>
        <v>0.804274333333333</v>
      </c>
      <c r="V310" s="56" t="n">
        <f aca="false">IF(U310&gt;0,RANK(U310,$U$2:$U$1780)+COUNTIF($U$2:U310,U310)-1,"")</f>
        <v>309</v>
      </c>
      <c r="W310" s="56" t="str">
        <f aca="false">IF(V310="","",IF(V310&lt;=Settings!$B$11,"1 - Fix first",IF(V310&lt;=Settings!$B$12,"2 - Review","3 - Monitor")))</f>
        <v>3 - Monitor</v>
      </c>
      <c r="X310" s="56" t="str">
        <f aca="false">IF(AND(E310&gt;=Settings!$B$4,F310&gt;=Settings!$B$5,O310&gt;=Settings!$B$6),"HIGH RATE","")</f>
        <v/>
      </c>
      <c r="Y310" s="56" t="n">
        <f aca="false">IF(F310&gt;0,RANK(F310,$F$2:$F$1780)+COUNTIF($F$2:F310,F310)-1,"")</f>
        <v>377</v>
      </c>
      <c r="Z310" s="56" t="n">
        <f aca="false">IF(H310&gt;0,RANK(H310,$H$2:$H$1780)+COUNTIF($H$2:H310,H310)-1,"")</f>
        <v>361</v>
      </c>
      <c r="AA310" s="56" t="str">
        <f aca="false">IF(AC310="","",RANK(AC310,$AC$2:$AC$1780)+COUNTIF($AC$2:AC310,AC310)-1)</f>
        <v/>
      </c>
      <c r="AB310" s="56" t="str">
        <f aca="false">IF(AD310="","",RANK(AD310,$AD$2:$AD$1780)+COUNTIF($AD$2:AD310,AD310)-1)</f>
        <v/>
      </c>
      <c r="AC310" s="56" t="str">
        <f aca="false">IF(AND(F310&gt;0,E310&gt;=Settings!$B$4),J310,"")</f>
        <v/>
      </c>
      <c r="AD310" s="56" t="str">
        <f aca="false">IF(X310="HIGH RATE",O310,"")</f>
        <v/>
      </c>
    </row>
    <row r="311" customFormat="false" ht="15" hidden="false" customHeight="false" outlineLevel="0" collapsed="false">
      <c r="A311" s="56" t="s">
        <v>1319</v>
      </c>
      <c r="B311" s="56" t="s">
        <v>1320</v>
      </c>
      <c r="C311" s="56" t="s">
        <v>51</v>
      </c>
      <c r="D311" s="56" t="str">
        <f aca="false">IFERROR(INDEX('Brand Map'!$B$4:$B$124,MATCH(C311,'Brand Map'!$A$4:$A$124,0)),"Other")</f>
        <v>AU</v>
      </c>
      <c r="E311" s="57" t="n">
        <v>85</v>
      </c>
      <c r="F311" s="57" t="n">
        <v>3</v>
      </c>
      <c r="G311" s="58" t="n">
        <v>4203.25</v>
      </c>
      <c r="H311" s="58" t="n">
        <v>148.35</v>
      </c>
      <c r="I311" s="58" t="n">
        <v>4054.9</v>
      </c>
      <c r="J311" s="32" t="n">
        <f aca="false">IF(E311&gt;0,F311/E311,0)</f>
        <v>0.0352941176470588</v>
      </c>
      <c r="K311" s="32" t="n">
        <f aca="false">IF(G311&gt;0,H311/G311,0)</f>
        <v>0.0352941176470588</v>
      </c>
      <c r="L311" s="59" t="n">
        <f aca="false">H311/Settings!$B$16</f>
        <v>0.000296481398335379</v>
      </c>
      <c r="M311" s="59" t="n">
        <f aca="false">H311/Settings!$B$20</f>
        <v>1.15170632791964E-005</v>
      </c>
      <c r="N311" s="60" t="n">
        <f aca="false">E311*Settings!$B$3</f>
        <v>2.63382284178474</v>
      </c>
      <c r="O311" s="60" t="n">
        <f aca="false">IF(E311&gt;0,(F311-N311)/SQRT(E311*Settings!$B$3*(1-Settings!$B$3)),0)</f>
        <v>0.229209692269562</v>
      </c>
      <c r="P311" s="60" t="n">
        <f aca="false">MAX(0,F311-N311)</f>
        <v>0.366177158215264</v>
      </c>
      <c r="Q311" s="32" t="n">
        <f aca="false">(F311+Settings!$B$7*Settings!$B$3)/(E311+Settings!$B$7)</f>
        <v>0.0341703002816923</v>
      </c>
      <c r="R311" s="61" t="n">
        <f aca="false">PERCENTRANK($H$2:$H$1780,H311,6)</f>
        <v>0.80315</v>
      </c>
      <c r="S311" s="61" t="n">
        <f aca="false">PERCENTRANK($Q$2:$Q$1780,Q311,6)</f>
        <v>0.766592</v>
      </c>
      <c r="T311" s="61" t="n">
        <f aca="false">PERCENTRANK($F$2:$F$1780,F311,6)</f>
        <v>0.84252</v>
      </c>
      <c r="U311" s="62" t="n">
        <f aca="false">IF(F311&gt;0,(Settings!$B$8*T311+Settings!$B$9*R311+Settings!$B$10*S311)/SUM(Settings!$B$8:$B$10),0)</f>
        <v>0.804087333333333</v>
      </c>
      <c r="V311" s="56" t="n">
        <f aca="false">IF(U311&gt;0,RANK(U311,$U$2:$U$1780)+COUNTIF($U$2:U311,U311)-1,"")</f>
        <v>310</v>
      </c>
      <c r="W311" s="56" t="str">
        <f aca="false">IF(V311="","",IF(V311&lt;=Settings!$B$11,"1 - Fix first",IF(V311&lt;=Settings!$B$12,"2 - Review","3 - Monitor")))</f>
        <v>3 - Monitor</v>
      </c>
      <c r="X311" s="56" t="str">
        <f aca="false">IF(AND(E311&gt;=Settings!$B$4,F311&gt;=Settings!$B$5,O311&gt;=Settings!$B$6),"HIGH RATE","")</f>
        <v/>
      </c>
      <c r="Y311" s="56" t="n">
        <f aca="false">IF(F311&gt;0,RANK(F311,$F$2:$F$1780)+COUNTIF($F$2:F311,F311)-1,"")</f>
        <v>265</v>
      </c>
      <c r="Z311" s="56" t="n">
        <f aca="false">IF(H311&gt;0,RANK(H311,$H$2:$H$1780)+COUNTIF($H$2:H311,H311)-1,"")</f>
        <v>351</v>
      </c>
      <c r="AA311" s="56" t="n">
        <f aca="false">IF(AC311="","",RANK(AC311,$AC$2:$AC$1780)+COUNTIF($AC$2:AC311,AC311)-1)</f>
        <v>230</v>
      </c>
      <c r="AB311" s="56" t="str">
        <f aca="false">IF(AD311="","",RANK(AD311,$AD$2:$AD$1780)+COUNTIF($AD$2:AD311,AD311)-1)</f>
        <v/>
      </c>
      <c r="AC311" s="32" t="n">
        <f aca="false">IF(AND(F311&gt;0,E311&gt;=Settings!$B$4),J311,"")</f>
        <v>0.0352941176470588</v>
      </c>
      <c r="AD311" s="56" t="str">
        <f aca="false">IF(X311="HIGH RATE",O311,"")</f>
        <v/>
      </c>
    </row>
    <row r="312" customFormat="false" ht="15" hidden="false" customHeight="false" outlineLevel="0" collapsed="false">
      <c r="A312" s="56" t="s">
        <v>693</v>
      </c>
      <c r="B312" s="56" t="s">
        <v>694</v>
      </c>
      <c r="C312" s="56" t="s">
        <v>692</v>
      </c>
      <c r="D312" s="56" t="str">
        <f aca="false">IFERROR(INDEX('Brand Map'!$B$4:$B$124,MATCH(C312,'Brand Map'!$A$4:$A$124,0)),"Other")</f>
        <v>Other (small prefixes)</v>
      </c>
      <c r="E312" s="57" t="n">
        <v>70</v>
      </c>
      <c r="F312" s="57" t="n">
        <v>3</v>
      </c>
      <c r="G312" s="58" t="n">
        <v>2757.53</v>
      </c>
      <c r="H312" s="58" t="n">
        <v>103.51</v>
      </c>
      <c r="I312" s="58" t="n">
        <v>2585.08</v>
      </c>
      <c r="J312" s="32" t="n">
        <f aca="false">IF(E312&gt;0,F312/E312,0)</f>
        <v>0.0428571428571429</v>
      </c>
      <c r="K312" s="32" t="n">
        <f aca="false">IF(G312&gt;0,H312/G312,0)</f>
        <v>0.0375372162768855</v>
      </c>
      <c r="L312" s="59" t="n">
        <f aca="false">H312/Settings!$B$16</f>
        <v>0.000206867472475195</v>
      </c>
      <c r="M312" s="59" t="n">
        <f aca="false">H312/Settings!$B$20</f>
        <v>8.03593677134899E-006</v>
      </c>
      <c r="N312" s="60" t="n">
        <f aca="false">E312*Settings!$B$3</f>
        <v>2.16903057558743</v>
      </c>
      <c r="O312" s="60" t="n">
        <f aca="false">IF(E312&gt;0,(F312-N312)/SQRT(E312*Settings!$B$3*(1-Settings!$B$3)),0)</f>
        <v>0.573174967711093</v>
      </c>
      <c r="P312" s="60" t="n">
        <f aca="false">MAX(0,F312-N312)</f>
        <v>0.830969424412571</v>
      </c>
      <c r="Q312" s="32" t="n">
        <f aca="false">(F312+Settings!$B$7*Settings!$B$3)/(E312+Settings!$B$7)</f>
        <v>0.0392958453239461</v>
      </c>
      <c r="R312" s="61" t="n">
        <f aca="false">PERCENTRANK($H$2:$H$1780,H312,6)</f>
        <v>0.759843</v>
      </c>
      <c r="S312" s="61" t="n">
        <f aca="false">PERCENTRANK($Q$2:$Q$1780,Q312,6)</f>
        <v>0.804274</v>
      </c>
      <c r="T312" s="61" t="n">
        <f aca="false">PERCENTRANK($F$2:$F$1780,F312,6)</f>
        <v>0.84252</v>
      </c>
      <c r="U312" s="62" t="n">
        <f aca="false">IF(F312&gt;0,(Settings!$B$8*T312+Settings!$B$9*R312+Settings!$B$10*S312)/SUM(Settings!$B$8:$B$10),0)</f>
        <v>0.802212333333333</v>
      </c>
      <c r="V312" s="56" t="n">
        <f aca="false">IF(U312&gt;0,RANK(U312,$U$2:$U$1780)+COUNTIF($U$2:U312,U312)-1,"")</f>
        <v>311</v>
      </c>
      <c r="W312" s="56" t="str">
        <f aca="false">IF(V312="","",IF(V312&lt;=Settings!$B$11,"1 - Fix first",IF(V312&lt;=Settings!$B$12,"2 - Review","3 - Monitor")))</f>
        <v>3 - Monitor</v>
      </c>
      <c r="X312" s="56" t="str">
        <f aca="false">IF(AND(E312&gt;=Settings!$B$4,F312&gt;=Settings!$B$5,O312&gt;=Settings!$B$6),"HIGH RATE","")</f>
        <v/>
      </c>
      <c r="Y312" s="56" t="n">
        <f aca="false">IF(F312&gt;0,RANK(F312,$F$2:$F$1780)+COUNTIF($F$2:F312,F312)-1,"")</f>
        <v>266</v>
      </c>
      <c r="Z312" s="56" t="n">
        <f aca="false">IF(H312&gt;0,RANK(H312,$H$2:$H$1780)+COUNTIF($H$2:H312,H312)-1,"")</f>
        <v>428</v>
      </c>
      <c r="AA312" s="56" t="n">
        <f aca="false">IF(AC312="","",RANK(AC312,$AC$2:$AC$1780)+COUNTIF($AC$2:AC312,AC312)-1)</f>
        <v>170</v>
      </c>
      <c r="AB312" s="56" t="str">
        <f aca="false">IF(AD312="","",RANK(AD312,$AD$2:$AD$1780)+COUNTIF($AD$2:AD312,AD312)-1)</f>
        <v/>
      </c>
      <c r="AC312" s="32" t="n">
        <f aca="false">IF(AND(F312&gt;0,E312&gt;=Settings!$B$4),J312,"")</f>
        <v>0.0428571428571429</v>
      </c>
      <c r="AD312" s="56" t="str">
        <f aca="false">IF(X312="HIGH RATE",O312,"")</f>
        <v/>
      </c>
    </row>
    <row r="313" customFormat="false" ht="15" hidden="false" customHeight="false" outlineLevel="0" collapsed="false">
      <c r="A313" s="56" t="s">
        <v>1321</v>
      </c>
      <c r="B313" s="56" t="s">
        <v>1322</v>
      </c>
      <c r="C313" s="56" t="s">
        <v>51</v>
      </c>
      <c r="D313" s="56" t="str">
        <f aca="false">IFERROR(INDEX('Brand Map'!$B$4:$B$124,MATCH(C313,'Brand Map'!$A$4:$A$124,0)),"Other")</f>
        <v>AU</v>
      </c>
      <c r="E313" s="57" t="n">
        <v>6</v>
      </c>
      <c r="F313" s="57" t="n">
        <v>1</v>
      </c>
      <c r="G313" s="58" t="n">
        <v>989.7</v>
      </c>
      <c r="H313" s="58" t="n">
        <v>159.95</v>
      </c>
      <c r="I313" s="58" t="n">
        <v>829.75</v>
      </c>
      <c r="J313" s="32" t="n">
        <f aca="false">IF(E313&gt;0,F313/E313,0)</f>
        <v>0.166666666666667</v>
      </c>
      <c r="K313" s="32" t="n">
        <f aca="false">IF(G313&gt;0,H313/G313,0)</f>
        <v>0.161614630696171</v>
      </c>
      <c r="L313" s="59" t="n">
        <f aca="false">H313/Settings!$B$16</f>
        <v>0.000319664305114553</v>
      </c>
      <c r="M313" s="59" t="n">
        <f aca="false">H313/Settings!$B$20</f>
        <v>1.24176223222613E-005</v>
      </c>
      <c r="N313" s="60" t="n">
        <f aca="false">E313*Settings!$B$3</f>
        <v>0.185916906478923</v>
      </c>
      <c r="O313" s="60" t="n">
        <f aca="false">IF(E313&gt;0,(F313-N313)/SQRT(E313*Settings!$B$3*(1-Settings!$B$3)),0)</f>
        <v>1.91798100360216</v>
      </c>
      <c r="P313" s="60" t="n">
        <f aca="false">MAX(0,F313-N313)</f>
        <v>0.814083093521077</v>
      </c>
      <c r="Q313" s="32" t="n">
        <f aca="false">(F313+Settings!$B$7*Settings!$B$3)/(E313+Settings!$B$7)</f>
        <v>0.0535995703442948</v>
      </c>
      <c r="R313" s="61" t="n">
        <f aca="false">PERCENTRANK($H$2:$H$1780,H313,6)</f>
        <v>0.809899</v>
      </c>
      <c r="S313" s="61" t="n">
        <f aca="false">PERCENTRANK($Q$2:$Q$1780,Q313,6)</f>
        <v>0.909449</v>
      </c>
      <c r="T313" s="61" t="n">
        <f aca="false">PERCENTRANK($F$2:$F$1780,F313,6)</f>
        <v>0.685039</v>
      </c>
      <c r="U313" s="62" t="n">
        <f aca="false">IF(F313&gt;0,(Settings!$B$8*T313+Settings!$B$9*R313+Settings!$B$10*S313)/SUM(Settings!$B$8:$B$10),0)</f>
        <v>0.801462333333333</v>
      </c>
      <c r="V313" s="56" t="n">
        <f aca="false">IF(U313&gt;0,RANK(U313,$U$2:$U$1780)+COUNTIF($U$2:U313,U313)-1,"")</f>
        <v>312</v>
      </c>
      <c r="W313" s="56" t="str">
        <f aca="false">IF(V313="","",IF(V313&lt;=Settings!$B$11,"1 - Fix first",IF(V313&lt;=Settings!$B$12,"2 - Review","3 - Monitor")))</f>
        <v>3 - Monitor</v>
      </c>
      <c r="X313" s="56" t="str">
        <f aca="false">IF(AND(E313&gt;=Settings!$B$4,F313&gt;=Settings!$B$5,O313&gt;=Settings!$B$6),"HIGH RATE","")</f>
        <v/>
      </c>
      <c r="Y313" s="56" t="n">
        <f aca="false">IF(F313&gt;0,RANK(F313,$F$2:$F$1780)+COUNTIF($F$2:F313,F313)-1,"")</f>
        <v>378</v>
      </c>
      <c r="Z313" s="56" t="n">
        <f aca="false">IF(H313&gt;0,RANK(H313,$H$2:$H$1780)+COUNTIF($H$2:H313,H313)-1,"")</f>
        <v>338</v>
      </c>
      <c r="AA313" s="56" t="str">
        <f aca="false">IF(AC313="","",RANK(AC313,$AC$2:$AC$1780)+COUNTIF($AC$2:AC313,AC313)-1)</f>
        <v/>
      </c>
      <c r="AB313" s="56" t="str">
        <f aca="false">IF(AD313="","",RANK(AD313,$AD$2:$AD$1780)+COUNTIF($AD$2:AD313,AD313)-1)</f>
        <v/>
      </c>
      <c r="AC313" s="56" t="str">
        <f aca="false">IF(AND(F313&gt;0,E313&gt;=Settings!$B$4),J313,"")</f>
        <v/>
      </c>
      <c r="AD313" s="56" t="str">
        <f aca="false">IF(X313="HIGH RATE",O313,"")</f>
        <v/>
      </c>
    </row>
    <row r="314" customFormat="false" ht="15" hidden="false" customHeight="false" outlineLevel="0" collapsed="false">
      <c r="A314" s="56" t="s">
        <v>1323</v>
      </c>
      <c r="B314" s="56" t="s">
        <v>1324</v>
      </c>
      <c r="C314" s="56" t="s">
        <v>51</v>
      </c>
      <c r="D314" s="56" t="str">
        <f aca="false">IFERROR(INDEX('Brand Map'!$B$4:$B$124,MATCH(C314,'Brand Map'!$A$4:$A$124,0)),"Other")</f>
        <v>AU</v>
      </c>
      <c r="E314" s="57" t="n">
        <v>1</v>
      </c>
      <c r="F314" s="57" t="n">
        <v>1</v>
      </c>
      <c r="G314" s="58" t="n">
        <v>107.95</v>
      </c>
      <c r="H314" s="58" t="n">
        <v>107.95</v>
      </c>
      <c r="I314" s="58" t="n">
        <v>0</v>
      </c>
      <c r="J314" s="32" t="n">
        <f aca="false">IF(E314&gt;0,F314/E314,0)</f>
        <v>1</v>
      </c>
      <c r="K314" s="32" t="n">
        <f aca="false">IF(G314&gt;0,H314/G314,0)</f>
        <v>1</v>
      </c>
      <c r="L314" s="59" t="n">
        <f aca="false">H314/Settings!$B$16</f>
        <v>0.000215740929897568</v>
      </c>
      <c r="M314" s="59" t="n">
        <f aca="false">H314/Settings!$B$20</f>
        <v>8.38063350852211E-006</v>
      </c>
      <c r="N314" s="60" t="n">
        <f aca="false">E314*Settings!$B$3</f>
        <v>0.0309861510798204</v>
      </c>
      <c r="O314" s="60" t="n">
        <f aca="false">IF(E314&gt;0,(F314-N314)/SQRT(E314*Settings!$B$3*(1-Settings!$B$3)),0)</f>
        <v>5.59218042484869</v>
      </c>
      <c r="P314" s="60" t="n">
        <f aca="false">MAX(0,F314-N314)</f>
        <v>0.96901384892018</v>
      </c>
      <c r="Q314" s="32" t="n">
        <f aca="false">(F314+Settings!$B$7*Settings!$B$3)/(E314+Settings!$B$7)</f>
        <v>0.0622446623353101</v>
      </c>
      <c r="R314" s="61" t="n">
        <f aca="false">PERCENTRANK($H$2:$H$1780,H314,6)</f>
        <v>0.76378</v>
      </c>
      <c r="S314" s="61" t="n">
        <f aca="false">PERCENTRANK($Q$2:$Q$1780,Q314,6)</f>
        <v>0.955568</v>
      </c>
      <c r="T314" s="61" t="n">
        <f aca="false">PERCENTRANK($F$2:$F$1780,F314,6)</f>
        <v>0.685039</v>
      </c>
      <c r="U314" s="62" t="n">
        <f aca="false">IF(F314&gt;0,(Settings!$B$8*T314+Settings!$B$9*R314+Settings!$B$10*S314)/SUM(Settings!$B$8:$B$10),0)</f>
        <v>0.801462333333333</v>
      </c>
      <c r="V314" s="56" t="n">
        <f aca="false">IF(U314&gt;0,RANK(U314,$U$2:$U$1780)+COUNTIF($U$2:U314,U314)-1,"")</f>
        <v>313</v>
      </c>
      <c r="W314" s="56" t="str">
        <f aca="false">IF(V314="","",IF(V314&lt;=Settings!$B$11,"1 - Fix first",IF(V314&lt;=Settings!$B$12,"2 - Review","3 - Monitor")))</f>
        <v>3 - Monitor</v>
      </c>
      <c r="X314" s="56" t="str">
        <f aca="false">IF(AND(E314&gt;=Settings!$B$4,F314&gt;=Settings!$B$5,O314&gt;=Settings!$B$6),"HIGH RATE","")</f>
        <v/>
      </c>
      <c r="Y314" s="56" t="n">
        <f aca="false">IF(F314&gt;0,RANK(F314,$F$2:$F$1780)+COUNTIF($F$2:F314,F314)-1,"")</f>
        <v>379</v>
      </c>
      <c r="Z314" s="56" t="n">
        <f aca="false">IF(H314&gt;0,RANK(H314,$H$2:$H$1780)+COUNTIF($H$2:H314,H314)-1,"")</f>
        <v>420</v>
      </c>
      <c r="AA314" s="56" t="str">
        <f aca="false">IF(AC314="","",RANK(AC314,$AC$2:$AC$1780)+COUNTIF($AC$2:AC314,AC314)-1)</f>
        <v/>
      </c>
      <c r="AB314" s="56" t="str">
        <f aca="false">IF(AD314="","",RANK(AD314,$AD$2:$AD$1780)+COUNTIF($AD$2:AD314,AD314)-1)</f>
        <v/>
      </c>
      <c r="AC314" s="56" t="str">
        <f aca="false">IF(AND(F314&gt;0,E314&gt;=Settings!$B$4),J314,"")</f>
        <v/>
      </c>
      <c r="AD314" s="56" t="str">
        <f aca="false">IF(X314="HIGH RATE",O314,"")</f>
        <v/>
      </c>
    </row>
    <row r="315" customFormat="false" ht="15" hidden="false" customHeight="false" outlineLevel="0" collapsed="false">
      <c r="A315" s="56" t="s">
        <v>1325</v>
      </c>
      <c r="B315" s="56" t="s">
        <v>1326</v>
      </c>
      <c r="C315" s="56" t="s">
        <v>51</v>
      </c>
      <c r="D315" s="56" t="str">
        <f aca="false">IFERROR(INDEX('Brand Map'!$B$4:$B$124,MATCH(C315,'Brand Map'!$A$4:$A$124,0)),"Other")</f>
        <v>AU</v>
      </c>
      <c r="E315" s="57" t="n">
        <v>9</v>
      </c>
      <c r="F315" s="57" t="n">
        <v>1</v>
      </c>
      <c r="G315" s="58" t="n">
        <v>1838.2</v>
      </c>
      <c r="H315" s="58" t="n">
        <v>214.95</v>
      </c>
      <c r="I315" s="58" t="n">
        <v>1593.95</v>
      </c>
      <c r="J315" s="32" t="n">
        <f aca="false">IF(E315&gt;0,F315/E315,0)</f>
        <v>0.111111111111111</v>
      </c>
      <c r="K315" s="32" t="n">
        <f aca="false">IF(G315&gt;0,H315/G315,0)</f>
        <v>0.116935045152867</v>
      </c>
      <c r="L315" s="59" t="n">
        <f aca="false">H315/Settings!$B$16</f>
        <v>0.000429583259670979</v>
      </c>
      <c r="M315" s="59" t="n">
        <f aca="false">H315/Settings!$B$20</f>
        <v>1.66875143367932E-005</v>
      </c>
      <c r="N315" s="60" t="n">
        <f aca="false">E315*Settings!$B$3</f>
        <v>0.278875359718384</v>
      </c>
      <c r="O315" s="60" t="n">
        <f aca="false">IF(E315&gt;0,(F315-N315)/SQRT(E315*Settings!$B$3*(1-Settings!$B$3)),0)</f>
        <v>1.38720380579105</v>
      </c>
      <c r="P315" s="60" t="n">
        <f aca="false">MAX(0,F315-N315)</f>
        <v>0.721124640281616</v>
      </c>
      <c r="Q315" s="32" t="n">
        <f aca="false">(F315+Settings!$B$7*Settings!$B$3)/(E315+Settings!$B$7)</f>
        <v>0.0494765264716567</v>
      </c>
      <c r="R315" s="61" t="n">
        <f aca="false">PERCENTRANK($H$2:$H$1780,H315,6)</f>
        <v>0.831271</v>
      </c>
      <c r="S315" s="61" t="n">
        <f aca="false">PERCENTRANK($Q$2:$Q$1780,Q315,6)</f>
        <v>0.882452</v>
      </c>
      <c r="T315" s="61" t="n">
        <f aca="false">PERCENTRANK($F$2:$F$1780,F315,6)</f>
        <v>0.685039</v>
      </c>
      <c r="U315" s="62" t="n">
        <f aca="false">IF(F315&gt;0,(Settings!$B$8*T315+Settings!$B$9*R315+Settings!$B$10*S315)/SUM(Settings!$B$8:$B$10),0)</f>
        <v>0.799587333333333</v>
      </c>
      <c r="V315" s="56" t="n">
        <f aca="false">IF(U315&gt;0,RANK(U315,$U$2:$U$1780)+COUNTIF($U$2:U315,U315)-1,"")</f>
        <v>314</v>
      </c>
      <c r="W315" s="56" t="str">
        <f aca="false">IF(V315="","",IF(V315&lt;=Settings!$B$11,"1 - Fix first",IF(V315&lt;=Settings!$B$12,"2 - Review","3 - Monitor")))</f>
        <v>3 - Monitor</v>
      </c>
      <c r="X315" s="56" t="str">
        <f aca="false">IF(AND(E315&gt;=Settings!$B$4,F315&gt;=Settings!$B$5,O315&gt;=Settings!$B$6),"HIGH RATE","")</f>
        <v/>
      </c>
      <c r="Y315" s="56" t="n">
        <f aca="false">IF(F315&gt;0,RANK(F315,$F$2:$F$1780)+COUNTIF($F$2:F315,F315)-1,"")</f>
        <v>380</v>
      </c>
      <c r="Z315" s="56" t="n">
        <f aca="false">IF(H315&gt;0,RANK(H315,$H$2:$H$1780)+COUNTIF($H$2:H315,H315)-1,"")</f>
        <v>301</v>
      </c>
      <c r="AA315" s="56" t="str">
        <f aca="false">IF(AC315="","",RANK(AC315,$AC$2:$AC$1780)+COUNTIF($AC$2:AC315,AC315)-1)</f>
        <v/>
      </c>
      <c r="AB315" s="56" t="str">
        <f aca="false">IF(AD315="","",RANK(AD315,$AD$2:$AD$1780)+COUNTIF($AD$2:AD315,AD315)-1)</f>
        <v/>
      </c>
      <c r="AC315" s="56" t="str">
        <f aca="false">IF(AND(F315&gt;0,E315&gt;=Settings!$B$4),J315,"")</f>
        <v/>
      </c>
      <c r="AD315" s="56" t="str">
        <f aca="false">IF(X315="HIGH RATE",O315,"")</f>
        <v/>
      </c>
    </row>
    <row r="316" customFormat="false" ht="15" hidden="false" customHeight="false" outlineLevel="0" collapsed="false">
      <c r="A316" s="56" t="s">
        <v>1327</v>
      </c>
      <c r="B316" s="56" t="s">
        <v>1328</v>
      </c>
      <c r="C316" s="56" t="s">
        <v>51</v>
      </c>
      <c r="D316" s="56" t="str">
        <f aca="false">IFERROR(INDEX('Brand Map'!$B$4:$B$124,MATCH(C316,'Brand Map'!$A$4:$A$124,0)),"Other")</f>
        <v>AU</v>
      </c>
      <c r="E316" s="57" t="n">
        <v>4</v>
      </c>
      <c r="F316" s="57" t="n">
        <v>1</v>
      </c>
      <c r="G316" s="58" t="n">
        <v>477.7</v>
      </c>
      <c r="H316" s="58" t="n">
        <v>124.25</v>
      </c>
      <c r="I316" s="58" t="n">
        <v>353.45</v>
      </c>
      <c r="J316" s="32" t="n">
        <f aca="false">IF(E316&gt;0,F316/E316,0)</f>
        <v>0.25</v>
      </c>
      <c r="K316" s="32" t="n">
        <f aca="false">IF(G316&gt;0,H316/G316,0)</f>
        <v>0.260100481473728</v>
      </c>
      <c r="L316" s="59" t="n">
        <f aca="false">H316/Settings!$B$16</f>
        <v>0.0002483169109752</v>
      </c>
      <c r="M316" s="59" t="n">
        <f aca="false">H316/Settings!$B$20</f>
        <v>9.64607423282883E-006</v>
      </c>
      <c r="N316" s="60" t="n">
        <f aca="false">E316*Settings!$B$3</f>
        <v>0.123944604319282</v>
      </c>
      <c r="O316" s="60" t="n">
        <f aca="false">IF(E316&gt;0,(F316-N316)/SQRT(E316*Settings!$B$3*(1-Settings!$B$3)),0)</f>
        <v>2.52785852352268</v>
      </c>
      <c r="P316" s="60" t="n">
        <f aca="false">MAX(0,F316-N316)</f>
        <v>0.876055395680718</v>
      </c>
      <c r="Q316" s="32" t="n">
        <f aca="false">(F316+Settings!$B$7*Settings!$B$3)/(E316+Settings!$B$7)</f>
        <v>0.0567524862469004</v>
      </c>
      <c r="R316" s="61" t="n">
        <f aca="false">PERCENTRANK($H$2:$H$1780,H316,6)</f>
        <v>0.78234</v>
      </c>
      <c r="S316" s="61" t="n">
        <f aca="false">PERCENTRANK($Q$2:$Q$1780,Q316,6)</f>
        <v>0.930821</v>
      </c>
      <c r="T316" s="61" t="n">
        <f aca="false">PERCENTRANK($F$2:$F$1780,F316,6)</f>
        <v>0.685039</v>
      </c>
      <c r="U316" s="62" t="n">
        <f aca="false">IF(F316&gt;0,(Settings!$B$8*T316+Settings!$B$9*R316+Settings!$B$10*S316)/SUM(Settings!$B$8:$B$10),0)</f>
        <v>0.7994</v>
      </c>
      <c r="V316" s="56" t="n">
        <f aca="false">IF(U316&gt;0,RANK(U316,$U$2:$U$1780)+COUNTIF($U$2:U316,U316)-1,"")</f>
        <v>315</v>
      </c>
      <c r="W316" s="56" t="str">
        <f aca="false">IF(V316="","",IF(V316&lt;=Settings!$B$11,"1 - Fix first",IF(V316&lt;=Settings!$B$12,"2 - Review","3 - Monitor")))</f>
        <v>3 - Monitor</v>
      </c>
      <c r="X316" s="56" t="str">
        <f aca="false">IF(AND(E316&gt;=Settings!$B$4,F316&gt;=Settings!$B$5,O316&gt;=Settings!$B$6),"HIGH RATE","")</f>
        <v/>
      </c>
      <c r="Y316" s="56" t="n">
        <f aca="false">IF(F316&gt;0,RANK(F316,$F$2:$F$1780)+COUNTIF($F$2:F316,F316)-1,"")</f>
        <v>381</v>
      </c>
      <c r="Z316" s="56" t="n">
        <f aca="false">IF(H316&gt;0,RANK(H316,$H$2:$H$1780)+COUNTIF($H$2:H316,H316)-1,"")</f>
        <v>388</v>
      </c>
      <c r="AA316" s="56" t="str">
        <f aca="false">IF(AC316="","",RANK(AC316,$AC$2:$AC$1780)+COUNTIF($AC$2:AC316,AC316)-1)</f>
        <v/>
      </c>
      <c r="AB316" s="56" t="str">
        <f aca="false">IF(AD316="","",RANK(AD316,$AD$2:$AD$1780)+COUNTIF($AD$2:AD316,AD316)-1)</f>
        <v/>
      </c>
      <c r="AC316" s="56" t="str">
        <f aca="false">IF(AND(F316&gt;0,E316&gt;=Settings!$B$4),J316,"")</f>
        <v/>
      </c>
      <c r="AD316" s="56" t="str">
        <f aca="false">IF(X316="HIGH RATE",O316,"")</f>
        <v/>
      </c>
    </row>
    <row r="317" customFormat="false" ht="15" hidden="false" customHeight="false" outlineLevel="0" collapsed="false">
      <c r="A317" s="56" t="s">
        <v>247</v>
      </c>
      <c r="B317" s="56" t="s">
        <v>943</v>
      </c>
      <c r="C317" s="56" t="s">
        <v>59</v>
      </c>
      <c r="D317" s="56" t="str">
        <f aca="false">IFERROR(INDEX('Brand Map'!$B$4:$B$124,MATCH(C317,'Brand Map'!$A$4:$A$124,0)),"Other")</f>
        <v>DC</v>
      </c>
      <c r="E317" s="57" t="n">
        <v>64</v>
      </c>
      <c r="F317" s="57" t="n">
        <v>2</v>
      </c>
      <c r="G317" s="58" t="n">
        <v>8761.56</v>
      </c>
      <c r="H317" s="58" t="n">
        <v>251.51</v>
      </c>
      <c r="I317" s="58" t="n">
        <v>7957</v>
      </c>
      <c r="J317" s="32" t="n">
        <f aca="false">IF(E317&gt;0,F317/E317,0)</f>
        <v>0.03125</v>
      </c>
      <c r="K317" s="32" t="n">
        <f aca="false">IF(G317&gt;0,H317/G317,0)</f>
        <v>0.0287060751738275</v>
      </c>
      <c r="L317" s="59" t="n">
        <f aca="false">H317/Settings!$B$16</f>
        <v>0.000502649386554306</v>
      </c>
      <c r="M317" s="59" t="n">
        <f aca="false">H317/Settings!$B$20</f>
        <v>1.9525828010453E-005</v>
      </c>
      <c r="N317" s="60" t="n">
        <f aca="false">E317*Settings!$B$3</f>
        <v>1.98311366910851</v>
      </c>
      <c r="O317" s="60" t="n">
        <f aca="false">IF(E317&gt;0,(F317-N317)/SQRT(E317*Settings!$B$3*(1-Settings!$B$3)),0)</f>
        <v>0.0121813802202306</v>
      </c>
      <c r="P317" s="60" t="n">
        <f aca="false">MAX(0,F317-N317)</f>
        <v>0.0168863308914933</v>
      </c>
      <c r="Q317" s="32" t="n">
        <f aca="false">(F317+Settings!$B$7*Settings!$B$3)/(E317+Settings!$B$7)</f>
        <v>0.031165792897815</v>
      </c>
      <c r="R317" s="61" t="n">
        <f aca="false">PERCENTRANK($H$2:$H$1780,H317,6)</f>
        <v>0.848706</v>
      </c>
      <c r="S317" s="61" t="n">
        <f aca="false">PERCENTRANK($Q$2:$Q$1780,Q317,6)</f>
        <v>0.749156</v>
      </c>
      <c r="T317" s="61" t="n">
        <f aca="false">PERCENTRANK($F$2:$F$1780,F317,6)</f>
        <v>0.799775</v>
      </c>
      <c r="U317" s="62" t="n">
        <f aca="false">IF(F317&gt;0,(Settings!$B$8*T317+Settings!$B$9*R317+Settings!$B$10*S317)/SUM(Settings!$B$8:$B$10),0)</f>
        <v>0.799212333333333</v>
      </c>
      <c r="V317" s="56" t="n">
        <f aca="false">IF(U317&gt;0,RANK(U317,$U$2:$U$1780)+COUNTIF($U$2:U317,U317)-1,"")</f>
        <v>316</v>
      </c>
      <c r="W317" s="56" t="str">
        <f aca="false">IF(V317="","",IF(V317&lt;=Settings!$B$11,"1 - Fix first",IF(V317&lt;=Settings!$B$12,"2 - Review","3 - Monitor")))</f>
        <v>3 - Monitor</v>
      </c>
      <c r="X317" s="56" t="str">
        <f aca="false">IF(AND(E317&gt;=Settings!$B$4,F317&gt;=Settings!$B$5,O317&gt;=Settings!$B$6),"HIGH RATE","")</f>
        <v/>
      </c>
      <c r="Y317" s="56" t="n">
        <f aca="false">IF(F317&gt;0,RANK(F317,$F$2:$F$1780)+COUNTIF($F$2:F317,F317)-1,"")</f>
        <v>332</v>
      </c>
      <c r="Z317" s="56" t="n">
        <f aca="false">IF(H317&gt;0,RANK(H317,$H$2:$H$1780)+COUNTIF($H$2:H317,H317)-1,"")</f>
        <v>270</v>
      </c>
      <c r="AA317" s="56" t="n">
        <f aca="false">IF(AC317="","",RANK(AC317,$AC$2:$AC$1780)+COUNTIF($AC$2:AC317,AC317)-1)</f>
        <v>252</v>
      </c>
      <c r="AB317" s="56" t="str">
        <f aca="false">IF(AD317="","",RANK(AD317,$AD$2:$AD$1780)+COUNTIF($AD$2:AD317,AD317)-1)</f>
        <v/>
      </c>
      <c r="AC317" s="32" t="n">
        <f aca="false">IF(AND(F317&gt;0,E317&gt;=Settings!$B$4),J317,"")</f>
        <v>0.03125</v>
      </c>
      <c r="AD317" s="56" t="str">
        <f aca="false">IF(X317="HIGH RATE",O317,"")</f>
        <v/>
      </c>
    </row>
    <row r="318" customFormat="false" ht="15" hidden="false" customHeight="false" outlineLevel="0" collapsed="false">
      <c r="A318" s="56" t="s">
        <v>1329</v>
      </c>
      <c r="B318" s="56" t="s">
        <v>1330</v>
      </c>
      <c r="C318" s="56" t="s">
        <v>87</v>
      </c>
      <c r="D318" s="56" t="str">
        <f aca="false">IFERROR(INDEX('Brand Map'!$B$4:$B$124,MATCH(C318,'Brand Map'!$A$4:$A$124,0)),"Other")</f>
        <v>FYF</v>
      </c>
      <c r="E318" s="57" t="n">
        <v>3</v>
      </c>
      <c r="F318" s="57" t="n">
        <v>1</v>
      </c>
      <c r="G318" s="58" t="n">
        <v>344.85</v>
      </c>
      <c r="H318" s="58" t="n">
        <v>114.95</v>
      </c>
      <c r="I318" s="58" t="n">
        <v>229.9</v>
      </c>
      <c r="J318" s="32" t="n">
        <f aca="false">IF(E318&gt;0,F318/E318,0)</f>
        <v>0.333333333333333</v>
      </c>
      <c r="K318" s="32" t="n">
        <f aca="false">IF(G318&gt;0,H318/G318,0)</f>
        <v>0.333333333333333</v>
      </c>
      <c r="L318" s="59" t="n">
        <f aca="false">H318/Settings!$B$16</f>
        <v>0.000229730615022931</v>
      </c>
      <c r="M318" s="59" t="n">
        <f aca="false">H318/Settings!$B$20</f>
        <v>8.92407431037162E-006</v>
      </c>
      <c r="N318" s="60" t="n">
        <f aca="false">E318*Settings!$B$3</f>
        <v>0.0929584532394613</v>
      </c>
      <c r="O318" s="60" t="n">
        <f aca="false">IF(E318&gt;0,(F318-N318)/SQRT(E318*Settings!$B$3*(1-Settings!$B$3)),0)</f>
        <v>3.02216202325326</v>
      </c>
      <c r="P318" s="60" t="n">
        <f aca="false">MAX(0,F318-N318)</f>
        <v>0.907041546760539</v>
      </c>
      <c r="Q318" s="32" t="n">
        <f aca="false">(F318+Settings!$B$7*Settings!$B$3)/(E318+Settings!$B$7)</f>
        <v>0.0584722585574125</v>
      </c>
      <c r="R318" s="61" t="n">
        <f aca="false">PERCENTRANK($H$2:$H$1780,H318,6)</f>
        <v>0.773341</v>
      </c>
      <c r="S318" s="61" t="n">
        <f aca="false">PERCENTRANK($Q$2:$Q$1780,Q318,6)</f>
        <v>0.938133</v>
      </c>
      <c r="T318" s="61" t="n">
        <f aca="false">PERCENTRANK($F$2:$F$1780,F318,6)</f>
        <v>0.685039</v>
      </c>
      <c r="U318" s="62" t="n">
        <f aca="false">IF(F318&gt;0,(Settings!$B$8*T318+Settings!$B$9*R318+Settings!$B$10*S318)/SUM(Settings!$B$8:$B$10),0)</f>
        <v>0.798837666666667</v>
      </c>
      <c r="V318" s="56" t="n">
        <f aca="false">IF(U318&gt;0,RANK(U318,$U$2:$U$1780)+COUNTIF($U$2:U318,U318)-1,"")</f>
        <v>317</v>
      </c>
      <c r="W318" s="56" t="str">
        <f aca="false">IF(V318="","",IF(V318&lt;=Settings!$B$11,"1 - Fix first",IF(V318&lt;=Settings!$B$12,"2 - Review","3 - Monitor")))</f>
        <v>3 - Monitor</v>
      </c>
      <c r="X318" s="56" t="str">
        <f aca="false">IF(AND(E318&gt;=Settings!$B$4,F318&gt;=Settings!$B$5,O318&gt;=Settings!$B$6),"HIGH RATE","")</f>
        <v/>
      </c>
      <c r="Y318" s="56" t="n">
        <f aca="false">IF(F318&gt;0,RANK(F318,$F$2:$F$1780)+COUNTIF($F$2:F318,F318)-1,"")</f>
        <v>382</v>
      </c>
      <c r="Z318" s="56" t="n">
        <f aca="false">IF(H318&gt;0,RANK(H318,$H$2:$H$1780)+COUNTIF($H$2:H318,H318)-1,"")</f>
        <v>401</v>
      </c>
      <c r="AA318" s="56" t="str">
        <f aca="false">IF(AC318="","",RANK(AC318,$AC$2:$AC$1780)+COUNTIF($AC$2:AC318,AC318)-1)</f>
        <v/>
      </c>
      <c r="AB318" s="56" t="str">
        <f aca="false">IF(AD318="","",RANK(AD318,$AD$2:$AD$1780)+COUNTIF($AD$2:AD318,AD318)-1)</f>
        <v/>
      </c>
      <c r="AC318" s="56" t="str">
        <f aca="false">IF(AND(F318&gt;0,E318&gt;=Settings!$B$4),J318,"")</f>
        <v/>
      </c>
      <c r="AD318" s="56" t="str">
        <f aca="false">IF(X318="HIGH RATE",O318,"")</f>
        <v/>
      </c>
    </row>
    <row r="319" customFormat="false" ht="15" hidden="false" customHeight="false" outlineLevel="0" collapsed="false">
      <c r="A319" s="56" t="s">
        <v>1331</v>
      </c>
      <c r="B319" s="56" t="s">
        <v>1332</v>
      </c>
      <c r="C319" s="56" t="s">
        <v>55</v>
      </c>
      <c r="D319" s="56" t="str">
        <f aca="false">IFERROR(INDEX('Brand Map'!$B$4:$B$124,MATCH(C319,'Brand Map'!$A$4:$A$124,0)),"Other")</f>
        <v>AUMJ</v>
      </c>
      <c r="E319" s="57" t="n">
        <v>5</v>
      </c>
      <c r="F319" s="57" t="n">
        <v>1</v>
      </c>
      <c r="G319" s="58" t="n">
        <v>536.84</v>
      </c>
      <c r="H319" s="58" t="n">
        <v>125.95</v>
      </c>
      <c r="I319" s="58" t="n">
        <v>400</v>
      </c>
      <c r="J319" s="32" t="n">
        <f aca="false">IF(E319&gt;0,F319/E319,0)</f>
        <v>0.2</v>
      </c>
      <c r="K319" s="32" t="n">
        <f aca="false">IF(G319&gt;0,H319/G319,0)</f>
        <v>0.234613665151628</v>
      </c>
      <c r="L319" s="59" t="n">
        <f aca="false">H319/Settings!$B$16</f>
        <v>0.000251714405934217</v>
      </c>
      <c r="M319" s="59" t="n">
        <f aca="false">H319/Settings!$B$20</f>
        <v>9.778052713278E-006</v>
      </c>
      <c r="N319" s="60" t="n">
        <f aca="false">E319*Settings!$B$3</f>
        <v>0.154930755399102</v>
      </c>
      <c r="O319" s="60" t="n">
        <f aca="false">IF(E319&gt;0,(F319-N319)/SQRT(E319*Settings!$B$3*(1-Settings!$B$3)),0)</f>
        <v>2.18101415975909</v>
      </c>
      <c r="P319" s="60" t="n">
        <f aca="false">MAX(0,F319-N319)</f>
        <v>0.845069244600898</v>
      </c>
      <c r="Q319" s="32" t="n">
        <f aca="false">(F319+Settings!$B$7*Settings!$B$3)/(E319+Settings!$B$7)</f>
        <v>0.0551309866398461</v>
      </c>
      <c r="R319" s="61" t="n">
        <f aca="false">PERCENTRANK($H$2:$H$1780,H319,6)</f>
        <v>0.788526</v>
      </c>
      <c r="S319" s="61" t="n">
        <f aca="false">PERCENTRANK($Q$2:$Q$1780,Q319,6)</f>
        <v>0.920697</v>
      </c>
      <c r="T319" s="61" t="n">
        <f aca="false">PERCENTRANK($F$2:$F$1780,F319,6)</f>
        <v>0.685039</v>
      </c>
      <c r="U319" s="62" t="n">
        <f aca="false">IF(F319&gt;0,(Settings!$B$8*T319+Settings!$B$9*R319+Settings!$B$10*S319)/SUM(Settings!$B$8:$B$10),0)</f>
        <v>0.798087333333333</v>
      </c>
      <c r="V319" s="56" t="n">
        <f aca="false">IF(U319&gt;0,RANK(U319,$U$2:$U$1780)+COUNTIF($U$2:U319,U319)-1,"")</f>
        <v>318</v>
      </c>
      <c r="W319" s="56" t="str">
        <f aca="false">IF(V319="","",IF(V319&lt;=Settings!$B$11,"1 - Fix first",IF(V319&lt;=Settings!$B$12,"2 - Review","3 - Monitor")))</f>
        <v>3 - Monitor</v>
      </c>
      <c r="X319" s="56" t="str">
        <f aca="false">IF(AND(E319&gt;=Settings!$B$4,F319&gt;=Settings!$B$5,O319&gt;=Settings!$B$6),"HIGH RATE","")</f>
        <v/>
      </c>
      <c r="Y319" s="56" t="n">
        <f aca="false">IF(F319&gt;0,RANK(F319,$F$2:$F$1780)+COUNTIF($F$2:F319,F319)-1,"")</f>
        <v>383</v>
      </c>
      <c r="Z319" s="56" t="n">
        <f aca="false">IF(H319&gt;0,RANK(H319,$H$2:$H$1780)+COUNTIF($H$2:H319,H319)-1,"")</f>
        <v>377</v>
      </c>
      <c r="AA319" s="56" t="str">
        <f aca="false">IF(AC319="","",RANK(AC319,$AC$2:$AC$1780)+COUNTIF($AC$2:AC319,AC319)-1)</f>
        <v/>
      </c>
      <c r="AB319" s="56" t="str">
        <f aca="false">IF(AD319="","",RANK(AD319,$AD$2:$AD$1780)+COUNTIF($AD$2:AD319,AD319)-1)</f>
        <v/>
      </c>
      <c r="AC319" s="56" t="str">
        <f aca="false">IF(AND(F319&gt;0,E319&gt;=Settings!$B$4),J319,"")</f>
        <v/>
      </c>
      <c r="AD319" s="56" t="str">
        <f aca="false">IF(X319="HIGH RATE",O319,"")</f>
        <v/>
      </c>
    </row>
    <row r="320" customFormat="false" ht="15" hidden="false" customHeight="false" outlineLevel="0" collapsed="false">
      <c r="A320" s="56" t="s">
        <v>1333</v>
      </c>
      <c r="B320" s="56" t="s">
        <v>901</v>
      </c>
      <c r="C320" s="56" t="s">
        <v>87</v>
      </c>
      <c r="D320" s="56" t="str">
        <f aca="false">IFERROR(INDEX('Brand Map'!$B$4:$B$124,MATCH(C320,'Brand Map'!$A$4:$A$124,0)),"Other")</f>
        <v>FYF</v>
      </c>
      <c r="E320" s="57" t="n">
        <v>6</v>
      </c>
      <c r="F320" s="57" t="n">
        <v>1</v>
      </c>
      <c r="G320" s="58" t="n">
        <v>863.7</v>
      </c>
      <c r="H320" s="58" t="n">
        <v>143.95</v>
      </c>
      <c r="I320" s="58" t="n">
        <v>719.75</v>
      </c>
      <c r="J320" s="32" t="n">
        <f aca="false">IF(E320&gt;0,F320/E320,0)</f>
        <v>0.166666666666667</v>
      </c>
      <c r="K320" s="32" t="n">
        <f aca="false">IF(G320&gt;0,H320/G320,0)</f>
        <v>0.166666666666667</v>
      </c>
      <c r="L320" s="59" t="n">
        <f aca="false">H320/Settings!$B$16</f>
        <v>0.000287687881970865</v>
      </c>
      <c r="M320" s="59" t="n">
        <f aca="false">H320/Settings!$B$20</f>
        <v>1.11754719180339E-005</v>
      </c>
      <c r="N320" s="60" t="n">
        <f aca="false">E320*Settings!$B$3</f>
        <v>0.185916906478923</v>
      </c>
      <c r="O320" s="60" t="n">
        <f aca="false">IF(E320&gt;0,(F320-N320)/SQRT(E320*Settings!$B$3*(1-Settings!$B$3)),0)</f>
        <v>1.91798100360216</v>
      </c>
      <c r="P320" s="60" t="n">
        <f aca="false">MAX(0,F320-N320)</f>
        <v>0.814083093521077</v>
      </c>
      <c r="Q320" s="32" t="n">
        <f aca="false">(F320+Settings!$B$7*Settings!$B$3)/(E320+Settings!$B$7)</f>
        <v>0.0535995703442948</v>
      </c>
      <c r="R320" s="61" t="n">
        <f aca="false">PERCENTRANK($H$2:$H$1780,H320,6)</f>
        <v>0.799213</v>
      </c>
      <c r="S320" s="61" t="n">
        <f aca="false">PERCENTRANK($Q$2:$Q$1780,Q320,6)</f>
        <v>0.909449</v>
      </c>
      <c r="T320" s="61" t="n">
        <f aca="false">PERCENTRANK($F$2:$F$1780,F320,6)</f>
        <v>0.685039</v>
      </c>
      <c r="U320" s="62" t="n">
        <f aca="false">IF(F320&gt;0,(Settings!$B$8*T320+Settings!$B$9*R320+Settings!$B$10*S320)/SUM(Settings!$B$8:$B$10),0)</f>
        <v>0.797900333333333</v>
      </c>
      <c r="V320" s="56" t="n">
        <f aca="false">IF(U320&gt;0,RANK(U320,$U$2:$U$1780)+COUNTIF($U$2:U320,U320)-1,"")</f>
        <v>319</v>
      </c>
      <c r="W320" s="56" t="str">
        <f aca="false">IF(V320="","",IF(V320&lt;=Settings!$B$11,"1 - Fix first",IF(V320&lt;=Settings!$B$12,"2 - Review","3 - Monitor")))</f>
        <v>3 - Monitor</v>
      </c>
      <c r="X320" s="56" t="str">
        <f aca="false">IF(AND(E320&gt;=Settings!$B$4,F320&gt;=Settings!$B$5,O320&gt;=Settings!$B$6),"HIGH RATE","")</f>
        <v/>
      </c>
      <c r="Y320" s="56" t="n">
        <f aca="false">IF(F320&gt;0,RANK(F320,$F$2:$F$1780)+COUNTIF($F$2:F320,F320)-1,"")</f>
        <v>384</v>
      </c>
      <c r="Z320" s="56" t="n">
        <f aca="false">IF(H320&gt;0,RANK(H320,$H$2:$H$1780)+COUNTIF($H$2:H320,H320)-1,"")</f>
        <v>358</v>
      </c>
      <c r="AA320" s="56" t="str">
        <f aca="false">IF(AC320="","",RANK(AC320,$AC$2:$AC$1780)+COUNTIF($AC$2:AC320,AC320)-1)</f>
        <v/>
      </c>
      <c r="AB320" s="56" t="str">
        <f aca="false">IF(AD320="","",RANK(AD320,$AD$2:$AD$1780)+COUNTIF($AD$2:AD320,AD320)-1)</f>
        <v/>
      </c>
      <c r="AC320" s="56" t="str">
        <f aca="false">IF(AND(F320&gt;0,E320&gt;=Settings!$B$4),J320,"")</f>
        <v/>
      </c>
      <c r="AD320" s="56" t="str">
        <f aca="false">IF(X320="HIGH RATE",O320,"")</f>
        <v/>
      </c>
    </row>
    <row r="321" customFormat="false" ht="15" hidden="false" customHeight="false" outlineLevel="0" collapsed="false">
      <c r="A321" s="56" t="s">
        <v>1334</v>
      </c>
      <c r="B321" s="56" t="s">
        <v>1335</v>
      </c>
      <c r="C321" s="56" t="s">
        <v>51</v>
      </c>
      <c r="D321" s="56" t="str">
        <f aca="false">IFERROR(INDEX('Brand Map'!$B$4:$B$124,MATCH(C321,'Brand Map'!$A$4:$A$124,0)),"Other")</f>
        <v>AU</v>
      </c>
      <c r="E321" s="57" t="n">
        <v>6</v>
      </c>
      <c r="F321" s="57" t="n">
        <v>1</v>
      </c>
      <c r="G321" s="58" t="n">
        <v>839.7</v>
      </c>
      <c r="H321" s="58" t="n">
        <v>139.95</v>
      </c>
      <c r="I321" s="58" t="n">
        <v>699.75</v>
      </c>
      <c r="J321" s="32" t="n">
        <f aca="false">IF(E321&gt;0,F321/E321,0)</f>
        <v>0.166666666666667</v>
      </c>
      <c r="K321" s="32" t="n">
        <f aca="false">IF(G321&gt;0,H321/G321,0)</f>
        <v>0.166666666666667</v>
      </c>
      <c r="L321" s="59" t="n">
        <f aca="false">H321/Settings!$B$16</f>
        <v>0.000279693776184943</v>
      </c>
      <c r="M321" s="59" t="n">
        <f aca="false">H321/Settings!$B$20</f>
        <v>1.0864934316977E-005</v>
      </c>
      <c r="N321" s="60" t="n">
        <f aca="false">E321*Settings!$B$3</f>
        <v>0.185916906478923</v>
      </c>
      <c r="O321" s="60" t="n">
        <f aca="false">IF(E321&gt;0,(F321-N321)/SQRT(E321*Settings!$B$3*(1-Settings!$B$3)),0)</f>
        <v>1.91798100360216</v>
      </c>
      <c r="P321" s="60" t="n">
        <f aca="false">MAX(0,F321-N321)</f>
        <v>0.814083093521077</v>
      </c>
      <c r="Q321" s="32" t="n">
        <f aca="false">(F321+Settings!$B$7*Settings!$B$3)/(E321+Settings!$B$7)</f>
        <v>0.0535995703442948</v>
      </c>
      <c r="R321" s="61" t="n">
        <f aca="false">PERCENTRANK($H$2:$H$1780,H321,6)</f>
        <v>0.795838</v>
      </c>
      <c r="S321" s="61" t="n">
        <f aca="false">PERCENTRANK($Q$2:$Q$1780,Q321,6)</f>
        <v>0.909449</v>
      </c>
      <c r="T321" s="61" t="n">
        <f aca="false">PERCENTRANK($F$2:$F$1780,F321,6)</f>
        <v>0.685039</v>
      </c>
      <c r="U321" s="62" t="n">
        <f aca="false">IF(F321&gt;0,(Settings!$B$8*T321+Settings!$B$9*R321+Settings!$B$10*S321)/SUM(Settings!$B$8:$B$10),0)</f>
        <v>0.796775333333333</v>
      </c>
      <c r="V321" s="56" t="n">
        <f aca="false">IF(U321&gt;0,RANK(U321,$U$2:$U$1780)+COUNTIF($U$2:U321,U321)-1,"")</f>
        <v>320</v>
      </c>
      <c r="W321" s="56" t="str">
        <f aca="false">IF(V321="","",IF(V321&lt;=Settings!$B$11,"1 - Fix first",IF(V321&lt;=Settings!$B$12,"2 - Review","3 - Monitor")))</f>
        <v>3 - Monitor</v>
      </c>
      <c r="X321" s="56" t="str">
        <f aca="false">IF(AND(E321&gt;=Settings!$B$4,F321&gt;=Settings!$B$5,O321&gt;=Settings!$B$6),"HIGH RATE","")</f>
        <v/>
      </c>
      <c r="Y321" s="56" t="n">
        <f aca="false">IF(F321&gt;0,RANK(F321,$F$2:$F$1780)+COUNTIF($F$2:F321,F321)-1,"")</f>
        <v>385</v>
      </c>
      <c r="Z321" s="56" t="n">
        <f aca="false">IF(H321&gt;0,RANK(H321,$H$2:$H$1780)+COUNTIF($H$2:H321,H321)-1,"")</f>
        <v>364</v>
      </c>
      <c r="AA321" s="56" t="str">
        <f aca="false">IF(AC321="","",RANK(AC321,$AC$2:$AC$1780)+COUNTIF($AC$2:AC321,AC321)-1)</f>
        <v/>
      </c>
      <c r="AB321" s="56" t="str">
        <f aca="false">IF(AD321="","",RANK(AD321,$AD$2:$AD$1780)+COUNTIF($AD$2:AD321,AD321)-1)</f>
        <v/>
      </c>
      <c r="AC321" s="56" t="str">
        <f aca="false">IF(AND(F321&gt;0,E321&gt;=Settings!$B$4),J321,"")</f>
        <v/>
      </c>
      <c r="AD321" s="56" t="str">
        <f aca="false">IF(X321="HIGH RATE",O321,"")</f>
        <v/>
      </c>
    </row>
    <row r="322" customFormat="false" ht="15" hidden="false" customHeight="false" outlineLevel="0" collapsed="false">
      <c r="A322" s="56" t="s">
        <v>741</v>
      </c>
      <c r="B322" s="56" t="s">
        <v>742</v>
      </c>
      <c r="C322" s="56" t="s">
        <v>740</v>
      </c>
      <c r="D322" s="56" t="str">
        <f aca="false">IFERROR(INDEX('Brand Map'!$B$4:$B$124,MATCH(C322,'Brand Map'!$A$4:$A$124,0)),"Other")</f>
        <v>Other (small prefixes)</v>
      </c>
      <c r="E322" s="57" t="n">
        <v>27</v>
      </c>
      <c r="F322" s="57" t="n">
        <v>2</v>
      </c>
      <c r="G322" s="58" t="n">
        <v>623.67</v>
      </c>
      <c r="H322" s="58" t="n">
        <v>45.36</v>
      </c>
      <c r="I322" s="58" t="n">
        <v>553.45</v>
      </c>
      <c r="J322" s="32" t="n">
        <f aca="false">IF(E322&gt;0,F322/E322,0)</f>
        <v>0.0740740740740741</v>
      </c>
      <c r="K322" s="32" t="n">
        <f aca="false">IF(G322&gt;0,H322/G322,0)</f>
        <v>0.0727307710808601</v>
      </c>
      <c r="L322" s="59" t="n">
        <f aca="false">H322/Settings!$B$16</f>
        <v>9.06531596123546E-005</v>
      </c>
      <c r="M322" s="59" t="n">
        <f aca="false">H322/Settings!$B$20</f>
        <v>3.52149639598484E-006</v>
      </c>
      <c r="N322" s="60" t="n">
        <f aca="false">E322*Settings!$B$3</f>
        <v>0.836626079155151</v>
      </c>
      <c r="O322" s="60" t="n">
        <f aca="false">IF(E322&gt;0,(F322-N322)/SQRT(E322*Settings!$B$3*(1-Settings!$B$3)),0)</f>
        <v>1.29207770580354</v>
      </c>
      <c r="P322" s="60" t="n">
        <f aca="false">MAX(0,F322-N322)</f>
        <v>1.16337392084485</v>
      </c>
      <c r="Q322" s="32" t="n">
        <f aca="false">(F322+Settings!$B$7*Settings!$B$3)/(E322+Settings!$B$7)</f>
        <v>0.0513962198665722</v>
      </c>
      <c r="R322" s="61" t="n">
        <f aca="false">PERCENTRANK($H$2:$H$1780,H322,6)</f>
        <v>0.698538</v>
      </c>
      <c r="S322" s="61" t="n">
        <f aca="false">PERCENTRANK($Q$2:$Q$1780,Q322,6)</f>
        <v>0.891451</v>
      </c>
      <c r="T322" s="61" t="n">
        <f aca="false">PERCENTRANK($F$2:$F$1780,F322,6)</f>
        <v>0.799775</v>
      </c>
      <c r="U322" s="62" t="n">
        <f aca="false">IF(F322&gt;0,(Settings!$B$8*T322+Settings!$B$9*R322+Settings!$B$10*S322)/SUM(Settings!$B$8:$B$10),0)</f>
        <v>0.796588</v>
      </c>
      <c r="V322" s="56" t="n">
        <f aca="false">IF(U322&gt;0,RANK(U322,$U$2:$U$1780)+COUNTIF($U$2:U322,U322)-1,"")</f>
        <v>321</v>
      </c>
      <c r="W322" s="56" t="str">
        <f aca="false">IF(V322="","",IF(V322&lt;=Settings!$B$11,"1 - Fix first",IF(V322&lt;=Settings!$B$12,"2 - Review","3 - Monitor")))</f>
        <v>3 - Monitor</v>
      </c>
      <c r="X322" s="56" t="str">
        <f aca="false">IF(AND(E322&gt;=Settings!$B$4,F322&gt;=Settings!$B$5,O322&gt;=Settings!$B$6),"HIGH RATE","")</f>
        <v/>
      </c>
      <c r="Y322" s="56" t="n">
        <f aca="false">IF(F322&gt;0,RANK(F322,$F$2:$F$1780)+COUNTIF($F$2:F322,F322)-1,"")</f>
        <v>333</v>
      </c>
      <c r="Z322" s="56" t="n">
        <f aca="false">IF(H322&gt;0,RANK(H322,$H$2:$H$1780)+COUNTIF($H$2:H322,H322)-1,"")</f>
        <v>537</v>
      </c>
      <c r="AA322" s="56" t="str">
        <f aca="false">IF(AC322="","",RANK(AC322,$AC$2:$AC$1780)+COUNTIF($AC$2:AC322,AC322)-1)</f>
        <v/>
      </c>
      <c r="AB322" s="56" t="str">
        <f aca="false">IF(AD322="","",RANK(AD322,$AD$2:$AD$1780)+COUNTIF($AD$2:AD322,AD322)-1)</f>
        <v/>
      </c>
      <c r="AC322" s="56" t="str">
        <f aca="false">IF(AND(F322&gt;0,E322&gt;=Settings!$B$4),J322,"")</f>
        <v/>
      </c>
      <c r="AD322" s="56" t="str">
        <f aca="false">IF(X322="HIGH RATE",O322,"")</f>
        <v/>
      </c>
    </row>
    <row r="323" customFormat="false" ht="15" hidden="false" customHeight="false" outlineLevel="0" collapsed="false">
      <c r="A323" s="56" t="s">
        <v>1336</v>
      </c>
      <c r="B323" s="56" t="s">
        <v>1337</v>
      </c>
      <c r="C323" s="56" t="s">
        <v>87</v>
      </c>
      <c r="D323" s="56" t="str">
        <f aca="false">IFERROR(INDEX('Brand Map'!$B$4:$B$124,MATCH(C323,'Brand Map'!$A$4:$A$124,0)),"Other")</f>
        <v>FYF</v>
      </c>
      <c r="E323" s="57" t="n">
        <v>3</v>
      </c>
      <c r="F323" s="57" t="n">
        <v>1</v>
      </c>
      <c r="G323" s="58" t="n">
        <v>329.85</v>
      </c>
      <c r="H323" s="58" t="n">
        <v>109.95</v>
      </c>
      <c r="I323" s="58" t="n">
        <v>219.9</v>
      </c>
      <c r="J323" s="32" t="n">
        <f aca="false">IF(E323&gt;0,F323/E323,0)</f>
        <v>0.333333333333333</v>
      </c>
      <c r="K323" s="32" t="n">
        <f aca="false">IF(G323&gt;0,H323/G323,0)</f>
        <v>0.333333333333333</v>
      </c>
      <c r="L323" s="59" t="n">
        <f aca="false">H323/Settings!$B$16</f>
        <v>0.000219737982790529</v>
      </c>
      <c r="M323" s="59" t="n">
        <f aca="false">H323/Settings!$B$20</f>
        <v>8.53590230905054E-006</v>
      </c>
      <c r="N323" s="60" t="n">
        <f aca="false">E323*Settings!$B$3</f>
        <v>0.0929584532394613</v>
      </c>
      <c r="O323" s="60" t="n">
        <f aca="false">IF(E323&gt;0,(F323-N323)/SQRT(E323*Settings!$B$3*(1-Settings!$B$3)),0)</f>
        <v>3.02216202325326</v>
      </c>
      <c r="P323" s="60" t="n">
        <f aca="false">MAX(0,F323-N323)</f>
        <v>0.907041546760539</v>
      </c>
      <c r="Q323" s="32" t="n">
        <f aca="false">(F323+Settings!$B$7*Settings!$B$3)/(E323+Settings!$B$7)</f>
        <v>0.0584722585574125</v>
      </c>
      <c r="R323" s="61" t="n">
        <f aca="false">PERCENTRANK($H$2:$H$1780,H323,6)</f>
        <v>0.766592</v>
      </c>
      <c r="S323" s="61" t="n">
        <f aca="false">PERCENTRANK($Q$2:$Q$1780,Q323,6)</f>
        <v>0.938133</v>
      </c>
      <c r="T323" s="61" t="n">
        <f aca="false">PERCENTRANK($F$2:$F$1780,F323,6)</f>
        <v>0.685039</v>
      </c>
      <c r="U323" s="62" t="n">
        <f aca="false">IF(F323&gt;0,(Settings!$B$8*T323+Settings!$B$9*R323+Settings!$B$10*S323)/SUM(Settings!$B$8:$B$10),0)</f>
        <v>0.796588</v>
      </c>
      <c r="V323" s="56" t="n">
        <f aca="false">IF(U323&gt;0,RANK(U323,$U$2:$U$1780)+COUNTIF($U$2:U323,U323)-1,"")</f>
        <v>322</v>
      </c>
      <c r="W323" s="56" t="str">
        <f aca="false">IF(V323="","",IF(V323&lt;=Settings!$B$11,"1 - Fix first",IF(V323&lt;=Settings!$B$12,"2 - Review","3 - Monitor")))</f>
        <v>3 - Monitor</v>
      </c>
      <c r="X323" s="56" t="str">
        <f aca="false">IF(AND(E323&gt;=Settings!$B$4,F323&gt;=Settings!$B$5,O323&gt;=Settings!$B$6),"HIGH RATE","")</f>
        <v/>
      </c>
      <c r="Y323" s="56" t="n">
        <f aca="false">IF(F323&gt;0,RANK(F323,$F$2:$F$1780)+COUNTIF($F$2:F323,F323)-1,"")</f>
        <v>386</v>
      </c>
      <c r="Z323" s="56" t="n">
        <f aca="false">IF(H323&gt;0,RANK(H323,$H$2:$H$1780)+COUNTIF($H$2:H323,H323)-1,"")</f>
        <v>410</v>
      </c>
      <c r="AA323" s="56" t="str">
        <f aca="false">IF(AC323="","",RANK(AC323,$AC$2:$AC$1780)+COUNTIF($AC$2:AC323,AC323)-1)</f>
        <v/>
      </c>
      <c r="AB323" s="56" t="str">
        <f aca="false">IF(AD323="","",RANK(AD323,$AD$2:$AD$1780)+COUNTIF($AD$2:AD323,AD323)-1)</f>
        <v/>
      </c>
      <c r="AC323" s="56" t="str">
        <f aca="false">IF(AND(F323&gt;0,E323&gt;=Settings!$B$4),J323,"")</f>
        <v/>
      </c>
      <c r="AD323" s="56" t="str">
        <f aca="false">IF(X323="HIGH RATE",O323,"")</f>
        <v/>
      </c>
    </row>
    <row r="324" customFormat="false" ht="15" hidden="false" customHeight="false" outlineLevel="0" collapsed="false">
      <c r="A324" s="56" t="s">
        <v>1338</v>
      </c>
      <c r="B324" s="56" t="s">
        <v>881</v>
      </c>
      <c r="C324" s="56" t="s">
        <v>55</v>
      </c>
      <c r="D324" s="56" t="str">
        <f aca="false">IFERROR(INDEX('Brand Map'!$B$4:$B$124,MATCH(C324,'Brand Map'!$A$4:$A$124,0)),"Other")</f>
        <v>AUMJ</v>
      </c>
      <c r="E324" s="57" t="n">
        <v>5</v>
      </c>
      <c r="F324" s="57" t="n">
        <v>1</v>
      </c>
      <c r="G324" s="58" t="n">
        <v>411.4</v>
      </c>
      <c r="H324" s="58" t="n">
        <v>123.95</v>
      </c>
      <c r="I324" s="58" t="n">
        <v>287.45</v>
      </c>
      <c r="J324" s="32" t="n">
        <f aca="false">IF(E324&gt;0,F324/E324,0)</f>
        <v>0.2</v>
      </c>
      <c r="K324" s="32" t="n">
        <f aca="false">IF(G324&gt;0,H324/G324,0)</f>
        <v>0.301288283908605</v>
      </c>
      <c r="L324" s="59" t="n">
        <f aca="false">H324/Settings!$B$16</f>
        <v>0.000247717353041256</v>
      </c>
      <c r="M324" s="59" t="n">
        <f aca="false">H324/Settings!$B$20</f>
        <v>9.62278391274957E-006</v>
      </c>
      <c r="N324" s="60" t="n">
        <f aca="false">E324*Settings!$B$3</f>
        <v>0.154930755399102</v>
      </c>
      <c r="O324" s="60" t="n">
        <f aca="false">IF(E324&gt;0,(F324-N324)/SQRT(E324*Settings!$B$3*(1-Settings!$B$3)),0)</f>
        <v>2.18101415975909</v>
      </c>
      <c r="P324" s="60" t="n">
        <f aca="false">MAX(0,F324-N324)</f>
        <v>0.845069244600898</v>
      </c>
      <c r="Q324" s="32" t="n">
        <f aca="false">(F324+Settings!$B$7*Settings!$B$3)/(E324+Settings!$B$7)</f>
        <v>0.0551309866398461</v>
      </c>
      <c r="R324" s="61" t="n">
        <f aca="false">PERCENTRANK($H$2:$H$1780,H324,6)</f>
        <v>0.781777</v>
      </c>
      <c r="S324" s="61" t="n">
        <f aca="false">PERCENTRANK($Q$2:$Q$1780,Q324,6)</f>
        <v>0.920697</v>
      </c>
      <c r="T324" s="61" t="n">
        <f aca="false">PERCENTRANK($F$2:$F$1780,F324,6)</f>
        <v>0.685039</v>
      </c>
      <c r="U324" s="62" t="n">
        <f aca="false">IF(F324&gt;0,(Settings!$B$8*T324+Settings!$B$9*R324+Settings!$B$10*S324)/SUM(Settings!$B$8:$B$10),0)</f>
        <v>0.795837666666667</v>
      </c>
      <c r="V324" s="56" t="n">
        <f aca="false">IF(U324&gt;0,RANK(U324,$U$2:$U$1780)+COUNTIF($U$2:U324,U324)-1,"")</f>
        <v>323</v>
      </c>
      <c r="W324" s="56" t="str">
        <f aca="false">IF(V324="","",IF(V324&lt;=Settings!$B$11,"1 - Fix first",IF(V324&lt;=Settings!$B$12,"2 - Review","3 - Monitor")))</f>
        <v>3 - Monitor</v>
      </c>
      <c r="X324" s="56" t="str">
        <f aca="false">IF(AND(E324&gt;=Settings!$B$4,F324&gt;=Settings!$B$5,O324&gt;=Settings!$B$6),"HIGH RATE","")</f>
        <v/>
      </c>
      <c r="Y324" s="56" t="n">
        <f aca="false">IF(F324&gt;0,RANK(F324,$F$2:$F$1780)+COUNTIF($F$2:F324,F324)-1,"")</f>
        <v>387</v>
      </c>
      <c r="Z324" s="56" t="n">
        <f aca="false">IF(H324&gt;0,RANK(H324,$H$2:$H$1780)+COUNTIF($H$2:H324,H324)-1,"")</f>
        <v>389</v>
      </c>
      <c r="AA324" s="56" t="str">
        <f aca="false">IF(AC324="","",RANK(AC324,$AC$2:$AC$1780)+COUNTIF($AC$2:AC324,AC324)-1)</f>
        <v/>
      </c>
      <c r="AB324" s="56" t="str">
        <f aca="false">IF(AD324="","",RANK(AD324,$AD$2:$AD$1780)+COUNTIF($AD$2:AD324,AD324)-1)</f>
        <v/>
      </c>
      <c r="AC324" s="56" t="str">
        <f aca="false">IF(AND(F324&gt;0,E324&gt;=Settings!$B$4),J324,"")</f>
        <v/>
      </c>
      <c r="AD324" s="56" t="str">
        <f aca="false">IF(X324="HIGH RATE",O324,"")</f>
        <v/>
      </c>
    </row>
    <row r="325" customFormat="false" ht="15" hidden="false" customHeight="false" outlineLevel="0" collapsed="false">
      <c r="A325" s="56" t="s">
        <v>1339</v>
      </c>
      <c r="B325" s="56" t="s">
        <v>369</v>
      </c>
      <c r="C325" s="56" t="s">
        <v>55</v>
      </c>
      <c r="D325" s="56" t="str">
        <f aca="false">IFERROR(INDEX('Brand Map'!$B$4:$B$124,MATCH(C325,'Brand Map'!$A$4:$A$124,0)),"Other")</f>
        <v>AUMJ</v>
      </c>
      <c r="E325" s="57" t="n">
        <v>56</v>
      </c>
      <c r="F325" s="57" t="n">
        <v>2</v>
      </c>
      <c r="G325" s="58" t="n">
        <v>5118.63</v>
      </c>
      <c r="H325" s="58" t="n">
        <v>181.72</v>
      </c>
      <c r="I325" s="58" t="n">
        <v>4744.36</v>
      </c>
      <c r="J325" s="32" t="n">
        <f aca="false">IF(E325&gt;0,F325/E325,0)</f>
        <v>0.0357142857142857</v>
      </c>
      <c r="K325" s="32" t="n">
        <f aca="false">IF(G325&gt;0,H325/G325,0)</f>
        <v>0.0355016869748351</v>
      </c>
      <c r="L325" s="59" t="n">
        <f aca="false">H325/Settings!$B$16</f>
        <v>0.000363172225854433</v>
      </c>
      <c r="M325" s="59" t="n">
        <f aca="false">H325/Settings!$B$20</f>
        <v>1.41077232160133E-005</v>
      </c>
      <c r="N325" s="60" t="n">
        <f aca="false">E325*Settings!$B$3</f>
        <v>1.73522446046994</v>
      </c>
      <c r="O325" s="60" t="n">
        <f aca="false">IF(E325&gt;0,(F325-N325)/SQRT(E325*Settings!$B$3*(1-Settings!$B$3)),0)</f>
        <v>0.204190268013135</v>
      </c>
      <c r="P325" s="60" t="n">
        <f aca="false">MAX(0,F325-N325)</f>
        <v>0.264775539530057</v>
      </c>
      <c r="Q325" s="32" t="n">
        <f aca="false">(F325+Settings!$B$7*Settings!$B$3)/(E325+Settings!$B$7)</f>
        <v>0.0340649364231932</v>
      </c>
      <c r="R325" s="61" t="n">
        <f aca="false">PERCENTRANK($H$2:$H$1780,H325,6)</f>
        <v>0.82171</v>
      </c>
      <c r="S325" s="61" t="n">
        <f aca="false">PERCENTRANK($Q$2:$Q$1780,Q325,6)</f>
        <v>0.765467</v>
      </c>
      <c r="T325" s="61" t="n">
        <f aca="false">PERCENTRANK($F$2:$F$1780,F325,6)</f>
        <v>0.799775</v>
      </c>
      <c r="U325" s="62" t="n">
        <f aca="false">IF(F325&gt;0,(Settings!$B$8*T325+Settings!$B$9*R325+Settings!$B$10*S325)/SUM(Settings!$B$8:$B$10),0)</f>
        <v>0.795650666666667</v>
      </c>
      <c r="V325" s="56" t="n">
        <f aca="false">IF(U325&gt;0,RANK(U325,$U$2:$U$1780)+COUNTIF($U$2:U325,U325)-1,"")</f>
        <v>324</v>
      </c>
      <c r="W325" s="56" t="str">
        <f aca="false">IF(V325="","",IF(V325&lt;=Settings!$B$11,"1 - Fix first",IF(V325&lt;=Settings!$B$12,"2 - Review","3 - Monitor")))</f>
        <v>3 - Monitor</v>
      </c>
      <c r="X325" s="56" t="str">
        <f aca="false">IF(AND(E325&gt;=Settings!$B$4,F325&gt;=Settings!$B$5,O325&gt;=Settings!$B$6),"HIGH RATE","")</f>
        <v/>
      </c>
      <c r="Y325" s="56" t="n">
        <f aca="false">IF(F325&gt;0,RANK(F325,$F$2:$F$1780)+COUNTIF($F$2:F325,F325)-1,"")</f>
        <v>334</v>
      </c>
      <c r="Z325" s="56" t="n">
        <f aca="false">IF(H325&gt;0,RANK(H325,$H$2:$H$1780)+COUNTIF($H$2:H325,H325)-1,"")</f>
        <v>318</v>
      </c>
      <c r="AA325" s="56" t="n">
        <f aca="false">IF(AC325="","",RANK(AC325,$AC$2:$AC$1780)+COUNTIF($AC$2:AC325,AC325)-1)</f>
        <v>223</v>
      </c>
      <c r="AB325" s="56" t="str">
        <f aca="false">IF(AD325="","",RANK(AD325,$AD$2:$AD$1780)+COUNTIF($AD$2:AD325,AD325)-1)</f>
        <v/>
      </c>
      <c r="AC325" s="32" t="n">
        <f aca="false">IF(AND(F325&gt;0,E325&gt;=Settings!$B$4),J325,"")</f>
        <v>0.0357142857142857</v>
      </c>
      <c r="AD325" s="56" t="str">
        <f aca="false">IF(X325="HIGH RATE",O325,"")</f>
        <v/>
      </c>
    </row>
    <row r="326" customFormat="false" ht="15" hidden="false" customHeight="false" outlineLevel="0" collapsed="false">
      <c r="A326" s="56" t="s">
        <v>1340</v>
      </c>
      <c r="B326" s="56" t="s">
        <v>1341</v>
      </c>
      <c r="C326" s="56" t="s">
        <v>51</v>
      </c>
      <c r="D326" s="56" t="str">
        <f aca="false">IFERROR(INDEX('Brand Map'!$B$4:$B$124,MATCH(C326,'Brand Map'!$A$4:$A$124,0)),"Other")</f>
        <v>AU</v>
      </c>
      <c r="E326" s="57" t="n">
        <v>64</v>
      </c>
      <c r="F326" s="57" t="n">
        <v>2</v>
      </c>
      <c r="G326" s="58" t="n">
        <v>8057.98</v>
      </c>
      <c r="H326" s="58" t="n">
        <v>224.46</v>
      </c>
      <c r="I326" s="58" t="n">
        <v>7499.84</v>
      </c>
      <c r="J326" s="32" t="n">
        <f aca="false">IF(E326&gt;0,F326/E326,0)</f>
        <v>0.03125</v>
      </c>
      <c r="K326" s="32" t="n">
        <f aca="false">IF(G326&gt;0,H326/G326,0)</f>
        <v>0.0278556164199961</v>
      </c>
      <c r="L326" s="59" t="n">
        <f aca="false">H326/Settings!$B$16</f>
        <v>0.000448589246177009</v>
      </c>
      <c r="M326" s="59" t="n">
        <f aca="false">H326/Settings!$B$20</f>
        <v>1.74258174833059E-005</v>
      </c>
      <c r="N326" s="60" t="n">
        <f aca="false">E326*Settings!$B$3</f>
        <v>1.98311366910851</v>
      </c>
      <c r="O326" s="60" t="n">
        <f aca="false">IF(E326&gt;0,(F326-N326)/SQRT(E326*Settings!$B$3*(1-Settings!$B$3)),0)</f>
        <v>0.0121813802202306</v>
      </c>
      <c r="P326" s="60" t="n">
        <f aca="false">MAX(0,F326-N326)</f>
        <v>0.0168863308914933</v>
      </c>
      <c r="Q326" s="32" t="n">
        <f aca="false">(F326+Settings!$B$7*Settings!$B$3)/(E326+Settings!$B$7)</f>
        <v>0.031165792897815</v>
      </c>
      <c r="R326" s="61" t="n">
        <f aca="false">PERCENTRANK($H$2:$H$1780,H326,6)</f>
        <v>0.835771</v>
      </c>
      <c r="S326" s="61" t="n">
        <f aca="false">PERCENTRANK($Q$2:$Q$1780,Q326,6)</f>
        <v>0.749156</v>
      </c>
      <c r="T326" s="61" t="n">
        <f aca="false">PERCENTRANK($F$2:$F$1780,F326,6)</f>
        <v>0.799775</v>
      </c>
      <c r="U326" s="62" t="n">
        <f aca="false">IF(F326&gt;0,(Settings!$B$8*T326+Settings!$B$9*R326+Settings!$B$10*S326)/SUM(Settings!$B$8:$B$10),0)</f>
        <v>0.794900666666667</v>
      </c>
      <c r="V326" s="56" t="n">
        <f aca="false">IF(U326&gt;0,RANK(U326,$U$2:$U$1780)+COUNTIF($U$2:U326,U326)-1,"")</f>
        <v>325</v>
      </c>
      <c r="W326" s="56" t="str">
        <f aca="false">IF(V326="","",IF(V326&lt;=Settings!$B$11,"1 - Fix first",IF(V326&lt;=Settings!$B$12,"2 - Review","3 - Monitor")))</f>
        <v>3 - Monitor</v>
      </c>
      <c r="X326" s="56" t="str">
        <f aca="false">IF(AND(E326&gt;=Settings!$B$4,F326&gt;=Settings!$B$5,O326&gt;=Settings!$B$6),"HIGH RATE","")</f>
        <v/>
      </c>
      <c r="Y326" s="56" t="n">
        <f aca="false">IF(F326&gt;0,RANK(F326,$F$2:$F$1780)+COUNTIF($F$2:F326,F326)-1,"")</f>
        <v>335</v>
      </c>
      <c r="Z326" s="56" t="n">
        <f aca="false">IF(H326&gt;0,RANK(H326,$H$2:$H$1780)+COUNTIF($H$2:H326,H326)-1,"")</f>
        <v>293</v>
      </c>
      <c r="AA326" s="56" t="n">
        <f aca="false">IF(AC326="","",RANK(AC326,$AC$2:$AC$1780)+COUNTIF($AC$2:AC326,AC326)-1)</f>
        <v>253</v>
      </c>
      <c r="AB326" s="56" t="str">
        <f aca="false">IF(AD326="","",RANK(AD326,$AD$2:$AD$1780)+COUNTIF($AD$2:AD326,AD326)-1)</f>
        <v/>
      </c>
      <c r="AC326" s="32" t="n">
        <f aca="false">IF(AND(F326&gt;0,E326&gt;=Settings!$B$4),J326,"")</f>
        <v>0.03125</v>
      </c>
      <c r="AD326" s="56" t="str">
        <f aca="false">IF(X326="HIGH RATE",O326,"")</f>
        <v/>
      </c>
    </row>
    <row r="327" customFormat="false" ht="15" hidden="false" customHeight="false" outlineLevel="0" collapsed="false">
      <c r="A327" s="56" t="s">
        <v>1342</v>
      </c>
      <c r="B327" s="56" t="s">
        <v>1229</v>
      </c>
      <c r="C327" s="56" t="s">
        <v>55</v>
      </c>
      <c r="D327" s="56" t="str">
        <f aca="false">IFERROR(INDEX('Brand Map'!$B$4:$B$124,MATCH(C327,'Brand Map'!$A$4:$A$124,0)),"Other")</f>
        <v>AUMJ</v>
      </c>
      <c r="E327" s="57" t="n">
        <v>1</v>
      </c>
      <c r="F327" s="57" t="n">
        <v>1</v>
      </c>
      <c r="G327" s="58" t="n">
        <v>87.99</v>
      </c>
      <c r="H327" s="58" t="n">
        <v>87.99</v>
      </c>
      <c r="I327" s="58" t="n">
        <v>0</v>
      </c>
      <c r="J327" s="32" t="n">
        <f aca="false">IF(E327&gt;0,F327/E327,0)</f>
        <v>1</v>
      </c>
      <c r="K327" s="32" t="n">
        <f aca="false">IF(G327&gt;0,H327/G327,0)</f>
        <v>1</v>
      </c>
      <c r="L327" s="59" t="n">
        <f aca="false">H327/Settings!$B$16</f>
        <v>0.000175850342025818</v>
      </c>
      <c r="M327" s="59" t="n">
        <f aca="false">H327/Settings!$B$20</f>
        <v>6.83105087924836E-006</v>
      </c>
      <c r="N327" s="60" t="n">
        <f aca="false">E327*Settings!$B$3</f>
        <v>0.0309861510798204</v>
      </c>
      <c r="O327" s="60" t="n">
        <f aca="false">IF(E327&gt;0,(F327-N327)/SQRT(E327*Settings!$B$3*(1-Settings!$B$3)),0)</f>
        <v>5.59218042484869</v>
      </c>
      <c r="P327" s="60" t="n">
        <f aca="false">MAX(0,F327-N327)</f>
        <v>0.96901384892018</v>
      </c>
      <c r="Q327" s="32" t="n">
        <f aca="false">(F327+Settings!$B$7*Settings!$B$3)/(E327+Settings!$B$7)</f>
        <v>0.0622446623353101</v>
      </c>
      <c r="R327" s="61" t="n">
        <f aca="false">PERCENTRANK($H$2:$H$1780,H327,6)</f>
        <v>0.742407</v>
      </c>
      <c r="S327" s="61" t="n">
        <f aca="false">PERCENTRANK($Q$2:$Q$1780,Q327,6)</f>
        <v>0.955568</v>
      </c>
      <c r="T327" s="61" t="n">
        <f aca="false">PERCENTRANK($F$2:$F$1780,F327,6)</f>
        <v>0.685039</v>
      </c>
      <c r="U327" s="62" t="n">
        <f aca="false">IF(F327&gt;0,(Settings!$B$8*T327+Settings!$B$9*R327+Settings!$B$10*S327)/SUM(Settings!$B$8:$B$10),0)</f>
        <v>0.794338</v>
      </c>
      <c r="V327" s="56" t="n">
        <f aca="false">IF(U327&gt;0,RANK(U327,$U$2:$U$1780)+COUNTIF($U$2:U327,U327)-1,"")</f>
        <v>326</v>
      </c>
      <c r="W327" s="56" t="str">
        <f aca="false">IF(V327="","",IF(V327&lt;=Settings!$B$11,"1 - Fix first",IF(V327&lt;=Settings!$B$12,"2 - Review","3 - Monitor")))</f>
        <v>3 - Monitor</v>
      </c>
      <c r="X327" s="56" t="str">
        <f aca="false">IF(AND(E327&gt;=Settings!$B$4,F327&gt;=Settings!$B$5,O327&gt;=Settings!$B$6),"HIGH RATE","")</f>
        <v/>
      </c>
      <c r="Y327" s="56" t="n">
        <f aca="false">IF(F327&gt;0,RANK(F327,$F$2:$F$1780)+COUNTIF($F$2:F327,F327)-1,"")</f>
        <v>388</v>
      </c>
      <c r="Z327" s="56" t="n">
        <f aca="false">IF(H327&gt;0,RANK(H327,$H$2:$H$1780)+COUNTIF($H$2:H327,H327)-1,"")</f>
        <v>459</v>
      </c>
      <c r="AA327" s="56" t="str">
        <f aca="false">IF(AC327="","",RANK(AC327,$AC$2:$AC$1780)+COUNTIF($AC$2:AC327,AC327)-1)</f>
        <v/>
      </c>
      <c r="AB327" s="56" t="str">
        <f aca="false">IF(AD327="","",RANK(AD327,$AD$2:$AD$1780)+COUNTIF($AD$2:AD327,AD327)-1)</f>
        <v/>
      </c>
      <c r="AC327" s="56" t="str">
        <f aca="false">IF(AND(F327&gt;0,E327&gt;=Settings!$B$4),J327,"")</f>
        <v/>
      </c>
      <c r="AD327" s="56" t="str">
        <f aca="false">IF(X327="HIGH RATE",O327,"")</f>
        <v/>
      </c>
    </row>
    <row r="328" customFormat="false" ht="15" hidden="false" customHeight="false" outlineLevel="0" collapsed="false">
      <c r="A328" s="56" t="s">
        <v>1343</v>
      </c>
      <c r="B328" s="56" t="s">
        <v>1237</v>
      </c>
      <c r="C328" s="56" t="s">
        <v>114</v>
      </c>
      <c r="D328" s="56" t="str">
        <f aca="false">IFERROR(INDEX('Brand Map'!$B$4:$B$124,MATCH(C328,'Brand Map'!$A$4:$A$124,0)),"Other")</f>
        <v>SB</v>
      </c>
      <c r="E328" s="57" t="n">
        <v>3</v>
      </c>
      <c r="F328" s="57" t="n">
        <v>1</v>
      </c>
      <c r="G328" s="58" t="n">
        <v>335.85</v>
      </c>
      <c r="H328" s="58" t="n">
        <v>102.95</v>
      </c>
      <c r="I328" s="58" t="n">
        <v>232.9</v>
      </c>
      <c r="J328" s="32" t="n">
        <f aca="false">IF(E328&gt;0,F328/E328,0)</f>
        <v>0.333333333333333</v>
      </c>
      <c r="K328" s="32" t="n">
        <f aca="false">IF(G328&gt;0,H328/G328,0)</f>
        <v>0.30653565579872</v>
      </c>
      <c r="L328" s="59" t="n">
        <f aca="false">H328/Settings!$B$16</f>
        <v>0.000205748297665166</v>
      </c>
      <c r="M328" s="59" t="n">
        <f aca="false">H328/Settings!$B$20</f>
        <v>7.99246150720103E-006</v>
      </c>
      <c r="N328" s="60" t="n">
        <f aca="false">E328*Settings!$B$3</f>
        <v>0.0929584532394613</v>
      </c>
      <c r="O328" s="60" t="n">
        <f aca="false">IF(E328&gt;0,(F328-N328)/SQRT(E328*Settings!$B$3*(1-Settings!$B$3)),0)</f>
        <v>3.02216202325326</v>
      </c>
      <c r="P328" s="60" t="n">
        <f aca="false">MAX(0,F328-N328)</f>
        <v>0.907041546760539</v>
      </c>
      <c r="Q328" s="32" t="n">
        <f aca="false">(F328+Settings!$B$7*Settings!$B$3)/(E328+Settings!$B$7)</f>
        <v>0.0584722585574125</v>
      </c>
      <c r="R328" s="61" t="n">
        <f aca="false">PERCENTRANK($H$2:$H$1780,H328,6)</f>
        <v>0.75928</v>
      </c>
      <c r="S328" s="61" t="n">
        <f aca="false">PERCENTRANK($Q$2:$Q$1780,Q328,6)</f>
        <v>0.938133</v>
      </c>
      <c r="T328" s="61" t="n">
        <f aca="false">PERCENTRANK($F$2:$F$1780,F328,6)</f>
        <v>0.685039</v>
      </c>
      <c r="U328" s="62" t="n">
        <f aca="false">IF(F328&gt;0,(Settings!$B$8*T328+Settings!$B$9*R328+Settings!$B$10*S328)/SUM(Settings!$B$8:$B$10),0)</f>
        <v>0.794150666666667</v>
      </c>
      <c r="V328" s="56" t="n">
        <f aca="false">IF(U328&gt;0,RANK(U328,$U$2:$U$1780)+COUNTIF($U$2:U328,U328)-1,"")</f>
        <v>328</v>
      </c>
      <c r="W328" s="56" t="str">
        <f aca="false">IF(V328="","",IF(V328&lt;=Settings!$B$11,"1 - Fix first",IF(V328&lt;=Settings!$B$12,"2 - Review","3 - Monitor")))</f>
        <v>3 - Monitor</v>
      </c>
      <c r="X328" s="56" t="str">
        <f aca="false">IF(AND(E328&gt;=Settings!$B$4,F328&gt;=Settings!$B$5,O328&gt;=Settings!$B$6),"HIGH RATE","")</f>
        <v/>
      </c>
      <c r="Y328" s="56" t="n">
        <f aca="false">IF(F328&gt;0,RANK(F328,$F$2:$F$1780)+COUNTIF($F$2:F328,F328)-1,"")</f>
        <v>389</v>
      </c>
      <c r="Z328" s="56" t="n">
        <f aca="false">IF(H328&gt;0,RANK(H328,$H$2:$H$1780)+COUNTIF($H$2:H328,H328)-1,"")</f>
        <v>429</v>
      </c>
      <c r="AA328" s="56" t="str">
        <f aca="false">IF(AC328="","",RANK(AC328,$AC$2:$AC$1780)+COUNTIF($AC$2:AC328,AC328)-1)</f>
        <v/>
      </c>
      <c r="AB328" s="56" t="str">
        <f aca="false">IF(AD328="","",RANK(AD328,$AD$2:$AD$1780)+COUNTIF($AD$2:AD328,AD328)-1)</f>
        <v/>
      </c>
      <c r="AC328" s="56" t="str">
        <f aca="false">IF(AND(F328&gt;0,E328&gt;=Settings!$B$4),J328,"")</f>
        <v/>
      </c>
      <c r="AD328" s="56" t="str">
        <f aca="false">IF(X328="HIGH RATE",O328,"")</f>
        <v/>
      </c>
    </row>
    <row r="329" customFormat="false" ht="15" hidden="false" customHeight="false" outlineLevel="0" collapsed="false">
      <c r="A329" s="56" t="s">
        <v>1344</v>
      </c>
      <c r="B329" s="56" t="s">
        <v>1345</v>
      </c>
      <c r="C329" s="56" t="s">
        <v>67</v>
      </c>
      <c r="D329" s="56" t="str">
        <f aca="false">IFERROR(INDEX('Brand Map'!$B$4:$B$124,MATCH(C329,'Brand Map'!$A$4:$A$124,0)),"Other")</f>
        <v>MJ</v>
      </c>
      <c r="E329" s="57" t="n">
        <v>114</v>
      </c>
      <c r="F329" s="57" t="n">
        <v>4</v>
      </c>
      <c r="G329" s="58" t="n">
        <v>2985.35</v>
      </c>
      <c r="H329" s="58" t="n">
        <v>88.26</v>
      </c>
      <c r="I329" s="58" t="n">
        <v>2699.72</v>
      </c>
      <c r="J329" s="32" t="n">
        <f aca="false">IF(E329&gt;0,F329/E329,0)</f>
        <v>0.0350877192982456</v>
      </c>
      <c r="K329" s="32" t="n">
        <f aca="false">IF(G329&gt;0,H329/G329,0)</f>
        <v>0.0295643726866197</v>
      </c>
      <c r="L329" s="59" t="n">
        <f aca="false">H329/Settings!$B$16</f>
        <v>0.000176389944166367</v>
      </c>
      <c r="M329" s="59" t="n">
        <f aca="false">H329/Settings!$B$20</f>
        <v>6.8520121673197E-006</v>
      </c>
      <c r="N329" s="60" t="n">
        <f aca="false">E329*Settings!$B$3</f>
        <v>3.53242122309953</v>
      </c>
      <c r="O329" s="60" t="n">
        <f aca="false">IF(E329&gt;0,(F329-N329)/SQRT(E329*Settings!$B$3*(1-Settings!$B$3)),0)</f>
        <v>0.252728113713369</v>
      </c>
      <c r="P329" s="60" t="n">
        <f aca="false">MAX(0,F329-N329)</f>
        <v>0.467578776900472</v>
      </c>
      <c r="Q329" s="32" t="n">
        <f aca="false">(F329+Settings!$B$7*Settings!$B$3)/(E329+Settings!$B$7)</f>
        <v>0.034233225919407</v>
      </c>
      <c r="R329" s="61" t="n">
        <f aca="false">PERCENTRANK($H$2:$H$1780,H329,6)</f>
        <v>0.74297</v>
      </c>
      <c r="S329" s="61" t="n">
        <f aca="false">PERCENTRANK($Q$2:$Q$1780,Q329,6)</f>
        <v>0.767717</v>
      </c>
      <c r="T329" s="61" t="n">
        <f aca="false">PERCENTRANK($F$2:$F$1780,F329,6)</f>
        <v>0.871766</v>
      </c>
      <c r="U329" s="62" t="n">
        <f aca="false">IF(F329&gt;0,(Settings!$B$8*T329+Settings!$B$9*R329+Settings!$B$10*S329)/SUM(Settings!$B$8:$B$10),0)</f>
        <v>0.794151</v>
      </c>
      <c r="V329" s="56" t="n">
        <f aca="false">IF(U329&gt;0,RANK(U329,$U$2:$U$1780)+COUNTIF($U$2:U329,U329)-1,"")</f>
        <v>327</v>
      </c>
      <c r="W329" s="56" t="str">
        <f aca="false">IF(V329="","",IF(V329&lt;=Settings!$B$11,"1 - Fix first",IF(V329&lt;=Settings!$B$12,"2 - Review","3 - Monitor")))</f>
        <v>3 - Monitor</v>
      </c>
      <c r="X329" s="56" t="str">
        <f aca="false">IF(AND(E329&gt;=Settings!$B$4,F329&gt;=Settings!$B$5,O329&gt;=Settings!$B$6),"HIGH RATE","")</f>
        <v/>
      </c>
      <c r="Y329" s="56" t="n">
        <f aca="false">IF(F329&gt;0,RANK(F329,$F$2:$F$1780)+COUNTIF($F$2:F329,F329)-1,"")</f>
        <v>226</v>
      </c>
      <c r="Z329" s="56" t="n">
        <f aca="false">IF(H329&gt;0,RANK(H329,$H$2:$H$1780)+COUNTIF($H$2:H329,H329)-1,"")</f>
        <v>458</v>
      </c>
      <c r="AA329" s="56" t="n">
        <f aca="false">IF(AC329="","",RANK(AC329,$AC$2:$AC$1780)+COUNTIF($AC$2:AC329,AC329)-1)</f>
        <v>233</v>
      </c>
      <c r="AB329" s="56" t="str">
        <f aca="false">IF(AD329="","",RANK(AD329,$AD$2:$AD$1780)+COUNTIF($AD$2:AD329,AD329)-1)</f>
        <v/>
      </c>
      <c r="AC329" s="32" t="n">
        <f aca="false">IF(AND(F329&gt;0,E329&gt;=Settings!$B$4),J329,"")</f>
        <v>0.0350877192982456</v>
      </c>
      <c r="AD329" s="56" t="str">
        <f aca="false">IF(X329="HIGH RATE",O329,"")</f>
        <v/>
      </c>
    </row>
    <row r="330" customFormat="false" ht="15" hidden="false" customHeight="false" outlineLevel="0" collapsed="false">
      <c r="A330" s="56" t="s">
        <v>1346</v>
      </c>
      <c r="B330" s="56" t="s">
        <v>1347</v>
      </c>
      <c r="C330" s="56" t="s">
        <v>177</v>
      </c>
      <c r="D330" s="56" t="str">
        <f aca="false">IFERROR(INDEX('Brand Map'!$B$4:$B$124,MATCH(C330,'Brand Map'!$A$4:$A$124,0)),"Other")</f>
        <v>GBGC</v>
      </c>
      <c r="E330" s="57" t="n">
        <v>65</v>
      </c>
      <c r="F330" s="57" t="n">
        <v>2</v>
      </c>
      <c r="G330" s="58" t="n">
        <v>8239.72</v>
      </c>
      <c r="H330" s="58" t="n">
        <v>218.1</v>
      </c>
      <c r="I330" s="58" t="n">
        <v>7923.24</v>
      </c>
      <c r="J330" s="32" t="n">
        <f aca="false">IF(E330&gt;0,F330/E330,0)</f>
        <v>0.0307692307692308</v>
      </c>
      <c r="K330" s="32" t="n">
        <f aca="false">IF(G330&gt;0,H330/G330,0)</f>
        <v>0.0264693460457394</v>
      </c>
      <c r="L330" s="59" t="n">
        <f aca="false">H330/Settings!$B$16</f>
        <v>0.000435878617977393</v>
      </c>
      <c r="M330" s="59" t="n">
        <f aca="false">H330/Settings!$B$20</f>
        <v>1.69320626976255E-005</v>
      </c>
      <c r="N330" s="60" t="n">
        <f aca="false">E330*Settings!$B$3</f>
        <v>2.01409982018833</v>
      </c>
      <c r="O330" s="60" t="n">
        <f aca="false">IF(E330&gt;0,(F330-N330)/SQRT(E330*Settings!$B$3*(1-Settings!$B$3)),0)</f>
        <v>-0.01009271679385</v>
      </c>
      <c r="P330" s="60" t="n">
        <f aca="false">MAX(0,F330-N330)</f>
        <v>0</v>
      </c>
      <c r="Q330" s="32" t="n">
        <f aca="false">(F330+Settings!$B$7*Settings!$B$3)/(E330+Settings!$B$7)</f>
        <v>0.0308377319199433</v>
      </c>
      <c r="R330" s="61" t="n">
        <f aca="false">PERCENTRANK($H$2:$H$1780,H330,6)</f>
        <v>0.832958</v>
      </c>
      <c r="S330" s="61" t="n">
        <f aca="false">PERCENTRANK($Q$2:$Q$1780,Q330,6)</f>
        <v>0.746907</v>
      </c>
      <c r="T330" s="61" t="n">
        <f aca="false">PERCENTRANK($F$2:$F$1780,F330,6)</f>
        <v>0.799775</v>
      </c>
      <c r="U330" s="62" t="n">
        <f aca="false">IF(F330&gt;0,(Settings!$B$8*T330+Settings!$B$9*R330+Settings!$B$10*S330)/SUM(Settings!$B$8:$B$10),0)</f>
        <v>0.793213333333333</v>
      </c>
      <c r="V330" s="56" t="n">
        <f aca="false">IF(U330&gt;0,RANK(U330,$U$2:$U$1780)+COUNTIF($U$2:U330,U330)-1,"")</f>
        <v>329</v>
      </c>
      <c r="W330" s="56" t="str">
        <f aca="false">IF(V330="","",IF(V330&lt;=Settings!$B$11,"1 - Fix first",IF(V330&lt;=Settings!$B$12,"2 - Review","3 - Monitor")))</f>
        <v>3 - Monitor</v>
      </c>
      <c r="X330" s="56" t="str">
        <f aca="false">IF(AND(E330&gt;=Settings!$B$4,F330&gt;=Settings!$B$5,O330&gt;=Settings!$B$6),"HIGH RATE","")</f>
        <v/>
      </c>
      <c r="Y330" s="56" t="n">
        <f aca="false">IF(F330&gt;0,RANK(F330,$F$2:$F$1780)+COUNTIF($F$2:F330,F330)-1,"")</f>
        <v>336</v>
      </c>
      <c r="Z330" s="56" t="n">
        <f aca="false">IF(H330&gt;0,RANK(H330,$H$2:$H$1780)+COUNTIF($H$2:H330,H330)-1,"")</f>
        <v>298</v>
      </c>
      <c r="AA330" s="56" t="n">
        <f aca="false">IF(AC330="","",RANK(AC330,$AC$2:$AC$1780)+COUNTIF($AC$2:AC330,AC330)-1)</f>
        <v>257</v>
      </c>
      <c r="AB330" s="56" t="str">
        <f aca="false">IF(AD330="","",RANK(AD330,$AD$2:$AD$1780)+COUNTIF($AD$2:AD330,AD330)-1)</f>
        <v/>
      </c>
      <c r="AC330" s="32" t="n">
        <f aca="false">IF(AND(F330&gt;0,E330&gt;=Settings!$B$4),J330,"")</f>
        <v>0.0307692307692308</v>
      </c>
      <c r="AD330" s="56" t="str">
        <f aca="false">IF(X330="HIGH RATE",O330,"")</f>
        <v/>
      </c>
    </row>
    <row r="331" customFormat="false" ht="15" hidden="false" customHeight="false" outlineLevel="0" collapsed="false">
      <c r="A331" s="56" t="s">
        <v>1348</v>
      </c>
      <c r="B331" s="56" t="s">
        <v>1349</v>
      </c>
      <c r="C331" s="56" t="s">
        <v>87</v>
      </c>
      <c r="D331" s="56" t="str">
        <f aca="false">IFERROR(INDEX('Brand Map'!$B$4:$B$124,MATCH(C331,'Brand Map'!$A$4:$A$124,0)),"Other")</f>
        <v>FYF</v>
      </c>
      <c r="E331" s="57" t="n">
        <v>5</v>
      </c>
      <c r="F331" s="57" t="n">
        <v>1</v>
      </c>
      <c r="G331" s="58" t="n">
        <v>574.75</v>
      </c>
      <c r="H331" s="58" t="n">
        <v>114.95</v>
      </c>
      <c r="I331" s="58" t="n">
        <v>459.8</v>
      </c>
      <c r="J331" s="32" t="n">
        <f aca="false">IF(E331&gt;0,F331/E331,0)</f>
        <v>0.2</v>
      </c>
      <c r="K331" s="32" t="n">
        <f aca="false">IF(G331&gt;0,H331/G331,0)</f>
        <v>0.2</v>
      </c>
      <c r="L331" s="59" t="n">
        <f aca="false">H331/Settings!$B$16</f>
        <v>0.000229730615022931</v>
      </c>
      <c r="M331" s="59" t="n">
        <f aca="false">H331/Settings!$B$20</f>
        <v>8.92407431037162E-006</v>
      </c>
      <c r="N331" s="60" t="n">
        <f aca="false">E331*Settings!$B$3</f>
        <v>0.154930755399102</v>
      </c>
      <c r="O331" s="60" t="n">
        <f aca="false">IF(E331&gt;0,(F331-N331)/SQRT(E331*Settings!$B$3*(1-Settings!$B$3)),0)</f>
        <v>2.18101415975909</v>
      </c>
      <c r="P331" s="60" t="n">
        <f aca="false">MAX(0,F331-N331)</f>
        <v>0.845069244600898</v>
      </c>
      <c r="Q331" s="32" t="n">
        <f aca="false">(F331+Settings!$B$7*Settings!$B$3)/(E331+Settings!$B$7)</f>
        <v>0.0551309866398461</v>
      </c>
      <c r="R331" s="61" t="n">
        <f aca="false">PERCENTRANK($H$2:$H$1780,H331,6)</f>
        <v>0.773341</v>
      </c>
      <c r="S331" s="61" t="n">
        <f aca="false">PERCENTRANK($Q$2:$Q$1780,Q331,6)</f>
        <v>0.920697</v>
      </c>
      <c r="T331" s="61" t="n">
        <f aca="false">PERCENTRANK($F$2:$F$1780,F331,6)</f>
        <v>0.685039</v>
      </c>
      <c r="U331" s="62" t="n">
        <f aca="false">IF(F331&gt;0,(Settings!$B$8*T331+Settings!$B$9*R331+Settings!$B$10*S331)/SUM(Settings!$B$8:$B$10),0)</f>
        <v>0.793025666666667</v>
      </c>
      <c r="V331" s="56" t="n">
        <f aca="false">IF(U331&gt;0,RANK(U331,$U$2:$U$1780)+COUNTIF($U$2:U331,U331)-1,"")</f>
        <v>330</v>
      </c>
      <c r="W331" s="56" t="str">
        <f aca="false">IF(V331="","",IF(V331&lt;=Settings!$B$11,"1 - Fix first",IF(V331&lt;=Settings!$B$12,"2 - Review","3 - Monitor")))</f>
        <v>3 - Monitor</v>
      </c>
      <c r="X331" s="56" t="str">
        <f aca="false">IF(AND(E331&gt;=Settings!$B$4,F331&gt;=Settings!$B$5,O331&gt;=Settings!$B$6),"HIGH RATE","")</f>
        <v/>
      </c>
      <c r="Y331" s="56" t="n">
        <f aca="false">IF(F331&gt;0,RANK(F331,$F$2:$F$1780)+COUNTIF($F$2:F331,F331)-1,"")</f>
        <v>390</v>
      </c>
      <c r="Z331" s="56" t="n">
        <f aca="false">IF(H331&gt;0,RANK(H331,$H$2:$H$1780)+COUNTIF($H$2:H331,H331)-1,"")</f>
        <v>402</v>
      </c>
      <c r="AA331" s="56" t="str">
        <f aca="false">IF(AC331="","",RANK(AC331,$AC$2:$AC$1780)+COUNTIF($AC$2:AC331,AC331)-1)</f>
        <v/>
      </c>
      <c r="AB331" s="56" t="str">
        <f aca="false">IF(AD331="","",RANK(AD331,$AD$2:$AD$1780)+COUNTIF($AD$2:AD331,AD331)-1)</f>
        <v/>
      </c>
      <c r="AC331" s="56" t="str">
        <f aca="false">IF(AND(F331&gt;0,E331&gt;=Settings!$B$4),J331,"")</f>
        <v/>
      </c>
      <c r="AD331" s="56" t="str">
        <f aca="false">IF(X331="HIGH RATE",O331,"")</f>
        <v/>
      </c>
    </row>
    <row r="332" customFormat="false" ht="15" hidden="false" customHeight="false" outlineLevel="0" collapsed="false">
      <c r="A332" s="56" t="s">
        <v>1350</v>
      </c>
      <c r="B332" s="56" t="s">
        <v>1351</v>
      </c>
      <c r="C332" s="56" t="s">
        <v>87</v>
      </c>
      <c r="D332" s="56" t="str">
        <f aca="false">IFERROR(INDEX('Brand Map'!$B$4:$B$124,MATCH(C332,'Brand Map'!$A$4:$A$124,0)),"Other")</f>
        <v>FYF</v>
      </c>
      <c r="E332" s="57" t="n">
        <v>4</v>
      </c>
      <c r="F332" s="57" t="n">
        <v>1</v>
      </c>
      <c r="G332" s="58" t="n">
        <v>419.8</v>
      </c>
      <c r="H332" s="58" t="n">
        <v>104.95</v>
      </c>
      <c r="I332" s="58" t="n">
        <v>314.85</v>
      </c>
      <c r="J332" s="32" t="n">
        <f aca="false">IF(E332&gt;0,F332/E332,0)</f>
        <v>0.25</v>
      </c>
      <c r="K332" s="32" t="n">
        <f aca="false">IF(G332&gt;0,H332/G332,0)</f>
        <v>0.25</v>
      </c>
      <c r="L332" s="59" t="n">
        <f aca="false">H332/Settings!$B$16</f>
        <v>0.000209745350558127</v>
      </c>
      <c r="M332" s="59" t="n">
        <f aca="false">H332/Settings!$B$20</f>
        <v>8.14773030772946E-006</v>
      </c>
      <c r="N332" s="60" t="n">
        <f aca="false">E332*Settings!$B$3</f>
        <v>0.123944604319282</v>
      </c>
      <c r="O332" s="60" t="n">
        <f aca="false">IF(E332&gt;0,(F332-N332)/SQRT(E332*Settings!$B$3*(1-Settings!$B$3)),0)</f>
        <v>2.52785852352268</v>
      </c>
      <c r="P332" s="60" t="n">
        <f aca="false">MAX(0,F332-N332)</f>
        <v>0.876055395680718</v>
      </c>
      <c r="Q332" s="32" t="n">
        <f aca="false">(F332+Settings!$B$7*Settings!$B$3)/(E332+Settings!$B$7)</f>
        <v>0.0567524862469004</v>
      </c>
      <c r="R332" s="61" t="n">
        <f aca="false">PERCENTRANK($H$2:$H$1780,H332,6)</f>
        <v>0.76153</v>
      </c>
      <c r="S332" s="61" t="n">
        <f aca="false">PERCENTRANK($Q$2:$Q$1780,Q332,6)</f>
        <v>0.930821</v>
      </c>
      <c r="T332" s="61" t="n">
        <f aca="false">PERCENTRANK($F$2:$F$1780,F332,6)</f>
        <v>0.685039</v>
      </c>
      <c r="U332" s="62" t="n">
        <f aca="false">IF(F332&gt;0,(Settings!$B$8*T332+Settings!$B$9*R332+Settings!$B$10*S332)/SUM(Settings!$B$8:$B$10),0)</f>
        <v>0.792463333333333</v>
      </c>
      <c r="V332" s="56" t="n">
        <f aca="false">IF(U332&gt;0,RANK(U332,$U$2:$U$1780)+COUNTIF($U$2:U332,U332)-1,"")</f>
        <v>331</v>
      </c>
      <c r="W332" s="56" t="str">
        <f aca="false">IF(V332="","",IF(V332&lt;=Settings!$B$11,"1 - Fix first",IF(V332&lt;=Settings!$B$12,"2 - Review","3 - Monitor")))</f>
        <v>3 - Monitor</v>
      </c>
      <c r="X332" s="56" t="str">
        <f aca="false">IF(AND(E332&gt;=Settings!$B$4,F332&gt;=Settings!$B$5,O332&gt;=Settings!$B$6),"HIGH RATE","")</f>
        <v/>
      </c>
      <c r="Y332" s="56" t="n">
        <f aca="false">IF(F332&gt;0,RANK(F332,$F$2:$F$1780)+COUNTIF($F$2:F332,F332)-1,"")</f>
        <v>391</v>
      </c>
      <c r="Z332" s="56" t="n">
        <f aca="false">IF(H332&gt;0,RANK(H332,$H$2:$H$1780)+COUNTIF($H$2:H332,H332)-1,"")</f>
        <v>424</v>
      </c>
      <c r="AA332" s="56" t="str">
        <f aca="false">IF(AC332="","",RANK(AC332,$AC$2:$AC$1780)+COUNTIF($AC$2:AC332,AC332)-1)</f>
        <v/>
      </c>
      <c r="AB332" s="56" t="str">
        <f aca="false">IF(AD332="","",RANK(AD332,$AD$2:$AD$1780)+COUNTIF($AD$2:AD332,AD332)-1)</f>
        <v/>
      </c>
      <c r="AC332" s="56" t="str">
        <f aca="false">IF(AND(F332&gt;0,E332&gt;=Settings!$B$4),J332,"")</f>
        <v/>
      </c>
      <c r="AD332" s="56" t="str">
        <f aca="false">IF(X332="HIGH RATE",O332,"")</f>
        <v/>
      </c>
    </row>
    <row r="333" customFormat="false" ht="15" hidden="false" customHeight="false" outlineLevel="0" collapsed="false">
      <c r="A333" s="56" t="s">
        <v>1352</v>
      </c>
      <c r="B333" s="56" t="s">
        <v>1278</v>
      </c>
      <c r="C333" s="56" t="s">
        <v>51</v>
      </c>
      <c r="D333" s="56" t="str">
        <f aca="false">IFERROR(INDEX('Brand Map'!$B$4:$B$124,MATCH(C333,'Brand Map'!$A$4:$A$124,0)),"Other")</f>
        <v>AU</v>
      </c>
      <c r="E333" s="57" t="n">
        <v>8</v>
      </c>
      <c r="F333" s="57" t="n">
        <v>1</v>
      </c>
      <c r="G333" s="58" t="n">
        <v>1199.6</v>
      </c>
      <c r="H333" s="58" t="n">
        <v>149.95</v>
      </c>
      <c r="I333" s="58" t="n">
        <v>1049.65</v>
      </c>
      <c r="J333" s="32" t="n">
        <f aca="false">IF(E333&gt;0,F333/E333,0)</f>
        <v>0.125</v>
      </c>
      <c r="K333" s="32" t="n">
        <f aca="false">IF(G333&gt;0,H333/G333,0)</f>
        <v>0.125</v>
      </c>
      <c r="L333" s="59" t="n">
        <f aca="false">H333/Settings!$B$16</f>
        <v>0.000299679040649748</v>
      </c>
      <c r="M333" s="59" t="n">
        <f aca="false">H333/Settings!$B$20</f>
        <v>1.16412783196192E-005</v>
      </c>
      <c r="N333" s="60" t="n">
        <f aca="false">E333*Settings!$B$3</f>
        <v>0.247889208638563</v>
      </c>
      <c r="O333" s="60" t="n">
        <f aca="false">IF(E333&gt;0,(F333-N333)/SQRT(E333*Settings!$B$3*(1-Settings!$B$3)),0)</f>
        <v>1.53457464232778</v>
      </c>
      <c r="P333" s="60" t="n">
        <f aca="false">MAX(0,F333-N333)</f>
        <v>0.752110791361437</v>
      </c>
      <c r="Q333" s="32" t="n">
        <f aca="false">(F333+Settings!$B$7*Settings!$B$3)/(E333+Settings!$B$7)</f>
        <v>0.050778540326174</v>
      </c>
      <c r="R333" s="61" t="n">
        <f aca="false">PERCENTRANK($H$2:$H$1780,H333,6)</f>
        <v>0.804274</v>
      </c>
      <c r="S333" s="61" t="n">
        <f aca="false">PERCENTRANK($Q$2:$Q$1780,Q333,6)</f>
        <v>0.888076</v>
      </c>
      <c r="T333" s="61" t="n">
        <f aca="false">PERCENTRANK($F$2:$F$1780,F333,6)</f>
        <v>0.685039</v>
      </c>
      <c r="U333" s="62" t="n">
        <f aca="false">IF(F333&gt;0,(Settings!$B$8*T333+Settings!$B$9*R333+Settings!$B$10*S333)/SUM(Settings!$B$8:$B$10),0)</f>
        <v>0.792463</v>
      </c>
      <c r="V333" s="56" t="n">
        <f aca="false">IF(U333&gt;0,RANK(U333,$U$2:$U$1780)+COUNTIF($U$2:U333,U333)-1,"")</f>
        <v>332</v>
      </c>
      <c r="W333" s="56" t="str">
        <f aca="false">IF(V333="","",IF(V333&lt;=Settings!$B$11,"1 - Fix first",IF(V333&lt;=Settings!$B$12,"2 - Review","3 - Monitor")))</f>
        <v>3 - Monitor</v>
      </c>
      <c r="X333" s="56" t="str">
        <f aca="false">IF(AND(E333&gt;=Settings!$B$4,F333&gt;=Settings!$B$5,O333&gt;=Settings!$B$6),"HIGH RATE","")</f>
        <v/>
      </c>
      <c r="Y333" s="56" t="n">
        <f aca="false">IF(F333&gt;0,RANK(F333,$F$2:$F$1780)+COUNTIF($F$2:F333,F333)-1,"")</f>
        <v>392</v>
      </c>
      <c r="Z333" s="56" t="n">
        <f aca="false">IF(H333&gt;0,RANK(H333,$H$2:$H$1780)+COUNTIF($H$2:H333,H333)-1,"")</f>
        <v>349</v>
      </c>
      <c r="AA333" s="56" t="str">
        <f aca="false">IF(AC333="","",RANK(AC333,$AC$2:$AC$1780)+COUNTIF($AC$2:AC333,AC333)-1)</f>
        <v/>
      </c>
      <c r="AB333" s="56" t="str">
        <f aca="false">IF(AD333="","",RANK(AD333,$AD$2:$AD$1780)+COUNTIF($AD$2:AD333,AD333)-1)</f>
        <v/>
      </c>
      <c r="AC333" s="56" t="str">
        <f aca="false">IF(AND(F333&gt;0,E333&gt;=Settings!$B$4),J333,"")</f>
        <v/>
      </c>
      <c r="AD333" s="56" t="str">
        <f aca="false">IF(X333="HIGH RATE",O333,"")</f>
        <v/>
      </c>
    </row>
    <row r="334" customFormat="false" ht="15" hidden="false" customHeight="false" outlineLevel="0" collapsed="false">
      <c r="A334" s="56" t="s">
        <v>1353</v>
      </c>
      <c r="B334" s="56" t="s">
        <v>1354</v>
      </c>
      <c r="C334" s="56" t="s">
        <v>75</v>
      </c>
      <c r="D334" s="56" t="str">
        <f aca="false">IFERROR(INDEX('Brand Map'!$B$4:$B$124,MATCH(C334,'Brand Map'!$A$4:$A$124,0)),"Other")</f>
        <v>AURP</v>
      </c>
      <c r="E334" s="57" t="n">
        <v>106</v>
      </c>
      <c r="F334" s="57" t="n">
        <v>4</v>
      </c>
      <c r="G334" s="58" t="n">
        <v>1860.69</v>
      </c>
      <c r="H334" s="58" t="n">
        <v>63.86</v>
      </c>
      <c r="I334" s="58" t="n">
        <v>1725.65</v>
      </c>
      <c r="J334" s="32" t="n">
        <f aca="false">IF(E334&gt;0,F334/E334,0)</f>
        <v>0.0377358490566038</v>
      </c>
      <c r="K334" s="32" t="n">
        <f aca="false">IF(G334&gt;0,H334/G334,0)</f>
        <v>0.034320601497294</v>
      </c>
      <c r="L334" s="59" t="n">
        <f aca="false">H334/Settings!$B$16</f>
        <v>0.000127625898872244</v>
      </c>
      <c r="M334" s="59" t="n">
        <f aca="false">H334/Settings!$B$20</f>
        <v>4.95773280087283E-006</v>
      </c>
      <c r="N334" s="60" t="n">
        <f aca="false">E334*Settings!$B$3</f>
        <v>3.28453201446096</v>
      </c>
      <c r="O334" s="60" t="n">
        <f aca="false">IF(E334&gt;0,(F334-N334)/SQRT(E334*Settings!$B$3*(1-Settings!$B$3)),0)</f>
        <v>0.401040713151107</v>
      </c>
      <c r="P334" s="60" t="n">
        <f aca="false">MAX(0,F334-N334)</f>
        <v>0.715467985539036</v>
      </c>
      <c r="Q334" s="32" t="n">
        <f aca="false">(F334+Settings!$B$7*Settings!$B$3)/(E334+Settings!$B$7)</f>
        <v>0.0362469450911369</v>
      </c>
      <c r="R334" s="61" t="n">
        <f aca="false">PERCENTRANK($H$2:$H$1780,H334,6)</f>
        <v>0.717098</v>
      </c>
      <c r="S334" s="61" t="n">
        <f aca="false">PERCENTRANK($Q$2:$Q$1780,Q334,6)</f>
        <v>0.784027</v>
      </c>
      <c r="T334" s="61" t="n">
        <f aca="false">PERCENTRANK($F$2:$F$1780,F334,6)</f>
        <v>0.871766</v>
      </c>
      <c r="U334" s="62" t="n">
        <f aca="false">IF(F334&gt;0,(Settings!$B$8*T334+Settings!$B$9*R334+Settings!$B$10*S334)/SUM(Settings!$B$8:$B$10),0)</f>
        <v>0.790963666666667</v>
      </c>
      <c r="V334" s="56" t="n">
        <f aca="false">IF(U334&gt;0,RANK(U334,$U$2:$U$1780)+COUNTIF($U$2:U334,U334)-1,"")</f>
        <v>333</v>
      </c>
      <c r="W334" s="56" t="str">
        <f aca="false">IF(V334="","",IF(V334&lt;=Settings!$B$11,"1 - Fix first",IF(V334&lt;=Settings!$B$12,"2 - Review","3 - Monitor")))</f>
        <v>3 - Monitor</v>
      </c>
      <c r="X334" s="56" t="str">
        <f aca="false">IF(AND(E334&gt;=Settings!$B$4,F334&gt;=Settings!$B$5,O334&gt;=Settings!$B$6),"HIGH RATE","")</f>
        <v/>
      </c>
      <c r="Y334" s="56" t="n">
        <f aca="false">IF(F334&gt;0,RANK(F334,$F$2:$F$1780)+COUNTIF($F$2:F334,F334)-1,"")</f>
        <v>227</v>
      </c>
      <c r="Z334" s="56" t="n">
        <f aca="false">IF(H334&gt;0,RANK(H334,$H$2:$H$1780)+COUNTIF($H$2:H334,H334)-1,"")</f>
        <v>504</v>
      </c>
      <c r="AA334" s="56" t="n">
        <f aca="false">IF(AC334="","",RANK(AC334,$AC$2:$AC$1780)+COUNTIF($AC$2:AC334,AC334)-1)</f>
        <v>211</v>
      </c>
      <c r="AB334" s="56" t="str">
        <f aca="false">IF(AD334="","",RANK(AD334,$AD$2:$AD$1780)+COUNTIF($AD$2:AD334,AD334)-1)</f>
        <v/>
      </c>
      <c r="AC334" s="32" t="n">
        <f aca="false">IF(AND(F334&gt;0,E334&gt;=Settings!$B$4),J334,"")</f>
        <v>0.0377358490566038</v>
      </c>
      <c r="AD334" s="56" t="str">
        <f aca="false">IF(X334="HIGH RATE",O334,"")</f>
        <v/>
      </c>
    </row>
    <row r="335" customFormat="false" ht="15" hidden="false" customHeight="false" outlineLevel="0" collapsed="false">
      <c r="A335" s="56" t="s">
        <v>1355</v>
      </c>
      <c r="B335" s="56" t="s">
        <v>1356</v>
      </c>
      <c r="C335" s="56" t="s">
        <v>87</v>
      </c>
      <c r="D335" s="56" t="str">
        <f aca="false">IFERROR(INDEX('Brand Map'!$B$4:$B$124,MATCH(C335,'Brand Map'!$A$4:$A$124,0)),"Other")</f>
        <v>FYF</v>
      </c>
      <c r="E335" s="57" t="n">
        <v>5</v>
      </c>
      <c r="F335" s="57" t="n">
        <v>1</v>
      </c>
      <c r="G335" s="58" t="n">
        <v>549.75</v>
      </c>
      <c r="H335" s="58" t="n">
        <v>109.95</v>
      </c>
      <c r="I335" s="58" t="n">
        <v>439.8</v>
      </c>
      <c r="J335" s="32" t="n">
        <f aca="false">IF(E335&gt;0,F335/E335,0)</f>
        <v>0.2</v>
      </c>
      <c r="K335" s="32" t="n">
        <f aca="false">IF(G335&gt;0,H335/G335,0)</f>
        <v>0.2</v>
      </c>
      <c r="L335" s="59" t="n">
        <f aca="false">H335/Settings!$B$16</f>
        <v>0.000219737982790529</v>
      </c>
      <c r="M335" s="59" t="n">
        <f aca="false">H335/Settings!$B$20</f>
        <v>8.53590230905054E-006</v>
      </c>
      <c r="N335" s="60" t="n">
        <f aca="false">E335*Settings!$B$3</f>
        <v>0.154930755399102</v>
      </c>
      <c r="O335" s="60" t="n">
        <f aca="false">IF(E335&gt;0,(F335-N335)/SQRT(E335*Settings!$B$3*(1-Settings!$B$3)),0)</f>
        <v>2.18101415975909</v>
      </c>
      <c r="P335" s="60" t="n">
        <f aca="false">MAX(0,F335-N335)</f>
        <v>0.845069244600898</v>
      </c>
      <c r="Q335" s="32" t="n">
        <f aca="false">(F335+Settings!$B$7*Settings!$B$3)/(E335+Settings!$B$7)</f>
        <v>0.0551309866398461</v>
      </c>
      <c r="R335" s="61" t="n">
        <f aca="false">PERCENTRANK($H$2:$H$1780,H335,6)</f>
        <v>0.766592</v>
      </c>
      <c r="S335" s="61" t="n">
        <f aca="false">PERCENTRANK($Q$2:$Q$1780,Q335,6)</f>
        <v>0.920697</v>
      </c>
      <c r="T335" s="61" t="n">
        <f aca="false">PERCENTRANK($F$2:$F$1780,F335,6)</f>
        <v>0.685039</v>
      </c>
      <c r="U335" s="62" t="n">
        <f aca="false">IF(F335&gt;0,(Settings!$B$8*T335+Settings!$B$9*R335+Settings!$B$10*S335)/SUM(Settings!$B$8:$B$10),0)</f>
        <v>0.790776</v>
      </c>
      <c r="V335" s="56" t="n">
        <f aca="false">IF(U335&gt;0,RANK(U335,$U$2:$U$1780)+COUNTIF($U$2:U335,U335)-1,"")</f>
        <v>334</v>
      </c>
      <c r="W335" s="56" t="str">
        <f aca="false">IF(V335="","",IF(V335&lt;=Settings!$B$11,"1 - Fix first",IF(V335&lt;=Settings!$B$12,"2 - Review","3 - Monitor")))</f>
        <v>3 - Monitor</v>
      </c>
      <c r="X335" s="56" t="str">
        <f aca="false">IF(AND(E335&gt;=Settings!$B$4,F335&gt;=Settings!$B$5,O335&gt;=Settings!$B$6),"HIGH RATE","")</f>
        <v/>
      </c>
      <c r="Y335" s="56" t="n">
        <f aca="false">IF(F335&gt;0,RANK(F335,$F$2:$F$1780)+COUNTIF($F$2:F335,F335)-1,"")</f>
        <v>393</v>
      </c>
      <c r="Z335" s="56" t="n">
        <f aca="false">IF(H335&gt;0,RANK(H335,$H$2:$H$1780)+COUNTIF($H$2:H335,H335)-1,"")</f>
        <v>411</v>
      </c>
      <c r="AA335" s="56" t="str">
        <f aca="false">IF(AC335="","",RANK(AC335,$AC$2:$AC$1780)+COUNTIF($AC$2:AC335,AC335)-1)</f>
        <v/>
      </c>
      <c r="AB335" s="56" t="str">
        <f aca="false">IF(AD335="","",RANK(AD335,$AD$2:$AD$1780)+COUNTIF($AD$2:AD335,AD335)-1)</f>
        <v/>
      </c>
      <c r="AC335" s="56" t="str">
        <f aca="false">IF(AND(F335&gt;0,E335&gt;=Settings!$B$4),J335,"")</f>
        <v/>
      </c>
      <c r="AD335" s="56" t="str">
        <f aca="false">IF(X335="HIGH RATE",O335,"")</f>
        <v/>
      </c>
    </row>
    <row r="336" customFormat="false" ht="15" hidden="false" customHeight="false" outlineLevel="0" collapsed="false">
      <c r="A336" s="56" t="s">
        <v>1357</v>
      </c>
      <c r="B336" s="56" t="s">
        <v>1358</v>
      </c>
      <c r="C336" s="56" t="s">
        <v>183</v>
      </c>
      <c r="D336" s="56" t="str">
        <f aca="false">IFERROR(INDEX('Brand Map'!$B$4:$B$124,MATCH(C336,'Brand Map'!$A$4:$A$124,0)),"Other")</f>
        <v>MDDC</v>
      </c>
      <c r="E336" s="57" t="n">
        <v>67</v>
      </c>
      <c r="F336" s="57" t="n">
        <v>2</v>
      </c>
      <c r="G336" s="58" t="n">
        <v>6675.34</v>
      </c>
      <c r="H336" s="58" t="n">
        <v>199.67</v>
      </c>
      <c r="I336" s="58" t="n">
        <v>6342.58</v>
      </c>
      <c r="J336" s="32" t="n">
        <f aca="false">IF(E336&gt;0,F336/E336,0)</f>
        <v>0.0298507462686567</v>
      </c>
      <c r="K336" s="32" t="n">
        <f aca="false">IF(G336&gt;0,H336/G336,0)</f>
        <v>0.0299115850278787</v>
      </c>
      <c r="L336" s="59" t="n">
        <f aca="false">H336/Settings!$B$16</f>
        <v>0.000399045775568758</v>
      </c>
      <c r="M336" s="59" t="n">
        <f aca="false">H336/Settings!$B$20</f>
        <v>1.5501260700756E-005</v>
      </c>
      <c r="N336" s="60" t="n">
        <f aca="false">E336*Settings!$B$3</f>
        <v>2.07607212234797</v>
      </c>
      <c r="O336" s="60" t="n">
        <f aca="false">IF(E336&gt;0,(F336-N336)/SQRT(E336*Settings!$B$3*(1-Settings!$B$3)),0)</f>
        <v>-0.0536338931597522</v>
      </c>
      <c r="P336" s="60" t="n">
        <f aca="false">MAX(0,F336-N336)</f>
        <v>0</v>
      </c>
      <c r="Q336" s="32" t="n">
        <f aca="false">(F336+Settings!$B$7*Settings!$B$3)/(E336+Settings!$B$7)</f>
        <v>0.0302019023958207</v>
      </c>
      <c r="R336" s="61" t="n">
        <f aca="false">PERCENTRANK($H$2:$H$1780,H336,6)</f>
        <v>0.828459</v>
      </c>
      <c r="S336" s="61" t="n">
        <f aca="false">PERCENTRANK($Q$2:$Q$1780,Q336,6)</f>
        <v>0.74297</v>
      </c>
      <c r="T336" s="61" t="n">
        <f aca="false">PERCENTRANK($F$2:$F$1780,F336,6)</f>
        <v>0.799775</v>
      </c>
      <c r="U336" s="62" t="n">
        <f aca="false">IF(F336&gt;0,(Settings!$B$8*T336+Settings!$B$9*R336+Settings!$B$10*S336)/SUM(Settings!$B$8:$B$10),0)</f>
        <v>0.790401333333333</v>
      </c>
      <c r="V336" s="56" t="n">
        <f aca="false">IF(U336&gt;0,RANK(U336,$U$2:$U$1780)+COUNTIF($U$2:U336,U336)-1,"")</f>
        <v>335</v>
      </c>
      <c r="W336" s="56" t="str">
        <f aca="false">IF(V336="","",IF(V336&lt;=Settings!$B$11,"1 - Fix first",IF(V336&lt;=Settings!$B$12,"2 - Review","3 - Monitor")))</f>
        <v>3 - Monitor</v>
      </c>
      <c r="X336" s="56" t="str">
        <f aca="false">IF(AND(E336&gt;=Settings!$B$4,F336&gt;=Settings!$B$5,O336&gt;=Settings!$B$6),"HIGH RATE","")</f>
        <v/>
      </c>
      <c r="Y336" s="56" t="n">
        <f aca="false">IF(F336&gt;0,RANK(F336,$F$2:$F$1780)+COUNTIF($F$2:F336,F336)-1,"")</f>
        <v>337</v>
      </c>
      <c r="Z336" s="56" t="n">
        <f aca="false">IF(H336&gt;0,RANK(H336,$H$2:$H$1780)+COUNTIF($H$2:H336,H336)-1,"")</f>
        <v>306</v>
      </c>
      <c r="AA336" s="56" t="n">
        <f aca="false">IF(AC336="","",RANK(AC336,$AC$2:$AC$1780)+COUNTIF($AC$2:AC336,AC336)-1)</f>
        <v>266</v>
      </c>
      <c r="AB336" s="56" t="str">
        <f aca="false">IF(AD336="","",RANK(AD336,$AD$2:$AD$1780)+COUNTIF($AD$2:AD336,AD336)-1)</f>
        <v/>
      </c>
      <c r="AC336" s="32" t="n">
        <f aca="false">IF(AND(F336&gt;0,E336&gt;=Settings!$B$4),J336,"")</f>
        <v>0.0298507462686567</v>
      </c>
      <c r="AD336" s="56" t="str">
        <f aca="false">IF(X336="HIGH RATE",O336,"")</f>
        <v/>
      </c>
    </row>
    <row r="337" customFormat="false" ht="15" hidden="false" customHeight="false" outlineLevel="0" collapsed="false">
      <c r="A337" s="56" t="s">
        <v>1359</v>
      </c>
      <c r="B337" s="56" t="s">
        <v>876</v>
      </c>
      <c r="C337" s="56" t="s">
        <v>55</v>
      </c>
      <c r="D337" s="56" t="str">
        <f aca="false">IFERROR(INDEX('Brand Map'!$B$4:$B$124,MATCH(C337,'Brand Map'!$A$4:$A$124,0)),"Other")</f>
        <v>AUMJ</v>
      </c>
      <c r="E337" s="57" t="n">
        <v>7</v>
      </c>
      <c r="F337" s="57" t="n">
        <v>1</v>
      </c>
      <c r="G337" s="58" t="n">
        <v>846.65</v>
      </c>
      <c r="H337" s="58" t="n">
        <v>120.95</v>
      </c>
      <c r="I337" s="58" t="n">
        <v>725.7</v>
      </c>
      <c r="J337" s="32" t="n">
        <f aca="false">IF(E337&gt;0,F337/E337,0)</f>
        <v>0.142857142857143</v>
      </c>
      <c r="K337" s="32" t="n">
        <f aca="false">IF(G337&gt;0,H337/G337,0)</f>
        <v>0.142857142857143</v>
      </c>
      <c r="L337" s="59" t="n">
        <f aca="false">H337/Settings!$B$16</f>
        <v>0.000241721773701814</v>
      </c>
      <c r="M337" s="59" t="n">
        <f aca="false">H337/Settings!$B$20</f>
        <v>9.38988071195692E-006</v>
      </c>
      <c r="N337" s="60" t="n">
        <f aca="false">E337*Settings!$B$3</f>
        <v>0.216903057558743</v>
      </c>
      <c r="O337" s="60" t="n">
        <f aca="false">IF(E337&gt;0,(F337-N337)/SQRT(E337*Settings!$B$3*(1-Settings!$B$3)),0)</f>
        <v>1.70811733149008</v>
      </c>
      <c r="P337" s="60" t="n">
        <f aca="false">MAX(0,F337-N337)</f>
        <v>0.783096942441257</v>
      </c>
      <c r="Q337" s="32" t="n">
        <f aca="false">(F337+Settings!$B$7*Settings!$B$3)/(E337+Settings!$B$7)</f>
        <v>0.0521509333079625</v>
      </c>
      <c r="R337" s="61" t="n">
        <f aca="false">PERCENTRANK($H$2:$H$1780,H337,6)</f>
        <v>0.78009</v>
      </c>
      <c r="S337" s="61" t="n">
        <f aca="false">PERCENTRANK($Q$2:$Q$1780,Q337,6)</f>
        <v>0.898763</v>
      </c>
      <c r="T337" s="61" t="n">
        <f aca="false">PERCENTRANK($F$2:$F$1780,F337,6)</f>
        <v>0.685039</v>
      </c>
      <c r="U337" s="62" t="n">
        <f aca="false">IF(F337&gt;0,(Settings!$B$8*T337+Settings!$B$9*R337+Settings!$B$10*S337)/SUM(Settings!$B$8:$B$10),0)</f>
        <v>0.787964</v>
      </c>
      <c r="V337" s="56" t="n">
        <f aca="false">IF(U337&gt;0,RANK(U337,$U$2:$U$1780)+COUNTIF($U$2:U337,U337)-1,"")</f>
        <v>336</v>
      </c>
      <c r="W337" s="56" t="str">
        <f aca="false">IF(V337="","",IF(V337&lt;=Settings!$B$11,"1 - Fix first",IF(V337&lt;=Settings!$B$12,"2 - Review","3 - Monitor")))</f>
        <v>3 - Monitor</v>
      </c>
      <c r="X337" s="56" t="str">
        <f aca="false">IF(AND(E337&gt;=Settings!$B$4,F337&gt;=Settings!$B$5,O337&gt;=Settings!$B$6),"HIGH RATE","")</f>
        <v/>
      </c>
      <c r="Y337" s="56" t="n">
        <f aca="false">IF(F337&gt;0,RANK(F337,$F$2:$F$1780)+COUNTIF($F$2:F337,F337)-1,"")</f>
        <v>394</v>
      </c>
      <c r="Z337" s="56" t="n">
        <f aca="false">IF(H337&gt;0,RANK(H337,$H$2:$H$1780)+COUNTIF($H$2:H337,H337)-1,"")</f>
        <v>392</v>
      </c>
      <c r="AA337" s="56" t="str">
        <f aca="false">IF(AC337="","",RANK(AC337,$AC$2:$AC$1780)+COUNTIF($AC$2:AC337,AC337)-1)</f>
        <v/>
      </c>
      <c r="AB337" s="56" t="str">
        <f aca="false">IF(AD337="","",RANK(AD337,$AD$2:$AD$1780)+COUNTIF($AD$2:AD337,AD337)-1)</f>
        <v/>
      </c>
      <c r="AC337" s="56" t="str">
        <f aca="false">IF(AND(F337&gt;0,E337&gt;=Settings!$B$4),J337,"")</f>
        <v/>
      </c>
      <c r="AD337" s="56" t="str">
        <f aca="false">IF(X337="HIGH RATE",O337,"")</f>
        <v/>
      </c>
    </row>
    <row r="338" customFormat="false" ht="15" hidden="false" customHeight="false" outlineLevel="0" collapsed="false">
      <c r="A338" s="56" t="s">
        <v>1360</v>
      </c>
      <c r="B338" s="56" t="s">
        <v>901</v>
      </c>
      <c r="C338" s="56" t="s">
        <v>87</v>
      </c>
      <c r="D338" s="56" t="str">
        <f aca="false">IFERROR(INDEX('Brand Map'!$B$4:$B$124,MATCH(C338,'Brand Map'!$A$4:$A$124,0)),"Other")</f>
        <v>FYF</v>
      </c>
      <c r="E338" s="57" t="n">
        <v>11</v>
      </c>
      <c r="F338" s="57" t="n">
        <v>1</v>
      </c>
      <c r="G338" s="58" t="n">
        <v>1858.45</v>
      </c>
      <c r="H338" s="58" t="n">
        <v>168.95</v>
      </c>
      <c r="I338" s="58" t="n">
        <v>1689.5</v>
      </c>
      <c r="J338" s="32" t="n">
        <f aca="false">IF(E338&gt;0,F338/E338,0)</f>
        <v>0.0909090909090909</v>
      </c>
      <c r="K338" s="32" t="n">
        <f aca="false">IF(G338&gt;0,H338/G338,0)</f>
        <v>0.0909090909090909</v>
      </c>
      <c r="L338" s="59" t="n">
        <f aca="false">H338/Settings!$B$16</f>
        <v>0.000337651043132877</v>
      </c>
      <c r="M338" s="59" t="n">
        <f aca="false">H338/Settings!$B$20</f>
        <v>1.31163319246393E-005</v>
      </c>
      <c r="N338" s="60" t="n">
        <f aca="false">E338*Settings!$B$3</f>
        <v>0.340847661878025</v>
      </c>
      <c r="O338" s="60" t="n">
        <f aca="false">IF(E338&gt;0,(F338-N338)/SQRT(E338*Settings!$B$3*(1-Settings!$B$3)),0)</f>
        <v>1.14693985782354</v>
      </c>
      <c r="P338" s="60" t="n">
        <f aca="false">MAX(0,F338-N338)</f>
        <v>0.659152338121975</v>
      </c>
      <c r="Q338" s="32" t="n">
        <f aca="false">(F338+Settings!$B$7*Settings!$B$3)/(E338+Settings!$B$7)</f>
        <v>0.0470630373754784</v>
      </c>
      <c r="R338" s="61" t="n">
        <f aca="false">PERCENTRANK($H$2:$H$1780,H338,6)</f>
        <v>0.816085</v>
      </c>
      <c r="S338" s="61" t="n">
        <f aca="false">PERCENTRANK($Q$2:$Q$1780,Q338,6)</f>
        <v>0.862205</v>
      </c>
      <c r="T338" s="61" t="n">
        <f aca="false">PERCENTRANK($F$2:$F$1780,F338,6)</f>
        <v>0.685039</v>
      </c>
      <c r="U338" s="62" t="n">
        <f aca="false">IF(F338&gt;0,(Settings!$B$8*T338+Settings!$B$9*R338+Settings!$B$10*S338)/SUM(Settings!$B$8:$B$10),0)</f>
        <v>0.787776333333333</v>
      </c>
      <c r="V338" s="56" t="n">
        <f aca="false">IF(U338&gt;0,RANK(U338,$U$2:$U$1780)+COUNTIF($U$2:U338,U338)-1,"")</f>
        <v>337</v>
      </c>
      <c r="W338" s="56" t="str">
        <f aca="false">IF(V338="","",IF(V338&lt;=Settings!$B$11,"1 - Fix first",IF(V338&lt;=Settings!$B$12,"2 - Review","3 - Monitor")))</f>
        <v>3 - Monitor</v>
      </c>
      <c r="X338" s="56" t="str">
        <f aca="false">IF(AND(E338&gt;=Settings!$B$4,F338&gt;=Settings!$B$5,O338&gt;=Settings!$B$6),"HIGH RATE","")</f>
        <v/>
      </c>
      <c r="Y338" s="56" t="n">
        <f aca="false">IF(F338&gt;0,RANK(F338,$F$2:$F$1780)+COUNTIF($F$2:F338,F338)-1,"")</f>
        <v>395</v>
      </c>
      <c r="Z338" s="56" t="n">
        <f aca="false">IF(H338&gt;0,RANK(H338,$H$2:$H$1780)+COUNTIF($H$2:H338,H338)-1,"")</f>
        <v>328</v>
      </c>
      <c r="AA338" s="56" t="str">
        <f aca="false">IF(AC338="","",RANK(AC338,$AC$2:$AC$1780)+COUNTIF($AC$2:AC338,AC338)-1)</f>
        <v/>
      </c>
      <c r="AB338" s="56" t="str">
        <f aca="false">IF(AD338="","",RANK(AD338,$AD$2:$AD$1780)+COUNTIF($AD$2:AD338,AD338)-1)</f>
        <v/>
      </c>
      <c r="AC338" s="56" t="str">
        <f aca="false">IF(AND(F338&gt;0,E338&gt;=Settings!$B$4),J338,"")</f>
        <v/>
      </c>
      <c r="AD338" s="56" t="str">
        <f aca="false">IF(X338="HIGH RATE",O338,"")</f>
        <v/>
      </c>
    </row>
    <row r="339" customFormat="false" ht="15" hidden="false" customHeight="false" outlineLevel="0" collapsed="false">
      <c r="A339" s="56" t="s">
        <v>1361</v>
      </c>
      <c r="B339" s="56" t="s">
        <v>914</v>
      </c>
      <c r="C339" s="56" t="s">
        <v>55</v>
      </c>
      <c r="D339" s="56" t="str">
        <f aca="false">IFERROR(INDEX('Brand Map'!$B$4:$B$124,MATCH(C339,'Brand Map'!$A$4:$A$124,0)),"Other")</f>
        <v>AUMJ</v>
      </c>
      <c r="E339" s="57" t="n">
        <v>66</v>
      </c>
      <c r="F339" s="57" t="n">
        <v>2</v>
      </c>
      <c r="G339" s="58" t="n">
        <v>5043.16</v>
      </c>
      <c r="H339" s="58" t="n">
        <v>169.9</v>
      </c>
      <c r="I339" s="58" t="n">
        <v>4803.34</v>
      </c>
      <c r="J339" s="32" t="n">
        <f aca="false">IF(E339&gt;0,F339/E339,0)</f>
        <v>0.0303030303030303</v>
      </c>
      <c r="K339" s="32" t="n">
        <f aca="false">IF(G339&gt;0,H339/G339,0)</f>
        <v>0.0336891948698832</v>
      </c>
      <c r="L339" s="59" t="n">
        <f aca="false">H339/Settings!$B$16</f>
        <v>0.000339549643257034</v>
      </c>
      <c r="M339" s="59" t="n">
        <f aca="false">H339/Settings!$B$20</f>
        <v>1.31900846048903E-005</v>
      </c>
      <c r="N339" s="60" t="n">
        <f aca="false">E339*Settings!$B$3</f>
        <v>2.04508597126815</v>
      </c>
      <c r="O339" s="60" t="n">
        <f aca="false">IF(E339&gt;0,(F339-N339)/SQRT(E339*Settings!$B$3*(1-Settings!$B$3)),0)</f>
        <v>-0.0320273239917928</v>
      </c>
      <c r="P339" s="60" t="n">
        <f aca="false">MAX(0,F339-N339)</f>
        <v>0</v>
      </c>
      <c r="Q339" s="32" t="n">
        <f aca="false">(F339+Settings!$B$7*Settings!$B$3)/(E339+Settings!$B$7)</f>
        <v>0.0305165055457772</v>
      </c>
      <c r="R339" s="61" t="n">
        <f aca="false">PERCENTRANK($H$2:$H$1780,H339,6)</f>
        <v>0.816648</v>
      </c>
      <c r="S339" s="61" t="n">
        <f aca="false">PERCENTRANK($Q$2:$Q$1780,Q339,6)</f>
        <v>0.744657</v>
      </c>
      <c r="T339" s="61" t="n">
        <f aca="false">PERCENTRANK($F$2:$F$1780,F339,6)</f>
        <v>0.799775</v>
      </c>
      <c r="U339" s="62" t="n">
        <f aca="false">IF(F339&gt;0,(Settings!$B$8*T339+Settings!$B$9*R339+Settings!$B$10*S339)/SUM(Settings!$B$8:$B$10),0)</f>
        <v>0.787026666666667</v>
      </c>
      <c r="V339" s="56" t="n">
        <f aca="false">IF(U339&gt;0,RANK(U339,$U$2:$U$1780)+COUNTIF($U$2:U339,U339)-1,"")</f>
        <v>338</v>
      </c>
      <c r="W339" s="56" t="str">
        <f aca="false">IF(V339="","",IF(V339&lt;=Settings!$B$11,"1 - Fix first",IF(V339&lt;=Settings!$B$12,"2 - Review","3 - Monitor")))</f>
        <v>3 - Monitor</v>
      </c>
      <c r="X339" s="56" t="str">
        <f aca="false">IF(AND(E339&gt;=Settings!$B$4,F339&gt;=Settings!$B$5,O339&gt;=Settings!$B$6),"HIGH RATE","")</f>
        <v/>
      </c>
      <c r="Y339" s="56" t="n">
        <f aca="false">IF(F339&gt;0,RANK(F339,$F$2:$F$1780)+COUNTIF($F$2:F339,F339)-1,"")</f>
        <v>338</v>
      </c>
      <c r="Z339" s="56" t="n">
        <f aca="false">IF(H339&gt;0,RANK(H339,$H$2:$H$1780)+COUNTIF($H$2:H339,H339)-1,"")</f>
        <v>327</v>
      </c>
      <c r="AA339" s="56" t="n">
        <f aca="false">IF(AC339="","",RANK(AC339,$AC$2:$AC$1780)+COUNTIF($AC$2:AC339,AC339)-1)</f>
        <v>260</v>
      </c>
      <c r="AB339" s="56" t="str">
        <f aca="false">IF(AD339="","",RANK(AD339,$AD$2:$AD$1780)+COUNTIF($AD$2:AD339,AD339)-1)</f>
        <v/>
      </c>
      <c r="AC339" s="32" t="n">
        <f aca="false">IF(AND(F339&gt;0,E339&gt;=Settings!$B$4),J339,"")</f>
        <v>0.0303030303030303</v>
      </c>
      <c r="AD339" s="56" t="str">
        <f aca="false">IF(X339="HIGH RATE",O339,"")</f>
        <v/>
      </c>
    </row>
    <row r="340" customFormat="false" ht="15" hidden="false" customHeight="false" outlineLevel="0" collapsed="false">
      <c r="A340" s="56" t="s">
        <v>1362</v>
      </c>
      <c r="B340" s="56" t="s">
        <v>1363</v>
      </c>
      <c r="C340" s="56" t="s">
        <v>51</v>
      </c>
      <c r="D340" s="56" t="str">
        <f aca="false">IFERROR(INDEX('Brand Map'!$B$4:$B$124,MATCH(C340,'Brand Map'!$A$4:$A$124,0)),"Other")</f>
        <v>AU</v>
      </c>
      <c r="E340" s="57" t="n">
        <v>7</v>
      </c>
      <c r="F340" s="57" t="n">
        <v>1</v>
      </c>
      <c r="G340" s="58" t="n">
        <v>865.12</v>
      </c>
      <c r="H340" s="58" t="n">
        <v>118.14</v>
      </c>
      <c r="I340" s="58" t="n">
        <v>733.99</v>
      </c>
      <c r="J340" s="32" t="n">
        <f aca="false">IF(E340&gt;0,F340/E340,0)</f>
        <v>0.142857142857143</v>
      </c>
      <c r="K340" s="32" t="n">
        <f aca="false">IF(G340&gt;0,H340/G340,0)</f>
        <v>0.13655909006843</v>
      </c>
      <c r="L340" s="59" t="n">
        <f aca="false">H340/Settings!$B$16</f>
        <v>0.000236105914387204</v>
      </c>
      <c r="M340" s="59" t="n">
        <f aca="false">H340/Settings!$B$20</f>
        <v>9.17172804721447E-006</v>
      </c>
      <c r="N340" s="60" t="n">
        <f aca="false">E340*Settings!$B$3</f>
        <v>0.216903057558743</v>
      </c>
      <c r="O340" s="60" t="n">
        <f aca="false">IF(E340&gt;0,(F340-N340)/SQRT(E340*Settings!$B$3*(1-Settings!$B$3)),0)</f>
        <v>1.70811733149008</v>
      </c>
      <c r="P340" s="60" t="n">
        <f aca="false">MAX(0,F340-N340)</f>
        <v>0.783096942441257</v>
      </c>
      <c r="Q340" s="32" t="n">
        <f aca="false">(F340+Settings!$B$7*Settings!$B$3)/(E340+Settings!$B$7)</f>
        <v>0.0521509333079625</v>
      </c>
      <c r="R340" s="61" t="n">
        <f aca="false">PERCENTRANK($H$2:$H$1780,H340,6)</f>
        <v>0.777278</v>
      </c>
      <c r="S340" s="61" t="n">
        <f aca="false">PERCENTRANK($Q$2:$Q$1780,Q340,6)</f>
        <v>0.898763</v>
      </c>
      <c r="T340" s="61" t="n">
        <f aca="false">PERCENTRANK($F$2:$F$1780,F340,6)</f>
        <v>0.685039</v>
      </c>
      <c r="U340" s="62" t="n">
        <f aca="false">IF(F340&gt;0,(Settings!$B$8*T340+Settings!$B$9*R340+Settings!$B$10*S340)/SUM(Settings!$B$8:$B$10),0)</f>
        <v>0.787026666666667</v>
      </c>
      <c r="V340" s="56" t="n">
        <f aca="false">IF(U340&gt;0,RANK(U340,$U$2:$U$1780)+COUNTIF($U$2:U340,U340)-1,"")</f>
        <v>339</v>
      </c>
      <c r="W340" s="56" t="str">
        <f aca="false">IF(V340="","",IF(V340&lt;=Settings!$B$11,"1 - Fix first",IF(V340&lt;=Settings!$B$12,"2 - Review","3 - Monitor")))</f>
        <v>3 - Monitor</v>
      </c>
      <c r="X340" s="56" t="str">
        <f aca="false">IF(AND(E340&gt;=Settings!$B$4,F340&gt;=Settings!$B$5,O340&gt;=Settings!$B$6),"HIGH RATE","")</f>
        <v/>
      </c>
      <c r="Y340" s="56" t="n">
        <f aca="false">IF(F340&gt;0,RANK(F340,$F$2:$F$1780)+COUNTIF($F$2:F340,F340)-1,"")</f>
        <v>396</v>
      </c>
      <c r="Z340" s="56" t="n">
        <f aca="false">IF(H340&gt;0,RANK(H340,$H$2:$H$1780)+COUNTIF($H$2:H340,H340)-1,"")</f>
        <v>397</v>
      </c>
      <c r="AA340" s="56" t="str">
        <f aca="false">IF(AC340="","",RANK(AC340,$AC$2:$AC$1780)+COUNTIF($AC$2:AC340,AC340)-1)</f>
        <v/>
      </c>
      <c r="AB340" s="56" t="str">
        <f aca="false">IF(AD340="","",RANK(AD340,$AD$2:$AD$1780)+COUNTIF($AD$2:AD340,AD340)-1)</f>
        <v/>
      </c>
      <c r="AC340" s="56" t="str">
        <f aca="false">IF(AND(F340&gt;0,E340&gt;=Settings!$B$4),J340,"")</f>
        <v/>
      </c>
      <c r="AD340" s="56" t="str">
        <f aca="false">IF(X340="HIGH RATE",O340,"")</f>
        <v/>
      </c>
    </row>
    <row r="341" customFormat="false" ht="15" hidden="false" customHeight="false" outlineLevel="0" collapsed="false">
      <c r="A341" s="56" t="s">
        <v>1364</v>
      </c>
      <c r="B341" s="56" t="s">
        <v>1365</v>
      </c>
      <c r="C341" s="56" t="s">
        <v>51</v>
      </c>
      <c r="D341" s="56" t="str">
        <f aca="false">IFERROR(INDEX('Brand Map'!$B$4:$B$124,MATCH(C341,'Brand Map'!$A$4:$A$124,0)),"Other")</f>
        <v>AU</v>
      </c>
      <c r="E341" s="57" t="n">
        <v>5</v>
      </c>
      <c r="F341" s="57" t="n">
        <v>1</v>
      </c>
      <c r="G341" s="58" t="n">
        <v>527.03</v>
      </c>
      <c r="H341" s="58" t="n">
        <v>99.95</v>
      </c>
      <c r="I341" s="58" t="n">
        <v>427.08</v>
      </c>
      <c r="J341" s="32" t="n">
        <f aca="false">IF(E341&gt;0,F341/E341,0)</f>
        <v>0.2</v>
      </c>
      <c r="K341" s="32" t="n">
        <f aca="false">IF(G341&gt;0,H341/G341,0)</f>
        <v>0.189647648141472</v>
      </c>
      <c r="L341" s="59" t="n">
        <f aca="false">H341/Settings!$B$16</f>
        <v>0.000199752718325724</v>
      </c>
      <c r="M341" s="59" t="n">
        <f aca="false">H341/Settings!$B$20</f>
        <v>7.75955830640839E-006</v>
      </c>
      <c r="N341" s="60" t="n">
        <f aca="false">E341*Settings!$B$3</f>
        <v>0.154930755399102</v>
      </c>
      <c r="O341" s="60" t="n">
        <f aca="false">IF(E341&gt;0,(F341-N341)/SQRT(E341*Settings!$B$3*(1-Settings!$B$3)),0)</f>
        <v>2.18101415975909</v>
      </c>
      <c r="P341" s="60" t="n">
        <f aca="false">MAX(0,F341-N341)</f>
        <v>0.845069244600898</v>
      </c>
      <c r="Q341" s="32" t="n">
        <f aca="false">(F341+Settings!$B$7*Settings!$B$3)/(E341+Settings!$B$7)</f>
        <v>0.0551309866398461</v>
      </c>
      <c r="R341" s="61" t="n">
        <f aca="false">PERCENTRANK($H$2:$H$1780,H341,6)</f>
        <v>0.754781</v>
      </c>
      <c r="S341" s="61" t="n">
        <f aca="false">PERCENTRANK($Q$2:$Q$1780,Q341,6)</f>
        <v>0.920697</v>
      </c>
      <c r="T341" s="61" t="n">
        <f aca="false">PERCENTRANK($F$2:$F$1780,F341,6)</f>
        <v>0.685039</v>
      </c>
      <c r="U341" s="62" t="n">
        <f aca="false">IF(F341&gt;0,(Settings!$B$8*T341+Settings!$B$9*R341+Settings!$B$10*S341)/SUM(Settings!$B$8:$B$10),0)</f>
        <v>0.786839</v>
      </c>
      <c r="V341" s="56" t="n">
        <f aca="false">IF(U341&gt;0,RANK(U341,$U$2:$U$1780)+COUNTIF($U$2:U341,U341)-1,"")</f>
        <v>340</v>
      </c>
      <c r="W341" s="56" t="str">
        <f aca="false">IF(V341="","",IF(V341&lt;=Settings!$B$11,"1 - Fix first",IF(V341&lt;=Settings!$B$12,"2 - Review","3 - Monitor")))</f>
        <v>3 - Monitor</v>
      </c>
      <c r="X341" s="56" t="str">
        <f aca="false">IF(AND(E341&gt;=Settings!$B$4,F341&gt;=Settings!$B$5,O341&gt;=Settings!$B$6),"HIGH RATE","")</f>
        <v/>
      </c>
      <c r="Y341" s="56" t="n">
        <f aca="false">IF(F341&gt;0,RANK(F341,$F$2:$F$1780)+COUNTIF($F$2:F341,F341)-1,"")</f>
        <v>397</v>
      </c>
      <c r="Z341" s="56" t="n">
        <f aca="false">IF(H341&gt;0,RANK(H341,$H$2:$H$1780)+COUNTIF($H$2:H341,H341)-1,"")</f>
        <v>430</v>
      </c>
      <c r="AA341" s="56" t="str">
        <f aca="false">IF(AC341="","",RANK(AC341,$AC$2:$AC$1780)+COUNTIF($AC$2:AC341,AC341)-1)</f>
        <v/>
      </c>
      <c r="AB341" s="56" t="str">
        <f aca="false">IF(AD341="","",RANK(AD341,$AD$2:$AD$1780)+COUNTIF($AD$2:AD341,AD341)-1)</f>
        <v/>
      </c>
      <c r="AC341" s="56" t="str">
        <f aca="false">IF(AND(F341&gt;0,E341&gt;=Settings!$B$4),J341,"")</f>
        <v/>
      </c>
      <c r="AD341" s="56" t="str">
        <f aca="false">IF(X341="HIGH RATE",O341,"")</f>
        <v/>
      </c>
    </row>
    <row r="342" customFormat="false" ht="15" hidden="false" customHeight="false" outlineLevel="0" collapsed="false">
      <c r="A342" s="56" t="s">
        <v>1366</v>
      </c>
      <c r="B342" s="56" t="s">
        <v>1367</v>
      </c>
      <c r="C342" s="56" t="s">
        <v>87</v>
      </c>
      <c r="D342" s="56" t="str">
        <f aca="false">IFERROR(INDEX('Brand Map'!$B$4:$B$124,MATCH(C342,'Brand Map'!$A$4:$A$124,0)),"Other")</f>
        <v>FYF</v>
      </c>
      <c r="E342" s="57" t="n">
        <v>9</v>
      </c>
      <c r="F342" s="57" t="n">
        <v>1</v>
      </c>
      <c r="G342" s="58" t="n">
        <v>1169.55</v>
      </c>
      <c r="H342" s="58" t="n">
        <v>129.95</v>
      </c>
      <c r="I342" s="58" t="n">
        <v>1039.6</v>
      </c>
      <c r="J342" s="32" t="n">
        <f aca="false">IF(E342&gt;0,F342/E342,0)</f>
        <v>0.111111111111111</v>
      </c>
      <c r="K342" s="32" t="n">
        <f aca="false">IF(G342&gt;0,H342/G342,0)</f>
        <v>0.111111111111111</v>
      </c>
      <c r="L342" s="59" t="n">
        <f aca="false">H342/Settings!$B$16</f>
        <v>0.000259708511720138</v>
      </c>
      <c r="M342" s="59" t="n">
        <f aca="false">H342/Settings!$B$20</f>
        <v>1.00885903143349E-005</v>
      </c>
      <c r="N342" s="60" t="n">
        <f aca="false">E342*Settings!$B$3</f>
        <v>0.278875359718384</v>
      </c>
      <c r="O342" s="60" t="n">
        <f aca="false">IF(E342&gt;0,(F342-N342)/SQRT(E342*Settings!$B$3*(1-Settings!$B$3)),0)</f>
        <v>1.38720380579105</v>
      </c>
      <c r="P342" s="60" t="n">
        <f aca="false">MAX(0,F342-N342)</f>
        <v>0.721124640281616</v>
      </c>
      <c r="Q342" s="32" t="n">
        <f aca="false">(F342+Settings!$B$7*Settings!$B$3)/(E342+Settings!$B$7)</f>
        <v>0.0494765264716567</v>
      </c>
      <c r="R342" s="61" t="n">
        <f aca="false">PERCENTRANK($H$2:$H$1780,H342,6)</f>
        <v>0.790776</v>
      </c>
      <c r="S342" s="61" t="n">
        <f aca="false">PERCENTRANK($Q$2:$Q$1780,Q342,6)</f>
        <v>0.882452</v>
      </c>
      <c r="T342" s="61" t="n">
        <f aca="false">PERCENTRANK($F$2:$F$1780,F342,6)</f>
        <v>0.685039</v>
      </c>
      <c r="U342" s="62" t="n">
        <f aca="false">IF(F342&gt;0,(Settings!$B$8*T342+Settings!$B$9*R342+Settings!$B$10*S342)/SUM(Settings!$B$8:$B$10),0)</f>
        <v>0.786089</v>
      </c>
      <c r="V342" s="56" t="n">
        <f aca="false">IF(U342&gt;0,RANK(U342,$U$2:$U$1780)+COUNTIF($U$2:U342,U342)-1,"")</f>
        <v>341</v>
      </c>
      <c r="W342" s="56" t="str">
        <f aca="false">IF(V342="","",IF(V342&lt;=Settings!$B$11,"1 - Fix first",IF(V342&lt;=Settings!$B$12,"2 - Review","3 - Monitor")))</f>
        <v>3 - Monitor</v>
      </c>
      <c r="X342" s="56" t="str">
        <f aca="false">IF(AND(E342&gt;=Settings!$B$4,F342&gt;=Settings!$B$5,O342&gt;=Settings!$B$6),"HIGH RATE","")</f>
        <v/>
      </c>
      <c r="Y342" s="56" t="n">
        <f aca="false">IF(F342&gt;0,RANK(F342,$F$2:$F$1780)+COUNTIF($F$2:F342,F342)-1,"")</f>
        <v>398</v>
      </c>
      <c r="Z342" s="56" t="n">
        <f aca="false">IF(H342&gt;0,RANK(H342,$H$2:$H$1780)+COUNTIF($H$2:H342,H342)-1,"")</f>
        <v>373</v>
      </c>
      <c r="AA342" s="56" t="str">
        <f aca="false">IF(AC342="","",RANK(AC342,$AC$2:$AC$1780)+COUNTIF($AC$2:AC342,AC342)-1)</f>
        <v/>
      </c>
      <c r="AB342" s="56" t="str">
        <f aca="false">IF(AD342="","",RANK(AD342,$AD$2:$AD$1780)+COUNTIF($AD$2:AD342,AD342)-1)</f>
        <v/>
      </c>
      <c r="AC342" s="56" t="str">
        <f aca="false">IF(AND(F342&gt;0,E342&gt;=Settings!$B$4),J342,"")</f>
        <v/>
      </c>
      <c r="AD342" s="56" t="str">
        <f aca="false">IF(X342="HIGH RATE",O342,"")</f>
        <v/>
      </c>
    </row>
    <row r="343" customFormat="false" ht="15" hidden="false" customHeight="false" outlineLevel="0" collapsed="false">
      <c r="A343" s="56" t="s">
        <v>301</v>
      </c>
      <c r="B343" s="56" t="s">
        <v>1368</v>
      </c>
      <c r="C343" s="56" t="s">
        <v>71</v>
      </c>
      <c r="D343" s="56" t="str">
        <f aca="false">IFERROR(INDEX('Brand Map'!$B$4:$B$124,MATCH(C343,'Brand Map'!$A$4:$A$124,0)),"Other")</f>
        <v>GF</v>
      </c>
      <c r="E343" s="57" t="n">
        <v>52</v>
      </c>
      <c r="F343" s="57" t="n">
        <v>2</v>
      </c>
      <c r="G343" s="58" t="n">
        <v>3575.36</v>
      </c>
      <c r="H343" s="58" t="n">
        <v>117.64</v>
      </c>
      <c r="I343" s="58" t="n">
        <v>3350.68</v>
      </c>
      <c r="J343" s="32" t="n">
        <f aca="false">IF(E343&gt;0,F343/E343,0)</f>
        <v>0.0384615384615385</v>
      </c>
      <c r="K343" s="32" t="n">
        <f aca="false">IF(G343&gt;0,H343/G343,0)</f>
        <v>0.0329029803991766</v>
      </c>
      <c r="L343" s="59" t="n">
        <f aca="false">H343/Settings!$B$16</f>
        <v>0.000235106651163964</v>
      </c>
      <c r="M343" s="59" t="n">
        <f aca="false">H343/Settings!$B$20</f>
        <v>9.13291084708236E-006</v>
      </c>
      <c r="N343" s="60" t="n">
        <f aca="false">E343*Settings!$B$3</f>
        <v>1.61127985615066</v>
      </c>
      <c r="O343" s="60" t="n">
        <f aca="false">IF(E343&gt;0,(F343-N343)/SQRT(E343*Settings!$B$3*(1-Settings!$B$3)),0)</f>
        <v>0.31109036893207</v>
      </c>
      <c r="P343" s="60" t="n">
        <f aca="false">MAX(0,F343-N343)</f>
        <v>0.388720143849338</v>
      </c>
      <c r="Q343" s="32" t="n">
        <f aca="false">(F343+Settings!$B$7*Settings!$B$3)/(E343+Settings!$B$7)</f>
        <v>0.0357266406389587</v>
      </c>
      <c r="R343" s="61" t="n">
        <f aca="false">PERCENTRANK($H$2:$H$1780,H343,6)</f>
        <v>0.776153</v>
      </c>
      <c r="S343" s="61" t="n">
        <f aca="false">PERCENTRANK($Q$2:$Q$1780,Q343,6)</f>
        <v>0.778965</v>
      </c>
      <c r="T343" s="61" t="n">
        <f aca="false">PERCENTRANK($F$2:$F$1780,F343,6)</f>
        <v>0.799775</v>
      </c>
      <c r="U343" s="62" t="n">
        <f aca="false">IF(F343&gt;0,(Settings!$B$8*T343+Settings!$B$9*R343+Settings!$B$10*S343)/SUM(Settings!$B$8:$B$10),0)</f>
        <v>0.784964333333333</v>
      </c>
      <c r="V343" s="56" t="n">
        <f aca="false">IF(U343&gt;0,RANK(U343,$U$2:$U$1780)+COUNTIF($U$2:U343,U343)-1,"")</f>
        <v>342</v>
      </c>
      <c r="W343" s="56" t="str">
        <f aca="false">IF(V343="","",IF(V343&lt;=Settings!$B$11,"1 - Fix first",IF(V343&lt;=Settings!$B$12,"2 - Review","3 - Monitor")))</f>
        <v>3 - Monitor</v>
      </c>
      <c r="X343" s="56" t="str">
        <f aca="false">IF(AND(E343&gt;=Settings!$B$4,F343&gt;=Settings!$B$5,O343&gt;=Settings!$B$6),"HIGH RATE","")</f>
        <v/>
      </c>
      <c r="Y343" s="56" t="n">
        <f aca="false">IF(F343&gt;0,RANK(F343,$F$2:$F$1780)+COUNTIF($F$2:F343,F343)-1,"")</f>
        <v>339</v>
      </c>
      <c r="Z343" s="56" t="n">
        <f aca="false">IF(H343&gt;0,RANK(H343,$H$2:$H$1780)+COUNTIF($H$2:H343,H343)-1,"")</f>
        <v>399</v>
      </c>
      <c r="AA343" s="56" t="n">
        <f aca="false">IF(AC343="","",RANK(AC343,$AC$2:$AC$1780)+COUNTIF($AC$2:AC343,AC343)-1)</f>
        <v>207</v>
      </c>
      <c r="AB343" s="56" t="str">
        <f aca="false">IF(AD343="","",RANK(AD343,$AD$2:$AD$1780)+COUNTIF($AD$2:AD343,AD343)-1)</f>
        <v/>
      </c>
      <c r="AC343" s="32" t="n">
        <f aca="false">IF(AND(F343&gt;0,E343&gt;=Settings!$B$4),J343,"")</f>
        <v>0.0384615384615385</v>
      </c>
      <c r="AD343" s="56" t="str">
        <f aca="false">IF(X343="HIGH RATE",O343,"")</f>
        <v/>
      </c>
    </row>
    <row r="344" customFormat="false" ht="15" hidden="false" customHeight="false" outlineLevel="0" collapsed="false">
      <c r="A344" s="56" t="s">
        <v>1369</v>
      </c>
      <c r="B344" s="56" t="s">
        <v>1356</v>
      </c>
      <c r="C344" s="56" t="s">
        <v>87</v>
      </c>
      <c r="D344" s="56" t="str">
        <f aca="false">IFERROR(INDEX('Brand Map'!$B$4:$B$124,MATCH(C344,'Brand Map'!$A$4:$A$124,0)),"Other")</f>
        <v>FYF</v>
      </c>
      <c r="E344" s="57" t="n">
        <v>5</v>
      </c>
      <c r="F344" s="57" t="n">
        <v>1</v>
      </c>
      <c r="G344" s="58" t="n">
        <v>474.75</v>
      </c>
      <c r="H344" s="58" t="n">
        <v>94.95</v>
      </c>
      <c r="I344" s="58" t="n">
        <v>379.8</v>
      </c>
      <c r="J344" s="32" t="n">
        <f aca="false">IF(E344&gt;0,F344/E344,0)</f>
        <v>0.2</v>
      </c>
      <c r="K344" s="32" t="n">
        <f aca="false">IF(G344&gt;0,H344/G344,0)</f>
        <v>0.2</v>
      </c>
      <c r="L344" s="59" t="n">
        <f aca="false">H344/Settings!$B$16</f>
        <v>0.000189760086093322</v>
      </c>
      <c r="M344" s="59" t="n">
        <f aca="false">H344/Settings!$B$20</f>
        <v>7.3713863050873E-006</v>
      </c>
      <c r="N344" s="60" t="n">
        <f aca="false">E344*Settings!$B$3</f>
        <v>0.154930755399102</v>
      </c>
      <c r="O344" s="60" t="n">
        <f aca="false">IF(E344&gt;0,(F344-N344)/SQRT(E344*Settings!$B$3*(1-Settings!$B$3)),0)</f>
        <v>2.18101415975909</v>
      </c>
      <c r="P344" s="60" t="n">
        <f aca="false">MAX(0,F344-N344)</f>
        <v>0.845069244600898</v>
      </c>
      <c r="Q344" s="32" t="n">
        <f aca="false">(F344+Settings!$B$7*Settings!$B$3)/(E344+Settings!$B$7)</f>
        <v>0.0551309866398461</v>
      </c>
      <c r="R344" s="61" t="n">
        <f aca="false">PERCENTRANK($H$2:$H$1780,H344,6)</f>
        <v>0.748594</v>
      </c>
      <c r="S344" s="61" t="n">
        <f aca="false">PERCENTRANK($Q$2:$Q$1780,Q344,6)</f>
        <v>0.920697</v>
      </c>
      <c r="T344" s="61" t="n">
        <f aca="false">PERCENTRANK($F$2:$F$1780,F344,6)</f>
        <v>0.685039</v>
      </c>
      <c r="U344" s="62" t="n">
        <f aca="false">IF(F344&gt;0,(Settings!$B$8*T344+Settings!$B$9*R344+Settings!$B$10*S344)/SUM(Settings!$B$8:$B$10),0)</f>
        <v>0.784776666666667</v>
      </c>
      <c r="V344" s="56" t="n">
        <f aca="false">IF(U344&gt;0,RANK(U344,$U$2:$U$1780)+COUNTIF($U$2:U344,U344)-1,"")</f>
        <v>343</v>
      </c>
      <c r="W344" s="56" t="str">
        <f aca="false">IF(V344="","",IF(V344&lt;=Settings!$B$11,"1 - Fix first",IF(V344&lt;=Settings!$B$12,"2 - Review","3 - Monitor")))</f>
        <v>3 - Monitor</v>
      </c>
      <c r="X344" s="56" t="str">
        <f aca="false">IF(AND(E344&gt;=Settings!$B$4,F344&gt;=Settings!$B$5,O344&gt;=Settings!$B$6),"HIGH RATE","")</f>
        <v/>
      </c>
      <c r="Y344" s="56" t="n">
        <f aca="false">IF(F344&gt;0,RANK(F344,$F$2:$F$1780)+COUNTIF($F$2:F344,F344)-1,"")</f>
        <v>399</v>
      </c>
      <c r="Z344" s="56" t="n">
        <f aca="false">IF(H344&gt;0,RANK(H344,$H$2:$H$1780)+COUNTIF($H$2:H344,H344)-1,"")</f>
        <v>440</v>
      </c>
      <c r="AA344" s="56" t="str">
        <f aca="false">IF(AC344="","",RANK(AC344,$AC$2:$AC$1780)+COUNTIF($AC$2:AC344,AC344)-1)</f>
        <v/>
      </c>
      <c r="AB344" s="56" t="str">
        <f aca="false">IF(AD344="","",RANK(AD344,$AD$2:$AD$1780)+COUNTIF($AD$2:AD344,AD344)-1)</f>
        <v/>
      </c>
      <c r="AC344" s="56" t="str">
        <f aca="false">IF(AND(F344&gt;0,E344&gt;=Settings!$B$4),J344,"")</f>
        <v/>
      </c>
      <c r="AD344" s="56" t="str">
        <f aca="false">IF(X344="HIGH RATE",O344,"")</f>
        <v/>
      </c>
    </row>
    <row r="345" customFormat="false" ht="15" hidden="false" customHeight="false" outlineLevel="0" collapsed="false">
      <c r="A345" s="56" t="s">
        <v>1370</v>
      </c>
      <c r="B345" s="56" t="s">
        <v>1371</v>
      </c>
      <c r="C345" s="56" t="s">
        <v>51</v>
      </c>
      <c r="D345" s="56" t="str">
        <f aca="false">IFERROR(INDEX('Brand Map'!$B$4:$B$124,MATCH(C345,'Brand Map'!$A$4:$A$124,0)),"Other")</f>
        <v>AU</v>
      </c>
      <c r="E345" s="57" t="n">
        <v>9</v>
      </c>
      <c r="F345" s="57" t="n">
        <v>1</v>
      </c>
      <c r="G345" s="58" t="n">
        <v>824.55</v>
      </c>
      <c r="H345" s="58" t="n">
        <v>124.95</v>
      </c>
      <c r="I345" s="58" t="n">
        <v>699.6</v>
      </c>
      <c r="J345" s="32" t="n">
        <f aca="false">IF(E345&gt;0,F345/E345,0)</f>
        <v>0.111111111111111</v>
      </c>
      <c r="K345" s="32" t="n">
        <f aca="false">IF(G345&gt;0,H345/G345,0)</f>
        <v>0.151537202110242</v>
      </c>
      <c r="L345" s="59" t="n">
        <f aca="false">H345/Settings!$B$16</f>
        <v>0.000249715879487736</v>
      </c>
      <c r="M345" s="59" t="n">
        <f aca="false">H345/Settings!$B$20</f>
        <v>9.70041831301378E-006</v>
      </c>
      <c r="N345" s="60" t="n">
        <f aca="false">E345*Settings!$B$3</f>
        <v>0.278875359718384</v>
      </c>
      <c r="O345" s="60" t="n">
        <f aca="false">IF(E345&gt;0,(F345-N345)/SQRT(E345*Settings!$B$3*(1-Settings!$B$3)),0)</f>
        <v>1.38720380579105</v>
      </c>
      <c r="P345" s="60" t="n">
        <f aca="false">MAX(0,F345-N345)</f>
        <v>0.721124640281616</v>
      </c>
      <c r="Q345" s="32" t="n">
        <f aca="false">(F345+Settings!$B$7*Settings!$B$3)/(E345+Settings!$B$7)</f>
        <v>0.0494765264716567</v>
      </c>
      <c r="R345" s="61" t="n">
        <f aca="false">PERCENTRANK($H$2:$H$1780,H345,6)</f>
        <v>0.784027</v>
      </c>
      <c r="S345" s="61" t="n">
        <f aca="false">PERCENTRANK($Q$2:$Q$1780,Q345,6)</f>
        <v>0.882452</v>
      </c>
      <c r="T345" s="61" t="n">
        <f aca="false">PERCENTRANK($F$2:$F$1780,F345,6)</f>
        <v>0.685039</v>
      </c>
      <c r="U345" s="62" t="n">
        <f aca="false">IF(F345&gt;0,(Settings!$B$8*T345+Settings!$B$9*R345+Settings!$B$10*S345)/SUM(Settings!$B$8:$B$10),0)</f>
        <v>0.783839333333333</v>
      </c>
      <c r="V345" s="56" t="n">
        <f aca="false">IF(U345&gt;0,RANK(U345,$U$2:$U$1780)+COUNTIF($U$2:U345,U345)-1,"")</f>
        <v>344</v>
      </c>
      <c r="W345" s="56" t="str">
        <f aca="false">IF(V345="","",IF(V345&lt;=Settings!$B$11,"1 - Fix first",IF(V345&lt;=Settings!$B$12,"2 - Review","3 - Monitor")))</f>
        <v>3 - Monitor</v>
      </c>
      <c r="X345" s="56" t="str">
        <f aca="false">IF(AND(E345&gt;=Settings!$B$4,F345&gt;=Settings!$B$5,O345&gt;=Settings!$B$6),"HIGH RATE","")</f>
        <v/>
      </c>
      <c r="Y345" s="56" t="n">
        <f aca="false">IF(F345&gt;0,RANK(F345,$F$2:$F$1780)+COUNTIF($F$2:F345,F345)-1,"")</f>
        <v>400</v>
      </c>
      <c r="Z345" s="56" t="n">
        <f aca="false">IF(H345&gt;0,RANK(H345,$H$2:$H$1780)+COUNTIF($H$2:H345,H345)-1,"")</f>
        <v>378</v>
      </c>
      <c r="AA345" s="56" t="str">
        <f aca="false">IF(AC345="","",RANK(AC345,$AC$2:$AC$1780)+COUNTIF($AC$2:AC345,AC345)-1)</f>
        <v/>
      </c>
      <c r="AB345" s="56" t="str">
        <f aca="false">IF(AD345="","",RANK(AD345,$AD$2:$AD$1780)+COUNTIF($AD$2:AD345,AD345)-1)</f>
        <v/>
      </c>
      <c r="AC345" s="56" t="str">
        <f aca="false">IF(AND(F345&gt;0,E345&gt;=Settings!$B$4),J345,"")</f>
        <v/>
      </c>
      <c r="AD345" s="56" t="str">
        <f aca="false">IF(X345="HIGH RATE",O345,"")</f>
        <v/>
      </c>
    </row>
    <row r="346" customFormat="false" ht="15" hidden="false" customHeight="false" outlineLevel="0" collapsed="false">
      <c r="A346" s="56" t="s">
        <v>1372</v>
      </c>
      <c r="B346" s="56" t="s">
        <v>1373</v>
      </c>
      <c r="C346" s="56" t="s">
        <v>87</v>
      </c>
      <c r="D346" s="56" t="str">
        <f aca="false">IFERROR(INDEX('Brand Map'!$B$4:$B$124,MATCH(C346,'Brand Map'!$A$4:$A$124,0)),"Other")</f>
        <v>FYF</v>
      </c>
      <c r="E346" s="57" t="n">
        <v>7</v>
      </c>
      <c r="F346" s="57" t="n">
        <v>1</v>
      </c>
      <c r="G346" s="58" t="n">
        <v>769.65</v>
      </c>
      <c r="H346" s="58" t="n">
        <v>109.95</v>
      </c>
      <c r="I346" s="58" t="n">
        <v>659.7</v>
      </c>
      <c r="J346" s="32" t="n">
        <f aca="false">IF(E346&gt;0,F346/E346,0)</f>
        <v>0.142857142857143</v>
      </c>
      <c r="K346" s="32" t="n">
        <f aca="false">IF(G346&gt;0,H346/G346,0)</f>
        <v>0.142857142857143</v>
      </c>
      <c r="L346" s="59" t="n">
        <f aca="false">H346/Settings!$B$16</f>
        <v>0.000219737982790529</v>
      </c>
      <c r="M346" s="59" t="n">
        <f aca="false">H346/Settings!$B$20</f>
        <v>8.53590230905054E-006</v>
      </c>
      <c r="N346" s="60" t="n">
        <f aca="false">E346*Settings!$B$3</f>
        <v>0.216903057558743</v>
      </c>
      <c r="O346" s="60" t="n">
        <f aca="false">IF(E346&gt;0,(F346-N346)/SQRT(E346*Settings!$B$3*(1-Settings!$B$3)),0)</f>
        <v>1.70811733149008</v>
      </c>
      <c r="P346" s="60" t="n">
        <f aca="false">MAX(0,F346-N346)</f>
        <v>0.783096942441257</v>
      </c>
      <c r="Q346" s="32" t="n">
        <f aca="false">(F346+Settings!$B$7*Settings!$B$3)/(E346+Settings!$B$7)</f>
        <v>0.0521509333079625</v>
      </c>
      <c r="R346" s="61" t="n">
        <f aca="false">PERCENTRANK($H$2:$H$1780,H346,6)</f>
        <v>0.766592</v>
      </c>
      <c r="S346" s="61" t="n">
        <f aca="false">PERCENTRANK($Q$2:$Q$1780,Q346,6)</f>
        <v>0.898763</v>
      </c>
      <c r="T346" s="61" t="n">
        <f aca="false">PERCENTRANK($F$2:$F$1780,F346,6)</f>
        <v>0.685039</v>
      </c>
      <c r="U346" s="62" t="n">
        <f aca="false">IF(F346&gt;0,(Settings!$B$8*T346+Settings!$B$9*R346+Settings!$B$10*S346)/SUM(Settings!$B$8:$B$10),0)</f>
        <v>0.783464666666667</v>
      </c>
      <c r="V346" s="56" t="n">
        <f aca="false">IF(U346&gt;0,RANK(U346,$U$2:$U$1780)+COUNTIF($U$2:U346,U346)-1,"")</f>
        <v>345</v>
      </c>
      <c r="W346" s="56" t="str">
        <f aca="false">IF(V346="","",IF(V346&lt;=Settings!$B$11,"1 - Fix first",IF(V346&lt;=Settings!$B$12,"2 - Review","3 - Monitor")))</f>
        <v>3 - Monitor</v>
      </c>
      <c r="X346" s="56" t="str">
        <f aca="false">IF(AND(E346&gt;=Settings!$B$4,F346&gt;=Settings!$B$5,O346&gt;=Settings!$B$6),"HIGH RATE","")</f>
        <v/>
      </c>
      <c r="Y346" s="56" t="n">
        <f aca="false">IF(F346&gt;0,RANK(F346,$F$2:$F$1780)+COUNTIF($F$2:F346,F346)-1,"")</f>
        <v>401</v>
      </c>
      <c r="Z346" s="56" t="n">
        <f aca="false">IF(H346&gt;0,RANK(H346,$H$2:$H$1780)+COUNTIF($H$2:H346,H346)-1,"")</f>
        <v>412</v>
      </c>
      <c r="AA346" s="56" t="str">
        <f aca="false">IF(AC346="","",RANK(AC346,$AC$2:$AC$1780)+COUNTIF($AC$2:AC346,AC346)-1)</f>
        <v/>
      </c>
      <c r="AB346" s="56" t="str">
        <f aca="false">IF(AD346="","",RANK(AD346,$AD$2:$AD$1780)+COUNTIF($AD$2:AD346,AD346)-1)</f>
        <v/>
      </c>
      <c r="AC346" s="56" t="str">
        <f aca="false">IF(AND(F346&gt;0,E346&gt;=Settings!$B$4),J346,"")</f>
        <v/>
      </c>
      <c r="AD346" s="56" t="str">
        <f aca="false">IF(X346="HIGH RATE",O346,"")</f>
        <v/>
      </c>
    </row>
    <row r="347" customFormat="false" ht="15" hidden="false" customHeight="false" outlineLevel="0" collapsed="false">
      <c r="A347" s="56" t="s">
        <v>1374</v>
      </c>
      <c r="B347" s="56" t="s">
        <v>1375</v>
      </c>
      <c r="C347" s="56" t="s">
        <v>51</v>
      </c>
      <c r="D347" s="56" t="str">
        <f aca="false">IFERROR(INDEX('Brand Map'!$B$4:$B$124,MATCH(C347,'Brand Map'!$A$4:$A$124,0)),"Other")</f>
        <v>AU</v>
      </c>
      <c r="E347" s="57" t="n">
        <v>4</v>
      </c>
      <c r="F347" s="57" t="n">
        <v>1</v>
      </c>
      <c r="G347" s="58" t="n">
        <v>308.89</v>
      </c>
      <c r="H347" s="58" t="n">
        <v>81.77</v>
      </c>
      <c r="I347" s="58" t="n">
        <v>205.33</v>
      </c>
      <c r="J347" s="32" t="n">
        <f aca="false">IF(E347&gt;0,F347/E347,0)</f>
        <v>0.25</v>
      </c>
      <c r="K347" s="32" t="n">
        <f aca="false">IF(G347&gt;0,H347/G347,0)</f>
        <v>0.264722069345074</v>
      </c>
      <c r="L347" s="59" t="n">
        <f aca="false">H347/Settings!$B$16</f>
        <v>0.000163419507528709</v>
      </c>
      <c r="M347" s="59" t="n">
        <f aca="false">H347/Settings!$B$20</f>
        <v>6.34816490960494E-006</v>
      </c>
      <c r="N347" s="60" t="n">
        <f aca="false">E347*Settings!$B$3</f>
        <v>0.123944604319282</v>
      </c>
      <c r="O347" s="60" t="n">
        <f aca="false">IF(E347&gt;0,(F347-N347)/SQRT(E347*Settings!$B$3*(1-Settings!$B$3)),0)</f>
        <v>2.52785852352268</v>
      </c>
      <c r="P347" s="60" t="n">
        <f aca="false">MAX(0,F347-N347)</f>
        <v>0.876055395680718</v>
      </c>
      <c r="Q347" s="32" t="n">
        <f aca="false">(F347+Settings!$B$7*Settings!$B$3)/(E347+Settings!$B$7)</f>
        <v>0.0567524862469004</v>
      </c>
      <c r="R347" s="61" t="n">
        <f aca="false">PERCENTRANK($H$2:$H$1780,H347,6)</f>
        <v>0.733408</v>
      </c>
      <c r="S347" s="61" t="n">
        <f aca="false">PERCENTRANK($Q$2:$Q$1780,Q347,6)</f>
        <v>0.930821</v>
      </c>
      <c r="T347" s="61" t="n">
        <f aca="false">PERCENTRANK($F$2:$F$1780,F347,6)</f>
        <v>0.685039</v>
      </c>
      <c r="U347" s="62" t="n">
        <f aca="false">IF(F347&gt;0,(Settings!$B$8*T347+Settings!$B$9*R347+Settings!$B$10*S347)/SUM(Settings!$B$8:$B$10),0)</f>
        <v>0.783089333333333</v>
      </c>
      <c r="V347" s="56" t="n">
        <f aca="false">IF(U347&gt;0,RANK(U347,$U$2:$U$1780)+COUNTIF($U$2:U347,U347)-1,"")</f>
        <v>346</v>
      </c>
      <c r="W347" s="56" t="str">
        <f aca="false">IF(V347="","",IF(V347&lt;=Settings!$B$11,"1 - Fix first",IF(V347&lt;=Settings!$B$12,"2 - Review","3 - Monitor")))</f>
        <v>3 - Monitor</v>
      </c>
      <c r="X347" s="56" t="str">
        <f aca="false">IF(AND(E347&gt;=Settings!$B$4,F347&gt;=Settings!$B$5,O347&gt;=Settings!$B$6),"HIGH RATE","")</f>
        <v/>
      </c>
      <c r="Y347" s="56" t="n">
        <f aca="false">IF(F347&gt;0,RANK(F347,$F$2:$F$1780)+COUNTIF($F$2:F347,F347)-1,"")</f>
        <v>402</v>
      </c>
      <c r="Z347" s="56" t="n">
        <f aca="false">IF(H347&gt;0,RANK(H347,$H$2:$H$1780)+COUNTIF($H$2:H347,H347)-1,"")</f>
        <v>475</v>
      </c>
      <c r="AA347" s="56" t="str">
        <f aca="false">IF(AC347="","",RANK(AC347,$AC$2:$AC$1780)+COUNTIF($AC$2:AC347,AC347)-1)</f>
        <v/>
      </c>
      <c r="AB347" s="56" t="str">
        <f aca="false">IF(AD347="","",RANK(AD347,$AD$2:$AD$1780)+COUNTIF($AD$2:AD347,AD347)-1)</f>
        <v/>
      </c>
      <c r="AC347" s="56" t="str">
        <f aca="false">IF(AND(F347&gt;0,E347&gt;=Settings!$B$4),J347,"")</f>
        <v/>
      </c>
      <c r="AD347" s="56" t="str">
        <f aca="false">IF(X347="HIGH RATE",O347,"")</f>
        <v/>
      </c>
    </row>
    <row r="348" customFormat="false" ht="15" hidden="false" customHeight="false" outlineLevel="0" collapsed="false">
      <c r="A348" s="56" t="s">
        <v>1376</v>
      </c>
      <c r="B348" s="56" t="s">
        <v>1377</v>
      </c>
      <c r="C348" s="56" t="s">
        <v>87</v>
      </c>
      <c r="D348" s="56" t="str">
        <f aca="false">IFERROR(INDEX('Brand Map'!$B$4:$B$124,MATCH(C348,'Brand Map'!$A$4:$A$124,0)),"Other")</f>
        <v>FYF</v>
      </c>
      <c r="E348" s="57" t="n">
        <v>1</v>
      </c>
      <c r="F348" s="57" t="n">
        <v>1</v>
      </c>
      <c r="G348" s="58" t="n">
        <v>54.95</v>
      </c>
      <c r="H348" s="58" t="n">
        <v>54.95</v>
      </c>
      <c r="I348" s="58" t="n">
        <v>0</v>
      </c>
      <c r="J348" s="32" t="n">
        <f aca="false">IF(E348&gt;0,F348/E348,0)</f>
        <v>1</v>
      </c>
      <c r="K348" s="32" t="n">
        <f aca="false">IF(G348&gt;0,H348/G348,0)</f>
        <v>1</v>
      </c>
      <c r="L348" s="59" t="n">
        <f aca="false">H348/Settings!$B$16</f>
        <v>0.000109819028234102</v>
      </c>
      <c r="M348" s="59" t="n">
        <f aca="false">H348/Settings!$B$20</f>
        <v>4.26601029451867E-006</v>
      </c>
      <c r="N348" s="60" t="n">
        <f aca="false">E348*Settings!$B$3</f>
        <v>0.0309861510798204</v>
      </c>
      <c r="O348" s="60" t="n">
        <f aca="false">IF(E348&gt;0,(F348-N348)/SQRT(E348*Settings!$B$3*(1-Settings!$B$3)),0)</f>
        <v>5.59218042484869</v>
      </c>
      <c r="P348" s="60" t="n">
        <f aca="false">MAX(0,F348-N348)</f>
        <v>0.96901384892018</v>
      </c>
      <c r="Q348" s="32" t="n">
        <f aca="false">(F348+Settings!$B$7*Settings!$B$3)/(E348+Settings!$B$7)</f>
        <v>0.0622446623353101</v>
      </c>
      <c r="R348" s="61" t="n">
        <f aca="false">PERCENTRANK($H$2:$H$1780,H348,6)</f>
        <v>0.706974</v>
      </c>
      <c r="S348" s="61" t="n">
        <f aca="false">PERCENTRANK($Q$2:$Q$1780,Q348,6)</f>
        <v>0.955568</v>
      </c>
      <c r="T348" s="61" t="n">
        <f aca="false">PERCENTRANK($F$2:$F$1780,F348,6)</f>
        <v>0.685039</v>
      </c>
      <c r="U348" s="62" t="n">
        <f aca="false">IF(F348&gt;0,(Settings!$B$8*T348+Settings!$B$9*R348+Settings!$B$10*S348)/SUM(Settings!$B$8:$B$10),0)</f>
        <v>0.782527</v>
      </c>
      <c r="V348" s="56" t="n">
        <f aca="false">IF(U348&gt;0,RANK(U348,$U$2:$U$1780)+COUNTIF($U$2:U348,U348)-1,"")</f>
        <v>347</v>
      </c>
      <c r="W348" s="56" t="str">
        <f aca="false">IF(V348="","",IF(V348&lt;=Settings!$B$11,"1 - Fix first",IF(V348&lt;=Settings!$B$12,"2 - Review","3 - Monitor")))</f>
        <v>3 - Monitor</v>
      </c>
      <c r="X348" s="56" t="str">
        <f aca="false">IF(AND(E348&gt;=Settings!$B$4,F348&gt;=Settings!$B$5,O348&gt;=Settings!$B$6),"HIGH RATE","")</f>
        <v/>
      </c>
      <c r="Y348" s="56" t="n">
        <f aca="false">IF(F348&gt;0,RANK(F348,$F$2:$F$1780)+COUNTIF($F$2:F348,F348)-1,"")</f>
        <v>403</v>
      </c>
      <c r="Z348" s="56" t="n">
        <f aca="false">IF(H348&gt;0,RANK(H348,$H$2:$H$1780)+COUNTIF($H$2:H348,H348)-1,"")</f>
        <v>521</v>
      </c>
      <c r="AA348" s="56" t="str">
        <f aca="false">IF(AC348="","",RANK(AC348,$AC$2:$AC$1780)+COUNTIF($AC$2:AC348,AC348)-1)</f>
        <v/>
      </c>
      <c r="AB348" s="56" t="str">
        <f aca="false">IF(AD348="","",RANK(AD348,$AD$2:$AD$1780)+COUNTIF($AD$2:AD348,AD348)-1)</f>
        <v/>
      </c>
      <c r="AC348" s="56" t="str">
        <f aca="false">IF(AND(F348&gt;0,E348&gt;=Settings!$B$4),J348,"")</f>
        <v/>
      </c>
      <c r="AD348" s="56" t="str">
        <f aca="false">IF(X348="HIGH RATE",O348,"")</f>
        <v/>
      </c>
    </row>
    <row r="349" customFormat="false" ht="15" hidden="false" customHeight="false" outlineLevel="0" collapsed="false">
      <c r="A349" s="56" t="s">
        <v>1378</v>
      </c>
      <c r="B349" s="56" t="s">
        <v>1379</v>
      </c>
      <c r="C349" s="56" t="s">
        <v>168</v>
      </c>
      <c r="D349" s="56" t="str">
        <f aca="false">IFERROR(INDEX('Brand Map'!$B$4:$B$124,MATCH(C349,'Brand Map'!$A$4:$A$124,0)),"Other")</f>
        <v>OR</v>
      </c>
      <c r="E349" s="57" t="n">
        <v>60</v>
      </c>
      <c r="F349" s="57" t="n">
        <v>2</v>
      </c>
      <c r="G349" s="58" t="n">
        <v>4894.27</v>
      </c>
      <c r="H349" s="58" t="n">
        <v>131.3</v>
      </c>
      <c r="I349" s="58" t="n">
        <v>4632.25</v>
      </c>
      <c r="J349" s="32" t="n">
        <f aca="false">IF(E349&gt;0,F349/E349,0)</f>
        <v>0.0333333333333333</v>
      </c>
      <c r="K349" s="32" t="n">
        <f aca="false">IF(G349&gt;0,H349/G349,0)</f>
        <v>0.0268272898716254</v>
      </c>
      <c r="L349" s="59" t="n">
        <f aca="false">H349/Settings!$B$16</f>
        <v>0.000262406522422887</v>
      </c>
      <c r="M349" s="59" t="n">
        <f aca="false">H349/Settings!$B$20</f>
        <v>1.01933967546916E-005</v>
      </c>
      <c r="N349" s="60" t="n">
        <f aca="false">E349*Settings!$B$3</f>
        <v>1.85916906478923</v>
      </c>
      <c r="O349" s="60" t="n">
        <f aca="false">IF(E349&gt;0,(F349-N349)/SQRT(E349*Settings!$B$3*(1-Settings!$B$3)),0)</f>
        <v>0.104923707753028</v>
      </c>
      <c r="P349" s="60" t="n">
        <f aca="false">MAX(0,F349-N349)</f>
        <v>0.140830935210775</v>
      </c>
      <c r="Q349" s="32" t="n">
        <f aca="false">(F349+Settings!$B$7*Settings!$B$3)/(E349+Settings!$B$7)</f>
        <v>0.032550939248829</v>
      </c>
      <c r="R349" s="61" t="n">
        <f aca="false">PERCENTRANK($H$2:$H$1780,H349,6)</f>
        <v>0.791901</v>
      </c>
      <c r="S349" s="61" t="n">
        <f aca="false">PERCENTRANK($Q$2:$Q$1780,Q349,6)</f>
        <v>0.754218</v>
      </c>
      <c r="T349" s="61" t="n">
        <f aca="false">PERCENTRANK($F$2:$F$1780,F349,6)</f>
        <v>0.799775</v>
      </c>
      <c r="U349" s="62" t="n">
        <f aca="false">IF(F349&gt;0,(Settings!$B$8*T349+Settings!$B$9*R349+Settings!$B$10*S349)/SUM(Settings!$B$8:$B$10),0)</f>
        <v>0.781964666666667</v>
      </c>
      <c r="V349" s="56" t="n">
        <f aca="false">IF(U349&gt;0,RANK(U349,$U$2:$U$1780)+COUNTIF($U$2:U349,U349)-1,"")</f>
        <v>348</v>
      </c>
      <c r="W349" s="56" t="str">
        <f aca="false">IF(V349="","",IF(V349&lt;=Settings!$B$11,"1 - Fix first",IF(V349&lt;=Settings!$B$12,"2 - Review","3 - Monitor")))</f>
        <v>3 - Monitor</v>
      </c>
      <c r="X349" s="56" t="str">
        <f aca="false">IF(AND(E349&gt;=Settings!$B$4,F349&gt;=Settings!$B$5,O349&gt;=Settings!$B$6),"HIGH RATE","")</f>
        <v/>
      </c>
      <c r="Y349" s="56" t="n">
        <f aca="false">IF(F349&gt;0,RANK(F349,$F$2:$F$1780)+COUNTIF($F$2:F349,F349)-1,"")</f>
        <v>340</v>
      </c>
      <c r="Z349" s="56" t="n">
        <f aca="false">IF(H349&gt;0,RANK(H349,$H$2:$H$1780)+COUNTIF($H$2:H349,H349)-1,"")</f>
        <v>371</v>
      </c>
      <c r="AA349" s="56" t="n">
        <f aca="false">IF(AC349="","",RANK(AC349,$AC$2:$AC$1780)+COUNTIF($AC$2:AC349,AC349)-1)</f>
        <v>242</v>
      </c>
      <c r="AB349" s="56" t="str">
        <f aca="false">IF(AD349="","",RANK(AD349,$AD$2:$AD$1780)+COUNTIF($AD$2:AD349,AD349)-1)</f>
        <v/>
      </c>
      <c r="AC349" s="32" t="n">
        <f aca="false">IF(AND(F349&gt;0,E349&gt;=Settings!$B$4),J349,"")</f>
        <v>0.0333333333333333</v>
      </c>
      <c r="AD349" s="56" t="str">
        <f aca="false">IF(X349="HIGH RATE",O349,"")</f>
        <v/>
      </c>
    </row>
    <row r="350" customFormat="false" ht="15" hidden="false" customHeight="false" outlineLevel="0" collapsed="false">
      <c r="A350" s="56" t="s">
        <v>1380</v>
      </c>
      <c r="B350" s="56" t="s">
        <v>1381</v>
      </c>
      <c r="C350" s="56" t="s">
        <v>162</v>
      </c>
      <c r="D350" s="56" t="str">
        <f aca="false">IFERROR(INDEX('Brand Map'!$B$4:$B$124,MATCH(C350,'Brand Map'!$A$4:$A$124,0)),"Other")</f>
        <v>GBAU</v>
      </c>
      <c r="E350" s="57" t="n">
        <v>60</v>
      </c>
      <c r="F350" s="57" t="n">
        <v>2</v>
      </c>
      <c r="G350" s="58" t="n">
        <v>4633.13</v>
      </c>
      <c r="H350" s="58" t="n">
        <v>130.09</v>
      </c>
      <c r="I350" s="58" t="n">
        <v>4401.19</v>
      </c>
      <c r="J350" s="32" t="n">
        <f aca="false">IF(E350&gt;0,F350/E350,0)</f>
        <v>0.0333333333333333</v>
      </c>
      <c r="K350" s="32" t="n">
        <f aca="false">IF(G350&gt;0,H350/G350,0)</f>
        <v>0.0280782106265095</v>
      </c>
      <c r="L350" s="59" t="n">
        <f aca="false">H350/Settings!$B$16</f>
        <v>0.000259988305422646</v>
      </c>
      <c r="M350" s="59" t="n">
        <f aca="false">H350/Settings!$B$20</f>
        <v>1.00994591303719E-005</v>
      </c>
      <c r="N350" s="60" t="n">
        <f aca="false">E350*Settings!$B$3</f>
        <v>1.85916906478923</v>
      </c>
      <c r="O350" s="60" t="n">
        <f aca="false">IF(E350&gt;0,(F350-N350)/SQRT(E350*Settings!$B$3*(1-Settings!$B$3)),0)</f>
        <v>0.104923707753028</v>
      </c>
      <c r="P350" s="60" t="n">
        <f aca="false">MAX(0,F350-N350)</f>
        <v>0.140830935210775</v>
      </c>
      <c r="Q350" s="32" t="n">
        <f aca="false">(F350+Settings!$B$7*Settings!$B$3)/(E350+Settings!$B$7)</f>
        <v>0.032550939248829</v>
      </c>
      <c r="R350" s="61" t="n">
        <f aca="false">PERCENTRANK($H$2:$H$1780,H350,6)</f>
        <v>0.791339</v>
      </c>
      <c r="S350" s="61" t="n">
        <f aca="false">PERCENTRANK($Q$2:$Q$1780,Q350,6)</f>
        <v>0.754218</v>
      </c>
      <c r="T350" s="61" t="n">
        <f aca="false">PERCENTRANK($F$2:$F$1780,F350,6)</f>
        <v>0.799775</v>
      </c>
      <c r="U350" s="62" t="n">
        <f aca="false">IF(F350&gt;0,(Settings!$B$8*T350+Settings!$B$9*R350+Settings!$B$10*S350)/SUM(Settings!$B$8:$B$10),0)</f>
        <v>0.781777333333333</v>
      </c>
      <c r="V350" s="56" t="n">
        <f aca="false">IF(U350&gt;0,RANK(U350,$U$2:$U$1780)+COUNTIF($U$2:U350,U350)-1,"")</f>
        <v>349</v>
      </c>
      <c r="W350" s="56" t="str">
        <f aca="false">IF(V350="","",IF(V350&lt;=Settings!$B$11,"1 - Fix first",IF(V350&lt;=Settings!$B$12,"2 - Review","3 - Monitor")))</f>
        <v>3 - Monitor</v>
      </c>
      <c r="X350" s="56" t="str">
        <f aca="false">IF(AND(E350&gt;=Settings!$B$4,F350&gt;=Settings!$B$5,O350&gt;=Settings!$B$6),"HIGH RATE","")</f>
        <v/>
      </c>
      <c r="Y350" s="56" t="n">
        <f aca="false">IF(F350&gt;0,RANK(F350,$F$2:$F$1780)+COUNTIF($F$2:F350,F350)-1,"")</f>
        <v>341</v>
      </c>
      <c r="Z350" s="56" t="n">
        <f aca="false">IF(H350&gt;0,RANK(H350,$H$2:$H$1780)+COUNTIF($H$2:H350,H350)-1,"")</f>
        <v>372</v>
      </c>
      <c r="AA350" s="56" t="n">
        <f aca="false">IF(AC350="","",RANK(AC350,$AC$2:$AC$1780)+COUNTIF($AC$2:AC350,AC350)-1)</f>
        <v>243</v>
      </c>
      <c r="AB350" s="56" t="str">
        <f aca="false">IF(AD350="","",RANK(AD350,$AD$2:$AD$1780)+COUNTIF($AD$2:AD350,AD350)-1)</f>
        <v/>
      </c>
      <c r="AC350" s="32" t="n">
        <f aca="false">IF(AND(F350&gt;0,E350&gt;=Settings!$B$4),J350,"")</f>
        <v>0.0333333333333333</v>
      </c>
      <c r="AD350" s="56" t="str">
        <f aca="false">IF(X350="HIGH RATE",O350,"")</f>
        <v/>
      </c>
    </row>
    <row r="351" customFormat="false" ht="15" hidden="false" customHeight="false" outlineLevel="0" collapsed="false">
      <c r="A351" s="56" t="s">
        <v>1382</v>
      </c>
      <c r="B351" s="56" t="s">
        <v>1383</v>
      </c>
      <c r="C351" s="56" t="s">
        <v>87</v>
      </c>
      <c r="D351" s="56" t="str">
        <f aca="false">IFERROR(INDEX('Brand Map'!$B$4:$B$124,MATCH(C351,'Brand Map'!$A$4:$A$124,0)),"Other")</f>
        <v>FYF</v>
      </c>
      <c r="E351" s="57" t="n">
        <v>7</v>
      </c>
      <c r="F351" s="57" t="n">
        <v>1</v>
      </c>
      <c r="G351" s="58" t="n">
        <v>734.65</v>
      </c>
      <c r="H351" s="58" t="n">
        <v>104.95</v>
      </c>
      <c r="I351" s="58" t="n">
        <v>629.7</v>
      </c>
      <c r="J351" s="32" t="n">
        <f aca="false">IF(E351&gt;0,F351/E351,0)</f>
        <v>0.142857142857143</v>
      </c>
      <c r="K351" s="32" t="n">
        <f aca="false">IF(G351&gt;0,H351/G351,0)</f>
        <v>0.142857142857143</v>
      </c>
      <c r="L351" s="59" t="n">
        <f aca="false">H351/Settings!$B$16</f>
        <v>0.000209745350558127</v>
      </c>
      <c r="M351" s="59" t="n">
        <f aca="false">H351/Settings!$B$20</f>
        <v>8.14773030772946E-006</v>
      </c>
      <c r="N351" s="60" t="n">
        <f aca="false">E351*Settings!$B$3</f>
        <v>0.216903057558743</v>
      </c>
      <c r="O351" s="60" t="n">
        <f aca="false">IF(E351&gt;0,(F351-N351)/SQRT(E351*Settings!$B$3*(1-Settings!$B$3)),0)</f>
        <v>1.70811733149008</v>
      </c>
      <c r="P351" s="60" t="n">
        <f aca="false">MAX(0,F351-N351)</f>
        <v>0.783096942441257</v>
      </c>
      <c r="Q351" s="32" t="n">
        <f aca="false">(F351+Settings!$B$7*Settings!$B$3)/(E351+Settings!$B$7)</f>
        <v>0.0521509333079625</v>
      </c>
      <c r="R351" s="61" t="n">
        <f aca="false">PERCENTRANK($H$2:$H$1780,H351,6)</f>
        <v>0.76153</v>
      </c>
      <c r="S351" s="61" t="n">
        <f aca="false">PERCENTRANK($Q$2:$Q$1780,Q351,6)</f>
        <v>0.898763</v>
      </c>
      <c r="T351" s="61" t="n">
        <f aca="false">PERCENTRANK($F$2:$F$1780,F351,6)</f>
        <v>0.685039</v>
      </c>
      <c r="U351" s="62" t="n">
        <f aca="false">IF(F351&gt;0,(Settings!$B$8*T351+Settings!$B$9*R351+Settings!$B$10*S351)/SUM(Settings!$B$8:$B$10),0)</f>
        <v>0.781777333333333</v>
      </c>
      <c r="V351" s="56" t="n">
        <f aca="false">IF(U351&gt;0,RANK(U351,$U$2:$U$1780)+COUNTIF($U$2:U351,U351)-1,"")</f>
        <v>350</v>
      </c>
      <c r="W351" s="56" t="str">
        <f aca="false">IF(V351="","",IF(V351&lt;=Settings!$B$11,"1 - Fix first",IF(V351&lt;=Settings!$B$12,"2 - Review","3 - Monitor")))</f>
        <v>3 - Monitor</v>
      </c>
      <c r="X351" s="56" t="str">
        <f aca="false">IF(AND(E351&gt;=Settings!$B$4,F351&gt;=Settings!$B$5,O351&gt;=Settings!$B$6),"HIGH RATE","")</f>
        <v/>
      </c>
      <c r="Y351" s="56" t="n">
        <f aca="false">IF(F351&gt;0,RANK(F351,$F$2:$F$1780)+COUNTIF($F$2:F351,F351)-1,"")</f>
        <v>404</v>
      </c>
      <c r="Z351" s="56" t="n">
        <f aca="false">IF(H351&gt;0,RANK(H351,$H$2:$H$1780)+COUNTIF($H$2:H351,H351)-1,"")</f>
        <v>425</v>
      </c>
      <c r="AA351" s="56" t="str">
        <f aca="false">IF(AC351="","",RANK(AC351,$AC$2:$AC$1780)+COUNTIF($AC$2:AC351,AC351)-1)</f>
        <v/>
      </c>
      <c r="AB351" s="56" t="str">
        <f aca="false">IF(AD351="","",RANK(AD351,$AD$2:$AD$1780)+COUNTIF($AD$2:AD351,AD351)-1)</f>
        <v/>
      </c>
      <c r="AC351" s="56" t="str">
        <f aca="false">IF(AND(F351&gt;0,E351&gt;=Settings!$B$4),J351,"")</f>
        <v/>
      </c>
      <c r="AD351" s="56" t="str">
        <f aca="false">IF(X351="HIGH RATE",O351,"")</f>
        <v/>
      </c>
    </row>
    <row r="352" customFormat="false" ht="15" hidden="false" customHeight="false" outlineLevel="0" collapsed="false">
      <c r="A352" s="56" t="s">
        <v>1384</v>
      </c>
      <c r="B352" s="56" t="s">
        <v>1109</v>
      </c>
      <c r="C352" s="56" t="s">
        <v>87</v>
      </c>
      <c r="D352" s="56" t="str">
        <f aca="false">IFERROR(INDEX('Brand Map'!$B$4:$B$124,MATCH(C352,'Brand Map'!$A$4:$A$124,0)),"Other")</f>
        <v>FYF</v>
      </c>
      <c r="E352" s="57" t="n">
        <v>10</v>
      </c>
      <c r="F352" s="57" t="n">
        <v>1</v>
      </c>
      <c r="G352" s="58" t="n">
        <v>1249.5</v>
      </c>
      <c r="H352" s="58" t="n">
        <v>124.95</v>
      </c>
      <c r="I352" s="58" t="n">
        <v>1124.55</v>
      </c>
      <c r="J352" s="32" t="n">
        <f aca="false">IF(E352&gt;0,F352/E352,0)</f>
        <v>0.1</v>
      </c>
      <c r="K352" s="32" t="n">
        <f aca="false">IF(G352&gt;0,H352/G352,0)</f>
        <v>0.1</v>
      </c>
      <c r="L352" s="59" t="n">
        <f aca="false">H352/Settings!$B$16</f>
        <v>0.000249715879487736</v>
      </c>
      <c r="M352" s="59" t="n">
        <f aca="false">H352/Settings!$B$20</f>
        <v>9.70041831301378E-006</v>
      </c>
      <c r="N352" s="60" t="n">
        <f aca="false">E352*Settings!$B$3</f>
        <v>0.309861510798204</v>
      </c>
      <c r="O352" s="60" t="n">
        <f aca="false">IF(E352&gt;0,(F352-N352)/SQRT(E352*Settings!$B$3*(1-Settings!$B$3)),0)</f>
        <v>1.25946887637521</v>
      </c>
      <c r="P352" s="60" t="n">
        <f aca="false">MAX(0,F352-N352)</f>
        <v>0.690138489201796</v>
      </c>
      <c r="Q352" s="32" t="n">
        <f aca="false">(F352+Settings!$B$7*Settings!$B$3)/(E352+Settings!$B$7)</f>
        <v>0.0482396133098653</v>
      </c>
      <c r="R352" s="61" t="n">
        <f aca="false">PERCENTRANK($H$2:$H$1780,H352,6)</f>
        <v>0.784027</v>
      </c>
      <c r="S352" s="61" t="n">
        <f aca="false">PERCENTRANK($Q$2:$Q$1780,Q352,6)</f>
        <v>0.874016</v>
      </c>
      <c r="T352" s="61" t="n">
        <f aca="false">PERCENTRANK($F$2:$F$1780,F352,6)</f>
        <v>0.685039</v>
      </c>
      <c r="U352" s="62" t="n">
        <f aca="false">IF(F352&gt;0,(Settings!$B$8*T352+Settings!$B$9*R352+Settings!$B$10*S352)/SUM(Settings!$B$8:$B$10),0)</f>
        <v>0.781027333333333</v>
      </c>
      <c r="V352" s="56" t="n">
        <f aca="false">IF(U352&gt;0,RANK(U352,$U$2:$U$1780)+COUNTIF($U$2:U352,U352)-1,"")</f>
        <v>351</v>
      </c>
      <c r="W352" s="56" t="str">
        <f aca="false">IF(V352="","",IF(V352&lt;=Settings!$B$11,"1 - Fix first",IF(V352&lt;=Settings!$B$12,"2 - Review","3 - Monitor")))</f>
        <v>3 - Monitor</v>
      </c>
      <c r="X352" s="56" t="str">
        <f aca="false">IF(AND(E352&gt;=Settings!$B$4,F352&gt;=Settings!$B$5,O352&gt;=Settings!$B$6),"HIGH RATE","")</f>
        <v/>
      </c>
      <c r="Y352" s="56" t="n">
        <f aca="false">IF(F352&gt;0,RANK(F352,$F$2:$F$1780)+COUNTIF($F$2:F352,F352)-1,"")</f>
        <v>405</v>
      </c>
      <c r="Z352" s="56" t="n">
        <f aca="false">IF(H352&gt;0,RANK(H352,$H$2:$H$1780)+COUNTIF($H$2:H352,H352)-1,"")</f>
        <v>379</v>
      </c>
      <c r="AA352" s="56" t="str">
        <f aca="false">IF(AC352="","",RANK(AC352,$AC$2:$AC$1780)+COUNTIF($AC$2:AC352,AC352)-1)</f>
        <v/>
      </c>
      <c r="AB352" s="56" t="str">
        <f aca="false">IF(AD352="","",RANK(AD352,$AD$2:$AD$1780)+COUNTIF($AD$2:AD352,AD352)-1)</f>
        <v/>
      </c>
      <c r="AC352" s="56" t="str">
        <f aca="false">IF(AND(F352&gt;0,E352&gt;=Settings!$B$4),J352,"")</f>
        <v/>
      </c>
      <c r="AD352" s="56" t="str">
        <f aca="false">IF(X352="HIGH RATE",O352,"")</f>
        <v/>
      </c>
    </row>
    <row r="353" customFormat="false" ht="15" hidden="false" customHeight="false" outlineLevel="0" collapsed="false">
      <c r="A353" s="56" t="s">
        <v>1385</v>
      </c>
      <c r="B353" s="56" t="s">
        <v>1386</v>
      </c>
      <c r="C353" s="56" t="s">
        <v>55</v>
      </c>
      <c r="D353" s="56" t="str">
        <f aca="false">IFERROR(INDEX('Brand Map'!$B$4:$B$124,MATCH(C353,'Brand Map'!$A$4:$A$124,0)),"Other")</f>
        <v>AUMJ</v>
      </c>
      <c r="E353" s="57" t="n">
        <v>6</v>
      </c>
      <c r="F353" s="57" t="n">
        <v>1</v>
      </c>
      <c r="G353" s="58" t="n">
        <v>555.16</v>
      </c>
      <c r="H353" s="58" t="n">
        <v>93.95</v>
      </c>
      <c r="I353" s="58" t="n">
        <v>461.21</v>
      </c>
      <c r="J353" s="32" t="n">
        <f aca="false">IF(E353&gt;0,F353/E353,0)</f>
        <v>0.166666666666667</v>
      </c>
      <c r="K353" s="32" t="n">
        <f aca="false">IF(G353&gt;0,H353/G353,0)</f>
        <v>0.169230492110383</v>
      </c>
      <c r="L353" s="59" t="n">
        <f aca="false">H353/Settings!$B$16</f>
        <v>0.000187761559646841</v>
      </c>
      <c r="M353" s="59" t="n">
        <f aca="false">H353/Settings!$B$20</f>
        <v>7.29375190482309E-006</v>
      </c>
      <c r="N353" s="60" t="n">
        <f aca="false">E353*Settings!$B$3</f>
        <v>0.185916906478923</v>
      </c>
      <c r="O353" s="60" t="n">
        <f aca="false">IF(E353&gt;0,(F353-N353)/SQRT(E353*Settings!$B$3*(1-Settings!$B$3)),0)</f>
        <v>1.91798100360216</v>
      </c>
      <c r="P353" s="60" t="n">
        <f aca="false">MAX(0,F353-N353)</f>
        <v>0.814083093521077</v>
      </c>
      <c r="Q353" s="32" t="n">
        <f aca="false">(F353+Settings!$B$7*Settings!$B$3)/(E353+Settings!$B$7)</f>
        <v>0.0535995703442948</v>
      </c>
      <c r="R353" s="61" t="n">
        <f aca="false">PERCENTRANK($H$2:$H$1780,H353,6)</f>
        <v>0.747469</v>
      </c>
      <c r="S353" s="61" t="n">
        <f aca="false">PERCENTRANK($Q$2:$Q$1780,Q353,6)</f>
        <v>0.909449</v>
      </c>
      <c r="T353" s="61" t="n">
        <f aca="false">PERCENTRANK($F$2:$F$1780,F353,6)</f>
        <v>0.685039</v>
      </c>
      <c r="U353" s="62" t="n">
        <f aca="false">IF(F353&gt;0,(Settings!$B$8*T353+Settings!$B$9*R353+Settings!$B$10*S353)/SUM(Settings!$B$8:$B$10),0)</f>
        <v>0.780652333333333</v>
      </c>
      <c r="V353" s="56" t="n">
        <f aca="false">IF(U353&gt;0,RANK(U353,$U$2:$U$1780)+COUNTIF($U$2:U353,U353)-1,"")</f>
        <v>352</v>
      </c>
      <c r="W353" s="56" t="str">
        <f aca="false">IF(V353="","",IF(V353&lt;=Settings!$B$11,"1 - Fix first",IF(V353&lt;=Settings!$B$12,"2 - Review","3 - Monitor")))</f>
        <v>3 - Monitor</v>
      </c>
      <c r="X353" s="56" t="str">
        <f aca="false">IF(AND(E353&gt;=Settings!$B$4,F353&gt;=Settings!$B$5,O353&gt;=Settings!$B$6),"HIGH RATE","")</f>
        <v/>
      </c>
      <c r="Y353" s="56" t="n">
        <f aca="false">IF(F353&gt;0,RANK(F353,$F$2:$F$1780)+COUNTIF($F$2:F353,F353)-1,"")</f>
        <v>406</v>
      </c>
      <c r="Z353" s="56" t="n">
        <f aca="false">IF(H353&gt;0,RANK(H353,$H$2:$H$1780)+COUNTIF($H$2:H353,H353)-1,"")</f>
        <v>450</v>
      </c>
      <c r="AA353" s="56" t="str">
        <f aca="false">IF(AC353="","",RANK(AC353,$AC$2:$AC$1780)+COUNTIF($AC$2:AC353,AC353)-1)</f>
        <v/>
      </c>
      <c r="AB353" s="56" t="str">
        <f aca="false">IF(AD353="","",RANK(AD353,$AD$2:$AD$1780)+COUNTIF($AD$2:AD353,AD353)-1)</f>
        <v/>
      </c>
      <c r="AC353" s="56" t="str">
        <f aca="false">IF(AND(F353&gt;0,E353&gt;=Settings!$B$4),J353,"")</f>
        <v/>
      </c>
      <c r="AD353" s="56" t="str">
        <f aca="false">IF(X353="HIGH RATE",O353,"")</f>
        <v/>
      </c>
    </row>
    <row r="354" customFormat="false" ht="15" hidden="false" customHeight="false" outlineLevel="0" collapsed="false">
      <c r="A354" s="56" t="s">
        <v>1387</v>
      </c>
      <c r="B354" s="56" t="s">
        <v>1179</v>
      </c>
      <c r="C354" s="56" t="s">
        <v>87</v>
      </c>
      <c r="D354" s="56" t="str">
        <f aca="false">IFERROR(INDEX('Brand Map'!$B$4:$B$124,MATCH(C354,'Brand Map'!$A$4:$A$124,0)),"Other")</f>
        <v>FYF</v>
      </c>
      <c r="E354" s="57" t="n">
        <v>6</v>
      </c>
      <c r="F354" s="57" t="n">
        <v>1</v>
      </c>
      <c r="G354" s="58" t="n">
        <v>557.7</v>
      </c>
      <c r="H354" s="58" t="n">
        <v>92.95</v>
      </c>
      <c r="I354" s="58" t="n">
        <v>464.75</v>
      </c>
      <c r="J354" s="32" t="n">
        <f aca="false">IF(E354&gt;0,F354/E354,0)</f>
        <v>0.166666666666667</v>
      </c>
      <c r="K354" s="32" t="n">
        <f aca="false">IF(G354&gt;0,H354/G354,0)</f>
        <v>0.166666666666667</v>
      </c>
      <c r="L354" s="59" t="n">
        <f aca="false">H354/Settings!$B$16</f>
        <v>0.000185763033200361</v>
      </c>
      <c r="M354" s="59" t="n">
        <f aca="false">H354/Settings!$B$20</f>
        <v>7.21611750455887E-006</v>
      </c>
      <c r="N354" s="60" t="n">
        <f aca="false">E354*Settings!$B$3</f>
        <v>0.185916906478923</v>
      </c>
      <c r="O354" s="60" t="n">
        <f aca="false">IF(E354&gt;0,(F354-N354)/SQRT(E354*Settings!$B$3*(1-Settings!$B$3)),0)</f>
        <v>1.91798100360216</v>
      </c>
      <c r="P354" s="60" t="n">
        <f aca="false">MAX(0,F354-N354)</f>
        <v>0.814083093521077</v>
      </c>
      <c r="Q354" s="32" t="n">
        <f aca="false">(F354+Settings!$B$7*Settings!$B$3)/(E354+Settings!$B$7)</f>
        <v>0.0535995703442948</v>
      </c>
      <c r="R354" s="61" t="n">
        <f aca="false">PERCENTRANK($H$2:$H$1780,H354,6)</f>
        <v>0.745782</v>
      </c>
      <c r="S354" s="61" t="n">
        <f aca="false">PERCENTRANK($Q$2:$Q$1780,Q354,6)</f>
        <v>0.909449</v>
      </c>
      <c r="T354" s="61" t="n">
        <f aca="false">PERCENTRANK($F$2:$F$1780,F354,6)</f>
        <v>0.685039</v>
      </c>
      <c r="U354" s="62" t="n">
        <f aca="false">IF(F354&gt;0,(Settings!$B$8*T354+Settings!$B$9*R354+Settings!$B$10*S354)/SUM(Settings!$B$8:$B$10),0)</f>
        <v>0.78009</v>
      </c>
      <c r="V354" s="56" t="n">
        <f aca="false">IF(U354&gt;0,RANK(U354,$U$2:$U$1780)+COUNTIF($U$2:U354,U354)-1,"")</f>
        <v>353</v>
      </c>
      <c r="W354" s="56" t="str">
        <f aca="false">IF(V354="","",IF(V354&lt;=Settings!$B$11,"1 - Fix first",IF(V354&lt;=Settings!$B$12,"2 - Review","3 - Monitor")))</f>
        <v>3 - Monitor</v>
      </c>
      <c r="X354" s="56" t="str">
        <f aca="false">IF(AND(E354&gt;=Settings!$B$4,F354&gt;=Settings!$B$5,O354&gt;=Settings!$B$6),"HIGH RATE","")</f>
        <v/>
      </c>
      <c r="Y354" s="56" t="n">
        <f aca="false">IF(F354&gt;0,RANK(F354,$F$2:$F$1780)+COUNTIF($F$2:F354,F354)-1,"")</f>
        <v>407</v>
      </c>
      <c r="Z354" s="56" t="n">
        <f aca="false">IF(H354&gt;0,RANK(H354,$H$2:$H$1780)+COUNTIF($H$2:H354,H354)-1,"")</f>
        <v>452</v>
      </c>
      <c r="AA354" s="56" t="str">
        <f aca="false">IF(AC354="","",RANK(AC354,$AC$2:$AC$1780)+COUNTIF($AC$2:AC354,AC354)-1)</f>
        <v/>
      </c>
      <c r="AB354" s="56" t="str">
        <f aca="false">IF(AD354="","",RANK(AD354,$AD$2:$AD$1780)+COUNTIF($AD$2:AD354,AD354)-1)</f>
        <v/>
      </c>
      <c r="AC354" s="56" t="str">
        <f aca="false">IF(AND(F354&gt;0,E354&gt;=Settings!$B$4),J354,"")</f>
        <v/>
      </c>
      <c r="AD354" s="56" t="str">
        <f aca="false">IF(X354="HIGH RATE",O354,"")</f>
        <v/>
      </c>
    </row>
    <row r="355" customFormat="false" ht="15" hidden="false" customHeight="false" outlineLevel="0" collapsed="false">
      <c r="A355" s="56" t="s">
        <v>1388</v>
      </c>
      <c r="B355" s="56" t="s">
        <v>1389</v>
      </c>
      <c r="C355" s="56" t="s">
        <v>87</v>
      </c>
      <c r="D355" s="56" t="str">
        <f aca="false">IFERROR(INDEX('Brand Map'!$B$4:$B$124,MATCH(C355,'Brand Map'!$A$4:$A$124,0)),"Other")</f>
        <v>FYF</v>
      </c>
      <c r="E355" s="57" t="n">
        <v>7</v>
      </c>
      <c r="F355" s="57" t="n">
        <v>1</v>
      </c>
      <c r="G355" s="58" t="n">
        <v>699.65</v>
      </c>
      <c r="H355" s="58" t="n">
        <v>99.95</v>
      </c>
      <c r="I355" s="58" t="n">
        <v>599.7</v>
      </c>
      <c r="J355" s="32" t="n">
        <f aca="false">IF(E355&gt;0,F355/E355,0)</f>
        <v>0.142857142857143</v>
      </c>
      <c r="K355" s="32" t="n">
        <f aca="false">IF(G355&gt;0,H355/G355,0)</f>
        <v>0.142857142857143</v>
      </c>
      <c r="L355" s="59" t="n">
        <f aca="false">H355/Settings!$B$16</f>
        <v>0.000199752718325724</v>
      </c>
      <c r="M355" s="59" t="n">
        <f aca="false">H355/Settings!$B$20</f>
        <v>7.75955830640839E-006</v>
      </c>
      <c r="N355" s="60" t="n">
        <f aca="false">E355*Settings!$B$3</f>
        <v>0.216903057558743</v>
      </c>
      <c r="O355" s="60" t="n">
        <f aca="false">IF(E355&gt;0,(F355-N355)/SQRT(E355*Settings!$B$3*(1-Settings!$B$3)),0)</f>
        <v>1.70811733149008</v>
      </c>
      <c r="P355" s="60" t="n">
        <f aca="false">MAX(0,F355-N355)</f>
        <v>0.783096942441257</v>
      </c>
      <c r="Q355" s="32" t="n">
        <f aca="false">(F355+Settings!$B$7*Settings!$B$3)/(E355+Settings!$B$7)</f>
        <v>0.0521509333079625</v>
      </c>
      <c r="R355" s="61" t="n">
        <f aca="false">PERCENTRANK($H$2:$H$1780,H355,6)</f>
        <v>0.754781</v>
      </c>
      <c r="S355" s="61" t="n">
        <f aca="false">PERCENTRANK($Q$2:$Q$1780,Q355,6)</f>
        <v>0.898763</v>
      </c>
      <c r="T355" s="61" t="n">
        <f aca="false">PERCENTRANK($F$2:$F$1780,F355,6)</f>
        <v>0.685039</v>
      </c>
      <c r="U355" s="62" t="n">
        <f aca="false">IF(F355&gt;0,(Settings!$B$8*T355+Settings!$B$9*R355+Settings!$B$10*S355)/SUM(Settings!$B$8:$B$10),0)</f>
        <v>0.779527666666667</v>
      </c>
      <c r="V355" s="56" t="n">
        <f aca="false">IF(U355&gt;0,RANK(U355,$U$2:$U$1780)+COUNTIF($U$2:U355,U355)-1,"")</f>
        <v>354</v>
      </c>
      <c r="W355" s="56" t="str">
        <f aca="false">IF(V355="","",IF(V355&lt;=Settings!$B$11,"1 - Fix first",IF(V355&lt;=Settings!$B$12,"2 - Review","3 - Monitor")))</f>
        <v>3 - Monitor</v>
      </c>
      <c r="X355" s="56" t="str">
        <f aca="false">IF(AND(E355&gt;=Settings!$B$4,F355&gt;=Settings!$B$5,O355&gt;=Settings!$B$6),"HIGH RATE","")</f>
        <v/>
      </c>
      <c r="Y355" s="56" t="n">
        <f aca="false">IF(F355&gt;0,RANK(F355,$F$2:$F$1780)+COUNTIF($F$2:F355,F355)-1,"")</f>
        <v>408</v>
      </c>
      <c r="Z355" s="56" t="n">
        <f aca="false">IF(H355&gt;0,RANK(H355,$H$2:$H$1780)+COUNTIF($H$2:H355,H355)-1,"")</f>
        <v>431</v>
      </c>
      <c r="AA355" s="56" t="str">
        <f aca="false">IF(AC355="","",RANK(AC355,$AC$2:$AC$1780)+COUNTIF($AC$2:AC355,AC355)-1)</f>
        <v/>
      </c>
      <c r="AB355" s="56" t="str">
        <f aca="false">IF(AD355="","",RANK(AD355,$AD$2:$AD$1780)+COUNTIF($AD$2:AD355,AD355)-1)</f>
        <v/>
      </c>
      <c r="AC355" s="56" t="str">
        <f aca="false">IF(AND(F355&gt;0,E355&gt;=Settings!$B$4),J355,"")</f>
        <v/>
      </c>
      <c r="AD355" s="56" t="str">
        <f aca="false">IF(X355="HIGH RATE",O355,"")</f>
        <v/>
      </c>
    </row>
    <row r="356" customFormat="false" ht="15" hidden="false" customHeight="false" outlineLevel="0" collapsed="false">
      <c r="A356" s="56" t="s">
        <v>1390</v>
      </c>
      <c r="B356" s="56" t="s">
        <v>993</v>
      </c>
      <c r="C356" s="56" t="s">
        <v>107</v>
      </c>
      <c r="D356" s="56" t="str">
        <f aca="false">IFERROR(INDEX('Brand Map'!$B$4:$B$124,MATCH(C356,'Brand Map'!$A$4:$A$124,0)),"Other")</f>
        <v>DCMJ</v>
      </c>
      <c r="E356" s="57" t="n">
        <v>339</v>
      </c>
      <c r="F356" s="57" t="n">
        <v>10</v>
      </c>
      <c r="G356" s="58" t="n">
        <v>29300.01</v>
      </c>
      <c r="H356" s="58" t="n">
        <v>762.09</v>
      </c>
      <c r="I356" s="58" t="n">
        <v>27056.58</v>
      </c>
      <c r="J356" s="32" t="n">
        <f aca="false">IF(E356&gt;0,F356/E356,0)</f>
        <v>0.0294985250737463</v>
      </c>
      <c r="K356" s="32" t="n">
        <f aca="false">IF(G356&gt;0,H356/G356,0)</f>
        <v>0.0260098887338264</v>
      </c>
      <c r="L356" s="59" t="n">
        <f aca="false">H356/Settings!$B$16</f>
        <v>0.00152305701959831</v>
      </c>
      <c r="M356" s="59" t="n">
        <f aca="false">H356/Settings!$B$20</f>
        <v>5.91644000973563E-005</v>
      </c>
      <c r="N356" s="60" t="n">
        <f aca="false">E356*Settings!$B$3</f>
        <v>10.5043052160591</v>
      </c>
      <c r="O356" s="60" t="n">
        <f aca="false">IF(E356&gt;0,(F356-N356)/SQRT(E356*Settings!$B$3*(1-Settings!$B$3)),0)</f>
        <v>-0.158068307089713</v>
      </c>
      <c r="P356" s="60" t="n">
        <f aca="false">MAX(0,F356-N356)</f>
        <v>0</v>
      </c>
      <c r="Q356" s="32" t="n">
        <f aca="false">(F356+Settings!$B$7*Settings!$B$3)/(E356+Settings!$B$7)</f>
        <v>0.0296194702774922</v>
      </c>
      <c r="R356" s="61" t="n">
        <f aca="false">PERCENTRANK($H$2:$H$1780,H356,6)</f>
        <v>0.929696</v>
      </c>
      <c r="S356" s="61" t="n">
        <f aca="false">PERCENTRANK($Q$2:$Q$1780,Q356,6)</f>
        <v>0.484252</v>
      </c>
      <c r="T356" s="61" t="n">
        <f aca="false">PERCENTRANK($F$2:$F$1780,F356,6)</f>
        <v>0.922947</v>
      </c>
      <c r="U356" s="62" t="n">
        <f aca="false">IF(F356&gt;0,(Settings!$B$8*T356+Settings!$B$9*R356+Settings!$B$10*S356)/SUM(Settings!$B$8:$B$10),0)</f>
        <v>0.778965</v>
      </c>
      <c r="V356" s="56" t="n">
        <f aca="false">IF(U356&gt;0,RANK(U356,$U$2:$U$1780)+COUNTIF($U$2:U356,U356)-1,"")</f>
        <v>355</v>
      </c>
      <c r="W356" s="56" t="str">
        <f aca="false">IF(V356="","",IF(V356&lt;=Settings!$B$11,"1 - Fix first",IF(V356&lt;=Settings!$B$12,"2 - Review","3 - Monitor")))</f>
        <v>3 - Monitor</v>
      </c>
      <c r="X356" s="56" t="str">
        <f aca="false">IF(AND(E356&gt;=Settings!$B$4,F356&gt;=Settings!$B$5,O356&gt;=Settings!$B$6),"HIGH RATE","")</f>
        <v/>
      </c>
      <c r="Y356" s="56" t="n">
        <f aca="false">IF(F356&gt;0,RANK(F356,$F$2:$F$1780)+COUNTIF($F$2:F356,F356)-1,"")</f>
        <v>137</v>
      </c>
      <c r="Z356" s="56" t="n">
        <f aca="false">IF(H356&gt;0,RANK(H356,$H$2:$H$1780)+COUNTIF($H$2:H356,H356)-1,"")</f>
        <v>126</v>
      </c>
      <c r="AA356" s="56" t="n">
        <f aca="false">IF(AC356="","",RANK(AC356,$AC$2:$AC$1780)+COUNTIF($AC$2:AC356,AC356)-1)</f>
        <v>269</v>
      </c>
      <c r="AB356" s="56" t="str">
        <f aca="false">IF(AD356="","",RANK(AD356,$AD$2:$AD$1780)+COUNTIF($AD$2:AD356,AD356)-1)</f>
        <v/>
      </c>
      <c r="AC356" s="32" t="n">
        <f aca="false">IF(AND(F356&gt;0,E356&gt;=Settings!$B$4),J356,"")</f>
        <v>0.0294985250737463</v>
      </c>
      <c r="AD356" s="56" t="str">
        <f aca="false">IF(X356="HIGH RATE",O356,"")</f>
        <v/>
      </c>
    </row>
    <row r="357" customFormat="false" ht="15" hidden="false" customHeight="false" outlineLevel="0" collapsed="false">
      <c r="A357" s="56" t="s">
        <v>1391</v>
      </c>
      <c r="B357" s="56" t="s">
        <v>1392</v>
      </c>
      <c r="C357" s="56" t="s">
        <v>129</v>
      </c>
      <c r="D357" s="56" t="str">
        <f aca="false">IFERROR(INDEX('Brand Map'!$B$4:$B$124,MATCH(C357,'Brand Map'!$A$4:$A$124,0)),"Other")</f>
        <v>AL</v>
      </c>
      <c r="E357" s="57" t="n">
        <v>62</v>
      </c>
      <c r="F357" s="57" t="n">
        <v>2</v>
      </c>
      <c r="G357" s="58" t="n">
        <v>4381.9</v>
      </c>
      <c r="H357" s="58" t="n">
        <v>124.9</v>
      </c>
      <c r="I357" s="58" t="n">
        <v>4257</v>
      </c>
      <c r="J357" s="32" t="n">
        <f aca="false">IF(E357&gt;0,F357/E357,0)</f>
        <v>0.032258064516129</v>
      </c>
      <c r="K357" s="32" t="n">
        <f aca="false">IF(G357&gt;0,H357/G357,0)</f>
        <v>0.0285036171523768</v>
      </c>
      <c r="L357" s="59" t="n">
        <f aca="false">H357/Settings!$B$16</f>
        <v>0.000249615953165412</v>
      </c>
      <c r="M357" s="59" t="n">
        <f aca="false">H357/Settings!$B$20</f>
        <v>9.69653659300057E-006</v>
      </c>
      <c r="N357" s="60" t="n">
        <f aca="false">E357*Settings!$B$3</f>
        <v>1.92114136694887</v>
      </c>
      <c r="O357" s="60" t="n">
        <f aca="false">IF(E357&gt;0,(F357-N357)/SQRT(E357*Settings!$B$3*(1-Settings!$B$3)),0)</f>
        <v>0.057796906088038</v>
      </c>
      <c r="P357" s="60" t="n">
        <f aca="false">MAX(0,F357-N357)</f>
        <v>0.0788586330511341</v>
      </c>
      <c r="Q357" s="32" t="n">
        <f aca="false">(F357+Settings!$B$7*Settings!$B$3)/(E357+Settings!$B$7)</f>
        <v>0.0318433101347241</v>
      </c>
      <c r="R357" s="61" t="n">
        <f aca="false">PERCENTRANK($H$2:$H$1780,H357,6)</f>
        <v>0.783465</v>
      </c>
      <c r="S357" s="61" t="n">
        <f aca="false">PERCENTRANK($Q$2:$Q$1780,Q357,6)</f>
        <v>0.753093</v>
      </c>
      <c r="T357" s="61" t="n">
        <f aca="false">PERCENTRANK($F$2:$F$1780,F357,6)</f>
        <v>0.799775</v>
      </c>
      <c r="U357" s="62" t="n">
        <f aca="false">IF(F357&gt;0,(Settings!$B$8*T357+Settings!$B$9*R357+Settings!$B$10*S357)/SUM(Settings!$B$8:$B$10),0)</f>
        <v>0.778777666666667</v>
      </c>
      <c r="V357" s="56" t="n">
        <f aca="false">IF(U357&gt;0,RANK(U357,$U$2:$U$1780)+COUNTIF($U$2:U357,U357)-1,"")</f>
        <v>356</v>
      </c>
      <c r="W357" s="56" t="str">
        <f aca="false">IF(V357="","",IF(V357&lt;=Settings!$B$11,"1 - Fix first",IF(V357&lt;=Settings!$B$12,"2 - Review","3 - Monitor")))</f>
        <v>3 - Monitor</v>
      </c>
      <c r="X357" s="56" t="str">
        <f aca="false">IF(AND(E357&gt;=Settings!$B$4,F357&gt;=Settings!$B$5,O357&gt;=Settings!$B$6),"HIGH RATE","")</f>
        <v/>
      </c>
      <c r="Y357" s="56" t="n">
        <f aca="false">IF(F357&gt;0,RANK(F357,$F$2:$F$1780)+COUNTIF($F$2:F357,F357)-1,"")</f>
        <v>342</v>
      </c>
      <c r="Z357" s="56" t="n">
        <f aca="false">IF(H357&gt;0,RANK(H357,$H$2:$H$1780)+COUNTIF($H$2:H357,H357)-1,"")</f>
        <v>386</v>
      </c>
      <c r="AA357" s="56" t="n">
        <f aca="false">IF(AC357="","",RANK(AC357,$AC$2:$AC$1780)+COUNTIF($AC$2:AC357,AC357)-1)</f>
        <v>246</v>
      </c>
      <c r="AB357" s="56" t="str">
        <f aca="false">IF(AD357="","",RANK(AD357,$AD$2:$AD$1780)+COUNTIF($AD$2:AD357,AD357)-1)</f>
        <v/>
      </c>
      <c r="AC357" s="32" t="n">
        <f aca="false">IF(AND(F357&gt;0,E357&gt;=Settings!$B$4),J357,"")</f>
        <v>0.032258064516129</v>
      </c>
      <c r="AD357" s="56" t="str">
        <f aca="false">IF(X357="HIGH RATE",O357,"")</f>
        <v/>
      </c>
    </row>
    <row r="358" customFormat="false" ht="15" hidden="false" customHeight="false" outlineLevel="0" collapsed="false">
      <c r="A358" s="56" t="s">
        <v>1393</v>
      </c>
      <c r="B358" s="56" t="s">
        <v>1394</v>
      </c>
      <c r="C358" s="56" t="s">
        <v>87</v>
      </c>
      <c r="D358" s="56" t="str">
        <f aca="false">IFERROR(INDEX('Brand Map'!$B$4:$B$124,MATCH(C358,'Brand Map'!$A$4:$A$124,0)),"Other")</f>
        <v>FYF</v>
      </c>
      <c r="E358" s="57" t="n">
        <v>3</v>
      </c>
      <c r="F358" s="57" t="n">
        <v>1</v>
      </c>
      <c r="G358" s="58" t="n">
        <v>179.97</v>
      </c>
      <c r="H358" s="58" t="n">
        <v>59.99</v>
      </c>
      <c r="I358" s="58" t="n">
        <v>119.98</v>
      </c>
      <c r="J358" s="32" t="n">
        <f aca="false">IF(E358&gt;0,F358/E358,0)</f>
        <v>0.333333333333333</v>
      </c>
      <c r="K358" s="32" t="n">
        <f aca="false">IF(G358&gt;0,H358/G358,0)</f>
        <v>0.333333333333333</v>
      </c>
      <c r="L358" s="59" t="n">
        <f aca="false">H358/Settings!$B$16</f>
        <v>0.000119891601524364</v>
      </c>
      <c r="M358" s="59" t="n">
        <f aca="false">H358/Settings!$B$20</f>
        <v>4.65728767185031E-006</v>
      </c>
      <c r="N358" s="60" t="n">
        <f aca="false">E358*Settings!$B$3</f>
        <v>0.0929584532394613</v>
      </c>
      <c r="O358" s="60" t="n">
        <f aca="false">IF(E358&gt;0,(F358-N358)/SQRT(E358*Settings!$B$3*(1-Settings!$B$3)),0)</f>
        <v>3.02216202325326</v>
      </c>
      <c r="P358" s="60" t="n">
        <f aca="false">MAX(0,F358-N358)</f>
        <v>0.907041546760539</v>
      </c>
      <c r="Q358" s="32" t="n">
        <f aca="false">(F358+Settings!$B$7*Settings!$B$3)/(E358+Settings!$B$7)</f>
        <v>0.0584722585574125</v>
      </c>
      <c r="R358" s="61" t="n">
        <f aca="false">PERCENTRANK($H$2:$H$1780,H358,6)</f>
        <v>0.711474</v>
      </c>
      <c r="S358" s="61" t="n">
        <f aca="false">PERCENTRANK($Q$2:$Q$1780,Q358,6)</f>
        <v>0.938133</v>
      </c>
      <c r="T358" s="61" t="n">
        <f aca="false">PERCENTRANK($F$2:$F$1780,F358,6)</f>
        <v>0.685039</v>
      </c>
      <c r="U358" s="62" t="n">
        <f aca="false">IF(F358&gt;0,(Settings!$B$8*T358+Settings!$B$9*R358+Settings!$B$10*S358)/SUM(Settings!$B$8:$B$10),0)</f>
        <v>0.778215333333333</v>
      </c>
      <c r="V358" s="56" t="n">
        <f aca="false">IF(U358&gt;0,RANK(U358,$U$2:$U$1780)+COUNTIF($U$2:U358,U358)-1,"")</f>
        <v>357</v>
      </c>
      <c r="W358" s="56" t="str">
        <f aca="false">IF(V358="","",IF(V358&lt;=Settings!$B$11,"1 - Fix first",IF(V358&lt;=Settings!$B$12,"2 - Review","3 - Monitor")))</f>
        <v>3 - Monitor</v>
      </c>
      <c r="X358" s="56" t="str">
        <f aca="false">IF(AND(E358&gt;=Settings!$B$4,F358&gt;=Settings!$B$5,O358&gt;=Settings!$B$6),"HIGH RATE","")</f>
        <v/>
      </c>
      <c r="Y358" s="56" t="n">
        <f aca="false">IF(F358&gt;0,RANK(F358,$F$2:$F$1780)+COUNTIF($F$2:F358,F358)-1,"")</f>
        <v>409</v>
      </c>
      <c r="Z358" s="56" t="n">
        <f aca="false">IF(H358&gt;0,RANK(H358,$H$2:$H$1780)+COUNTIF($H$2:H358,H358)-1,"")</f>
        <v>513</v>
      </c>
      <c r="AA358" s="56" t="str">
        <f aca="false">IF(AC358="","",RANK(AC358,$AC$2:$AC$1780)+COUNTIF($AC$2:AC358,AC358)-1)</f>
        <v/>
      </c>
      <c r="AB358" s="56" t="str">
        <f aca="false">IF(AD358="","",RANK(AD358,$AD$2:$AD$1780)+COUNTIF($AD$2:AD358,AD358)-1)</f>
        <v/>
      </c>
      <c r="AC358" s="56" t="str">
        <f aca="false">IF(AND(F358&gt;0,E358&gt;=Settings!$B$4),J358,"")</f>
        <v/>
      </c>
      <c r="AD358" s="56" t="str">
        <f aca="false">IF(X358="HIGH RATE",O358,"")</f>
        <v/>
      </c>
    </row>
    <row r="359" customFormat="false" ht="15" hidden="false" customHeight="false" outlineLevel="0" collapsed="false">
      <c r="A359" s="56" t="s">
        <v>1395</v>
      </c>
      <c r="B359" s="56" t="s">
        <v>1396</v>
      </c>
      <c r="C359" s="56" t="s">
        <v>55</v>
      </c>
      <c r="D359" s="56" t="str">
        <f aca="false">IFERROR(INDEX('Brand Map'!$B$4:$B$124,MATCH(C359,'Brand Map'!$A$4:$A$124,0)),"Other")</f>
        <v>AUMJ</v>
      </c>
      <c r="E359" s="57" t="n">
        <v>336</v>
      </c>
      <c r="F359" s="57" t="n">
        <v>10</v>
      </c>
      <c r="G359" s="58" t="n">
        <v>26061.15</v>
      </c>
      <c r="H359" s="58" t="n">
        <v>730.77</v>
      </c>
      <c r="I359" s="58" t="n">
        <v>24704.09</v>
      </c>
      <c r="J359" s="32" t="n">
        <f aca="false">IF(E359&gt;0,F359/E359,0)</f>
        <v>0.0297619047619048</v>
      </c>
      <c r="K359" s="32" t="n">
        <f aca="false">IF(G359&gt;0,H359/G359,0)</f>
        <v>0.0280405891528194</v>
      </c>
      <c r="L359" s="59" t="n">
        <f aca="false">H359/Settings!$B$16</f>
        <v>0.00146046317129454</v>
      </c>
      <c r="M359" s="59" t="n">
        <f aca="false">H359/Settings!$B$20</f>
        <v>5.67328906810811E-005</v>
      </c>
      <c r="N359" s="60" t="n">
        <f aca="false">E359*Settings!$B$3</f>
        <v>10.4113467628197</v>
      </c>
      <c r="O359" s="60" t="n">
        <f aca="false">IF(E359&gt;0,(F359-N359)/SQRT(E359*Settings!$B$3*(1-Settings!$B$3)),0)</f>
        <v>-0.129505924405945</v>
      </c>
      <c r="P359" s="60" t="n">
        <f aca="false">MAX(0,F359-N359)</f>
        <v>0</v>
      </c>
      <c r="Q359" s="32" t="n">
        <f aca="false">(F359+Settings!$B$7*Settings!$B$3)/(E359+Settings!$B$7)</f>
        <v>0.0298622528207503</v>
      </c>
      <c r="R359" s="61" t="n">
        <f aca="false">PERCENTRANK($H$2:$H$1780,H359,6)</f>
        <v>0.925197</v>
      </c>
      <c r="S359" s="61" t="n">
        <f aca="false">PERCENTRANK($Q$2:$Q$1780,Q359,6)</f>
        <v>0.485377</v>
      </c>
      <c r="T359" s="61" t="n">
        <f aca="false">PERCENTRANK($F$2:$F$1780,F359,6)</f>
        <v>0.922947</v>
      </c>
      <c r="U359" s="62" t="n">
        <f aca="false">IF(F359&gt;0,(Settings!$B$8*T359+Settings!$B$9*R359+Settings!$B$10*S359)/SUM(Settings!$B$8:$B$10),0)</f>
        <v>0.777840333333333</v>
      </c>
      <c r="V359" s="56" t="n">
        <f aca="false">IF(U359&gt;0,RANK(U359,$U$2:$U$1780)+COUNTIF($U$2:U359,U359)-1,"")</f>
        <v>358</v>
      </c>
      <c r="W359" s="56" t="str">
        <f aca="false">IF(V359="","",IF(V359&lt;=Settings!$B$11,"1 - Fix first",IF(V359&lt;=Settings!$B$12,"2 - Review","3 - Monitor")))</f>
        <v>3 - Monitor</v>
      </c>
      <c r="X359" s="56" t="str">
        <f aca="false">IF(AND(E359&gt;=Settings!$B$4,F359&gt;=Settings!$B$5,O359&gt;=Settings!$B$6),"HIGH RATE","")</f>
        <v/>
      </c>
      <c r="Y359" s="56" t="n">
        <f aca="false">IF(F359&gt;0,RANK(F359,$F$2:$F$1780)+COUNTIF($F$2:F359,F359)-1,"")</f>
        <v>138</v>
      </c>
      <c r="Z359" s="56" t="n">
        <f aca="false">IF(H359&gt;0,RANK(H359,$H$2:$H$1780)+COUNTIF($H$2:H359,H359)-1,"")</f>
        <v>134</v>
      </c>
      <c r="AA359" s="56" t="n">
        <f aca="false">IF(AC359="","",RANK(AC359,$AC$2:$AC$1780)+COUNTIF($AC$2:AC359,AC359)-1)</f>
        <v>268</v>
      </c>
      <c r="AB359" s="56" t="str">
        <f aca="false">IF(AD359="","",RANK(AD359,$AD$2:$AD$1780)+COUNTIF($AD$2:AD359,AD359)-1)</f>
        <v/>
      </c>
      <c r="AC359" s="32" t="n">
        <f aca="false">IF(AND(F359&gt;0,E359&gt;=Settings!$B$4),J359,"")</f>
        <v>0.0297619047619048</v>
      </c>
      <c r="AD359" s="56" t="str">
        <f aca="false">IF(X359="HIGH RATE",O359,"")</f>
        <v/>
      </c>
    </row>
    <row r="360" customFormat="false" ht="15" hidden="false" customHeight="false" outlineLevel="0" collapsed="false">
      <c r="A360" s="56" t="s">
        <v>1397</v>
      </c>
      <c r="B360" s="56" t="s">
        <v>1398</v>
      </c>
      <c r="C360" s="56" t="s">
        <v>51</v>
      </c>
      <c r="D360" s="56" t="str">
        <f aca="false">IFERROR(INDEX('Brand Map'!$B$4:$B$124,MATCH(C360,'Brand Map'!$A$4:$A$124,0)),"Other")</f>
        <v>AU</v>
      </c>
      <c r="E360" s="57" t="n">
        <v>7</v>
      </c>
      <c r="F360" s="57" t="n">
        <v>1</v>
      </c>
      <c r="G360" s="58" t="n">
        <v>694.65</v>
      </c>
      <c r="H360" s="58" t="n">
        <v>94.95</v>
      </c>
      <c r="I360" s="58" t="n">
        <v>599.7</v>
      </c>
      <c r="J360" s="32" t="n">
        <f aca="false">IF(E360&gt;0,F360/E360,0)</f>
        <v>0.142857142857143</v>
      </c>
      <c r="K360" s="32" t="n">
        <f aca="false">IF(G360&gt;0,H360/G360,0)</f>
        <v>0.136687540488016</v>
      </c>
      <c r="L360" s="59" t="n">
        <f aca="false">H360/Settings!$B$16</f>
        <v>0.000189760086093322</v>
      </c>
      <c r="M360" s="59" t="n">
        <f aca="false">H360/Settings!$B$20</f>
        <v>7.3713863050873E-006</v>
      </c>
      <c r="N360" s="60" t="n">
        <f aca="false">E360*Settings!$B$3</f>
        <v>0.216903057558743</v>
      </c>
      <c r="O360" s="60" t="n">
        <f aca="false">IF(E360&gt;0,(F360-N360)/SQRT(E360*Settings!$B$3*(1-Settings!$B$3)),0)</f>
        <v>1.70811733149008</v>
      </c>
      <c r="P360" s="60" t="n">
        <f aca="false">MAX(0,F360-N360)</f>
        <v>0.783096942441257</v>
      </c>
      <c r="Q360" s="32" t="n">
        <f aca="false">(F360+Settings!$B$7*Settings!$B$3)/(E360+Settings!$B$7)</f>
        <v>0.0521509333079625</v>
      </c>
      <c r="R360" s="61" t="n">
        <f aca="false">PERCENTRANK($H$2:$H$1780,H360,6)</f>
        <v>0.748594</v>
      </c>
      <c r="S360" s="61" t="n">
        <f aca="false">PERCENTRANK($Q$2:$Q$1780,Q360,6)</f>
        <v>0.898763</v>
      </c>
      <c r="T360" s="61" t="n">
        <f aca="false">PERCENTRANK($F$2:$F$1780,F360,6)</f>
        <v>0.685039</v>
      </c>
      <c r="U360" s="62" t="n">
        <f aca="false">IF(F360&gt;0,(Settings!$B$8*T360+Settings!$B$9*R360+Settings!$B$10*S360)/SUM(Settings!$B$8:$B$10),0)</f>
        <v>0.777465333333333</v>
      </c>
      <c r="V360" s="56" t="n">
        <f aca="false">IF(U360&gt;0,RANK(U360,$U$2:$U$1780)+COUNTIF($U$2:U360,U360)-1,"")</f>
        <v>359</v>
      </c>
      <c r="W360" s="56" t="str">
        <f aca="false">IF(V360="","",IF(V360&lt;=Settings!$B$11,"1 - Fix first",IF(V360&lt;=Settings!$B$12,"2 - Review","3 - Monitor")))</f>
        <v>3 - Monitor</v>
      </c>
      <c r="X360" s="56" t="str">
        <f aca="false">IF(AND(E360&gt;=Settings!$B$4,F360&gt;=Settings!$B$5,O360&gt;=Settings!$B$6),"HIGH RATE","")</f>
        <v/>
      </c>
      <c r="Y360" s="56" t="n">
        <f aca="false">IF(F360&gt;0,RANK(F360,$F$2:$F$1780)+COUNTIF($F$2:F360,F360)-1,"")</f>
        <v>410</v>
      </c>
      <c r="Z360" s="56" t="n">
        <f aca="false">IF(H360&gt;0,RANK(H360,$H$2:$H$1780)+COUNTIF($H$2:H360,H360)-1,"")</f>
        <v>441</v>
      </c>
      <c r="AA360" s="56" t="str">
        <f aca="false">IF(AC360="","",RANK(AC360,$AC$2:$AC$1780)+COUNTIF($AC$2:AC360,AC360)-1)</f>
        <v/>
      </c>
      <c r="AB360" s="56" t="str">
        <f aca="false">IF(AD360="","",RANK(AD360,$AD$2:$AD$1780)+COUNTIF($AD$2:AD360,AD360)-1)</f>
        <v/>
      </c>
      <c r="AC360" s="56" t="str">
        <f aca="false">IF(AND(F360&gt;0,E360&gt;=Settings!$B$4),J360,"")</f>
        <v/>
      </c>
      <c r="AD360" s="56" t="str">
        <f aca="false">IF(X360="HIGH RATE",O360,"")</f>
        <v/>
      </c>
    </row>
    <row r="361" customFormat="false" ht="15" hidden="false" customHeight="false" outlineLevel="0" collapsed="false">
      <c r="A361" s="56" t="s">
        <v>1399</v>
      </c>
      <c r="B361" s="56" t="s">
        <v>997</v>
      </c>
      <c r="C361" s="56" t="s">
        <v>55</v>
      </c>
      <c r="D361" s="56" t="str">
        <f aca="false">IFERROR(INDEX('Brand Map'!$B$4:$B$124,MATCH(C361,'Brand Map'!$A$4:$A$124,0)),"Other")</f>
        <v>AUMJ</v>
      </c>
      <c r="E361" s="57" t="n">
        <v>9</v>
      </c>
      <c r="F361" s="57" t="n">
        <v>1</v>
      </c>
      <c r="G361" s="58" t="n">
        <v>971.55</v>
      </c>
      <c r="H361" s="58" t="n">
        <v>107.95</v>
      </c>
      <c r="I361" s="58" t="n">
        <v>863.6</v>
      </c>
      <c r="J361" s="32" t="n">
        <f aca="false">IF(E361&gt;0,F361/E361,0)</f>
        <v>0.111111111111111</v>
      </c>
      <c r="K361" s="32" t="n">
        <f aca="false">IF(G361&gt;0,H361/G361,0)</f>
        <v>0.111111111111111</v>
      </c>
      <c r="L361" s="59" t="n">
        <f aca="false">H361/Settings!$B$16</f>
        <v>0.000215740929897568</v>
      </c>
      <c r="M361" s="59" t="n">
        <f aca="false">H361/Settings!$B$20</f>
        <v>8.38063350852211E-006</v>
      </c>
      <c r="N361" s="60" t="n">
        <f aca="false">E361*Settings!$B$3</f>
        <v>0.278875359718384</v>
      </c>
      <c r="O361" s="60" t="n">
        <f aca="false">IF(E361&gt;0,(F361-N361)/SQRT(E361*Settings!$B$3*(1-Settings!$B$3)),0)</f>
        <v>1.38720380579105</v>
      </c>
      <c r="P361" s="60" t="n">
        <f aca="false">MAX(0,F361-N361)</f>
        <v>0.721124640281616</v>
      </c>
      <c r="Q361" s="32" t="n">
        <f aca="false">(F361+Settings!$B$7*Settings!$B$3)/(E361+Settings!$B$7)</f>
        <v>0.0494765264716567</v>
      </c>
      <c r="R361" s="61" t="n">
        <f aca="false">PERCENTRANK($H$2:$H$1780,H361,6)</f>
        <v>0.76378</v>
      </c>
      <c r="S361" s="61" t="n">
        <f aca="false">PERCENTRANK($Q$2:$Q$1780,Q361,6)</f>
        <v>0.882452</v>
      </c>
      <c r="T361" s="61" t="n">
        <f aca="false">PERCENTRANK($F$2:$F$1780,F361,6)</f>
        <v>0.685039</v>
      </c>
      <c r="U361" s="62" t="n">
        <f aca="false">IF(F361&gt;0,(Settings!$B$8*T361+Settings!$B$9*R361+Settings!$B$10*S361)/SUM(Settings!$B$8:$B$10),0)</f>
        <v>0.777090333333333</v>
      </c>
      <c r="V361" s="56" t="n">
        <f aca="false">IF(U361&gt;0,RANK(U361,$U$2:$U$1780)+COUNTIF($U$2:U361,U361)-1,"")</f>
        <v>360</v>
      </c>
      <c r="W361" s="56" t="str">
        <f aca="false">IF(V361="","",IF(V361&lt;=Settings!$B$11,"1 - Fix first",IF(V361&lt;=Settings!$B$12,"2 - Review","3 - Monitor")))</f>
        <v>3 - Monitor</v>
      </c>
      <c r="X361" s="56" t="str">
        <f aca="false">IF(AND(E361&gt;=Settings!$B$4,F361&gt;=Settings!$B$5,O361&gt;=Settings!$B$6),"HIGH RATE","")</f>
        <v/>
      </c>
      <c r="Y361" s="56" t="n">
        <f aca="false">IF(F361&gt;0,RANK(F361,$F$2:$F$1780)+COUNTIF($F$2:F361,F361)-1,"")</f>
        <v>411</v>
      </c>
      <c r="Z361" s="56" t="n">
        <f aca="false">IF(H361&gt;0,RANK(H361,$H$2:$H$1780)+COUNTIF($H$2:H361,H361)-1,"")</f>
        <v>421</v>
      </c>
      <c r="AA361" s="56" t="str">
        <f aca="false">IF(AC361="","",RANK(AC361,$AC$2:$AC$1780)+COUNTIF($AC$2:AC361,AC361)-1)</f>
        <v/>
      </c>
      <c r="AB361" s="56" t="str">
        <f aca="false">IF(AD361="","",RANK(AD361,$AD$2:$AD$1780)+COUNTIF($AD$2:AD361,AD361)-1)</f>
        <v/>
      </c>
      <c r="AC361" s="56" t="str">
        <f aca="false">IF(AND(F361&gt;0,E361&gt;=Settings!$B$4),J361,"")</f>
        <v/>
      </c>
      <c r="AD361" s="56" t="str">
        <f aca="false">IF(X361="HIGH RATE",O361,"")</f>
        <v/>
      </c>
    </row>
    <row r="362" customFormat="false" ht="15" hidden="false" customHeight="false" outlineLevel="0" collapsed="false">
      <c r="A362" s="56" t="s">
        <v>1400</v>
      </c>
      <c r="B362" s="56" t="s">
        <v>1401</v>
      </c>
      <c r="C362" s="56" t="s">
        <v>180</v>
      </c>
      <c r="D362" s="56" t="str">
        <f aca="false">IFERROR(INDEX('Brand Map'!$B$4:$B$124,MATCH(C362,'Brand Map'!$A$4:$A$124,0)),"Other")</f>
        <v>MDPR</v>
      </c>
      <c r="E362" s="57" t="n">
        <v>13</v>
      </c>
      <c r="F362" s="57" t="n">
        <v>1</v>
      </c>
      <c r="G362" s="58" t="n">
        <v>1845.71</v>
      </c>
      <c r="H362" s="58" t="n">
        <v>146.32</v>
      </c>
      <c r="I362" s="58" t="n">
        <v>1699.39</v>
      </c>
      <c r="J362" s="32" t="n">
        <f aca="false">IF(E362&gt;0,F362/E362,0)</f>
        <v>0.0769230769230769</v>
      </c>
      <c r="K362" s="32" t="n">
        <f aca="false">IF(G362&gt;0,H362/G362,0)</f>
        <v>0.0792757258724285</v>
      </c>
      <c r="L362" s="59" t="n">
        <f aca="false">H362/Settings!$B$16</f>
        <v>0.000292424389649024</v>
      </c>
      <c r="M362" s="59" t="n">
        <f aca="false">H362/Settings!$B$20</f>
        <v>1.13594654466601E-005</v>
      </c>
      <c r="N362" s="60" t="n">
        <f aca="false">E362*Settings!$B$3</f>
        <v>0.402819964037665</v>
      </c>
      <c r="O362" s="60" t="n">
        <f aca="false">IF(E362&gt;0,(F362-N362)/SQRT(E362*Settings!$B$3*(1-Settings!$B$3)),0)</f>
        <v>0.955839107624911</v>
      </c>
      <c r="P362" s="60" t="n">
        <f aca="false">MAX(0,F362-N362)</f>
        <v>0.597180035962335</v>
      </c>
      <c r="Q362" s="32" t="n">
        <f aca="false">(F362+Settings!$B$7*Settings!$B$3)/(E362+Settings!$B$7)</f>
        <v>0.044874058892898</v>
      </c>
      <c r="R362" s="61" t="n">
        <f aca="false">PERCENTRANK($H$2:$H$1780,H362,6)</f>
        <v>0.8009</v>
      </c>
      <c r="S362" s="61" t="n">
        <f aca="false">PERCENTRANK($Q$2:$Q$1780,Q362,6)</f>
        <v>0.844207</v>
      </c>
      <c r="T362" s="61" t="n">
        <f aca="false">PERCENTRANK($F$2:$F$1780,F362,6)</f>
        <v>0.685039</v>
      </c>
      <c r="U362" s="62" t="n">
        <f aca="false">IF(F362&gt;0,(Settings!$B$8*T362+Settings!$B$9*R362+Settings!$B$10*S362)/SUM(Settings!$B$8:$B$10),0)</f>
        <v>0.776715333333333</v>
      </c>
      <c r="V362" s="56" t="n">
        <f aca="false">IF(U362&gt;0,RANK(U362,$U$2:$U$1780)+COUNTIF($U$2:U362,U362)-1,"")</f>
        <v>361</v>
      </c>
      <c r="W362" s="56" t="str">
        <f aca="false">IF(V362="","",IF(V362&lt;=Settings!$B$11,"1 - Fix first",IF(V362&lt;=Settings!$B$12,"2 - Review","3 - Monitor")))</f>
        <v>3 - Monitor</v>
      </c>
      <c r="X362" s="56" t="str">
        <f aca="false">IF(AND(E362&gt;=Settings!$B$4,F362&gt;=Settings!$B$5,O362&gt;=Settings!$B$6),"HIGH RATE","")</f>
        <v/>
      </c>
      <c r="Y362" s="56" t="n">
        <f aca="false">IF(F362&gt;0,RANK(F362,$F$2:$F$1780)+COUNTIF($F$2:F362,F362)-1,"")</f>
        <v>412</v>
      </c>
      <c r="Z362" s="56" t="n">
        <f aca="false">IF(H362&gt;0,RANK(H362,$H$2:$H$1780)+COUNTIF($H$2:H362,H362)-1,"")</f>
        <v>355</v>
      </c>
      <c r="AA362" s="56" t="str">
        <f aca="false">IF(AC362="","",RANK(AC362,$AC$2:$AC$1780)+COUNTIF($AC$2:AC362,AC362)-1)</f>
        <v/>
      </c>
      <c r="AB362" s="56" t="str">
        <f aca="false">IF(AD362="","",RANK(AD362,$AD$2:$AD$1780)+COUNTIF($AD$2:AD362,AD362)-1)</f>
        <v/>
      </c>
      <c r="AC362" s="56" t="str">
        <f aca="false">IF(AND(F362&gt;0,E362&gt;=Settings!$B$4),J362,"")</f>
        <v/>
      </c>
      <c r="AD362" s="56" t="str">
        <f aca="false">IF(X362="HIGH RATE",O362,"")</f>
        <v/>
      </c>
    </row>
    <row r="363" customFormat="false" ht="15" hidden="false" customHeight="false" outlineLevel="0" collapsed="false">
      <c r="A363" s="56" t="s">
        <v>1402</v>
      </c>
      <c r="B363" s="56" t="s">
        <v>999</v>
      </c>
      <c r="C363" s="56" t="s">
        <v>87</v>
      </c>
      <c r="D363" s="56" t="str">
        <f aca="false">IFERROR(INDEX('Brand Map'!$B$4:$B$124,MATCH(C363,'Brand Map'!$A$4:$A$124,0)),"Other")</f>
        <v>FYF</v>
      </c>
      <c r="E363" s="57" t="n">
        <v>17</v>
      </c>
      <c r="F363" s="57" t="n">
        <v>1</v>
      </c>
      <c r="G363" s="58" t="n">
        <v>3144.15</v>
      </c>
      <c r="H363" s="58" t="n">
        <v>184.95</v>
      </c>
      <c r="I363" s="58" t="n">
        <v>2959.2</v>
      </c>
      <c r="J363" s="32" t="n">
        <f aca="false">IF(E363&gt;0,F363/E363,0)</f>
        <v>0.0588235294117647</v>
      </c>
      <c r="K363" s="32" t="n">
        <f aca="false">IF(G363&gt;0,H363/G363,0)</f>
        <v>0.0588235294117647</v>
      </c>
      <c r="L363" s="59" t="n">
        <f aca="false">H363/Settings!$B$16</f>
        <v>0.000369627466276565</v>
      </c>
      <c r="M363" s="59" t="n">
        <f aca="false">H363/Settings!$B$20</f>
        <v>1.43584823288667E-005</v>
      </c>
      <c r="N363" s="60" t="n">
        <f aca="false">E363*Settings!$B$3</f>
        <v>0.526764568356947</v>
      </c>
      <c r="O363" s="60" t="n">
        <f aca="false">IF(E363&gt;0,(F363-N363)/SQRT(E363*Settings!$B$3*(1-Settings!$B$3)),0)</f>
        <v>0.662375077885243</v>
      </c>
      <c r="P363" s="60" t="n">
        <f aca="false">MAX(0,F363-N363)</f>
        <v>0.473235431643053</v>
      </c>
      <c r="Q363" s="32" t="n">
        <f aca="false">(F363+Settings!$B$7*Settings!$B$3)/(E363+Settings!$B$7)</f>
        <v>0.0410549900509492</v>
      </c>
      <c r="R363" s="61" t="n">
        <f aca="false">PERCENTRANK($H$2:$H$1780,H363,6)</f>
        <v>0.823397</v>
      </c>
      <c r="S363" s="61" t="n">
        <f aca="false">PERCENTRANK($Q$2:$Q$1780,Q363,6)</f>
        <v>0.81946</v>
      </c>
      <c r="T363" s="61" t="n">
        <f aca="false">PERCENTRANK($F$2:$F$1780,F363,6)</f>
        <v>0.685039</v>
      </c>
      <c r="U363" s="62" t="n">
        <f aca="false">IF(F363&gt;0,(Settings!$B$8*T363+Settings!$B$9*R363+Settings!$B$10*S363)/SUM(Settings!$B$8:$B$10),0)</f>
        <v>0.775965333333333</v>
      </c>
      <c r="V363" s="56" t="n">
        <f aca="false">IF(U363&gt;0,RANK(U363,$U$2:$U$1780)+COUNTIF($U$2:U363,U363)-1,"")</f>
        <v>362</v>
      </c>
      <c r="W363" s="56" t="str">
        <f aca="false">IF(V363="","",IF(V363&lt;=Settings!$B$11,"1 - Fix first",IF(V363&lt;=Settings!$B$12,"2 - Review","3 - Monitor")))</f>
        <v>3 - Monitor</v>
      </c>
      <c r="X363" s="56" t="str">
        <f aca="false">IF(AND(E363&gt;=Settings!$B$4,F363&gt;=Settings!$B$5,O363&gt;=Settings!$B$6),"HIGH RATE","")</f>
        <v/>
      </c>
      <c r="Y363" s="56" t="n">
        <f aca="false">IF(F363&gt;0,RANK(F363,$F$2:$F$1780)+COUNTIF($F$2:F363,F363)-1,"")</f>
        <v>413</v>
      </c>
      <c r="Z363" s="56" t="n">
        <f aca="false">IF(H363&gt;0,RANK(H363,$H$2:$H$1780)+COUNTIF($H$2:H363,H363)-1,"")</f>
        <v>315</v>
      </c>
      <c r="AA363" s="56" t="str">
        <f aca="false">IF(AC363="","",RANK(AC363,$AC$2:$AC$1780)+COUNTIF($AC$2:AC363,AC363)-1)</f>
        <v/>
      </c>
      <c r="AB363" s="56" t="str">
        <f aca="false">IF(AD363="","",RANK(AD363,$AD$2:$AD$1780)+COUNTIF($AD$2:AD363,AD363)-1)</f>
        <v/>
      </c>
      <c r="AC363" s="56" t="str">
        <f aca="false">IF(AND(F363&gt;0,E363&gt;=Settings!$B$4),J363,"")</f>
        <v/>
      </c>
      <c r="AD363" s="56" t="str">
        <f aca="false">IF(X363="HIGH RATE",O363,"")</f>
        <v/>
      </c>
    </row>
    <row r="364" customFormat="false" ht="15" hidden="false" customHeight="false" outlineLevel="0" collapsed="false">
      <c r="A364" s="56" t="s">
        <v>1403</v>
      </c>
      <c r="B364" s="56" t="s">
        <v>1394</v>
      </c>
      <c r="C364" s="56" t="s">
        <v>87</v>
      </c>
      <c r="D364" s="56" t="str">
        <f aca="false">IFERROR(INDEX('Brand Map'!$B$4:$B$124,MATCH(C364,'Brand Map'!$A$4:$A$124,0)),"Other")</f>
        <v>FYF</v>
      </c>
      <c r="E364" s="57" t="n">
        <v>4</v>
      </c>
      <c r="F364" s="57" t="n">
        <v>1</v>
      </c>
      <c r="G364" s="58" t="n">
        <v>239.96</v>
      </c>
      <c r="H364" s="58" t="n">
        <v>59.99</v>
      </c>
      <c r="I364" s="58" t="n">
        <v>179.97</v>
      </c>
      <c r="J364" s="32" t="n">
        <f aca="false">IF(E364&gt;0,F364/E364,0)</f>
        <v>0.25</v>
      </c>
      <c r="K364" s="32" t="n">
        <f aca="false">IF(G364&gt;0,H364/G364,0)</f>
        <v>0.25</v>
      </c>
      <c r="L364" s="59" t="n">
        <f aca="false">H364/Settings!$B$16</f>
        <v>0.000119891601524364</v>
      </c>
      <c r="M364" s="59" t="n">
        <f aca="false">H364/Settings!$B$20</f>
        <v>4.65728767185031E-006</v>
      </c>
      <c r="N364" s="60" t="n">
        <f aca="false">E364*Settings!$B$3</f>
        <v>0.123944604319282</v>
      </c>
      <c r="O364" s="60" t="n">
        <f aca="false">IF(E364&gt;0,(F364-N364)/SQRT(E364*Settings!$B$3*(1-Settings!$B$3)),0)</f>
        <v>2.52785852352268</v>
      </c>
      <c r="P364" s="60" t="n">
        <f aca="false">MAX(0,F364-N364)</f>
        <v>0.876055395680718</v>
      </c>
      <c r="Q364" s="32" t="n">
        <f aca="false">(F364+Settings!$B$7*Settings!$B$3)/(E364+Settings!$B$7)</f>
        <v>0.0567524862469004</v>
      </c>
      <c r="R364" s="61" t="n">
        <f aca="false">PERCENTRANK($H$2:$H$1780,H364,6)</f>
        <v>0.711474</v>
      </c>
      <c r="S364" s="61" t="n">
        <f aca="false">PERCENTRANK($Q$2:$Q$1780,Q364,6)</f>
        <v>0.930821</v>
      </c>
      <c r="T364" s="61" t="n">
        <f aca="false">PERCENTRANK($F$2:$F$1780,F364,6)</f>
        <v>0.685039</v>
      </c>
      <c r="U364" s="62" t="n">
        <f aca="false">IF(F364&gt;0,(Settings!$B$8*T364+Settings!$B$9*R364+Settings!$B$10*S364)/SUM(Settings!$B$8:$B$10),0)</f>
        <v>0.775778</v>
      </c>
      <c r="V364" s="56" t="n">
        <f aca="false">IF(U364&gt;0,RANK(U364,$U$2:$U$1780)+COUNTIF($U$2:U364,U364)-1,"")</f>
        <v>363</v>
      </c>
      <c r="W364" s="56" t="str">
        <f aca="false">IF(V364="","",IF(V364&lt;=Settings!$B$11,"1 - Fix first",IF(V364&lt;=Settings!$B$12,"2 - Review","3 - Monitor")))</f>
        <v>3 - Monitor</v>
      </c>
      <c r="X364" s="56" t="str">
        <f aca="false">IF(AND(E364&gt;=Settings!$B$4,F364&gt;=Settings!$B$5,O364&gt;=Settings!$B$6),"HIGH RATE","")</f>
        <v/>
      </c>
      <c r="Y364" s="56" t="n">
        <f aca="false">IF(F364&gt;0,RANK(F364,$F$2:$F$1780)+COUNTIF($F$2:F364,F364)-1,"")</f>
        <v>414</v>
      </c>
      <c r="Z364" s="56" t="n">
        <f aca="false">IF(H364&gt;0,RANK(H364,$H$2:$H$1780)+COUNTIF($H$2:H364,H364)-1,"")</f>
        <v>514</v>
      </c>
      <c r="AA364" s="56" t="str">
        <f aca="false">IF(AC364="","",RANK(AC364,$AC$2:$AC$1780)+COUNTIF($AC$2:AC364,AC364)-1)</f>
        <v/>
      </c>
      <c r="AB364" s="56" t="str">
        <f aca="false">IF(AD364="","",RANK(AD364,$AD$2:$AD$1780)+COUNTIF($AD$2:AD364,AD364)-1)</f>
        <v/>
      </c>
      <c r="AC364" s="56" t="str">
        <f aca="false">IF(AND(F364&gt;0,E364&gt;=Settings!$B$4),J364,"")</f>
        <v/>
      </c>
      <c r="AD364" s="56" t="str">
        <f aca="false">IF(X364="HIGH RATE",O364,"")</f>
        <v/>
      </c>
    </row>
    <row r="365" customFormat="false" ht="15" hidden="false" customHeight="false" outlineLevel="0" collapsed="false">
      <c r="A365" s="56" t="s">
        <v>729</v>
      </c>
      <c r="B365" s="56" t="s">
        <v>730</v>
      </c>
      <c r="C365" s="56" t="s">
        <v>728</v>
      </c>
      <c r="D365" s="56" t="str">
        <f aca="false">IFERROR(INDEX('Brand Map'!$B$4:$B$124,MATCH(C365,'Brand Map'!$A$4:$A$124,0)),"Other")</f>
        <v>Other (small prefixes)</v>
      </c>
      <c r="E365" s="57" t="n">
        <v>11</v>
      </c>
      <c r="F365" s="57" t="n">
        <v>1</v>
      </c>
      <c r="G365" s="58" t="n">
        <v>1144.94</v>
      </c>
      <c r="H365" s="58" t="n">
        <v>120.53</v>
      </c>
      <c r="I365" s="58" t="n">
        <v>1006.34</v>
      </c>
      <c r="J365" s="32" t="n">
        <f aca="false">IF(E365&gt;0,F365/E365,0)</f>
        <v>0.0909090909090909</v>
      </c>
      <c r="K365" s="32" t="n">
        <f aca="false">IF(G365&gt;0,H365/G365,0)</f>
        <v>0.105271891976872</v>
      </c>
      <c r="L365" s="59" t="n">
        <f aca="false">H365/Settings!$B$16</f>
        <v>0.000240882392594292</v>
      </c>
      <c r="M365" s="59" t="n">
        <f aca="false">H365/Settings!$B$20</f>
        <v>9.35727426384595E-006</v>
      </c>
      <c r="N365" s="60" t="n">
        <f aca="false">E365*Settings!$B$3</f>
        <v>0.340847661878025</v>
      </c>
      <c r="O365" s="60" t="n">
        <f aca="false">IF(E365&gt;0,(F365-N365)/SQRT(E365*Settings!$B$3*(1-Settings!$B$3)),0)</f>
        <v>1.14693985782354</v>
      </c>
      <c r="P365" s="60" t="n">
        <f aca="false">MAX(0,F365-N365)</f>
        <v>0.659152338121975</v>
      </c>
      <c r="Q365" s="32" t="n">
        <f aca="false">(F365+Settings!$B$7*Settings!$B$3)/(E365+Settings!$B$7)</f>
        <v>0.0470630373754784</v>
      </c>
      <c r="R365" s="61" t="n">
        <f aca="false">PERCENTRANK($H$2:$H$1780,H365,6)</f>
        <v>0.779528</v>
      </c>
      <c r="S365" s="61" t="n">
        <f aca="false">PERCENTRANK($Q$2:$Q$1780,Q365,6)</f>
        <v>0.862205</v>
      </c>
      <c r="T365" s="61" t="n">
        <f aca="false">PERCENTRANK($F$2:$F$1780,F365,6)</f>
        <v>0.685039</v>
      </c>
      <c r="U365" s="62" t="n">
        <f aca="false">IF(F365&gt;0,(Settings!$B$8*T365+Settings!$B$9*R365+Settings!$B$10*S365)/SUM(Settings!$B$8:$B$10),0)</f>
        <v>0.775590666666667</v>
      </c>
      <c r="V365" s="56" t="n">
        <f aca="false">IF(U365&gt;0,RANK(U365,$U$2:$U$1780)+COUNTIF($U$2:U365,U365)-1,"")</f>
        <v>364</v>
      </c>
      <c r="W365" s="56" t="str">
        <f aca="false">IF(V365="","",IF(V365&lt;=Settings!$B$11,"1 - Fix first",IF(V365&lt;=Settings!$B$12,"2 - Review","3 - Monitor")))</f>
        <v>3 - Monitor</v>
      </c>
      <c r="X365" s="56" t="str">
        <f aca="false">IF(AND(E365&gt;=Settings!$B$4,F365&gt;=Settings!$B$5,O365&gt;=Settings!$B$6),"HIGH RATE","")</f>
        <v/>
      </c>
      <c r="Y365" s="56" t="n">
        <f aca="false">IF(F365&gt;0,RANK(F365,$F$2:$F$1780)+COUNTIF($F$2:F365,F365)-1,"")</f>
        <v>415</v>
      </c>
      <c r="Z365" s="56" t="n">
        <f aca="false">IF(H365&gt;0,RANK(H365,$H$2:$H$1780)+COUNTIF($H$2:H365,H365)-1,"")</f>
        <v>393</v>
      </c>
      <c r="AA365" s="56" t="str">
        <f aca="false">IF(AC365="","",RANK(AC365,$AC$2:$AC$1780)+COUNTIF($AC$2:AC365,AC365)-1)</f>
        <v/>
      </c>
      <c r="AB365" s="56" t="str">
        <f aca="false">IF(AD365="","",RANK(AD365,$AD$2:$AD$1780)+COUNTIF($AD$2:AD365,AD365)-1)</f>
        <v/>
      </c>
      <c r="AC365" s="56" t="str">
        <f aca="false">IF(AND(F365&gt;0,E365&gt;=Settings!$B$4),J365,"")</f>
        <v/>
      </c>
      <c r="AD365" s="56" t="str">
        <f aca="false">IF(X365="HIGH RATE",O365,"")</f>
        <v/>
      </c>
    </row>
    <row r="366" customFormat="false" ht="15" hidden="false" customHeight="false" outlineLevel="0" collapsed="false">
      <c r="A366" s="56" t="s">
        <v>1404</v>
      </c>
      <c r="B366" s="56" t="s">
        <v>1405</v>
      </c>
      <c r="C366" s="56" t="s">
        <v>87</v>
      </c>
      <c r="D366" s="56" t="str">
        <f aca="false">IFERROR(INDEX('Brand Map'!$B$4:$B$124,MATCH(C366,'Brand Map'!$A$4:$A$124,0)),"Other")</f>
        <v>FYF</v>
      </c>
      <c r="E366" s="57" t="n">
        <v>6</v>
      </c>
      <c r="F366" s="57" t="n">
        <v>1</v>
      </c>
      <c r="G366" s="58" t="n">
        <v>479.7</v>
      </c>
      <c r="H366" s="58" t="n">
        <v>79.95</v>
      </c>
      <c r="I366" s="58" t="n">
        <v>399.75</v>
      </c>
      <c r="J366" s="32" t="n">
        <f aca="false">IF(E366&gt;0,F366/E366,0)</f>
        <v>0.166666666666667</v>
      </c>
      <c r="K366" s="32" t="n">
        <f aca="false">IF(G366&gt;0,H366/G366,0)</f>
        <v>0.166666666666667</v>
      </c>
      <c r="L366" s="59" t="n">
        <f aca="false">H366/Settings!$B$16</f>
        <v>0.000159782189396114</v>
      </c>
      <c r="M366" s="59" t="n">
        <f aca="false">H366/Settings!$B$20</f>
        <v>6.20687030112407E-006</v>
      </c>
      <c r="N366" s="60" t="n">
        <f aca="false">E366*Settings!$B$3</f>
        <v>0.185916906478923</v>
      </c>
      <c r="O366" s="60" t="n">
        <f aca="false">IF(E366&gt;0,(F366-N366)/SQRT(E366*Settings!$B$3*(1-Settings!$B$3)),0)</f>
        <v>1.91798100360216</v>
      </c>
      <c r="P366" s="60" t="n">
        <f aca="false">MAX(0,F366-N366)</f>
        <v>0.814083093521077</v>
      </c>
      <c r="Q366" s="32" t="n">
        <f aca="false">(F366+Settings!$B$7*Settings!$B$3)/(E366+Settings!$B$7)</f>
        <v>0.0535995703442948</v>
      </c>
      <c r="R366" s="61" t="n">
        <f aca="false">PERCENTRANK($H$2:$H$1780,H366,6)</f>
        <v>0.728909</v>
      </c>
      <c r="S366" s="61" t="n">
        <f aca="false">PERCENTRANK($Q$2:$Q$1780,Q366,6)</f>
        <v>0.909449</v>
      </c>
      <c r="T366" s="61" t="n">
        <f aca="false">PERCENTRANK($F$2:$F$1780,F366,6)</f>
        <v>0.685039</v>
      </c>
      <c r="U366" s="62" t="n">
        <f aca="false">IF(F366&gt;0,(Settings!$B$8*T366+Settings!$B$9*R366+Settings!$B$10*S366)/SUM(Settings!$B$8:$B$10),0)</f>
        <v>0.774465666666667</v>
      </c>
      <c r="V366" s="56" t="n">
        <f aca="false">IF(U366&gt;0,RANK(U366,$U$2:$U$1780)+COUNTIF($U$2:U366,U366)-1,"")</f>
        <v>365</v>
      </c>
      <c r="W366" s="56" t="str">
        <f aca="false">IF(V366="","",IF(V366&lt;=Settings!$B$11,"1 - Fix first",IF(V366&lt;=Settings!$B$12,"2 - Review","3 - Monitor")))</f>
        <v>3 - Monitor</v>
      </c>
      <c r="X366" s="56" t="str">
        <f aca="false">IF(AND(E366&gt;=Settings!$B$4,F366&gt;=Settings!$B$5,O366&gt;=Settings!$B$6),"HIGH RATE","")</f>
        <v/>
      </c>
      <c r="Y366" s="56" t="n">
        <f aca="false">IF(F366&gt;0,RANK(F366,$F$2:$F$1780)+COUNTIF($F$2:F366,F366)-1,"")</f>
        <v>416</v>
      </c>
      <c r="Z366" s="56" t="n">
        <f aca="false">IF(H366&gt;0,RANK(H366,$H$2:$H$1780)+COUNTIF($H$2:H366,H366)-1,"")</f>
        <v>476</v>
      </c>
      <c r="AA366" s="56" t="str">
        <f aca="false">IF(AC366="","",RANK(AC366,$AC$2:$AC$1780)+COUNTIF($AC$2:AC366,AC366)-1)</f>
        <v/>
      </c>
      <c r="AB366" s="56" t="str">
        <f aca="false">IF(AD366="","",RANK(AD366,$AD$2:$AD$1780)+COUNTIF($AD$2:AD366,AD366)-1)</f>
        <v/>
      </c>
      <c r="AC366" s="56" t="str">
        <f aca="false">IF(AND(F366&gt;0,E366&gt;=Settings!$B$4),J366,"")</f>
        <v/>
      </c>
      <c r="AD366" s="56" t="str">
        <f aca="false">IF(X366="HIGH RATE",O366,"")</f>
        <v/>
      </c>
    </row>
    <row r="367" customFormat="false" ht="15" hidden="false" customHeight="false" outlineLevel="0" collapsed="false">
      <c r="A367" s="56" t="s">
        <v>702</v>
      </c>
      <c r="B367" s="56" t="s">
        <v>703</v>
      </c>
      <c r="C367" s="56" t="s">
        <v>701</v>
      </c>
      <c r="D367" s="56" t="str">
        <f aca="false">IFERROR(INDEX('Brand Map'!$B$4:$B$124,MATCH(C367,'Brand Map'!$A$4:$A$124,0)),"Other")</f>
        <v>Other (small prefixes)</v>
      </c>
      <c r="E367" s="57" t="n">
        <v>14</v>
      </c>
      <c r="F367" s="57" t="n">
        <v>1</v>
      </c>
      <c r="G367" s="58" t="n">
        <v>2306.13</v>
      </c>
      <c r="H367" s="58" t="n">
        <v>142.92</v>
      </c>
      <c r="I367" s="58" t="n">
        <v>1859.87</v>
      </c>
      <c r="J367" s="32" t="n">
        <f aca="false">IF(E367&gt;0,F367/E367,0)</f>
        <v>0.0714285714285714</v>
      </c>
      <c r="K367" s="32" t="n">
        <f aca="false">IF(G367&gt;0,H367/G367,0)</f>
        <v>0.0619739563684614</v>
      </c>
      <c r="L367" s="59" t="n">
        <f aca="false">H367/Settings!$B$16</f>
        <v>0.00028562939973099</v>
      </c>
      <c r="M367" s="59" t="n">
        <f aca="false">H367/Settings!$B$20</f>
        <v>1.10955084857617E-005</v>
      </c>
      <c r="N367" s="60" t="n">
        <f aca="false">E367*Settings!$B$3</f>
        <v>0.433806115117486</v>
      </c>
      <c r="O367" s="60" t="n">
        <f aca="false">IF(E367&gt;0,(F367-N367)/SQRT(E367*Settings!$B$3*(1-Settings!$B$3)),0)</f>
        <v>0.873277654776981</v>
      </c>
      <c r="P367" s="60" t="n">
        <f aca="false">MAX(0,F367-N367)</f>
        <v>0.566193884882514</v>
      </c>
      <c r="Q367" s="32" t="n">
        <f aca="false">(F367+Settings!$B$7*Settings!$B$3)/(E367+Settings!$B$7)</f>
        <v>0.0438541939180594</v>
      </c>
      <c r="R367" s="61" t="n">
        <f aca="false">PERCENTRANK($H$2:$H$1780,H367,6)</f>
        <v>0.79865</v>
      </c>
      <c r="S367" s="61" t="n">
        <f aca="false">PERCENTRANK($Q$2:$Q$1780,Q367,6)</f>
        <v>0.836895</v>
      </c>
      <c r="T367" s="61" t="n">
        <f aca="false">PERCENTRANK($F$2:$F$1780,F367,6)</f>
        <v>0.685039</v>
      </c>
      <c r="U367" s="62" t="n">
        <f aca="false">IF(F367&gt;0,(Settings!$B$8*T367+Settings!$B$9*R367+Settings!$B$10*S367)/SUM(Settings!$B$8:$B$10),0)</f>
        <v>0.773528</v>
      </c>
      <c r="V367" s="56" t="n">
        <f aca="false">IF(U367&gt;0,RANK(U367,$U$2:$U$1780)+COUNTIF($U$2:U367,U367)-1,"")</f>
        <v>366</v>
      </c>
      <c r="W367" s="56" t="str">
        <f aca="false">IF(V367="","",IF(V367&lt;=Settings!$B$11,"1 - Fix first",IF(V367&lt;=Settings!$B$12,"2 - Review","3 - Monitor")))</f>
        <v>3 - Monitor</v>
      </c>
      <c r="X367" s="56" t="str">
        <f aca="false">IF(AND(E367&gt;=Settings!$B$4,F367&gt;=Settings!$B$5,O367&gt;=Settings!$B$6),"HIGH RATE","")</f>
        <v/>
      </c>
      <c r="Y367" s="56" t="n">
        <f aca="false">IF(F367&gt;0,RANK(F367,$F$2:$F$1780)+COUNTIF($F$2:F367,F367)-1,"")</f>
        <v>417</v>
      </c>
      <c r="Z367" s="56" t="n">
        <f aca="false">IF(H367&gt;0,RANK(H367,$H$2:$H$1780)+COUNTIF($H$2:H367,H367)-1,"")</f>
        <v>359</v>
      </c>
      <c r="AA367" s="56" t="str">
        <f aca="false">IF(AC367="","",RANK(AC367,$AC$2:$AC$1780)+COUNTIF($AC$2:AC367,AC367)-1)</f>
        <v/>
      </c>
      <c r="AB367" s="56" t="str">
        <f aca="false">IF(AD367="","",RANK(AD367,$AD$2:$AD$1780)+COUNTIF($AD$2:AD367,AD367)-1)</f>
        <v/>
      </c>
      <c r="AC367" s="56" t="str">
        <f aca="false">IF(AND(F367&gt;0,E367&gt;=Settings!$B$4),J367,"")</f>
        <v/>
      </c>
      <c r="AD367" s="56" t="str">
        <f aca="false">IF(X367="HIGH RATE",O367,"")</f>
        <v/>
      </c>
    </row>
    <row r="368" customFormat="false" ht="15" hidden="false" customHeight="false" outlineLevel="0" collapsed="false">
      <c r="A368" s="56" t="s">
        <v>1406</v>
      </c>
      <c r="B368" s="56" t="s">
        <v>1109</v>
      </c>
      <c r="C368" s="56" t="s">
        <v>87</v>
      </c>
      <c r="D368" s="56" t="str">
        <f aca="false">IFERROR(INDEX('Brand Map'!$B$4:$B$124,MATCH(C368,'Brand Map'!$A$4:$A$124,0)),"Other")</f>
        <v>FYF</v>
      </c>
      <c r="E368" s="57" t="n">
        <v>7</v>
      </c>
      <c r="F368" s="57" t="n">
        <v>1</v>
      </c>
      <c r="G368" s="58" t="n">
        <v>594.65</v>
      </c>
      <c r="H368" s="58" t="n">
        <v>84.95</v>
      </c>
      <c r="I368" s="58" t="n">
        <v>509.7</v>
      </c>
      <c r="J368" s="32" t="n">
        <f aca="false">IF(E368&gt;0,F368/E368,0)</f>
        <v>0.142857142857143</v>
      </c>
      <c r="K368" s="32" t="n">
        <f aca="false">IF(G368&gt;0,H368/G368,0)</f>
        <v>0.142857142857143</v>
      </c>
      <c r="L368" s="59" t="n">
        <f aca="false">H368/Settings!$B$16</f>
        <v>0.000169774821628517</v>
      </c>
      <c r="M368" s="59" t="n">
        <f aca="false">H368/Settings!$B$20</f>
        <v>6.59504230244514E-006</v>
      </c>
      <c r="N368" s="60" t="n">
        <f aca="false">E368*Settings!$B$3</f>
        <v>0.216903057558743</v>
      </c>
      <c r="O368" s="60" t="n">
        <f aca="false">IF(E368&gt;0,(F368-N368)/SQRT(E368*Settings!$B$3*(1-Settings!$B$3)),0)</f>
        <v>1.70811733149008</v>
      </c>
      <c r="P368" s="60" t="n">
        <f aca="false">MAX(0,F368-N368)</f>
        <v>0.783096942441257</v>
      </c>
      <c r="Q368" s="32" t="n">
        <f aca="false">(F368+Settings!$B$7*Settings!$B$3)/(E368+Settings!$B$7)</f>
        <v>0.0521509333079625</v>
      </c>
      <c r="R368" s="61" t="n">
        <f aca="false">PERCENTRANK($H$2:$H$1780,H368,6)</f>
        <v>0.735658</v>
      </c>
      <c r="S368" s="61" t="n">
        <f aca="false">PERCENTRANK($Q$2:$Q$1780,Q368,6)</f>
        <v>0.898763</v>
      </c>
      <c r="T368" s="61" t="n">
        <f aca="false">PERCENTRANK($F$2:$F$1780,F368,6)</f>
        <v>0.685039</v>
      </c>
      <c r="U368" s="62" t="n">
        <f aca="false">IF(F368&gt;0,(Settings!$B$8*T368+Settings!$B$9*R368+Settings!$B$10*S368)/SUM(Settings!$B$8:$B$10),0)</f>
        <v>0.773153333333334</v>
      </c>
      <c r="V368" s="56" t="n">
        <f aca="false">IF(U368&gt;0,RANK(U368,$U$2:$U$1780)+COUNTIF($U$2:U368,U368)-1,"")</f>
        <v>367</v>
      </c>
      <c r="W368" s="56" t="str">
        <f aca="false">IF(V368="","",IF(V368&lt;=Settings!$B$11,"1 - Fix first",IF(V368&lt;=Settings!$B$12,"2 - Review","3 - Monitor")))</f>
        <v>3 - Monitor</v>
      </c>
      <c r="X368" s="56" t="str">
        <f aca="false">IF(AND(E368&gt;=Settings!$B$4,F368&gt;=Settings!$B$5,O368&gt;=Settings!$B$6),"HIGH RATE","")</f>
        <v/>
      </c>
      <c r="Y368" s="56" t="n">
        <f aca="false">IF(F368&gt;0,RANK(F368,$F$2:$F$1780)+COUNTIF($F$2:F368,F368)-1,"")</f>
        <v>418</v>
      </c>
      <c r="Z368" s="56" t="n">
        <f aca="false">IF(H368&gt;0,RANK(H368,$H$2:$H$1780)+COUNTIF($H$2:H368,H368)-1,"")</f>
        <v>466</v>
      </c>
      <c r="AA368" s="56" t="str">
        <f aca="false">IF(AC368="","",RANK(AC368,$AC$2:$AC$1780)+COUNTIF($AC$2:AC368,AC368)-1)</f>
        <v/>
      </c>
      <c r="AB368" s="56" t="str">
        <f aca="false">IF(AD368="","",RANK(AD368,$AD$2:$AD$1780)+COUNTIF($AD$2:AD368,AD368)-1)</f>
        <v/>
      </c>
      <c r="AC368" s="56" t="str">
        <f aca="false">IF(AND(F368&gt;0,E368&gt;=Settings!$B$4),J368,"")</f>
        <v/>
      </c>
      <c r="AD368" s="56" t="str">
        <f aca="false">IF(X368="HIGH RATE",O368,"")</f>
        <v/>
      </c>
    </row>
    <row r="369" customFormat="false" ht="15" hidden="false" customHeight="false" outlineLevel="0" collapsed="false">
      <c r="A369" s="56" t="s">
        <v>1407</v>
      </c>
      <c r="B369" s="56" t="s">
        <v>1408</v>
      </c>
      <c r="C369" s="56" t="s">
        <v>51</v>
      </c>
      <c r="D369" s="56" t="str">
        <f aca="false">IFERROR(INDEX('Brand Map'!$B$4:$B$124,MATCH(C369,'Brand Map'!$A$4:$A$124,0)),"Other")</f>
        <v>AU</v>
      </c>
      <c r="E369" s="57" t="n">
        <v>16</v>
      </c>
      <c r="F369" s="57" t="n">
        <v>1</v>
      </c>
      <c r="G369" s="58" t="n">
        <v>2644.67</v>
      </c>
      <c r="H369" s="58" t="n">
        <v>155.28</v>
      </c>
      <c r="I369" s="58" t="n">
        <v>2387.6</v>
      </c>
      <c r="J369" s="32" t="n">
        <f aca="false">IF(E369&gt;0,F369/E369,0)</f>
        <v>0.0625</v>
      </c>
      <c r="K369" s="32" t="n">
        <f aca="false">IF(G369&gt;0,H369/G369,0)</f>
        <v>0.0587143197449965</v>
      </c>
      <c r="L369" s="59" t="n">
        <f aca="false">H369/Settings!$B$16</f>
        <v>0.000310331186609489</v>
      </c>
      <c r="M369" s="59" t="n">
        <f aca="false">H369/Settings!$B$20</f>
        <v>1.20550696730275E-005</v>
      </c>
      <c r="N369" s="60" t="n">
        <f aca="false">E369*Settings!$B$3</f>
        <v>0.495778417277127</v>
      </c>
      <c r="O369" s="60" t="n">
        <f aca="false">IF(E369&gt;0,(F369-N369)/SQRT(E369*Settings!$B$3*(1-Settings!$B$3)),0)</f>
        <v>0.727465883958007</v>
      </c>
      <c r="P369" s="60" t="n">
        <f aca="false">MAX(0,F369-N369)</f>
        <v>0.504221582722873</v>
      </c>
      <c r="Q369" s="32" t="n">
        <f aca="false">(F369+Settings!$B$7*Settings!$B$3)/(E369+Settings!$B$7)</f>
        <v>0.0419474898346655</v>
      </c>
      <c r="R369" s="61" t="n">
        <f aca="false">PERCENTRANK($H$2:$H$1780,H369,6)</f>
        <v>0.806524</v>
      </c>
      <c r="S369" s="61" t="n">
        <f aca="false">PERCENTRANK($Q$2:$Q$1780,Q369,6)</f>
        <v>0.827334</v>
      </c>
      <c r="T369" s="61" t="n">
        <f aca="false">PERCENTRANK($F$2:$F$1780,F369,6)</f>
        <v>0.685039</v>
      </c>
      <c r="U369" s="62" t="n">
        <f aca="false">IF(F369&gt;0,(Settings!$B$8*T369+Settings!$B$9*R369+Settings!$B$10*S369)/SUM(Settings!$B$8:$B$10),0)</f>
        <v>0.772965666666667</v>
      </c>
      <c r="V369" s="56" t="n">
        <f aca="false">IF(U369&gt;0,RANK(U369,$U$2:$U$1780)+COUNTIF($U$2:U369,U369)-1,"")</f>
        <v>368</v>
      </c>
      <c r="W369" s="56" t="str">
        <f aca="false">IF(V369="","",IF(V369&lt;=Settings!$B$11,"1 - Fix first",IF(V369&lt;=Settings!$B$12,"2 - Review","3 - Monitor")))</f>
        <v>3 - Monitor</v>
      </c>
      <c r="X369" s="56" t="str">
        <f aca="false">IF(AND(E369&gt;=Settings!$B$4,F369&gt;=Settings!$B$5,O369&gt;=Settings!$B$6),"HIGH RATE","")</f>
        <v/>
      </c>
      <c r="Y369" s="56" t="n">
        <f aca="false">IF(F369&gt;0,RANK(F369,$F$2:$F$1780)+COUNTIF($F$2:F369,F369)-1,"")</f>
        <v>419</v>
      </c>
      <c r="Z369" s="56" t="n">
        <f aca="false">IF(H369&gt;0,RANK(H369,$H$2:$H$1780)+COUNTIF($H$2:H369,H369)-1,"")</f>
        <v>345</v>
      </c>
      <c r="AA369" s="56" t="str">
        <f aca="false">IF(AC369="","",RANK(AC369,$AC$2:$AC$1780)+COUNTIF($AC$2:AC369,AC369)-1)</f>
        <v/>
      </c>
      <c r="AB369" s="56" t="str">
        <f aca="false">IF(AD369="","",RANK(AD369,$AD$2:$AD$1780)+COUNTIF($AD$2:AD369,AD369)-1)</f>
        <v/>
      </c>
      <c r="AC369" s="56" t="str">
        <f aca="false">IF(AND(F369&gt;0,E369&gt;=Settings!$B$4),J369,"")</f>
        <v/>
      </c>
      <c r="AD369" s="56" t="str">
        <f aca="false">IF(X369="HIGH RATE",O369,"")</f>
        <v/>
      </c>
    </row>
    <row r="370" customFormat="false" ht="15" hidden="false" customHeight="false" outlineLevel="0" collapsed="false">
      <c r="A370" s="56" t="s">
        <v>1409</v>
      </c>
      <c r="B370" s="56" t="s">
        <v>1410</v>
      </c>
      <c r="C370" s="56" t="s">
        <v>75</v>
      </c>
      <c r="D370" s="56" t="str">
        <f aca="false">IFERROR(INDEX('Brand Map'!$B$4:$B$124,MATCH(C370,'Brand Map'!$A$4:$A$124,0)),"Other")</f>
        <v>AURP</v>
      </c>
      <c r="E370" s="57" t="n">
        <v>2</v>
      </c>
      <c r="F370" s="57" t="n">
        <v>1</v>
      </c>
      <c r="G370" s="58" t="n">
        <v>29.9</v>
      </c>
      <c r="H370" s="58" t="n">
        <v>14.95</v>
      </c>
      <c r="I370" s="58" t="n">
        <v>14.95</v>
      </c>
      <c r="J370" s="32" t="n">
        <f aca="false">IF(E370&gt;0,F370/E370,0)</f>
        <v>0.5</v>
      </c>
      <c r="K370" s="32" t="n">
        <f aca="false">IF(G370&gt;0,H370/G370,0)</f>
        <v>0.5</v>
      </c>
      <c r="L370" s="59" t="n">
        <f aca="false">H370/Settings!$B$16</f>
        <v>2.98779703748832E-005</v>
      </c>
      <c r="M370" s="59" t="n">
        <f aca="false">H370/Settings!$B$20</f>
        <v>1.16063428395003E-006</v>
      </c>
      <c r="N370" s="60" t="n">
        <f aca="false">E370*Settings!$B$3</f>
        <v>0.0619723021596408</v>
      </c>
      <c r="O370" s="60" t="n">
        <f aca="false">IF(E370&gt;0,(F370-N370)/SQRT(E370*Settings!$B$3*(1-Settings!$B$3)),0)</f>
        <v>3.82782306926152</v>
      </c>
      <c r="P370" s="60" t="n">
        <f aca="false">MAX(0,F370-N370)</f>
        <v>0.938027697840359</v>
      </c>
      <c r="Q370" s="32" t="n">
        <f aca="false">(F370+Settings!$B$7*Settings!$B$3)/(E370+Settings!$B$7)</f>
        <v>0.0602995166373316</v>
      </c>
      <c r="R370" s="61" t="n">
        <f aca="false">PERCENTRANK($H$2:$H$1780,H370,6)</f>
        <v>0.687289</v>
      </c>
      <c r="S370" s="61" t="n">
        <f aca="false">PERCENTRANK($Q$2:$Q$1780,Q370,6)</f>
        <v>0.946569</v>
      </c>
      <c r="T370" s="61" t="n">
        <f aca="false">PERCENTRANK($F$2:$F$1780,F370,6)</f>
        <v>0.685039</v>
      </c>
      <c r="U370" s="62" t="n">
        <f aca="false">IF(F370&gt;0,(Settings!$B$8*T370+Settings!$B$9*R370+Settings!$B$10*S370)/SUM(Settings!$B$8:$B$10),0)</f>
        <v>0.772965666666667</v>
      </c>
      <c r="V370" s="56" t="n">
        <f aca="false">IF(U370&gt;0,RANK(U370,$U$2:$U$1780)+COUNTIF($U$2:U370,U370)-1,"")</f>
        <v>369</v>
      </c>
      <c r="W370" s="56" t="str">
        <f aca="false">IF(V370="","",IF(V370&lt;=Settings!$B$11,"1 - Fix first",IF(V370&lt;=Settings!$B$12,"2 - Review","3 - Monitor")))</f>
        <v>3 - Monitor</v>
      </c>
      <c r="X370" s="56" t="str">
        <f aca="false">IF(AND(E370&gt;=Settings!$B$4,F370&gt;=Settings!$B$5,O370&gt;=Settings!$B$6),"HIGH RATE","")</f>
        <v/>
      </c>
      <c r="Y370" s="56" t="n">
        <f aca="false">IF(F370&gt;0,RANK(F370,$F$2:$F$1780)+COUNTIF($F$2:F370,F370)-1,"")</f>
        <v>420</v>
      </c>
      <c r="Z370" s="56" t="n">
        <f aca="false">IF(H370&gt;0,RANK(H370,$H$2:$H$1780)+COUNTIF($H$2:H370,H370)-1,"")</f>
        <v>557</v>
      </c>
      <c r="AA370" s="56" t="str">
        <f aca="false">IF(AC370="","",RANK(AC370,$AC$2:$AC$1780)+COUNTIF($AC$2:AC370,AC370)-1)</f>
        <v/>
      </c>
      <c r="AB370" s="56" t="str">
        <f aca="false">IF(AD370="","",RANK(AD370,$AD$2:$AD$1780)+COUNTIF($AD$2:AD370,AD370)-1)</f>
        <v/>
      </c>
      <c r="AC370" s="56" t="str">
        <f aca="false">IF(AND(F370&gt;0,E370&gt;=Settings!$B$4),J370,"")</f>
        <v/>
      </c>
      <c r="AD370" s="56" t="str">
        <f aca="false">IF(X370="HIGH RATE",O370,"")</f>
        <v/>
      </c>
    </row>
    <row r="371" customFormat="false" ht="15" hidden="false" customHeight="false" outlineLevel="0" collapsed="false">
      <c r="A371" s="56" t="s">
        <v>1411</v>
      </c>
      <c r="B371" s="56" t="s">
        <v>1036</v>
      </c>
      <c r="C371" s="56" t="s">
        <v>55</v>
      </c>
      <c r="D371" s="56" t="str">
        <f aca="false">IFERROR(INDEX('Brand Map'!$B$4:$B$124,MATCH(C371,'Brand Map'!$A$4:$A$124,0)),"Other")</f>
        <v>AUMJ</v>
      </c>
      <c r="E371" s="57" t="n">
        <v>4</v>
      </c>
      <c r="F371" s="57" t="n">
        <v>1</v>
      </c>
      <c r="G371" s="58" t="n">
        <v>199.8</v>
      </c>
      <c r="H371" s="58" t="n">
        <v>49.95</v>
      </c>
      <c r="I371" s="58" t="n">
        <v>142.36</v>
      </c>
      <c r="J371" s="32" t="n">
        <f aca="false">IF(E371&gt;0,F371/E371,0)</f>
        <v>0.25</v>
      </c>
      <c r="K371" s="32" t="n">
        <f aca="false">IF(G371&gt;0,H371/G371,0)</f>
        <v>0.25</v>
      </c>
      <c r="L371" s="59" t="n">
        <f aca="false">H371/Settings!$B$16</f>
        <v>9.98263960017E-005</v>
      </c>
      <c r="M371" s="59" t="n">
        <f aca="false">H371/Settings!$B$20</f>
        <v>3.87783829319759E-006</v>
      </c>
      <c r="N371" s="60" t="n">
        <f aca="false">E371*Settings!$B$3</f>
        <v>0.123944604319282</v>
      </c>
      <c r="O371" s="60" t="n">
        <f aca="false">IF(E371&gt;0,(F371-N371)/SQRT(E371*Settings!$B$3*(1-Settings!$B$3)),0)</f>
        <v>2.52785852352268</v>
      </c>
      <c r="P371" s="60" t="n">
        <f aca="false">MAX(0,F371-N371)</f>
        <v>0.876055395680718</v>
      </c>
      <c r="Q371" s="32" t="n">
        <f aca="false">(F371+Settings!$B$7*Settings!$B$3)/(E371+Settings!$B$7)</f>
        <v>0.0567524862469004</v>
      </c>
      <c r="R371" s="61" t="n">
        <f aca="false">PERCENTRANK($H$2:$H$1780,H371,6)</f>
        <v>0.700225</v>
      </c>
      <c r="S371" s="61" t="n">
        <f aca="false">PERCENTRANK($Q$2:$Q$1780,Q371,6)</f>
        <v>0.930821</v>
      </c>
      <c r="T371" s="61" t="n">
        <f aca="false">PERCENTRANK($F$2:$F$1780,F371,6)</f>
        <v>0.685039</v>
      </c>
      <c r="U371" s="62" t="n">
        <f aca="false">IF(F371&gt;0,(Settings!$B$8*T371+Settings!$B$9*R371+Settings!$B$10*S371)/SUM(Settings!$B$8:$B$10),0)</f>
        <v>0.772028333333333</v>
      </c>
      <c r="V371" s="56" t="n">
        <f aca="false">IF(U371&gt;0,RANK(U371,$U$2:$U$1780)+COUNTIF($U$2:U371,U371)-1,"")</f>
        <v>370</v>
      </c>
      <c r="W371" s="56" t="str">
        <f aca="false">IF(V371="","",IF(V371&lt;=Settings!$B$11,"1 - Fix first",IF(V371&lt;=Settings!$B$12,"2 - Review","3 - Monitor")))</f>
        <v>3 - Monitor</v>
      </c>
      <c r="X371" s="56" t="str">
        <f aca="false">IF(AND(E371&gt;=Settings!$B$4,F371&gt;=Settings!$B$5,O371&gt;=Settings!$B$6),"HIGH RATE","")</f>
        <v/>
      </c>
      <c r="Y371" s="56" t="n">
        <f aca="false">IF(F371&gt;0,RANK(F371,$F$2:$F$1780)+COUNTIF($F$2:F371,F371)-1,"")</f>
        <v>421</v>
      </c>
      <c r="Z371" s="56" t="n">
        <f aca="false">IF(H371&gt;0,RANK(H371,$H$2:$H$1780)+COUNTIF($H$2:H371,H371)-1,"")</f>
        <v>530</v>
      </c>
      <c r="AA371" s="56" t="str">
        <f aca="false">IF(AC371="","",RANK(AC371,$AC$2:$AC$1780)+COUNTIF($AC$2:AC371,AC371)-1)</f>
        <v/>
      </c>
      <c r="AB371" s="56" t="str">
        <f aca="false">IF(AD371="","",RANK(AD371,$AD$2:$AD$1780)+COUNTIF($AD$2:AD371,AD371)-1)</f>
        <v/>
      </c>
      <c r="AC371" s="56" t="str">
        <f aca="false">IF(AND(F371&gt;0,E371&gt;=Settings!$B$4),J371,"")</f>
        <v/>
      </c>
      <c r="AD371" s="56" t="str">
        <f aca="false">IF(X371="HIGH RATE",O371,"")</f>
        <v/>
      </c>
    </row>
    <row r="372" customFormat="false" ht="15" hidden="false" customHeight="false" outlineLevel="0" collapsed="false">
      <c r="A372" s="56" t="s">
        <v>1412</v>
      </c>
      <c r="B372" s="56" t="s">
        <v>566</v>
      </c>
      <c r="C372" s="56" t="s">
        <v>129</v>
      </c>
      <c r="D372" s="56" t="str">
        <f aca="false">IFERROR(INDEX('Brand Map'!$B$4:$B$124,MATCH(C372,'Brand Map'!$A$4:$A$124,0)),"Other")</f>
        <v>AL</v>
      </c>
      <c r="E372" s="57" t="n">
        <v>19</v>
      </c>
      <c r="F372" s="57" t="n">
        <v>1</v>
      </c>
      <c r="G372" s="58" t="n">
        <v>3229.05</v>
      </c>
      <c r="H372" s="58" t="n">
        <v>169.95</v>
      </c>
      <c r="I372" s="58" t="n">
        <v>3059.1</v>
      </c>
      <c r="J372" s="32" t="n">
        <f aca="false">IF(E372&gt;0,F372/E372,0)</f>
        <v>0.0526315789473684</v>
      </c>
      <c r="K372" s="32" t="n">
        <f aca="false">IF(G372&gt;0,H372/G372,0)</f>
        <v>0.0526315789473684</v>
      </c>
      <c r="L372" s="59" t="n">
        <f aca="false">H372/Settings!$B$16</f>
        <v>0.000339649569579358</v>
      </c>
      <c r="M372" s="59" t="n">
        <f aca="false">H372/Settings!$B$20</f>
        <v>1.31939663249035E-005</v>
      </c>
      <c r="N372" s="60" t="n">
        <f aca="false">E372*Settings!$B$3</f>
        <v>0.588736870516588</v>
      </c>
      <c r="O372" s="60" t="n">
        <f aca="false">IF(E372&gt;0,(F372-N372)/SQRT(E372*Settings!$B$3*(1-Settings!$B$3)),0)</f>
        <v>0.54449533902266</v>
      </c>
      <c r="P372" s="60" t="n">
        <f aca="false">MAX(0,F372-N372)</f>
        <v>0.411263129483412</v>
      </c>
      <c r="Q372" s="32" t="n">
        <f aca="false">(F372+Settings!$B$7*Settings!$B$3)/(E372+Settings!$B$7)</f>
        <v>0.0393792761713186</v>
      </c>
      <c r="R372" s="61" t="n">
        <f aca="false">PERCENTRANK($H$2:$H$1780,H372,6)</f>
        <v>0.818335</v>
      </c>
      <c r="S372" s="61" t="n">
        <f aca="false">PERCENTRANK($Q$2:$Q$1780,Q372,6)</f>
        <v>0.805399</v>
      </c>
      <c r="T372" s="61" t="n">
        <f aca="false">PERCENTRANK($F$2:$F$1780,F372,6)</f>
        <v>0.685039</v>
      </c>
      <c r="U372" s="62" t="n">
        <f aca="false">IF(F372&gt;0,(Settings!$B$8*T372+Settings!$B$9*R372+Settings!$B$10*S372)/SUM(Settings!$B$8:$B$10),0)</f>
        <v>0.769591</v>
      </c>
      <c r="V372" s="56" t="n">
        <f aca="false">IF(U372&gt;0,RANK(U372,$U$2:$U$1780)+COUNTIF($U$2:U372,U372)-1,"")</f>
        <v>371</v>
      </c>
      <c r="W372" s="56" t="str">
        <f aca="false">IF(V372="","",IF(V372&lt;=Settings!$B$11,"1 - Fix first",IF(V372&lt;=Settings!$B$12,"2 - Review","3 - Monitor")))</f>
        <v>3 - Monitor</v>
      </c>
      <c r="X372" s="56" t="str">
        <f aca="false">IF(AND(E372&gt;=Settings!$B$4,F372&gt;=Settings!$B$5,O372&gt;=Settings!$B$6),"HIGH RATE","")</f>
        <v/>
      </c>
      <c r="Y372" s="56" t="n">
        <f aca="false">IF(F372&gt;0,RANK(F372,$F$2:$F$1780)+COUNTIF($F$2:F372,F372)-1,"")</f>
        <v>422</v>
      </c>
      <c r="Z372" s="56" t="n">
        <f aca="false">IF(H372&gt;0,RANK(H372,$H$2:$H$1780)+COUNTIF($H$2:H372,H372)-1,"")</f>
        <v>324</v>
      </c>
      <c r="AA372" s="56" t="str">
        <f aca="false">IF(AC372="","",RANK(AC372,$AC$2:$AC$1780)+COUNTIF($AC$2:AC372,AC372)-1)</f>
        <v/>
      </c>
      <c r="AB372" s="56" t="str">
        <f aca="false">IF(AD372="","",RANK(AD372,$AD$2:$AD$1780)+COUNTIF($AD$2:AD372,AD372)-1)</f>
        <v/>
      </c>
      <c r="AC372" s="56" t="str">
        <f aca="false">IF(AND(F372&gt;0,E372&gt;=Settings!$B$4),J372,"")</f>
        <v/>
      </c>
      <c r="AD372" s="56" t="str">
        <f aca="false">IF(X372="HIGH RATE",O372,"")</f>
        <v/>
      </c>
    </row>
    <row r="373" customFormat="false" ht="15" hidden="false" customHeight="false" outlineLevel="0" collapsed="false">
      <c r="A373" s="56" t="s">
        <v>1413</v>
      </c>
      <c r="B373" s="56" t="s">
        <v>1414</v>
      </c>
      <c r="C373" s="56" t="s">
        <v>51</v>
      </c>
      <c r="D373" s="56" t="str">
        <f aca="false">IFERROR(INDEX('Brand Map'!$B$4:$B$124,MATCH(C373,'Brand Map'!$A$4:$A$124,0)),"Other")</f>
        <v>AU</v>
      </c>
      <c r="E373" s="57" t="n">
        <v>22</v>
      </c>
      <c r="F373" s="57" t="n">
        <v>1</v>
      </c>
      <c r="G373" s="58" t="n">
        <v>4638.9</v>
      </c>
      <c r="H373" s="58" t="n">
        <v>219.95</v>
      </c>
      <c r="I373" s="58" t="n">
        <v>4326.99</v>
      </c>
      <c r="J373" s="32" t="n">
        <f aca="false">IF(E373&gt;0,F373/E373,0)</f>
        <v>0.0454545454545455</v>
      </c>
      <c r="K373" s="32" t="n">
        <f aca="false">IF(G373&gt;0,H373/G373,0)</f>
        <v>0.0474142576904007</v>
      </c>
      <c r="L373" s="59" t="n">
        <f aca="false">H373/Settings!$B$16</f>
        <v>0.000439575891903382</v>
      </c>
      <c r="M373" s="59" t="n">
        <f aca="false">H373/Settings!$B$20</f>
        <v>1.70756863381143E-005</v>
      </c>
      <c r="N373" s="60" t="n">
        <f aca="false">E373*Settings!$B$3</f>
        <v>0.681695323756049</v>
      </c>
      <c r="O373" s="60" t="n">
        <f aca="false">IF(E373&gt;0,(F373-N373)/SQRT(E373*Settings!$B$3*(1-Settings!$B$3)),0)</f>
        <v>0.391636237444016</v>
      </c>
      <c r="P373" s="60" t="n">
        <f aca="false">MAX(0,F373-N373)</f>
        <v>0.318304676243951</v>
      </c>
      <c r="Q373" s="32" t="n">
        <f aca="false">(F373+Settings!$B$7*Settings!$B$3)/(E373+Settings!$B$7)</f>
        <v>0.0371073948537426</v>
      </c>
      <c r="R373" s="61" t="n">
        <f aca="false">PERCENTRANK($H$2:$H$1780,H373,6)</f>
        <v>0.834083</v>
      </c>
      <c r="S373" s="61" t="n">
        <f aca="false">PERCENTRANK($Q$2:$Q$1780,Q373,6)</f>
        <v>0.789089</v>
      </c>
      <c r="T373" s="61" t="n">
        <f aca="false">PERCENTRANK($F$2:$F$1780,F373,6)</f>
        <v>0.685039</v>
      </c>
      <c r="U373" s="62" t="n">
        <f aca="false">IF(F373&gt;0,(Settings!$B$8*T373+Settings!$B$9*R373+Settings!$B$10*S373)/SUM(Settings!$B$8:$B$10),0)</f>
        <v>0.769403666666667</v>
      </c>
      <c r="V373" s="56" t="n">
        <f aca="false">IF(U373&gt;0,RANK(U373,$U$2:$U$1780)+COUNTIF($U$2:U373,U373)-1,"")</f>
        <v>372</v>
      </c>
      <c r="W373" s="56" t="str">
        <f aca="false">IF(V373="","",IF(V373&lt;=Settings!$B$11,"1 - Fix first",IF(V373&lt;=Settings!$B$12,"2 - Review","3 - Monitor")))</f>
        <v>3 - Monitor</v>
      </c>
      <c r="X373" s="56" t="str">
        <f aca="false">IF(AND(E373&gt;=Settings!$B$4,F373&gt;=Settings!$B$5,O373&gt;=Settings!$B$6),"HIGH RATE","")</f>
        <v/>
      </c>
      <c r="Y373" s="56" t="n">
        <f aca="false">IF(F373&gt;0,RANK(F373,$F$2:$F$1780)+COUNTIF($F$2:F373,F373)-1,"")</f>
        <v>423</v>
      </c>
      <c r="Z373" s="56" t="n">
        <f aca="false">IF(H373&gt;0,RANK(H373,$H$2:$H$1780)+COUNTIF($H$2:H373,H373)-1,"")</f>
        <v>296</v>
      </c>
      <c r="AA373" s="56" t="str">
        <f aca="false">IF(AC373="","",RANK(AC373,$AC$2:$AC$1780)+COUNTIF($AC$2:AC373,AC373)-1)</f>
        <v/>
      </c>
      <c r="AB373" s="56" t="str">
        <f aca="false">IF(AD373="","",RANK(AD373,$AD$2:$AD$1780)+COUNTIF($AD$2:AD373,AD373)-1)</f>
        <v/>
      </c>
      <c r="AC373" s="56" t="str">
        <f aca="false">IF(AND(F373&gt;0,E373&gt;=Settings!$B$4),J373,"")</f>
        <v/>
      </c>
      <c r="AD373" s="56" t="str">
        <f aca="false">IF(X373="HIGH RATE",O373,"")</f>
        <v/>
      </c>
    </row>
    <row r="374" customFormat="false" ht="15" hidden="false" customHeight="false" outlineLevel="0" collapsed="false">
      <c r="A374" s="56" t="s">
        <v>1415</v>
      </c>
      <c r="B374" s="56" t="s">
        <v>1386</v>
      </c>
      <c r="C374" s="56" t="s">
        <v>55</v>
      </c>
      <c r="D374" s="56" t="str">
        <f aca="false">IFERROR(INDEX('Brand Map'!$B$4:$B$124,MATCH(C374,'Brand Map'!$A$4:$A$124,0)),"Other")</f>
        <v>AUMJ</v>
      </c>
      <c r="E374" s="57" t="n">
        <v>6</v>
      </c>
      <c r="F374" s="57" t="n">
        <v>1</v>
      </c>
      <c r="G374" s="58" t="n">
        <v>553.07</v>
      </c>
      <c r="H374" s="58" t="n">
        <v>63.59</v>
      </c>
      <c r="I374" s="58" t="n">
        <v>479.96</v>
      </c>
      <c r="J374" s="32" t="n">
        <f aca="false">IF(E374&gt;0,F374/E374,0)</f>
        <v>0.166666666666667</v>
      </c>
      <c r="K374" s="32" t="n">
        <f aca="false">IF(G374&gt;0,H374/G374,0)</f>
        <v>0.114976404433435</v>
      </c>
      <c r="L374" s="59" t="n">
        <f aca="false">H374/Settings!$B$16</f>
        <v>0.000127086296731694</v>
      </c>
      <c r="M374" s="59" t="n">
        <f aca="false">H374/Settings!$B$20</f>
        <v>4.93677151280149E-006</v>
      </c>
      <c r="N374" s="60" t="n">
        <f aca="false">E374*Settings!$B$3</f>
        <v>0.185916906478923</v>
      </c>
      <c r="O374" s="60" t="n">
        <f aca="false">IF(E374&gt;0,(F374-N374)/SQRT(E374*Settings!$B$3*(1-Settings!$B$3)),0)</f>
        <v>1.91798100360216</v>
      </c>
      <c r="P374" s="60" t="n">
        <f aca="false">MAX(0,F374-N374)</f>
        <v>0.814083093521077</v>
      </c>
      <c r="Q374" s="32" t="n">
        <f aca="false">(F374+Settings!$B$7*Settings!$B$3)/(E374+Settings!$B$7)</f>
        <v>0.0535995703442948</v>
      </c>
      <c r="R374" s="61" t="n">
        <f aca="false">PERCENTRANK($H$2:$H$1780,H374,6)</f>
        <v>0.713723</v>
      </c>
      <c r="S374" s="61" t="n">
        <f aca="false">PERCENTRANK($Q$2:$Q$1780,Q374,6)</f>
        <v>0.909449</v>
      </c>
      <c r="T374" s="61" t="n">
        <f aca="false">PERCENTRANK($F$2:$F$1780,F374,6)</f>
        <v>0.685039</v>
      </c>
      <c r="U374" s="62" t="n">
        <f aca="false">IF(F374&gt;0,(Settings!$B$8*T374+Settings!$B$9*R374+Settings!$B$10*S374)/SUM(Settings!$B$8:$B$10),0)</f>
        <v>0.769403666666667</v>
      </c>
      <c r="V374" s="56" t="n">
        <f aca="false">IF(U374&gt;0,RANK(U374,$U$2:$U$1780)+COUNTIF($U$2:U374,U374)-1,"")</f>
        <v>373</v>
      </c>
      <c r="W374" s="56" t="str">
        <f aca="false">IF(V374="","",IF(V374&lt;=Settings!$B$11,"1 - Fix first",IF(V374&lt;=Settings!$B$12,"2 - Review","3 - Monitor")))</f>
        <v>3 - Monitor</v>
      </c>
      <c r="X374" s="56" t="str">
        <f aca="false">IF(AND(E374&gt;=Settings!$B$4,F374&gt;=Settings!$B$5,O374&gt;=Settings!$B$6),"HIGH RATE","")</f>
        <v/>
      </c>
      <c r="Y374" s="56" t="n">
        <f aca="false">IF(F374&gt;0,RANK(F374,$F$2:$F$1780)+COUNTIF($F$2:F374,F374)-1,"")</f>
        <v>424</v>
      </c>
      <c r="Z374" s="56" t="n">
        <f aca="false">IF(H374&gt;0,RANK(H374,$H$2:$H$1780)+COUNTIF($H$2:H374,H374)-1,"")</f>
        <v>506</v>
      </c>
      <c r="AA374" s="56" t="str">
        <f aca="false">IF(AC374="","",RANK(AC374,$AC$2:$AC$1780)+COUNTIF($AC$2:AC374,AC374)-1)</f>
        <v/>
      </c>
      <c r="AB374" s="56" t="str">
        <f aca="false">IF(AD374="","",RANK(AD374,$AD$2:$AD$1780)+COUNTIF($AD$2:AD374,AD374)-1)</f>
        <v/>
      </c>
      <c r="AC374" s="56" t="str">
        <f aca="false">IF(AND(F374&gt;0,E374&gt;=Settings!$B$4),J374,"")</f>
        <v/>
      </c>
      <c r="AD374" s="56" t="str">
        <f aca="false">IF(X374="HIGH RATE",O374,"")</f>
        <v/>
      </c>
    </row>
    <row r="375" customFormat="false" ht="15" hidden="false" customHeight="false" outlineLevel="0" collapsed="false">
      <c r="A375" s="56" t="s">
        <v>1416</v>
      </c>
      <c r="B375" s="56" t="s">
        <v>982</v>
      </c>
      <c r="C375" s="56" t="s">
        <v>55</v>
      </c>
      <c r="D375" s="56" t="str">
        <f aca="false">IFERROR(INDEX('Brand Map'!$B$4:$B$124,MATCH(C375,'Brand Map'!$A$4:$A$124,0)),"Other")</f>
        <v>AUMJ</v>
      </c>
      <c r="E375" s="57" t="n">
        <v>12</v>
      </c>
      <c r="F375" s="57" t="n">
        <v>1</v>
      </c>
      <c r="G375" s="58" t="n">
        <v>1343.4</v>
      </c>
      <c r="H375" s="58" t="n">
        <v>111.95</v>
      </c>
      <c r="I375" s="58" t="n">
        <v>1231.45</v>
      </c>
      <c r="J375" s="32" t="n">
        <f aca="false">IF(E375&gt;0,F375/E375,0)</f>
        <v>0.0833333333333333</v>
      </c>
      <c r="K375" s="32" t="n">
        <f aca="false">IF(G375&gt;0,H375/G375,0)</f>
        <v>0.0833333333333333</v>
      </c>
      <c r="L375" s="59" t="n">
        <f aca="false">H375/Settings!$B$16</f>
        <v>0.00022373503568349</v>
      </c>
      <c r="M375" s="59" t="n">
        <f aca="false">H375/Settings!$B$20</f>
        <v>8.69117110957898E-006</v>
      </c>
      <c r="N375" s="60" t="n">
        <f aca="false">E375*Settings!$B$3</f>
        <v>0.371833812957845</v>
      </c>
      <c r="O375" s="60" t="n">
        <f aca="false">IF(E375&gt;0,(F375-N375)/SQRT(E375*Settings!$B$3*(1-Settings!$B$3)),0)</f>
        <v>1.04649009824894</v>
      </c>
      <c r="P375" s="60" t="n">
        <f aca="false">MAX(0,F375-N375)</f>
        <v>0.628166187042155</v>
      </c>
      <c r="Q375" s="32" t="n">
        <f aca="false">(F375+Settings!$B$7*Settings!$B$3)/(E375+Settings!$B$7)</f>
        <v>0.0459424888665384</v>
      </c>
      <c r="R375" s="61" t="n">
        <f aca="false">PERCENTRANK($H$2:$H$1780,H375,6)</f>
        <v>0.770529</v>
      </c>
      <c r="S375" s="61" t="n">
        <f aca="false">PERCENTRANK($Q$2:$Q$1780,Q375,6)</f>
        <v>0.851519</v>
      </c>
      <c r="T375" s="61" t="n">
        <f aca="false">PERCENTRANK($F$2:$F$1780,F375,6)</f>
        <v>0.685039</v>
      </c>
      <c r="U375" s="62" t="n">
        <f aca="false">IF(F375&gt;0,(Settings!$B$8*T375+Settings!$B$9*R375+Settings!$B$10*S375)/SUM(Settings!$B$8:$B$10),0)</f>
        <v>0.769029</v>
      </c>
      <c r="V375" s="56" t="n">
        <f aca="false">IF(U375&gt;0,RANK(U375,$U$2:$U$1780)+COUNTIF($U$2:U375,U375)-1,"")</f>
        <v>374</v>
      </c>
      <c r="W375" s="56" t="str">
        <f aca="false">IF(V375="","",IF(V375&lt;=Settings!$B$11,"1 - Fix first",IF(V375&lt;=Settings!$B$12,"2 - Review","3 - Monitor")))</f>
        <v>3 - Monitor</v>
      </c>
      <c r="X375" s="56" t="str">
        <f aca="false">IF(AND(E375&gt;=Settings!$B$4,F375&gt;=Settings!$B$5,O375&gt;=Settings!$B$6),"HIGH RATE","")</f>
        <v/>
      </c>
      <c r="Y375" s="56" t="n">
        <f aca="false">IF(F375&gt;0,RANK(F375,$F$2:$F$1780)+COUNTIF($F$2:F375,F375)-1,"")</f>
        <v>425</v>
      </c>
      <c r="Z375" s="56" t="n">
        <f aca="false">IF(H375&gt;0,RANK(H375,$H$2:$H$1780)+COUNTIF($H$2:H375,H375)-1,"")</f>
        <v>409</v>
      </c>
      <c r="AA375" s="56" t="str">
        <f aca="false">IF(AC375="","",RANK(AC375,$AC$2:$AC$1780)+COUNTIF($AC$2:AC375,AC375)-1)</f>
        <v/>
      </c>
      <c r="AB375" s="56" t="str">
        <f aca="false">IF(AD375="","",RANK(AD375,$AD$2:$AD$1780)+COUNTIF($AD$2:AD375,AD375)-1)</f>
        <v/>
      </c>
      <c r="AC375" s="56" t="str">
        <f aca="false">IF(AND(F375&gt;0,E375&gt;=Settings!$B$4),J375,"")</f>
        <v/>
      </c>
      <c r="AD375" s="56" t="str">
        <f aca="false">IF(X375="HIGH RATE",O375,"")</f>
        <v/>
      </c>
    </row>
    <row r="376" customFormat="false" ht="15" hidden="false" customHeight="false" outlineLevel="0" collapsed="false">
      <c r="A376" s="56" t="s">
        <v>1417</v>
      </c>
      <c r="B376" s="56" t="s">
        <v>1418</v>
      </c>
      <c r="C376" s="56" t="s">
        <v>51</v>
      </c>
      <c r="D376" s="56" t="str">
        <f aca="false">IFERROR(INDEX('Brand Map'!$B$4:$B$124,MATCH(C376,'Brand Map'!$A$4:$A$124,0)),"Other")</f>
        <v>AU</v>
      </c>
      <c r="E376" s="57" t="n">
        <v>14</v>
      </c>
      <c r="F376" s="57" t="n">
        <v>1</v>
      </c>
      <c r="G376" s="58" t="n">
        <v>1565.21</v>
      </c>
      <c r="H376" s="58" t="n">
        <v>124.95</v>
      </c>
      <c r="I376" s="58" t="n">
        <v>1396.9</v>
      </c>
      <c r="J376" s="32" t="n">
        <f aca="false">IF(E376&gt;0,F376/E376,0)</f>
        <v>0.0714285714285714</v>
      </c>
      <c r="K376" s="32" t="n">
        <f aca="false">IF(G376&gt;0,H376/G376,0)</f>
        <v>0.0798295436395116</v>
      </c>
      <c r="L376" s="59" t="n">
        <f aca="false">H376/Settings!$B$16</f>
        <v>0.000249715879487736</v>
      </c>
      <c r="M376" s="59" t="n">
        <f aca="false">H376/Settings!$B$20</f>
        <v>9.70041831301378E-006</v>
      </c>
      <c r="N376" s="60" t="n">
        <f aca="false">E376*Settings!$B$3</f>
        <v>0.433806115117486</v>
      </c>
      <c r="O376" s="60" t="n">
        <f aca="false">IF(E376&gt;0,(F376-N376)/SQRT(E376*Settings!$B$3*(1-Settings!$B$3)),0)</f>
        <v>0.873277654776981</v>
      </c>
      <c r="P376" s="60" t="n">
        <f aca="false">MAX(0,F376-N376)</f>
        <v>0.566193884882514</v>
      </c>
      <c r="Q376" s="32" t="n">
        <f aca="false">(F376+Settings!$B$7*Settings!$B$3)/(E376+Settings!$B$7)</f>
        <v>0.0438541939180594</v>
      </c>
      <c r="R376" s="61" t="n">
        <f aca="false">PERCENTRANK($H$2:$H$1780,H376,6)</f>
        <v>0.784027</v>
      </c>
      <c r="S376" s="61" t="n">
        <f aca="false">PERCENTRANK($Q$2:$Q$1780,Q376,6)</f>
        <v>0.836895</v>
      </c>
      <c r="T376" s="61" t="n">
        <f aca="false">PERCENTRANK($F$2:$F$1780,F376,6)</f>
        <v>0.685039</v>
      </c>
      <c r="U376" s="62" t="n">
        <f aca="false">IF(F376&gt;0,(Settings!$B$8*T376+Settings!$B$9*R376+Settings!$B$10*S376)/SUM(Settings!$B$8:$B$10),0)</f>
        <v>0.768653666666667</v>
      </c>
      <c r="V376" s="56" t="n">
        <f aca="false">IF(U376&gt;0,RANK(U376,$U$2:$U$1780)+COUNTIF($U$2:U376,U376)-1,"")</f>
        <v>375</v>
      </c>
      <c r="W376" s="56" t="str">
        <f aca="false">IF(V376="","",IF(V376&lt;=Settings!$B$11,"1 - Fix first",IF(V376&lt;=Settings!$B$12,"2 - Review","3 - Monitor")))</f>
        <v>3 - Monitor</v>
      </c>
      <c r="X376" s="56" t="str">
        <f aca="false">IF(AND(E376&gt;=Settings!$B$4,F376&gt;=Settings!$B$5,O376&gt;=Settings!$B$6),"HIGH RATE","")</f>
        <v/>
      </c>
      <c r="Y376" s="56" t="n">
        <f aca="false">IF(F376&gt;0,RANK(F376,$F$2:$F$1780)+COUNTIF($F$2:F376,F376)-1,"")</f>
        <v>426</v>
      </c>
      <c r="Z376" s="56" t="n">
        <f aca="false">IF(H376&gt;0,RANK(H376,$H$2:$H$1780)+COUNTIF($H$2:H376,H376)-1,"")</f>
        <v>380</v>
      </c>
      <c r="AA376" s="56" t="str">
        <f aca="false">IF(AC376="","",RANK(AC376,$AC$2:$AC$1780)+COUNTIF($AC$2:AC376,AC376)-1)</f>
        <v/>
      </c>
      <c r="AB376" s="56" t="str">
        <f aca="false">IF(AD376="","",RANK(AD376,$AD$2:$AD$1780)+COUNTIF($AD$2:AD376,AD376)-1)</f>
        <v/>
      </c>
      <c r="AC376" s="56" t="str">
        <f aca="false">IF(AND(F376&gt;0,E376&gt;=Settings!$B$4),J376,"")</f>
        <v/>
      </c>
      <c r="AD376" s="56" t="str">
        <f aca="false">IF(X376="HIGH RATE",O376,"")</f>
        <v/>
      </c>
    </row>
    <row r="377" customFormat="false" ht="15" hidden="false" customHeight="false" outlineLevel="0" collapsed="false">
      <c r="A377" s="56" t="s">
        <v>300</v>
      </c>
      <c r="B377" s="56" t="s">
        <v>901</v>
      </c>
      <c r="C377" s="56" t="s">
        <v>71</v>
      </c>
      <c r="D377" s="56" t="str">
        <f aca="false">IFERROR(INDEX('Brand Map'!$B$4:$B$124,MATCH(C377,'Brand Map'!$A$4:$A$124,0)),"Other")</f>
        <v>GF</v>
      </c>
      <c r="E377" s="57" t="n">
        <v>14</v>
      </c>
      <c r="F377" s="57" t="n">
        <v>1</v>
      </c>
      <c r="G377" s="58" t="n">
        <v>1749.3</v>
      </c>
      <c r="H377" s="58" t="n">
        <v>124.95</v>
      </c>
      <c r="I377" s="58" t="n">
        <v>1624.35</v>
      </c>
      <c r="J377" s="32" t="n">
        <f aca="false">IF(E377&gt;0,F377/E377,0)</f>
        <v>0.0714285714285714</v>
      </c>
      <c r="K377" s="32" t="n">
        <f aca="false">IF(G377&gt;0,H377/G377,0)</f>
        <v>0.0714285714285714</v>
      </c>
      <c r="L377" s="59" t="n">
        <f aca="false">H377/Settings!$B$16</f>
        <v>0.000249715879487736</v>
      </c>
      <c r="M377" s="59" t="n">
        <f aca="false">H377/Settings!$B$20</f>
        <v>9.70041831301378E-006</v>
      </c>
      <c r="N377" s="60" t="n">
        <f aca="false">E377*Settings!$B$3</f>
        <v>0.433806115117486</v>
      </c>
      <c r="O377" s="60" t="n">
        <f aca="false">IF(E377&gt;0,(F377-N377)/SQRT(E377*Settings!$B$3*(1-Settings!$B$3)),0)</f>
        <v>0.873277654776981</v>
      </c>
      <c r="P377" s="60" t="n">
        <f aca="false">MAX(0,F377-N377)</f>
        <v>0.566193884882514</v>
      </c>
      <c r="Q377" s="32" t="n">
        <f aca="false">(F377+Settings!$B$7*Settings!$B$3)/(E377+Settings!$B$7)</f>
        <v>0.0438541939180594</v>
      </c>
      <c r="R377" s="61" t="n">
        <f aca="false">PERCENTRANK($H$2:$H$1780,H377,6)</f>
        <v>0.784027</v>
      </c>
      <c r="S377" s="61" t="n">
        <f aca="false">PERCENTRANK($Q$2:$Q$1780,Q377,6)</f>
        <v>0.836895</v>
      </c>
      <c r="T377" s="61" t="n">
        <f aca="false">PERCENTRANK($F$2:$F$1780,F377,6)</f>
        <v>0.685039</v>
      </c>
      <c r="U377" s="62" t="n">
        <f aca="false">IF(F377&gt;0,(Settings!$B$8*T377+Settings!$B$9*R377+Settings!$B$10*S377)/SUM(Settings!$B$8:$B$10),0)</f>
        <v>0.768653666666667</v>
      </c>
      <c r="V377" s="56" t="n">
        <f aca="false">IF(U377&gt;0,RANK(U377,$U$2:$U$1780)+COUNTIF($U$2:U377,U377)-1,"")</f>
        <v>376</v>
      </c>
      <c r="W377" s="56" t="str">
        <f aca="false">IF(V377="","",IF(V377&lt;=Settings!$B$11,"1 - Fix first",IF(V377&lt;=Settings!$B$12,"2 - Review","3 - Monitor")))</f>
        <v>3 - Monitor</v>
      </c>
      <c r="X377" s="56" t="str">
        <f aca="false">IF(AND(E377&gt;=Settings!$B$4,F377&gt;=Settings!$B$5,O377&gt;=Settings!$B$6),"HIGH RATE","")</f>
        <v/>
      </c>
      <c r="Y377" s="56" t="n">
        <f aca="false">IF(F377&gt;0,RANK(F377,$F$2:$F$1780)+COUNTIF($F$2:F377,F377)-1,"")</f>
        <v>427</v>
      </c>
      <c r="Z377" s="56" t="n">
        <f aca="false">IF(H377&gt;0,RANK(H377,$H$2:$H$1780)+COUNTIF($H$2:H377,H377)-1,"")</f>
        <v>381</v>
      </c>
      <c r="AA377" s="56" t="str">
        <f aca="false">IF(AC377="","",RANK(AC377,$AC$2:$AC$1780)+COUNTIF($AC$2:AC377,AC377)-1)</f>
        <v/>
      </c>
      <c r="AB377" s="56" t="str">
        <f aca="false">IF(AD377="","",RANK(AD377,$AD$2:$AD$1780)+COUNTIF($AD$2:AD377,AD377)-1)</f>
        <v/>
      </c>
      <c r="AC377" s="56" t="str">
        <f aca="false">IF(AND(F377&gt;0,E377&gt;=Settings!$B$4),J377,"")</f>
        <v/>
      </c>
      <c r="AD377" s="56" t="str">
        <f aca="false">IF(X377="HIGH RATE",O377,"")</f>
        <v/>
      </c>
    </row>
    <row r="378" customFormat="false" ht="15" hidden="false" customHeight="false" outlineLevel="0" collapsed="false">
      <c r="A378" s="56" t="s">
        <v>1419</v>
      </c>
      <c r="B378" s="56" t="s">
        <v>556</v>
      </c>
      <c r="C378" s="56" t="s">
        <v>99</v>
      </c>
      <c r="D378" s="56" t="str">
        <f aca="false">IFERROR(INDEX('Brand Map'!$B$4:$B$124,MATCH(C378,'Brand Map'!$A$4:$A$124,0)),"Other")</f>
        <v>AUCH</v>
      </c>
      <c r="E378" s="57" t="n">
        <v>6</v>
      </c>
      <c r="F378" s="57" t="n">
        <v>1</v>
      </c>
      <c r="G378" s="58" t="n">
        <v>351.3</v>
      </c>
      <c r="H378" s="58" t="n">
        <v>58.55</v>
      </c>
      <c r="I378" s="58" t="n">
        <v>292.75</v>
      </c>
      <c r="J378" s="32" t="n">
        <f aca="false">IF(E378&gt;0,F378/E378,0)</f>
        <v>0.166666666666667</v>
      </c>
      <c r="K378" s="32" t="n">
        <f aca="false">IF(G378&gt;0,H378/G378,0)</f>
        <v>0.166666666666667</v>
      </c>
      <c r="L378" s="59" t="n">
        <f aca="false">H378/Settings!$B$16</f>
        <v>0.000117013723441432</v>
      </c>
      <c r="M378" s="59" t="n">
        <f aca="false">H378/Settings!$B$20</f>
        <v>4.54549413546984E-006</v>
      </c>
      <c r="N378" s="60" t="n">
        <f aca="false">E378*Settings!$B$3</f>
        <v>0.185916906478923</v>
      </c>
      <c r="O378" s="60" t="n">
        <f aca="false">IF(E378&gt;0,(F378-N378)/SQRT(E378*Settings!$B$3*(1-Settings!$B$3)),0)</f>
        <v>1.91798100360216</v>
      </c>
      <c r="P378" s="60" t="n">
        <f aca="false">MAX(0,F378-N378)</f>
        <v>0.814083093521077</v>
      </c>
      <c r="Q378" s="32" t="n">
        <f aca="false">(F378+Settings!$B$7*Settings!$B$3)/(E378+Settings!$B$7)</f>
        <v>0.0535995703442948</v>
      </c>
      <c r="R378" s="61" t="n">
        <f aca="false">PERCENTRANK($H$2:$H$1780,H378,6)</f>
        <v>0.708661</v>
      </c>
      <c r="S378" s="61" t="n">
        <f aca="false">PERCENTRANK($Q$2:$Q$1780,Q378,6)</f>
        <v>0.909449</v>
      </c>
      <c r="T378" s="61" t="n">
        <f aca="false">PERCENTRANK($F$2:$F$1780,F378,6)</f>
        <v>0.685039</v>
      </c>
      <c r="U378" s="62" t="n">
        <f aca="false">IF(F378&gt;0,(Settings!$B$8*T378+Settings!$B$9*R378+Settings!$B$10*S378)/SUM(Settings!$B$8:$B$10),0)</f>
        <v>0.767716333333333</v>
      </c>
      <c r="V378" s="56" t="n">
        <f aca="false">IF(U378&gt;0,RANK(U378,$U$2:$U$1780)+COUNTIF($U$2:U378,U378)-1,"")</f>
        <v>377</v>
      </c>
      <c r="W378" s="56" t="str">
        <f aca="false">IF(V378="","",IF(V378&lt;=Settings!$B$11,"1 - Fix first",IF(V378&lt;=Settings!$B$12,"2 - Review","3 - Monitor")))</f>
        <v>3 - Monitor</v>
      </c>
      <c r="X378" s="56" t="str">
        <f aca="false">IF(AND(E378&gt;=Settings!$B$4,F378&gt;=Settings!$B$5,O378&gt;=Settings!$B$6),"HIGH RATE","")</f>
        <v/>
      </c>
      <c r="Y378" s="56" t="n">
        <f aca="false">IF(F378&gt;0,RANK(F378,$F$2:$F$1780)+COUNTIF($F$2:F378,F378)-1,"")</f>
        <v>428</v>
      </c>
      <c r="Z378" s="56" t="n">
        <f aca="false">IF(H378&gt;0,RANK(H378,$H$2:$H$1780)+COUNTIF($H$2:H378,H378)-1,"")</f>
        <v>519</v>
      </c>
      <c r="AA378" s="56" t="str">
        <f aca="false">IF(AC378="","",RANK(AC378,$AC$2:$AC$1780)+COUNTIF($AC$2:AC378,AC378)-1)</f>
        <v/>
      </c>
      <c r="AB378" s="56" t="str">
        <f aca="false">IF(AD378="","",RANK(AD378,$AD$2:$AD$1780)+COUNTIF($AD$2:AD378,AD378)-1)</f>
        <v/>
      </c>
      <c r="AC378" s="56" t="str">
        <f aca="false">IF(AND(F378&gt;0,E378&gt;=Settings!$B$4),J378,"")</f>
        <v/>
      </c>
      <c r="AD378" s="56" t="str">
        <f aca="false">IF(X378="HIGH RATE",O378,"")</f>
        <v/>
      </c>
    </row>
    <row r="379" customFormat="false" ht="15" hidden="false" customHeight="false" outlineLevel="0" collapsed="false">
      <c r="A379" s="56" t="s">
        <v>1420</v>
      </c>
      <c r="B379" s="56" t="s">
        <v>1421</v>
      </c>
      <c r="C379" s="56" t="s">
        <v>51</v>
      </c>
      <c r="D379" s="56" t="str">
        <f aca="false">IFERROR(INDEX('Brand Map'!$B$4:$B$124,MATCH(C379,'Brand Map'!$A$4:$A$124,0)),"Other")</f>
        <v>AU</v>
      </c>
      <c r="E379" s="57" t="n">
        <v>7</v>
      </c>
      <c r="F379" s="57" t="n">
        <v>1</v>
      </c>
      <c r="G379" s="58" t="n">
        <v>505.12</v>
      </c>
      <c r="H379" s="58" t="n">
        <v>63.59</v>
      </c>
      <c r="I379" s="58" t="n">
        <v>427</v>
      </c>
      <c r="J379" s="32" t="n">
        <f aca="false">IF(E379&gt;0,F379/E379,0)</f>
        <v>0.142857142857143</v>
      </c>
      <c r="K379" s="32" t="n">
        <f aca="false">IF(G379&gt;0,H379/G379,0)</f>
        <v>0.125890877415268</v>
      </c>
      <c r="L379" s="59" t="n">
        <f aca="false">H379/Settings!$B$16</f>
        <v>0.000127086296731694</v>
      </c>
      <c r="M379" s="59" t="n">
        <f aca="false">H379/Settings!$B$20</f>
        <v>4.93677151280149E-006</v>
      </c>
      <c r="N379" s="60" t="n">
        <f aca="false">E379*Settings!$B$3</f>
        <v>0.216903057558743</v>
      </c>
      <c r="O379" s="60" t="n">
        <f aca="false">IF(E379&gt;0,(F379-N379)/SQRT(E379*Settings!$B$3*(1-Settings!$B$3)),0)</f>
        <v>1.70811733149008</v>
      </c>
      <c r="P379" s="60" t="n">
        <f aca="false">MAX(0,F379-N379)</f>
        <v>0.783096942441257</v>
      </c>
      <c r="Q379" s="32" t="n">
        <f aca="false">(F379+Settings!$B$7*Settings!$B$3)/(E379+Settings!$B$7)</f>
        <v>0.0521509333079625</v>
      </c>
      <c r="R379" s="61" t="n">
        <f aca="false">PERCENTRANK($H$2:$H$1780,H379,6)</f>
        <v>0.713723</v>
      </c>
      <c r="S379" s="61" t="n">
        <f aca="false">PERCENTRANK($Q$2:$Q$1780,Q379,6)</f>
        <v>0.898763</v>
      </c>
      <c r="T379" s="61" t="n">
        <f aca="false">PERCENTRANK($F$2:$F$1780,F379,6)</f>
        <v>0.685039</v>
      </c>
      <c r="U379" s="62" t="n">
        <f aca="false">IF(F379&gt;0,(Settings!$B$8*T379+Settings!$B$9*R379+Settings!$B$10*S379)/SUM(Settings!$B$8:$B$10),0)</f>
        <v>0.765841666666667</v>
      </c>
      <c r="V379" s="56" t="n">
        <f aca="false">IF(U379&gt;0,RANK(U379,$U$2:$U$1780)+COUNTIF($U$2:U379,U379)-1,"")</f>
        <v>378</v>
      </c>
      <c r="W379" s="56" t="str">
        <f aca="false">IF(V379="","",IF(V379&lt;=Settings!$B$11,"1 - Fix first",IF(V379&lt;=Settings!$B$12,"2 - Review","3 - Monitor")))</f>
        <v>3 - Monitor</v>
      </c>
      <c r="X379" s="56" t="str">
        <f aca="false">IF(AND(E379&gt;=Settings!$B$4,F379&gt;=Settings!$B$5,O379&gt;=Settings!$B$6),"HIGH RATE","")</f>
        <v/>
      </c>
      <c r="Y379" s="56" t="n">
        <f aca="false">IF(F379&gt;0,RANK(F379,$F$2:$F$1780)+COUNTIF($F$2:F379,F379)-1,"")</f>
        <v>429</v>
      </c>
      <c r="Z379" s="56" t="n">
        <f aca="false">IF(H379&gt;0,RANK(H379,$H$2:$H$1780)+COUNTIF($H$2:H379,H379)-1,"")</f>
        <v>507</v>
      </c>
      <c r="AA379" s="56" t="str">
        <f aca="false">IF(AC379="","",RANK(AC379,$AC$2:$AC$1780)+COUNTIF($AC$2:AC379,AC379)-1)</f>
        <v/>
      </c>
      <c r="AB379" s="56" t="str">
        <f aca="false">IF(AD379="","",RANK(AD379,$AD$2:$AD$1780)+COUNTIF($AD$2:AD379,AD379)-1)</f>
        <v/>
      </c>
      <c r="AC379" s="56" t="str">
        <f aca="false">IF(AND(F379&gt;0,E379&gt;=Settings!$B$4),J379,"")</f>
        <v/>
      </c>
      <c r="AD379" s="56" t="str">
        <f aca="false">IF(X379="HIGH RATE",O379,"")</f>
        <v/>
      </c>
    </row>
    <row r="380" customFormat="false" ht="15" hidden="false" customHeight="false" outlineLevel="0" collapsed="false">
      <c r="A380" s="56" t="s">
        <v>1422</v>
      </c>
      <c r="B380" s="56" t="s">
        <v>1302</v>
      </c>
      <c r="C380" s="56" t="s">
        <v>51</v>
      </c>
      <c r="D380" s="56" t="str">
        <f aca="false">IFERROR(INDEX('Brand Map'!$B$4:$B$124,MATCH(C380,'Brand Map'!$A$4:$A$124,0)),"Other")</f>
        <v>AU</v>
      </c>
      <c r="E380" s="57" t="n">
        <v>16</v>
      </c>
      <c r="F380" s="57" t="n">
        <v>1</v>
      </c>
      <c r="G380" s="58" t="n">
        <v>1999.2</v>
      </c>
      <c r="H380" s="58" t="n">
        <v>124.95</v>
      </c>
      <c r="I380" s="58" t="n">
        <v>1874.25</v>
      </c>
      <c r="J380" s="32" t="n">
        <f aca="false">IF(E380&gt;0,F380/E380,0)</f>
        <v>0.0625</v>
      </c>
      <c r="K380" s="32" t="n">
        <f aca="false">IF(G380&gt;0,H380/G380,0)</f>
        <v>0.0625</v>
      </c>
      <c r="L380" s="59" t="n">
        <f aca="false">H380/Settings!$B$16</f>
        <v>0.000249715879487736</v>
      </c>
      <c r="M380" s="59" t="n">
        <f aca="false">H380/Settings!$B$20</f>
        <v>9.70041831301378E-006</v>
      </c>
      <c r="N380" s="60" t="n">
        <f aca="false">E380*Settings!$B$3</f>
        <v>0.495778417277127</v>
      </c>
      <c r="O380" s="60" t="n">
        <f aca="false">IF(E380&gt;0,(F380-N380)/SQRT(E380*Settings!$B$3*(1-Settings!$B$3)),0)</f>
        <v>0.727465883958007</v>
      </c>
      <c r="P380" s="60" t="n">
        <f aca="false">MAX(0,F380-N380)</f>
        <v>0.504221582722873</v>
      </c>
      <c r="Q380" s="32" t="n">
        <f aca="false">(F380+Settings!$B$7*Settings!$B$3)/(E380+Settings!$B$7)</f>
        <v>0.0419474898346655</v>
      </c>
      <c r="R380" s="61" t="n">
        <f aca="false">PERCENTRANK($H$2:$H$1780,H380,6)</f>
        <v>0.784027</v>
      </c>
      <c r="S380" s="61" t="n">
        <f aca="false">PERCENTRANK($Q$2:$Q$1780,Q380,6)</f>
        <v>0.827334</v>
      </c>
      <c r="T380" s="61" t="n">
        <f aca="false">PERCENTRANK($F$2:$F$1780,F380,6)</f>
        <v>0.685039</v>
      </c>
      <c r="U380" s="62" t="n">
        <f aca="false">IF(F380&gt;0,(Settings!$B$8*T380+Settings!$B$9*R380+Settings!$B$10*S380)/SUM(Settings!$B$8:$B$10),0)</f>
        <v>0.765466666666667</v>
      </c>
      <c r="V380" s="56" t="n">
        <f aca="false">IF(U380&gt;0,RANK(U380,$U$2:$U$1780)+COUNTIF($U$2:U380,U380)-1,"")</f>
        <v>379</v>
      </c>
      <c r="W380" s="56" t="str">
        <f aca="false">IF(V380="","",IF(V380&lt;=Settings!$B$11,"1 - Fix first",IF(V380&lt;=Settings!$B$12,"2 - Review","3 - Monitor")))</f>
        <v>3 - Monitor</v>
      </c>
      <c r="X380" s="56" t="str">
        <f aca="false">IF(AND(E380&gt;=Settings!$B$4,F380&gt;=Settings!$B$5,O380&gt;=Settings!$B$6),"HIGH RATE","")</f>
        <v/>
      </c>
      <c r="Y380" s="56" t="n">
        <f aca="false">IF(F380&gt;0,RANK(F380,$F$2:$F$1780)+COUNTIF($F$2:F380,F380)-1,"")</f>
        <v>430</v>
      </c>
      <c r="Z380" s="56" t="n">
        <f aca="false">IF(H380&gt;0,RANK(H380,$H$2:$H$1780)+COUNTIF($H$2:H380,H380)-1,"")</f>
        <v>382</v>
      </c>
      <c r="AA380" s="56" t="str">
        <f aca="false">IF(AC380="","",RANK(AC380,$AC$2:$AC$1780)+COUNTIF($AC$2:AC380,AC380)-1)</f>
        <v/>
      </c>
      <c r="AB380" s="56" t="str">
        <f aca="false">IF(AD380="","",RANK(AD380,$AD$2:$AD$1780)+COUNTIF($AD$2:AD380,AD380)-1)</f>
        <v/>
      </c>
      <c r="AC380" s="56" t="str">
        <f aca="false">IF(AND(F380&gt;0,E380&gt;=Settings!$B$4),J380,"")</f>
        <v/>
      </c>
      <c r="AD380" s="56" t="str">
        <f aca="false">IF(X380="HIGH RATE",O380,"")</f>
        <v/>
      </c>
    </row>
    <row r="381" customFormat="false" ht="15" hidden="false" customHeight="false" outlineLevel="0" collapsed="false">
      <c r="A381" s="56" t="s">
        <v>1423</v>
      </c>
      <c r="B381" s="56" t="s">
        <v>1162</v>
      </c>
      <c r="C381" s="56" t="s">
        <v>87</v>
      </c>
      <c r="D381" s="56" t="str">
        <f aca="false">IFERROR(INDEX('Brand Map'!$B$4:$B$124,MATCH(C381,'Brand Map'!$A$4:$A$124,0)),"Other")</f>
        <v>FYF</v>
      </c>
      <c r="E381" s="57" t="n">
        <v>16</v>
      </c>
      <c r="F381" s="57" t="n">
        <v>1</v>
      </c>
      <c r="G381" s="58" t="n">
        <v>1999.2</v>
      </c>
      <c r="H381" s="58" t="n">
        <v>124.95</v>
      </c>
      <c r="I381" s="58" t="n">
        <v>1874.25</v>
      </c>
      <c r="J381" s="32" t="n">
        <f aca="false">IF(E381&gt;0,F381/E381,0)</f>
        <v>0.0625</v>
      </c>
      <c r="K381" s="32" t="n">
        <f aca="false">IF(G381&gt;0,H381/G381,0)</f>
        <v>0.0625</v>
      </c>
      <c r="L381" s="59" t="n">
        <f aca="false">H381/Settings!$B$16</f>
        <v>0.000249715879487736</v>
      </c>
      <c r="M381" s="59" t="n">
        <f aca="false">H381/Settings!$B$20</f>
        <v>9.70041831301378E-006</v>
      </c>
      <c r="N381" s="60" t="n">
        <f aca="false">E381*Settings!$B$3</f>
        <v>0.495778417277127</v>
      </c>
      <c r="O381" s="60" t="n">
        <f aca="false">IF(E381&gt;0,(F381-N381)/SQRT(E381*Settings!$B$3*(1-Settings!$B$3)),0)</f>
        <v>0.727465883958007</v>
      </c>
      <c r="P381" s="60" t="n">
        <f aca="false">MAX(0,F381-N381)</f>
        <v>0.504221582722873</v>
      </c>
      <c r="Q381" s="32" t="n">
        <f aca="false">(F381+Settings!$B$7*Settings!$B$3)/(E381+Settings!$B$7)</f>
        <v>0.0419474898346655</v>
      </c>
      <c r="R381" s="61" t="n">
        <f aca="false">PERCENTRANK($H$2:$H$1780,H381,6)</f>
        <v>0.784027</v>
      </c>
      <c r="S381" s="61" t="n">
        <f aca="false">PERCENTRANK($Q$2:$Q$1780,Q381,6)</f>
        <v>0.827334</v>
      </c>
      <c r="T381" s="61" t="n">
        <f aca="false">PERCENTRANK($F$2:$F$1780,F381,6)</f>
        <v>0.685039</v>
      </c>
      <c r="U381" s="62" t="n">
        <f aca="false">IF(F381&gt;0,(Settings!$B$8*T381+Settings!$B$9*R381+Settings!$B$10*S381)/SUM(Settings!$B$8:$B$10),0)</f>
        <v>0.765466666666667</v>
      </c>
      <c r="V381" s="56" t="n">
        <f aca="false">IF(U381&gt;0,RANK(U381,$U$2:$U$1780)+COUNTIF($U$2:U381,U381)-1,"")</f>
        <v>380</v>
      </c>
      <c r="W381" s="56" t="str">
        <f aca="false">IF(V381="","",IF(V381&lt;=Settings!$B$11,"1 - Fix first",IF(V381&lt;=Settings!$B$12,"2 - Review","3 - Monitor")))</f>
        <v>3 - Monitor</v>
      </c>
      <c r="X381" s="56" t="str">
        <f aca="false">IF(AND(E381&gt;=Settings!$B$4,F381&gt;=Settings!$B$5,O381&gt;=Settings!$B$6),"HIGH RATE","")</f>
        <v/>
      </c>
      <c r="Y381" s="56" t="n">
        <f aca="false">IF(F381&gt;0,RANK(F381,$F$2:$F$1780)+COUNTIF($F$2:F381,F381)-1,"")</f>
        <v>431</v>
      </c>
      <c r="Z381" s="56" t="n">
        <f aca="false">IF(H381&gt;0,RANK(H381,$H$2:$H$1780)+COUNTIF($H$2:H381,H381)-1,"")</f>
        <v>383</v>
      </c>
      <c r="AA381" s="56" t="str">
        <f aca="false">IF(AC381="","",RANK(AC381,$AC$2:$AC$1780)+COUNTIF($AC$2:AC381,AC381)-1)</f>
        <v/>
      </c>
      <c r="AB381" s="56" t="str">
        <f aca="false">IF(AD381="","",RANK(AD381,$AD$2:$AD$1780)+COUNTIF($AD$2:AD381,AD381)-1)</f>
        <v/>
      </c>
      <c r="AC381" s="56" t="str">
        <f aca="false">IF(AND(F381&gt;0,E381&gt;=Settings!$B$4),J381,"")</f>
        <v/>
      </c>
      <c r="AD381" s="56" t="str">
        <f aca="false">IF(X381="HIGH RATE",O381,"")</f>
        <v/>
      </c>
    </row>
    <row r="382" customFormat="false" ht="15" hidden="false" customHeight="false" outlineLevel="0" collapsed="false">
      <c r="A382" s="56" t="s">
        <v>1424</v>
      </c>
      <c r="B382" s="56" t="s">
        <v>574</v>
      </c>
      <c r="C382" s="56" t="s">
        <v>125</v>
      </c>
      <c r="D382" s="56" t="str">
        <f aca="false">IFERROR(INDEX('Brand Map'!$B$4:$B$124,MATCH(C382,'Brand Map'!$A$4:$A$124,0)),"Other")</f>
        <v>DCB</v>
      </c>
      <c r="E382" s="57" t="n">
        <v>18</v>
      </c>
      <c r="F382" s="57" t="n">
        <v>1</v>
      </c>
      <c r="G382" s="58" t="n">
        <v>2253.2</v>
      </c>
      <c r="H382" s="58" t="n">
        <v>140.86</v>
      </c>
      <c r="I382" s="58" t="n">
        <v>1859.62</v>
      </c>
      <c r="J382" s="32" t="n">
        <f aca="false">IF(E382&gt;0,F382/E382,0)</f>
        <v>0.0555555555555556</v>
      </c>
      <c r="K382" s="32" t="n">
        <f aca="false">IF(G382&gt;0,H382/G382,0)</f>
        <v>0.0625155334635186</v>
      </c>
      <c r="L382" s="59" t="n">
        <f aca="false">H382/Settings!$B$16</f>
        <v>0.000281512435251241</v>
      </c>
      <c r="M382" s="59" t="n">
        <f aca="false">H382/Settings!$B$20</f>
        <v>1.09355816212175E-005</v>
      </c>
      <c r="N382" s="60" t="n">
        <f aca="false">E382*Settings!$B$3</f>
        <v>0.557750719436768</v>
      </c>
      <c r="O382" s="60" t="n">
        <f aca="false">IF(E382&gt;0,(F382-N382)/SQRT(E382*Settings!$B$3*(1-Settings!$B$3)),0)</f>
        <v>0.601564325659658</v>
      </c>
      <c r="P382" s="60" t="n">
        <f aca="false">MAX(0,F382-N382)</f>
        <v>0.442249280563233</v>
      </c>
      <c r="Q382" s="32" t="n">
        <f aca="false">(F382+Settings!$B$7*Settings!$B$3)/(E382+Settings!$B$7)</f>
        <v>0.0401996777582211</v>
      </c>
      <c r="R382" s="61" t="n">
        <f aca="false">PERCENTRANK($H$2:$H$1780,H382,6)</f>
        <v>0.796963</v>
      </c>
      <c r="S382" s="61" t="n">
        <f aca="false">PERCENTRANK($Q$2:$Q$1780,Q382,6)</f>
        <v>0.813836</v>
      </c>
      <c r="T382" s="61" t="n">
        <f aca="false">PERCENTRANK($F$2:$F$1780,F382,6)</f>
        <v>0.685039</v>
      </c>
      <c r="U382" s="62" t="n">
        <f aca="false">IF(F382&gt;0,(Settings!$B$8*T382+Settings!$B$9*R382+Settings!$B$10*S382)/SUM(Settings!$B$8:$B$10),0)</f>
        <v>0.765279333333333</v>
      </c>
      <c r="V382" s="56" t="n">
        <f aca="false">IF(U382&gt;0,RANK(U382,$U$2:$U$1780)+COUNTIF($U$2:U382,U382)-1,"")</f>
        <v>381</v>
      </c>
      <c r="W382" s="56" t="str">
        <f aca="false">IF(V382="","",IF(V382&lt;=Settings!$B$11,"1 - Fix first",IF(V382&lt;=Settings!$B$12,"2 - Review","3 - Monitor")))</f>
        <v>3 - Monitor</v>
      </c>
      <c r="X382" s="56" t="str">
        <f aca="false">IF(AND(E382&gt;=Settings!$B$4,F382&gt;=Settings!$B$5,O382&gt;=Settings!$B$6),"HIGH RATE","")</f>
        <v/>
      </c>
      <c r="Y382" s="56" t="n">
        <f aca="false">IF(F382&gt;0,RANK(F382,$F$2:$F$1780)+COUNTIF($F$2:F382,F382)-1,"")</f>
        <v>432</v>
      </c>
      <c r="Z382" s="56" t="n">
        <f aca="false">IF(H382&gt;0,RANK(H382,$H$2:$H$1780)+COUNTIF($H$2:H382,H382)-1,"")</f>
        <v>362</v>
      </c>
      <c r="AA382" s="56" t="str">
        <f aca="false">IF(AC382="","",RANK(AC382,$AC$2:$AC$1780)+COUNTIF($AC$2:AC382,AC382)-1)</f>
        <v/>
      </c>
      <c r="AB382" s="56" t="str">
        <f aca="false">IF(AD382="","",RANK(AD382,$AD$2:$AD$1780)+COUNTIF($AD$2:AD382,AD382)-1)</f>
        <v/>
      </c>
      <c r="AC382" s="56" t="str">
        <f aca="false">IF(AND(F382&gt;0,E382&gt;=Settings!$B$4),J382,"")</f>
        <v/>
      </c>
      <c r="AD382" s="56" t="str">
        <f aca="false">IF(X382="HIGH RATE",O382,"")</f>
        <v/>
      </c>
    </row>
    <row r="383" customFormat="false" ht="15" hidden="false" customHeight="false" outlineLevel="0" collapsed="false">
      <c r="A383" s="56" t="s">
        <v>1425</v>
      </c>
      <c r="B383" s="56" t="s">
        <v>552</v>
      </c>
      <c r="C383" s="56" t="s">
        <v>87</v>
      </c>
      <c r="D383" s="56" t="str">
        <f aca="false">IFERROR(INDEX('Brand Map'!$B$4:$B$124,MATCH(C383,'Brand Map'!$A$4:$A$124,0)),"Other")</f>
        <v>FYF</v>
      </c>
      <c r="E383" s="57" t="n">
        <v>11</v>
      </c>
      <c r="F383" s="57" t="n">
        <v>1</v>
      </c>
      <c r="G383" s="58" t="n">
        <v>1044.45</v>
      </c>
      <c r="H383" s="58" t="n">
        <v>94.95</v>
      </c>
      <c r="I383" s="58" t="n">
        <v>949.5</v>
      </c>
      <c r="J383" s="32" t="n">
        <f aca="false">IF(E383&gt;0,F383/E383,0)</f>
        <v>0.0909090909090909</v>
      </c>
      <c r="K383" s="32" t="n">
        <f aca="false">IF(G383&gt;0,H383/G383,0)</f>
        <v>0.0909090909090909</v>
      </c>
      <c r="L383" s="59" t="n">
        <f aca="false">H383/Settings!$B$16</f>
        <v>0.000189760086093322</v>
      </c>
      <c r="M383" s="59" t="n">
        <f aca="false">H383/Settings!$B$20</f>
        <v>7.3713863050873E-006</v>
      </c>
      <c r="N383" s="60" t="n">
        <f aca="false">E383*Settings!$B$3</f>
        <v>0.340847661878025</v>
      </c>
      <c r="O383" s="60" t="n">
        <f aca="false">IF(E383&gt;0,(F383-N383)/SQRT(E383*Settings!$B$3*(1-Settings!$B$3)),0)</f>
        <v>1.14693985782354</v>
      </c>
      <c r="P383" s="60" t="n">
        <f aca="false">MAX(0,F383-N383)</f>
        <v>0.659152338121975</v>
      </c>
      <c r="Q383" s="32" t="n">
        <f aca="false">(F383+Settings!$B$7*Settings!$B$3)/(E383+Settings!$B$7)</f>
        <v>0.0470630373754784</v>
      </c>
      <c r="R383" s="61" t="n">
        <f aca="false">PERCENTRANK($H$2:$H$1780,H383,6)</f>
        <v>0.748594</v>
      </c>
      <c r="S383" s="61" t="n">
        <f aca="false">PERCENTRANK($Q$2:$Q$1780,Q383,6)</f>
        <v>0.862205</v>
      </c>
      <c r="T383" s="61" t="n">
        <f aca="false">PERCENTRANK($F$2:$F$1780,F383,6)</f>
        <v>0.685039</v>
      </c>
      <c r="U383" s="62" t="n">
        <f aca="false">IF(F383&gt;0,(Settings!$B$8*T383+Settings!$B$9*R383+Settings!$B$10*S383)/SUM(Settings!$B$8:$B$10),0)</f>
        <v>0.765279333333333</v>
      </c>
      <c r="V383" s="56" t="n">
        <f aca="false">IF(U383&gt;0,RANK(U383,$U$2:$U$1780)+COUNTIF($U$2:U383,U383)-1,"")</f>
        <v>382</v>
      </c>
      <c r="W383" s="56" t="str">
        <f aca="false">IF(V383="","",IF(V383&lt;=Settings!$B$11,"1 - Fix first",IF(V383&lt;=Settings!$B$12,"2 - Review","3 - Monitor")))</f>
        <v>3 - Monitor</v>
      </c>
      <c r="X383" s="56" t="str">
        <f aca="false">IF(AND(E383&gt;=Settings!$B$4,F383&gt;=Settings!$B$5,O383&gt;=Settings!$B$6),"HIGH RATE","")</f>
        <v/>
      </c>
      <c r="Y383" s="56" t="n">
        <f aca="false">IF(F383&gt;0,RANK(F383,$F$2:$F$1780)+COUNTIF($F$2:F383,F383)-1,"")</f>
        <v>433</v>
      </c>
      <c r="Z383" s="56" t="n">
        <f aca="false">IF(H383&gt;0,RANK(H383,$H$2:$H$1780)+COUNTIF($H$2:H383,H383)-1,"")</f>
        <v>442</v>
      </c>
      <c r="AA383" s="56" t="str">
        <f aca="false">IF(AC383="","",RANK(AC383,$AC$2:$AC$1780)+COUNTIF($AC$2:AC383,AC383)-1)</f>
        <v/>
      </c>
      <c r="AB383" s="56" t="str">
        <f aca="false">IF(AD383="","",RANK(AD383,$AD$2:$AD$1780)+COUNTIF($AD$2:AD383,AD383)-1)</f>
        <v/>
      </c>
      <c r="AC383" s="56" t="str">
        <f aca="false">IF(AND(F383&gt;0,E383&gt;=Settings!$B$4),J383,"")</f>
        <v/>
      </c>
      <c r="AD383" s="56" t="str">
        <f aca="false">IF(X383="HIGH RATE",O383,"")</f>
        <v/>
      </c>
    </row>
    <row r="384" customFormat="false" ht="15" hidden="false" customHeight="false" outlineLevel="0" collapsed="false">
      <c r="A384" s="56" t="s">
        <v>726</v>
      </c>
      <c r="B384" s="56" t="s">
        <v>727</v>
      </c>
      <c r="C384" s="56" t="s">
        <v>725</v>
      </c>
      <c r="D384" s="56" t="str">
        <f aca="false">IFERROR(INDEX('Brand Map'!$B$4:$B$124,MATCH(C384,'Brand Map'!$A$4:$A$124,0)),"Other")</f>
        <v>Other (small prefixes)</v>
      </c>
      <c r="E384" s="57" t="n">
        <v>48</v>
      </c>
      <c r="F384" s="57" t="n">
        <v>2</v>
      </c>
      <c r="G384" s="58" t="n">
        <v>1197.6</v>
      </c>
      <c r="H384" s="58" t="n">
        <v>49.9</v>
      </c>
      <c r="I384" s="58" t="n">
        <v>1147.7</v>
      </c>
      <c r="J384" s="32" t="n">
        <f aca="false">IF(E384&gt;0,F384/E384,0)</f>
        <v>0.0416666666666667</v>
      </c>
      <c r="K384" s="32" t="n">
        <f aca="false">IF(G384&gt;0,H384/G384,0)</f>
        <v>0.0416666666666667</v>
      </c>
      <c r="L384" s="59" t="n">
        <f aca="false">H384/Settings!$B$16</f>
        <v>9.9726469679376E-005</v>
      </c>
      <c r="M384" s="59" t="n">
        <f aca="false">H384/Settings!$B$20</f>
        <v>3.87395657318438E-006</v>
      </c>
      <c r="N384" s="60" t="n">
        <f aca="false">E384*Settings!$B$3</f>
        <v>1.48733525183138</v>
      </c>
      <c r="O384" s="60" t="n">
        <f aca="false">IF(E384&gt;0,(F384-N384)/SQRT(E384*Settings!$B$3*(1-Settings!$B$3)),0)</f>
        <v>0.427035547078676</v>
      </c>
      <c r="P384" s="60" t="n">
        <f aca="false">MAX(0,F384-N384)</f>
        <v>0.51266474816862</v>
      </c>
      <c r="Q384" s="32" t="n">
        <f aca="false">(F384+Settings!$B$7*Settings!$B$3)/(E384+Settings!$B$7)</f>
        <v>0.0375587760563412</v>
      </c>
      <c r="R384" s="61" t="n">
        <f aca="false">PERCENTRANK($H$2:$H$1780,H384,6)</f>
        <v>0.699663</v>
      </c>
      <c r="S384" s="61" t="n">
        <f aca="false">PERCENTRANK($Q$2:$Q$1780,Q384,6)</f>
        <v>0.792463</v>
      </c>
      <c r="T384" s="61" t="n">
        <f aca="false">PERCENTRANK($F$2:$F$1780,F384,6)</f>
        <v>0.799775</v>
      </c>
      <c r="U384" s="62" t="n">
        <f aca="false">IF(F384&gt;0,(Settings!$B$8*T384+Settings!$B$9*R384+Settings!$B$10*S384)/SUM(Settings!$B$8:$B$10),0)</f>
        <v>0.763967</v>
      </c>
      <c r="V384" s="56" t="n">
        <f aca="false">IF(U384&gt;0,RANK(U384,$U$2:$U$1780)+COUNTIF($U$2:U384,U384)-1,"")</f>
        <v>383</v>
      </c>
      <c r="W384" s="56" t="str">
        <f aca="false">IF(V384="","",IF(V384&lt;=Settings!$B$11,"1 - Fix first",IF(V384&lt;=Settings!$B$12,"2 - Review","3 - Monitor")))</f>
        <v>3 - Monitor</v>
      </c>
      <c r="X384" s="56" t="str">
        <f aca="false">IF(AND(E384&gt;=Settings!$B$4,F384&gt;=Settings!$B$5,O384&gt;=Settings!$B$6),"HIGH RATE","")</f>
        <v/>
      </c>
      <c r="Y384" s="56" t="n">
        <f aca="false">IF(F384&gt;0,RANK(F384,$F$2:$F$1780)+COUNTIF($F$2:F384,F384)-1,"")</f>
        <v>343</v>
      </c>
      <c r="Z384" s="56" t="n">
        <f aca="false">IF(H384&gt;0,RANK(H384,$H$2:$H$1780)+COUNTIF($H$2:H384,H384)-1,"")</f>
        <v>535</v>
      </c>
      <c r="AA384" s="56" t="n">
        <f aca="false">IF(AC384="","",RANK(AC384,$AC$2:$AC$1780)+COUNTIF($AC$2:AC384,AC384)-1)</f>
        <v>185</v>
      </c>
      <c r="AB384" s="56" t="str">
        <f aca="false">IF(AD384="","",RANK(AD384,$AD$2:$AD$1780)+COUNTIF($AD$2:AD384,AD384)-1)</f>
        <v/>
      </c>
      <c r="AC384" s="32" t="n">
        <f aca="false">IF(AND(F384&gt;0,E384&gt;=Settings!$B$4),J384,"")</f>
        <v>0.0416666666666667</v>
      </c>
      <c r="AD384" s="56" t="str">
        <f aca="false">IF(X384="HIGH RATE",O384,"")</f>
        <v/>
      </c>
    </row>
    <row r="385" customFormat="false" ht="15" hidden="false" customHeight="false" outlineLevel="0" collapsed="false">
      <c r="A385" s="56" t="s">
        <v>1426</v>
      </c>
      <c r="B385" s="56" t="s">
        <v>1349</v>
      </c>
      <c r="C385" s="56" t="s">
        <v>87</v>
      </c>
      <c r="D385" s="56" t="str">
        <f aca="false">IFERROR(INDEX('Brand Map'!$B$4:$B$124,MATCH(C385,'Brand Map'!$A$4:$A$124,0)),"Other")</f>
        <v>FYF</v>
      </c>
      <c r="E385" s="57" t="n">
        <v>12</v>
      </c>
      <c r="F385" s="57" t="n">
        <v>1</v>
      </c>
      <c r="G385" s="58" t="n">
        <v>1199.4</v>
      </c>
      <c r="H385" s="58" t="n">
        <v>99.95</v>
      </c>
      <c r="I385" s="58" t="n">
        <v>1099.45</v>
      </c>
      <c r="J385" s="32" t="n">
        <f aca="false">IF(E385&gt;0,F385/E385,0)</f>
        <v>0.0833333333333333</v>
      </c>
      <c r="K385" s="32" t="n">
        <f aca="false">IF(G385&gt;0,H385/G385,0)</f>
        <v>0.0833333333333333</v>
      </c>
      <c r="L385" s="59" t="n">
        <f aca="false">H385/Settings!$B$16</f>
        <v>0.000199752718325724</v>
      </c>
      <c r="M385" s="59" t="n">
        <f aca="false">H385/Settings!$B$20</f>
        <v>7.75955830640839E-006</v>
      </c>
      <c r="N385" s="60" t="n">
        <f aca="false">E385*Settings!$B$3</f>
        <v>0.371833812957845</v>
      </c>
      <c r="O385" s="60" t="n">
        <f aca="false">IF(E385&gt;0,(F385-N385)/SQRT(E385*Settings!$B$3*(1-Settings!$B$3)),0)</f>
        <v>1.04649009824894</v>
      </c>
      <c r="P385" s="60" t="n">
        <f aca="false">MAX(0,F385-N385)</f>
        <v>0.628166187042155</v>
      </c>
      <c r="Q385" s="32" t="n">
        <f aca="false">(F385+Settings!$B$7*Settings!$B$3)/(E385+Settings!$B$7)</f>
        <v>0.0459424888665384</v>
      </c>
      <c r="R385" s="61" t="n">
        <f aca="false">PERCENTRANK($H$2:$H$1780,H385,6)</f>
        <v>0.754781</v>
      </c>
      <c r="S385" s="61" t="n">
        <f aca="false">PERCENTRANK($Q$2:$Q$1780,Q385,6)</f>
        <v>0.851519</v>
      </c>
      <c r="T385" s="61" t="n">
        <f aca="false">PERCENTRANK($F$2:$F$1780,F385,6)</f>
        <v>0.685039</v>
      </c>
      <c r="U385" s="62" t="n">
        <f aca="false">IF(F385&gt;0,(Settings!$B$8*T385+Settings!$B$9*R385+Settings!$B$10*S385)/SUM(Settings!$B$8:$B$10),0)</f>
        <v>0.763779666666667</v>
      </c>
      <c r="V385" s="56" t="n">
        <f aca="false">IF(U385&gt;0,RANK(U385,$U$2:$U$1780)+COUNTIF($U$2:U385,U385)-1,"")</f>
        <v>384</v>
      </c>
      <c r="W385" s="56" t="str">
        <f aca="false">IF(V385="","",IF(V385&lt;=Settings!$B$11,"1 - Fix first",IF(V385&lt;=Settings!$B$12,"2 - Review","3 - Monitor")))</f>
        <v>3 - Monitor</v>
      </c>
      <c r="X385" s="56" t="str">
        <f aca="false">IF(AND(E385&gt;=Settings!$B$4,F385&gt;=Settings!$B$5,O385&gt;=Settings!$B$6),"HIGH RATE","")</f>
        <v/>
      </c>
      <c r="Y385" s="56" t="n">
        <f aca="false">IF(F385&gt;0,RANK(F385,$F$2:$F$1780)+COUNTIF($F$2:F385,F385)-1,"")</f>
        <v>434</v>
      </c>
      <c r="Z385" s="56" t="n">
        <f aca="false">IF(H385&gt;0,RANK(H385,$H$2:$H$1780)+COUNTIF($H$2:H385,H385)-1,"")</f>
        <v>432</v>
      </c>
      <c r="AA385" s="56" t="str">
        <f aca="false">IF(AC385="","",RANK(AC385,$AC$2:$AC$1780)+COUNTIF($AC$2:AC385,AC385)-1)</f>
        <v/>
      </c>
      <c r="AB385" s="56" t="str">
        <f aca="false">IF(AD385="","",RANK(AD385,$AD$2:$AD$1780)+COUNTIF($AD$2:AD385,AD385)-1)</f>
        <v/>
      </c>
      <c r="AC385" s="56" t="str">
        <f aca="false">IF(AND(F385&gt;0,E385&gt;=Settings!$B$4),J385,"")</f>
        <v/>
      </c>
      <c r="AD385" s="56" t="str">
        <f aca="false">IF(X385="HIGH RATE",O385,"")</f>
        <v/>
      </c>
    </row>
    <row r="386" customFormat="false" ht="15" hidden="false" customHeight="false" outlineLevel="0" collapsed="false">
      <c r="A386" s="56" t="s">
        <v>1427</v>
      </c>
      <c r="B386" s="56" t="s">
        <v>1428</v>
      </c>
      <c r="C386" s="56" t="s">
        <v>139</v>
      </c>
      <c r="D386" s="56" t="str">
        <f aca="false">IFERROR(INDEX('Brand Map'!$B$4:$B$124,MATCH(C386,'Brand Map'!$A$4:$A$124,0)),"Other")</f>
        <v>AUSTRT</v>
      </c>
      <c r="E386" s="57" t="n">
        <v>67</v>
      </c>
      <c r="F386" s="57" t="n">
        <v>2</v>
      </c>
      <c r="G386" s="58" t="n">
        <v>2425.71</v>
      </c>
      <c r="H386" s="58" t="n">
        <v>90.81</v>
      </c>
      <c r="I386" s="58" t="n">
        <v>2282.51</v>
      </c>
      <c r="J386" s="32" t="n">
        <f aca="false">IF(E386&gt;0,F386/E386,0)</f>
        <v>0.0298507462686567</v>
      </c>
      <c r="K386" s="32" t="n">
        <f aca="false">IF(G386&gt;0,H386/G386,0)</f>
        <v>0.0374364619018762</v>
      </c>
      <c r="L386" s="59" t="n">
        <f aca="false">H386/Settings!$B$16</f>
        <v>0.000181486186604893</v>
      </c>
      <c r="M386" s="59" t="n">
        <f aca="false">H386/Settings!$B$20</f>
        <v>7.04997988799345E-006</v>
      </c>
      <c r="N386" s="60" t="n">
        <f aca="false">E386*Settings!$B$3</f>
        <v>2.07607212234797</v>
      </c>
      <c r="O386" s="60" t="n">
        <f aca="false">IF(E386&gt;0,(F386-N386)/SQRT(E386*Settings!$B$3*(1-Settings!$B$3)),0)</f>
        <v>-0.0536338931597522</v>
      </c>
      <c r="P386" s="60" t="n">
        <f aca="false">MAX(0,F386-N386)</f>
        <v>0</v>
      </c>
      <c r="Q386" s="32" t="n">
        <f aca="false">(F386+Settings!$B$7*Settings!$B$3)/(E386+Settings!$B$7)</f>
        <v>0.0302019023958207</v>
      </c>
      <c r="R386" s="61" t="n">
        <f aca="false">PERCENTRANK($H$2:$H$1780,H386,6)</f>
        <v>0.745219</v>
      </c>
      <c r="S386" s="61" t="n">
        <f aca="false">PERCENTRANK($Q$2:$Q$1780,Q386,6)</f>
        <v>0.74297</v>
      </c>
      <c r="T386" s="61" t="n">
        <f aca="false">PERCENTRANK($F$2:$F$1780,F386,6)</f>
        <v>0.799775</v>
      </c>
      <c r="U386" s="62" t="n">
        <f aca="false">IF(F386&gt;0,(Settings!$B$8*T386+Settings!$B$9*R386+Settings!$B$10*S386)/SUM(Settings!$B$8:$B$10),0)</f>
        <v>0.762654666666667</v>
      </c>
      <c r="V386" s="56" t="n">
        <f aca="false">IF(U386&gt;0,RANK(U386,$U$2:$U$1780)+COUNTIF($U$2:U386,U386)-1,"")</f>
        <v>385</v>
      </c>
      <c r="W386" s="56" t="str">
        <f aca="false">IF(V386="","",IF(V386&lt;=Settings!$B$11,"1 - Fix first",IF(V386&lt;=Settings!$B$12,"2 - Review","3 - Monitor")))</f>
        <v>3 - Monitor</v>
      </c>
      <c r="X386" s="56" t="str">
        <f aca="false">IF(AND(E386&gt;=Settings!$B$4,F386&gt;=Settings!$B$5,O386&gt;=Settings!$B$6),"HIGH RATE","")</f>
        <v/>
      </c>
      <c r="Y386" s="56" t="n">
        <f aca="false">IF(F386&gt;0,RANK(F386,$F$2:$F$1780)+COUNTIF($F$2:F386,F386)-1,"")</f>
        <v>344</v>
      </c>
      <c r="Z386" s="56" t="n">
        <f aca="false">IF(H386&gt;0,RANK(H386,$H$2:$H$1780)+COUNTIF($H$2:H386,H386)-1,"")</f>
        <v>454</v>
      </c>
      <c r="AA386" s="56" t="n">
        <f aca="false">IF(AC386="","",RANK(AC386,$AC$2:$AC$1780)+COUNTIF($AC$2:AC386,AC386)-1)</f>
        <v>267</v>
      </c>
      <c r="AB386" s="56" t="str">
        <f aca="false">IF(AD386="","",RANK(AD386,$AD$2:$AD$1780)+COUNTIF($AD$2:AD386,AD386)-1)</f>
        <v/>
      </c>
      <c r="AC386" s="32" t="n">
        <f aca="false">IF(AND(F386&gt;0,E386&gt;=Settings!$B$4),J386,"")</f>
        <v>0.0298507462686567</v>
      </c>
      <c r="AD386" s="56" t="str">
        <f aca="false">IF(X386="HIGH RATE",O386,"")</f>
        <v/>
      </c>
    </row>
    <row r="387" customFormat="false" ht="15" hidden="false" customHeight="false" outlineLevel="0" collapsed="false">
      <c r="A387" s="56" t="s">
        <v>1429</v>
      </c>
      <c r="B387" s="56" t="s">
        <v>631</v>
      </c>
      <c r="C387" s="56"/>
      <c r="D387" s="56" t="str">
        <f aca="false">IFERROR(INDEX('Brand Map'!$B$4:$B$124,MATCH(C387,'Brand Map'!$A$4:$A$124,0)),"Other")</f>
        <v>Other</v>
      </c>
      <c r="E387" s="57" t="n">
        <v>6</v>
      </c>
      <c r="F387" s="57" t="n">
        <v>1</v>
      </c>
      <c r="G387" s="58" t="n">
        <v>209.7</v>
      </c>
      <c r="H387" s="58" t="n">
        <v>29.95</v>
      </c>
      <c r="I387" s="58" t="n">
        <v>179.75</v>
      </c>
      <c r="J387" s="32" t="n">
        <f aca="false">IF(E387&gt;0,F387/E387,0)</f>
        <v>0.166666666666667</v>
      </c>
      <c r="K387" s="32" t="n">
        <f aca="false">IF(G387&gt;0,H387/G387,0)</f>
        <v>0.142823080591321</v>
      </c>
      <c r="L387" s="59" t="n">
        <f aca="false">H387/Settings!$B$16</f>
        <v>5.98558670720904E-005</v>
      </c>
      <c r="M387" s="59" t="n">
        <f aca="false">H387/Settings!$B$20</f>
        <v>2.32515028791327E-006</v>
      </c>
      <c r="N387" s="60" t="n">
        <f aca="false">E387*Settings!$B$3</f>
        <v>0.185916906478923</v>
      </c>
      <c r="O387" s="60" t="n">
        <f aca="false">IF(E387&gt;0,(F387-N387)/SQRT(E387*Settings!$B$3*(1-Settings!$B$3)),0)</f>
        <v>1.91798100360216</v>
      </c>
      <c r="P387" s="60" t="n">
        <f aca="false">MAX(0,F387-N387)</f>
        <v>0.814083093521077</v>
      </c>
      <c r="Q387" s="32" t="n">
        <f aca="false">(F387+Settings!$B$7*Settings!$B$3)/(E387+Settings!$B$7)</f>
        <v>0.0535995703442948</v>
      </c>
      <c r="R387" s="61" t="n">
        <f aca="false">PERCENTRANK($H$2:$H$1780,H387,6)</f>
        <v>0.691789</v>
      </c>
      <c r="S387" s="61" t="n">
        <f aca="false">PERCENTRANK($Q$2:$Q$1780,Q387,6)</f>
        <v>0.909449</v>
      </c>
      <c r="T387" s="61" t="n">
        <f aca="false">PERCENTRANK($F$2:$F$1780,F387,6)</f>
        <v>0.685039</v>
      </c>
      <c r="U387" s="62" t="n">
        <f aca="false">IF(F387&gt;0,(Settings!$B$8*T387+Settings!$B$9*R387+Settings!$B$10*S387)/SUM(Settings!$B$8:$B$10),0)</f>
        <v>0.762092333333333</v>
      </c>
      <c r="V387" s="56" t="n">
        <f aca="false">IF(U387&gt;0,RANK(U387,$U$2:$U$1780)+COUNTIF($U$2:U387,U387)-1,"")</f>
        <v>386</v>
      </c>
      <c r="W387" s="56" t="str">
        <f aca="false">IF(V387="","",IF(V387&lt;=Settings!$B$11,"1 - Fix first",IF(V387&lt;=Settings!$B$12,"2 - Review","3 - Monitor")))</f>
        <v>3 - Monitor</v>
      </c>
      <c r="X387" s="56" t="str">
        <f aca="false">IF(AND(E387&gt;=Settings!$B$4,F387&gt;=Settings!$B$5,O387&gt;=Settings!$B$6),"HIGH RATE","")</f>
        <v/>
      </c>
      <c r="Y387" s="56" t="n">
        <f aca="false">IF(F387&gt;0,RANK(F387,$F$2:$F$1780)+COUNTIF($F$2:F387,F387)-1,"")</f>
        <v>435</v>
      </c>
      <c r="Z387" s="56" t="n">
        <f aca="false">IF(H387&gt;0,RANK(H387,$H$2:$H$1780)+COUNTIF($H$2:H387,H387)-1,"")</f>
        <v>549</v>
      </c>
      <c r="AA387" s="56" t="str">
        <f aca="false">IF(AC387="","",RANK(AC387,$AC$2:$AC$1780)+COUNTIF($AC$2:AC387,AC387)-1)</f>
        <v/>
      </c>
      <c r="AB387" s="56" t="str">
        <f aca="false">IF(AD387="","",RANK(AD387,$AD$2:$AD$1780)+COUNTIF($AD$2:AD387,AD387)-1)</f>
        <v/>
      </c>
      <c r="AC387" s="56" t="str">
        <f aca="false">IF(AND(F387&gt;0,E387&gt;=Settings!$B$4),J387,"")</f>
        <v/>
      </c>
      <c r="AD387" s="56" t="str">
        <f aca="false">IF(X387="HIGH RATE",O387,"")</f>
        <v/>
      </c>
    </row>
    <row r="388" customFormat="false" ht="15" hidden="false" customHeight="false" outlineLevel="0" collapsed="false">
      <c r="A388" s="56" t="s">
        <v>1430</v>
      </c>
      <c r="B388" s="56" t="s">
        <v>1431</v>
      </c>
      <c r="C388" s="56" t="s">
        <v>51</v>
      </c>
      <c r="D388" s="56" t="str">
        <f aca="false">IFERROR(INDEX('Brand Map'!$B$4:$B$124,MATCH(C388,'Brand Map'!$A$4:$A$124,0)),"Other")</f>
        <v>AU</v>
      </c>
      <c r="E388" s="57" t="n">
        <v>21</v>
      </c>
      <c r="F388" s="57" t="n">
        <v>1</v>
      </c>
      <c r="G388" s="58" t="n">
        <v>4349.71</v>
      </c>
      <c r="H388" s="58" t="n">
        <v>156.33</v>
      </c>
      <c r="I388" s="58" t="n">
        <v>4082.98</v>
      </c>
      <c r="J388" s="32" t="n">
        <f aca="false">IF(E388&gt;0,F388/E388,0)</f>
        <v>0.0476190476190476</v>
      </c>
      <c r="K388" s="32" t="n">
        <f aca="false">IF(G388&gt;0,H388/G388,0)</f>
        <v>0.0359403270562865</v>
      </c>
      <c r="L388" s="59" t="n">
        <f aca="false">H388/Settings!$B$16</f>
        <v>0.000312429639378294</v>
      </c>
      <c r="M388" s="59" t="n">
        <f aca="false">H388/Settings!$B$20</f>
        <v>1.21365857933049E-005</v>
      </c>
      <c r="N388" s="60" t="n">
        <f aca="false">E388*Settings!$B$3</f>
        <v>0.650709172676229</v>
      </c>
      <c r="O388" s="60" t="n">
        <f aca="false">IF(E388&gt;0,(F388-N388)/SQRT(E388*Settings!$B$3*(1-Settings!$B$3)),0)</f>
        <v>0.439874437508715</v>
      </c>
      <c r="P388" s="60" t="n">
        <f aca="false">MAX(0,F388-N388)</f>
        <v>0.349290827323771</v>
      </c>
      <c r="Q388" s="32" t="n">
        <f aca="false">(F388+Settings!$B$7*Settings!$B$3)/(E388+Settings!$B$7)</f>
        <v>0.0378349908312669</v>
      </c>
      <c r="R388" s="61" t="n">
        <f aca="false">PERCENTRANK($H$2:$H$1780,H388,6)</f>
        <v>0.808211</v>
      </c>
      <c r="S388" s="61" t="n">
        <f aca="false">PERCENTRANK($Q$2:$Q$1780,Q388,6)</f>
        <v>0.793026</v>
      </c>
      <c r="T388" s="61" t="n">
        <f aca="false">PERCENTRANK($F$2:$F$1780,F388,6)</f>
        <v>0.685039</v>
      </c>
      <c r="U388" s="62" t="n">
        <f aca="false">IF(F388&gt;0,(Settings!$B$8*T388+Settings!$B$9*R388+Settings!$B$10*S388)/SUM(Settings!$B$8:$B$10),0)</f>
        <v>0.762092</v>
      </c>
      <c r="V388" s="56" t="n">
        <f aca="false">IF(U388&gt;0,RANK(U388,$U$2:$U$1780)+COUNTIF($U$2:U388,U388)-1,"")</f>
        <v>387</v>
      </c>
      <c r="W388" s="56" t="str">
        <f aca="false">IF(V388="","",IF(V388&lt;=Settings!$B$11,"1 - Fix first",IF(V388&lt;=Settings!$B$12,"2 - Review","3 - Monitor")))</f>
        <v>3 - Monitor</v>
      </c>
      <c r="X388" s="56" t="str">
        <f aca="false">IF(AND(E388&gt;=Settings!$B$4,F388&gt;=Settings!$B$5,O388&gt;=Settings!$B$6),"HIGH RATE","")</f>
        <v/>
      </c>
      <c r="Y388" s="56" t="n">
        <f aca="false">IF(F388&gt;0,RANK(F388,$F$2:$F$1780)+COUNTIF($F$2:F388,F388)-1,"")</f>
        <v>436</v>
      </c>
      <c r="Z388" s="56" t="n">
        <f aca="false">IF(H388&gt;0,RANK(H388,$H$2:$H$1780)+COUNTIF($H$2:H388,H388)-1,"")</f>
        <v>342</v>
      </c>
      <c r="AA388" s="56" t="str">
        <f aca="false">IF(AC388="","",RANK(AC388,$AC$2:$AC$1780)+COUNTIF($AC$2:AC388,AC388)-1)</f>
        <v/>
      </c>
      <c r="AB388" s="56" t="str">
        <f aca="false">IF(AD388="","",RANK(AD388,$AD$2:$AD$1780)+COUNTIF($AD$2:AD388,AD388)-1)</f>
        <v/>
      </c>
      <c r="AC388" s="56" t="str">
        <f aca="false">IF(AND(F388&gt;0,E388&gt;=Settings!$B$4),J388,"")</f>
        <v/>
      </c>
      <c r="AD388" s="56" t="str">
        <f aca="false">IF(X388="HIGH RATE",O388,"")</f>
        <v/>
      </c>
    </row>
    <row r="389" customFormat="false" ht="15" hidden="false" customHeight="false" outlineLevel="0" collapsed="false">
      <c r="A389" s="56" t="s">
        <v>1432</v>
      </c>
      <c r="B389" s="56" t="s">
        <v>369</v>
      </c>
      <c r="C389" s="56" t="s">
        <v>55</v>
      </c>
      <c r="D389" s="56" t="str">
        <f aca="false">IFERROR(INDEX('Brand Map'!$B$4:$B$124,MATCH(C389,'Brand Map'!$A$4:$A$124,0)),"Other")</f>
        <v>AUMJ</v>
      </c>
      <c r="E389" s="57" t="n">
        <v>15</v>
      </c>
      <c r="F389" s="57" t="n">
        <v>1</v>
      </c>
      <c r="G389" s="58" t="n">
        <v>1549.24</v>
      </c>
      <c r="H389" s="58" t="n">
        <v>109.95</v>
      </c>
      <c r="I389" s="58" t="n">
        <v>1336.37</v>
      </c>
      <c r="J389" s="32" t="n">
        <f aca="false">IF(E389&gt;0,F389/E389,0)</f>
        <v>0.0666666666666667</v>
      </c>
      <c r="K389" s="32" t="n">
        <f aca="false">IF(G389&gt;0,H389/G389,0)</f>
        <v>0.0709702822028866</v>
      </c>
      <c r="L389" s="59" t="n">
        <f aca="false">H389/Settings!$B$16</f>
        <v>0.000219737982790529</v>
      </c>
      <c r="M389" s="59" t="n">
        <f aca="false">H389/Settings!$B$20</f>
        <v>8.53590230905054E-006</v>
      </c>
      <c r="N389" s="60" t="n">
        <f aca="false">E389*Settings!$B$3</f>
        <v>0.464792266197306</v>
      </c>
      <c r="O389" s="60" t="n">
        <f aca="false">IF(E389&gt;0,(F389-N389)/SQRT(E389*Settings!$B$3*(1-Settings!$B$3)),0)</f>
        <v>0.797494950447189</v>
      </c>
      <c r="P389" s="60" t="n">
        <f aca="false">MAX(0,F389-N389)</f>
        <v>0.535207733802694</v>
      </c>
      <c r="Q389" s="32" t="n">
        <f aca="false">(F389+Settings!$B$7*Settings!$B$3)/(E389+Settings!$B$7)</f>
        <v>0.0428796562754358</v>
      </c>
      <c r="R389" s="61" t="n">
        <f aca="false">PERCENTRANK($H$2:$H$1780,H389,6)</f>
        <v>0.766592</v>
      </c>
      <c r="S389" s="61" t="n">
        <f aca="false">PERCENTRANK($Q$2:$Q$1780,Q389,6)</f>
        <v>0.832958</v>
      </c>
      <c r="T389" s="61" t="n">
        <f aca="false">PERCENTRANK($F$2:$F$1780,F389,6)</f>
        <v>0.685039</v>
      </c>
      <c r="U389" s="62" t="n">
        <f aca="false">IF(F389&gt;0,(Settings!$B$8*T389+Settings!$B$9*R389+Settings!$B$10*S389)/SUM(Settings!$B$8:$B$10),0)</f>
        <v>0.761529666666667</v>
      </c>
      <c r="V389" s="56" t="n">
        <f aca="false">IF(U389&gt;0,RANK(U389,$U$2:$U$1780)+COUNTIF($U$2:U389,U389)-1,"")</f>
        <v>388</v>
      </c>
      <c r="W389" s="56" t="str">
        <f aca="false">IF(V389="","",IF(V389&lt;=Settings!$B$11,"1 - Fix first",IF(V389&lt;=Settings!$B$12,"2 - Review","3 - Monitor")))</f>
        <v>3 - Monitor</v>
      </c>
      <c r="X389" s="56" t="str">
        <f aca="false">IF(AND(E389&gt;=Settings!$B$4,F389&gt;=Settings!$B$5,O389&gt;=Settings!$B$6),"HIGH RATE","")</f>
        <v/>
      </c>
      <c r="Y389" s="56" t="n">
        <f aca="false">IF(F389&gt;0,RANK(F389,$F$2:$F$1780)+COUNTIF($F$2:F389,F389)-1,"")</f>
        <v>437</v>
      </c>
      <c r="Z389" s="56" t="n">
        <f aca="false">IF(H389&gt;0,RANK(H389,$H$2:$H$1780)+COUNTIF($H$2:H389,H389)-1,"")</f>
        <v>413</v>
      </c>
      <c r="AA389" s="56" t="str">
        <f aca="false">IF(AC389="","",RANK(AC389,$AC$2:$AC$1780)+COUNTIF($AC$2:AC389,AC389)-1)</f>
        <v/>
      </c>
      <c r="AB389" s="56" t="str">
        <f aca="false">IF(AD389="","",RANK(AD389,$AD$2:$AD$1780)+COUNTIF($AD$2:AD389,AD389)-1)</f>
        <v/>
      </c>
      <c r="AC389" s="56" t="str">
        <f aca="false">IF(AND(F389&gt;0,E389&gt;=Settings!$B$4),J389,"")</f>
        <v/>
      </c>
      <c r="AD389" s="56" t="str">
        <f aca="false">IF(X389="HIGH RATE",O389,"")</f>
        <v/>
      </c>
    </row>
    <row r="390" customFormat="false" ht="15" hidden="false" customHeight="false" outlineLevel="0" collapsed="false">
      <c r="A390" s="56" t="s">
        <v>1433</v>
      </c>
      <c r="B390" s="56" t="s">
        <v>619</v>
      </c>
      <c r="C390" s="56" t="s">
        <v>617</v>
      </c>
      <c r="D390" s="56" t="str">
        <f aca="false">IFERROR(INDEX('Brand Map'!$B$4:$B$124,MATCH(C390,'Brand Map'!$A$4:$A$124,0)),"Other")</f>
        <v>Other (small prefixes)</v>
      </c>
      <c r="E390" s="57" t="n">
        <v>17</v>
      </c>
      <c r="F390" s="57" t="n">
        <v>1</v>
      </c>
      <c r="G390" s="58" t="n">
        <v>2039.15</v>
      </c>
      <c r="H390" s="58" t="n">
        <v>119.95</v>
      </c>
      <c r="I390" s="58" t="n">
        <v>1919.2</v>
      </c>
      <c r="J390" s="32" t="n">
        <f aca="false">IF(E390&gt;0,F390/E390,0)</f>
        <v>0.0588235294117647</v>
      </c>
      <c r="K390" s="32" t="n">
        <f aca="false">IF(G390&gt;0,H390/G390,0)</f>
        <v>0.0588235294117647</v>
      </c>
      <c r="L390" s="59" t="n">
        <f aca="false">H390/Settings!$B$16</f>
        <v>0.000239723247255334</v>
      </c>
      <c r="M390" s="59" t="n">
        <f aca="false">H390/Settings!$B$20</f>
        <v>9.3122463116927E-006</v>
      </c>
      <c r="N390" s="60" t="n">
        <f aca="false">E390*Settings!$B$3</f>
        <v>0.526764568356947</v>
      </c>
      <c r="O390" s="60" t="n">
        <f aca="false">IF(E390&gt;0,(F390-N390)/SQRT(E390*Settings!$B$3*(1-Settings!$B$3)),0)</f>
        <v>0.662375077885243</v>
      </c>
      <c r="P390" s="60" t="n">
        <f aca="false">MAX(0,F390-N390)</f>
        <v>0.473235431643053</v>
      </c>
      <c r="Q390" s="32" t="n">
        <f aca="false">(F390+Settings!$B$7*Settings!$B$3)/(E390+Settings!$B$7)</f>
        <v>0.0410549900509492</v>
      </c>
      <c r="R390" s="61" t="n">
        <f aca="false">PERCENTRANK($H$2:$H$1780,H390,6)</f>
        <v>0.778403</v>
      </c>
      <c r="S390" s="61" t="n">
        <f aca="false">PERCENTRANK($Q$2:$Q$1780,Q390,6)</f>
        <v>0.81946</v>
      </c>
      <c r="T390" s="61" t="n">
        <f aca="false">PERCENTRANK($F$2:$F$1780,F390,6)</f>
        <v>0.685039</v>
      </c>
      <c r="U390" s="62" t="n">
        <f aca="false">IF(F390&gt;0,(Settings!$B$8*T390+Settings!$B$9*R390+Settings!$B$10*S390)/SUM(Settings!$B$8:$B$10),0)</f>
        <v>0.760967333333333</v>
      </c>
      <c r="V390" s="56" t="n">
        <f aca="false">IF(U390&gt;0,RANK(U390,$U$2:$U$1780)+COUNTIF($U$2:U390,U390)-1,"")</f>
        <v>389</v>
      </c>
      <c r="W390" s="56" t="str">
        <f aca="false">IF(V390="","",IF(V390&lt;=Settings!$B$11,"1 - Fix first",IF(V390&lt;=Settings!$B$12,"2 - Review","3 - Monitor")))</f>
        <v>3 - Monitor</v>
      </c>
      <c r="X390" s="56" t="str">
        <f aca="false">IF(AND(E390&gt;=Settings!$B$4,F390&gt;=Settings!$B$5,O390&gt;=Settings!$B$6),"HIGH RATE","")</f>
        <v/>
      </c>
      <c r="Y390" s="56" t="n">
        <f aca="false">IF(F390&gt;0,RANK(F390,$F$2:$F$1780)+COUNTIF($F$2:F390,F390)-1,"")</f>
        <v>438</v>
      </c>
      <c r="Z390" s="56" t="n">
        <f aca="false">IF(H390&gt;0,RANK(H390,$H$2:$H$1780)+COUNTIF($H$2:H390,H390)-1,"")</f>
        <v>394</v>
      </c>
      <c r="AA390" s="56" t="str">
        <f aca="false">IF(AC390="","",RANK(AC390,$AC$2:$AC$1780)+COUNTIF($AC$2:AC390,AC390)-1)</f>
        <v/>
      </c>
      <c r="AB390" s="56" t="str">
        <f aca="false">IF(AD390="","",RANK(AD390,$AD$2:$AD$1780)+COUNTIF($AD$2:AD390,AD390)-1)</f>
        <v/>
      </c>
      <c r="AC390" s="56" t="str">
        <f aca="false">IF(AND(F390&gt;0,E390&gt;=Settings!$B$4),J390,"")</f>
        <v/>
      </c>
      <c r="AD390" s="56" t="str">
        <f aca="false">IF(X390="HIGH RATE",O390,"")</f>
        <v/>
      </c>
    </row>
    <row r="391" customFormat="false" ht="15" hidden="false" customHeight="false" outlineLevel="0" collapsed="false">
      <c r="A391" s="56" t="s">
        <v>1434</v>
      </c>
      <c r="B391" s="56" t="s">
        <v>876</v>
      </c>
      <c r="C391" s="56" t="s">
        <v>55</v>
      </c>
      <c r="D391" s="56" t="str">
        <f aca="false">IFERROR(INDEX('Brand Map'!$B$4:$B$124,MATCH(C391,'Brand Map'!$A$4:$A$124,0)),"Other")</f>
        <v>AUMJ</v>
      </c>
      <c r="E391" s="57" t="n">
        <v>9</v>
      </c>
      <c r="F391" s="57" t="n">
        <v>1</v>
      </c>
      <c r="G391" s="58" t="n">
        <v>859.19</v>
      </c>
      <c r="H391" s="58" t="n">
        <v>63.59</v>
      </c>
      <c r="I391" s="58" t="n">
        <v>770.18</v>
      </c>
      <c r="J391" s="32" t="n">
        <f aca="false">IF(E391&gt;0,F391/E391,0)</f>
        <v>0.111111111111111</v>
      </c>
      <c r="K391" s="32" t="n">
        <f aca="false">IF(G391&gt;0,H391/G391,0)</f>
        <v>0.0740115690359525</v>
      </c>
      <c r="L391" s="59" t="n">
        <f aca="false">H391/Settings!$B$16</f>
        <v>0.000127086296731694</v>
      </c>
      <c r="M391" s="59" t="n">
        <f aca="false">H391/Settings!$B$20</f>
        <v>4.93677151280149E-006</v>
      </c>
      <c r="N391" s="60" t="n">
        <f aca="false">E391*Settings!$B$3</f>
        <v>0.278875359718384</v>
      </c>
      <c r="O391" s="60" t="n">
        <f aca="false">IF(E391&gt;0,(F391-N391)/SQRT(E391*Settings!$B$3*(1-Settings!$B$3)),0)</f>
        <v>1.38720380579105</v>
      </c>
      <c r="P391" s="60" t="n">
        <f aca="false">MAX(0,F391-N391)</f>
        <v>0.721124640281616</v>
      </c>
      <c r="Q391" s="32" t="n">
        <f aca="false">(F391+Settings!$B$7*Settings!$B$3)/(E391+Settings!$B$7)</f>
        <v>0.0494765264716567</v>
      </c>
      <c r="R391" s="61" t="n">
        <f aca="false">PERCENTRANK($H$2:$H$1780,H391,6)</f>
        <v>0.713723</v>
      </c>
      <c r="S391" s="61" t="n">
        <f aca="false">PERCENTRANK($Q$2:$Q$1780,Q391,6)</f>
        <v>0.882452</v>
      </c>
      <c r="T391" s="61" t="n">
        <f aca="false">PERCENTRANK($F$2:$F$1780,F391,6)</f>
        <v>0.685039</v>
      </c>
      <c r="U391" s="62" t="n">
        <f aca="false">IF(F391&gt;0,(Settings!$B$8*T391+Settings!$B$9*R391+Settings!$B$10*S391)/SUM(Settings!$B$8:$B$10),0)</f>
        <v>0.760404666666667</v>
      </c>
      <c r="V391" s="56" t="n">
        <f aca="false">IF(U391&gt;0,RANK(U391,$U$2:$U$1780)+COUNTIF($U$2:U391,U391)-1,"")</f>
        <v>391</v>
      </c>
      <c r="W391" s="56" t="str">
        <f aca="false">IF(V391="","",IF(V391&lt;=Settings!$B$11,"1 - Fix first",IF(V391&lt;=Settings!$B$12,"2 - Review","3 - Monitor")))</f>
        <v>3 - Monitor</v>
      </c>
      <c r="X391" s="56" t="str">
        <f aca="false">IF(AND(E391&gt;=Settings!$B$4,F391&gt;=Settings!$B$5,O391&gt;=Settings!$B$6),"HIGH RATE","")</f>
        <v/>
      </c>
      <c r="Y391" s="56" t="n">
        <f aca="false">IF(F391&gt;0,RANK(F391,$F$2:$F$1780)+COUNTIF($F$2:F391,F391)-1,"")</f>
        <v>439</v>
      </c>
      <c r="Z391" s="56" t="n">
        <f aca="false">IF(H391&gt;0,RANK(H391,$H$2:$H$1780)+COUNTIF($H$2:H391,H391)-1,"")</f>
        <v>508</v>
      </c>
      <c r="AA391" s="56" t="str">
        <f aca="false">IF(AC391="","",RANK(AC391,$AC$2:$AC$1780)+COUNTIF($AC$2:AC391,AC391)-1)</f>
        <v/>
      </c>
      <c r="AB391" s="56" t="str">
        <f aca="false">IF(AD391="","",RANK(AD391,$AD$2:$AD$1780)+COUNTIF($AD$2:AD391,AD391)-1)</f>
        <v/>
      </c>
      <c r="AC391" s="56" t="str">
        <f aca="false">IF(AND(F391&gt;0,E391&gt;=Settings!$B$4),J391,"")</f>
        <v/>
      </c>
      <c r="AD391" s="56" t="str">
        <f aca="false">IF(X391="HIGH RATE",O391,"")</f>
        <v/>
      </c>
    </row>
    <row r="392" customFormat="false" ht="15" hidden="false" customHeight="false" outlineLevel="0" collapsed="false">
      <c r="A392" s="56" t="s">
        <v>1435</v>
      </c>
      <c r="B392" s="56" t="s">
        <v>1436</v>
      </c>
      <c r="C392" s="56" t="s">
        <v>51</v>
      </c>
      <c r="D392" s="56" t="str">
        <f aca="false">IFERROR(INDEX('Brand Map'!$B$4:$B$124,MATCH(C392,'Brand Map'!$A$4:$A$124,0)),"Other")</f>
        <v>AU</v>
      </c>
      <c r="E392" s="57" t="n">
        <v>7</v>
      </c>
      <c r="F392" s="57" t="n">
        <v>1</v>
      </c>
      <c r="G392" s="58" t="n">
        <v>359.65</v>
      </c>
      <c r="H392" s="58" t="n">
        <v>44.95</v>
      </c>
      <c r="I392" s="58" t="n">
        <v>314.7</v>
      </c>
      <c r="J392" s="32" t="n">
        <f aca="false">IF(E392&gt;0,F392/E392,0)</f>
        <v>0.142857142857143</v>
      </c>
      <c r="K392" s="32" t="n">
        <f aca="false">IF(G392&gt;0,H392/G392,0)</f>
        <v>0.124982621993605</v>
      </c>
      <c r="L392" s="59" t="n">
        <f aca="false">H392/Settings!$B$16</f>
        <v>8.98337637692976E-005</v>
      </c>
      <c r="M392" s="59" t="n">
        <f aca="false">H392/Settings!$B$20</f>
        <v>3.48966629187651E-006</v>
      </c>
      <c r="N392" s="60" t="n">
        <f aca="false">E392*Settings!$B$3</f>
        <v>0.216903057558743</v>
      </c>
      <c r="O392" s="60" t="n">
        <f aca="false">IF(E392&gt;0,(F392-N392)/SQRT(E392*Settings!$B$3*(1-Settings!$B$3)),0)</f>
        <v>1.70811733149008</v>
      </c>
      <c r="P392" s="60" t="n">
        <f aca="false">MAX(0,F392-N392)</f>
        <v>0.783096942441257</v>
      </c>
      <c r="Q392" s="32" t="n">
        <f aca="false">(F392+Settings!$B$7*Settings!$B$3)/(E392+Settings!$B$7)</f>
        <v>0.0521509333079625</v>
      </c>
      <c r="R392" s="61" t="n">
        <f aca="false">PERCENTRANK($H$2:$H$1780,H392,6)</f>
        <v>0.697413</v>
      </c>
      <c r="S392" s="61" t="n">
        <f aca="false">PERCENTRANK($Q$2:$Q$1780,Q392,6)</f>
        <v>0.898763</v>
      </c>
      <c r="T392" s="61" t="n">
        <f aca="false">PERCENTRANK($F$2:$F$1780,F392,6)</f>
        <v>0.685039</v>
      </c>
      <c r="U392" s="62" t="n">
        <f aca="false">IF(F392&gt;0,(Settings!$B$8*T392+Settings!$B$9*R392+Settings!$B$10*S392)/SUM(Settings!$B$8:$B$10),0)</f>
        <v>0.760405</v>
      </c>
      <c r="V392" s="56" t="n">
        <f aca="false">IF(U392&gt;0,RANK(U392,$U$2:$U$1780)+COUNTIF($U$2:U392,U392)-1,"")</f>
        <v>390</v>
      </c>
      <c r="W392" s="56" t="str">
        <f aca="false">IF(V392="","",IF(V392&lt;=Settings!$B$11,"1 - Fix first",IF(V392&lt;=Settings!$B$12,"2 - Review","3 - Monitor")))</f>
        <v>3 - Monitor</v>
      </c>
      <c r="X392" s="56" t="str">
        <f aca="false">IF(AND(E392&gt;=Settings!$B$4,F392&gt;=Settings!$B$5,O392&gt;=Settings!$B$6),"HIGH RATE","")</f>
        <v/>
      </c>
      <c r="Y392" s="56" t="n">
        <f aca="false">IF(F392&gt;0,RANK(F392,$F$2:$F$1780)+COUNTIF($F$2:F392,F392)-1,"")</f>
        <v>440</v>
      </c>
      <c r="Z392" s="56" t="n">
        <f aca="false">IF(H392&gt;0,RANK(H392,$H$2:$H$1780)+COUNTIF($H$2:H392,H392)-1,"")</f>
        <v>538</v>
      </c>
      <c r="AA392" s="56" t="str">
        <f aca="false">IF(AC392="","",RANK(AC392,$AC$2:$AC$1780)+COUNTIF($AC$2:AC392,AC392)-1)</f>
        <v/>
      </c>
      <c r="AB392" s="56" t="str">
        <f aca="false">IF(AD392="","",RANK(AD392,$AD$2:$AD$1780)+COUNTIF($AD$2:AD392,AD392)-1)</f>
        <v/>
      </c>
      <c r="AC392" s="56" t="str">
        <f aca="false">IF(AND(F392&gt;0,E392&gt;=Settings!$B$4),J392,"")</f>
        <v/>
      </c>
      <c r="AD392" s="56" t="str">
        <f aca="false">IF(X392="HIGH RATE",O392,"")</f>
        <v/>
      </c>
    </row>
    <row r="393" customFormat="false" ht="15" hidden="false" customHeight="false" outlineLevel="0" collapsed="false">
      <c r="A393" s="56" t="s">
        <v>1437</v>
      </c>
      <c r="B393" s="56" t="s">
        <v>1438</v>
      </c>
      <c r="C393" s="56" t="s">
        <v>87</v>
      </c>
      <c r="D393" s="56" t="str">
        <f aca="false">IFERROR(INDEX('Brand Map'!$B$4:$B$124,MATCH(C393,'Brand Map'!$A$4:$A$124,0)),"Other")</f>
        <v>FYF</v>
      </c>
      <c r="E393" s="57" t="n">
        <v>10</v>
      </c>
      <c r="F393" s="57" t="n">
        <v>1</v>
      </c>
      <c r="G393" s="58" t="n">
        <v>699.5</v>
      </c>
      <c r="H393" s="58" t="n">
        <v>69.95</v>
      </c>
      <c r="I393" s="58" t="n">
        <v>629.55</v>
      </c>
      <c r="J393" s="32" t="n">
        <f aca="false">IF(E393&gt;0,F393/E393,0)</f>
        <v>0.1</v>
      </c>
      <c r="K393" s="32" t="n">
        <f aca="false">IF(G393&gt;0,H393/G393,0)</f>
        <v>0.1</v>
      </c>
      <c r="L393" s="59" t="n">
        <f aca="false">H393/Settings!$B$16</f>
        <v>0.00013979692493131</v>
      </c>
      <c r="M393" s="59" t="n">
        <f aca="false">H393/Settings!$B$20</f>
        <v>5.43052629848191E-006</v>
      </c>
      <c r="N393" s="60" t="n">
        <f aca="false">E393*Settings!$B$3</f>
        <v>0.309861510798204</v>
      </c>
      <c r="O393" s="60" t="n">
        <f aca="false">IF(E393&gt;0,(F393-N393)/SQRT(E393*Settings!$B$3*(1-Settings!$B$3)),0)</f>
        <v>1.25946887637521</v>
      </c>
      <c r="P393" s="60" t="n">
        <f aca="false">MAX(0,F393-N393)</f>
        <v>0.690138489201796</v>
      </c>
      <c r="Q393" s="32" t="n">
        <f aca="false">(F393+Settings!$B$7*Settings!$B$3)/(E393+Settings!$B$7)</f>
        <v>0.0482396133098653</v>
      </c>
      <c r="R393" s="61" t="n">
        <f aca="false">PERCENTRANK($H$2:$H$1780,H393,6)</f>
        <v>0.721035</v>
      </c>
      <c r="S393" s="61" t="n">
        <f aca="false">PERCENTRANK($Q$2:$Q$1780,Q393,6)</f>
        <v>0.874016</v>
      </c>
      <c r="T393" s="61" t="n">
        <f aca="false">PERCENTRANK($F$2:$F$1780,F393,6)</f>
        <v>0.685039</v>
      </c>
      <c r="U393" s="62" t="n">
        <f aca="false">IF(F393&gt;0,(Settings!$B$8*T393+Settings!$B$9*R393+Settings!$B$10*S393)/SUM(Settings!$B$8:$B$10),0)</f>
        <v>0.76003</v>
      </c>
      <c r="V393" s="56" t="n">
        <f aca="false">IF(U393&gt;0,RANK(U393,$U$2:$U$1780)+COUNTIF($U$2:U393,U393)-1,"")</f>
        <v>392</v>
      </c>
      <c r="W393" s="56" t="str">
        <f aca="false">IF(V393="","",IF(V393&lt;=Settings!$B$11,"1 - Fix first",IF(V393&lt;=Settings!$B$12,"2 - Review","3 - Monitor")))</f>
        <v>3 - Monitor</v>
      </c>
      <c r="X393" s="56" t="str">
        <f aca="false">IF(AND(E393&gt;=Settings!$B$4,F393&gt;=Settings!$B$5,O393&gt;=Settings!$B$6),"HIGH RATE","")</f>
        <v/>
      </c>
      <c r="Y393" s="56" t="n">
        <f aca="false">IF(F393&gt;0,RANK(F393,$F$2:$F$1780)+COUNTIF($F$2:F393,F393)-1,"")</f>
        <v>441</v>
      </c>
      <c r="Z393" s="56" t="n">
        <f aca="false">IF(H393&gt;0,RANK(H393,$H$2:$H$1780)+COUNTIF($H$2:H393,H393)-1,"")</f>
        <v>496</v>
      </c>
      <c r="AA393" s="56" t="str">
        <f aca="false">IF(AC393="","",RANK(AC393,$AC$2:$AC$1780)+COUNTIF($AC$2:AC393,AC393)-1)</f>
        <v/>
      </c>
      <c r="AB393" s="56" t="str">
        <f aca="false">IF(AD393="","",RANK(AD393,$AD$2:$AD$1780)+COUNTIF($AD$2:AD393,AD393)-1)</f>
        <v/>
      </c>
      <c r="AC393" s="56" t="str">
        <f aca="false">IF(AND(F393&gt;0,E393&gt;=Settings!$B$4),J393,"")</f>
        <v/>
      </c>
      <c r="AD393" s="56" t="str">
        <f aca="false">IF(X393="HIGH RATE",O393,"")</f>
        <v/>
      </c>
    </row>
    <row r="394" customFormat="false" ht="15" hidden="false" customHeight="false" outlineLevel="0" collapsed="false">
      <c r="A394" s="56" t="s">
        <v>1439</v>
      </c>
      <c r="B394" s="56" t="s">
        <v>1440</v>
      </c>
      <c r="C394" s="56" t="s">
        <v>51</v>
      </c>
      <c r="D394" s="56" t="str">
        <f aca="false">IFERROR(INDEX('Brand Map'!$B$4:$B$124,MATCH(C394,'Brand Map'!$A$4:$A$124,0)),"Other")</f>
        <v>AU</v>
      </c>
      <c r="E394" s="57" t="n">
        <v>206</v>
      </c>
      <c r="F394" s="57" t="n">
        <v>6</v>
      </c>
      <c r="G394" s="58" t="n">
        <v>16816.07</v>
      </c>
      <c r="H394" s="58" t="n">
        <v>454.75</v>
      </c>
      <c r="I394" s="58" t="n">
        <v>15720.65</v>
      </c>
      <c r="J394" s="32" t="n">
        <f aca="false">IF(E394&gt;0,F394/E394,0)</f>
        <v>0.029126213592233</v>
      </c>
      <c r="K394" s="32" t="n">
        <f aca="false">IF(G394&gt;0,H394/G394,0)</f>
        <v>0.0270425848607909</v>
      </c>
      <c r="L394" s="59" t="n">
        <f aca="false">H394/Settings!$B$16</f>
        <v>0.000908829901536999</v>
      </c>
      <c r="M394" s="59" t="n">
        <f aca="false">H394/Settings!$B$20</f>
        <v>3.53042435201522E-005</v>
      </c>
      <c r="N394" s="60" t="n">
        <f aca="false">E394*Settings!$B$3</f>
        <v>6.38314712244301</v>
      </c>
      <c r="O394" s="60" t="n">
        <f aca="false">IF(E394&gt;0,(F394-N394)/SQRT(E394*Settings!$B$3*(1-Settings!$B$3)),0)</f>
        <v>-0.15405760750608</v>
      </c>
      <c r="P394" s="60" t="n">
        <f aca="false">MAX(0,F394-N394)</f>
        <v>0</v>
      </c>
      <c r="Q394" s="32" t="n">
        <f aca="false">(F394+Settings!$B$7*Settings!$B$3)/(E394+Settings!$B$7)</f>
        <v>0.029362646323706</v>
      </c>
      <c r="R394" s="61" t="n">
        <f aca="false">PERCENTRANK($H$2:$H$1780,H394,6)</f>
        <v>0.897075</v>
      </c>
      <c r="S394" s="61" t="n">
        <f aca="false">PERCENTRANK($Q$2:$Q$1780,Q394,6)</f>
        <v>0.483127</v>
      </c>
      <c r="T394" s="61" t="n">
        <f aca="false">PERCENTRANK($F$2:$F$1780,F394,6)</f>
        <v>0.898763</v>
      </c>
      <c r="U394" s="62" t="n">
        <f aca="false">IF(F394&gt;0,(Settings!$B$8*T394+Settings!$B$9*R394+Settings!$B$10*S394)/SUM(Settings!$B$8:$B$10),0)</f>
        <v>0.759655</v>
      </c>
      <c r="V394" s="56" t="n">
        <f aca="false">IF(U394&gt;0,RANK(U394,$U$2:$U$1780)+COUNTIF($U$2:U394,U394)-1,"")</f>
        <v>393</v>
      </c>
      <c r="W394" s="56" t="str">
        <f aca="false">IF(V394="","",IF(V394&lt;=Settings!$B$11,"1 - Fix first",IF(V394&lt;=Settings!$B$12,"2 - Review","3 - Monitor")))</f>
        <v>3 - Monitor</v>
      </c>
      <c r="X394" s="56" t="str">
        <f aca="false">IF(AND(E394&gt;=Settings!$B$4,F394&gt;=Settings!$B$5,O394&gt;=Settings!$B$6),"HIGH RATE","")</f>
        <v/>
      </c>
      <c r="Y394" s="56" t="n">
        <f aca="false">IF(F394&gt;0,RANK(F394,$F$2:$F$1780)+COUNTIF($F$2:F394,F394)-1,"")</f>
        <v>180</v>
      </c>
      <c r="Z394" s="56" t="n">
        <f aca="false">IF(H394&gt;0,RANK(H394,$H$2:$H$1780)+COUNTIF($H$2:H394,H394)-1,"")</f>
        <v>184</v>
      </c>
      <c r="AA394" s="56" t="n">
        <f aca="false">IF(AC394="","",RANK(AC394,$AC$2:$AC$1780)+COUNTIF($AC$2:AC394,AC394)-1)</f>
        <v>271</v>
      </c>
      <c r="AB394" s="56" t="str">
        <f aca="false">IF(AD394="","",RANK(AD394,$AD$2:$AD$1780)+COUNTIF($AD$2:AD394,AD394)-1)</f>
        <v/>
      </c>
      <c r="AC394" s="32" t="n">
        <f aca="false">IF(AND(F394&gt;0,E394&gt;=Settings!$B$4),J394,"")</f>
        <v>0.029126213592233</v>
      </c>
      <c r="AD394" s="56" t="str">
        <f aca="false">IF(X394="HIGH RATE",O394,"")</f>
        <v/>
      </c>
    </row>
    <row r="395" customFormat="false" ht="15" hidden="false" customHeight="false" outlineLevel="0" collapsed="false">
      <c r="A395" s="56" t="s">
        <v>1441</v>
      </c>
      <c r="B395" s="56" t="s">
        <v>371</v>
      </c>
      <c r="C395" s="56" t="s">
        <v>87</v>
      </c>
      <c r="D395" s="56" t="str">
        <f aca="false">IFERROR(INDEX('Brand Map'!$B$4:$B$124,MATCH(C395,'Brand Map'!$A$4:$A$124,0)),"Other")</f>
        <v>FYF</v>
      </c>
      <c r="E395" s="57" t="n">
        <v>13</v>
      </c>
      <c r="F395" s="57" t="n">
        <v>1</v>
      </c>
      <c r="G395" s="58" t="n">
        <v>1234.35</v>
      </c>
      <c r="H395" s="58" t="n">
        <v>94.95</v>
      </c>
      <c r="I395" s="58" t="n">
        <v>1139.4</v>
      </c>
      <c r="J395" s="32" t="n">
        <f aca="false">IF(E395&gt;0,F395/E395,0)</f>
        <v>0.0769230769230769</v>
      </c>
      <c r="K395" s="32" t="n">
        <f aca="false">IF(G395&gt;0,H395/G395,0)</f>
        <v>0.0769230769230769</v>
      </c>
      <c r="L395" s="59" t="n">
        <f aca="false">H395/Settings!$B$16</f>
        <v>0.000189760086093322</v>
      </c>
      <c r="M395" s="59" t="n">
        <f aca="false">H395/Settings!$B$20</f>
        <v>7.3713863050873E-006</v>
      </c>
      <c r="N395" s="60" t="n">
        <f aca="false">E395*Settings!$B$3</f>
        <v>0.402819964037665</v>
      </c>
      <c r="O395" s="60" t="n">
        <f aca="false">IF(E395&gt;0,(F395-N395)/SQRT(E395*Settings!$B$3*(1-Settings!$B$3)),0)</f>
        <v>0.955839107624911</v>
      </c>
      <c r="P395" s="60" t="n">
        <f aca="false">MAX(0,F395-N395)</f>
        <v>0.597180035962335</v>
      </c>
      <c r="Q395" s="32" t="n">
        <f aca="false">(F395+Settings!$B$7*Settings!$B$3)/(E395+Settings!$B$7)</f>
        <v>0.044874058892898</v>
      </c>
      <c r="R395" s="61" t="n">
        <f aca="false">PERCENTRANK($H$2:$H$1780,H395,6)</f>
        <v>0.748594</v>
      </c>
      <c r="S395" s="61" t="n">
        <f aca="false">PERCENTRANK($Q$2:$Q$1780,Q395,6)</f>
        <v>0.844207</v>
      </c>
      <c r="T395" s="61" t="n">
        <f aca="false">PERCENTRANK($F$2:$F$1780,F395,6)</f>
        <v>0.685039</v>
      </c>
      <c r="U395" s="62" t="n">
        <f aca="false">IF(F395&gt;0,(Settings!$B$8*T395+Settings!$B$9*R395+Settings!$B$10*S395)/SUM(Settings!$B$8:$B$10),0)</f>
        <v>0.75928</v>
      </c>
      <c r="V395" s="56" t="n">
        <f aca="false">IF(U395&gt;0,RANK(U395,$U$2:$U$1780)+COUNTIF($U$2:U395,U395)-1,"")</f>
        <v>394</v>
      </c>
      <c r="W395" s="56" t="str">
        <f aca="false">IF(V395="","",IF(V395&lt;=Settings!$B$11,"1 - Fix first",IF(V395&lt;=Settings!$B$12,"2 - Review","3 - Monitor")))</f>
        <v>3 - Monitor</v>
      </c>
      <c r="X395" s="56" t="str">
        <f aca="false">IF(AND(E395&gt;=Settings!$B$4,F395&gt;=Settings!$B$5,O395&gt;=Settings!$B$6),"HIGH RATE","")</f>
        <v/>
      </c>
      <c r="Y395" s="56" t="n">
        <f aca="false">IF(F395&gt;0,RANK(F395,$F$2:$F$1780)+COUNTIF($F$2:F395,F395)-1,"")</f>
        <v>442</v>
      </c>
      <c r="Z395" s="56" t="n">
        <f aca="false">IF(H395&gt;0,RANK(H395,$H$2:$H$1780)+COUNTIF($H$2:H395,H395)-1,"")</f>
        <v>443</v>
      </c>
      <c r="AA395" s="56" t="str">
        <f aca="false">IF(AC395="","",RANK(AC395,$AC$2:$AC$1780)+COUNTIF($AC$2:AC395,AC395)-1)</f>
        <v/>
      </c>
      <c r="AB395" s="56" t="str">
        <f aca="false">IF(AD395="","",RANK(AD395,$AD$2:$AD$1780)+COUNTIF($AD$2:AD395,AD395)-1)</f>
        <v/>
      </c>
      <c r="AC395" s="56" t="str">
        <f aca="false">IF(AND(F395&gt;0,E395&gt;=Settings!$B$4),J395,"")</f>
        <v/>
      </c>
      <c r="AD395" s="56" t="str">
        <f aca="false">IF(X395="HIGH RATE",O395,"")</f>
        <v/>
      </c>
    </row>
    <row r="396" customFormat="false" ht="15" hidden="false" customHeight="false" outlineLevel="0" collapsed="false">
      <c r="A396" s="56" t="s">
        <v>1442</v>
      </c>
      <c r="B396" s="56" t="s">
        <v>1443</v>
      </c>
      <c r="C396" s="56" t="s">
        <v>51</v>
      </c>
      <c r="D396" s="56" t="str">
        <f aca="false">IFERROR(INDEX('Brand Map'!$B$4:$B$124,MATCH(C396,'Brand Map'!$A$4:$A$124,0)),"Other")</f>
        <v>AU</v>
      </c>
      <c r="E396" s="57" t="n">
        <v>16</v>
      </c>
      <c r="F396" s="57" t="n">
        <v>1</v>
      </c>
      <c r="G396" s="58" t="n">
        <v>1732.92</v>
      </c>
      <c r="H396" s="58" t="n">
        <v>109.05</v>
      </c>
      <c r="I396" s="58" t="n">
        <v>1572.09</v>
      </c>
      <c r="J396" s="32" t="n">
        <f aca="false">IF(E396&gt;0,F396/E396,0)</f>
        <v>0.0625</v>
      </c>
      <c r="K396" s="32" t="n">
        <f aca="false">IF(G396&gt;0,H396/G396,0)</f>
        <v>0.0629284675576484</v>
      </c>
      <c r="L396" s="59" t="n">
        <f aca="false">H396/Settings!$B$16</f>
        <v>0.000217939308988696</v>
      </c>
      <c r="M396" s="59" t="n">
        <f aca="false">H396/Settings!$B$20</f>
        <v>8.46603134881275E-006</v>
      </c>
      <c r="N396" s="60" t="n">
        <f aca="false">E396*Settings!$B$3</f>
        <v>0.495778417277127</v>
      </c>
      <c r="O396" s="60" t="n">
        <f aca="false">IF(E396&gt;0,(F396-N396)/SQRT(E396*Settings!$B$3*(1-Settings!$B$3)),0)</f>
        <v>0.727465883958007</v>
      </c>
      <c r="P396" s="60" t="n">
        <f aca="false">MAX(0,F396-N396)</f>
        <v>0.504221582722873</v>
      </c>
      <c r="Q396" s="32" t="n">
        <f aca="false">(F396+Settings!$B$7*Settings!$B$3)/(E396+Settings!$B$7)</f>
        <v>0.0419474898346655</v>
      </c>
      <c r="R396" s="61" t="n">
        <f aca="false">PERCENTRANK($H$2:$H$1780,H396,6)</f>
        <v>0.764904</v>
      </c>
      <c r="S396" s="61" t="n">
        <f aca="false">PERCENTRANK($Q$2:$Q$1780,Q396,6)</f>
        <v>0.827334</v>
      </c>
      <c r="T396" s="61" t="n">
        <f aca="false">PERCENTRANK($F$2:$F$1780,F396,6)</f>
        <v>0.685039</v>
      </c>
      <c r="U396" s="62" t="n">
        <f aca="false">IF(F396&gt;0,(Settings!$B$8*T396+Settings!$B$9*R396+Settings!$B$10*S396)/SUM(Settings!$B$8:$B$10),0)</f>
        <v>0.759092333333333</v>
      </c>
      <c r="V396" s="56" t="n">
        <f aca="false">IF(U396&gt;0,RANK(U396,$U$2:$U$1780)+COUNTIF($U$2:U396,U396)-1,"")</f>
        <v>396</v>
      </c>
      <c r="W396" s="56" t="str">
        <f aca="false">IF(V396="","",IF(V396&lt;=Settings!$B$11,"1 - Fix first",IF(V396&lt;=Settings!$B$12,"2 - Review","3 - Monitor")))</f>
        <v>3 - Monitor</v>
      </c>
      <c r="X396" s="56" t="str">
        <f aca="false">IF(AND(E396&gt;=Settings!$B$4,F396&gt;=Settings!$B$5,O396&gt;=Settings!$B$6),"HIGH RATE","")</f>
        <v/>
      </c>
      <c r="Y396" s="56" t="n">
        <f aca="false">IF(F396&gt;0,RANK(F396,$F$2:$F$1780)+COUNTIF($F$2:F396,F396)-1,"")</f>
        <v>443</v>
      </c>
      <c r="Z396" s="56" t="n">
        <f aca="false">IF(H396&gt;0,RANK(H396,$H$2:$H$1780)+COUNTIF($H$2:H396,H396)-1,"")</f>
        <v>418</v>
      </c>
      <c r="AA396" s="56" t="str">
        <f aca="false">IF(AC396="","",RANK(AC396,$AC$2:$AC$1780)+COUNTIF($AC$2:AC396,AC396)-1)</f>
        <v/>
      </c>
      <c r="AB396" s="56" t="str">
        <f aca="false">IF(AD396="","",RANK(AD396,$AD$2:$AD$1780)+COUNTIF($AD$2:AD396,AD396)-1)</f>
        <v/>
      </c>
      <c r="AC396" s="56" t="str">
        <f aca="false">IF(AND(F396&gt;0,E396&gt;=Settings!$B$4),J396,"")</f>
        <v/>
      </c>
      <c r="AD396" s="56" t="str">
        <f aca="false">IF(X396="HIGH RATE",O396,"")</f>
        <v/>
      </c>
    </row>
    <row r="397" customFormat="false" ht="15" hidden="false" customHeight="false" outlineLevel="0" collapsed="false">
      <c r="A397" s="56" t="s">
        <v>1444</v>
      </c>
      <c r="B397" s="56" t="s">
        <v>1445</v>
      </c>
      <c r="C397" s="56" t="s">
        <v>51</v>
      </c>
      <c r="D397" s="56" t="str">
        <f aca="false">IFERROR(INDEX('Brand Map'!$B$4:$B$124,MATCH(C397,'Brand Map'!$A$4:$A$124,0)),"Other")</f>
        <v>AU</v>
      </c>
      <c r="E397" s="57" t="n">
        <v>12</v>
      </c>
      <c r="F397" s="57" t="n">
        <v>1</v>
      </c>
      <c r="G397" s="58" t="n">
        <v>1182.14</v>
      </c>
      <c r="H397" s="58" t="n">
        <v>86.32</v>
      </c>
      <c r="I397" s="58" t="n">
        <v>1067.77</v>
      </c>
      <c r="J397" s="32" t="n">
        <f aca="false">IF(E397&gt;0,F397/E397,0)</f>
        <v>0.0833333333333333</v>
      </c>
      <c r="K397" s="32" t="n">
        <f aca="false">IF(G397&gt;0,H397/G397,0)</f>
        <v>0.0730201160607035</v>
      </c>
      <c r="L397" s="59" t="n">
        <f aca="false">H397/Settings!$B$16</f>
        <v>0.000172512802860195</v>
      </c>
      <c r="M397" s="59" t="n">
        <f aca="false">H397/Settings!$B$20</f>
        <v>6.70140143080712E-006</v>
      </c>
      <c r="N397" s="60" t="n">
        <f aca="false">E397*Settings!$B$3</f>
        <v>0.371833812957845</v>
      </c>
      <c r="O397" s="60" t="n">
        <f aca="false">IF(E397&gt;0,(F397-N397)/SQRT(E397*Settings!$B$3*(1-Settings!$B$3)),0)</f>
        <v>1.04649009824894</v>
      </c>
      <c r="P397" s="60" t="n">
        <f aca="false">MAX(0,F397-N397)</f>
        <v>0.628166187042155</v>
      </c>
      <c r="Q397" s="32" t="n">
        <f aca="false">(F397+Settings!$B$7*Settings!$B$3)/(E397+Settings!$B$7)</f>
        <v>0.0459424888665384</v>
      </c>
      <c r="R397" s="61" t="n">
        <f aca="false">PERCENTRANK($H$2:$H$1780,H397,6)</f>
        <v>0.74072</v>
      </c>
      <c r="S397" s="61" t="n">
        <f aca="false">PERCENTRANK($Q$2:$Q$1780,Q397,6)</f>
        <v>0.851519</v>
      </c>
      <c r="T397" s="61" t="n">
        <f aca="false">PERCENTRANK($F$2:$F$1780,F397,6)</f>
        <v>0.685039</v>
      </c>
      <c r="U397" s="62" t="n">
        <f aca="false">IF(F397&gt;0,(Settings!$B$8*T397+Settings!$B$9*R397+Settings!$B$10*S397)/SUM(Settings!$B$8:$B$10),0)</f>
        <v>0.759092666666667</v>
      </c>
      <c r="V397" s="56" t="n">
        <f aca="false">IF(U397&gt;0,RANK(U397,$U$2:$U$1780)+COUNTIF($U$2:U397,U397)-1,"")</f>
        <v>395</v>
      </c>
      <c r="W397" s="56" t="str">
        <f aca="false">IF(V397="","",IF(V397&lt;=Settings!$B$11,"1 - Fix first",IF(V397&lt;=Settings!$B$12,"2 - Review","3 - Monitor")))</f>
        <v>3 - Monitor</v>
      </c>
      <c r="X397" s="56" t="str">
        <f aca="false">IF(AND(E397&gt;=Settings!$B$4,F397&gt;=Settings!$B$5,O397&gt;=Settings!$B$6),"HIGH RATE","")</f>
        <v/>
      </c>
      <c r="Y397" s="56" t="n">
        <f aca="false">IF(F397&gt;0,RANK(F397,$F$2:$F$1780)+COUNTIF($F$2:F397,F397)-1,"")</f>
        <v>444</v>
      </c>
      <c r="Z397" s="56" t="n">
        <f aca="false">IF(H397&gt;0,RANK(H397,$H$2:$H$1780)+COUNTIF($H$2:H397,H397)-1,"")</f>
        <v>461</v>
      </c>
      <c r="AA397" s="56" t="str">
        <f aca="false">IF(AC397="","",RANK(AC397,$AC$2:$AC$1780)+COUNTIF($AC$2:AC397,AC397)-1)</f>
        <v/>
      </c>
      <c r="AB397" s="56" t="str">
        <f aca="false">IF(AD397="","",RANK(AD397,$AD$2:$AD$1780)+COUNTIF($AD$2:AD397,AD397)-1)</f>
        <v/>
      </c>
      <c r="AC397" s="56" t="str">
        <f aca="false">IF(AND(F397&gt;0,E397&gt;=Settings!$B$4),J397,"")</f>
        <v/>
      </c>
      <c r="AD397" s="56" t="str">
        <f aca="false">IF(X397="HIGH RATE",O397,"")</f>
        <v/>
      </c>
    </row>
    <row r="398" customFormat="false" ht="15" hidden="false" customHeight="false" outlineLevel="0" collapsed="false">
      <c r="A398" s="56" t="s">
        <v>1446</v>
      </c>
      <c r="B398" s="56" t="s">
        <v>1447</v>
      </c>
      <c r="C398" s="56" t="s">
        <v>51</v>
      </c>
      <c r="D398" s="56" t="str">
        <f aca="false">IFERROR(INDEX('Brand Map'!$B$4:$B$124,MATCH(C398,'Brand Map'!$A$4:$A$124,0)),"Other")</f>
        <v>AU</v>
      </c>
      <c r="E398" s="57" t="n">
        <v>22</v>
      </c>
      <c r="F398" s="57" t="n">
        <v>1</v>
      </c>
      <c r="G398" s="58" t="n">
        <v>4099.68</v>
      </c>
      <c r="H398" s="58" t="n">
        <v>146.79</v>
      </c>
      <c r="I398" s="58" t="n">
        <v>3870.21</v>
      </c>
      <c r="J398" s="32" t="n">
        <f aca="false">IF(E398&gt;0,F398/E398,0)</f>
        <v>0.0454545454545455</v>
      </c>
      <c r="K398" s="32" t="n">
        <f aca="false">IF(G398&gt;0,H398/G398,0)</f>
        <v>0.0358052335792062</v>
      </c>
      <c r="L398" s="59" t="n">
        <f aca="false">H398/Settings!$B$16</f>
        <v>0.00029336369707887</v>
      </c>
      <c r="M398" s="59" t="n">
        <f aca="false">H398/Settings!$B$20</f>
        <v>1.13959536147843E-005</v>
      </c>
      <c r="N398" s="60" t="n">
        <f aca="false">E398*Settings!$B$3</f>
        <v>0.681695323756049</v>
      </c>
      <c r="O398" s="60" t="n">
        <f aca="false">IF(E398&gt;0,(F398-N398)/SQRT(E398*Settings!$B$3*(1-Settings!$B$3)),0)</f>
        <v>0.391636237444016</v>
      </c>
      <c r="P398" s="60" t="n">
        <f aca="false">MAX(0,F398-N398)</f>
        <v>0.318304676243951</v>
      </c>
      <c r="Q398" s="32" t="n">
        <f aca="false">(F398+Settings!$B$7*Settings!$B$3)/(E398+Settings!$B$7)</f>
        <v>0.0371073948537426</v>
      </c>
      <c r="R398" s="61" t="n">
        <f aca="false">PERCENTRANK($H$2:$H$1780,H398,6)</f>
        <v>0.802025</v>
      </c>
      <c r="S398" s="61" t="n">
        <f aca="false">PERCENTRANK($Q$2:$Q$1780,Q398,6)</f>
        <v>0.789089</v>
      </c>
      <c r="T398" s="61" t="n">
        <f aca="false">PERCENTRANK($F$2:$F$1780,F398,6)</f>
        <v>0.685039</v>
      </c>
      <c r="U398" s="62" t="n">
        <f aca="false">IF(F398&gt;0,(Settings!$B$8*T398+Settings!$B$9*R398+Settings!$B$10*S398)/SUM(Settings!$B$8:$B$10),0)</f>
        <v>0.758717666666667</v>
      </c>
      <c r="V398" s="56" t="n">
        <f aca="false">IF(U398&gt;0,RANK(U398,$U$2:$U$1780)+COUNTIF($U$2:U398,U398)-1,"")</f>
        <v>397</v>
      </c>
      <c r="W398" s="56" t="str">
        <f aca="false">IF(V398="","",IF(V398&lt;=Settings!$B$11,"1 - Fix first",IF(V398&lt;=Settings!$B$12,"2 - Review","3 - Monitor")))</f>
        <v>3 - Monitor</v>
      </c>
      <c r="X398" s="56" t="str">
        <f aca="false">IF(AND(E398&gt;=Settings!$B$4,F398&gt;=Settings!$B$5,O398&gt;=Settings!$B$6),"HIGH RATE","")</f>
        <v/>
      </c>
      <c r="Y398" s="56" t="n">
        <f aca="false">IF(F398&gt;0,RANK(F398,$F$2:$F$1780)+COUNTIF($F$2:F398,F398)-1,"")</f>
        <v>445</v>
      </c>
      <c r="Z398" s="56" t="n">
        <f aca="false">IF(H398&gt;0,RANK(H398,$H$2:$H$1780)+COUNTIF($H$2:H398,H398)-1,"")</f>
        <v>353</v>
      </c>
      <c r="AA398" s="56" t="str">
        <f aca="false">IF(AC398="","",RANK(AC398,$AC$2:$AC$1780)+COUNTIF($AC$2:AC398,AC398)-1)</f>
        <v/>
      </c>
      <c r="AB398" s="56" t="str">
        <f aca="false">IF(AD398="","",RANK(AD398,$AD$2:$AD$1780)+COUNTIF($AD$2:AD398,AD398)-1)</f>
        <v/>
      </c>
      <c r="AC398" s="56" t="str">
        <f aca="false">IF(AND(F398&gt;0,E398&gt;=Settings!$B$4),J398,"")</f>
        <v/>
      </c>
      <c r="AD398" s="56" t="str">
        <f aca="false">IF(X398="HIGH RATE",O398,"")</f>
        <v/>
      </c>
    </row>
    <row r="399" customFormat="false" ht="15" hidden="false" customHeight="false" outlineLevel="0" collapsed="false">
      <c r="A399" s="56" t="s">
        <v>1448</v>
      </c>
      <c r="B399" s="56" t="s">
        <v>1449</v>
      </c>
      <c r="C399" s="56" t="s">
        <v>117</v>
      </c>
      <c r="D399" s="56" t="str">
        <f aca="false">IFERROR(INDEX('Brand Map'!$B$4:$B$124,MATCH(C399,'Brand Map'!$A$4:$A$124,0)),"Other")</f>
        <v>LF</v>
      </c>
      <c r="E399" s="57" t="n">
        <v>10</v>
      </c>
      <c r="F399" s="57" t="n">
        <v>1</v>
      </c>
      <c r="G399" s="58" t="n">
        <v>546.33</v>
      </c>
      <c r="H399" s="58" t="n">
        <v>63.72</v>
      </c>
      <c r="I399" s="58" t="n">
        <v>471.38</v>
      </c>
      <c r="J399" s="32" t="n">
        <f aca="false">IF(E399&gt;0,F399/E399,0)</f>
        <v>0.1</v>
      </c>
      <c r="K399" s="32" t="n">
        <f aca="false">IF(G399&gt;0,H399/G399,0)</f>
        <v>0.11663280434902</v>
      </c>
      <c r="L399" s="59" t="n">
        <f aca="false">H399/Settings!$B$16</f>
        <v>0.000127346105169736</v>
      </c>
      <c r="M399" s="59" t="n">
        <f aca="false">H399/Settings!$B$20</f>
        <v>4.94686398483584E-006</v>
      </c>
      <c r="N399" s="60" t="n">
        <f aca="false">E399*Settings!$B$3</f>
        <v>0.309861510798204</v>
      </c>
      <c r="O399" s="60" t="n">
        <f aca="false">IF(E399&gt;0,(F399-N399)/SQRT(E399*Settings!$B$3*(1-Settings!$B$3)),0)</f>
        <v>1.25946887637521</v>
      </c>
      <c r="P399" s="60" t="n">
        <f aca="false">MAX(0,F399-N399)</f>
        <v>0.690138489201796</v>
      </c>
      <c r="Q399" s="32" t="n">
        <f aca="false">(F399+Settings!$B$7*Settings!$B$3)/(E399+Settings!$B$7)</f>
        <v>0.0482396133098653</v>
      </c>
      <c r="R399" s="61" t="n">
        <f aca="false">PERCENTRANK($H$2:$H$1780,H399,6)</f>
        <v>0.716535</v>
      </c>
      <c r="S399" s="61" t="n">
        <f aca="false">PERCENTRANK($Q$2:$Q$1780,Q399,6)</f>
        <v>0.874016</v>
      </c>
      <c r="T399" s="61" t="n">
        <f aca="false">PERCENTRANK($F$2:$F$1780,F399,6)</f>
        <v>0.685039</v>
      </c>
      <c r="U399" s="62" t="n">
        <f aca="false">IF(F399&gt;0,(Settings!$B$8*T399+Settings!$B$9*R399+Settings!$B$10*S399)/SUM(Settings!$B$8:$B$10),0)</f>
        <v>0.75853</v>
      </c>
      <c r="V399" s="56" t="n">
        <f aca="false">IF(U399&gt;0,RANK(U399,$U$2:$U$1780)+COUNTIF($U$2:U399,U399)-1,"")</f>
        <v>398</v>
      </c>
      <c r="W399" s="56" t="str">
        <f aca="false">IF(V399="","",IF(V399&lt;=Settings!$B$11,"1 - Fix first",IF(V399&lt;=Settings!$B$12,"2 - Review","3 - Monitor")))</f>
        <v>3 - Monitor</v>
      </c>
      <c r="X399" s="56" t="str">
        <f aca="false">IF(AND(E399&gt;=Settings!$B$4,F399&gt;=Settings!$B$5,O399&gt;=Settings!$B$6),"HIGH RATE","")</f>
        <v/>
      </c>
      <c r="Y399" s="56" t="n">
        <f aca="false">IF(F399&gt;0,RANK(F399,$F$2:$F$1780)+COUNTIF($F$2:F399,F399)-1,"")</f>
        <v>446</v>
      </c>
      <c r="Z399" s="56" t="n">
        <f aca="false">IF(H399&gt;0,RANK(H399,$H$2:$H$1780)+COUNTIF($H$2:H399,H399)-1,"")</f>
        <v>505</v>
      </c>
      <c r="AA399" s="56" t="str">
        <f aca="false">IF(AC399="","",RANK(AC399,$AC$2:$AC$1780)+COUNTIF($AC$2:AC399,AC399)-1)</f>
        <v/>
      </c>
      <c r="AB399" s="56" t="str">
        <f aca="false">IF(AD399="","",RANK(AD399,$AD$2:$AD$1780)+COUNTIF($AD$2:AD399,AD399)-1)</f>
        <v/>
      </c>
      <c r="AC399" s="56" t="str">
        <f aca="false">IF(AND(F399&gt;0,E399&gt;=Settings!$B$4),J399,"")</f>
        <v/>
      </c>
      <c r="AD399" s="56" t="str">
        <f aca="false">IF(X399="HIGH RATE",O399,"")</f>
        <v/>
      </c>
    </row>
    <row r="400" customFormat="false" ht="15" hidden="false" customHeight="false" outlineLevel="0" collapsed="false">
      <c r="A400" s="56" t="s">
        <v>1450</v>
      </c>
      <c r="B400" s="56" t="s">
        <v>1371</v>
      </c>
      <c r="C400" s="56" t="s">
        <v>51</v>
      </c>
      <c r="D400" s="56" t="str">
        <f aca="false">IFERROR(INDEX('Brand Map'!$B$4:$B$124,MATCH(C400,'Brand Map'!$A$4:$A$124,0)),"Other")</f>
        <v>AU</v>
      </c>
      <c r="E400" s="57" t="n">
        <v>19</v>
      </c>
      <c r="F400" s="57" t="n">
        <v>1</v>
      </c>
      <c r="G400" s="58" t="n">
        <v>2374.05</v>
      </c>
      <c r="H400" s="58" t="n">
        <v>124.95</v>
      </c>
      <c r="I400" s="58" t="n">
        <v>2249.1</v>
      </c>
      <c r="J400" s="32" t="n">
        <f aca="false">IF(E400&gt;0,F400/E400,0)</f>
        <v>0.0526315789473684</v>
      </c>
      <c r="K400" s="32" t="n">
        <f aca="false">IF(G400&gt;0,H400/G400,0)</f>
        <v>0.0526315789473684</v>
      </c>
      <c r="L400" s="59" t="n">
        <f aca="false">H400/Settings!$B$16</f>
        <v>0.000249715879487736</v>
      </c>
      <c r="M400" s="59" t="n">
        <f aca="false">H400/Settings!$B$20</f>
        <v>9.70041831301378E-006</v>
      </c>
      <c r="N400" s="60" t="n">
        <f aca="false">E400*Settings!$B$3</f>
        <v>0.588736870516588</v>
      </c>
      <c r="O400" s="60" t="n">
        <f aca="false">IF(E400&gt;0,(F400-N400)/SQRT(E400*Settings!$B$3*(1-Settings!$B$3)),0)</f>
        <v>0.54449533902266</v>
      </c>
      <c r="P400" s="60" t="n">
        <f aca="false">MAX(0,F400-N400)</f>
        <v>0.411263129483412</v>
      </c>
      <c r="Q400" s="32" t="n">
        <f aca="false">(F400+Settings!$B$7*Settings!$B$3)/(E400+Settings!$B$7)</f>
        <v>0.0393792761713186</v>
      </c>
      <c r="R400" s="61" t="n">
        <f aca="false">PERCENTRANK($H$2:$H$1780,H400,6)</f>
        <v>0.784027</v>
      </c>
      <c r="S400" s="61" t="n">
        <f aca="false">PERCENTRANK($Q$2:$Q$1780,Q400,6)</f>
        <v>0.805399</v>
      </c>
      <c r="T400" s="61" t="n">
        <f aca="false">PERCENTRANK($F$2:$F$1780,F400,6)</f>
        <v>0.685039</v>
      </c>
      <c r="U400" s="62" t="n">
        <f aca="false">IF(F400&gt;0,(Settings!$B$8*T400+Settings!$B$9*R400+Settings!$B$10*S400)/SUM(Settings!$B$8:$B$10),0)</f>
        <v>0.758155</v>
      </c>
      <c r="V400" s="56" t="n">
        <f aca="false">IF(U400&gt;0,RANK(U400,$U$2:$U$1780)+COUNTIF($U$2:U400,U400)-1,"")</f>
        <v>399</v>
      </c>
      <c r="W400" s="56" t="str">
        <f aca="false">IF(V400="","",IF(V400&lt;=Settings!$B$11,"1 - Fix first",IF(V400&lt;=Settings!$B$12,"2 - Review","3 - Monitor")))</f>
        <v>3 - Monitor</v>
      </c>
      <c r="X400" s="56" t="str">
        <f aca="false">IF(AND(E400&gt;=Settings!$B$4,F400&gt;=Settings!$B$5,O400&gt;=Settings!$B$6),"HIGH RATE","")</f>
        <v/>
      </c>
      <c r="Y400" s="56" t="n">
        <f aca="false">IF(F400&gt;0,RANK(F400,$F$2:$F$1780)+COUNTIF($F$2:F400,F400)-1,"")</f>
        <v>447</v>
      </c>
      <c r="Z400" s="56" t="n">
        <f aca="false">IF(H400&gt;0,RANK(H400,$H$2:$H$1780)+COUNTIF($H$2:H400,H400)-1,"")</f>
        <v>384</v>
      </c>
      <c r="AA400" s="56" t="str">
        <f aca="false">IF(AC400="","",RANK(AC400,$AC$2:$AC$1780)+COUNTIF($AC$2:AC400,AC400)-1)</f>
        <v/>
      </c>
      <c r="AB400" s="56" t="str">
        <f aca="false">IF(AD400="","",RANK(AD400,$AD$2:$AD$1780)+COUNTIF($AD$2:AD400,AD400)-1)</f>
        <v/>
      </c>
      <c r="AC400" s="56" t="str">
        <f aca="false">IF(AND(F400&gt;0,E400&gt;=Settings!$B$4),J400,"")</f>
        <v/>
      </c>
      <c r="AD400" s="56" t="str">
        <f aca="false">IF(X400="HIGH RATE",O400,"")</f>
        <v/>
      </c>
    </row>
    <row r="401" customFormat="false" ht="15" hidden="false" customHeight="false" outlineLevel="0" collapsed="false">
      <c r="A401" s="56" t="s">
        <v>1451</v>
      </c>
      <c r="B401" s="56" t="s">
        <v>1452</v>
      </c>
      <c r="C401" s="56" t="s">
        <v>87</v>
      </c>
      <c r="D401" s="56" t="str">
        <f aca="false">IFERROR(INDEX('Brand Map'!$B$4:$B$124,MATCH(C401,'Brand Map'!$A$4:$A$124,0)),"Other")</f>
        <v>FYF</v>
      </c>
      <c r="E401" s="57" t="n">
        <v>12</v>
      </c>
      <c r="F401" s="57" t="n">
        <v>1</v>
      </c>
      <c r="G401" s="58" t="n">
        <v>1019.4</v>
      </c>
      <c r="H401" s="58" t="n">
        <v>84.95</v>
      </c>
      <c r="I401" s="58" t="n">
        <v>934.45</v>
      </c>
      <c r="J401" s="32" t="n">
        <f aca="false">IF(E401&gt;0,F401/E401,0)</f>
        <v>0.0833333333333333</v>
      </c>
      <c r="K401" s="32" t="n">
        <f aca="false">IF(G401&gt;0,H401/G401,0)</f>
        <v>0.0833333333333333</v>
      </c>
      <c r="L401" s="59" t="n">
        <f aca="false">H401/Settings!$B$16</f>
        <v>0.000169774821628517</v>
      </c>
      <c r="M401" s="59" t="n">
        <f aca="false">H401/Settings!$B$20</f>
        <v>6.59504230244514E-006</v>
      </c>
      <c r="N401" s="60" t="n">
        <f aca="false">E401*Settings!$B$3</f>
        <v>0.371833812957845</v>
      </c>
      <c r="O401" s="60" t="n">
        <f aca="false">IF(E401&gt;0,(F401-N401)/SQRT(E401*Settings!$B$3*(1-Settings!$B$3)),0)</f>
        <v>1.04649009824894</v>
      </c>
      <c r="P401" s="60" t="n">
        <f aca="false">MAX(0,F401-N401)</f>
        <v>0.628166187042155</v>
      </c>
      <c r="Q401" s="32" t="n">
        <f aca="false">(F401+Settings!$B$7*Settings!$B$3)/(E401+Settings!$B$7)</f>
        <v>0.0459424888665384</v>
      </c>
      <c r="R401" s="61" t="n">
        <f aca="false">PERCENTRANK($H$2:$H$1780,H401,6)</f>
        <v>0.735658</v>
      </c>
      <c r="S401" s="61" t="n">
        <f aca="false">PERCENTRANK($Q$2:$Q$1780,Q401,6)</f>
        <v>0.851519</v>
      </c>
      <c r="T401" s="61" t="n">
        <f aca="false">PERCENTRANK($F$2:$F$1780,F401,6)</f>
        <v>0.685039</v>
      </c>
      <c r="U401" s="62" t="n">
        <f aca="false">IF(F401&gt;0,(Settings!$B$8*T401+Settings!$B$9*R401+Settings!$B$10*S401)/SUM(Settings!$B$8:$B$10),0)</f>
        <v>0.757405333333333</v>
      </c>
      <c r="V401" s="56" t="n">
        <f aca="false">IF(U401&gt;0,RANK(U401,$U$2:$U$1780)+COUNTIF($U$2:U401,U401)-1,"")</f>
        <v>400</v>
      </c>
      <c r="W401" s="56" t="str">
        <f aca="false">IF(V401="","",IF(V401&lt;=Settings!$B$11,"1 - Fix first",IF(V401&lt;=Settings!$B$12,"2 - Review","3 - Monitor")))</f>
        <v>3 - Monitor</v>
      </c>
      <c r="X401" s="56" t="str">
        <f aca="false">IF(AND(E401&gt;=Settings!$B$4,F401&gt;=Settings!$B$5,O401&gt;=Settings!$B$6),"HIGH RATE","")</f>
        <v/>
      </c>
      <c r="Y401" s="56" t="n">
        <f aca="false">IF(F401&gt;0,RANK(F401,$F$2:$F$1780)+COUNTIF($F$2:F401,F401)-1,"")</f>
        <v>448</v>
      </c>
      <c r="Z401" s="56" t="n">
        <f aca="false">IF(H401&gt;0,RANK(H401,$H$2:$H$1780)+COUNTIF($H$2:H401,H401)-1,"")</f>
        <v>467</v>
      </c>
      <c r="AA401" s="56" t="str">
        <f aca="false">IF(AC401="","",RANK(AC401,$AC$2:$AC$1780)+COUNTIF($AC$2:AC401,AC401)-1)</f>
        <v/>
      </c>
      <c r="AB401" s="56" t="str">
        <f aca="false">IF(AD401="","",RANK(AD401,$AD$2:$AD$1780)+COUNTIF($AD$2:AD401,AD401)-1)</f>
        <v/>
      </c>
      <c r="AC401" s="56" t="str">
        <f aca="false">IF(AND(F401&gt;0,E401&gt;=Settings!$B$4),J401,"")</f>
        <v/>
      </c>
      <c r="AD401" s="56" t="str">
        <f aca="false">IF(X401="HIGH RATE",O401,"")</f>
        <v/>
      </c>
    </row>
    <row r="402" customFormat="false" ht="15" hidden="false" customHeight="false" outlineLevel="0" collapsed="false">
      <c r="A402" s="56" t="s">
        <v>1453</v>
      </c>
      <c r="B402" s="56" t="s">
        <v>1452</v>
      </c>
      <c r="C402" s="56" t="s">
        <v>87</v>
      </c>
      <c r="D402" s="56" t="str">
        <f aca="false">IFERROR(INDEX('Brand Map'!$B$4:$B$124,MATCH(C402,'Brand Map'!$A$4:$A$124,0)),"Other")</f>
        <v>FYF</v>
      </c>
      <c r="E402" s="57" t="n">
        <v>12</v>
      </c>
      <c r="F402" s="57" t="n">
        <v>1</v>
      </c>
      <c r="G402" s="58" t="n">
        <v>1019.4</v>
      </c>
      <c r="H402" s="58" t="n">
        <v>84.95</v>
      </c>
      <c r="I402" s="58" t="n">
        <v>934.45</v>
      </c>
      <c r="J402" s="32" t="n">
        <f aca="false">IF(E402&gt;0,F402/E402,0)</f>
        <v>0.0833333333333333</v>
      </c>
      <c r="K402" s="32" t="n">
        <f aca="false">IF(G402&gt;0,H402/G402,0)</f>
        <v>0.0833333333333333</v>
      </c>
      <c r="L402" s="59" t="n">
        <f aca="false">H402/Settings!$B$16</f>
        <v>0.000169774821628517</v>
      </c>
      <c r="M402" s="59" t="n">
        <f aca="false">H402/Settings!$B$20</f>
        <v>6.59504230244514E-006</v>
      </c>
      <c r="N402" s="60" t="n">
        <f aca="false">E402*Settings!$B$3</f>
        <v>0.371833812957845</v>
      </c>
      <c r="O402" s="60" t="n">
        <f aca="false">IF(E402&gt;0,(F402-N402)/SQRT(E402*Settings!$B$3*(1-Settings!$B$3)),0)</f>
        <v>1.04649009824894</v>
      </c>
      <c r="P402" s="60" t="n">
        <f aca="false">MAX(0,F402-N402)</f>
        <v>0.628166187042155</v>
      </c>
      <c r="Q402" s="32" t="n">
        <f aca="false">(F402+Settings!$B$7*Settings!$B$3)/(E402+Settings!$B$7)</f>
        <v>0.0459424888665384</v>
      </c>
      <c r="R402" s="61" t="n">
        <f aca="false">PERCENTRANK($H$2:$H$1780,H402,6)</f>
        <v>0.735658</v>
      </c>
      <c r="S402" s="61" t="n">
        <f aca="false">PERCENTRANK($Q$2:$Q$1780,Q402,6)</f>
        <v>0.851519</v>
      </c>
      <c r="T402" s="61" t="n">
        <f aca="false">PERCENTRANK($F$2:$F$1780,F402,6)</f>
        <v>0.685039</v>
      </c>
      <c r="U402" s="62" t="n">
        <f aca="false">IF(F402&gt;0,(Settings!$B$8*T402+Settings!$B$9*R402+Settings!$B$10*S402)/SUM(Settings!$B$8:$B$10),0)</f>
        <v>0.757405333333333</v>
      </c>
      <c r="V402" s="56" t="n">
        <f aca="false">IF(U402&gt;0,RANK(U402,$U$2:$U$1780)+COUNTIF($U$2:U402,U402)-1,"")</f>
        <v>401</v>
      </c>
      <c r="W402" s="56" t="str">
        <f aca="false">IF(V402="","",IF(V402&lt;=Settings!$B$11,"1 - Fix first",IF(V402&lt;=Settings!$B$12,"2 - Review","3 - Monitor")))</f>
        <v>3 - Monitor</v>
      </c>
      <c r="X402" s="56" t="str">
        <f aca="false">IF(AND(E402&gt;=Settings!$B$4,F402&gt;=Settings!$B$5,O402&gt;=Settings!$B$6),"HIGH RATE","")</f>
        <v/>
      </c>
      <c r="Y402" s="56" t="n">
        <f aca="false">IF(F402&gt;0,RANK(F402,$F$2:$F$1780)+COUNTIF($F$2:F402,F402)-1,"")</f>
        <v>449</v>
      </c>
      <c r="Z402" s="56" t="n">
        <f aca="false">IF(H402&gt;0,RANK(H402,$H$2:$H$1780)+COUNTIF($H$2:H402,H402)-1,"")</f>
        <v>468</v>
      </c>
      <c r="AA402" s="56" t="str">
        <f aca="false">IF(AC402="","",RANK(AC402,$AC$2:$AC$1780)+COUNTIF($AC$2:AC402,AC402)-1)</f>
        <v/>
      </c>
      <c r="AB402" s="56" t="str">
        <f aca="false">IF(AD402="","",RANK(AD402,$AD$2:$AD$1780)+COUNTIF($AD$2:AD402,AD402)-1)</f>
        <v/>
      </c>
      <c r="AC402" s="56" t="str">
        <f aca="false">IF(AND(F402&gt;0,E402&gt;=Settings!$B$4),J402,"")</f>
        <v/>
      </c>
      <c r="AD402" s="56" t="str">
        <f aca="false">IF(X402="HIGH RATE",O402,"")</f>
        <v/>
      </c>
    </row>
    <row r="403" customFormat="false" ht="15" hidden="false" customHeight="false" outlineLevel="0" collapsed="false">
      <c r="A403" s="56" t="s">
        <v>1454</v>
      </c>
      <c r="B403" s="56" t="s">
        <v>1455</v>
      </c>
      <c r="C403" s="56" t="s">
        <v>51</v>
      </c>
      <c r="D403" s="56" t="str">
        <f aca="false">IFERROR(INDEX('Brand Map'!$B$4:$B$124,MATCH(C403,'Brand Map'!$A$4:$A$124,0)),"Other")</f>
        <v>AU</v>
      </c>
      <c r="E403" s="57" t="n">
        <v>7</v>
      </c>
      <c r="F403" s="57" t="n">
        <v>1</v>
      </c>
      <c r="G403" s="58" t="n">
        <v>756.8</v>
      </c>
      <c r="H403" s="58" t="n">
        <v>15</v>
      </c>
      <c r="I403" s="58" t="n">
        <v>741.8</v>
      </c>
      <c r="J403" s="32" t="n">
        <f aca="false">IF(E403&gt;0,F403/E403,0)</f>
        <v>0.142857142857143</v>
      </c>
      <c r="K403" s="32" t="n">
        <f aca="false">IF(G403&gt;0,H403/G403,0)</f>
        <v>0.0198202959830867</v>
      </c>
      <c r="L403" s="59" t="n">
        <f aca="false">H403/Settings!$B$16</f>
        <v>2.99778966972072E-005</v>
      </c>
      <c r="M403" s="59" t="n">
        <f aca="false">H403/Settings!$B$20</f>
        <v>1.16451600396324E-006</v>
      </c>
      <c r="N403" s="60" t="n">
        <f aca="false">E403*Settings!$B$3</f>
        <v>0.216903057558743</v>
      </c>
      <c r="O403" s="60" t="n">
        <f aca="false">IF(E403&gt;0,(F403-N403)/SQRT(E403*Settings!$B$3*(1-Settings!$B$3)),0)</f>
        <v>1.70811733149008</v>
      </c>
      <c r="P403" s="60" t="n">
        <f aca="false">MAX(0,F403-N403)</f>
        <v>0.783096942441257</v>
      </c>
      <c r="Q403" s="32" t="n">
        <f aca="false">(F403+Settings!$B$7*Settings!$B$3)/(E403+Settings!$B$7)</f>
        <v>0.0521509333079625</v>
      </c>
      <c r="R403" s="61" t="n">
        <f aca="false">PERCENTRANK($H$2:$H$1780,H403,6)</f>
        <v>0.688414</v>
      </c>
      <c r="S403" s="61" t="n">
        <f aca="false">PERCENTRANK($Q$2:$Q$1780,Q403,6)</f>
        <v>0.898763</v>
      </c>
      <c r="T403" s="61" t="n">
        <f aca="false">PERCENTRANK($F$2:$F$1780,F403,6)</f>
        <v>0.685039</v>
      </c>
      <c r="U403" s="62" t="n">
        <f aca="false">IF(F403&gt;0,(Settings!$B$8*T403+Settings!$B$9*R403+Settings!$B$10*S403)/SUM(Settings!$B$8:$B$10),0)</f>
        <v>0.757405333333333</v>
      </c>
      <c r="V403" s="56" t="n">
        <f aca="false">IF(U403&gt;0,RANK(U403,$U$2:$U$1780)+COUNTIF($U$2:U403,U403)-1,"")</f>
        <v>402</v>
      </c>
      <c r="W403" s="56" t="str">
        <f aca="false">IF(V403="","",IF(V403&lt;=Settings!$B$11,"1 - Fix first",IF(V403&lt;=Settings!$B$12,"2 - Review","3 - Monitor")))</f>
        <v>3 - Monitor</v>
      </c>
      <c r="X403" s="56" t="str">
        <f aca="false">IF(AND(E403&gt;=Settings!$B$4,F403&gt;=Settings!$B$5,O403&gt;=Settings!$B$6),"HIGH RATE","")</f>
        <v/>
      </c>
      <c r="Y403" s="56" t="n">
        <f aca="false">IF(F403&gt;0,RANK(F403,$F$2:$F$1780)+COUNTIF($F$2:F403,F403)-1,"")</f>
        <v>450</v>
      </c>
      <c r="Z403" s="56" t="n">
        <f aca="false">IF(H403&gt;0,RANK(H403,$H$2:$H$1780)+COUNTIF($H$2:H403,H403)-1,"")</f>
        <v>554</v>
      </c>
      <c r="AA403" s="56" t="str">
        <f aca="false">IF(AC403="","",RANK(AC403,$AC$2:$AC$1780)+COUNTIF($AC$2:AC403,AC403)-1)</f>
        <v/>
      </c>
      <c r="AB403" s="56" t="str">
        <f aca="false">IF(AD403="","",RANK(AD403,$AD$2:$AD$1780)+COUNTIF($AD$2:AD403,AD403)-1)</f>
        <v/>
      </c>
      <c r="AC403" s="56" t="str">
        <f aca="false">IF(AND(F403&gt;0,E403&gt;=Settings!$B$4),J403,"")</f>
        <v/>
      </c>
      <c r="AD403" s="56" t="str">
        <f aca="false">IF(X403="HIGH RATE",O403,"")</f>
        <v/>
      </c>
    </row>
    <row r="404" customFormat="false" ht="15" hidden="false" customHeight="false" outlineLevel="0" collapsed="false">
      <c r="A404" s="56" t="s">
        <v>1456</v>
      </c>
      <c r="B404" s="56" t="s">
        <v>970</v>
      </c>
      <c r="C404" s="56" t="s">
        <v>51</v>
      </c>
      <c r="D404" s="56" t="str">
        <f aca="false">IFERROR(INDEX('Brand Map'!$B$4:$B$124,MATCH(C404,'Brand Map'!$A$4:$A$124,0)),"Other")</f>
        <v>AU</v>
      </c>
      <c r="E404" s="57" t="n">
        <v>11</v>
      </c>
      <c r="F404" s="57" t="n">
        <v>1</v>
      </c>
      <c r="G404" s="58" t="n">
        <v>769.45</v>
      </c>
      <c r="H404" s="58" t="n">
        <v>69.95</v>
      </c>
      <c r="I404" s="58" t="n">
        <v>699.5</v>
      </c>
      <c r="J404" s="32" t="n">
        <f aca="false">IF(E404&gt;0,F404/E404,0)</f>
        <v>0.0909090909090909</v>
      </c>
      <c r="K404" s="32" t="n">
        <f aca="false">IF(G404&gt;0,H404/G404,0)</f>
        <v>0.0909090909090909</v>
      </c>
      <c r="L404" s="59" t="n">
        <f aca="false">H404/Settings!$B$16</f>
        <v>0.00013979692493131</v>
      </c>
      <c r="M404" s="59" t="n">
        <f aca="false">H404/Settings!$B$20</f>
        <v>5.43052629848191E-006</v>
      </c>
      <c r="N404" s="60" t="n">
        <f aca="false">E404*Settings!$B$3</f>
        <v>0.340847661878025</v>
      </c>
      <c r="O404" s="60" t="n">
        <f aca="false">IF(E404&gt;0,(F404-N404)/SQRT(E404*Settings!$B$3*(1-Settings!$B$3)),0)</f>
        <v>1.14693985782354</v>
      </c>
      <c r="P404" s="60" t="n">
        <f aca="false">MAX(0,F404-N404)</f>
        <v>0.659152338121975</v>
      </c>
      <c r="Q404" s="32" t="n">
        <f aca="false">(F404+Settings!$B$7*Settings!$B$3)/(E404+Settings!$B$7)</f>
        <v>0.0470630373754784</v>
      </c>
      <c r="R404" s="61" t="n">
        <f aca="false">PERCENTRANK($H$2:$H$1780,H404,6)</f>
        <v>0.721035</v>
      </c>
      <c r="S404" s="61" t="n">
        <f aca="false">PERCENTRANK($Q$2:$Q$1780,Q404,6)</f>
        <v>0.862205</v>
      </c>
      <c r="T404" s="61" t="n">
        <f aca="false">PERCENTRANK($F$2:$F$1780,F404,6)</f>
        <v>0.685039</v>
      </c>
      <c r="U404" s="62" t="n">
        <f aca="false">IF(F404&gt;0,(Settings!$B$8*T404+Settings!$B$9*R404+Settings!$B$10*S404)/SUM(Settings!$B$8:$B$10),0)</f>
        <v>0.756093</v>
      </c>
      <c r="V404" s="56" t="n">
        <f aca="false">IF(U404&gt;0,RANK(U404,$U$2:$U$1780)+COUNTIF($U$2:U404,U404)-1,"")</f>
        <v>403</v>
      </c>
      <c r="W404" s="56" t="str">
        <f aca="false">IF(V404="","",IF(V404&lt;=Settings!$B$11,"1 - Fix first",IF(V404&lt;=Settings!$B$12,"2 - Review","3 - Monitor")))</f>
        <v>3 - Monitor</v>
      </c>
      <c r="X404" s="56" t="str">
        <f aca="false">IF(AND(E404&gt;=Settings!$B$4,F404&gt;=Settings!$B$5,O404&gt;=Settings!$B$6),"HIGH RATE","")</f>
        <v/>
      </c>
      <c r="Y404" s="56" t="n">
        <f aca="false">IF(F404&gt;0,RANK(F404,$F$2:$F$1780)+COUNTIF($F$2:F404,F404)-1,"")</f>
        <v>451</v>
      </c>
      <c r="Z404" s="56" t="n">
        <f aca="false">IF(H404&gt;0,RANK(H404,$H$2:$H$1780)+COUNTIF($H$2:H404,H404)-1,"")</f>
        <v>497</v>
      </c>
      <c r="AA404" s="56" t="str">
        <f aca="false">IF(AC404="","",RANK(AC404,$AC$2:$AC$1780)+COUNTIF($AC$2:AC404,AC404)-1)</f>
        <v/>
      </c>
      <c r="AB404" s="56" t="str">
        <f aca="false">IF(AD404="","",RANK(AD404,$AD$2:$AD$1780)+COUNTIF($AD$2:AD404,AD404)-1)</f>
        <v/>
      </c>
      <c r="AC404" s="56" t="str">
        <f aca="false">IF(AND(F404&gt;0,E404&gt;=Settings!$B$4),J404,"")</f>
        <v/>
      </c>
      <c r="AD404" s="56" t="str">
        <f aca="false">IF(X404="HIGH RATE",O404,"")</f>
        <v/>
      </c>
    </row>
    <row r="405" customFormat="false" ht="15" hidden="false" customHeight="false" outlineLevel="0" collapsed="false">
      <c r="A405" s="56" t="s">
        <v>1457</v>
      </c>
      <c r="B405" s="56" t="s">
        <v>1302</v>
      </c>
      <c r="C405" s="56" t="s">
        <v>51</v>
      </c>
      <c r="D405" s="56" t="str">
        <f aca="false">IFERROR(INDEX('Brand Map'!$B$4:$B$124,MATCH(C405,'Brand Map'!$A$4:$A$124,0)),"Other")</f>
        <v>AU</v>
      </c>
      <c r="E405" s="57" t="n">
        <v>18</v>
      </c>
      <c r="F405" s="57" t="n">
        <v>1</v>
      </c>
      <c r="G405" s="58" t="n">
        <v>1979.1</v>
      </c>
      <c r="H405" s="58" t="n">
        <v>109.95</v>
      </c>
      <c r="I405" s="58" t="n">
        <v>1869.15</v>
      </c>
      <c r="J405" s="32" t="n">
        <f aca="false">IF(E405&gt;0,F405/E405,0)</f>
        <v>0.0555555555555556</v>
      </c>
      <c r="K405" s="32" t="n">
        <f aca="false">IF(G405&gt;0,H405/G405,0)</f>
        <v>0.0555555555555556</v>
      </c>
      <c r="L405" s="59" t="n">
        <f aca="false">H405/Settings!$B$16</f>
        <v>0.000219737982790529</v>
      </c>
      <c r="M405" s="59" t="n">
        <f aca="false">H405/Settings!$B$20</f>
        <v>8.53590230905054E-006</v>
      </c>
      <c r="N405" s="60" t="n">
        <f aca="false">E405*Settings!$B$3</f>
        <v>0.557750719436768</v>
      </c>
      <c r="O405" s="60" t="n">
        <f aca="false">IF(E405&gt;0,(F405-N405)/SQRT(E405*Settings!$B$3*(1-Settings!$B$3)),0)</f>
        <v>0.601564325659658</v>
      </c>
      <c r="P405" s="60" t="n">
        <f aca="false">MAX(0,F405-N405)</f>
        <v>0.442249280563233</v>
      </c>
      <c r="Q405" s="32" t="n">
        <f aca="false">(F405+Settings!$B$7*Settings!$B$3)/(E405+Settings!$B$7)</f>
        <v>0.0401996777582211</v>
      </c>
      <c r="R405" s="61" t="n">
        <f aca="false">PERCENTRANK($H$2:$H$1780,H405,6)</f>
        <v>0.766592</v>
      </c>
      <c r="S405" s="61" t="n">
        <f aca="false">PERCENTRANK($Q$2:$Q$1780,Q405,6)</f>
        <v>0.813836</v>
      </c>
      <c r="T405" s="61" t="n">
        <f aca="false">PERCENTRANK($F$2:$F$1780,F405,6)</f>
        <v>0.685039</v>
      </c>
      <c r="U405" s="62" t="n">
        <f aca="false">IF(F405&gt;0,(Settings!$B$8*T405+Settings!$B$9*R405+Settings!$B$10*S405)/SUM(Settings!$B$8:$B$10),0)</f>
        <v>0.755155666666667</v>
      </c>
      <c r="V405" s="56" t="n">
        <f aca="false">IF(U405&gt;0,RANK(U405,$U$2:$U$1780)+COUNTIF($U$2:U405,U405)-1,"")</f>
        <v>404</v>
      </c>
      <c r="W405" s="56" t="str">
        <f aca="false">IF(V405="","",IF(V405&lt;=Settings!$B$11,"1 - Fix first",IF(V405&lt;=Settings!$B$12,"2 - Review","3 - Monitor")))</f>
        <v>3 - Monitor</v>
      </c>
      <c r="X405" s="56" t="str">
        <f aca="false">IF(AND(E405&gt;=Settings!$B$4,F405&gt;=Settings!$B$5,O405&gt;=Settings!$B$6),"HIGH RATE","")</f>
        <v/>
      </c>
      <c r="Y405" s="56" t="n">
        <f aca="false">IF(F405&gt;0,RANK(F405,$F$2:$F$1780)+COUNTIF($F$2:F405,F405)-1,"")</f>
        <v>452</v>
      </c>
      <c r="Z405" s="56" t="n">
        <f aca="false">IF(H405&gt;0,RANK(H405,$H$2:$H$1780)+COUNTIF($H$2:H405,H405)-1,"")</f>
        <v>414</v>
      </c>
      <c r="AA405" s="56" t="str">
        <f aca="false">IF(AC405="","",RANK(AC405,$AC$2:$AC$1780)+COUNTIF($AC$2:AC405,AC405)-1)</f>
        <v/>
      </c>
      <c r="AB405" s="56" t="str">
        <f aca="false">IF(AD405="","",RANK(AD405,$AD$2:$AD$1780)+COUNTIF($AD$2:AD405,AD405)-1)</f>
        <v/>
      </c>
      <c r="AC405" s="56" t="str">
        <f aca="false">IF(AND(F405&gt;0,E405&gt;=Settings!$B$4),J405,"")</f>
        <v/>
      </c>
      <c r="AD405" s="56" t="str">
        <f aca="false">IF(X405="HIGH RATE",O405,"")</f>
        <v/>
      </c>
    </row>
    <row r="406" customFormat="false" ht="15" hidden="false" customHeight="false" outlineLevel="0" collapsed="false">
      <c r="A406" s="56" t="s">
        <v>1458</v>
      </c>
      <c r="B406" s="56" t="s">
        <v>1459</v>
      </c>
      <c r="C406" s="56" t="s">
        <v>151</v>
      </c>
      <c r="D406" s="56" t="str">
        <f aca="false">IFERROR(INDEX('Brand Map'!$B$4:$B$124,MATCH(C406,'Brand Map'!$A$4:$A$124,0)),"Other")</f>
        <v>WBAU</v>
      </c>
      <c r="E406" s="57" t="n">
        <v>24</v>
      </c>
      <c r="F406" s="57" t="n">
        <v>1</v>
      </c>
      <c r="G406" s="58" t="n">
        <v>3898.94</v>
      </c>
      <c r="H406" s="58" t="n">
        <v>144.5</v>
      </c>
      <c r="I406" s="58" t="n">
        <v>3732.77</v>
      </c>
      <c r="J406" s="32" t="n">
        <f aca="false">IF(E406&gt;0,F406/E406,0)</f>
        <v>0.0416666666666667</v>
      </c>
      <c r="K406" s="32" t="n">
        <f aca="false">IF(G406&gt;0,H406/G406,0)</f>
        <v>0.0370613551375502</v>
      </c>
      <c r="L406" s="59" t="n">
        <f aca="false">H406/Settings!$B$16</f>
        <v>0.00028878707151643</v>
      </c>
      <c r="M406" s="59" t="n">
        <f aca="false">H406/Settings!$B$20</f>
        <v>1.12181708381792E-005</v>
      </c>
      <c r="N406" s="60" t="n">
        <f aca="false">E406*Settings!$B$3</f>
        <v>0.74366762591569</v>
      </c>
      <c r="O406" s="60" t="n">
        <f aca="false">IF(E406&gt;0,(F406-N406)/SQRT(E406*Settings!$B$3*(1-Settings!$B$3)),0)</f>
        <v>0.301959731147039</v>
      </c>
      <c r="P406" s="60" t="n">
        <f aca="false">MAX(0,F406-N406)</f>
        <v>0.25633237408431</v>
      </c>
      <c r="Q406" s="32" t="n">
        <f aca="false">(F406+Settings!$B$7*Settings!$B$3)/(E406+Settings!$B$7)</f>
        <v>0.0357330468961965</v>
      </c>
      <c r="R406" s="61" t="n">
        <f aca="false">PERCENTRANK($H$2:$H$1780,H406,6)</f>
        <v>0.799775</v>
      </c>
      <c r="S406" s="61" t="n">
        <f aca="false">PERCENTRANK($Q$2:$Q$1780,Q406,6)</f>
        <v>0.779528</v>
      </c>
      <c r="T406" s="61" t="n">
        <f aca="false">PERCENTRANK($F$2:$F$1780,F406,6)</f>
        <v>0.685039</v>
      </c>
      <c r="U406" s="62" t="n">
        <f aca="false">IF(F406&gt;0,(Settings!$B$8*T406+Settings!$B$9*R406+Settings!$B$10*S406)/SUM(Settings!$B$8:$B$10),0)</f>
        <v>0.754780666666667</v>
      </c>
      <c r="V406" s="56" t="n">
        <f aca="false">IF(U406&gt;0,RANK(U406,$U$2:$U$1780)+COUNTIF($U$2:U406,U406)-1,"")</f>
        <v>405</v>
      </c>
      <c r="W406" s="56" t="str">
        <f aca="false">IF(V406="","",IF(V406&lt;=Settings!$B$11,"1 - Fix first",IF(V406&lt;=Settings!$B$12,"2 - Review","3 - Monitor")))</f>
        <v>3 - Monitor</v>
      </c>
      <c r="X406" s="56" t="str">
        <f aca="false">IF(AND(E406&gt;=Settings!$B$4,F406&gt;=Settings!$B$5,O406&gt;=Settings!$B$6),"HIGH RATE","")</f>
        <v/>
      </c>
      <c r="Y406" s="56" t="n">
        <f aca="false">IF(F406&gt;0,RANK(F406,$F$2:$F$1780)+COUNTIF($F$2:F406,F406)-1,"")</f>
        <v>453</v>
      </c>
      <c r="Z406" s="56" t="n">
        <f aca="false">IF(H406&gt;0,RANK(H406,$H$2:$H$1780)+COUNTIF($H$2:H406,H406)-1,"")</f>
        <v>357</v>
      </c>
      <c r="AA406" s="56" t="str">
        <f aca="false">IF(AC406="","",RANK(AC406,$AC$2:$AC$1780)+COUNTIF($AC$2:AC406,AC406)-1)</f>
        <v/>
      </c>
      <c r="AB406" s="56" t="str">
        <f aca="false">IF(AD406="","",RANK(AD406,$AD$2:$AD$1780)+COUNTIF($AD$2:AD406,AD406)-1)</f>
        <v/>
      </c>
      <c r="AC406" s="56" t="str">
        <f aca="false">IF(AND(F406&gt;0,E406&gt;=Settings!$B$4),J406,"")</f>
        <v/>
      </c>
      <c r="AD406" s="56" t="str">
        <f aca="false">IF(X406="HIGH RATE",O406,"")</f>
        <v/>
      </c>
    </row>
    <row r="407" customFormat="false" ht="15" hidden="false" customHeight="false" outlineLevel="0" collapsed="false">
      <c r="A407" s="56" t="s">
        <v>1460</v>
      </c>
      <c r="B407" s="56" t="s">
        <v>1461</v>
      </c>
      <c r="C407" s="56" t="s">
        <v>51</v>
      </c>
      <c r="D407" s="56" t="str">
        <f aca="false">IFERROR(INDEX('Brand Map'!$B$4:$B$124,MATCH(C407,'Brand Map'!$A$4:$A$124,0)),"Other")</f>
        <v>AU</v>
      </c>
      <c r="E407" s="57" t="n">
        <v>19</v>
      </c>
      <c r="F407" s="57" t="n">
        <v>1</v>
      </c>
      <c r="G407" s="58" t="n">
        <v>2512.55</v>
      </c>
      <c r="H407" s="58" t="n">
        <v>112.69</v>
      </c>
      <c r="I407" s="58" t="n">
        <v>2320.28</v>
      </c>
      <c r="J407" s="32" t="n">
        <f aca="false">IF(E407&gt;0,F407/E407,0)</f>
        <v>0.0526315789473684</v>
      </c>
      <c r="K407" s="32" t="n">
        <f aca="false">IF(G407&gt;0,H407/G407,0)</f>
        <v>0.0448508487393286</v>
      </c>
      <c r="L407" s="59" t="n">
        <f aca="false">H407/Settings!$B$16</f>
        <v>0.000225213945253885</v>
      </c>
      <c r="M407" s="59" t="n">
        <f aca="false">H407/Settings!$B$20</f>
        <v>8.74862056577449E-006</v>
      </c>
      <c r="N407" s="60" t="n">
        <f aca="false">E407*Settings!$B$3</f>
        <v>0.588736870516588</v>
      </c>
      <c r="O407" s="60" t="n">
        <f aca="false">IF(E407&gt;0,(F407-N407)/SQRT(E407*Settings!$B$3*(1-Settings!$B$3)),0)</f>
        <v>0.54449533902266</v>
      </c>
      <c r="P407" s="60" t="n">
        <f aca="false">MAX(0,F407-N407)</f>
        <v>0.411263129483412</v>
      </c>
      <c r="Q407" s="32" t="n">
        <f aca="false">(F407+Settings!$B$7*Settings!$B$3)/(E407+Settings!$B$7)</f>
        <v>0.0393792761713186</v>
      </c>
      <c r="R407" s="61" t="n">
        <f aca="false">PERCENTRANK($H$2:$H$1780,H407,6)</f>
        <v>0.771654</v>
      </c>
      <c r="S407" s="61" t="n">
        <f aca="false">PERCENTRANK($Q$2:$Q$1780,Q407,6)</f>
        <v>0.805399</v>
      </c>
      <c r="T407" s="61" t="n">
        <f aca="false">PERCENTRANK($F$2:$F$1780,F407,6)</f>
        <v>0.685039</v>
      </c>
      <c r="U407" s="62" t="n">
        <f aca="false">IF(F407&gt;0,(Settings!$B$8*T407+Settings!$B$9*R407+Settings!$B$10*S407)/SUM(Settings!$B$8:$B$10),0)</f>
        <v>0.754030666666667</v>
      </c>
      <c r="V407" s="56" t="n">
        <f aca="false">IF(U407&gt;0,RANK(U407,$U$2:$U$1780)+COUNTIF($U$2:U407,U407)-1,"")</f>
        <v>406</v>
      </c>
      <c r="W407" s="56" t="str">
        <f aca="false">IF(V407="","",IF(V407&lt;=Settings!$B$11,"1 - Fix first",IF(V407&lt;=Settings!$B$12,"2 - Review","3 - Monitor")))</f>
        <v>3 - Monitor</v>
      </c>
      <c r="X407" s="56" t="str">
        <f aca="false">IF(AND(E407&gt;=Settings!$B$4,F407&gt;=Settings!$B$5,O407&gt;=Settings!$B$6),"HIGH RATE","")</f>
        <v/>
      </c>
      <c r="Y407" s="56" t="n">
        <f aca="false">IF(F407&gt;0,RANK(F407,$F$2:$F$1780)+COUNTIF($F$2:F407,F407)-1,"")</f>
        <v>454</v>
      </c>
      <c r="Z407" s="56" t="n">
        <f aca="false">IF(H407&gt;0,RANK(H407,$H$2:$H$1780)+COUNTIF($H$2:H407,H407)-1,"")</f>
        <v>407</v>
      </c>
      <c r="AA407" s="56" t="str">
        <f aca="false">IF(AC407="","",RANK(AC407,$AC$2:$AC$1780)+COUNTIF($AC$2:AC407,AC407)-1)</f>
        <v/>
      </c>
      <c r="AB407" s="56" t="str">
        <f aca="false">IF(AD407="","",RANK(AD407,$AD$2:$AD$1780)+COUNTIF($AD$2:AD407,AD407)-1)</f>
        <v/>
      </c>
      <c r="AC407" s="56" t="str">
        <f aca="false">IF(AND(F407&gt;0,E407&gt;=Settings!$B$4),J407,"")</f>
        <v/>
      </c>
      <c r="AD407" s="56" t="str">
        <f aca="false">IF(X407="HIGH RATE",O407,"")</f>
        <v/>
      </c>
    </row>
    <row r="408" customFormat="false" ht="15" hidden="false" customHeight="false" outlineLevel="0" collapsed="false">
      <c r="A408" s="56" t="s">
        <v>1462</v>
      </c>
      <c r="B408" s="56" t="s">
        <v>1232</v>
      </c>
      <c r="C408" s="56" t="s">
        <v>87</v>
      </c>
      <c r="D408" s="56" t="str">
        <f aca="false">IFERROR(INDEX('Brand Map'!$B$4:$B$124,MATCH(C408,'Brand Map'!$A$4:$A$124,0)),"Other")</f>
        <v>FYF</v>
      </c>
      <c r="E408" s="57" t="n">
        <v>9</v>
      </c>
      <c r="F408" s="57" t="n">
        <v>1</v>
      </c>
      <c r="G408" s="58" t="n">
        <v>314.91</v>
      </c>
      <c r="H408" s="58" t="n">
        <v>34.99</v>
      </c>
      <c r="I408" s="58" t="n">
        <v>279.92</v>
      </c>
      <c r="J408" s="32" t="n">
        <f aca="false">IF(E408&gt;0,F408/E408,0)</f>
        <v>0.111111111111111</v>
      </c>
      <c r="K408" s="32" t="n">
        <f aca="false">IF(G408&gt;0,H408/G408,0)</f>
        <v>0.111111111111111</v>
      </c>
      <c r="L408" s="59" t="n">
        <f aca="false">H408/Settings!$B$16</f>
        <v>6.9928440362352E-005</v>
      </c>
      <c r="M408" s="59" t="n">
        <f aca="false">H408/Settings!$B$20</f>
        <v>2.71642766524492E-006</v>
      </c>
      <c r="N408" s="60" t="n">
        <f aca="false">E408*Settings!$B$3</f>
        <v>0.278875359718384</v>
      </c>
      <c r="O408" s="60" t="n">
        <f aca="false">IF(E408&gt;0,(F408-N408)/SQRT(E408*Settings!$B$3*(1-Settings!$B$3)),0)</f>
        <v>1.38720380579105</v>
      </c>
      <c r="P408" s="60" t="n">
        <f aca="false">MAX(0,F408-N408)</f>
        <v>0.721124640281616</v>
      </c>
      <c r="Q408" s="32" t="n">
        <f aca="false">(F408+Settings!$B$7*Settings!$B$3)/(E408+Settings!$B$7)</f>
        <v>0.0494765264716567</v>
      </c>
      <c r="R408" s="61" t="n">
        <f aca="false">PERCENTRANK($H$2:$H$1780,H408,6)</f>
        <v>0.694038</v>
      </c>
      <c r="S408" s="61" t="n">
        <f aca="false">PERCENTRANK($Q$2:$Q$1780,Q408,6)</f>
        <v>0.882452</v>
      </c>
      <c r="T408" s="61" t="n">
        <f aca="false">PERCENTRANK($F$2:$F$1780,F408,6)</f>
        <v>0.685039</v>
      </c>
      <c r="U408" s="62" t="n">
        <f aca="false">IF(F408&gt;0,(Settings!$B$8*T408+Settings!$B$9*R408+Settings!$B$10*S408)/SUM(Settings!$B$8:$B$10),0)</f>
        <v>0.753843</v>
      </c>
      <c r="V408" s="56" t="n">
        <f aca="false">IF(U408&gt;0,RANK(U408,$U$2:$U$1780)+COUNTIF($U$2:U408,U408)-1,"")</f>
        <v>407</v>
      </c>
      <c r="W408" s="56" t="str">
        <f aca="false">IF(V408="","",IF(V408&lt;=Settings!$B$11,"1 - Fix first",IF(V408&lt;=Settings!$B$12,"2 - Review","3 - Monitor")))</f>
        <v>3 - Monitor</v>
      </c>
      <c r="X408" s="56" t="str">
        <f aca="false">IF(AND(E408&gt;=Settings!$B$4,F408&gt;=Settings!$B$5,O408&gt;=Settings!$B$6),"HIGH RATE","")</f>
        <v/>
      </c>
      <c r="Y408" s="56" t="n">
        <f aca="false">IF(F408&gt;0,RANK(F408,$F$2:$F$1780)+COUNTIF($F$2:F408,F408)-1,"")</f>
        <v>455</v>
      </c>
      <c r="Z408" s="56" t="n">
        <f aca="false">IF(H408&gt;0,RANK(H408,$H$2:$H$1780)+COUNTIF($H$2:H408,H408)-1,"")</f>
        <v>545</v>
      </c>
      <c r="AA408" s="56" t="str">
        <f aca="false">IF(AC408="","",RANK(AC408,$AC$2:$AC$1780)+COUNTIF($AC$2:AC408,AC408)-1)</f>
        <v/>
      </c>
      <c r="AB408" s="56" t="str">
        <f aca="false">IF(AD408="","",RANK(AD408,$AD$2:$AD$1780)+COUNTIF($AD$2:AD408,AD408)-1)</f>
        <v/>
      </c>
      <c r="AC408" s="56" t="str">
        <f aca="false">IF(AND(F408&gt;0,E408&gt;=Settings!$B$4),J408,"")</f>
        <v/>
      </c>
      <c r="AD408" s="56" t="str">
        <f aca="false">IF(X408="HIGH RATE",O408,"")</f>
        <v/>
      </c>
    </row>
    <row r="409" customFormat="false" ht="15" hidden="false" customHeight="false" outlineLevel="0" collapsed="false">
      <c r="A409" s="56" t="s">
        <v>1463</v>
      </c>
      <c r="B409" s="56" t="s">
        <v>1464</v>
      </c>
      <c r="C409" s="56"/>
      <c r="D409" s="56" t="str">
        <f aca="false">IFERROR(INDEX('Brand Map'!$B$4:$B$124,MATCH(C409,'Brand Map'!$A$4:$A$124,0)),"Other")</f>
        <v>Other</v>
      </c>
      <c r="E409" s="57" t="n">
        <v>13</v>
      </c>
      <c r="F409" s="57" t="n">
        <v>1</v>
      </c>
      <c r="G409" s="58" t="n">
        <v>829.35</v>
      </c>
      <c r="H409" s="58" t="n">
        <v>79.95</v>
      </c>
      <c r="I409" s="58" t="n">
        <v>749.4</v>
      </c>
      <c r="J409" s="32" t="n">
        <f aca="false">IF(E409&gt;0,F409/E409,0)</f>
        <v>0.0769230769230769</v>
      </c>
      <c r="K409" s="32" t="n">
        <f aca="false">IF(G409&gt;0,H409/G409,0)</f>
        <v>0.0964007958039429</v>
      </c>
      <c r="L409" s="59" t="n">
        <f aca="false">H409/Settings!$B$16</f>
        <v>0.000159782189396114</v>
      </c>
      <c r="M409" s="59" t="n">
        <f aca="false">H409/Settings!$B$20</f>
        <v>6.20687030112407E-006</v>
      </c>
      <c r="N409" s="60" t="n">
        <f aca="false">E409*Settings!$B$3</f>
        <v>0.402819964037665</v>
      </c>
      <c r="O409" s="60" t="n">
        <f aca="false">IF(E409&gt;0,(F409-N409)/SQRT(E409*Settings!$B$3*(1-Settings!$B$3)),0)</f>
        <v>0.955839107624911</v>
      </c>
      <c r="P409" s="60" t="n">
        <f aca="false">MAX(0,F409-N409)</f>
        <v>0.597180035962335</v>
      </c>
      <c r="Q409" s="32" t="n">
        <f aca="false">(F409+Settings!$B$7*Settings!$B$3)/(E409+Settings!$B$7)</f>
        <v>0.044874058892898</v>
      </c>
      <c r="R409" s="61" t="n">
        <f aca="false">PERCENTRANK($H$2:$H$1780,H409,6)</f>
        <v>0.728909</v>
      </c>
      <c r="S409" s="61" t="n">
        <f aca="false">PERCENTRANK($Q$2:$Q$1780,Q409,6)</f>
        <v>0.844207</v>
      </c>
      <c r="T409" s="61" t="n">
        <f aca="false">PERCENTRANK($F$2:$F$1780,F409,6)</f>
        <v>0.685039</v>
      </c>
      <c r="U409" s="62" t="n">
        <f aca="false">IF(F409&gt;0,(Settings!$B$8*T409+Settings!$B$9*R409+Settings!$B$10*S409)/SUM(Settings!$B$8:$B$10),0)</f>
        <v>0.752718333333333</v>
      </c>
      <c r="V409" s="56" t="n">
        <f aca="false">IF(U409&gt;0,RANK(U409,$U$2:$U$1780)+COUNTIF($U$2:U409,U409)-1,"")</f>
        <v>408</v>
      </c>
      <c r="W409" s="56" t="str">
        <f aca="false">IF(V409="","",IF(V409&lt;=Settings!$B$11,"1 - Fix first",IF(V409&lt;=Settings!$B$12,"2 - Review","3 - Monitor")))</f>
        <v>3 - Monitor</v>
      </c>
      <c r="X409" s="56" t="str">
        <f aca="false">IF(AND(E409&gt;=Settings!$B$4,F409&gt;=Settings!$B$5,O409&gt;=Settings!$B$6),"HIGH RATE","")</f>
        <v/>
      </c>
      <c r="Y409" s="56" t="n">
        <f aca="false">IF(F409&gt;0,RANK(F409,$F$2:$F$1780)+COUNTIF($F$2:F409,F409)-1,"")</f>
        <v>456</v>
      </c>
      <c r="Z409" s="56" t="n">
        <f aca="false">IF(H409&gt;0,RANK(H409,$H$2:$H$1780)+COUNTIF($H$2:H409,H409)-1,"")</f>
        <v>477</v>
      </c>
      <c r="AA409" s="56" t="str">
        <f aca="false">IF(AC409="","",RANK(AC409,$AC$2:$AC$1780)+COUNTIF($AC$2:AC409,AC409)-1)</f>
        <v/>
      </c>
      <c r="AB409" s="56" t="str">
        <f aca="false">IF(AD409="","",RANK(AD409,$AD$2:$AD$1780)+COUNTIF($AD$2:AD409,AD409)-1)</f>
        <v/>
      </c>
      <c r="AC409" s="56" t="str">
        <f aca="false">IF(AND(F409&gt;0,E409&gt;=Settings!$B$4),J409,"")</f>
        <v/>
      </c>
      <c r="AD409" s="56" t="str">
        <f aca="false">IF(X409="HIGH RATE",O409,"")</f>
        <v/>
      </c>
    </row>
    <row r="410" customFormat="false" ht="15" hidden="false" customHeight="false" outlineLevel="0" collapsed="false">
      <c r="A410" s="56" t="s">
        <v>678</v>
      </c>
      <c r="B410" s="56" t="s">
        <v>679</v>
      </c>
      <c r="C410" s="56" t="s">
        <v>677</v>
      </c>
      <c r="D410" s="56" t="str">
        <f aca="false">IFERROR(INDEX('Brand Map'!$B$4:$B$124,MATCH(C410,'Brand Map'!$A$4:$A$124,0)),"Other")</f>
        <v>Other (small prefixes)</v>
      </c>
      <c r="E410" s="57" t="n">
        <v>29</v>
      </c>
      <c r="F410" s="57" t="n">
        <v>1</v>
      </c>
      <c r="G410" s="58" t="n">
        <v>5981.06</v>
      </c>
      <c r="H410" s="58" t="n">
        <v>168.42</v>
      </c>
      <c r="I410" s="58" t="n">
        <v>5716.87</v>
      </c>
      <c r="J410" s="32" t="n">
        <f aca="false">IF(E410&gt;0,F410/E410,0)</f>
        <v>0.0344827586206897</v>
      </c>
      <c r="K410" s="32" t="n">
        <f aca="false">IF(G410&gt;0,H410/G410,0)</f>
        <v>0.0281588882238265</v>
      </c>
      <c r="L410" s="59" t="n">
        <f aca="false">H410/Settings!$B$16</f>
        <v>0.000336591824116243</v>
      </c>
      <c r="M410" s="59" t="n">
        <f aca="false">H410/Settings!$B$20</f>
        <v>1.30751856924992E-005</v>
      </c>
      <c r="N410" s="60" t="n">
        <f aca="false">E410*Settings!$B$3</f>
        <v>0.898598381314792</v>
      </c>
      <c r="O410" s="60" t="n">
        <f aca="false">IF(E410&gt;0,(F410-N410)/SQRT(E410*Settings!$B$3*(1-Settings!$B$3)),0)</f>
        <v>0.108666850438629</v>
      </c>
      <c r="P410" s="60" t="n">
        <f aca="false">MAX(0,F410-N410)</f>
        <v>0.101401618685208</v>
      </c>
      <c r="Q410" s="32" t="n">
        <f aca="false">(F410+Settings!$B$7*Settings!$B$3)/(E410+Settings!$B$7)</f>
        <v>0.0327048225829595</v>
      </c>
      <c r="R410" s="61" t="n">
        <f aca="false">PERCENTRANK($H$2:$H$1780,H410,6)</f>
        <v>0.815523</v>
      </c>
      <c r="S410" s="61" t="n">
        <f aca="false">PERCENTRANK($Q$2:$Q$1780,Q410,6)</f>
        <v>0.755343</v>
      </c>
      <c r="T410" s="61" t="n">
        <f aca="false">PERCENTRANK($F$2:$F$1780,F410,6)</f>
        <v>0.685039</v>
      </c>
      <c r="U410" s="62" t="n">
        <f aca="false">IF(F410&gt;0,(Settings!$B$8*T410+Settings!$B$9*R410+Settings!$B$10*S410)/SUM(Settings!$B$8:$B$10),0)</f>
        <v>0.751968333333333</v>
      </c>
      <c r="V410" s="56" t="n">
        <f aca="false">IF(U410&gt;0,RANK(U410,$U$2:$U$1780)+COUNTIF($U$2:U410,U410)-1,"")</f>
        <v>409</v>
      </c>
      <c r="W410" s="56" t="str">
        <f aca="false">IF(V410="","",IF(V410&lt;=Settings!$B$11,"1 - Fix first",IF(V410&lt;=Settings!$B$12,"2 - Review","3 - Monitor")))</f>
        <v>3 - Monitor</v>
      </c>
      <c r="X410" s="56" t="str">
        <f aca="false">IF(AND(E410&gt;=Settings!$B$4,F410&gt;=Settings!$B$5,O410&gt;=Settings!$B$6),"HIGH RATE","")</f>
        <v/>
      </c>
      <c r="Y410" s="56" t="n">
        <f aca="false">IF(F410&gt;0,RANK(F410,$F$2:$F$1780)+COUNTIF($F$2:F410,F410)-1,"")</f>
        <v>457</v>
      </c>
      <c r="Z410" s="56" t="n">
        <f aca="false">IF(H410&gt;0,RANK(H410,$H$2:$H$1780)+COUNTIF($H$2:H410,H410)-1,"")</f>
        <v>329</v>
      </c>
      <c r="AA410" s="56" t="str">
        <f aca="false">IF(AC410="","",RANK(AC410,$AC$2:$AC$1780)+COUNTIF($AC$2:AC410,AC410)-1)</f>
        <v/>
      </c>
      <c r="AB410" s="56" t="str">
        <f aca="false">IF(AD410="","",RANK(AD410,$AD$2:$AD$1780)+COUNTIF($AD$2:AD410,AD410)-1)</f>
        <v/>
      </c>
      <c r="AC410" s="56" t="str">
        <f aca="false">IF(AND(F410&gt;0,E410&gt;=Settings!$B$4),J410,"")</f>
        <v/>
      </c>
      <c r="AD410" s="56" t="str">
        <f aca="false">IF(X410="HIGH RATE",O410,"")</f>
        <v/>
      </c>
    </row>
    <row r="411" customFormat="false" ht="15" hidden="false" customHeight="false" outlineLevel="0" collapsed="false">
      <c r="A411" s="56" t="s">
        <v>1465</v>
      </c>
      <c r="B411" s="56" t="s">
        <v>1392</v>
      </c>
      <c r="C411" s="56" t="s">
        <v>129</v>
      </c>
      <c r="D411" s="56" t="str">
        <f aca="false">IFERROR(INDEX('Brand Map'!$B$4:$B$124,MATCH(C411,'Brand Map'!$A$4:$A$124,0)),"Other")</f>
        <v>AL</v>
      </c>
      <c r="E411" s="57" t="n">
        <v>11</v>
      </c>
      <c r="F411" s="57" t="n">
        <v>1</v>
      </c>
      <c r="G411" s="58" t="n">
        <v>604.45</v>
      </c>
      <c r="H411" s="58" t="n">
        <v>54.95</v>
      </c>
      <c r="I411" s="58" t="n">
        <v>549.5</v>
      </c>
      <c r="J411" s="32" t="n">
        <f aca="false">IF(E411&gt;0,F411/E411,0)</f>
        <v>0.0909090909090909</v>
      </c>
      <c r="K411" s="32" t="n">
        <f aca="false">IF(G411&gt;0,H411/G411,0)</f>
        <v>0.0909090909090909</v>
      </c>
      <c r="L411" s="59" t="n">
        <f aca="false">H411/Settings!$B$16</f>
        <v>0.000109819028234102</v>
      </c>
      <c r="M411" s="59" t="n">
        <f aca="false">H411/Settings!$B$20</f>
        <v>4.26601029451867E-006</v>
      </c>
      <c r="N411" s="60" t="n">
        <f aca="false">E411*Settings!$B$3</f>
        <v>0.340847661878025</v>
      </c>
      <c r="O411" s="60" t="n">
        <f aca="false">IF(E411&gt;0,(F411-N411)/SQRT(E411*Settings!$B$3*(1-Settings!$B$3)),0)</f>
        <v>1.14693985782354</v>
      </c>
      <c r="P411" s="60" t="n">
        <f aca="false">MAX(0,F411-N411)</f>
        <v>0.659152338121975</v>
      </c>
      <c r="Q411" s="32" t="n">
        <f aca="false">(F411+Settings!$B$7*Settings!$B$3)/(E411+Settings!$B$7)</f>
        <v>0.0470630373754784</v>
      </c>
      <c r="R411" s="61" t="n">
        <f aca="false">PERCENTRANK($H$2:$H$1780,H411,6)</f>
        <v>0.706974</v>
      </c>
      <c r="S411" s="61" t="n">
        <f aca="false">PERCENTRANK($Q$2:$Q$1780,Q411,6)</f>
        <v>0.862205</v>
      </c>
      <c r="T411" s="61" t="n">
        <f aca="false">PERCENTRANK($F$2:$F$1780,F411,6)</f>
        <v>0.685039</v>
      </c>
      <c r="U411" s="62" t="n">
        <f aca="false">IF(F411&gt;0,(Settings!$B$8*T411+Settings!$B$9*R411+Settings!$B$10*S411)/SUM(Settings!$B$8:$B$10),0)</f>
        <v>0.751406</v>
      </c>
      <c r="V411" s="56" t="n">
        <f aca="false">IF(U411&gt;0,RANK(U411,$U$2:$U$1780)+COUNTIF($U$2:U411,U411)-1,"")</f>
        <v>410</v>
      </c>
      <c r="W411" s="56" t="str">
        <f aca="false">IF(V411="","",IF(V411&lt;=Settings!$B$11,"1 - Fix first",IF(V411&lt;=Settings!$B$12,"2 - Review","3 - Monitor")))</f>
        <v>3 - Monitor</v>
      </c>
      <c r="X411" s="56" t="str">
        <f aca="false">IF(AND(E411&gt;=Settings!$B$4,F411&gt;=Settings!$B$5,O411&gt;=Settings!$B$6),"HIGH RATE","")</f>
        <v/>
      </c>
      <c r="Y411" s="56" t="n">
        <f aca="false">IF(F411&gt;0,RANK(F411,$F$2:$F$1780)+COUNTIF($F$2:F411,F411)-1,"")</f>
        <v>458</v>
      </c>
      <c r="Z411" s="56" t="n">
        <f aca="false">IF(H411&gt;0,RANK(H411,$H$2:$H$1780)+COUNTIF($H$2:H411,H411)-1,"")</f>
        <v>522</v>
      </c>
      <c r="AA411" s="56" t="str">
        <f aca="false">IF(AC411="","",RANK(AC411,$AC$2:$AC$1780)+COUNTIF($AC$2:AC411,AC411)-1)</f>
        <v/>
      </c>
      <c r="AB411" s="56" t="str">
        <f aca="false">IF(AD411="","",RANK(AD411,$AD$2:$AD$1780)+COUNTIF($AD$2:AD411,AD411)-1)</f>
        <v/>
      </c>
      <c r="AC411" s="56" t="str">
        <f aca="false">IF(AND(F411&gt;0,E411&gt;=Settings!$B$4),J411,"")</f>
        <v/>
      </c>
      <c r="AD411" s="56" t="str">
        <f aca="false">IF(X411="HIGH RATE",O411,"")</f>
        <v/>
      </c>
    </row>
    <row r="412" customFormat="false" ht="15" hidden="false" customHeight="false" outlineLevel="0" collapsed="false">
      <c r="A412" s="56" t="s">
        <v>1466</v>
      </c>
      <c r="B412" s="56" t="s">
        <v>1467</v>
      </c>
      <c r="C412" s="56" t="s">
        <v>51</v>
      </c>
      <c r="D412" s="56" t="str">
        <f aca="false">IFERROR(INDEX('Brand Map'!$B$4:$B$124,MATCH(C412,'Brand Map'!$A$4:$A$124,0)),"Other")</f>
        <v>AU</v>
      </c>
      <c r="E412" s="57" t="n">
        <v>24</v>
      </c>
      <c r="F412" s="57" t="n">
        <v>1</v>
      </c>
      <c r="G412" s="58" t="n">
        <v>3648.65</v>
      </c>
      <c r="H412" s="58" t="n">
        <v>127.23</v>
      </c>
      <c r="I412" s="58" t="n">
        <v>3404.02</v>
      </c>
      <c r="J412" s="32" t="n">
        <f aca="false">IF(E412&gt;0,F412/E412,0)</f>
        <v>0.0416666666666667</v>
      </c>
      <c r="K412" s="32" t="n">
        <f aca="false">IF(G412&gt;0,H412/G412,0)</f>
        <v>0.0348704315294698</v>
      </c>
      <c r="L412" s="59" t="n">
        <f aca="false">H412/Settings!$B$16</f>
        <v>0.000254272519785712</v>
      </c>
      <c r="M412" s="59" t="n">
        <f aca="false">H412/Settings!$B$20</f>
        <v>9.8774247456162E-006</v>
      </c>
      <c r="N412" s="60" t="n">
        <f aca="false">E412*Settings!$B$3</f>
        <v>0.74366762591569</v>
      </c>
      <c r="O412" s="60" t="n">
        <f aca="false">IF(E412&gt;0,(F412-N412)/SQRT(E412*Settings!$B$3*(1-Settings!$B$3)),0)</f>
        <v>0.301959731147039</v>
      </c>
      <c r="P412" s="60" t="n">
        <f aca="false">MAX(0,F412-N412)</f>
        <v>0.25633237408431</v>
      </c>
      <c r="Q412" s="32" t="n">
        <f aca="false">(F412+Settings!$B$7*Settings!$B$3)/(E412+Settings!$B$7)</f>
        <v>0.0357330468961965</v>
      </c>
      <c r="R412" s="61" t="n">
        <f aca="false">PERCENTRANK($H$2:$H$1780,H412,6)</f>
        <v>0.789089</v>
      </c>
      <c r="S412" s="61" t="n">
        <f aca="false">PERCENTRANK($Q$2:$Q$1780,Q412,6)</f>
        <v>0.779528</v>
      </c>
      <c r="T412" s="61" t="n">
        <f aca="false">PERCENTRANK($F$2:$F$1780,F412,6)</f>
        <v>0.685039</v>
      </c>
      <c r="U412" s="62" t="n">
        <f aca="false">IF(F412&gt;0,(Settings!$B$8*T412+Settings!$B$9*R412+Settings!$B$10*S412)/SUM(Settings!$B$8:$B$10),0)</f>
        <v>0.751218666666667</v>
      </c>
      <c r="V412" s="56" t="n">
        <f aca="false">IF(U412&gt;0,RANK(U412,$U$2:$U$1780)+COUNTIF($U$2:U412,U412)-1,"")</f>
        <v>411</v>
      </c>
      <c r="W412" s="56" t="str">
        <f aca="false">IF(V412="","",IF(V412&lt;=Settings!$B$11,"1 - Fix first",IF(V412&lt;=Settings!$B$12,"2 - Review","3 - Monitor")))</f>
        <v>3 - Monitor</v>
      </c>
      <c r="X412" s="56" t="str">
        <f aca="false">IF(AND(E412&gt;=Settings!$B$4,F412&gt;=Settings!$B$5,O412&gt;=Settings!$B$6),"HIGH RATE","")</f>
        <v/>
      </c>
      <c r="Y412" s="56" t="n">
        <f aca="false">IF(F412&gt;0,RANK(F412,$F$2:$F$1780)+COUNTIF($F$2:F412,F412)-1,"")</f>
        <v>459</v>
      </c>
      <c r="Z412" s="56" t="n">
        <f aca="false">IF(H412&gt;0,RANK(H412,$H$2:$H$1780)+COUNTIF($H$2:H412,H412)-1,"")</f>
        <v>376</v>
      </c>
      <c r="AA412" s="56" t="str">
        <f aca="false">IF(AC412="","",RANK(AC412,$AC$2:$AC$1780)+COUNTIF($AC$2:AC412,AC412)-1)</f>
        <v/>
      </c>
      <c r="AB412" s="56" t="str">
        <f aca="false">IF(AD412="","",RANK(AD412,$AD$2:$AD$1780)+COUNTIF($AD$2:AD412,AD412)-1)</f>
        <v/>
      </c>
      <c r="AC412" s="56" t="str">
        <f aca="false">IF(AND(F412&gt;0,E412&gt;=Settings!$B$4),J412,"")</f>
        <v/>
      </c>
      <c r="AD412" s="56" t="str">
        <f aca="false">IF(X412="HIGH RATE",O412,"")</f>
        <v/>
      </c>
    </row>
    <row r="413" customFormat="false" ht="15" hidden="false" customHeight="false" outlineLevel="0" collapsed="false">
      <c r="A413" s="56" t="s">
        <v>303</v>
      </c>
      <c r="B413" s="56" t="s">
        <v>371</v>
      </c>
      <c r="C413" s="56" t="s">
        <v>71</v>
      </c>
      <c r="D413" s="56" t="str">
        <f aca="false">IFERROR(INDEX('Brand Map'!$B$4:$B$124,MATCH(C413,'Brand Map'!$A$4:$A$124,0)),"Other")</f>
        <v>GF</v>
      </c>
      <c r="E413" s="57" t="n">
        <v>14</v>
      </c>
      <c r="F413" s="57" t="n">
        <v>1</v>
      </c>
      <c r="G413" s="58" t="n">
        <v>1119.3</v>
      </c>
      <c r="H413" s="58" t="n">
        <v>79.95</v>
      </c>
      <c r="I413" s="58" t="n">
        <v>1039.35</v>
      </c>
      <c r="J413" s="32" t="n">
        <f aca="false">IF(E413&gt;0,F413/E413,0)</f>
        <v>0.0714285714285714</v>
      </c>
      <c r="K413" s="32" t="n">
        <f aca="false">IF(G413&gt;0,H413/G413,0)</f>
        <v>0.0714285714285714</v>
      </c>
      <c r="L413" s="59" t="n">
        <f aca="false">H413/Settings!$B$16</f>
        <v>0.000159782189396114</v>
      </c>
      <c r="M413" s="59" t="n">
        <f aca="false">H413/Settings!$B$20</f>
        <v>6.20687030112407E-006</v>
      </c>
      <c r="N413" s="60" t="n">
        <f aca="false">E413*Settings!$B$3</f>
        <v>0.433806115117486</v>
      </c>
      <c r="O413" s="60" t="n">
        <f aca="false">IF(E413&gt;0,(F413-N413)/SQRT(E413*Settings!$B$3*(1-Settings!$B$3)),0)</f>
        <v>0.873277654776981</v>
      </c>
      <c r="P413" s="60" t="n">
        <f aca="false">MAX(0,F413-N413)</f>
        <v>0.566193884882514</v>
      </c>
      <c r="Q413" s="32" t="n">
        <f aca="false">(F413+Settings!$B$7*Settings!$B$3)/(E413+Settings!$B$7)</f>
        <v>0.0438541939180594</v>
      </c>
      <c r="R413" s="61" t="n">
        <f aca="false">PERCENTRANK($H$2:$H$1780,H413,6)</f>
        <v>0.728909</v>
      </c>
      <c r="S413" s="61" t="n">
        <f aca="false">PERCENTRANK($Q$2:$Q$1780,Q413,6)</f>
        <v>0.836895</v>
      </c>
      <c r="T413" s="61" t="n">
        <f aca="false">PERCENTRANK($F$2:$F$1780,F413,6)</f>
        <v>0.685039</v>
      </c>
      <c r="U413" s="62" t="n">
        <f aca="false">IF(F413&gt;0,(Settings!$B$8*T413+Settings!$B$9*R413+Settings!$B$10*S413)/SUM(Settings!$B$8:$B$10),0)</f>
        <v>0.750281</v>
      </c>
      <c r="V413" s="56" t="n">
        <f aca="false">IF(U413&gt;0,RANK(U413,$U$2:$U$1780)+COUNTIF($U$2:U413,U413)-1,"")</f>
        <v>412</v>
      </c>
      <c r="W413" s="56" t="str">
        <f aca="false">IF(V413="","",IF(V413&lt;=Settings!$B$11,"1 - Fix first",IF(V413&lt;=Settings!$B$12,"2 - Review","3 - Monitor")))</f>
        <v>3 - Monitor</v>
      </c>
      <c r="X413" s="56" t="str">
        <f aca="false">IF(AND(E413&gt;=Settings!$B$4,F413&gt;=Settings!$B$5,O413&gt;=Settings!$B$6),"HIGH RATE","")</f>
        <v/>
      </c>
      <c r="Y413" s="56" t="n">
        <f aca="false">IF(F413&gt;0,RANK(F413,$F$2:$F$1780)+COUNTIF($F$2:F413,F413)-1,"")</f>
        <v>460</v>
      </c>
      <c r="Z413" s="56" t="n">
        <f aca="false">IF(H413&gt;0,RANK(H413,$H$2:$H$1780)+COUNTIF($H$2:H413,H413)-1,"")</f>
        <v>478</v>
      </c>
      <c r="AA413" s="56" t="str">
        <f aca="false">IF(AC413="","",RANK(AC413,$AC$2:$AC$1780)+COUNTIF($AC$2:AC413,AC413)-1)</f>
        <v/>
      </c>
      <c r="AB413" s="56" t="str">
        <f aca="false">IF(AD413="","",RANK(AD413,$AD$2:$AD$1780)+COUNTIF($AD$2:AD413,AD413)-1)</f>
        <v/>
      </c>
      <c r="AC413" s="56" t="str">
        <f aca="false">IF(AND(F413&gt;0,E413&gt;=Settings!$B$4),J413,"")</f>
        <v/>
      </c>
      <c r="AD413" s="56" t="str">
        <f aca="false">IF(X413="HIGH RATE",O413,"")</f>
        <v/>
      </c>
    </row>
    <row r="414" customFormat="false" ht="15" hidden="false" customHeight="false" outlineLevel="0" collapsed="false">
      <c r="A414" s="56" t="s">
        <v>1468</v>
      </c>
      <c r="B414" s="56" t="s">
        <v>1469</v>
      </c>
      <c r="C414" s="56" t="s">
        <v>51</v>
      </c>
      <c r="D414" s="56" t="str">
        <f aca="false">IFERROR(INDEX('Brand Map'!$B$4:$B$124,MATCH(C414,'Brand Map'!$A$4:$A$124,0)),"Other")</f>
        <v>AU</v>
      </c>
      <c r="E414" s="57" t="n">
        <v>21</v>
      </c>
      <c r="F414" s="57" t="n">
        <v>1</v>
      </c>
      <c r="G414" s="58" t="n">
        <v>2748.51</v>
      </c>
      <c r="H414" s="58" t="n">
        <v>112.01</v>
      </c>
      <c r="I414" s="58" t="n">
        <v>2574.27</v>
      </c>
      <c r="J414" s="32" t="n">
        <f aca="false">IF(E414&gt;0,F414/E414,0)</f>
        <v>0.0476190476190476</v>
      </c>
      <c r="K414" s="32" t="n">
        <f aca="false">IF(G414&gt;0,H414/G414,0)</f>
        <v>0.0407529898017471</v>
      </c>
      <c r="L414" s="59" t="n">
        <f aca="false">H414/Settings!$B$16</f>
        <v>0.000223854947270279</v>
      </c>
      <c r="M414" s="59" t="n">
        <f aca="false">H414/Settings!$B$20</f>
        <v>8.69582917359483E-006</v>
      </c>
      <c r="N414" s="60" t="n">
        <f aca="false">E414*Settings!$B$3</f>
        <v>0.650709172676229</v>
      </c>
      <c r="O414" s="60" t="n">
        <f aca="false">IF(E414&gt;0,(F414-N414)/SQRT(E414*Settings!$B$3*(1-Settings!$B$3)),0)</f>
        <v>0.439874437508715</v>
      </c>
      <c r="P414" s="60" t="n">
        <f aca="false">MAX(0,F414-N414)</f>
        <v>0.349290827323771</v>
      </c>
      <c r="Q414" s="32" t="n">
        <f aca="false">(F414+Settings!$B$7*Settings!$B$3)/(E414+Settings!$B$7)</f>
        <v>0.0378349908312669</v>
      </c>
      <c r="R414" s="61" t="n">
        <f aca="false">PERCENTRANK($H$2:$H$1780,H414,6)</f>
        <v>0.771091</v>
      </c>
      <c r="S414" s="61" t="n">
        <f aca="false">PERCENTRANK($Q$2:$Q$1780,Q414,6)</f>
        <v>0.793026</v>
      </c>
      <c r="T414" s="61" t="n">
        <f aca="false">PERCENTRANK($F$2:$F$1780,F414,6)</f>
        <v>0.685039</v>
      </c>
      <c r="U414" s="62" t="n">
        <f aca="false">IF(F414&gt;0,(Settings!$B$8*T414+Settings!$B$9*R414+Settings!$B$10*S414)/SUM(Settings!$B$8:$B$10),0)</f>
        <v>0.749718666666667</v>
      </c>
      <c r="V414" s="56" t="n">
        <f aca="false">IF(U414&gt;0,RANK(U414,$U$2:$U$1780)+COUNTIF($U$2:U414,U414)-1,"")</f>
        <v>413</v>
      </c>
      <c r="W414" s="56" t="str">
        <f aca="false">IF(V414="","",IF(V414&lt;=Settings!$B$11,"1 - Fix first",IF(V414&lt;=Settings!$B$12,"2 - Review","3 - Monitor")))</f>
        <v>3 - Monitor</v>
      </c>
      <c r="X414" s="56" t="str">
        <f aca="false">IF(AND(E414&gt;=Settings!$B$4,F414&gt;=Settings!$B$5,O414&gt;=Settings!$B$6),"HIGH RATE","")</f>
        <v/>
      </c>
      <c r="Y414" s="56" t="n">
        <f aca="false">IF(F414&gt;0,RANK(F414,$F$2:$F$1780)+COUNTIF($F$2:F414,F414)-1,"")</f>
        <v>461</v>
      </c>
      <c r="Z414" s="56" t="n">
        <f aca="false">IF(H414&gt;0,RANK(H414,$H$2:$H$1780)+COUNTIF($H$2:H414,H414)-1,"")</f>
        <v>408</v>
      </c>
      <c r="AA414" s="56" t="str">
        <f aca="false">IF(AC414="","",RANK(AC414,$AC$2:$AC$1780)+COUNTIF($AC$2:AC414,AC414)-1)</f>
        <v/>
      </c>
      <c r="AB414" s="56" t="str">
        <f aca="false">IF(AD414="","",RANK(AD414,$AD$2:$AD$1780)+COUNTIF($AD$2:AD414,AD414)-1)</f>
        <v/>
      </c>
      <c r="AC414" s="56" t="str">
        <f aca="false">IF(AND(F414&gt;0,E414&gt;=Settings!$B$4),J414,"")</f>
        <v/>
      </c>
      <c r="AD414" s="56" t="str">
        <f aca="false">IF(X414="HIGH RATE",O414,"")</f>
        <v/>
      </c>
    </row>
    <row r="415" customFormat="false" ht="15" hidden="false" customHeight="false" outlineLevel="0" collapsed="false">
      <c r="A415" s="56" t="s">
        <v>1470</v>
      </c>
      <c r="B415" s="56" t="s">
        <v>1471</v>
      </c>
      <c r="C415" s="56" t="s">
        <v>148</v>
      </c>
      <c r="D415" s="56" t="str">
        <f aca="false">IFERROR(INDEX('Brand Map'!$B$4:$B$124,MATCH(C415,'Brand Map'!$A$4:$A$124,0)),"Other")</f>
        <v>FBAU</v>
      </c>
      <c r="E415" s="57" t="n">
        <v>13</v>
      </c>
      <c r="F415" s="57" t="n">
        <v>1</v>
      </c>
      <c r="G415" s="58" t="n">
        <v>1149.47</v>
      </c>
      <c r="H415" s="58" t="n">
        <v>65.65</v>
      </c>
      <c r="I415" s="58" t="n">
        <v>1060.66</v>
      </c>
      <c r="J415" s="32" t="n">
        <f aca="false">IF(E415&gt;0,F415/E415,0)</f>
        <v>0.0769230769230769</v>
      </c>
      <c r="K415" s="32" t="n">
        <f aca="false">IF(G415&gt;0,H415/G415,0)</f>
        <v>0.0571132782934744</v>
      </c>
      <c r="L415" s="59" t="n">
        <f aca="false">H415/Settings!$B$16</f>
        <v>0.000131203261211444</v>
      </c>
      <c r="M415" s="59" t="n">
        <f aca="false">H415/Settings!$B$20</f>
        <v>5.09669837734578E-006</v>
      </c>
      <c r="N415" s="60" t="n">
        <f aca="false">E415*Settings!$B$3</f>
        <v>0.402819964037665</v>
      </c>
      <c r="O415" s="60" t="n">
        <f aca="false">IF(E415&gt;0,(F415-N415)/SQRT(E415*Settings!$B$3*(1-Settings!$B$3)),0)</f>
        <v>0.955839107624911</v>
      </c>
      <c r="P415" s="60" t="n">
        <f aca="false">MAX(0,F415-N415)</f>
        <v>0.597180035962335</v>
      </c>
      <c r="Q415" s="32" t="n">
        <f aca="false">(F415+Settings!$B$7*Settings!$B$3)/(E415+Settings!$B$7)</f>
        <v>0.044874058892898</v>
      </c>
      <c r="R415" s="61" t="n">
        <f aca="false">PERCENTRANK($H$2:$H$1780,H415,6)</f>
        <v>0.719348</v>
      </c>
      <c r="S415" s="61" t="n">
        <f aca="false">PERCENTRANK($Q$2:$Q$1780,Q415,6)</f>
        <v>0.844207</v>
      </c>
      <c r="T415" s="61" t="n">
        <f aca="false">PERCENTRANK($F$2:$F$1780,F415,6)</f>
        <v>0.685039</v>
      </c>
      <c r="U415" s="62" t="n">
        <f aca="false">IF(F415&gt;0,(Settings!$B$8*T415+Settings!$B$9*R415+Settings!$B$10*S415)/SUM(Settings!$B$8:$B$10),0)</f>
        <v>0.749531333333333</v>
      </c>
      <c r="V415" s="56" t="n">
        <f aca="false">IF(U415&gt;0,RANK(U415,$U$2:$U$1780)+COUNTIF($U$2:U415,U415)-1,"")</f>
        <v>414</v>
      </c>
      <c r="W415" s="56" t="str">
        <f aca="false">IF(V415="","",IF(V415&lt;=Settings!$B$11,"1 - Fix first",IF(V415&lt;=Settings!$B$12,"2 - Review","3 - Monitor")))</f>
        <v>3 - Monitor</v>
      </c>
      <c r="X415" s="56" t="str">
        <f aca="false">IF(AND(E415&gt;=Settings!$B$4,F415&gt;=Settings!$B$5,O415&gt;=Settings!$B$6),"HIGH RATE","")</f>
        <v/>
      </c>
      <c r="Y415" s="56" t="n">
        <f aca="false">IF(F415&gt;0,RANK(F415,$F$2:$F$1780)+COUNTIF($F$2:F415,F415)-1,"")</f>
        <v>462</v>
      </c>
      <c r="Z415" s="56" t="n">
        <f aca="false">IF(H415&gt;0,RANK(H415,$H$2:$H$1780)+COUNTIF($H$2:H415,H415)-1,"")</f>
        <v>500</v>
      </c>
      <c r="AA415" s="56" t="str">
        <f aca="false">IF(AC415="","",RANK(AC415,$AC$2:$AC$1780)+COUNTIF($AC$2:AC415,AC415)-1)</f>
        <v/>
      </c>
      <c r="AB415" s="56" t="str">
        <f aca="false">IF(AD415="","",RANK(AD415,$AD$2:$AD$1780)+COUNTIF($AD$2:AD415,AD415)-1)</f>
        <v/>
      </c>
      <c r="AC415" s="56" t="str">
        <f aca="false">IF(AND(F415&gt;0,E415&gt;=Settings!$B$4),J415,"")</f>
        <v/>
      </c>
      <c r="AD415" s="56" t="str">
        <f aca="false">IF(X415="HIGH RATE",O415,"")</f>
        <v/>
      </c>
    </row>
    <row r="416" customFormat="false" ht="15" hidden="false" customHeight="false" outlineLevel="0" collapsed="false">
      <c r="A416" s="56" t="s">
        <v>1472</v>
      </c>
      <c r="B416" s="56" t="s">
        <v>1209</v>
      </c>
      <c r="C416" s="56" t="s">
        <v>87</v>
      </c>
      <c r="D416" s="56" t="str">
        <f aca="false">IFERROR(INDEX('Brand Map'!$B$4:$B$124,MATCH(C416,'Brand Map'!$A$4:$A$124,0)),"Other")</f>
        <v>FYF</v>
      </c>
      <c r="E416" s="57" t="n">
        <v>16</v>
      </c>
      <c r="F416" s="57" t="n">
        <v>1</v>
      </c>
      <c r="G416" s="58" t="n">
        <v>1359.2</v>
      </c>
      <c r="H416" s="58" t="n">
        <v>84.95</v>
      </c>
      <c r="I416" s="58" t="n">
        <v>1274.25</v>
      </c>
      <c r="J416" s="32" t="n">
        <f aca="false">IF(E416&gt;0,F416/E416,0)</f>
        <v>0.0625</v>
      </c>
      <c r="K416" s="32" t="n">
        <f aca="false">IF(G416&gt;0,H416/G416,0)</f>
        <v>0.0625</v>
      </c>
      <c r="L416" s="59" t="n">
        <f aca="false">H416/Settings!$B$16</f>
        <v>0.000169774821628517</v>
      </c>
      <c r="M416" s="59" t="n">
        <f aca="false">H416/Settings!$B$20</f>
        <v>6.59504230244514E-006</v>
      </c>
      <c r="N416" s="60" t="n">
        <f aca="false">E416*Settings!$B$3</f>
        <v>0.495778417277127</v>
      </c>
      <c r="O416" s="60" t="n">
        <f aca="false">IF(E416&gt;0,(F416-N416)/SQRT(E416*Settings!$B$3*(1-Settings!$B$3)),0)</f>
        <v>0.727465883958007</v>
      </c>
      <c r="P416" s="60" t="n">
        <f aca="false">MAX(0,F416-N416)</f>
        <v>0.504221582722873</v>
      </c>
      <c r="Q416" s="32" t="n">
        <f aca="false">(F416+Settings!$B$7*Settings!$B$3)/(E416+Settings!$B$7)</f>
        <v>0.0419474898346655</v>
      </c>
      <c r="R416" s="61" t="n">
        <f aca="false">PERCENTRANK($H$2:$H$1780,H416,6)</f>
        <v>0.735658</v>
      </c>
      <c r="S416" s="61" t="n">
        <f aca="false">PERCENTRANK($Q$2:$Q$1780,Q416,6)</f>
        <v>0.827334</v>
      </c>
      <c r="T416" s="61" t="n">
        <f aca="false">PERCENTRANK($F$2:$F$1780,F416,6)</f>
        <v>0.685039</v>
      </c>
      <c r="U416" s="62" t="n">
        <f aca="false">IF(F416&gt;0,(Settings!$B$8*T416+Settings!$B$9*R416+Settings!$B$10*S416)/SUM(Settings!$B$8:$B$10),0)</f>
        <v>0.749343666666667</v>
      </c>
      <c r="V416" s="56" t="n">
        <f aca="false">IF(U416&gt;0,RANK(U416,$U$2:$U$1780)+COUNTIF($U$2:U416,U416)-1,"")</f>
        <v>415</v>
      </c>
      <c r="W416" s="56" t="str">
        <f aca="false">IF(V416="","",IF(V416&lt;=Settings!$B$11,"1 - Fix first",IF(V416&lt;=Settings!$B$12,"2 - Review","3 - Monitor")))</f>
        <v>3 - Monitor</v>
      </c>
      <c r="X416" s="56" t="str">
        <f aca="false">IF(AND(E416&gt;=Settings!$B$4,F416&gt;=Settings!$B$5,O416&gt;=Settings!$B$6),"HIGH RATE","")</f>
        <v/>
      </c>
      <c r="Y416" s="56" t="n">
        <f aca="false">IF(F416&gt;0,RANK(F416,$F$2:$F$1780)+COUNTIF($F$2:F416,F416)-1,"")</f>
        <v>463</v>
      </c>
      <c r="Z416" s="56" t="n">
        <f aca="false">IF(H416&gt;0,RANK(H416,$H$2:$H$1780)+COUNTIF($H$2:H416,H416)-1,"")</f>
        <v>469</v>
      </c>
      <c r="AA416" s="56" t="str">
        <f aca="false">IF(AC416="","",RANK(AC416,$AC$2:$AC$1780)+COUNTIF($AC$2:AC416,AC416)-1)</f>
        <v/>
      </c>
      <c r="AB416" s="56" t="str">
        <f aca="false">IF(AD416="","",RANK(AD416,$AD$2:$AD$1780)+COUNTIF($AD$2:AD416,AD416)-1)</f>
        <v/>
      </c>
      <c r="AC416" s="56" t="str">
        <f aca="false">IF(AND(F416&gt;0,E416&gt;=Settings!$B$4),J416,"")</f>
        <v/>
      </c>
      <c r="AD416" s="56" t="str">
        <f aca="false">IF(X416="HIGH RATE",O416,"")</f>
        <v/>
      </c>
    </row>
    <row r="417" customFormat="false" ht="15" hidden="false" customHeight="false" outlineLevel="0" collapsed="false">
      <c r="A417" s="56" t="s">
        <v>1473</v>
      </c>
      <c r="B417" s="56" t="s">
        <v>1351</v>
      </c>
      <c r="C417" s="56" t="s">
        <v>87</v>
      </c>
      <c r="D417" s="56" t="str">
        <f aca="false">IFERROR(INDEX('Brand Map'!$B$4:$B$124,MATCH(C417,'Brand Map'!$A$4:$A$124,0)),"Other")</f>
        <v>FYF</v>
      </c>
      <c r="E417" s="57" t="n">
        <v>18</v>
      </c>
      <c r="F417" s="57" t="n">
        <v>1</v>
      </c>
      <c r="G417" s="58" t="n">
        <v>1709.1</v>
      </c>
      <c r="H417" s="58" t="n">
        <v>94.95</v>
      </c>
      <c r="I417" s="58" t="n">
        <v>1614.15</v>
      </c>
      <c r="J417" s="32" t="n">
        <f aca="false">IF(E417&gt;0,F417/E417,0)</f>
        <v>0.0555555555555556</v>
      </c>
      <c r="K417" s="32" t="n">
        <f aca="false">IF(G417&gt;0,H417/G417,0)</f>
        <v>0.0555555555555556</v>
      </c>
      <c r="L417" s="59" t="n">
        <f aca="false">H417/Settings!$B$16</f>
        <v>0.000189760086093322</v>
      </c>
      <c r="M417" s="59" t="n">
        <f aca="false">H417/Settings!$B$20</f>
        <v>7.3713863050873E-006</v>
      </c>
      <c r="N417" s="60" t="n">
        <f aca="false">E417*Settings!$B$3</f>
        <v>0.557750719436768</v>
      </c>
      <c r="O417" s="60" t="n">
        <f aca="false">IF(E417&gt;0,(F417-N417)/SQRT(E417*Settings!$B$3*(1-Settings!$B$3)),0)</f>
        <v>0.601564325659658</v>
      </c>
      <c r="P417" s="60" t="n">
        <f aca="false">MAX(0,F417-N417)</f>
        <v>0.442249280563233</v>
      </c>
      <c r="Q417" s="32" t="n">
        <f aca="false">(F417+Settings!$B$7*Settings!$B$3)/(E417+Settings!$B$7)</f>
        <v>0.0401996777582211</v>
      </c>
      <c r="R417" s="61" t="n">
        <f aca="false">PERCENTRANK($H$2:$H$1780,H417,6)</f>
        <v>0.748594</v>
      </c>
      <c r="S417" s="61" t="n">
        <f aca="false">PERCENTRANK($Q$2:$Q$1780,Q417,6)</f>
        <v>0.813836</v>
      </c>
      <c r="T417" s="61" t="n">
        <f aca="false">PERCENTRANK($F$2:$F$1780,F417,6)</f>
        <v>0.685039</v>
      </c>
      <c r="U417" s="62" t="n">
        <f aca="false">IF(F417&gt;0,(Settings!$B$8*T417+Settings!$B$9*R417+Settings!$B$10*S417)/SUM(Settings!$B$8:$B$10),0)</f>
        <v>0.749156333333333</v>
      </c>
      <c r="V417" s="56" t="n">
        <f aca="false">IF(U417&gt;0,RANK(U417,$U$2:$U$1780)+COUNTIF($U$2:U417,U417)-1,"")</f>
        <v>416</v>
      </c>
      <c r="W417" s="56" t="str">
        <f aca="false">IF(V417="","",IF(V417&lt;=Settings!$B$11,"1 - Fix first",IF(V417&lt;=Settings!$B$12,"2 - Review","3 - Monitor")))</f>
        <v>3 - Monitor</v>
      </c>
      <c r="X417" s="56" t="str">
        <f aca="false">IF(AND(E417&gt;=Settings!$B$4,F417&gt;=Settings!$B$5,O417&gt;=Settings!$B$6),"HIGH RATE","")</f>
        <v/>
      </c>
      <c r="Y417" s="56" t="n">
        <f aca="false">IF(F417&gt;0,RANK(F417,$F$2:$F$1780)+COUNTIF($F$2:F417,F417)-1,"")</f>
        <v>464</v>
      </c>
      <c r="Z417" s="56" t="n">
        <f aca="false">IF(H417&gt;0,RANK(H417,$H$2:$H$1780)+COUNTIF($H$2:H417,H417)-1,"")</f>
        <v>444</v>
      </c>
      <c r="AA417" s="56" t="str">
        <f aca="false">IF(AC417="","",RANK(AC417,$AC$2:$AC$1780)+COUNTIF($AC$2:AC417,AC417)-1)</f>
        <v/>
      </c>
      <c r="AB417" s="56" t="str">
        <f aca="false">IF(AD417="","",RANK(AD417,$AD$2:$AD$1780)+COUNTIF($AD$2:AD417,AD417)-1)</f>
        <v/>
      </c>
      <c r="AC417" s="56" t="str">
        <f aca="false">IF(AND(F417&gt;0,E417&gt;=Settings!$B$4),J417,"")</f>
        <v/>
      </c>
      <c r="AD417" s="56" t="str">
        <f aca="false">IF(X417="HIGH RATE",O417,"")</f>
        <v/>
      </c>
    </row>
    <row r="418" customFormat="false" ht="15" hidden="false" customHeight="false" outlineLevel="0" collapsed="false">
      <c r="A418" s="56" t="s">
        <v>1474</v>
      </c>
      <c r="B418" s="56" t="s">
        <v>682</v>
      </c>
      <c r="C418" s="56" t="s">
        <v>680</v>
      </c>
      <c r="D418" s="56" t="str">
        <f aca="false">IFERROR(INDEX('Brand Map'!$B$4:$B$124,MATCH(C418,'Brand Map'!$A$4:$A$124,0)),"Other")</f>
        <v>Other (small prefixes)</v>
      </c>
      <c r="E418" s="57" t="n">
        <v>11</v>
      </c>
      <c r="F418" s="57" t="n">
        <v>1</v>
      </c>
      <c r="G418" s="58" t="n">
        <v>684.45</v>
      </c>
      <c r="H418" s="58" t="n">
        <v>49.95</v>
      </c>
      <c r="I418" s="58" t="n">
        <v>634.5</v>
      </c>
      <c r="J418" s="32" t="n">
        <f aca="false">IF(E418&gt;0,F418/E418,0)</f>
        <v>0.0909090909090909</v>
      </c>
      <c r="K418" s="32" t="n">
        <f aca="false">IF(G418&gt;0,H418/G418,0)</f>
        <v>0.0729783037475345</v>
      </c>
      <c r="L418" s="59" t="n">
        <f aca="false">H418/Settings!$B$16</f>
        <v>9.98263960017E-005</v>
      </c>
      <c r="M418" s="59" t="n">
        <f aca="false">H418/Settings!$B$20</f>
        <v>3.87783829319759E-006</v>
      </c>
      <c r="N418" s="60" t="n">
        <f aca="false">E418*Settings!$B$3</f>
        <v>0.340847661878025</v>
      </c>
      <c r="O418" s="60" t="n">
        <f aca="false">IF(E418&gt;0,(F418-N418)/SQRT(E418*Settings!$B$3*(1-Settings!$B$3)),0)</f>
        <v>1.14693985782354</v>
      </c>
      <c r="P418" s="60" t="n">
        <f aca="false">MAX(0,F418-N418)</f>
        <v>0.659152338121975</v>
      </c>
      <c r="Q418" s="32" t="n">
        <f aca="false">(F418+Settings!$B$7*Settings!$B$3)/(E418+Settings!$B$7)</f>
        <v>0.0470630373754784</v>
      </c>
      <c r="R418" s="61" t="n">
        <f aca="false">PERCENTRANK($H$2:$H$1780,H418,6)</f>
        <v>0.700225</v>
      </c>
      <c r="S418" s="61" t="n">
        <f aca="false">PERCENTRANK($Q$2:$Q$1780,Q418,6)</f>
        <v>0.862205</v>
      </c>
      <c r="T418" s="61" t="n">
        <f aca="false">PERCENTRANK($F$2:$F$1780,F418,6)</f>
        <v>0.685039</v>
      </c>
      <c r="U418" s="62" t="n">
        <f aca="false">IF(F418&gt;0,(Settings!$B$8*T418+Settings!$B$9*R418+Settings!$B$10*S418)/SUM(Settings!$B$8:$B$10),0)</f>
        <v>0.749156333333333</v>
      </c>
      <c r="V418" s="56" t="n">
        <f aca="false">IF(U418&gt;0,RANK(U418,$U$2:$U$1780)+COUNTIF($U$2:U418,U418)-1,"")</f>
        <v>417</v>
      </c>
      <c r="W418" s="56" t="str">
        <f aca="false">IF(V418="","",IF(V418&lt;=Settings!$B$11,"1 - Fix first",IF(V418&lt;=Settings!$B$12,"2 - Review","3 - Monitor")))</f>
        <v>3 - Monitor</v>
      </c>
      <c r="X418" s="56" t="str">
        <f aca="false">IF(AND(E418&gt;=Settings!$B$4,F418&gt;=Settings!$B$5,O418&gt;=Settings!$B$6),"HIGH RATE","")</f>
        <v/>
      </c>
      <c r="Y418" s="56" t="n">
        <f aca="false">IF(F418&gt;0,RANK(F418,$F$2:$F$1780)+COUNTIF($F$2:F418,F418)-1,"")</f>
        <v>465</v>
      </c>
      <c r="Z418" s="56" t="n">
        <f aca="false">IF(H418&gt;0,RANK(H418,$H$2:$H$1780)+COUNTIF($H$2:H418,H418)-1,"")</f>
        <v>531</v>
      </c>
      <c r="AA418" s="56" t="str">
        <f aca="false">IF(AC418="","",RANK(AC418,$AC$2:$AC$1780)+COUNTIF($AC$2:AC418,AC418)-1)</f>
        <v/>
      </c>
      <c r="AB418" s="56" t="str">
        <f aca="false">IF(AD418="","",RANK(AD418,$AD$2:$AD$1780)+COUNTIF($AD$2:AD418,AD418)-1)</f>
        <v/>
      </c>
      <c r="AC418" s="56" t="str">
        <f aca="false">IF(AND(F418&gt;0,E418&gt;=Settings!$B$4),J418,"")</f>
        <v/>
      </c>
      <c r="AD418" s="56" t="str">
        <f aca="false">IF(X418="HIGH RATE",O418,"")</f>
        <v/>
      </c>
    </row>
    <row r="419" customFormat="false" ht="15" hidden="false" customHeight="false" outlineLevel="0" collapsed="false">
      <c r="A419" s="56" t="s">
        <v>1475</v>
      </c>
      <c r="B419" s="56" t="s">
        <v>1476</v>
      </c>
      <c r="C419" s="56" t="s">
        <v>51</v>
      </c>
      <c r="D419" s="56" t="str">
        <f aca="false">IFERROR(INDEX('Brand Map'!$B$4:$B$124,MATCH(C419,'Brand Map'!$A$4:$A$124,0)),"Other")</f>
        <v>AU</v>
      </c>
      <c r="E419" s="57" t="n">
        <v>14</v>
      </c>
      <c r="F419" s="57" t="n">
        <v>1</v>
      </c>
      <c r="G419" s="58" t="n">
        <v>1050.23</v>
      </c>
      <c r="H419" s="58" t="n">
        <v>72.68</v>
      </c>
      <c r="I419" s="58" t="n">
        <v>977.55</v>
      </c>
      <c r="J419" s="32" t="n">
        <f aca="false">IF(E419&gt;0,F419/E419,0)</f>
        <v>0.0714285714285714</v>
      </c>
      <c r="K419" s="32" t="n">
        <f aca="false">IF(G419&gt;0,H419/G419,0)</f>
        <v>0.0692038886720052</v>
      </c>
      <c r="L419" s="59" t="n">
        <f aca="false">H419/Settings!$B$16</f>
        <v>0.000145252902130201</v>
      </c>
      <c r="M419" s="59" t="n">
        <f aca="false">H419/Settings!$B$20</f>
        <v>5.64246821120322E-006</v>
      </c>
      <c r="N419" s="60" t="n">
        <f aca="false">E419*Settings!$B$3</f>
        <v>0.433806115117486</v>
      </c>
      <c r="O419" s="60" t="n">
        <f aca="false">IF(E419&gt;0,(F419-N419)/SQRT(E419*Settings!$B$3*(1-Settings!$B$3)),0)</f>
        <v>0.873277654776981</v>
      </c>
      <c r="P419" s="60" t="n">
        <f aca="false">MAX(0,F419-N419)</f>
        <v>0.566193884882514</v>
      </c>
      <c r="Q419" s="32" t="n">
        <f aca="false">(F419+Settings!$B$7*Settings!$B$3)/(E419+Settings!$B$7)</f>
        <v>0.0438541939180594</v>
      </c>
      <c r="R419" s="61" t="n">
        <f aca="false">PERCENTRANK($H$2:$H$1780,H419,6)</f>
        <v>0.723285</v>
      </c>
      <c r="S419" s="61" t="n">
        <f aca="false">PERCENTRANK($Q$2:$Q$1780,Q419,6)</f>
        <v>0.836895</v>
      </c>
      <c r="T419" s="61" t="n">
        <f aca="false">PERCENTRANK($F$2:$F$1780,F419,6)</f>
        <v>0.685039</v>
      </c>
      <c r="U419" s="62" t="n">
        <f aca="false">IF(F419&gt;0,(Settings!$B$8*T419+Settings!$B$9*R419+Settings!$B$10*S419)/SUM(Settings!$B$8:$B$10),0)</f>
        <v>0.748406333333333</v>
      </c>
      <c r="V419" s="56" t="n">
        <f aca="false">IF(U419&gt;0,RANK(U419,$U$2:$U$1780)+COUNTIF($U$2:U419,U419)-1,"")</f>
        <v>418</v>
      </c>
      <c r="W419" s="56" t="str">
        <f aca="false">IF(V419="","",IF(V419&lt;=Settings!$B$11,"1 - Fix first",IF(V419&lt;=Settings!$B$12,"2 - Review","3 - Monitor")))</f>
        <v>3 - Monitor</v>
      </c>
      <c r="X419" s="56" t="str">
        <f aca="false">IF(AND(E419&gt;=Settings!$B$4,F419&gt;=Settings!$B$5,O419&gt;=Settings!$B$6),"HIGH RATE","")</f>
        <v/>
      </c>
      <c r="Y419" s="56" t="n">
        <f aca="false">IF(F419&gt;0,RANK(F419,$F$2:$F$1780)+COUNTIF($F$2:F419,F419)-1,"")</f>
        <v>466</v>
      </c>
      <c r="Z419" s="56" t="n">
        <f aca="false">IF(H419&gt;0,RANK(H419,$H$2:$H$1780)+COUNTIF($H$2:H419,H419)-1,"")</f>
        <v>491</v>
      </c>
      <c r="AA419" s="56" t="str">
        <f aca="false">IF(AC419="","",RANK(AC419,$AC$2:$AC$1780)+COUNTIF($AC$2:AC419,AC419)-1)</f>
        <v/>
      </c>
      <c r="AB419" s="56" t="str">
        <f aca="false">IF(AD419="","",RANK(AD419,$AD$2:$AD$1780)+COUNTIF($AD$2:AD419,AD419)-1)</f>
        <v/>
      </c>
      <c r="AC419" s="56" t="str">
        <f aca="false">IF(AND(F419&gt;0,E419&gt;=Settings!$B$4),J419,"")</f>
        <v/>
      </c>
      <c r="AD419" s="56" t="str">
        <f aca="false">IF(X419="HIGH RATE",O419,"")</f>
        <v/>
      </c>
    </row>
    <row r="420" customFormat="false" ht="15" hidden="false" customHeight="false" outlineLevel="0" collapsed="false">
      <c r="A420" s="56" t="s">
        <v>1477</v>
      </c>
      <c r="B420" s="56" t="s">
        <v>1478</v>
      </c>
      <c r="C420" s="56" t="s">
        <v>83</v>
      </c>
      <c r="D420" s="56" t="str">
        <f aca="false">IFERROR(INDEX('Brand Map'!$B$4:$B$124,MATCH(C420,'Brand Map'!$A$4:$A$124,0)),"Other")</f>
        <v>AUDNAT</v>
      </c>
      <c r="E420" s="57" t="n">
        <v>12</v>
      </c>
      <c r="F420" s="57" t="n">
        <v>1</v>
      </c>
      <c r="G420" s="58" t="n">
        <v>817.58</v>
      </c>
      <c r="H420" s="58" t="n">
        <v>54.51</v>
      </c>
      <c r="I420" s="58" t="n">
        <v>626.87</v>
      </c>
      <c r="J420" s="32" t="n">
        <f aca="false">IF(E420&gt;0,F420/E420,0)</f>
        <v>0.0833333333333333</v>
      </c>
      <c r="K420" s="32" t="n">
        <f aca="false">IF(G420&gt;0,H420/G420,0)</f>
        <v>0.0666723745688495</v>
      </c>
      <c r="L420" s="59" t="n">
        <f aca="false">H420/Settings!$B$16</f>
        <v>0.000108939676597651</v>
      </c>
      <c r="M420" s="59" t="n">
        <f aca="false">H420/Settings!$B$20</f>
        <v>4.23185115840241E-006</v>
      </c>
      <c r="N420" s="60" t="n">
        <f aca="false">E420*Settings!$B$3</f>
        <v>0.371833812957845</v>
      </c>
      <c r="O420" s="60" t="n">
        <f aca="false">IF(E420&gt;0,(F420-N420)/SQRT(E420*Settings!$B$3*(1-Settings!$B$3)),0)</f>
        <v>1.04649009824894</v>
      </c>
      <c r="P420" s="60" t="n">
        <f aca="false">MAX(0,F420-N420)</f>
        <v>0.628166187042155</v>
      </c>
      <c r="Q420" s="32" t="n">
        <f aca="false">(F420+Settings!$B$7*Settings!$B$3)/(E420+Settings!$B$7)</f>
        <v>0.0459424888665384</v>
      </c>
      <c r="R420" s="61" t="n">
        <f aca="false">PERCENTRANK($H$2:$H$1780,H420,6)</f>
        <v>0.706412</v>
      </c>
      <c r="S420" s="61" t="n">
        <f aca="false">PERCENTRANK($Q$2:$Q$1780,Q420,6)</f>
        <v>0.851519</v>
      </c>
      <c r="T420" s="61" t="n">
        <f aca="false">PERCENTRANK($F$2:$F$1780,F420,6)</f>
        <v>0.685039</v>
      </c>
      <c r="U420" s="62" t="n">
        <f aca="false">IF(F420&gt;0,(Settings!$B$8*T420+Settings!$B$9*R420+Settings!$B$10*S420)/SUM(Settings!$B$8:$B$10),0)</f>
        <v>0.747656666666667</v>
      </c>
      <c r="V420" s="56" t="n">
        <f aca="false">IF(U420&gt;0,RANK(U420,$U$2:$U$1780)+COUNTIF($U$2:U420,U420)-1,"")</f>
        <v>419</v>
      </c>
      <c r="W420" s="56" t="str">
        <f aca="false">IF(V420="","",IF(V420&lt;=Settings!$B$11,"1 - Fix first",IF(V420&lt;=Settings!$B$12,"2 - Review","3 - Monitor")))</f>
        <v>3 - Monitor</v>
      </c>
      <c r="X420" s="56" t="str">
        <f aca="false">IF(AND(E420&gt;=Settings!$B$4,F420&gt;=Settings!$B$5,O420&gt;=Settings!$B$6),"HIGH RATE","")</f>
        <v/>
      </c>
      <c r="Y420" s="56" t="n">
        <f aca="false">IF(F420&gt;0,RANK(F420,$F$2:$F$1780)+COUNTIF($F$2:F420,F420)-1,"")</f>
        <v>467</v>
      </c>
      <c r="Z420" s="56" t="n">
        <f aca="false">IF(H420&gt;0,RANK(H420,$H$2:$H$1780)+COUNTIF($H$2:H420,H420)-1,"")</f>
        <v>523</v>
      </c>
      <c r="AA420" s="56" t="str">
        <f aca="false">IF(AC420="","",RANK(AC420,$AC$2:$AC$1780)+COUNTIF($AC$2:AC420,AC420)-1)</f>
        <v/>
      </c>
      <c r="AB420" s="56" t="str">
        <f aca="false">IF(AD420="","",RANK(AD420,$AD$2:$AD$1780)+COUNTIF($AD$2:AD420,AD420)-1)</f>
        <v/>
      </c>
      <c r="AC420" s="56" t="str">
        <f aca="false">IF(AND(F420&gt;0,E420&gt;=Settings!$B$4),J420,"")</f>
        <v/>
      </c>
      <c r="AD420" s="56" t="str">
        <f aca="false">IF(X420="HIGH RATE",O420,"")</f>
        <v/>
      </c>
    </row>
    <row r="421" customFormat="false" ht="15" hidden="false" customHeight="false" outlineLevel="0" collapsed="false">
      <c r="A421" s="56" t="s">
        <v>1479</v>
      </c>
      <c r="B421" s="56" t="s">
        <v>1480</v>
      </c>
      <c r="C421" s="56" t="s">
        <v>51</v>
      </c>
      <c r="D421" s="56" t="str">
        <f aca="false">IFERROR(INDEX('Brand Map'!$B$4:$B$124,MATCH(C421,'Brand Map'!$A$4:$A$124,0)),"Other")</f>
        <v>AU</v>
      </c>
      <c r="E421" s="57" t="n">
        <v>25</v>
      </c>
      <c r="F421" s="57" t="n">
        <v>1</v>
      </c>
      <c r="G421" s="58" t="n">
        <v>3475.87</v>
      </c>
      <c r="H421" s="58" t="n">
        <v>124.5</v>
      </c>
      <c r="I421" s="58" t="n">
        <v>3231.26</v>
      </c>
      <c r="J421" s="32" t="n">
        <f aca="false">IF(E421&gt;0,F421/E421,0)</f>
        <v>0.04</v>
      </c>
      <c r="K421" s="32" t="n">
        <f aca="false">IF(G421&gt;0,H421/G421,0)</f>
        <v>0.0358183706525273</v>
      </c>
      <c r="L421" s="59" t="n">
        <f aca="false">H421/Settings!$B$16</f>
        <v>0.00024881654258682</v>
      </c>
      <c r="M421" s="59" t="n">
        <f aca="false">H421/Settings!$B$20</f>
        <v>9.66548283289489E-006</v>
      </c>
      <c r="N421" s="60" t="n">
        <f aca="false">E421*Settings!$B$3</f>
        <v>0.77465377699551</v>
      </c>
      <c r="O421" s="60" t="n">
        <f aca="false">IF(E421&gt;0,(F421-N421)/SQRT(E421*Settings!$B$3*(1-Settings!$B$3)),0)</f>
        <v>0.260094680484406</v>
      </c>
      <c r="P421" s="60" t="n">
        <f aca="false">MAX(0,F421-N421)</f>
        <v>0.22534622300449</v>
      </c>
      <c r="Q421" s="32" t="n">
        <f aca="false">(F421+Settings!$B$7*Settings!$B$3)/(E421+Settings!$B$7)</f>
        <v>0.0350833551344475</v>
      </c>
      <c r="R421" s="61" t="n">
        <f aca="false">PERCENTRANK($H$2:$H$1780,H421,6)</f>
        <v>0.782902</v>
      </c>
      <c r="S421" s="61" t="n">
        <f aca="false">PERCENTRANK($Q$2:$Q$1780,Q421,6)</f>
        <v>0.773903</v>
      </c>
      <c r="T421" s="61" t="n">
        <f aca="false">PERCENTRANK($F$2:$F$1780,F421,6)</f>
        <v>0.685039</v>
      </c>
      <c r="U421" s="62" t="n">
        <f aca="false">IF(F421&gt;0,(Settings!$B$8*T421+Settings!$B$9*R421+Settings!$B$10*S421)/SUM(Settings!$B$8:$B$10),0)</f>
        <v>0.747281333333333</v>
      </c>
      <c r="V421" s="56" t="n">
        <f aca="false">IF(U421&gt;0,RANK(U421,$U$2:$U$1780)+COUNTIF($U$2:U421,U421)-1,"")</f>
        <v>420</v>
      </c>
      <c r="W421" s="56" t="str">
        <f aca="false">IF(V421="","",IF(V421&lt;=Settings!$B$11,"1 - Fix first",IF(V421&lt;=Settings!$B$12,"2 - Review","3 - Monitor")))</f>
        <v>3 - Monitor</v>
      </c>
      <c r="X421" s="56" t="str">
        <f aca="false">IF(AND(E421&gt;=Settings!$B$4,F421&gt;=Settings!$B$5,O421&gt;=Settings!$B$6),"HIGH RATE","")</f>
        <v/>
      </c>
      <c r="Y421" s="56" t="n">
        <f aca="false">IF(F421&gt;0,RANK(F421,$F$2:$F$1780)+COUNTIF($F$2:F421,F421)-1,"")</f>
        <v>468</v>
      </c>
      <c r="Z421" s="56" t="n">
        <f aca="false">IF(H421&gt;0,RANK(H421,$H$2:$H$1780)+COUNTIF($H$2:H421,H421)-1,"")</f>
        <v>387</v>
      </c>
      <c r="AA421" s="56" t="str">
        <f aca="false">IF(AC421="","",RANK(AC421,$AC$2:$AC$1780)+COUNTIF($AC$2:AC421,AC421)-1)</f>
        <v/>
      </c>
      <c r="AB421" s="56" t="str">
        <f aca="false">IF(AD421="","",RANK(AD421,$AD$2:$AD$1780)+COUNTIF($AD$2:AD421,AD421)-1)</f>
        <v/>
      </c>
      <c r="AC421" s="56" t="str">
        <f aca="false">IF(AND(F421&gt;0,E421&gt;=Settings!$B$4),J421,"")</f>
        <v/>
      </c>
      <c r="AD421" s="56" t="str">
        <f aca="false">IF(X421="HIGH RATE",O421,"")</f>
        <v/>
      </c>
    </row>
    <row r="422" customFormat="false" ht="15" hidden="false" customHeight="false" outlineLevel="0" collapsed="false">
      <c r="A422" s="56" t="s">
        <v>1481</v>
      </c>
      <c r="B422" s="56" t="s">
        <v>1482</v>
      </c>
      <c r="C422" s="56" t="s">
        <v>51</v>
      </c>
      <c r="D422" s="56" t="str">
        <f aca="false">IFERROR(INDEX('Brand Map'!$B$4:$B$124,MATCH(C422,'Brand Map'!$A$4:$A$124,0)),"Other")</f>
        <v>AU</v>
      </c>
      <c r="E422" s="57" t="n">
        <v>11</v>
      </c>
      <c r="F422" s="57" t="n">
        <v>1</v>
      </c>
      <c r="G422" s="58" t="n">
        <v>451.73</v>
      </c>
      <c r="H422" s="58" t="n">
        <v>31.77</v>
      </c>
      <c r="I422" s="58" t="n">
        <v>415.47</v>
      </c>
      <c r="J422" s="32" t="n">
        <f aca="false">IF(E422&gt;0,F422/E422,0)</f>
        <v>0.0909090909090909</v>
      </c>
      <c r="K422" s="32" t="n">
        <f aca="false">IF(G422&gt;0,H422/G422,0)</f>
        <v>0.0703296216766653</v>
      </c>
      <c r="L422" s="59" t="n">
        <f aca="false">H422/Settings!$B$16</f>
        <v>6.34931852046849E-005</v>
      </c>
      <c r="M422" s="59" t="n">
        <f aca="false">H422/Settings!$B$20</f>
        <v>2.46644489639414E-006</v>
      </c>
      <c r="N422" s="60" t="n">
        <f aca="false">E422*Settings!$B$3</f>
        <v>0.340847661878025</v>
      </c>
      <c r="O422" s="60" t="n">
        <f aca="false">IF(E422&gt;0,(F422-N422)/SQRT(E422*Settings!$B$3*(1-Settings!$B$3)),0)</f>
        <v>1.14693985782354</v>
      </c>
      <c r="P422" s="60" t="n">
        <f aca="false">MAX(0,F422-N422)</f>
        <v>0.659152338121975</v>
      </c>
      <c r="Q422" s="32" t="n">
        <f aca="false">(F422+Settings!$B$7*Settings!$B$3)/(E422+Settings!$B$7)</f>
        <v>0.0470630373754784</v>
      </c>
      <c r="R422" s="61" t="n">
        <f aca="false">PERCENTRANK($H$2:$H$1780,H422,6)</f>
        <v>0.692913</v>
      </c>
      <c r="S422" s="61" t="n">
        <f aca="false">PERCENTRANK($Q$2:$Q$1780,Q422,6)</f>
        <v>0.862205</v>
      </c>
      <c r="T422" s="61" t="n">
        <f aca="false">PERCENTRANK($F$2:$F$1780,F422,6)</f>
        <v>0.685039</v>
      </c>
      <c r="U422" s="62" t="n">
        <f aca="false">IF(F422&gt;0,(Settings!$B$8*T422+Settings!$B$9*R422+Settings!$B$10*S422)/SUM(Settings!$B$8:$B$10),0)</f>
        <v>0.746719</v>
      </c>
      <c r="V422" s="56" t="n">
        <f aca="false">IF(U422&gt;0,RANK(U422,$U$2:$U$1780)+COUNTIF($U$2:U422,U422)-1,"")</f>
        <v>421</v>
      </c>
      <c r="W422" s="56" t="str">
        <f aca="false">IF(V422="","",IF(V422&lt;=Settings!$B$11,"1 - Fix first",IF(V422&lt;=Settings!$B$12,"2 - Review","3 - Monitor")))</f>
        <v>3 - Monitor</v>
      </c>
      <c r="X422" s="56" t="str">
        <f aca="false">IF(AND(E422&gt;=Settings!$B$4,F422&gt;=Settings!$B$5,O422&gt;=Settings!$B$6),"HIGH RATE","")</f>
        <v/>
      </c>
      <c r="Y422" s="56" t="n">
        <f aca="false">IF(F422&gt;0,RANK(F422,$F$2:$F$1780)+COUNTIF($F$2:F422,F422)-1,"")</f>
        <v>469</v>
      </c>
      <c r="Z422" s="56" t="n">
        <f aca="false">IF(H422&gt;0,RANK(H422,$H$2:$H$1780)+COUNTIF($H$2:H422,H422)-1,"")</f>
        <v>547</v>
      </c>
      <c r="AA422" s="56" t="str">
        <f aca="false">IF(AC422="","",RANK(AC422,$AC$2:$AC$1780)+COUNTIF($AC$2:AC422,AC422)-1)</f>
        <v/>
      </c>
      <c r="AB422" s="56" t="str">
        <f aca="false">IF(AD422="","",RANK(AD422,$AD$2:$AD$1780)+COUNTIF($AD$2:AD422,AD422)-1)</f>
        <v/>
      </c>
      <c r="AC422" s="56" t="str">
        <f aca="false">IF(AND(F422&gt;0,E422&gt;=Settings!$B$4),J422,"")</f>
        <v/>
      </c>
      <c r="AD422" s="56" t="str">
        <f aca="false">IF(X422="HIGH RATE",O422,"")</f>
        <v/>
      </c>
    </row>
    <row r="423" customFormat="false" ht="15" hidden="false" customHeight="false" outlineLevel="0" collapsed="false">
      <c r="A423" s="56" t="s">
        <v>1483</v>
      </c>
      <c r="B423" s="56" t="s">
        <v>1484</v>
      </c>
      <c r="C423" s="56" t="s">
        <v>51</v>
      </c>
      <c r="D423" s="56" t="str">
        <f aca="false">IFERROR(INDEX('Brand Map'!$B$4:$B$124,MATCH(C423,'Brand Map'!$A$4:$A$124,0)),"Other")</f>
        <v>AU</v>
      </c>
      <c r="E423" s="57" t="n">
        <v>16</v>
      </c>
      <c r="F423" s="57" t="n">
        <v>1</v>
      </c>
      <c r="G423" s="58" t="n">
        <v>854.2</v>
      </c>
      <c r="H423" s="58" t="n">
        <v>74.95</v>
      </c>
      <c r="I423" s="58" t="n">
        <v>779.25</v>
      </c>
      <c r="J423" s="32" t="n">
        <f aca="false">IF(E423&gt;0,F423/E423,0)</f>
        <v>0.0625</v>
      </c>
      <c r="K423" s="32" t="n">
        <f aca="false">IF(G423&gt;0,H423/G423,0)</f>
        <v>0.0877429173495669</v>
      </c>
      <c r="L423" s="59" t="n">
        <f aca="false">H423/Settings!$B$16</f>
        <v>0.000149789557163712</v>
      </c>
      <c r="M423" s="59" t="n">
        <f aca="false">H423/Settings!$B$20</f>
        <v>5.81869829980299E-006</v>
      </c>
      <c r="N423" s="60" t="n">
        <f aca="false">E423*Settings!$B$3</f>
        <v>0.495778417277127</v>
      </c>
      <c r="O423" s="60" t="n">
        <f aca="false">IF(E423&gt;0,(F423-N423)/SQRT(E423*Settings!$B$3*(1-Settings!$B$3)),0)</f>
        <v>0.727465883958007</v>
      </c>
      <c r="P423" s="60" t="n">
        <f aca="false">MAX(0,F423-N423)</f>
        <v>0.504221582722873</v>
      </c>
      <c r="Q423" s="32" t="n">
        <f aca="false">(F423+Settings!$B$7*Settings!$B$3)/(E423+Settings!$B$7)</f>
        <v>0.0419474898346655</v>
      </c>
      <c r="R423" s="61" t="n">
        <f aca="false">PERCENTRANK($H$2:$H$1780,H423,6)</f>
        <v>0.725534</v>
      </c>
      <c r="S423" s="61" t="n">
        <f aca="false">PERCENTRANK($Q$2:$Q$1780,Q423,6)</f>
        <v>0.827334</v>
      </c>
      <c r="T423" s="61" t="n">
        <f aca="false">PERCENTRANK($F$2:$F$1780,F423,6)</f>
        <v>0.685039</v>
      </c>
      <c r="U423" s="62" t="n">
        <f aca="false">IF(F423&gt;0,(Settings!$B$8*T423+Settings!$B$9*R423+Settings!$B$10*S423)/SUM(Settings!$B$8:$B$10),0)</f>
        <v>0.745969</v>
      </c>
      <c r="V423" s="56" t="n">
        <f aca="false">IF(U423&gt;0,RANK(U423,$U$2:$U$1780)+COUNTIF($U$2:U423,U423)-1,"")</f>
        <v>422</v>
      </c>
      <c r="W423" s="56" t="str">
        <f aca="false">IF(V423="","",IF(V423&lt;=Settings!$B$11,"1 - Fix first",IF(V423&lt;=Settings!$B$12,"2 - Review","3 - Monitor")))</f>
        <v>3 - Monitor</v>
      </c>
      <c r="X423" s="56" t="str">
        <f aca="false">IF(AND(E423&gt;=Settings!$B$4,F423&gt;=Settings!$B$5,O423&gt;=Settings!$B$6),"HIGH RATE","")</f>
        <v/>
      </c>
      <c r="Y423" s="56" t="n">
        <f aca="false">IF(F423&gt;0,RANK(F423,$F$2:$F$1780)+COUNTIF($F$2:F423,F423)-1,"")</f>
        <v>470</v>
      </c>
      <c r="Z423" s="56" t="n">
        <f aca="false">IF(H423&gt;0,RANK(H423,$H$2:$H$1780)+COUNTIF($H$2:H423,H423)-1,"")</f>
        <v>487</v>
      </c>
      <c r="AA423" s="56" t="str">
        <f aca="false">IF(AC423="","",RANK(AC423,$AC$2:$AC$1780)+COUNTIF($AC$2:AC423,AC423)-1)</f>
        <v/>
      </c>
      <c r="AB423" s="56" t="str">
        <f aca="false">IF(AD423="","",RANK(AD423,$AD$2:$AD$1780)+COUNTIF($AD$2:AD423,AD423)-1)</f>
        <v/>
      </c>
      <c r="AC423" s="56" t="str">
        <f aca="false">IF(AND(F423&gt;0,E423&gt;=Settings!$B$4),J423,"")</f>
        <v/>
      </c>
      <c r="AD423" s="56" t="str">
        <f aca="false">IF(X423="HIGH RATE",O423,"")</f>
        <v/>
      </c>
    </row>
    <row r="424" customFormat="false" ht="15" hidden="false" customHeight="false" outlineLevel="0" collapsed="false">
      <c r="A424" s="56" t="s">
        <v>285</v>
      </c>
      <c r="B424" s="56" t="s">
        <v>1485</v>
      </c>
      <c r="C424" s="56" t="s">
        <v>67</v>
      </c>
      <c r="D424" s="56" t="str">
        <f aca="false">IFERROR(INDEX('Brand Map'!$B$4:$B$124,MATCH(C424,'Brand Map'!$A$4:$A$124,0)),"Other")</f>
        <v>MJ</v>
      </c>
      <c r="E424" s="57" t="n">
        <v>24</v>
      </c>
      <c r="F424" s="57" t="n">
        <v>1</v>
      </c>
      <c r="G424" s="58" t="n">
        <v>2831.37</v>
      </c>
      <c r="H424" s="58" t="n">
        <v>114.71</v>
      </c>
      <c r="I424" s="58" t="n">
        <v>2550.96</v>
      </c>
      <c r="J424" s="32" t="n">
        <f aca="false">IF(E424&gt;0,F424/E424,0)</f>
        <v>0.0416666666666667</v>
      </c>
      <c r="K424" s="32" t="n">
        <f aca="false">IF(G424&gt;0,H424/G424,0)</f>
        <v>0.0405139561413733</v>
      </c>
      <c r="L424" s="59" t="n">
        <f aca="false">H424/Settings!$B$16</f>
        <v>0.000229250968675776</v>
      </c>
      <c r="M424" s="59" t="n">
        <f aca="false">H424/Settings!$B$20</f>
        <v>8.90544205430821E-006</v>
      </c>
      <c r="N424" s="60" t="n">
        <f aca="false">E424*Settings!$B$3</f>
        <v>0.74366762591569</v>
      </c>
      <c r="O424" s="60" t="n">
        <f aca="false">IF(E424&gt;0,(F424-N424)/SQRT(E424*Settings!$B$3*(1-Settings!$B$3)),0)</f>
        <v>0.301959731147039</v>
      </c>
      <c r="P424" s="60" t="n">
        <f aca="false">MAX(0,F424-N424)</f>
        <v>0.25633237408431</v>
      </c>
      <c r="Q424" s="32" t="n">
        <f aca="false">(F424+Settings!$B$7*Settings!$B$3)/(E424+Settings!$B$7)</f>
        <v>0.0357330468961965</v>
      </c>
      <c r="R424" s="61" t="n">
        <f aca="false">PERCENTRANK($H$2:$H$1780,H424,6)</f>
        <v>0.772778</v>
      </c>
      <c r="S424" s="61" t="n">
        <f aca="false">PERCENTRANK($Q$2:$Q$1780,Q424,6)</f>
        <v>0.779528</v>
      </c>
      <c r="T424" s="61" t="n">
        <f aca="false">PERCENTRANK($F$2:$F$1780,F424,6)</f>
        <v>0.685039</v>
      </c>
      <c r="U424" s="62" t="n">
        <f aca="false">IF(F424&gt;0,(Settings!$B$8*T424+Settings!$B$9*R424+Settings!$B$10*S424)/SUM(Settings!$B$8:$B$10),0)</f>
        <v>0.745781666666667</v>
      </c>
      <c r="V424" s="56" t="n">
        <f aca="false">IF(U424&gt;0,RANK(U424,$U$2:$U$1780)+COUNTIF($U$2:U424,U424)-1,"")</f>
        <v>423</v>
      </c>
      <c r="W424" s="56" t="str">
        <f aca="false">IF(V424="","",IF(V424&lt;=Settings!$B$11,"1 - Fix first",IF(V424&lt;=Settings!$B$12,"2 - Review","3 - Monitor")))</f>
        <v>3 - Monitor</v>
      </c>
      <c r="X424" s="56" t="str">
        <f aca="false">IF(AND(E424&gt;=Settings!$B$4,F424&gt;=Settings!$B$5,O424&gt;=Settings!$B$6),"HIGH RATE","")</f>
        <v/>
      </c>
      <c r="Y424" s="56" t="n">
        <f aca="false">IF(F424&gt;0,RANK(F424,$F$2:$F$1780)+COUNTIF($F$2:F424,F424)-1,"")</f>
        <v>471</v>
      </c>
      <c r="Z424" s="56" t="n">
        <f aca="false">IF(H424&gt;0,RANK(H424,$H$2:$H$1780)+COUNTIF($H$2:H424,H424)-1,"")</f>
        <v>405</v>
      </c>
      <c r="AA424" s="56" t="str">
        <f aca="false">IF(AC424="","",RANK(AC424,$AC$2:$AC$1780)+COUNTIF($AC$2:AC424,AC424)-1)</f>
        <v/>
      </c>
      <c r="AB424" s="56" t="str">
        <f aca="false">IF(AD424="","",RANK(AD424,$AD$2:$AD$1780)+COUNTIF($AD$2:AD424,AD424)-1)</f>
        <v/>
      </c>
      <c r="AC424" s="56" t="str">
        <f aca="false">IF(AND(F424&gt;0,E424&gt;=Settings!$B$4),J424,"")</f>
        <v/>
      </c>
      <c r="AD424" s="56" t="str">
        <f aca="false">IF(X424="HIGH RATE",O424,"")</f>
        <v/>
      </c>
    </row>
    <row r="425" customFormat="false" ht="15" hidden="false" customHeight="false" outlineLevel="0" collapsed="false">
      <c r="A425" s="56" t="s">
        <v>1486</v>
      </c>
      <c r="B425" s="56" t="s">
        <v>1487</v>
      </c>
      <c r="C425" s="56" t="s">
        <v>55</v>
      </c>
      <c r="D425" s="56" t="str">
        <f aca="false">IFERROR(INDEX('Brand Map'!$B$4:$B$124,MATCH(C425,'Brand Map'!$A$4:$A$124,0)),"Other")</f>
        <v>AUMJ</v>
      </c>
      <c r="E425" s="57" t="n">
        <v>14</v>
      </c>
      <c r="F425" s="57" t="n">
        <v>1</v>
      </c>
      <c r="G425" s="58" t="n">
        <v>1217.48</v>
      </c>
      <c r="H425" s="58" t="n">
        <v>63.59</v>
      </c>
      <c r="I425" s="58" t="n">
        <v>1113.5</v>
      </c>
      <c r="J425" s="32" t="n">
        <f aca="false">IF(E425&gt;0,F425/E425,0)</f>
        <v>0.0714285714285714</v>
      </c>
      <c r="K425" s="32" t="n">
        <f aca="false">IF(G425&gt;0,H425/G425,0)</f>
        <v>0.0522308374675559</v>
      </c>
      <c r="L425" s="59" t="n">
        <f aca="false">H425/Settings!$B$16</f>
        <v>0.000127086296731694</v>
      </c>
      <c r="M425" s="59" t="n">
        <f aca="false">H425/Settings!$B$20</f>
        <v>4.93677151280149E-006</v>
      </c>
      <c r="N425" s="60" t="n">
        <f aca="false">E425*Settings!$B$3</f>
        <v>0.433806115117486</v>
      </c>
      <c r="O425" s="60" t="n">
        <f aca="false">IF(E425&gt;0,(F425-N425)/SQRT(E425*Settings!$B$3*(1-Settings!$B$3)),0)</f>
        <v>0.873277654776981</v>
      </c>
      <c r="P425" s="60" t="n">
        <f aca="false">MAX(0,F425-N425)</f>
        <v>0.566193884882514</v>
      </c>
      <c r="Q425" s="32" t="n">
        <f aca="false">(F425+Settings!$B$7*Settings!$B$3)/(E425+Settings!$B$7)</f>
        <v>0.0438541939180594</v>
      </c>
      <c r="R425" s="61" t="n">
        <f aca="false">PERCENTRANK($H$2:$H$1780,H425,6)</f>
        <v>0.713723</v>
      </c>
      <c r="S425" s="61" t="n">
        <f aca="false">PERCENTRANK($Q$2:$Q$1780,Q425,6)</f>
        <v>0.836895</v>
      </c>
      <c r="T425" s="61" t="n">
        <f aca="false">PERCENTRANK($F$2:$F$1780,F425,6)</f>
        <v>0.685039</v>
      </c>
      <c r="U425" s="62" t="n">
        <f aca="false">IF(F425&gt;0,(Settings!$B$8*T425+Settings!$B$9*R425+Settings!$B$10*S425)/SUM(Settings!$B$8:$B$10),0)</f>
        <v>0.745219</v>
      </c>
      <c r="V425" s="56" t="n">
        <f aca="false">IF(U425&gt;0,RANK(U425,$U$2:$U$1780)+COUNTIF($U$2:U425,U425)-1,"")</f>
        <v>424</v>
      </c>
      <c r="W425" s="56" t="str">
        <f aca="false">IF(V425="","",IF(V425&lt;=Settings!$B$11,"1 - Fix first",IF(V425&lt;=Settings!$B$12,"2 - Review","3 - Monitor")))</f>
        <v>3 - Monitor</v>
      </c>
      <c r="X425" s="56" t="str">
        <f aca="false">IF(AND(E425&gt;=Settings!$B$4,F425&gt;=Settings!$B$5,O425&gt;=Settings!$B$6),"HIGH RATE","")</f>
        <v/>
      </c>
      <c r="Y425" s="56" t="n">
        <f aca="false">IF(F425&gt;0,RANK(F425,$F$2:$F$1780)+COUNTIF($F$2:F425,F425)-1,"")</f>
        <v>472</v>
      </c>
      <c r="Z425" s="56" t="n">
        <f aca="false">IF(H425&gt;0,RANK(H425,$H$2:$H$1780)+COUNTIF($H$2:H425,H425)-1,"")</f>
        <v>509</v>
      </c>
      <c r="AA425" s="56" t="str">
        <f aca="false">IF(AC425="","",RANK(AC425,$AC$2:$AC$1780)+COUNTIF($AC$2:AC425,AC425)-1)</f>
        <v/>
      </c>
      <c r="AB425" s="56" t="str">
        <f aca="false">IF(AD425="","",RANK(AD425,$AD$2:$AD$1780)+COUNTIF($AD$2:AD425,AD425)-1)</f>
        <v/>
      </c>
      <c r="AC425" s="56" t="str">
        <f aca="false">IF(AND(F425&gt;0,E425&gt;=Settings!$B$4),J425,"")</f>
        <v/>
      </c>
      <c r="AD425" s="56" t="str">
        <f aca="false">IF(X425="HIGH RATE",O425,"")</f>
        <v/>
      </c>
    </row>
    <row r="426" customFormat="false" ht="15" hidden="false" customHeight="false" outlineLevel="0" collapsed="false">
      <c r="A426" s="56" t="s">
        <v>1488</v>
      </c>
      <c r="B426" s="56" t="s">
        <v>1489</v>
      </c>
      <c r="C426" s="56" t="s">
        <v>51</v>
      </c>
      <c r="D426" s="56" t="str">
        <f aca="false">IFERROR(INDEX('Brand Map'!$B$4:$B$124,MATCH(C426,'Brand Map'!$A$4:$A$124,0)),"Other")</f>
        <v>AU</v>
      </c>
      <c r="E426" s="57" t="n">
        <v>23</v>
      </c>
      <c r="F426" s="57" t="n">
        <v>1</v>
      </c>
      <c r="G426" s="58" t="n">
        <v>2558.95</v>
      </c>
      <c r="H426" s="58" t="n">
        <v>109.05</v>
      </c>
      <c r="I426" s="58" t="n">
        <v>2425.92</v>
      </c>
      <c r="J426" s="32" t="n">
        <f aca="false">IF(E426&gt;0,F426/E426,0)</f>
        <v>0.0434782608695652</v>
      </c>
      <c r="K426" s="32" t="n">
        <f aca="false">IF(G426&gt;0,H426/G426,0)</f>
        <v>0.0426151351140116</v>
      </c>
      <c r="L426" s="59" t="n">
        <f aca="false">H426/Settings!$B$16</f>
        <v>0.000217939308988696</v>
      </c>
      <c r="M426" s="59" t="n">
        <f aca="false">H426/Settings!$B$20</f>
        <v>8.46603134881275E-006</v>
      </c>
      <c r="N426" s="60" t="n">
        <f aca="false">E426*Settings!$B$3</f>
        <v>0.71268147483587</v>
      </c>
      <c r="O426" s="60" t="n">
        <f aca="false">IF(E426&gt;0,(F426-N426)/SQRT(E426*Settings!$B$3*(1-Settings!$B$3)),0)</f>
        <v>0.345741014093334</v>
      </c>
      <c r="P426" s="60" t="n">
        <f aca="false">MAX(0,F426-N426)</f>
        <v>0.28731852516413</v>
      </c>
      <c r="Q426" s="32" t="n">
        <f aca="false">(F426+Settings!$B$7*Settings!$B$3)/(E426+Settings!$B$7)</f>
        <v>0.0364072553282002</v>
      </c>
      <c r="R426" s="61" t="n">
        <f aca="false">PERCENTRANK($H$2:$H$1780,H426,6)</f>
        <v>0.764904</v>
      </c>
      <c r="S426" s="61" t="n">
        <f aca="false">PERCENTRANK($Q$2:$Q$1780,Q426,6)</f>
        <v>0.784589</v>
      </c>
      <c r="T426" s="61" t="n">
        <f aca="false">PERCENTRANK($F$2:$F$1780,F426,6)</f>
        <v>0.685039</v>
      </c>
      <c r="U426" s="62" t="n">
        <f aca="false">IF(F426&gt;0,(Settings!$B$8*T426+Settings!$B$9*R426+Settings!$B$10*S426)/SUM(Settings!$B$8:$B$10),0)</f>
        <v>0.744844</v>
      </c>
      <c r="V426" s="56" t="n">
        <f aca="false">IF(U426&gt;0,RANK(U426,$U$2:$U$1780)+COUNTIF($U$2:U426,U426)-1,"")</f>
        <v>425</v>
      </c>
      <c r="W426" s="56" t="str">
        <f aca="false">IF(V426="","",IF(V426&lt;=Settings!$B$11,"1 - Fix first",IF(V426&lt;=Settings!$B$12,"2 - Review","3 - Monitor")))</f>
        <v>3 - Monitor</v>
      </c>
      <c r="X426" s="56" t="str">
        <f aca="false">IF(AND(E426&gt;=Settings!$B$4,F426&gt;=Settings!$B$5,O426&gt;=Settings!$B$6),"HIGH RATE","")</f>
        <v/>
      </c>
      <c r="Y426" s="56" t="n">
        <f aca="false">IF(F426&gt;0,RANK(F426,$F$2:$F$1780)+COUNTIF($F$2:F426,F426)-1,"")</f>
        <v>473</v>
      </c>
      <c r="Z426" s="56" t="n">
        <f aca="false">IF(H426&gt;0,RANK(H426,$H$2:$H$1780)+COUNTIF($H$2:H426,H426)-1,"")</f>
        <v>419</v>
      </c>
      <c r="AA426" s="56" t="str">
        <f aca="false">IF(AC426="","",RANK(AC426,$AC$2:$AC$1780)+COUNTIF($AC$2:AC426,AC426)-1)</f>
        <v/>
      </c>
      <c r="AB426" s="56" t="str">
        <f aca="false">IF(AD426="","",RANK(AD426,$AD$2:$AD$1780)+COUNTIF($AD$2:AD426,AD426)-1)</f>
        <v/>
      </c>
      <c r="AC426" s="56" t="str">
        <f aca="false">IF(AND(F426&gt;0,E426&gt;=Settings!$B$4),J426,"")</f>
        <v/>
      </c>
      <c r="AD426" s="56" t="str">
        <f aca="false">IF(X426="HIGH RATE",O426,"")</f>
        <v/>
      </c>
    </row>
    <row r="427" customFormat="false" ht="15" hidden="false" customHeight="false" outlineLevel="0" collapsed="false">
      <c r="A427" s="56" t="s">
        <v>1490</v>
      </c>
      <c r="B427" s="56" t="s">
        <v>1491</v>
      </c>
      <c r="C427" s="56" t="s">
        <v>51</v>
      </c>
      <c r="D427" s="56" t="str">
        <f aca="false">IFERROR(INDEX('Brand Map'!$B$4:$B$124,MATCH(C427,'Brand Map'!$A$4:$A$124,0)),"Other")</f>
        <v>AU</v>
      </c>
      <c r="E427" s="57" t="n">
        <v>12</v>
      </c>
      <c r="F427" s="57" t="n">
        <v>1</v>
      </c>
      <c r="G427" s="58" t="n">
        <v>523.04</v>
      </c>
      <c r="H427" s="58" t="n">
        <v>40.86</v>
      </c>
      <c r="I427" s="58" t="n">
        <v>477.69</v>
      </c>
      <c r="J427" s="32" t="n">
        <f aca="false">IF(E427&gt;0,F427/E427,0)</f>
        <v>0.0833333333333333</v>
      </c>
      <c r="K427" s="32" t="n">
        <f aca="false">IF(G427&gt;0,H427/G427,0)</f>
        <v>0.0781202202508412</v>
      </c>
      <c r="L427" s="59" t="n">
        <f aca="false">H427/Settings!$B$16</f>
        <v>8.16597906031925E-005</v>
      </c>
      <c r="M427" s="59" t="n">
        <f aca="false">H427/Settings!$B$20</f>
        <v>3.17214159479586E-006</v>
      </c>
      <c r="N427" s="60" t="n">
        <f aca="false">E427*Settings!$B$3</f>
        <v>0.371833812957845</v>
      </c>
      <c r="O427" s="60" t="n">
        <f aca="false">IF(E427&gt;0,(F427-N427)/SQRT(E427*Settings!$B$3*(1-Settings!$B$3)),0)</f>
        <v>1.04649009824894</v>
      </c>
      <c r="P427" s="60" t="n">
        <f aca="false">MAX(0,F427-N427)</f>
        <v>0.628166187042155</v>
      </c>
      <c r="Q427" s="32" t="n">
        <f aca="false">(F427+Settings!$B$7*Settings!$B$3)/(E427+Settings!$B$7)</f>
        <v>0.0459424888665384</v>
      </c>
      <c r="R427" s="61" t="n">
        <f aca="false">PERCENTRANK($H$2:$H$1780,H427,6)</f>
        <v>0.696288</v>
      </c>
      <c r="S427" s="61" t="n">
        <f aca="false">PERCENTRANK($Q$2:$Q$1780,Q427,6)</f>
        <v>0.851519</v>
      </c>
      <c r="T427" s="61" t="n">
        <f aca="false">PERCENTRANK($F$2:$F$1780,F427,6)</f>
        <v>0.685039</v>
      </c>
      <c r="U427" s="62" t="n">
        <f aca="false">IF(F427&gt;0,(Settings!$B$8*T427+Settings!$B$9*R427+Settings!$B$10*S427)/SUM(Settings!$B$8:$B$10),0)</f>
        <v>0.744282</v>
      </c>
      <c r="V427" s="56" t="n">
        <f aca="false">IF(U427&gt;0,RANK(U427,$U$2:$U$1780)+COUNTIF($U$2:U427,U427)-1,"")</f>
        <v>426</v>
      </c>
      <c r="W427" s="56" t="str">
        <f aca="false">IF(V427="","",IF(V427&lt;=Settings!$B$11,"1 - Fix first",IF(V427&lt;=Settings!$B$12,"2 - Review","3 - Monitor")))</f>
        <v>3 - Monitor</v>
      </c>
      <c r="X427" s="56" t="str">
        <f aca="false">IF(AND(E427&gt;=Settings!$B$4,F427&gt;=Settings!$B$5,O427&gt;=Settings!$B$6),"HIGH RATE","")</f>
        <v/>
      </c>
      <c r="Y427" s="56" t="n">
        <f aca="false">IF(F427&gt;0,RANK(F427,$F$2:$F$1780)+COUNTIF($F$2:F427,F427)-1,"")</f>
        <v>474</v>
      </c>
      <c r="Z427" s="56" t="n">
        <f aca="false">IF(H427&gt;0,RANK(H427,$H$2:$H$1780)+COUNTIF($H$2:H427,H427)-1,"")</f>
        <v>541</v>
      </c>
      <c r="AA427" s="56" t="str">
        <f aca="false">IF(AC427="","",RANK(AC427,$AC$2:$AC$1780)+COUNTIF($AC$2:AC427,AC427)-1)</f>
        <v/>
      </c>
      <c r="AB427" s="56" t="str">
        <f aca="false">IF(AD427="","",RANK(AD427,$AD$2:$AD$1780)+COUNTIF($AD$2:AD427,AD427)-1)</f>
        <v/>
      </c>
      <c r="AC427" s="56" t="str">
        <f aca="false">IF(AND(F427&gt;0,E427&gt;=Settings!$B$4),J427,"")</f>
        <v/>
      </c>
      <c r="AD427" s="56" t="str">
        <f aca="false">IF(X427="HIGH RATE",O427,"")</f>
        <v/>
      </c>
    </row>
    <row r="428" customFormat="false" ht="15" hidden="false" customHeight="false" outlineLevel="0" collapsed="false">
      <c r="A428" s="56" t="s">
        <v>1492</v>
      </c>
      <c r="B428" s="56" t="s">
        <v>1493</v>
      </c>
      <c r="C428" s="56" t="s">
        <v>186</v>
      </c>
      <c r="D428" s="56" t="str">
        <f aca="false">IFERROR(INDEX('Brand Map'!$B$4:$B$124,MATCH(C428,'Brand Map'!$A$4:$A$124,0)),"Other")</f>
        <v>MDLR</v>
      </c>
      <c r="E428" s="57" t="n">
        <v>19</v>
      </c>
      <c r="F428" s="57" t="n">
        <v>1</v>
      </c>
      <c r="G428" s="58" t="n">
        <v>1824.51</v>
      </c>
      <c r="H428" s="58" t="n">
        <v>85.41</v>
      </c>
      <c r="I428" s="58" t="n">
        <v>1739.1</v>
      </c>
      <c r="J428" s="32" t="n">
        <f aca="false">IF(E428&gt;0,F428/E428,0)</f>
        <v>0.0526315789473684</v>
      </c>
      <c r="K428" s="32" t="n">
        <f aca="false">IF(G428&gt;0,H428/G428,0)</f>
        <v>0.0468125688541033</v>
      </c>
      <c r="L428" s="59" t="n">
        <f aca="false">H428/Settings!$B$16</f>
        <v>0.000170694143793898</v>
      </c>
      <c r="M428" s="59" t="n">
        <f aca="false">H428/Settings!$B$20</f>
        <v>6.63075412656668E-006</v>
      </c>
      <c r="N428" s="60" t="n">
        <f aca="false">E428*Settings!$B$3</f>
        <v>0.588736870516588</v>
      </c>
      <c r="O428" s="60" t="n">
        <f aca="false">IF(E428&gt;0,(F428-N428)/SQRT(E428*Settings!$B$3*(1-Settings!$B$3)),0)</f>
        <v>0.54449533902266</v>
      </c>
      <c r="P428" s="60" t="n">
        <f aca="false">MAX(0,F428-N428)</f>
        <v>0.411263129483412</v>
      </c>
      <c r="Q428" s="32" t="n">
        <f aca="false">(F428+Settings!$B$7*Settings!$B$3)/(E428+Settings!$B$7)</f>
        <v>0.0393792761713186</v>
      </c>
      <c r="R428" s="61" t="n">
        <f aca="false">PERCENTRANK($H$2:$H$1780,H428,6)</f>
        <v>0.739595</v>
      </c>
      <c r="S428" s="61" t="n">
        <f aca="false">PERCENTRANK($Q$2:$Q$1780,Q428,6)</f>
        <v>0.805399</v>
      </c>
      <c r="T428" s="61" t="n">
        <f aca="false">PERCENTRANK($F$2:$F$1780,F428,6)</f>
        <v>0.685039</v>
      </c>
      <c r="U428" s="62" t="n">
        <f aca="false">IF(F428&gt;0,(Settings!$B$8*T428+Settings!$B$9*R428+Settings!$B$10*S428)/SUM(Settings!$B$8:$B$10),0)</f>
        <v>0.743344333333333</v>
      </c>
      <c r="V428" s="56" t="n">
        <f aca="false">IF(U428&gt;0,RANK(U428,$U$2:$U$1780)+COUNTIF($U$2:U428,U428)-1,"")</f>
        <v>427</v>
      </c>
      <c r="W428" s="56" t="str">
        <f aca="false">IF(V428="","",IF(V428&lt;=Settings!$B$11,"1 - Fix first",IF(V428&lt;=Settings!$B$12,"2 - Review","3 - Monitor")))</f>
        <v>3 - Monitor</v>
      </c>
      <c r="X428" s="56" t="str">
        <f aca="false">IF(AND(E428&gt;=Settings!$B$4,F428&gt;=Settings!$B$5,O428&gt;=Settings!$B$6),"HIGH RATE","")</f>
        <v/>
      </c>
      <c r="Y428" s="56" t="n">
        <f aca="false">IF(F428&gt;0,RANK(F428,$F$2:$F$1780)+COUNTIF($F$2:F428,F428)-1,"")</f>
        <v>475</v>
      </c>
      <c r="Z428" s="56" t="n">
        <f aca="false">IF(H428&gt;0,RANK(H428,$H$2:$H$1780)+COUNTIF($H$2:H428,H428)-1,"")</f>
        <v>464</v>
      </c>
      <c r="AA428" s="56" t="str">
        <f aca="false">IF(AC428="","",RANK(AC428,$AC$2:$AC$1780)+COUNTIF($AC$2:AC428,AC428)-1)</f>
        <v/>
      </c>
      <c r="AB428" s="56" t="str">
        <f aca="false">IF(AD428="","",RANK(AD428,$AD$2:$AD$1780)+COUNTIF($AD$2:AD428,AD428)-1)</f>
        <v/>
      </c>
      <c r="AC428" s="56" t="str">
        <f aca="false">IF(AND(F428&gt;0,E428&gt;=Settings!$B$4),J428,"")</f>
        <v/>
      </c>
      <c r="AD428" s="56" t="str">
        <f aca="false">IF(X428="HIGH RATE",O428,"")</f>
        <v/>
      </c>
    </row>
    <row r="429" customFormat="false" ht="15" hidden="false" customHeight="false" outlineLevel="0" collapsed="false">
      <c r="A429" s="56" t="s">
        <v>1494</v>
      </c>
      <c r="B429" s="56" t="s">
        <v>1495</v>
      </c>
      <c r="C429" s="56" t="s">
        <v>51</v>
      </c>
      <c r="D429" s="56" t="str">
        <f aca="false">IFERROR(INDEX('Brand Map'!$B$4:$B$124,MATCH(C429,'Brand Map'!$A$4:$A$124,0)),"Other")</f>
        <v>AU</v>
      </c>
      <c r="E429" s="57" t="n">
        <v>13</v>
      </c>
      <c r="F429" s="57" t="n">
        <v>1</v>
      </c>
      <c r="G429" s="58" t="n">
        <v>623.9</v>
      </c>
      <c r="H429" s="58" t="n">
        <v>49.95</v>
      </c>
      <c r="I429" s="58" t="n">
        <v>573.95</v>
      </c>
      <c r="J429" s="32" t="n">
        <f aca="false">IF(E429&gt;0,F429/E429,0)</f>
        <v>0.0769230769230769</v>
      </c>
      <c r="K429" s="32" t="n">
        <f aca="false">IF(G429&gt;0,H429/G429,0)</f>
        <v>0.0800609071966661</v>
      </c>
      <c r="L429" s="59" t="n">
        <f aca="false">H429/Settings!$B$16</f>
        <v>9.98263960017E-005</v>
      </c>
      <c r="M429" s="59" t="n">
        <f aca="false">H429/Settings!$B$20</f>
        <v>3.87783829319759E-006</v>
      </c>
      <c r="N429" s="60" t="n">
        <f aca="false">E429*Settings!$B$3</f>
        <v>0.402819964037665</v>
      </c>
      <c r="O429" s="60" t="n">
        <f aca="false">IF(E429&gt;0,(F429-N429)/SQRT(E429*Settings!$B$3*(1-Settings!$B$3)),0)</f>
        <v>0.955839107624911</v>
      </c>
      <c r="P429" s="60" t="n">
        <f aca="false">MAX(0,F429-N429)</f>
        <v>0.597180035962335</v>
      </c>
      <c r="Q429" s="32" t="n">
        <f aca="false">(F429+Settings!$B$7*Settings!$B$3)/(E429+Settings!$B$7)</f>
        <v>0.044874058892898</v>
      </c>
      <c r="R429" s="61" t="n">
        <f aca="false">PERCENTRANK($H$2:$H$1780,H429,6)</f>
        <v>0.700225</v>
      </c>
      <c r="S429" s="61" t="n">
        <f aca="false">PERCENTRANK($Q$2:$Q$1780,Q429,6)</f>
        <v>0.844207</v>
      </c>
      <c r="T429" s="61" t="n">
        <f aca="false">PERCENTRANK($F$2:$F$1780,F429,6)</f>
        <v>0.685039</v>
      </c>
      <c r="U429" s="62" t="n">
        <f aca="false">IF(F429&gt;0,(Settings!$B$8*T429+Settings!$B$9*R429+Settings!$B$10*S429)/SUM(Settings!$B$8:$B$10),0)</f>
        <v>0.743157</v>
      </c>
      <c r="V429" s="56" t="n">
        <f aca="false">IF(U429&gt;0,RANK(U429,$U$2:$U$1780)+COUNTIF($U$2:U429,U429)-1,"")</f>
        <v>428</v>
      </c>
      <c r="W429" s="56" t="str">
        <f aca="false">IF(V429="","",IF(V429&lt;=Settings!$B$11,"1 - Fix first",IF(V429&lt;=Settings!$B$12,"2 - Review","3 - Monitor")))</f>
        <v>3 - Monitor</v>
      </c>
      <c r="X429" s="56" t="str">
        <f aca="false">IF(AND(E429&gt;=Settings!$B$4,F429&gt;=Settings!$B$5,O429&gt;=Settings!$B$6),"HIGH RATE","")</f>
        <v/>
      </c>
      <c r="Y429" s="56" t="n">
        <f aca="false">IF(F429&gt;0,RANK(F429,$F$2:$F$1780)+COUNTIF($F$2:F429,F429)-1,"")</f>
        <v>476</v>
      </c>
      <c r="Z429" s="56" t="n">
        <f aca="false">IF(H429&gt;0,RANK(H429,$H$2:$H$1780)+COUNTIF($H$2:H429,H429)-1,"")</f>
        <v>532</v>
      </c>
      <c r="AA429" s="56" t="str">
        <f aca="false">IF(AC429="","",RANK(AC429,$AC$2:$AC$1780)+COUNTIF($AC$2:AC429,AC429)-1)</f>
        <v/>
      </c>
      <c r="AB429" s="56" t="str">
        <f aca="false">IF(AD429="","",RANK(AD429,$AD$2:$AD$1780)+COUNTIF($AD$2:AD429,AD429)-1)</f>
        <v/>
      </c>
      <c r="AC429" s="56" t="str">
        <f aca="false">IF(AND(F429&gt;0,E429&gt;=Settings!$B$4),J429,"")</f>
        <v/>
      </c>
      <c r="AD429" s="56" t="str">
        <f aca="false">IF(X429="HIGH RATE",O429,"")</f>
        <v/>
      </c>
    </row>
    <row r="430" customFormat="false" ht="15" hidden="false" customHeight="false" outlineLevel="0" collapsed="false">
      <c r="A430" s="56" t="s">
        <v>1496</v>
      </c>
      <c r="B430" s="56" t="s">
        <v>1090</v>
      </c>
      <c r="C430" s="56" t="s">
        <v>87</v>
      </c>
      <c r="D430" s="56" t="str">
        <f aca="false">IFERROR(INDEX('Brand Map'!$B$4:$B$124,MATCH(C430,'Brand Map'!$A$4:$A$124,0)),"Other")</f>
        <v>FYF</v>
      </c>
      <c r="E430" s="57" t="n">
        <v>28</v>
      </c>
      <c r="F430" s="57" t="n">
        <v>1</v>
      </c>
      <c r="G430" s="58" t="n">
        <v>3358.6</v>
      </c>
      <c r="H430" s="58" t="n">
        <v>119.95</v>
      </c>
      <c r="I430" s="58" t="n">
        <v>3238.65</v>
      </c>
      <c r="J430" s="32" t="n">
        <f aca="false">IF(E430&gt;0,F430/E430,0)</f>
        <v>0.0357142857142857</v>
      </c>
      <c r="K430" s="32" t="n">
        <f aca="false">IF(G430&gt;0,H430/G430,0)</f>
        <v>0.0357142857142857</v>
      </c>
      <c r="L430" s="59" t="n">
        <f aca="false">H430/Settings!$B$16</f>
        <v>0.000239723247255334</v>
      </c>
      <c r="M430" s="59" t="n">
        <f aca="false">H430/Settings!$B$20</f>
        <v>9.3122463116927E-006</v>
      </c>
      <c r="N430" s="60" t="n">
        <f aca="false">E430*Settings!$B$3</f>
        <v>0.867612230234972</v>
      </c>
      <c r="O430" s="60" t="n">
        <f aca="false">IF(E430&gt;0,(F430-N430)/SQRT(E430*Settings!$B$3*(1-Settings!$B$3)),0)</f>
        <v>0.144384323164387</v>
      </c>
      <c r="P430" s="60" t="n">
        <f aca="false">MAX(0,F430-N430)</f>
        <v>0.132387769765028</v>
      </c>
      <c r="Q430" s="32" t="n">
        <f aca="false">(F430+Settings!$B$7*Settings!$B$3)/(E430+Settings!$B$7)</f>
        <v>0.0332686988343899</v>
      </c>
      <c r="R430" s="61" t="n">
        <f aca="false">PERCENTRANK($H$2:$H$1780,H430,6)</f>
        <v>0.778403</v>
      </c>
      <c r="S430" s="61" t="n">
        <f aca="false">PERCENTRANK($Q$2:$Q$1780,Q430,6)</f>
        <v>0.757593</v>
      </c>
      <c r="T430" s="61" t="n">
        <f aca="false">PERCENTRANK($F$2:$F$1780,F430,6)</f>
        <v>0.685039</v>
      </c>
      <c r="U430" s="62" t="n">
        <f aca="false">IF(F430&gt;0,(Settings!$B$8*T430+Settings!$B$9*R430+Settings!$B$10*S430)/SUM(Settings!$B$8:$B$10),0)</f>
        <v>0.740345</v>
      </c>
      <c r="V430" s="56" t="n">
        <f aca="false">IF(U430&gt;0,RANK(U430,$U$2:$U$1780)+COUNTIF($U$2:U430,U430)-1,"")</f>
        <v>429</v>
      </c>
      <c r="W430" s="56" t="str">
        <f aca="false">IF(V430="","",IF(V430&lt;=Settings!$B$11,"1 - Fix first",IF(V430&lt;=Settings!$B$12,"2 - Review","3 - Monitor")))</f>
        <v>3 - Monitor</v>
      </c>
      <c r="X430" s="56" t="str">
        <f aca="false">IF(AND(E430&gt;=Settings!$B$4,F430&gt;=Settings!$B$5,O430&gt;=Settings!$B$6),"HIGH RATE","")</f>
        <v/>
      </c>
      <c r="Y430" s="56" t="n">
        <f aca="false">IF(F430&gt;0,RANK(F430,$F$2:$F$1780)+COUNTIF($F$2:F430,F430)-1,"")</f>
        <v>477</v>
      </c>
      <c r="Z430" s="56" t="n">
        <f aca="false">IF(H430&gt;0,RANK(H430,$H$2:$H$1780)+COUNTIF($H$2:H430,H430)-1,"")</f>
        <v>395</v>
      </c>
      <c r="AA430" s="56" t="str">
        <f aca="false">IF(AC430="","",RANK(AC430,$AC$2:$AC$1780)+COUNTIF($AC$2:AC430,AC430)-1)</f>
        <v/>
      </c>
      <c r="AB430" s="56" t="str">
        <f aca="false">IF(AD430="","",RANK(AD430,$AD$2:$AD$1780)+COUNTIF($AD$2:AD430,AD430)-1)</f>
        <v/>
      </c>
      <c r="AC430" s="56" t="str">
        <f aca="false">IF(AND(F430&gt;0,E430&gt;=Settings!$B$4),J430,"")</f>
        <v/>
      </c>
      <c r="AD430" s="56" t="str">
        <f aca="false">IF(X430="HIGH RATE",O430,"")</f>
        <v/>
      </c>
    </row>
    <row r="431" customFormat="false" ht="15" hidden="false" customHeight="false" outlineLevel="0" collapsed="false">
      <c r="A431" s="56" t="s">
        <v>1497</v>
      </c>
      <c r="B431" s="56" t="s">
        <v>1498</v>
      </c>
      <c r="C431" s="56" t="s">
        <v>51</v>
      </c>
      <c r="D431" s="56" t="str">
        <f aca="false">IFERROR(INDEX('Brand Map'!$B$4:$B$124,MATCH(C431,'Brand Map'!$A$4:$A$124,0)),"Other")</f>
        <v>AU</v>
      </c>
      <c r="E431" s="57" t="n">
        <v>19</v>
      </c>
      <c r="F431" s="57" t="n">
        <v>1</v>
      </c>
      <c r="G431" s="58" t="n">
        <v>1417.26</v>
      </c>
      <c r="H431" s="58" t="n">
        <v>79.95</v>
      </c>
      <c r="I431" s="58" t="n">
        <v>1330.05</v>
      </c>
      <c r="J431" s="32" t="n">
        <f aca="false">IF(E431&gt;0,F431/E431,0)</f>
        <v>0.0526315789473684</v>
      </c>
      <c r="K431" s="32" t="n">
        <f aca="false">IF(G431&gt;0,H431/G431,0)</f>
        <v>0.0564116675839296</v>
      </c>
      <c r="L431" s="59" t="n">
        <f aca="false">H431/Settings!$B$16</f>
        <v>0.000159782189396114</v>
      </c>
      <c r="M431" s="59" t="n">
        <f aca="false">H431/Settings!$B$20</f>
        <v>6.20687030112407E-006</v>
      </c>
      <c r="N431" s="60" t="n">
        <f aca="false">E431*Settings!$B$3</f>
        <v>0.588736870516588</v>
      </c>
      <c r="O431" s="60" t="n">
        <f aca="false">IF(E431&gt;0,(F431-N431)/SQRT(E431*Settings!$B$3*(1-Settings!$B$3)),0)</f>
        <v>0.54449533902266</v>
      </c>
      <c r="P431" s="60" t="n">
        <f aca="false">MAX(0,F431-N431)</f>
        <v>0.411263129483412</v>
      </c>
      <c r="Q431" s="32" t="n">
        <f aca="false">(F431+Settings!$B$7*Settings!$B$3)/(E431+Settings!$B$7)</f>
        <v>0.0393792761713186</v>
      </c>
      <c r="R431" s="61" t="n">
        <f aca="false">PERCENTRANK($H$2:$H$1780,H431,6)</f>
        <v>0.728909</v>
      </c>
      <c r="S431" s="61" t="n">
        <f aca="false">PERCENTRANK($Q$2:$Q$1780,Q431,6)</f>
        <v>0.805399</v>
      </c>
      <c r="T431" s="61" t="n">
        <f aca="false">PERCENTRANK($F$2:$F$1780,F431,6)</f>
        <v>0.685039</v>
      </c>
      <c r="U431" s="62" t="n">
        <f aca="false">IF(F431&gt;0,(Settings!$B$8*T431+Settings!$B$9*R431+Settings!$B$10*S431)/SUM(Settings!$B$8:$B$10),0)</f>
        <v>0.739782333333333</v>
      </c>
      <c r="V431" s="56" t="n">
        <f aca="false">IF(U431&gt;0,RANK(U431,$U$2:$U$1780)+COUNTIF($U$2:U431,U431)-1,"")</f>
        <v>430</v>
      </c>
      <c r="W431" s="56" t="str">
        <f aca="false">IF(V431="","",IF(V431&lt;=Settings!$B$11,"1 - Fix first",IF(V431&lt;=Settings!$B$12,"2 - Review","3 - Monitor")))</f>
        <v>3 - Monitor</v>
      </c>
      <c r="X431" s="56" t="str">
        <f aca="false">IF(AND(E431&gt;=Settings!$B$4,F431&gt;=Settings!$B$5,O431&gt;=Settings!$B$6),"HIGH RATE","")</f>
        <v/>
      </c>
      <c r="Y431" s="56" t="n">
        <f aca="false">IF(F431&gt;0,RANK(F431,$F$2:$F$1780)+COUNTIF($F$2:F431,F431)-1,"")</f>
        <v>478</v>
      </c>
      <c r="Z431" s="56" t="n">
        <f aca="false">IF(H431&gt;0,RANK(H431,$H$2:$H$1780)+COUNTIF($H$2:H431,H431)-1,"")</f>
        <v>479</v>
      </c>
      <c r="AA431" s="56" t="str">
        <f aca="false">IF(AC431="","",RANK(AC431,$AC$2:$AC$1780)+COUNTIF($AC$2:AC431,AC431)-1)</f>
        <v/>
      </c>
      <c r="AB431" s="56" t="str">
        <f aca="false">IF(AD431="","",RANK(AD431,$AD$2:$AD$1780)+COUNTIF($AD$2:AD431,AD431)-1)</f>
        <v/>
      </c>
      <c r="AC431" s="56" t="str">
        <f aca="false">IF(AND(F431&gt;0,E431&gt;=Settings!$B$4),J431,"")</f>
        <v/>
      </c>
      <c r="AD431" s="56" t="str">
        <f aca="false">IF(X431="HIGH RATE",O431,"")</f>
        <v/>
      </c>
    </row>
    <row r="432" customFormat="false" ht="15" hidden="false" customHeight="false" outlineLevel="0" collapsed="false">
      <c r="A432" s="56" t="s">
        <v>1499</v>
      </c>
      <c r="B432" s="56" t="s">
        <v>1371</v>
      </c>
      <c r="C432" s="56" t="s">
        <v>51</v>
      </c>
      <c r="D432" s="56" t="str">
        <f aca="false">IFERROR(INDEX('Brand Map'!$B$4:$B$124,MATCH(C432,'Brand Map'!$A$4:$A$124,0)),"Other")</f>
        <v>AU</v>
      </c>
      <c r="E432" s="57" t="n">
        <v>23</v>
      </c>
      <c r="F432" s="57" t="n">
        <v>1</v>
      </c>
      <c r="G432" s="58" t="n">
        <v>2183.85</v>
      </c>
      <c r="H432" s="58" t="n">
        <v>94.95</v>
      </c>
      <c r="I432" s="58" t="n">
        <v>2088.9</v>
      </c>
      <c r="J432" s="32" t="n">
        <f aca="false">IF(E432&gt;0,F432/E432,0)</f>
        <v>0.0434782608695652</v>
      </c>
      <c r="K432" s="32" t="n">
        <f aca="false">IF(G432&gt;0,H432/G432,0)</f>
        <v>0.0434782608695652</v>
      </c>
      <c r="L432" s="59" t="n">
        <f aca="false">H432/Settings!$B$16</f>
        <v>0.000189760086093322</v>
      </c>
      <c r="M432" s="59" t="n">
        <f aca="false">H432/Settings!$B$20</f>
        <v>7.3713863050873E-006</v>
      </c>
      <c r="N432" s="60" t="n">
        <f aca="false">E432*Settings!$B$3</f>
        <v>0.71268147483587</v>
      </c>
      <c r="O432" s="60" t="n">
        <f aca="false">IF(E432&gt;0,(F432-N432)/SQRT(E432*Settings!$B$3*(1-Settings!$B$3)),0)</f>
        <v>0.345741014093334</v>
      </c>
      <c r="P432" s="60" t="n">
        <f aca="false">MAX(0,F432-N432)</f>
        <v>0.28731852516413</v>
      </c>
      <c r="Q432" s="32" t="n">
        <f aca="false">(F432+Settings!$B$7*Settings!$B$3)/(E432+Settings!$B$7)</f>
        <v>0.0364072553282002</v>
      </c>
      <c r="R432" s="61" t="n">
        <f aca="false">PERCENTRANK($H$2:$H$1780,H432,6)</f>
        <v>0.748594</v>
      </c>
      <c r="S432" s="61" t="n">
        <f aca="false">PERCENTRANK($Q$2:$Q$1780,Q432,6)</f>
        <v>0.784589</v>
      </c>
      <c r="T432" s="61" t="n">
        <f aca="false">PERCENTRANK($F$2:$F$1780,F432,6)</f>
        <v>0.685039</v>
      </c>
      <c r="U432" s="62" t="n">
        <f aca="false">IF(F432&gt;0,(Settings!$B$8*T432+Settings!$B$9*R432+Settings!$B$10*S432)/SUM(Settings!$B$8:$B$10),0)</f>
        <v>0.739407333333333</v>
      </c>
      <c r="V432" s="56" t="n">
        <f aca="false">IF(U432&gt;0,RANK(U432,$U$2:$U$1780)+COUNTIF($U$2:U432,U432)-1,"")</f>
        <v>431</v>
      </c>
      <c r="W432" s="56" t="str">
        <f aca="false">IF(V432="","",IF(V432&lt;=Settings!$B$11,"1 - Fix first",IF(V432&lt;=Settings!$B$12,"2 - Review","3 - Monitor")))</f>
        <v>3 - Monitor</v>
      </c>
      <c r="X432" s="56" t="str">
        <f aca="false">IF(AND(E432&gt;=Settings!$B$4,F432&gt;=Settings!$B$5,O432&gt;=Settings!$B$6),"HIGH RATE","")</f>
        <v/>
      </c>
      <c r="Y432" s="56" t="n">
        <f aca="false">IF(F432&gt;0,RANK(F432,$F$2:$F$1780)+COUNTIF($F$2:F432,F432)-1,"")</f>
        <v>479</v>
      </c>
      <c r="Z432" s="56" t="n">
        <f aca="false">IF(H432&gt;0,RANK(H432,$H$2:$H$1780)+COUNTIF($H$2:H432,H432)-1,"")</f>
        <v>445</v>
      </c>
      <c r="AA432" s="56" t="str">
        <f aca="false">IF(AC432="","",RANK(AC432,$AC$2:$AC$1780)+COUNTIF($AC$2:AC432,AC432)-1)</f>
        <v/>
      </c>
      <c r="AB432" s="56" t="str">
        <f aca="false">IF(AD432="","",RANK(AD432,$AD$2:$AD$1780)+COUNTIF($AD$2:AD432,AD432)-1)</f>
        <v/>
      </c>
      <c r="AC432" s="56" t="str">
        <f aca="false">IF(AND(F432&gt;0,E432&gt;=Settings!$B$4),J432,"")</f>
        <v/>
      </c>
      <c r="AD432" s="56" t="str">
        <f aca="false">IF(X432="HIGH RATE",O432,"")</f>
        <v/>
      </c>
    </row>
    <row r="433" customFormat="false" ht="15" hidden="false" customHeight="false" outlineLevel="0" collapsed="false">
      <c r="A433" s="56" t="s">
        <v>1500</v>
      </c>
      <c r="B433" s="56" t="s">
        <v>1501</v>
      </c>
      <c r="C433" s="56" t="s">
        <v>87</v>
      </c>
      <c r="D433" s="56" t="str">
        <f aca="false">IFERROR(INDEX('Brand Map'!$B$4:$B$124,MATCH(C433,'Brand Map'!$A$4:$A$124,0)),"Other")</f>
        <v>FYF</v>
      </c>
      <c r="E433" s="57" t="n">
        <v>18</v>
      </c>
      <c r="F433" s="57" t="n">
        <v>1</v>
      </c>
      <c r="G433" s="58" t="n">
        <v>1169.1</v>
      </c>
      <c r="H433" s="58" t="n">
        <v>64.95</v>
      </c>
      <c r="I433" s="58" t="n">
        <v>1104.15</v>
      </c>
      <c r="J433" s="32" t="n">
        <f aca="false">IF(E433&gt;0,F433/E433,0)</f>
        <v>0.0555555555555556</v>
      </c>
      <c r="K433" s="32" t="n">
        <f aca="false">IF(G433&gt;0,H433/G433,0)</f>
        <v>0.0555555555555556</v>
      </c>
      <c r="L433" s="59" t="n">
        <f aca="false">H433/Settings!$B$16</f>
        <v>0.000129804292698907</v>
      </c>
      <c r="M433" s="59" t="n">
        <f aca="false">H433/Settings!$B$20</f>
        <v>5.04235429716083E-006</v>
      </c>
      <c r="N433" s="60" t="n">
        <f aca="false">E433*Settings!$B$3</f>
        <v>0.557750719436768</v>
      </c>
      <c r="O433" s="60" t="n">
        <f aca="false">IF(E433&gt;0,(F433-N433)/SQRT(E433*Settings!$B$3*(1-Settings!$B$3)),0)</f>
        <v>0.601564325659658</v>
      </c>
      <c r="P433" s="60" t="n">
        <f aca="false">MAX(0,F433-N433)</f>
        <v>0.442249280563233</v>
      </c>
      <c r="Q433" s="32" t="n">
        <f aca="false">(F433+Settings!$B$7*Settings!$B$3)/(E433+Settings!$B$7)</f>
        <v>0.0401996777582211</v>
      </c>
      <c r="R433" s="61" t="n">
        <f aca="false">PERCENTRANK($H$2:$H$1780,H433,6)</f>
        <v>0.718223</v>
      </c>
      <c r="S433" s="61" t="n">
        <f aca="false">PERCENTRANK($Q$2:$Q$1780,Q433,6)</f>
        <v>0.813836</v>
      </c>
      <c r="T433" s="61" t="n">
        <f aca="false">PERCENTRANK($F$2:$F$1780,F433,6)</f>
        <v>0.685039</v>
      </c>
      <c r="U433" s="62" t="n">
        <f aca="false">IF(F433&gt;0,(Settings!$B$8*T433+Settings!$B$9*R433+Settings!$B$10*S433)/SUM(Settings!$B$8:$B$10),0)</f>
        <v>0.739032666666667</v>
      </c>
      <c r="V433" s="56" t="n">
        <f aca="false">IF(U433&gt;0,RANK(U433,$U$2:$U$1780)+COUNTIF($U$2:U433,U433)-1,"")</f>
        <v>432</v>
      </c>
      <c r="W433" s="56" t="str">
        <f aca="false">IF(V433="","",IF(V433&lt;=Settings!$B$11,"1 - Fix first",IF(V433&lt;=Settings!$B$12,"2 - Review","3 - Monitor")))</f>
        <v>3 - Monitor</v>
      </c>
      <c r="X433" s="56" t="str">
        <f aca="false">IF(AND(E433&gt;=Settings!$B$4,F433&gt;=Settings!$B$5,O433&gt;=Settings!$B$6),"HIGH RATE","")</f>
        <v/>
      </c>
      <c r="Y433" s="56" t="n">
        <f aca="false">IF(F433&gt;0,RANK(F433,$F$2:$F$1780)+COUNTIF($F$2:F433,F433)-1,"")</f>
        <v>480</v>
      </c>
      <c r="Z433" s="56" t="n">
        <f aca="false">IF(H433&gt;0,RANK(H433,$H$2:$H$1780)+COUNTIF($H$2:H433,H433)-1,"")</f>
        <v>501</v>
      </c>
      <c r="AA433" s="56" t="str">
        <f aca="false">IF(AC433="","",RANK(AC433,$AC$2:$AC$1780)+COUNTIF($AC$2:AC433,AC433)-1)</f>
        <v/>
      </c>
      <c r="AB433" s="56" t="str">
        <f aca="false">IF(AD433="","",RANK(AD433,$AD$2:$AD$1780)+COUNTIF($AD$2:AD433,AD433)-1)</f>
        <v/>
      </c>
      <c r="AC433" s="56" t="str">
        <f aca="false">IF(AND(F433&gt;0,E433&gt;=Settings!$B$4),J433,"")</f>
        <v/>
      </c>
      <c r="AD433" s="56" t="str">
        <f aca="false">IF(X433="HIGH RATE",O433,"")</f>
        <v/>
      </c>
    </row>
    <row r="434" customFormat="false" ht="15" hidden="false" customHeight="false" outlineLevel="0" collapsed="false">
      <c r="A434" s="56" t="s">
        <v>1502</v>
      </c>
      <c r="B434" s="56" t="s">
        <v>882</v>
      </c>
      <c r="C434" s="56" t="s">
        <v>55</v>
      </c>
      <c r="D434" s="56" t="str">
        <f aca="false">IFERROR(INDEX('Brand Map'!$B$4:$B$124,MATCH(C434,'Brand Map'!$A$4:$A$124,0)),"Other")</f>
        <v>AUMJ</v>
      </c>
      <c r="E434" s="57" t="n">
        <v>16</v>
      </c>
      <c r="F434" s="57" t="n">
        <v>1</v>
      </c>
      <c r="G434" s="58" t="n">
        <v>1141.4</v>
      </c>
      <c r="H434" s="58" t="n">
        <v>54.5</v>
      </c>
      <c r="I434" s="58" t="n">
        <v>1078.73</v>
      </c>
      <c r="J434" s="32" t="n">
        <f aca="false">IF(E434&gt;0,F434/E434,0)</f>
        <v>0.0625</v>
      </c>
      <c r="K434" s="32" t="n">
        <f aca="false">IF(G434&gt;0,H434/G434,0)</f>
        <v>0.0477483791834589</v>
      </c>
      <c r="L434" s="59" t="n">
        <f aca="false">H434/Settings!$B$16</f>
        <v>0.000108919691333186</v>
      </c>
      <c r="M434" s="59" t="n">
        <f aca="false">H434/Settings!$B$20</f>
        <v>4.23107481439977E-006</v>
      </c>
      <c r="N434" s="60" t="n">
        <f aca="false">E434*Settings!$B$3</f>
        <v>0.495778417277127</v>
      </c>
      <c r="O434" s="60" t="n">
        <f aca="false">IF(E434&gt;0,(F434-N434)/SQRT(E434*Settings!$B$3*(1-Settings!$B$3)),0)</f>
        <v>0.727465883958007</v>
      </c>
      <c r="P434" s="60" t="n">
        <f aca="false">MAX(0,F434-N434)</f>
        <v>0.504221582722873</v>
      </c>
      <c r="Q434" s="32" t="n">
        <f aca="false">(F434+Settings!$B$7*Settings!$B$3)/(E434+Settings!$B$7)</f>
        <v>0.0419474898346655</v>
      </c>
      <c r="R434" s="61" t="n">
        <f aca="false">PERCENTRANK($H$2:$H$1780,H434,6)</f>
        <v>0.704724</v>
      </c>
      <c r="S434" s="61" t="n">
        <f aca="false">PERCENTRANK($Q$2:$Q$1780,Q434,6)</f>
        <v>0.827334</v>
      </c>
      <c r="T434" s="61" t="n">
        <f aca="false">PERCENTRANK($F$2:$F$1780,F434,6)</f>
        <v>0.685039</v>
      </c>
      <c r="U434" s="62" t="n">
        <f aca="false">IF(F434&gt;0,(Settings!$B$8*T434+Settings!$B$9*R434+Settings!$B$10*S434)/SUM(Settings!$B$8:$B$10),0)</f>
        <v>0.739032333333333</v>
      </c>
      <c r="V434" s="56" t="n">
        <f aca="false">IF(U434&gt;0,RANK(U434,$U$2:$U$1780)+COUNTIF($U$2:U434,U434)-1,"")</f>
        <v>433</v>
      </c>
      <c r="W434" s="56" t="str">
        <f aca="false">IF(V434="","",IF(V434&lt;=Settings!$B$11,"1 - Fix first",IF(V434&lt;=Settings!$B$12,"2 - Review","3 - Monitor")))</f>
        <v>3 - Monitor</v>
      </c>
      <c r="X434" s="56" t="str">
        <f aca="false">IF(AND(E434&gt;=Settings!$B$4,F434&gt;=Settings!$B$5,O434&gt;=Settings!$B$6),"HIGH RATE","")</f>
        <v/>
      </c>
      <c r="Y434" s="56" t="n">
        <f aca="false">IF(F434&gt;0,RANK(F434,$F$2:$F$1780)+COUNTIF($F$2:F434,F434)-1,"")</f>
        <v>481</v>
      </c>
      <c r="Z434" s="56" t="n">
        <f aca="false">IF(H434&gt;0,RANK(H434,$H$2:$H$1780)+COUNTIF($H$2:H434,H434)-1,"")</f>
        <v>524</v>
      </c>
      <c r="AA434" s="56" t="str">
        <f aca="false">IF(AC434="","",RANK(AC434,$AC$2:$AC$1780)+COUNTIF($AC$2:AC434,AC434)-1)</f>
        <v/>
      </c>
      <c r="AB434" s="56" t="str">
        <f aca="false">IF(AD434="","",RANK(AD434,$AD$2:$AD$1780)+COUNTIF($AD$2:AD434,AD434)-1)</f>
        <v/>
      </c>
      <c r="AC434" s="56" t="str">
        <f aca="false">IF(AND(F434&gt;0,E434&gt;=Settings!$B$4),J434,"")</f>
        <v/>
      </c>
      <c r="AD434" s="56" t="str">
        <f aca="false">IF(X434="HIGH RATE",O434,"")</f>
        <v/>
      </c>
    </row>
    <row r="435" customFormat="false" ht="15" hidden="false" customHeight="false" outlineLevel="0" collapsed="false">
      <c r="A435" s="56" t="s">
        <v>1503</v>
      </c>
      <c r="B435" s="56" t="s">
        <v>566</v>
      </c>
      <c r="C435" s="56" t="s">
        <v>129</v>
      </c>
      <c r="D435" s="56" t="str">
        <f aca="false">IFERROR(INDEX('Brand Map'!$B$4:$B$124,MATCH(C435,'Brand Map'!$A$4:$A$124,0)),"Other")</f>
        <v>AL</v>
      </c>
      <c r="E435" s="57" t="n">
        <v>33</v>
      </c>
      <c r="F435" s="57" t="n">
        <v>1</v>
      </c>
      <c r="G435" s="58" t="n">
        <v>4123.35</v>
      </c>
      <c r="H435" s="58" t="n">
        <v>124.95</v>
      </c>
      <c r="I435" s="58" t="n">
        <v>3998.4</v>
      </c>
      <c r="J435" s="32" t="n">
        <f aca="false">IF(E435&gt;0,F435/E435,0)</f>
        <v>0.0303030303030303</v>
      </c>
      <c r="K435" s="32" t="n">
        <f aca="false">IF(G435&gt;0,H435/G435,0)</f>
        <v>0.0303030303030303</v>
      </c>
      <c r="L435" s="59" t="n">
        <f aca="false">H435/Settings!$B$16</f>
        <v>0.000249715879487736</v>
      </c>
      <c r="M435" s="59" t="n">
        <f aca="false">H435/Settings!$B$20</f>
        <v>9.70041831301378E-006</v>
      </c>
      <c r="N435" s="60" t="n">
        <f aca="false">E435*Settings!$B$3</f>
        <v>1.02254298563407</v>
      </c>
      <c r="O435" s="60" t="n">
        <f aca="false">IF(E435&gt;0,(F435-N435)/SQRT(E435*Settings!$B$3*(1-Settings!$B$3)),0)</f>
        <v>-0.0226467379778553</v>
      </c>
      <c r="P435" s="60" t="n">
        <f aca="false">MAX(0,F435-N435)</f>
        <v>0</v>
      </c>
      <c r="Q435" s="32" t="n">
        <f aca="false">(F435+Settings!$B$7*Settings!$B$3)/(E435+Settings!$B$7)</f>
        <v>0.0306283259110256</v>
      </c>
      <c r="R435" s="61" t="n">
        <f aca="false">PERCENTRANK($H$2:$H$1780,H435,6)</f>
        <v>0.784027</v>
      </c>
      <c r="S435" s="61" t="n">
        <f aca="false">PERCENTRANK($Q$2:$Q$1780,Q435,6)</f>
        <v>0.745219</v>
      </c>
      <c r="T435" s="61" t="n">
        <f aca="false">PERCENTRANK($F$2:$F$1780,F435,6)</f>
        <v>0.685039</v>
      </c>
      <c r="U435" s="62" t="n">
        <f aca="false">IF(F435&gt;0,(Settings!$B$8*T435+Settings!$B$9*R435+Settings!$B$10*S435)/SUM(Settings!$B$8:$B$10),0)</f>
        <v>0.738095</v>
      </c>
      <c r="V435" s="56" t="n">
        <f aca="false">IF(U435&gt;0,RANK(U435,$U$2:$U$1780)+COUNTIF($U$2:U435,U435)-1,"")</f>
        <v>434</v>
      </c>
      <c r="W435" s="56" t="str">
        <f aca="false">IF(V435="","",IF(V435&lt;=Settings!$B$11,"1 - Fix first",IF(V435&lt;=Settings!$B$12,"2 - Review","3 - Monitor")))</f>
        <v>3 - Monitor</v>
      </c>
      <c r="X435" s="56" t="str">
        <f aca="false">IF(AND(E435&gt;=Settings!$B$4,F435&gt;=Settings!$B$5,O435&gt;=Settings!$B$6),"HIGH RATE","")</f>
        <v/>
      </c>
      <c r="Y435" s="56" t="n">
        <f aca="false">IF(F435&gt;0,RANK(F435,$F$2:$F$1780)+COUNTIF($F$2:F435,F435)-1,"")</f>
        <v>482</v>
      </c>
      <c r="Z435" s="56" t="n">
        <f aca="false">IF(H435&gt;0,RANK(H435,$H$2:$H$1780)+COUNTIF($H$2:H435,H435)-1,"")</f>
        <v>385</v>
      </c>
      <c r="AA435" s="56" t="n">
        <f aca="false">IF(AC435="","",RANK(AC435,$AC$2:$AC$1780)+COUNTIF($AC$2:AC435,AC435)-1)</f>
        <v>261</v>
      </c>
      <c r="AB435" s="56" t="str">
        <f aca="false">IF(AD435="","",RANK(AD435,$AD$2:$AD$1780)+COUNTIF($AD$2:AD435,AD435)-1)</f>
        <v/>
      </c>
      <c r="AC435" s="32" t="n">
        <f aca="false">IF(AND(F435&gt;0,E435&gt;=Settings!$B$4),J435,"")</f>
        <v>0.0303030303030303</v>
      </c>
      <c r="AD435" s="56" t="str">
        <f aca="false">IF(X435="HIGH RATE",O435,"")</f>
        <v/>
      </c>
    </row>
    <row r="436" customFormat="false" ht="15" hidden="false" customHeight="false" outlineLevel="0" collapsed="false">
      <c r="A436" s="56" t="s">
        <v>1504</v>
      </c>
      <c r="B436" s="56" t="s">
        <v>1505</v>
      </c>
      <c r="C436" s="56" t="s">
        <v>51</v>
      </c>
      <c r="D436" s="56" t="str">
        <f aca="false">IFERROR(INDEX('Brand Map'!$B$4:$B$124,MATCH(C436,'Brand Map'!$A$4:$A$124,0)),"Other")</f>
        <v>AU</v>
      </c>
      <c r="E436" s="57" t="n">
        <v>26</v>
      </c>
      <c r="F436" s="57" t="n">
        <v>1</v>
      </c>
      <c r="G436" s="58" t="n">
        <v>2771.47</v>
      </c>
      <c r="H436" s="58" t="n">
        <v>99.95</v>
      </c>
      <c r="I436" s="58" t="n">
        <v>2588.41</v>
      </c>
      <c r="J436" s="32" t="n">
        <f aca="false">IF(E436&gt;0,F436/E436,0)</f>
        <v>0.0384615384615385</v>
      </c>
      <c r="K436" s="32" t="n">
        <f aca="false">IF(G436&gt;0,H436/G436,0)</f>
        <v>0.036063893890246</v>
      </c>
      <c r="L436" s="59" t="n">
        <f aca="false">H436/Settings!$B$16</f>
        <v>0.000199752718325724</v>
      </c>
      <c r="M436" s="59" t="n">
        <f aca="false">H436/Settings!$B$20</f>
        <v>7.75955830640839E-006</v>
      </c>
      <c r="N436" s="60" t="n">
        <f aca="false">E436*Settings!$B$3</f>
        <v>0.805639928075331</v>
      </c>
      <c r="O436" s="60" t="n">
        <f aca="false">IF(E436&gt;0,(F436-N436)/SQRT(E436*Settings!$B$3*(1-Settings!$B$3)),0)</f>
        <v>0.219974109433691</v>
      </c>
      <c r="P436" s="60" t="n">
        <f aca="false">MAX(0,F436-N436)</f>
        <v>0.194360071924669</v>
      </c>
      <c r="Q436" s="32" t="n">
        <f aca="false">(F436+Settings!$B$7*Settings!$B$3)/(E436+Settings!$B$7)</f>
        <v>0.0344568666499038</v>
      </c>
      <c r="R436" s="61" t="n">
        <f aca="false">PERCENTRANK($H$2:$H$1780,H436,6)</f>
        <v>0.754781</v>
      </c>
      <c r="S436" s="61" t="n">
        <f aca="false">PERCENTRANK($Q$2:$Q$1780,Q436,6)</f>
        <v>0.769404</v>
      </c>
      <c r="T436" s="61" t="n">
        <f aca="false">PERCENTRANK($F$2:$F$1780,F436,6)</f>
        <v>0.685039</v>
      </c>
      <c r="U436" s="62" t="n">
        <f aca="false">IF(F436&gt;0,(Settings!$B$8*T436+Settings!$B$9*R436+Settings!$B$10*S436)/SUM(Settings!$B$8:$B$10),0)</f>
        <v>0.736408</v>
      </c>
      <c r="V436" s="56" t="n">
        <f aca="false">IF(U436&gt;0,RANK(U436,$U$2:$U$1780)+COUNTIF($U$2:U436,U436)-1,"")</f>
        <v>435</v>
      </c>
      <c r="W436" s="56" t="str">
        <f aca="false">IF(V436="","",IF(V436&lt;=Settings!$B$11,"1 - Fix first",IF(V436&lt;=Settings!$B$12,"2 - Review","3 - Monitor")))</f>
        <v>3 - Monitor</v>
      </c>
      <c r="X436" s="56" t="str">
        <f aca="false">IF(AND(E436&gt;=Settings!$B$4,F436&gt;=Settings!$B$5,O436&gt;=Settings!$B$6),"HIGH RATE","")</f>
        <v/>
      </c>
      <c r="Y436" s="56" t="n">
        <f aca="false">IF(F436&gt;0,RANK(F436,$F$2:$F$1780)+COUNTIF($F$2:F436,F436)-1,"")</f>
        <v>483</v>
      </c>
      <c r="Z436" s="56" t="n">
        <f aca="false">IF(H436&gt;0,RANK(H436,$H$2:$H$1780)+COUNTIF($H$2:H436,H436)-1,"")</f>
        <v>433</v>
      </c>
      <c r="AA436" s="56" t="str">
        <f aca="false">IF(AC436="","",RANK(AC436,$AC$2:$AC$1780)+COUNTIF($AC$2:AC436,AC436)-1)</f>
        <v/>
      </c>
      <c r="AB436" s="56" t="str">
        <f aca="false">IF(AD436="","",RANK(AD436,$AD$2:$AD$1780)+COUNTIF($AD$2:AD436,AD436)-1)</f>
        <v/>
      </c>
      <c r="AC436" s="56" t="str">
        <f aca="false">IF(AND(F436&gt;0,E436&gt;=Settings!$B$4),J436,"")</f>
        <v/>
      </c>
      <c r="AD436" s="56" t="str">
        <f aca="false">IF(X436="HIGH RATE",O436,"")</f>
        <v/>
      </c>
    </row>
    <row r="437" customFormat="false" ht="15" hidden="false" customHeight="false" outlineLevel="0" collapsed="false">
      <c r="A437" s="56" t="s">
        <v>1506</v>
      </c>
      <c r="B437" s="56" t="s">
        <v>1507</v>
      </c>
      <c r="C437" s="56" t="s">
        <v>67</v>
      </c>
      <c r="D437" s="56" t="str">
        <f aca="false">IFERROR(INDEX('Brand Map'!$B$4:$B$124,MATCH(C437,'Brand Map'!$A$4:$A$124,0)),"Other")</f>
        <v>MJ</v>
      </c>
      <c r="E437" s="57" t="n">
        <v>20</v>
      </c>
      <c r="F437" s="57" t="n">
        <v>1</v>
      </c>
      <c r="G437" s="58" t="n">
        <v>1530.89</v>
      </c>
      <c r="H437" s="58" t="n">
        <v>72.68</v>
      </c>
      <c r="I437" s="58" t="n">
        <v>1401</v>
      </c>
      <c r="J437" s="32" t="n">
        <f aca="false">IF(E437&gt;0,F437/E437,0)</f>
        <v>0.05</v>
      </c>
      <c r="K437" s="32" t="n">
        <f aca="false">IF(G437&gt;0,H437/G437,0)</f>
        <v>0.0474756514184559</v>
      </c>
      <c r="L437" s="59" t="n">
        <f aca="false">H437/Settings!$B$16</f>
        <v>0.000145252902130201</v>
      </c>
      <c r="M437" s="59" t="n">
        <f aca="false">H437/Settings!$B$20</f>
        <v>5.64246821120322E-006</v>
      </c>
      <c r="N437" s="60" t="n">
        <f aca="false">E437*Settings!$B$3</f>
        <v>0.619723021596408</v>
      </c>
      <c r="O437" s="60" t="n">
        <f aca="false">IF(E437&gt;0,(F437-N437)/SQRT(E437*Settings!$B$3*(1-Settings!$B$3)),0)</f>
        <v>0.490722789775844</v>
      </c>
      <c r="P437" s="60" t="n">
        <f aca="false">MAX(0,F437-N437)</f>
        <v>0.380276978403592</v>
      </c>
      <c r="Q437" s="32" t="n">
        <f aca="false">(F437+Settings!$B$7*Settings!$B$3)/(E437+Settings!$B$7)</f>
        <v>0.0385916906478923</v>
      </c>
      <c r="R437" s="61" t="n">
        <f aca="false">PERCENTRANK($H$2:$H$1780,H437,6)</f>
        <v>0.723285</v>
      </c>
      <c r="S437" s="61" t="n">
        <f aca="false">PERCENTRANK($Q$2:$Q$1780,Q437,6)</f>
        <v>0.79865</v>
      </c>
      <c r="T437" s="61" t="n">
        <f aca="false">PERCENTRANK($F$2:$F$1780,F437,6)</f>
        <v>0.685039</v>
      </c>
      <c r="U437" s="62" t="n">
        <f aca="false">IF(F437&gt;0,(Settings!$B$8*T437+Settings!$B$9*R437+Settings!$B$10*S437)/SUM(Settings!$B$8:$B$10),0)</f>
        <v>0.735658</v>
      </c>
      <c r="V437" s="56" t="n">
        <f aca="false">IF(U437&gt;0,RANK(U437,$U$2:$U$1780)+COUNTIF($U$2:U437,U437)-1,"")</f>
        <v>436</v>
      </c>
      <c r="W437" s="56" t="str">
        <f aca="false">IF(V437="","",IF(V437&lt;=Settings!$B$11,"1 - Fix first",IF(V437&lt;=Settings!$B$12,"2 - Review","3 - Monitor")))</f>
        <v>3 - Monitor</v>
      </c>
      <c r="X437" s="56" t="str">
        <f aca="false">IF(AND(E437&gt;=Settings!$B$4,F437&gt;=Settings!$B$5,O437&gt;=Settings!$B$6),"HIGH RATE","")</f>
        <v/>
      </c>
      <c r="Y437" s="56" t="n">
        <f aca="false">IF(F437&gt;0,RANK(F437,$F$2:$F$1780)+COUNTIF($F$2:F437,F437)-1,"")</f>
        <v>484</v>
      </c>
      <c r="Z437" s="56" t="n">
        <f aca="false">IF(H437&gt;0,RANK(H437,$H$2:$H$1780)+COUNTIF($H$2:H437,H437)-1,"")</f>
        <v>492</v>
      </c>
      <c r="AA437" s="56" t="str">
        <f aca="false">IF(AC437="","",RANK(AC437,$AC$2:$AC$1780)+COUNTIF($AC$2:AC437,AC437)-1)</f>
        <v/>
      </c>
      <c r="AB437" s="56" t="str">
        <f aca="false">IF(AD437="","",RANK(AD437,$AD$2:$AD$1780)+COUNTIF($AD$2:AD437,AD437)-1)</f>
        <v/>
      </c>
      <c r="AC437" s="56" t="str">
        <f aca="false">IF(AND(F437&gt;0,E437&gt;=Settings!$B$4),J437,"")</f>
        <v/>
      </c>
      <c r="AD437" s="56" t="str">
        <f aca="false">IF(X437="HIGH RATE",O437,"")</f>
        <v/>
      </c>
    </row>
    <row r="438" customFormat="false" ht="15" hidden="false" customHeight="false" outlineLevel="0" collapsed="false">
      <c r="A438" s="56" t="s">
        <v>1508</v>
      </c>
      <c r="B438" s="56" t="s">
        <v>1509</v>
      </c>
      <c r="C438" s="56" t="s">
        <v>692</v>
      </c>
      <c r="D438" s="56" t="str">
        <f aca="false">IFERROR(INDEX('Brand Map'!$B$4:$B$124,MATCH(C438,'Brand Map'!$A$4:$A$124,0)),"Other")</f>
        <v>Other (small prefixes)</v>
      </c>
      <c r="E438" s="57" t="n">
        <v>16</v>
      </c>
      <c r="F438" s="57" t="n">
        <v>1</v>
      </c>
      <c r="G438" s="58" t="n">
        <v>602.44</v>
      </c>
      <c r="H438" s="58" t="n">
        <v>30.87</v>
      </c>
      <c r="I438" s="58" t="n">
        <v>549.82</v>
      </c>
      <c r="J438" s="32" t="n">
        <f aca="false">IF(E438&gt;0,F438/E438,0)</f>
        <v>0.0625</v>
      </c>
      <c r="K438" s="32" t="n">
        <f aca="false">IF(G438&gt;0,H438/G438,0)</f>
        <v>0.0512416174224819</v>
      </c>
      <c r="L438" s="59" t="n">
        <f aca="false">H438/Settings!$B$16</f>
        <v>6.16945114028525E-005</v>
      </c>
      <c r="M438" s="59" t="n">
        <f aca="false">H438/Settings!$B$20</f>
        <v>2.39657393615635E-006</v>
      </c>
      <c r="N438" s="60" t="n">
        <f aca="false">E438*Settings!$B$3</f>
        <v>0.495778417277127</v>
      </c>
      <c r="O438" s="60" t="n">
        <f aca="false">IF(E438&gt;0,(F438-N438)/SQRT(E438*Settings!$B$3*(1-Settings!$B$3)),0)</f>
        <v>0.727465883958007</v>
      </c>
      <c r="P438" s="60" t="n">
        <f aca="false">MAX(0,F438-N438)</f>
        <v>0.504221582722873</v>
      </c>
      <c r="Q438" s="32" t="n">
        <f aca="false">(F438+Settings!$B$7*Settings!$B$3)/(E438+Settings!$B$7)</f>
        <v>0.0419474898346655</v>
      </c>
      <c r="R438" s="61" t="n">
        <f aca="false">PERCENTRANK($H$2:$H$1780,H438,6)</f>
        <v>0.692351</v>
      </c>
      <c r="S438" s="61" t="n">
        <f aca="false">PERCENTRANK($Q$2:$Q$1780,Q438,6)</f>
        <v>0.827334</v>
      </c>
      <c r="T438" s="61" t="n">
        <f aca="false">PERCENTRANK($F$2:$F$1780,F438,6)</f>
        <v>0.685039</v>
      </c>
      <c r="U438" s="62" t="n">
        <f aca="false">IF(F438&gt;0,(Settings!$B$8*T438+Settings!$B$9*R438+Settings!$B$10*S438)/SUM(Settings!$B$8:$B$10),0)</f>
        <v>0.734908</v>
      </c>
      <c r="V438" s="56" t="n">
        <f aca="false">IF(U438&gt;0,RANK(U438,$U$2:$U$1780)+COUNTIF($U$2:U438,U438)-1,"")</f>
        <v>437</v>
      </c>
      <c r="W438" s="56" t="str">
        <f aca="false">IF(V438="","",IF(V438&lt;=Settings!$B$11,"1 - Fix first",IF(V438&lt;=Settings!$B$12,"2 - Review","3 - Monitor")))</f>
        <v>3 - Monitor</v>
      </c>
      <c r="X438" s="56" t="str">
        <f aca="false">IF(AND(E438&gt;=Settings!$B$4,F438&gt;=Settings!$B$5,O438&gt;=Settings!$B$6),"HIGH RATE","")</f>
        <v/>
      </c>
      <c r="Y438" s="56" t="n">
        <f aca="false">IF(F438&gt;0,RANK(F438,$F$2:$F$1780)+COUNTIF($F$2:F438,F438)-1,"")</f>
        <v>485</v>
      </c>
      <c r="Z438" s="56" t="n">
        <f aca="false">IF(H438&gt;0,RANK(H438,$H$2:$H$1780)+COUNTIF($H$2:H438,H438)-1,"")</f>
        <v>548</v>
      </c>
      <c r="AA438" s="56" t="str">
        <f aca="false">IF(AC438="","",RANK(AC438,$AC$2:$AC$1780)+COUNTIF($AC$2:AC438,AC438)-1)</f>
        <v/>
      </c>
      <c r="AB438" s="56" t="str">
        <f aca="false">IF(AD438="","",RANK(AD438,$AD$2:$AD$1780)+COUNTIF($AD$2:AD438,AD438)-1)</f>
        <v/>
      </c>
      <c r="AC438" s="56" t="str">
        <f aca="false">IF(AND(F438&gt;0,E438&gt;=Settings!$B$4),J438,"")</f>
        <v/>
      </c>
      <c r="AD438" s="56" t="str">
        <f aca="false">IF(X438="HIGH RATE",O438,"")</f>
        <v/>
      </c>
    </row>
    <row r="439" customFormat="false" ht="15" hidden="false" customHeight="false" outlineLevel="0" collapsed="false">
      <c r="A439" s="56" t="s">
        <v>1510</v>
      </c>
      <c r="B439" s="56" t="s">
        <v>1511</v>
      </c>
      <c r="C439" s="56" t="s">
        <v>656</v>
      </c>
      <c r="D439" s="56" t="str">
        <f aca="false">IFERROR(INDEX('Brand Map'!$B$4:$B$124,MATCH(C439,'Brand Map'!$A$4:$A$124,0)),"Other")</f>
        <v>Other (small prefixes)</v>
      </c>
      <c r="E439" s="57" t="n">
        <v>19</v>
      </c>
      <c r="F439" s="57" t="n">
        <v>1</v>
      </c>
      <c r="G439" s="58" t="n">
        <v>1127.73</v>
      </c>
      <c r="H439" s="58" t="n">
        <v>59.05</v>
      </c>
      <c r="I439" s="58" t="n">
        <v>1068.68</v>
      </c>
      <c r="J439" s="32" t="n">
        <f aca="false">IF(E439&gt;0,F439/E439,0)</f>
        <v>0.0526315789473684</v>
      </c>
      <c r="K439" s="32" t="n">
        <f aca="false">IF(G439&gt;0,H439/G439,0)</f>
        <v>0.0523618241955078</v>
      </c>
      <c r="L439" s="59" t="n">
        <f aca="false">H439/Settings!$B$16</f>
        <v>0.000118012986664672</v>
      </c>
      <c r="M439" s="59" t="n">
        <f aca="false">H439/Settings!$B$20</f>
        <v>4.58431133560195E-006</v>
      </c>
      <c r="N439" s="60" t="n">
        <f aca="false">E439*Settings!$B$3</f>
        <v>0.588736870516588</v>
      </c>
      <c r="O439" s="60" t="n">
        <f aca="false">IF(E439&gt;0,(F439-N439)/SQRT(E439*Settings!$B$3*(1-Settings!$B$3)),0)</f>
        <v>0.54449533902266</v>
      </c>
      <c r="P439" s="60" t="n">
        <f aca="false">MAX(0,F439-N439)</f>
        <v>0.411263129483412</v>
      </c>
      <c r="Q439" s="32" t="n">
        <f aca="false">(F439+Settings!$B$7*Settings!$B$3)/(E439+Settings!$B$7)</f>
        <v>0.0393792761713186</v>
      </c>
      <c r="R439" s="61" t="n">
        <f aca="false">PERCENTRANK($H$2:$H$1780,H439,6)</f>
        <v>0.709224</v>
      </c>
      <c r="S439" s="61" t="n">
        <f aca="false">PERCENTRANK($Q$2:$Q$1780,Q439,6)</f>
        <v>0.805399</v>
      </c>
      <c r="T439" s="61" t="n">
        <f aca="false">PERCENTRANK($F$2:$F$1780,F439,6)</f>
        <v>0.685039</v>
      </c>
      <c r="U439" s="62" t="n">
        <f aca="false">IF(F439&gt;0,(Settings!$B$8*T439+Settings!$B$9*R439+Settings!$B$10*S439)/SUM(Settings!$B$8:$B$10),0)</f>
        <v>0.733220666666667</v>
      </c>
      <c r="V439" s="56" t="n">
        <f aca="false">IF(U439&gt;0,RANK(U439,$U$2:$U$1780)+COUNTIF($U$2:U439,U439)-1,"")</f>
        <v>438</v>
      </c>
      <c r="W439" s="56" t="str">
        <f aca="false">IF(V439="","",IF(V439&lt;=Settings!$B$11,"1 - Fix first",IF(V439&lt;=Settings!$B$12,"2 - Review","3 - Monitor")))</f>
        <v>3 - Monitor</v>
      </c>
      <c r="X439" s="56" t="str">
        <f aca="false">IF(AND(E439&gt;=Settings!$B$4,F439&gt;=Settings!$B$5,O439&gt;=Settings!$B$6),"HIGH RATE","")</f>
        <v/>
      </c>
      <c r="Y439" s="56" t="n">
        <f aca="false">IF(F439&gt;0,RANK(F439,$F$2:$F$1780)+COUNTIF($F$2:F439,F439)-1,"")</f>
        <v>486</v>
      </c>
      <c r="Z439" s="56" t="n">
        <f aca="false">IF(H439&gt;0,RANK(H439,$H$2:$H$1780)+COUNTIF($H$2:H439,H439)-1,"")</f>
        <v>516</v>
      </c>
      <c r="AA439" s="56" t="str">
        <f aca="false">IF(AC439="","",RANK(AC439,$AC$2:$AC$1780)+COUNTIF($AC$2:AC439,AC439)-1)</f>
        <v/>
      </c>
      <c r="AB439" s="56" t="str">
        <f aca="false">IF(AD439="","",RANK(AD439,$AD$2:$AD$1780)+COUNTIF($AD$2:AD439,AD439)-1)</f>
        <v/>
      </c>
      <c r="AC439" s="56" t="str">
        <f aca="false">IF(AND(F439&gt;0,E439&gt;=Settings!$B$4),J439,"")</f>
        <v/>
      </c>
      <c r="AD439" s="56" t="str">
        <f aca="false">IF(X439="HIGH RATE",O439,"")</f>
        <v/>
      </c>
    </row>
    <row r="440" customFormat="false" ht="15" hidden="false" customHeight="false" outlineLevel="0" collapsed="false">
      <c r="A440" s="56" t="s">
        <v>329</v>
      </c>
      <c r="B440" s="56" t="s">
        <v>546</v>
      </c>
      <c r="C440" s="56" t="s">
        <v>79</v>
      </c>
      <c r="D440" s="56" t="str">
        <f aca="false">IFERROR(INDEX('Brand Map'!$B$4:$B$124,MATCH(C440,'Brand Map'!$A$4:$A$124,0)),"Other")</f>
        <v>AUSMJ</v>
      </c>
      <c r="E440" s="57" t="n">
        <v>23</v>
      </c>
      <c r="F440" s="57" t="n">
        <v>1</v>
      </c>
      <c r="G440" s="58" t="n">
        <v>1723.85</v>
      </c>
      <c r="H440" s="58" t="n">
        <v>74.95</v>
      </c>
      <c r="I440" s="58" t="n">
        <v>1648.9</v>
      </c>
      <c r="J440" s="32" t="n">
        <f aca="false">IF(E440&gt;0,F440/E440,0)</f>
        <v>0.0434782608695652</v>
      </c>
      <c r="K440" s="32" t="n">
        <f aca="false">IF(G440&gt;0,H440/G440,0)</f>
        <v>0.0434782608695652</v>
      </c>
      <c r="L440" s="59" t="n">
        <f aca="false">H440/Settings!$B$16</f>
        <v>0.000149789557163712</v>
      </c>
      <c r="M440" s="59" t="n">
        <f aca="false">H440/Settings!$B$20</f>
        <v>5.81869829980299E-006</v>
      </c>
      <c r="N440" s="60" t="n">
        <f aca="false">E440*Settings!$B$3</f>
        <v>0.71268147483587</v>
      </c>
      <c r="O440" s="60" t="n">
        <f aca="false">IF(E440&gt;0,(F440-N440)/SQRT(E440*Settings!$B$3*(1-Settings!$B$3)),0)</f>
        <v>0.345741014093334</v>
      </c>
      <c r="P440" s="60" t="n">
        <f aca="false">MAX(0,F440-N440)</f>
        <v>0.28731852516413</v>
      </c>
      <c r="Q440" s="32" t="n">
        <f aca="false">(F440+Settings!$B$7*Settings!$B$3)/(E440+Settings!$B$7)</f>
        <v>0.0364072553282002</v>
      </c>
      <c r="R440" s="61" t="n">
        <f aca="false">PERCENTRANK($H$2:$H$1780,H440,6)</f>
        <v>0.725534</v>
      </c>
      <c r="S440" s="61" t="n">
        <f aca="false">PERCENTRANK($Q$2:$Q$1780,Q440,6)</f>
        <v>0.784589</v>
      </c>
      <c r="T440" s="61" t="n">
        <f aca="false">PERCENTRANK($F$2:$F$1780,F440,6)</f>
        <v>0.685039</v>
      </c>
      <c r="U440" s="62" t="n">
        <f aca="false">IF(F440&gt;0,(Settings!$B$8*T440+Settings!$B$9*R440+Settings!$B$10*S440)/SUM(Settings!$B$8:$B$10),0)</f>
        <v>0.731720666666667</v>
      </c>
      <c r="V440" s="56" t="n">
        <f aca="false">IF(U440&gt;0,RANK(U440,$U$2:$U$1780)+COUNTIF($U$2:U440,U440)-1,"")</f>
        <v>439</v>
      </c>
      <c r="W440" s="56" t="str">
        <f aca="false">IF(V440="","",IF(V440&lt;=Settings!$B$11,"1 - Fix first",IF(V440&lt;=Settings!$B$12,"2 - Review","3 - Monitor")))</f>
        <v>3 - Monitor</v>
      </c>
      <c r="X440" s="56" t="str">
        <f aca="false">IF(AND(E440&gt;=Settings!$B$4,F440&gt;=Settings!$B$5,O440&gt;=Settings!$B$6),"HIGH RATE","")</f>
        <v/>
      </c>
      <c r="Y440" s="56" t="n">
        <f aca="false">IF(F440&gt;0,RANK(F440,$F$2:$F$1780)+COUNTIF($F$2:F440,F440)-1,"")</f>
        <v>487</v>
      </c>
      <c r="Z440" s="56" t="n">
        <f aca="false">IF(H440&gt;0,RANK(H440,$H$2:$H$1780)+COUNTIF($H$2:H440,H440)-1,"")</f>
        <v>488</v>
      </c>
      <c r="AA440" s="56" t="str">
        <f aca="false">IF(AC440="","",RANK(AC440,$AC$2:$AC$1780)+COUNTIF($AC$2:AC440,AC440)-1)</f>
        <v/>
      </c>
      <c r="AB440" s="56" t="str">
        <f aca="false">IF(AD440="","",RANK(AD440,$AD$2:$AD$1780)+COUNTIF($AD$2:AD440,AD440)-1)</f>
        <v/>
      </c>
      <c r="AC440" s="56" t="str">
        <f aca="false">IF(AND(F440&gt;0,E440&gt;=Settings!$B$4),J440,"")</f>
        <v/>
      </c>
      <c r="AD440" s="56" t="str">
        <f aca="false">IF(X440="HIGH RATE",O440,"")</f>
        <v/>
      </c>
    </row>
    <row r="441" customFormat="false" ht="15" hidden="false" customHeight="false" outlineLevel="0" collapsed="false">
      <c r="A441" s="56" t="s">
        <v>1512</v>
      </c>
      <c r="B441" s="56" t="s">
        <v>997</v>
      </c>
      <c r="C441" s="56" t="s">
        <v>55</v>
      </c>
      <c r="D441" s="56" t="str">
        <f aca="false">IFERROR(INDEX('Brand Map'!$B$4:$B$124,MATCH(C441,'Brand Map'!$A$4:$A$124,0)),"Other")</f>
        <v>AUMJ</v>
      </c>
      <c r="E441" s="57" t="n">
        <v>27</v>
      </c>
      <c r="F441" s="57" t="n">
        <v>1</v>
      </c>
      <c r="G441" s="58" t="n">
        <v>2450.92</v>
      </c>
      <c r="H441" s="58" t="n">
        <v>92.95</v>
      </c>
      <c r="I441" s="58" t="n">
        <v>2348.44</v>
      </c>
      <c r="J441" s="32" t="n">
        <f aca="false">IF(E441&gt;0,F441/E441,0)</f>
        <v>0.037037037037037</v>
      </c>
      <c r="K441" s="32" t="n">
        <f aca="false">IF(G441&gt;0,H441/G441,0)</f>
        <v>0.0379245344605291</v>
      </c>
      <c r="L441" s="59" t="n">
        <f aca="false">H441/Settings!$B$16</f>
        <v>0.000185763033200361</v>
      </c>
      <c r="M441" s="59" t="n">
        <f aca="false">H441/Settings!$B$20</f>
        <v>7.21611750455887E-006</v>
      </c>
      <c r="N441" s="60" t="n">
        <f aca="false">E441*Settings!$B$3</f>
        <v>0.836626079155151</v>
      </c>
      <c r="O441" s="60" t="n">
        <f aca="false">IF(E441&gt;0,(F441-N441)/SQRT(E441*Settings!$B$3*(1-Settings!$B$3)),0)</f>
        <v>0.181447939524074</v>
      </c>
      <c r="P441" s="60" t="n">
        <f aca="false">MAX(0,F441-N441)</f>
        <v>0.163373920844849</v>
      </c>
      <c r="Q441" s="32" t="n">
        <f aca="false">(F441+Settings!$B$7*Settings!$B$3)/(E441+Settings!$B$7)</f>
        <v>0.0338523602174493</v>
      </c>
      <c r="R441" s="61" t="n">
        <f aca="false">PERCENTRANK($H$2:$H$1780,H441,6)</f>
        <v>0.745782</v>
      </c>
      <c r="S441" s="61" t="n">
        <f aca="false">PERCENTRANK($Q$2:$Q$1780,Q441,6)</f>
        <v>0.76378</v>
      </c>
      <c r="T441" s="61" t="n">
        <f aca="false">PERCENTRANK($F$2:$F$1780,F441,6)</f>
        <v>0.685039</v>
      </c>
      <c r="U441" s="62" t="n">
        <f aca="false">IF(F441&gt;0,(Settings!$B$8*T441+Settings!$B$9*R441+Settings!$B$10*S441)/SUM(Settings!$B$8:$B$10),0)</f>
        <v>0.731533666666667</v>
      </c>
      <c r="V441" s="56" t="n">
        <f aca="false">IF(U441&gt;0,RANK(U441,$U$2:$U$1780)+COUNTIF($U$2:U441,U441)-1,"")</f>
        <v>440</v>
      </c>
      <c r="W441" s="56" t="str">
        <f aca="false">IF(V441="","",IF(V441&lt;=Settings!$B$11,"1 - Fix first",IF(V441&lt;=Settings!$B$12,"2 - Review","3 - Monitor")))</f>
        <v>3 - Monitor</v>
      </c>
      <c r="X441" s="56" t="str">
        <f aca="false">IF(AND(E441&gt;=Settings!$B$4,F441&gt;=Settings!$B$5,O441&gt;=Settings!$B$6),"HIGH RATE","")</f>
        <v/>
      </c>
      <c r="Y441" s="56" t="n">
        <f aca="false">IF(F441&gt;0,RANK(F441,$F$2:$F$1780)+COUNTIF($F$2:F441,F441)-1,"")</f>
        <v>488</v>
      </c>
      <c r="Z441" s="56" t="n">
        <f aca="false">IF(H441&gt;0,RANK(H441,$H$2:$H$1780)+COUNTIF($H$2:H441,H441)-1,"")</f>
        <v>453</v>
      </c>
      <c r="AA441" s="56" t="str">
        <f aca="false">IF(AC441="","",RANK(AC441,$AC$2:$AC$1780)+COUNTIF($AC$2:AC441,AC441)-1)</f>
        <v/>
      </c>
      <c r="AB441" s="56" t="str">
        <f aca="false">IF(AD441="","",RANK(AD441,$AD$2:$AD$1780)+COUNTIF($AD$2:AD441,AD441)-1)</f>
        <v/>
      </c>
      <c r="AC441" s="56" t="str">
        <f aca="false">IF(AND(F441&gt;0,E441&gt;=Settings!$B$4),J441,"")</f>
        <v/>
      </c>
      <c r="AD441" s="56" t="str">
        <f aca="false">IF(X441="HIGH RATE",O441,"")</f>
        <v/>
      </c>
    </row>
    <row r="442" customFormat="false" ht="15" hidden="false" customHeight="false" outlineLevel="0" collapsed="false">
      <c r="A442" s="56" t="s">
        <v>1513</v>
      </c>
      <c r="B442" s="56" t="s">
        <v>914</v>
      </c>
      <c r="C442" s="56" t="s">
        <v>55</v>
      </c>
      <c r="D442" s="56" t="str">
        <f aca="false">IFERROR(INDEX('Brand Map'!$B$4:$B$124,MATCH(C442,'Brand Map'!$A$4:$A$124,0)),"Other")</f>
        <v>AUMJ</v>
      </c>
      <c r="E442" s="57" t="n">
        <v>31</v>
      </c>
      <c r="F442" s="57" t="n">
        <v>1</v>
      </c>
      <c r="G442" s="58" t="n">
        <v>3098.45</v>
      </c>
      <c r="H442" s="58" t="n">
        <v>99.95</v>
      </c>
      <c r="I442" s="58" t="n">
        <v>2998.5</v>
      </c>
      <c r="J442" s="32" t="n">
        <f aca="false">IF(E442&gt;0,F442/E442,0)</f>
        <v>0.032258064516129</v>
      </c>
      <c r="K442" s="32" t="n">
        <f aca="false">IF(G442&gt;0,H442/G442,0)</f>
        <v>0.032258064516129</v>
      </c>
      <c r="L442" s="59" t="n">
        <f aca="false">H442/Settings!$B$16</f>
        <v>0.000199752718325724</v>
      </c>
      <c r="M442" s="59" t="n">
        <f aca="false">H442/Settings!$B$20</f>
        <v>7.75955830640839E-006</v>
      </c>
      <c r="N442" s="60" t="n">
        <f aca="false">E442*Settings!$B$3</f>
        <v>0.960570683474433</v>
      </c>
      <c r="O442" s="60" t="n">
        <f aca="false">IF(E442&gt;0,(F442-N442)/SQRT(E442*Settings!$B$3*(1-Settings!$B$3)),0)</f>
        <v>0.0408685842264537</v>
      </c>
      <c r="P442" s="60" t="n">
        <f aca="false">MAX(0,F442-N442)</f>
        <v>0.039429316525567</v>
      </c>
      <c r="Q442" s="32" t="n">
        <f aca="false">(F442+Settings!$B$7*Settings!$B$3)/(E442+Settings!$B$7)</f>
        <v>0.0316325333179445</v>
      </c>
      <c r="R442" s="61" t="n">
        <f aca="false">PERCENTRANK($H$2:$H$1780,H442,6)</f>
        <v>0.754781</v>
      </c>
      <c r="S442" s="61" t="n">
        <f aca="false">PERCENTRANK($Q$2:$Q$1780,Q442,6)</f>
        <v>0.751969</v>
      </c>
      <c r="T442" s="61" t="n">
        <f aca="false">PERCENTRANK($F$2:$F$1780,F442,6)</f>
        <v>0.685039</v>
      </c>
      <c r="U442" s="62" t="n">
        <f aca="false">IF(F442&gt;0,(Settings!$B$8*T442+Settings!$B$9*R442+Settings!$B$10*S442)/SUM(Settings!$B$8:$B$10),0)</f>
        <v>0.730596333333333</v>
      </c>
      <c r="V442" s="56" t="n">
        <f aca="false">IF(U442&gt;0,RANK(U442,$U$2:$U$1780)+COUNTIF($U$2:U442,U442)-1,"")</f>
        <v>441</v>
      </c>
      <c r="W442" s="56" t="str">
        <f aca="false">IF(V442="","",IF(V442&lt;=Settings!$B$11,"1 - Fix first",IF(V442&lt;=Settings!$B$12,"2 - Review","3 - Monitor")))</f>
        <v>3 - Monitor</v>
      </c>
      <c r="X442" s="56" t="str">
        <f aca="false">IF(AND(E442&gt;=Settings!$B$4,F442&gt;=Settings!$B$5,O442&gt;=Settings!$B$6),"HIGH RATE","")</f>
        <v/>
      </c>
      <c r="Y442" s="56" t="n">
        <f aca="false">IF(F442&gt;0,RANK(F442,$F$2:$F$1780)+COUNTIF($F$2:F442,F442)-1,"")</f>
        <v>489</v>
      </c>
      <c r="Z442" s="56" t="n">
        <f aca="false">IF(H442&gt;0,RANK(H442,$H$2:$H$1780)+COUNTIF($H$2:H442,H442)-1,"")</f>
        <v>434</v>
      </c>
      <c r="AA442" s="56" t="n">
        <f aca="false">IF(AC442="","",RANK(AC442,$AC$2:$AC$1780)+COUNTIF($AC$2:AC442,AC442)-1)</f>
        <v>247</v>
      </c>
      <c r="AB442" s="56" t="str">
        <f aca="false">IF(AD442="","",RANK(AD442,$AD$2:$AD$1780)+COUNTIF($AD$2:AD442,AD442)-1)</f>
        <v/>
      </c>
      <c r="AC442" s="32" t="n">
        <f aca="false">IF(AND(F442&gt;0,E442&gt;=Settings!$B$4),J442,"")</f>
        <v>0.032258064516129</v>
      </c>
      <c r="AD442" s="56" t="str">
        <f aca="false">IF(X442="HIGH RATE",O442,"")</f>
        <v/>
      </c>
    </row>
    <row r="443" customFormat="false" ht="15" hidden="false" customHeight="false" outlineLevel="0" collapsed="false">
      <c r="A443" s="56" t="s">
        <v>1514</v>
      </c>
      <c r="B443" s="56" t="s">
        <v>981</v>
      </c>
      <c r="C443" s="56" t="s">
        <v>67</v>
      </c>
      <c r="D443" s="56" t="str">
        <f aca="false">IFERROR(INDEX('Brand Map'!$B$4:$B$124,MATCH(C443,'Brand Map'!$A$4:$A$124,0)),"Other")</f>
        <v>MJ</v>
      </c>
      <c r="E443" s="57" t="n">
        <v>24</v>
      </c>
      <c r="F443" s="57" t="n">
        <v>1</v>
      </c>
      <c r="G443" s="58" t="n">
        <v>1798.8</v>
      </c>
      <c r="H443" s="58" t="n">
        <v>74.95</v>
      </c>
      <c r="I443" s="58" t="n">
        <v>1723.85</v>
      </c>
      <c r="J443" s="32" t="n">
        <f aca="false">IF(E443&gt;0,F443/E443,0)</f>
        <v>0.0416666666666667</v>
      </c>
      <c r="K443" s="32" t="n">
        <f aca="false">IF(G443&gt;0,H443/G443,0)</f>
        <v>0.0416666666666667</v>
      </c>
      <c r="L443" s="59" t="n">
        <f aca="false">H443/Settings!$B$16</f>
        <v>0.000149789557163712</v>
      </c>
      <c r="M443" s="59" t="n">
        <f aca="false">H443/Settings!$B$20</f>
        <v>5.81869829980299E-006</v>
      </c>
      <c r="N443" s="60" t="n">
        <f aca="false">E443*Settings!$B$3</f>
        <v>0.74366762591569</v>
      </c>
      <c r="O443" s="60" t="n">
        <f aca="false">IF(E443&gt;0,(F443-N443)/SQRT(E443*Settings!$B$3*(1-Settings!$B$3)),0)</f>
        <v>0.301959731147039</v>
      </c>
      <c r="P443" s="60" t="n">
        <f aca="false">MAX(0,F443-N443)</f>
        <v>0.25633237408431</v>
      </c>
      <c r="Q443" s="32" t="n">
        <f aca="false">(F443+Settings!$B$7*Settings!$B$3)/(E443+Settings!$B$7)</f>
        <v>0.0357330468961965</v>
      </c>
      <c r="R443" s="61" t="n">
        <f aca="false">PERCENTRANK($H$2:$H$1780,H443,6)</f>
        <v>0.725534</v>
      </c>
      <c r="S443" s="61" t="n">
        <f aca="false">PERCENTRANK($Q$2:$Q$1780,Q443,6)</f>
        <v>0.779528</v>
      </c>
      <c r="T443" s="61" t="n">
        <f aca="false">PERCENTRANK($F$2:$F$1780,F443,6)</f>
        <v>0.685039</v>
      </c>
      <c r="U443" s="62" t="n">
        <f aca="false">IF(F443&gt;0,(Settings!$B$8*T443+Settings!$B$9*R443+Settings!$B$10*S443)/SUM(Settings!$B$8:$B$10),0)</f>
        <v>0.730033666666667</v>
      </c>
      <c r="V443" s="56" t="n">
        <f aca="false">IF(U443&gt;0,RANK(U443,$U$2:$U$1780)+COUNTIF($U$2:U443,U443)-1,"")</f>
        <v>442</v>
      </c>
      <c r="W443" s="56" t="str">
        <f aca="false">IF(V443="","",IF(V443&lt;=Settings!$B$11,"1 - Fix first",IF(V443&lt;=Settings!$B$12,"2 - Review","3 - Monitor")))</f>
        <v>3 - Monitor</v>
      </c>
      <c r="X443" s="56" t="str">
        <f aca="false">IF(AND(E443&gt;=Settings!$B$4,F443&gt;=Settings!$B$5,O443&gt;=Settings!$B$6),"HIGH RATE","")</f>
        <v/>
      </c>
      <c r="Y443" s="56" t="n">
        <f aca="false">IF(F443&gt;0,RANK(F443,$F$2:$F$1780)+COUNTIF($F$2:F443,F443)-1,"")</f>
        <v>490</v>
      </c>
      <c r="Z443" s="56" t="n">
        <f aca="false">IF(H443&gt;0,RANK(H443,$H$2:$H$1780)+COUNTIF($H$2:H443,H443)-1,"")</f>
        <v>489</v>
      </c>
      <c r="AA443" s="56" t="str">
        <f aca="false">IF(AC443="","",RANK(AC443,$AC$2:$AC$1780)+COUNTIF($AC$2:AC443,AC443)-1)</f>
        <v/>
      </c>
      <c r="AB443" s="56" t="str">
        <f aca="false">IF(AD443="","",RANK(AD443,$AD$2:$AD$1780)+COUNTIF($AD$2:AD443,AD443)-1)</f>
        <v/>
      </c>
      <c r="AC443" s="56" t="str">
        <f aca="false">IF(AND(F443&gt;0,E443&gt;=Settings!$B$4),J443,"")</f>
        <v/>
      </c>
      <c r="AD443" s="56" t="str">
        <f aca="false">IF(X443="HIGH RATE",O443,"")</f>
        <v/>
      </c>
    </row>
    <row r="444" customFormat="false" ht="15" hidden="false" customHeight="false" outlineLevel="0" collapsed="false">
      <c r="A444" s="56" t="s">
        <v>1515</v>
      </c>
      <c r="B444" s="56" t="s">
        <v>1516</v>
      </c>
      <c r="C444" s="56" t="s">
        <v>51</v>
      </c>
      <c r="D444" s="56" t="str">
        <f aca="false">IFERROR(INDEX('Brand Map'!$B$4:$B$124,MATCH(C444,'Brand Map'!$A$4:$A$124,0)),"Other")</f>
        <v>AU</v>
      </c>
      <c r="E444" s="57" t="n">
        <v>103</v>
      </c>
      <c r="F444" s="57" t="n">
        <v>3</v>
      </c>
      <c r="G444" s="58" t="n">
        <v>8475.22</v>
      </c>
      <c r="H444" s="58" t="n">
        <v>298.06</v>
      </c>
      <c r="I444" s="58" t="n">
        <v>8142.18</v>
      </c>
      <c r="J444" s="32" t="n">
        <f aca="false">IF(E444&gt;0,F444/E444,0)</f>
        <v>0.029126213592233</v>
      </c>
      <c r="K444" s="32" t="n">
        <f aca="false">IF(G444&gt;0,H444/G444,0)</f>
        <v>0.0351684086076822</v>
      </c>
      <c r="L444" s="59" t="n">
        <f aca="false">H444/Settings!$B$16</f>
        <v>0.000595680792637972</v>
      </c>
      <c r="M444" s="59" t="n">
        <f aca="false">H444/Settings!$B$20</f>
        <v>2.31397093427522E-005</v>
      </c>
      <c r="N444" s="60" t="n">
        <f aca="false">E444*Settings!$B$3</f>
        <v>3.1915735612215</v>
      </c>
      <c r="O444" s="60" t="n">
        <f aca="false">IF(E444&gt;0,(F444-N444)/SQRT(E444*Settings!$B$3*(1-Settings!$B$3)),0)</f>
        <v>-0.108935178960925</v>
      </c>
      <c r="P444" s="60" t="n">
        <f aca="false">MAX(0,F444-N444)</f>
        <v>0</v>
      </c>
      <c r="Q444" s="32" t="n">
        <f aca="false">(F444+Settings!$B$7*Settings!$B$3)/(E444+Settings!$B$7)</f>
        <v>0.0295457483638693</v>
      </c>
      <c r="R444" s="61" t="n">
        <f aca="false">PERCENTRANK($H$2:$H$1780,H444,6)</f>
        <v>0.862767</v>
      </c>
      <c r="S444" s="61" t="n">
        <f aca="false">PERCENTRANK($Q$2:$Q$1780,Q444,6)</f>
        <v>0.48369</v>
      </c>
      <c r="T444" s="61" t="n">
        <f aca="false">PERCENTRANK($F$2:$F$1780,F444,6)</f>
        <v>0.84252</v>
      </c>
      <c r="U444" s="62" t="n">
        <f aca="false">IF(F444&gt;0,(Settings!$B$8*T444+Settings!$B$9*R444+Settings!$B$10*S444)/SUM(Settings!$B$8:$B$10),0)</f>
        <v>0.729659</v>
      </c>
      <c r="V444" s="56" t="n">
        <f aca="false">IF(U444&gt;0,RANK(U444,$U$2:$U$1780)+COUNTIF($U$2:U444,U444)-1,"")</f>
        <v>443</v>
      </c>
      <c r="W444" s="56" t="str">
        <f aca="false">IF(V444="","",IF(V444&lt;=Settings!$B$11,"1 - Fix first",IF(V444&lt;=Settings!$B$12,"2 - Review","3 - Monitor")))</f>
        <v>3 - Monitor</v>
      </c>
      <c r="X444" s="56" t="str">
        <f aca="false">IF(AND(E444&gt;=Settings!$B$4,F444&gt;=Settings!$B$5,O444&gt;=Settings!$B$6),"HIGH RATE","")</f>
        <v/>
      </c>
      <c r="Y444" s="56" t="n">
        <f aca="false">IF(F444&gt;0,RANK(F444,$F$2:$F$1780)+COUNTIF($F$2:F444,F444)-1,"")</f>
        <v>267</v>
      </c>
      <c r="Z444" s="56" t="n">
        <f aca="false">IF(H444&gt;0,RANK(H444,$H$2:$H$1780)+COUNTIF($H$2:H444,H444)-1,"")</f>
        <v>245</v>
      </c>
      <c r="AA444" s="56" t="n">
        <f aca="false">IF(AC444="","",RANK(AC444,$AC$2:$AC$1780)+COUNTIF($AC$2:AC444,AC444)-1)</f>
        <v>272</v>
      </c>
      <c r="AB444" s="56" t="str">
        <f aca="false">IF(AD444="","",RANK(AD444,$AD$2:$AD$1780)+COUNTIF($AD$2:AD444,AD444)-1)</f>
        <v/>
      </c>
      <c r="AC444" s="32" t="n">
        <f aca="false">IF(AND(F444&gt;0,E444&gt;=Settings!$B$4),J444,"")</f>
        <v>0.029126213592233</v>
      </c>
      <c r="AD444" s="56" t="str">
        <f aca="false">IF(X444="HIGH RATE",O444,"")</f>
        <v/>
      </c>
    </row>
    <row r="445" customFormat="false" ht="15" hidden="false" customHeight="false" outlineLevel="0" collapsed="false">
      <c r="A445" s="56" t="s">
        <v>1517</v>
      </c>
      <c r="B445" s="56" t="s">
        <v>1046</v>
      </c>
      <c r="C445" s="56" t="s">
        <v>55</v>
      </c>
      <c r="D445" s="56" t="str">
        <f aca="false">IFERROR(INDEX('Brand Map'!$B$4:$B$124,MATCH(C445,'Brand Map'!$A$4:$A$124,0)),"Other")</f>
        <v>AUMJ</v>
      </c>
      <c r="E445" s="57" t="n">
        <v>28</v>
      </c>
      <c r="F445" s="57" t="n">
        <v>1</v>
      </c>
      <c r="G445" s="58" t="n">
        <v>2518.6</v>
      </c>
      <c r="H445" s="58" t="n">
        <v>89.95</v>
      </c>
      <c r="I445" s="58" t="n">
        <v>2428.65</v>
      </c>
      <c r="J445" s="32" t="n">
        <f aca="false">IF(E445&gt;0,F445/E445,0)</f>
        <v>0.0357142857142857</v>
      </c>
      <c r="K445" s="32" t="n">
        <f aca="false">IF(G445&gt;0,H445/G445,0)</f>
        <v>0.0357142857142857</v>
      </c>
      <c r="L445" s="59" t="n">
        <f aca="false">H445/Settings!$B$16</f>
        <v>0.000179767453860919</v>
      </c>
      <c r="M445" s="59" t="n">
        <f aca="false">H445/Settings!$B$20</f>
        <v>6.98321430376622E-006</v>
      </c>
      <c r="N445" s="60" t="n">
        <f aca="false">E445*Settings!$B$3</f>
        <v>0.867612230234972</v>
      </c>
      <c r="O445" s="60" t="n">
        <f aca="false">IF(E445&gt;0,(F445-N445)/SQRT(E445*Settings!$B$3*(1-Settings!$B$3)),0)</f>
        <v>0.144384323164387</v>
      </c>
      <c r="P445" s="60" t="n">
        <f aca="false">MAX(0,F445-N445)</f>
        <v>0.132387769765028</v>
      </c>
      <c r="Q445" s="32" t="n">
        <f aca="false">(F445+Settings!$B$7*Settings!$B$3)/(E445+Settings!$B$7)</f>
        <v>0.0332686988343899</v>
      </c>
      <c r="R445" s="61" t="n">
        <f aca="false">PERCENTRANK($H$2:$H$1780,H445,6)</f>
        <v>0.744094</v>
      </c>
      <c r="S445" s="61" t="n">
        <f aca="false">PERCENTRANK($Q$2:$Q$1780,Q445,6)</f>
        <v>0.757593</v>
      </c>
      <c r="T445" s="61" t="n">
        <f aca="false">PERCENTRANK($F$2:$F$1780,F445,6)</f>
        <v>0.685039</v>
      </c>
      <c r="U445" s="62" t="n">
        <f aca="false">IF(F445&gt;0,(Settings!$B$8*T445+Settings!$B$9*R445+Settings!$B$10*S445)/SUM(Settings!$B$8:$B$10),0)</f>
        <v>0.728908666666667</v>
      </c>
      <c r="V445" s="56" t="n">
        <f aca="false">IF(U445&gt;0,RANK(U445,$U$2:$U$1780)+COUNTIF($U$2:U445,U445)-1,"")</f>
        <v>444</v>
      </c>
      <c r="W445" s="56" t="str">
        <f aca="false">IF(V445="","",IF(V445&lt;=Settings!$B$11,"1 - Fix first",IF(V445&lt;=Settings!$B$12,"2 - Review","3 - Monitor")))</f>
        <v>3 - Monitor</v>
      </c>
      <c r="X445" s="56" t="str">
        <f aca="false">IF(AND(E445&gt;=Settings!$B$4,F445&gt;=Settings!$B$5,O445&gt;=Settings!$B$6),"HIGH RATE","")</f>
        <v/>
      </c>
      <c r="Y445" s="56" t="n">
        <f aca="false">IF(F445&gt;0,RANK(F445,$F$2:$F$1780)+COUNTIF($F$2:F445,F445)-1,"")</f>
        <v>491</v>
      </c>
      <c r="Z445" s="56" t="n">
        <f aca="false">IF(H445&gt;0,RANK(H445,$H$2:$H$1780)+COUNTIF($H$2:H445,H445)-1,"")</f>
        <v>455</v>
      </c>
      <c r="AA445" s="56" t="str">
        <f aca="false">IF(AC445="","",RANK(AC445,$AC$2:$AC$1780)+COUNTIF($AC$2:AC445,AC445)-1)</f>
        <v/>
      </c>
      <c r="AB445" s="56" t="str">
        <f aca="false">IF(AD445="","",RANK(AD445,$AD$2:$AD$1780)+COUNTIF($AD$2:AD445,AD445)-1)</f>
        <v/>
      </c>
      <c r="AC445" s="56" t="str">
        <f aca="false">IF(AND(F445&gt;0,E445&gt;=Settings!$B$4),J445,"")</f>
        <v/>
      </c>
      <c r="AD445" s="56" t="str">
        <f aca="false">IF(X445="HIGH RATE",O445,"")</f>
        <v/>
      </c>
    </row>
    <row r="446" customFormat="false" ht="15" hidden="false" customHeight="false" outlineLevel="0" collapsed="false">
      <c r="A446" s="56" t="s">
        <v>1518</v>
      </c>
      <c r="B446" s="56" t="s">
        <v>1223</v>
      </c>
      <c r="C446" s="56" t="s">
        <v>87</v>
      </c>
      <c r="D446" s="56" t="str">
        <f aca="false">IFERROR(INDEX('Brand Map'!$B$4:$B$124,MATCH(C446,'Brand Map'!$A$4:$A$124,0)),"Other")</f>
        <v>FYF</v>
      </c>
      <c r="E446" s="57" t="n">
        <v>31</v>
      </c>
      <c r="F446" s="57" t="n">
        <v>1</v>
      </c>
      <c r="G446" s="58" t="n">
        <v>2943.45</v>
      </c>
      <c r="H446" s="58" t="n">
        <v>94.95</v>
      </c>
      <c r="I446" s="58" t="n">
        <v>2848.5</v>
      </c>
      <c r="J446" s="32" t="n">
        <f aca="false">IF(E446&gt;0,F446/E446,0)</f>
        <v>0.032258064516129</v>
      </c>
      <c r="K446" s="32" t="n">
        <f aca="false">IF(G446&gt;0,H446/G446,0)</f>
        <v>0.032258064516129</v>
      </c>
      <c r="L446" s="59" t="n">
        <f aca="false">H446/Settings!$B$16</f>
        <v>0.000189760086093322</v>
      </c>
      <c r="M446" s="59" t="n">
        <f aca="false">H446/Settings!$B$20</f>
        <v>7.3713863050873E-006</v>
      </c>
      <c r="N446" s="60" t="n">
        <f aca="false">E446*Settings!$B$3</f>
        <v>0.960570683474433</v>
      </c>
      <c r="O446" s="60" t="n">
        <f aca="false">IF(E446&gt;0,(F446-N446)/SQRT(E446*Settings!$B$3*(1-Settings!$B$3)),0)</f>
        <v>0.0408685842264537</v>
      </c>
      <c r="P446" s="60" t="n">
        <f aca="false">MAX(0,F446-N446)</f>
        <v>0.039429316525567</v>
      </c>
      <c r="Q446" s="32" t="n">
        <f aca="false">(F446+Settings!$B$7*Settings!$B$3)/(E446+Settings!$B$7)</f>
        <v>0.0316325333179445</v>
      </c>
      <c r="R446" s="61" t="n">
        <f aca="false">PERCENTRANK($H$2:$H$1780,H446,6)</f>
        <v>0.748594</v>
      </c>
      <c r="S446" s="61" t="n">
        <f aca="false">PERCENTRANK($Q$2:$Q$1780,Q446,6)</f>
        <v>0.751969</v>
      </c>
      <c r="T446" s="61" t="n">
        <f aca="false">PERCENTRANK($F$2:$F$1780,F446,6)</f>
        <v>0.685039</v>
      </c>
      <c r="U446" s="62" t="n">
        <f aca="false">IF(F446&gt;0,(Settings!$B$8*T446+Settings!$B$9*R446+Settings!$B$10*S446)/SUM(Settings!$B$8:$B$10),0)</f>
        <v>0.728534</v>
      </c>
      <c r="V446" s="56" t="n">
        <f aca="false">IF(U446&gt;0,RANK(U446,$U$2:$U$1780)+COUNTIF($U$2:U446,U446)-1,"")</f>
        <v>445</v>
      </c>
      <c r="W446" s="56" t="str">
        <f aca="false">IF(V446="","",IF(V446&lt;=Settings!$B$11,"1 - Fix first",IF(V446&lt;=Settings!$B$12,"2 - Review","3 - Monitor")))</f>
        <v>3 - Monitor</v>
      </c>
      <c r="X446" s="56" t="str">
        <f aca="false">IF(AND(E446&gt;=Settings!$B$4,F446&gt;=Settings!$B$5,O446&gt;=Settings!$B$6),"HIGH RATE","")</f>
        <v/>
      </c>
      <c r="Y446" s="56" t="n">
        <f aca="false">IF(F446&gt;0,RANK(F446,$F$2:$F$1780)+COUNTIF($F$2:F446,F446)-1,"")</f>
        <v>492</v>
      </c>
      <c r="Z446" s="56" t="n">
        <f aca="false">IF(H446&gt;0,RANK(H446,$H$2:$H$1780)+COUNTIF($H$2:H446,H446)-1,"")</f>
        <v>446</v>
      </c>
      <c r="AA446" s="56" t="n">
        <f aca="false">IF(AC446="","",RANK(AC446,$AC$2:$AC$1780)+COUNTIF($AC$2:AC446,AC446)-1)</f>
        <v>248</v>
      </c>
      <c r="AB446" s="56" t="str">
        <f aca="false">IF(AD446="","",RANK(AD446,$AD$2:$AD$1780)+COUNTIF($AD$2:AD446,AD446)-1)</f>
        <v/>
      </c>
      <c r="AC446" s="32" t="n">
        <f aca="false">IF(AND(F446&gt;0,E446&gt;=Settings!$B$4),J446,"")</f>
        <v>0.032258064516129</v>
      </c>
      <c r="AD446" s="56" t="str">
        <f aca="false">IF(X446="HIGH RATE",O446,"")</f>
        <v/>
      </c>
    </row>
    <row r="447" customFormat="false" ht="15" hidden="false" customHeight="false" outlineLevel="0" collapsed="false">
      <c r="A447" s="56" t="s">
        <v>1519</v>
      </c>
      <c r="B447" s="56" t="s">
        <v>1520</v>
      </c>
      <c r="C447" s="56" t="s">
        <v>51</v>
      </c>
      <c r="D447" s="56" t="str">
        <f aca="false">IFERROR(INDEX('Brand Map'!$B$4:$B$124,MATCH(C447,'Brand Map'!$A$4:$A$124,0)),"Other")</f>
        <v>AU</v>
      </c>
      <c r="E447" s="57" t="n">
        <v>28</v>
      </c>
      <c r="F447" s="57" t="n">
        <v>1</v>
      </c>
      <c r="G447" s="58" t="n">
        <v>2822.08</v>
      </c>
      <c r="H447" s="58" t="n">
        <v>84.96</v>
      </c>
      <c r="I447" s="58" t="n">
        <v>2722.13</v>
      </c>
      <c r="J447" s="32" t="n">
        <f aca="false">IF(E447&gt;0,F447/E447,0)</f>
        <v>0.0357142857142857</v>
      </c>
      <c r="K447" s="32" t="n">
        <f aca="false">IF(G447&gt;0,H447/G447,0)</f>
        <v>0.0301054541331217</v>
      </c>
      <c r="L447" s="59" t="n">
        <f aca="false">H447/Settings!$B$16</f>
        <v>0.000169794806892982</v>
      </c>
      <c r="M447" s="59" t="n">
        <f aca="false">H447/Settings!$B$20</f>
        <v>6.59581864644779E-006</v>
      </c>
      <c r="N447" s="60" t="n">
        <f aca="false">E447*Settings!$B$3</f>
        <v>0.867612230234972</v>
      </c>
      <c r="O447" s="60" t="n">
        <f aca="false">IF(E447&gt;0,(F447-N447)/SQRT(E447*Settings!$B$3*(1-Settings!$B$3)),0)</f>
        <v>0.144384323164387</v>
      </c>
      <c r="P447" s="60" t="n">
        <f aca="false">MAX(0,F447-N447)</f>
        <v>0.132387769765028</v>
      </c>
      <c r="Q447" s="32" t="n">
        <f aca="false">(F447+Settings!$B$7*Settings!$B$3)/(E447+Settings!$B$7)</f>
        <v>0.0332686988343899</v>
      </c>
      <c r="R447" s="61" t="n">
        <f aca="false">PERCENTRANK($H$2:$H$1780,H447,6)</f>
        <v>0.739033</v>
      </c>
      <c r="S447" s="61" t="n">
        <f aca="false">PERCENTRANK($Q$2:$Q$1780,Q447,6)</f>
        <v>0.757593</v>
      </c>
      <c r="T447" s="61" t="n">
        <f aca="false">PERCENTRANK($F$2:$F$1780,F447,6)</f>
        <v>0.685039</v>
      </c>
      <c r="U447" s="62" t="n">
        <f aca="false">IF(F447&gt;0,(Settings!$B$8*T447+Settings!$B$9*R447+Settings!$B$10*S447)/SUM(Settings!$B$8:$B$10),0)</f>
        <v>0.727221666666667</v>
      </c>
      <c r="V447" s="56" t="n">
        <f aca="false">IF(U447&gt;0,RANK(U447,$U$2:$U$1780)+COUNTIF($U$2:U447,U447)-1,"")</f>
        <v>446</v>
      </c>
      <c r="W447" s="56" t="str">
        <f aca="false">IF(V447="","",IF(V447&lt;=Settings!$B$11,"1 - Fix first",IF(V447&lt;=Settings!$B$12,"2 - Review","3 - Monitor")))</f>
        <v>3 - Monitor</v>
      </c>
      <c r="X447" s="56" t="str">
        <f aca="false">IF(AND(E447&gt;=Settings!$B$4,F447&gt;=Settings!$B$5,O447&gt;=Settings!$B$6),"HIGH RATE","")</f>
        <v/>
      </c>
      <c r="Y447" s="56" t="n">
        <f aca="false">IF(F447&gt;0,RANK(F447,$F$2:$F$1780)+COUNTIF($F$2:F447,F447)-1,"")</f>
        <v>493</v>
      </c>
      <c r="Z447" s="56" t="n">
        <f aca="false">IF(H447&gt;0,RANK(H447,$H$2:$H$1780)+COUNTIF($H$2:H447,H447)-1,"")</f>
        <v>465</v>
      </c>
      <c r="AA447" s="56" t="str">
        <f aca="false">IF(AC447="","",RANK(AC447,$AC$2:$AC$1780)+COUNTIF($AC$2:AC447,AC447)-1)</f>
        <v/>
      </c>
      <c r="AB447" s="56" t="str">
        <f aca="false">IF(AD447="","",RANK(AD447,$AD$2:$AD$1780)+COUNTIF($AD$2:AD447,AD447)-1)</f>
        <v/>
      </c>
      <c r="AC447" s="56" t="str">
        <f aca="false">IF(AND(F447&gt;0,E447&gt;=Settings!$B$4),J447,"")</f>
        <v/>
      </c>
      <c r="AD447" s="56" t="str">
        <f aca="false">IF(X447="HIGH RATE",O447,"")</f>
        <v/>
      </c>
    </row>
    <row r="448" customFormat="false" ht="15" hidden="false" customHeight="false" outlineLevel="0" collapsed="false">
      <c r="A448" s="56" t="s">
        <v>1521</v>
      </c>
      <c r="B448" s="56" t="s">
        <v>1522</v>
      </c>
      <c r="C448" s="56" t="s">
        <v>653</v>
      </c>
      <c r="D448" s="56" t="str">
        <f aca="false">IFERROR(INDEX('Brand Map'!$B$4:$B$124,MATCH(C448,'Brand Map'!$A$4:$A$124,0)),"Other")</f>
        <v>Other (small prefixes)</v>
      </c>
      <c r="E448" s="57" t="n">
        <v>26</v>
      </c>
      <c r="F448" s="57" t="n">
        <v>1</v>
      </c>
      <c r="G448" s="58" t="n">
        <v>2792.54</v>
      </c>
      <c r="H448" s="58" t="n">
        <v>76.33</v>
      </c>
      <c r="I448" s="58" t="n">
        <v>2697.13</v>
      </c>
      <c r="J448" s="32" t="n">
        <f aca="false">IF(E448&gt;0,F448/E448,0)</f>
        <v>0.0384615384615385</v>
      </c>
      <c r="K448" s="32" t="n">
        <f aca="false">IF(G448&gt;0,H448/G448,0)</f>
        <v>0.0273335386422397</v>
      </c>
      <c r="L448" s="59" t="n">
        <f aca="false">H448/Settings!$B$16</f>
        <v>0.000152547523659855</v>
      </c>
      <c r="M448" s="59" t="n">
        <f aca="false">H448/Settings!$B$20</f>
        <v>5.9258337721676E-006</v>
      </c>
      <c r="N448" s="60" t="n">
        <f aca="false">E448*Settings!$B$3</f>
        <v>0.805639928075331</v>
      </c>
      <c r="O448" s="60" t="n">
        <f aca="false">IF(E448&gt;0,(F448-N448)/SQRT(E448*Settings!$B$3*(1-Settings!$B$3)),0)</f>
        <v>0.219974109433691</v>
      </c>
      <c r="P448" s="60" t="n">
        <f aca="false">MAX(0,F448-N448)</f>
        <v>0.194360071924669</v>
      </c>
      <c r="Q448" s="32" t="n">
        <f aca="false">(F448+Settings!$B$7*Settings!$B$3)/(E448+Settings!$B$7)</f>
        <v>0.0344568666499038</v>
      </c>
      <c r="R448" s="61" t="n">
        <f aca="false">PERCENTRANK($H$2:$H$1780,H448,6)</f>
        <v>0.727222</v>
      </c>
      <c r="S448" s="61" t="n">
        <f aca="false">PERCENTRANK($Q$2:$Q$1780,Q448,6)</f>
        <v>0.769404</v>
      </c>
      <c r="T448" s="61" t="n">
        <f aca="false">PERCENTRANK($F$2:$F$1780,F448,6)</f>
        <v>0.685039</v>
      </c>
      <c r="U448" s="62" t="n">
        <f aca="false">IF(F448&gt;0,(Settings!$B$8*T448+Settings!$B$9*R448+Settings!$B$10*S448)/SUM(Settings!$B$8:$B$10),0)</f>
        <v>0.727221666666667</v>
      </c>
      <c r="V448" s="56" t="n">
        <f aca="false">IF(U448&gt;0,RANK(U448,$U$2:$U$1780)+COUNTIF($U$2:U448,U448)-1,"")</f>
        <v>447</v>
      </c>
      <c r="W448" s="56" t="str">
        <f aca="false">IF(V448="","",IF(V448&lt;=Settings!$B$11,"1 - Fix first",IF(V448&lt;=Settings!$B$12,"2 - Review","3 - Monitor")))</f>
        <v>3 - Monitor</v>
      </c>
      <c r="X448" s="56" t="str">
        <f aca="false">IF(AND(E448&gt;=Settings!$B$4,F448&gt;=Settings!$B$5,O448&gt;=Settings!$B$6),"HIGH RATE","")</f>
        <v/>
      </c>
      <c r="Y448" s="56" t="n">
        <f aca="false">IF(F448&gt;0,RANK(F448,$F$2:$F$1780)+COUNTIF($F$2:F448,F448)-1,"")</f>
        <v>494</v>
      </c>
      <c r="Z448" s="56" t="n">
        <f aca="false">IF(H448&gt;0,RANK(H448,$H$2:$H$1780)+COUNTIF($H$2:H448,H448)-1,"")</f>
        <v>485</v>
      </c>
      <c r="AA448" s="56" t="str">
        <f aca="false">IF(AC448="","",RANK(AC448,$AC$2:$AC$1780)+COUNTIF($AC$2:AC448,AC448)-1)</f>
        <v/>
      </c>
      <c r="AB448" s="56" t="str">
        <f aca="false">IF(AD448="","",RANK(AD448,$AD$2:$AD$1780)+COUNTIF($AD$2:AD448,AD448)-1)</f>
        <v/>
      </c>
      <c r="AC448" s="56" t="str">
        <f aca="false">IF(AND(F448&gt;0,E448&gt;=Settings!$B$4),J448,"")</f>
        <v/>
      </c>
      <c r="AD448" s="56" t="str">
        <f aca="false">IF(X448="HIGH RATE",O448,"")</f>
        <v/>
      </c>
    </row>
    <row r="449" customFormat="false" ht="15" hidden="false" customHeight="false" outlineLevel="0" collapsed="false">
      <c r="A449" s="56" t="s">
        <v>1523</v>
      </c>
      <c r="B449" s="56" t="s">
        <v>1524</v>
      </c>
      <c r="C449" s="56" t="s">
        <v>51</v>
      </c>
      <c r="D449" s="56" t="str">
        <f aca="false">IFERROR(INDEX('Brand Map'!$B$4:$B$124,MATCH(C449,'Brand Map'!$A$4:$A$124,0)),"Other")</f>
        <v>AU</v>
      </c>
      <c r="E449" s="57" t="n">
        <v>22</v>
      </c>
      <c r="F449" s="57" t="n">
        <v>1</v>
      </c>
      <c r="G449" s="58" t="n">
        <v>1136.22</v>
      </c>
      <c r="H449" s="58" t="n">
        <v>54.5</v>
      </c>
      <c r="I449" s="58" t="n">
        <v>1065.38</v>
      </c>
      <c r="J449" s="32" t="n">
        <f aca="false">IF(E449&gt;0,F449/E449,0)</f>
        <v>0.0454545454545455</v>
      </c>
      <c r="K449" s="32" t="n">
        <f aca="false">IF(G449&gt;0,H449/G449,0)</f>
        <v>0.0479660629103519</v>
      </c>
      <c r="L449" s="59" t="n">
        <f aca="false">H449/Settings!$B$16</f>
        <v>0.000108919691333186</v>
      </c>
      <c r="M449" s="59" t="n">
        <f aca="false">H449/Settings!$B$20</f>
        <v>4.23107481439977E-006</v>
      </c>
      <c r="N449" s="60" t="n">
        <f aca="false">E449*Settings!$B$3</f>
        <v>0.681695323756049</v>
      </c>
      <c r="O449" s="60" t="n">
        <f aca="false">IF(E449&gt;0,(F449-N449)/SQRT(E449*Settings!$B$3*(1-Settings!$B$3)),0)</f>
        <v>0.391636237444016</v>
      </c>
      <c r="P449" s="60" t="n">
        <f aca="false">MAX(0,F449-N449)</f>
        <v>0.318304676243951</v>
      </c>
      <c r="Q449" s="32" t="n">
        <f aca="false">(F449+Settings!$B$7*Settings!$B$3)/(E449+Settings!$B$7)</f>
        <v>0.0371073948537426</v>
      </c>
      <c r="R449" s="61" t="n">
        <f aca="false">PERCENTRANK($H$2:$H$1780,H449,6)</f>
        <v>0.704724</v>
      </c>
      <c r="S449" s="61" t="n">
        <f aca="false">PERCENTRANK($Q$2:$Q$1780,Q449,6)</f>
        <v>0.789089</v>
      </c>
      <c r="T449" s="61" t="n">
        <f aca="false">PERCENTRANK($F$2:$F$1780,F449,6)</f>
        <v>0.685039</v>
      </c>
      <c r="U449" s="62" t="n">
        <f aca="false">IF(F449&gt;0,(Settings!$B$8*T449+Settings!$B$9*R449+Settings!$B$10*S449)/SUM(Settings!$B$8:$B$10),0)</f>
        <v>0.726284</v>
      </c>
      <c r="V449" s="56" t="n">
        <f aca="false">IF(U449&gt;0,RANK(U449,$U$2:$U$1780)+COUNTIF($U$2:U449,U449)-1,"")</f>
        <v>448</v>
      </c>
      <c r="W449" s="56" t="str">
        <f aca="false">IF(V449="","",IF(V449&lt;=Settings!$B$11,"1 - Fix first",IF(V449&lt;=Settings!$B$12,"2 - Review","3 - Monitor")))</f>
        <v>3 - Monitor</v>
      </c>
      <c r="X449" s="56" t="str">
        <f aca="false">IF(AND(E449&gt;=Settings!$B$4,F449&gt;=Settings!$B$5,O449&gt;=Settings!$B$6),"HIGH RATE","")</f>
        <v/>
      </c>
      <c r="Y449" s="56" t="n">
        <f aca="false">IF(F449&gt;0,RANK(F449,$F$2:$F$1780)+COUNTIF($F$2:F449,F449)-1,"")</f>
        <v>495</v>
      </c>
      <c r="Z449" s="56" t="n">
        <f aca="false">IF(H449&gt;0,RANK(H449,$H$2:$H$1780)+COUNTIF($H$2:H449,H449)-1,"")</f>
        <v>525</v>
      </c>
      <c r="AA449" s="56" t="str">
        <f aca="false">IF(AC449="","",RANK(AC449,$AC$2:$AC$1780)+COUNTIF($AC$2:AC449,AC449)-1)</f>
        <v/>
      </c>
      <c r="AB449" s="56" t="str">
        <f aca="false">IF(AD449="","",RANK(AD449,$AD$2:$AD$1780)+COUNTIF($AD$2:AD449,AD449)-1)</f>
        <v/>
      </c>
      <c r="AC449" s="56" t="str">
        <f aca="false">IF(AND(F449&gt;0,E449&gt;=Settings!$B$4),J449,"")</f>
        <v/>
      </c>
      <c r="AD449" s="56" t="str">
        <f aca="false">IF(X449="HIGH RATE",O449,"")</f>
        <v/>
      </c>
    </row>
    <row r="450" customFormat="false" ht="15" hidden="false" customHeight="false" outlineLevel="0" collapsed="false">
      <c r="A450" s="56" t="s">
        <v>1525</v>
      </c>
      <c r="B450" s="56" t="s">
        <v>1280</v>
      </c>
      <c r="C450" s="56" t="s">
        <v>87</v>
      </c>
      <c r="D450" s="56" t="str">
        <f aca="false">IFERROR(INDEX('Brand Map'!$B$4:$B$124,MATCH(C450,'Brand Map'!$A$4:$A$124,0)),"Other")</f>
        <v>FYF</v>
      </c>
      <c r="E450" s="57" t="n">
        <v>28</v>
      </c>
      <c r="F450" s="57" t="n">
        <v>1</v>
      </c>
      <c r="G450" s="58" t="n">
        <v>2378.6</v>
      </c>
      <c r="H450" s="58" t="n">
        <v>84.95</v>
      </c>
      <c r="I450" s="58" t="n">
        <v>2293.65</v>
      </c>
      <c r="J450" s="32" t="n">
        <f aca="false">IF(E450&gt;0,F450/E450,0)</f>
        <v>0.0357142857142857</v>
      </c>
      <c r="K450" s="32" t="n">
        <f aca="false">IF(G450&gt;0,H450/G450,0)</f>
        <v>0.0357142857142857</v>
      </c>
      <c r="L450" s="59" t="n">
        <f aca="false">H450/Settings!$B$16</f>
        <v>0.000169774821628517</v>
      </c>
      <c r="M450" s="59" t="n">
        <f aca="false">H450/Settings!$B$20</f>
        <v>6.59504230244514E-006</v>
      </c>
      <c r="N450" s="60" t="n">
        <f aca="false">E450*Settings!$B$3</f>
        <v>0.867612230234972</v>
      </c>
      <c r="O450" s="60" t="n">
        <f aca="false">IF(E450&gt;0,(F450-N450)/SQRT(E450*Settings!$B$3*(1-Settings!$B$3)),0)</f>
        <v>0.144384323164387</v>
      </c>
      <c r="P450" s="60" t="n">
        <f aca="false">MAX(0,F450-N450)</f>
        <v>0.132387769765028</v>
      </c>
      <c r="Q450" s="32" t="n">
        <f aca="false">(F450+Settings!$B$7*Settings!$B$3)/(E450+Settings!$B$7)</f>
        <v>0.0332686988343899</v>
      </c>
      <c r="R450" s="61" t="n">
        <f aca="false">PERCENTRANK($H$2:$H$1780,H450,6)</f>
        <v>0.735658</v>
      </c>
      <c r="S450" s="61" t="n">
        <f aca="false">PERCENTRANK($Q$2:$Q$1780,Q450,6)</f>
        <v>0.757593</v>
      </c>
      <c r="T450" s="61" t="n">
        <f aca="false">PERCENTRANK($F$2:$F$1780,F450,6)</f>
        <v>0.685039</v>
      </c>
      <c r="U450" s="62" t="n">
        <f aca="false">IF(F450&gt;0,(Settings!$B$8*T450+Settings!$B$9*R450+Settings!$B$10*S450)/SUM(Settings!$B$8:$B$10),0)</f>
        <v>0.726096666666667</v>
      </c>
      <c r="V450" s="56" t="n">
        <f aca="false">IF(U450&gt;0,RANK(U450,$U$2:$U$1780)+COUNTIF($U$2:U450,U450)-1,"")</f>
        <v>449</v>
      </c>
      <c r="W450" s="56" t="str">
        <f aca="false">IF(V450="","",IF(V450&lt;=Settings!$B$11,"1 - Fix first",IF(V450&lt;=Settings!$B$12,"2 - Review","3 - Monitor")))</f>
        <v>3 - Monitor</v>
      </c>
      <c r="X450" s="56" t="str">
        <f aca="false">IF(AND(E450&gt;=Settings!$B$4,F450&gt;=Settings!$B$5,O450&gt;=Settings!$B$6),"HIGH RATE","")</f>
        <v/>
      </c>
      <c r="Y450" s="56" t="n">
        <f aca="false">IF(F450&gt;0,RANK(F450,$F$2:$F$1780)+COUNTIF($F$2:F450,F450)-1,"")</f>
        <v>496</v>
      </c>
      <c r="Z450" s="56" t="n">
        <f aca="false">IF(H450&gt;0,RANK(H450,$H$2:$H$1780)+COUNTIF($H$2:H450,H450)-1,"")</f>
        <v>470</v>
      </c>
      <c r="AA450" s="56" t="str">
        <f aca="false">IF(AC450="","",RANK(AC450,$AC$2:$AC$1780)+COUNTIF($AC$2:AC450,AC450)-1)</f>
        <v/>
      </c>
      <c r="AB450" s="56" t="str">
        <f aca="false">IF(AD450="","",RANK(AD450,$AD$2:$AD$1780)+COUNTIF($AD$2:AD450,AD450)-1)</f>
        <v/>
      </c>
      <c r="AC450" s="56" t="str">
        <f aca="false">IF(AND(F450&gt;0,E450&gt;=Settings!$B$4),J450,"")</f>
        <v/>
      </c>
      <c r="AD450" s="56" t="str">
        <f aca="false">IF(X450="HIGH RATE",O450,"")</f>
        <v/>
      </c>
    </row>
    <row r="451" customFormat="false" ht="15" hidden="false" customHeight="false" outlineLevel="0" collapsed="false">
      <c r="A451" s="56" t="s">
        <v>1526</v>
      </c>
      <c r="B451" s="56" t="s">
        <v>1527</v>
      </c>
      <c r="C451" s="56" t="s">
        <v>148</v>
      </c>
      <c r="D451" s="56" t="str">
        <f aca="false">IFERROR(INDEX('Brand Map'!$B$4:$B$124,MATCH(C451,'Brand Map'!$A$4:$A$124,0)),"Other")</f>
        <v>FBAU</v>
      </c>
      <c r="E451" s="57" t="n">
        <v>283</v>
      </c>
      <c r="F451" s="57" t="n">
        <v>8</v>
      </c>
      <c r="G451" s="58" t="n">
        <v>19137.49</v>
      </c>
      <c r="H451" s="58" t="n">
        <v>468.31</v>
      </c>
      <c r="I451" s="58" t="n">
        <v>18161.58</v>
      </c>
      <c r="J451" s="32" t="n">
        <f aca="false">IF(E451&gt;0,F451/E451,0)</f>
        <v>0.0282685512367491</v>
      </c>
      <c r="K451" s="32" t="n">
        <f aca="false">IF(G451&gt;0,H451/G451,0)</f>
        <v>0.0244708161833135</v>
      </c>
      <c r="L451" s="59" t="n">
        <f aca="false">H451/Settings!$B$16</f>
        <v>0.000935929920151274</v>
      </c>
      <c r="M451" s="59" t="n">
        <f aca="false">H451/Settings!$B$20</f>
        <v>3.6356965987735E-005</v>
      </c>
      <c r="N451" s="60" t="n">
        <f aca="false">E451*Settings!$B$3</f>
        <v>8.76908075558918</v>
      </c>
      <c r="O451" s="60" t="n">
        <f aca="false">IF(E451&gt;0,(F451-N451)/SQRT(E451*Settings!$B$3*(1-Settings!$B$3)),0)</f>
        <v>-0.263833487078656</v>
      </c>
      <c r="P451" s="60" t="n">
        <f aca="false">MAX(0,F451-N451)</f>
        <v>0</v>
      </c>
      <c r="Q451" s="32" t="n">
        <f aca="false">(F451+Settings!$B$7*Settings!$B$3)/(E451+Settings!$B$7)</f>
        <v>0.0285290240651585</v>
      </c>
      <c r="R451" s="61" t="n">
        <f aca="false">PERCENTRANK($H$2:$H$1780,H451,6)</f>
        <v>0.899325</v>
      </c>
      <c r="S451" s="61" t="n">
        <f aca="false">PERCENTRANK($Q$2:$Q$1780,Q451,6)</f>
        <v>0.364454</v>
      </c>
      <c r="T451" s="61" t="n">
        <f aca="false">PERCENTRANK($F$2:$F$1780,F451,6)</f>
        <v>0.912823</v>
      </c>
      <c r="U451" s="62" t="n">
        <f aca="false">IF(F451&gt;0,(Settings!$B$8*T451+Settings!$B$9*R451+Settings!$B$10*S451)/SUM(Settings!$B$8:$B$10),0)</f>
        <v>0.725534</v>
      </c>
      <c r="V451" s="56" t="n">
        <f aca="false">IF(U451&gt;0,RANK(U451,$U$2:$U$1780)+COUNTIF($U$2:U451,U451)-1,"")</f>
        <v>450</v>
      </c>
      <c r="W451" s="56" t="str">
        <f aca="false">IF(V451="","",IF(V451&lt;=Settings!$B$11,"1 - Fix first",IF(V451&lt;=Settings!$B$12,"2 - Review","3 - Monitor")))</f>
        <v>3 - Monitor</v>
      </c>
      <c r="X451" s="56" t="str">
        <f aca="false">IF(AND(E451&gt;=Settings!$B$4,F451&gt;=Settings!$B$5,O451&gt;=Settings!$B$6),"HIGH RATE","")</f>
        <v/>
      </c>
      <c r="Y451" s="56" t="n">
        <f aca="false">IF(F451&gt;0,RANK(F451,$F$2:$F$1780)+COUNTIF($F$2:F451,F451)-1,"")</f>
        <v>155</v>
      </c>
      <c r="Z451" s="56" t="n">
        <f aca="false">IF(H451&gt;0,RANK(H451,$H$2:$H$1780)+COUNTIF($H$2:H451,H451)-1,"")</f>
        <v>180</v>
      </c>
      <c r="AA451" s="56" t="n">
        <f aca="false">IF(AC451="","",RANK(AC451,$AC$2:$AC$1780)+COUNTIF($AC$2:AC451,AC451)-1)</f>
        <v>275</v>
      </c>
      <c r="AB451" s="56" t="str">
        <f aca="false">IF(AD451="","",RANK(AD451,$AD$2:$AD$1780)+COUNTIF($AD$2:AD451,AD451)-1)</f>
        <v/>
      </c>
      <c r="AC451" s="32" t="n">
        <f aca="false">IF(AND(F451&gt;0,E451&gt;=Settings!$B$4),J451,"")</f>
        <v>0.0282685512367491</v>
      </c>
      <c r="AD451" s="56" t="str">
        <f aca="false">IF(X451="HIGH RATE",O451,"")</f>
        <v/>
      </c>
    </row>
    <row r="452" customFormat="false" ht="15" hidden="false" customHeight="false" outlineLevel="0" collapsed="false">
      <c r="A452" s="56" t="s">
        <v>1528</v>
      </c>
      <c r="B452" s="56" t="s">
        <v>880</v>
      </c>
      <c r="C452" s="56" t="s">
        <v>55</v>
      </c>
      <c r="D452" s="56" t="str">
        <f aca="false">IFERROR(INDEX('Brand Map'!$B$4:$B$124,MATCH(C452,'Brand Map'!$A$4:$A$124,0)),"Other")</f>
        <v>AUMJ</v>
      </c>
      <c r="E452" s="57" t="n">
        <v>21</v>
      </c>
      <c r="F452" s="57" t="n">
        <v>1</v>
      </c>
      <c r="G452" s="58" t="n">
        <v>1168.98</v>
      </c>
      <c r="H452" s="58" t="n">
        <v>38.6</v>
      </c>
      <c r="I452" s="58" t="n">
        <v>1089.88</v>
      </c>
      <c r="J452" s="32" t="n">
        <f aca="false">IF(E452&gt;0,F452/E452,0)</f>
        <v>0.0476190476190476</v>
      </c>
      <c r="K452" s="32" t="n">
        <f aca="false">IF(G452&gt;0,H452/G452,0)</f>
        <v>0.0330202398672347</v>
      </c>
      <c r="L452" s="59" t="n">
        <f aca="false">H452/Settings!$B$16</f>
        <v>7.71431208341466E-005</v>
      </c>
      <c r="M452" s="59" t="n">
        <f aca="false">H452/Settings!$B$20</f>
        <v>2.99668785019874E-006</v>
      </c>
      <c r="N452" s="60" t="n">
        <f aca="false">E452*Settings!$B$3</f>
        <v>0.650709172676229</v>
      </c>
      <c r="O452" s="60" t="n">
        <f aca="false">IF(E452&gt;0,(F452-N452)/SQRT(E452*Settings!$B$3*(1-Settings!$B$3)),0)</f>
        <v>0.439874437508715</v>
      </c>
      <c r="P452" s="60" t="n">
        <f aca="false">MAX(0,F452-N452)</f>
        <v>0.349290827323771</v>
      </c>
      <c r="Q452" s="32" t="n">
        <f aca="false">(F452+Settings!$B$7*Settings!$B$3)/(E452+Settings!$B$7)</f>
        <v>0.0378349908312669</v>
      </c>
      <c r="R452" s="61" t="n">
        <f aca="false">PERCENTRANK($H$2:$H$1780,H452,6)</f>
        <v>0.695163</v>
      </c>
      <c r="S452" s="61" t="n">
        <f aca="false">PERCENTRANK($Q$2:$Q$1780,Q452,6)</f>
        <v>0.793026</v>
      </c>
      <c r="T452" s="61" t="n">
        <f aca="false">PERCENTRANK($F$2:$F$1780,F452,6)</f>
        <v>0.685039</v>
      </c>
      <c r="U452" s="62" t="n">
        <f aca="false">IF(F452&gt;0,(Settings!$B$8*T452+Settings!$B$9*R452+Settings!$B$10*S452)/SUM(Settings!$B$8:$B$10),0)</f>
        <v>0.724409333333333</v>
      </c>
      <c r="V452" s="56" t="n">
        <f aca="false">IF(U452&gt;0,RANK(U452,$U$2:$U$1780)+COUNTIF($U$2:U452,U452)-1,"")</f>
        <v>451</v>
      </c>
      <c r="W452" s="56" t="str">
        <f aca="false">IF(V452="","",IF(V452&lt;=Settings!$B$11,"1 - Fix first",IF(V452&lt;=Settings!$B$12,"2 - Review","3 - Monitor")))</f>
        <v>3 - Monitor</v>
      </c>
      <c r="X452" s="56" t="str">
        <f aca="false">IF(AND(E452&gt;=Settings!$B$4,F452&gt;=Settings!$B$5,O452&gt;=Settings!$B$6),"HIGH RATE","")</f>
        <v/>
      </c>
      <c r="Y452" s="56" t="n">
        <f aca="false">IF(F452&gt;0,RANK(F452,$F$2:$F$1780)+COUNTIF($F$2:F452,F452)-1,"")</f>
        <v>497</v>
      </c>
      <c r="Z452" s="56" t="n">
        <f aca="false">IF(H452&gt;0,RANK(H452,$H$2:$H$1780)+COUNTIF($H$2:H452,H452)-1,"")</f>
        <v>543</v>
      </c>
      <c r="AA452" s="56" t="str">
        <f aca="false">IF(AC452="","",RANK(AC452,$AC$2:$AC$1780)+COUNTIF($AC$2:AC452,AC452)-1)</f>
        <v/>
      </c>
      <c r="AB452" s="56" t="str">
        <f aca="false">IF(AD452="","",RANK(AD452,$AD$2:$AD$1780)+COUNTIF($AD$2:AD452,AD452)-1)</f>
        <v/>
      </c>
      <c r="AC452" s="56" t="str">
        <f aca="false">IF(AND(F452&gt;0,E452&gt;=Settings!$B$4),J452,"")</f>
        <v/>
      </c>
      <c r="AD452" s="56" t="str">
        <f aca="false">IF(X452="HIGH RATE",O452,"")</f>
        <v/>
      </c>
    </row>
    <row r="453" customFormat="false" ht="15" hidden="false" customHeight="false" outlineLevel="0" collapsed="false">
      <c r="A453" s="56" t="s">
        <v>1529</v>
      </c>
      <c r="B453" s="56" t="s">
        <v>1452</v>
      </c>
      <c r="C453" s="56" t="s">
        <v>87</v>
      </c>
      <c r="D453" s="56" t="str">
        <f aca="false">IFERROR(INDEX('Brand Map'!$B$4:$B$124,MATCH(C453,'Brand Map'!$A$4:$A$124,0)),"Other")</f>
        <v>FYF</v>
      </c>
      <c r="E453" s="57" t="n">
        <v>32</v>
      </c>
      <c r="F453" s="57" t="n">
        <v>1</v>
      </c>
      <c r="G453" s="58" t="n">
        <v>2718.4</v>
      </c>
      <c r="H453" s="58" t="n">
        <v>84.95</v>
      </c>
      <c r="I453" s="58" t="n">
        <v>2633.45</v>
      </c>
      <c r="J453" s="32" t="n">
        <f aca="false">IF(E453&gt;0,F453/E453,0)</f>
        <v>0.03125</v>
      </c>
      <c r="K453" s="32" t="n">
        <f aca="false">IF(G453&gt;0,H453/G453,0)</f>
        <v>0.03125</v>
      </c>
      <c r="L453" s="59" t="n">
        <f aca="false">H453/Settings!$B$16</f>
        <v>0.000169774821628517</v>
      </c>
      <c r="M453" s="59" t="n">
        <f aca="false">H453/Settings!$B$20</f>
        <v>6.59504230244514E-006</v>
      </c>
      <c r="N453" s="60" t="n">
        <f aca="false">E453*Settings!$B$3</f>
        <v>0.991556834554253</v>
      </c>
      <c r="O453" s="60" t="n">
        <f aca="false">IF(E453&gt;0,(F453-N453)/SQRT(E453*Settings!$B$3*(1-Settings!$B$3)),0)</f>
        <v>0.00861353655793674</v>
      </c>
      <c r="P453" s="60" t="n">
        <f aca="false">MAX(0,F453-N453)</f>
        <v>0.00844316544574664</v>
      </c>
      <c r="Q453" s="32" t="n">
        <f aca="false">(F453+Settings!$B$7*Settings!$B$3)/(E453+Settings!$B$7)</f>
        <v>0.031122331167655</v>
      </c>
      <c r="R453" s="61" t="n">
        <f aca="false">PERCENTRANK($H$2:$H$1780,H453,6)</f>
        <v>0.735658</v>
      </c>
      <c r="S453" s="61" t="n">
        <f aca="false">PERCENTRANK($Q$2:$Q$1780,Q453,6)</f>
        <v>0.747469</v>
      </c>
      <c r="T453" s="61" t="n">
        <f aca="false">PERCENTRANK($F$2:$F$1780,F453,6)</f>
        <v>0.685039</v>
      </c>
      <c r="U453" s="62" t="n">
        <f aca="false">IF(F453&gt;0,(Settings!$B$8*T453+Settings!$B$9*R453+Settings!$B$10*S453)/SUM(Settings!$B$8:$B$10),0)</f>
        <v>0.722722</v>
      </c>
      <c r="V453" s="56" t="n">
        <f aca="false">IF(U453&gt;0,RANK(U453,$U$2:$U$1780)+COUNTIF($U$2:U453,U453)-1,"")</f>
        <v>452</v>
      </c>
      <c r="W453" s="56" t="str">
        <f aca="false">IF(V453="","",IF(V453&lt;=Settings!$B$11,"1 - Fix first",IF(V453&lt;=Settings!$B$12,"2 - Review","3 - Monitor")))</f>
        <v>3 - Monitor</v>
      </c>
      <c r="X453" s="56" t="str">
        <f aca="false">IF(AND(E453&gt;=Settings!$B$4,F453&gt;=Settings!$B$5,O453&gt;=Settings!$B$6),"HIGH RATE","")</f>
        <v/>
      </c>
      <c r="Y453" s="56" t="n">
        <f aca="false">IF(F453&gt;0,RANK(F453,$F$2:$F$1780)+COUNTIF($F$2:F453,F453)-1,"")</f>
        <v>498</v>
      </c>
      <c r="Z453" s="56" t="n">
        <f aca="false">IF(H453&gt;0,RANK(H453,$H$2:$H$1780)+COUNTIF($H$2:H453,H453)-1,"")</f>
        <v>471</v>
      </c>
      <c r="AA453" s="56" t="n">
        <f aca="false">IF(AC453="","",RANK(AC453,$AC$2:$AC$1780)+COUNTIF($AC$2:AC453,AC453)-1)</f>
        <v>254</v>
      </c>
      <c r="AB453" s="56" t="str">
        <f aca="false">IF(AD453="","",RANK(AD453,$AD$2:$AD$1780)+COUNTIF($AD$2:AD453,AD453)-1)</f>
        <v/>
      </c>
      <c r="AC453" s="32" t="n">
        <f aca="false">IF(AND(F453&gt;0,E453&gt;=Settings!$B$4),J453,"")</f>
        <v>0.03125</v>
      </c>
      <c r="AD453" s="56" t="str">
        <f aca="false">IF(X453="HIGH RATE",O453,"")</f>
        <v/>
      </c>
    </row>
    <row r="454" customFormat="false" ht="15" hidden="false" customHeight="false" outlineLevel="0" collapsed="false">
      <c r="A454" s="56" t="s">
        <v>1530</v>
      </c>
      <c r="B454" s="56" t="s">
        <v>1531</v>
      </c>
      <c r="C454" s="56" t="s">
        <v>51</v>
      </c>
      <c r="D454" s="56" t="str">
        <f aca="false">IFERROR(INDEX('Brand Map'!$B$4:$B$124,MATCH(C454,'Brand Map'!$A$4:$A$124,0)),"Other")</f>
        <v>AU</v>
      </c>
      <c r="E454" s="57" t="n">
        <v>30</v>
      </c>
      <c r="F454" s="57" t="n">
        <v>1</v>
      </c>
      <c r="G454" s="58" t="n">
        <v>2398.5</v>
      </c>
      <c r="H454" s="58" t="n">
        <v>79.95</v>
      </c>
      <c r="I454" s="58" t="n">
        <v>2318.55</v>
      </c>
      <c r="J454" s="32" t="n">
        <f aca="false">IF(E454&gt;0,F454/E454,0)</f>
        <v>0.0333333333333333</v>
      </c>
      <c r="K454" s="32" t="n">
        <f aca="false">IF(G454&gt;0,H454/G454,0)</f>
        <v>0.0333333333333333</v>
      </c>
      <c r="L454" s="59" t="n">
        <f aca="false">H454/Settings!$B$16</f>
        <v>0.000159782189396114</v>
      </c>
      <c r="M454" s="59" t="n">
        <f aca="false">H454/Settings!$B$20</f>
        <v>6.20687030112407E-006</v>
      </c>
      <c r="N454" s="60" t="n">
        <f aca="false">E454*Settings!$B$3</f>
        <v>0.929584532394613</v>
      </c>
      <c r="O454" s="60" t="n">
        <f aca="false">IF(E454&gt;0,(F454-N454)/SQRT(E454*Settings!$B$3*(1-Settings!$B$3)),0)</f>
        <v>0.0741922652594014</v>
      </c>
      <c r="P454" s="60" t="n">
        <f aca="false">MAX(0,F454-N454)</f>
        <v>0.0704154676053874</v>
      </c>
      <c r="Q454" s="32" t="n">
        <f aca="false">(F454+Settings!$B$7*Settings!$B$3)/(E454+Settings!$B$7)</f>
        <v>0.0321597422065769</v>
      </c>
      <c r="R454" s="61" t="n">
        <f aca="false">PERCENTRANK($H$2:$H$1780,H454,6)</f>
        <v>0.728909</v>
      </c>
      <c r="S454" s="61" t="n">
        <f aca="false">PERCENTRANK($Q$2:$Q$1780,Q454,6)</f>
        <v>0.753656</v>
      </c>
      <c r="T454" s="61" t="n">
        <f aca="false">PERCENTRANK($F$2:$F$1780,F454,6)</f>
        <v>0.685039</v>
      </c>
      <c r="U454" s="62" t="n">
        <f aca="false">IF(F454&gt;0,(Settings!$B$8*T454+Settings!$B$9*R454+Settings!$B$10*S454)/SUM(Settings!$B$8:$B$10),0)</f>
        <v>0.722534666666667</v>
      </c>
      <c r="V454" s="56" t="n">
        <f aca="false">IF(U454&gt;0,RANK(U454,$U$2:$U$1780)+COUNTIF($U$2:U454,U454)-1,"")</f>
        <v>453</v>
      </c>
      <c r="W454" s="56" t="str">
        <f aca="false">IF(V454="","",IF(V454&lt;=Settings!$B$11,"1 - Fix first",IF(V454&lt;=Settings!$B$12,"2 - Review","3 - Monitor")))</f>
        <v>3 - Monitor</v>
      </c>
      <c r="X454" s="56" t="str">
        <f aca="false">IF(AND(E454&gt;=Settings!$B$4,F454&gt;=Settings!$B$5,O454&gt;=Settings!$B$6),"HIGH RATE","")</f>
        <v/>
      </c>
      <c r="Y454" s="56" t="n">
        <f aca="false">IF(F454&gt;0,RANK(F454,$F$2:$F$1780)+COUNTIF($F$2:F454,F454)-1,"")</f>
        <v>499</v>
      </c>
      <c r="Z454" s="56" t="n">
        <f aca="false">IF(H454&gt;0,RANK(H454,$H$2:$H$1780)+COUNTIF($H$2:H454,H454)-1,"")</f>
        <v>480</v>
      </c>
      <c r="AA454" s="56" t="n">
        <f aca="false">IF(AC454="","",RANK(AC454,$AC$2:$AC$1780)+COUNTIF($AC$2:AC454,AC454)-1)</f>
        <v>244</v>
      </c>
      <c r="AB454" s="56" t="str">
        <f aca="false">IF(AD454="","",RANK(AD454,$AD$2:$AD$1780)+COUNTIF($AD$2:AD454,AD454)-1)</f>
        <v/>
      </c>
      <c r="AC454" s="32" t="n">
        <f aca="false">IF(AND(F454&gt;0,E454&gt;=Settings!$B$4),J454,"")</f>
        <v>0.0333333333333333</v>
      </c>
      <c r="AD454" s="56" t="str">
        <f aca="false">IF(X454="HIGH RATE",O454,"")</f>
        <v/>
      </c>
    </row>
    <row r="455" customFormat="false" ht="15" hidden="false" customHeight="false" outlineLevel="0" collapsed="false">
      <c r="A455" s="56" t="s">
        <v>1532</v>
      </c>
      <c r="B455" s="56" t="s">
        <v>1533</v>
      </c>
      <c r="C455" s="56" t="s">
        <v>51</v>
      </c>
      <c r="D455" s="56" t="str">
        <f aca="false">IFERROR(INDEX('Brand Map'!$B$4:$B$124,MATCH(C455,'Brand Map'!$A$4:$A$124,0)),"Other")</f>
        <v>AU</v>
      </c>
      <c r="E455" s="57" t="n">
        <v>29</v>
      </c>
      <c r="F455" s="57" t="n">
        <v>1</v>
      </c>
      <c r="G455" s="58" t="n">
        <v>2239.53</v>
      </c>
      <c r="H455" s="58" t="n">
        <v>72.68</v>
      </c>
      <c r="I455" s="58" t="n">
        <v>2043.36</v>
      </c>
      <c r="J455" s="32" t="n">
        <f aca="false">IF(E455&gt;0,F455/E455,0)</f>
        <v>0.0344827586206897</v>
      </c>
      <c r="K455" s="32" t="n">
        <f aca="false">IF(G455&gt;0,H455/G455,0)</f>
        <v>0.0324532379561783</v>
      </c>
      <c r="L455" s="59" t="n">
        <f aca="false">H455/Settings!$B$16</f>
        <v>0.000145252902130201</v>
      </c>
      <c r="M455" s="59" t="n">
        <f aca="false">H455/Settings!$B$20</f>
        <v>5.64246821120322E-006</v>
      </c>
      <c r="N455" s="60" t="n">
        <f aca="false">E455*Settings!$B$3</f>
        <v>0.898598381314792</v>
      </c>
      <c r="O455" s="60" t="n">
        <f aca="false">IF(E455&gt;0,(F455-N455)/SQRT(E455*Settings!$B$3*(1-Settings!$B$3)),0)</f>
        <v>0.108666850438629</v>
      </c>
      <c r="P455" s="60" t="n">
        <f aca="false">MAX(0,F455-N455)</f>
        <v>0.101401618685208</v>
      </c>
      <c r="Q455" s="32" t="n">
        <f aca="false">(F455+Settings!$B$7*Settings!$B$3)/(E455+Settings!$B$7)</f>
        <v>0.0327048225829595</v>
      </c>
      <c r="R455" s="61" t="n">
        <f aca="false">PERCENTRANK($H$2:$H$1780,H455,6)</f>
        <v>0.723285</v>
      </c>
      <c r="S455" s="61" t="n">
        <f aca="false">PERCENTRANK($Q$2:$Q$1780,Q455,6)</f>
        <v>0.755343</v>
      </c>
      <c r="T455" s="61" t="n">
        <f aca="false">PERCENTRANK($F$2:$F$1780,F455,6)</f>
        <v>0.685039</v>
      </c>
      <c r="U455" s="62" t="n">
        <f aca="false">IF(F455&gt;0,(Settings!$B$8*T455+Settings!$B$9*R455+Settings!$B$10*S455)/SUM(Settings!$B$8:$B$10),0)</f>
        <v>0.721222333333333</v>
      </c>
      <c r="V455" s="56" t="n">
        <f aca="false">IF(U455&gt;0,RANK(U455,$U$2:$U$1780)+COUNTIF($U$2:U455,U455)-1,"")</f>
        <v>454</v>
      </c>
      <c r="W455" s="56" t="str">
        <f aca="false">IF(V455="","",IF(V455&lt;=Settings!$B$11,"1 - Fix first",IF(V455&lt;=Settings!$B$12,"2 - Review","3 - Monitor")))</f>
        <v>3 - Monitor</v>
      </c>
      <c r="X455" s="56" t="str">
        <f aca="false">IF(AND(E455&gt;=Settings!$B$4,F455&gt;=Settings!$B$5,O455&gt;=Settings!$B$6),"HIGH RATE","")</f>
        <v/>
      </c>
      <c r="Y455" s="56" t="n">
        <f aca="false">IF(F455&gt;0,RANK(F455,$F$2:$F$1780)+COUNTIF($F$2:F455,F455)-1,"")</f>
        <v>500</v>
      </c>
      <c r="Z455" s="56" t="n">
        <f aca="false">IF(H455&gt;0,RANK(H455,$H$2:$H$1780)+COUNTIF($H$2:H455,H455)-1,"")</f>
        <v>493</v>
      </c>
      <c r="AA455" s="56" t="str">
        <f aca="false">IF(AC455="","",RANK(AC455,$AC$2:$AC$1780)+COUNTIF($AC$2:AC455,AC455)-1)</f>
        <v/>
      </c>
      <c r="AB455" s="56" t="str">
        <f aca="false">IF(AD455="","",RANK(AD455,$AD$2:$AD$1780)+COUNTIF($AD$2:AD455,AD455)-1)</f>
        <v/>
      </c>
      <c r="AC455" s="56" t="str">
        <f aca="false">IF(AND(F455&gt;0,E455&gt;=Settings!$B$4),J455,"")</f>
        <v/>
      </c>
      <c r="AD455" s="56" t="str">
        <f aca="false">IF(X455="HIGH RATE",O455,"")</f>
        <v/>
      </c>
    </row>
    <row r="456" customFormat="false" ht="15" hidden="false" customHeight="false" outlineLevel="0" collapsed="false">
      <c r="A456" s="56" t="s">
        <v>1534</v>
      </c>
      <c r="B456" s="56" t="s">
        <v>1535</v>
      </c>
      <c r="C456" s="56" t="s">
        <v>626</v>
      </c>
      <c r="D456" s="56" t="str">
        <f aca="false">IFERROR(INDEX('Brand Map'!$B$4:$B$124,MATCH(C456,'Brand Map'!$A$4:$A$124,0)),"Other")</f>
        <v>Other (small prefixes)</v>
      </c>
      <c r="E456" s="57" t="n">
        <v>32</v>
      </c>
      <c r="F456" s="57" t="n">
        <v>1</v>
      </c>
      <c r="G456" s="58" t="n">
        <v>3215.69</v>
      </c>
      <c r="H456" s="58" t="n">
        <v>78.27</v>
      </c>
      <c r="I456" s="58" t="n">
        <v>3092.82</v>
      </c>
      <c r="J456" s="32" t="n">
        <f aca="false">IF(E456&gt;0,F456/E456,0)</f>
        <v>0.03125</v>
      </c>
      <c r="K456" s="32" t="n">
        <f aca="false">IF(G456&gt;0,H456/G456,0)</f>
        <v>0.0243400327767913</v>
      </c>
      <c r="L456" s="59" t="n">
        <f aca="false">H456/Settings!$B$16</f>
        <v>0.000156424664966027</v>
      </c>
      <c r="M456" s="59" t="n">
        <f aca="false">H456/Settings!$B$20</f>
        <v>6.07644450868018E-006</v>
      </c>
      <c r="N456" s="60" t="n">
        <f aca="false">E456*Settings!$B$3</f>
        <v>0.991556834554253</v>
      </c>
      <c r="O456" s="60" t="n">
        <f aca="false">IF(E456&gt;0,(F456-N456)/SQRT(E456*Settings!$B$3*(1-Settings!$B$3)),0)</f>
        <v>0.00861353655793674</v>
      </c>
      <c r="P456" s="60" t="n">
        <f aca="false">MAX(0,F456-N456)</f>
        <v>0.00844316544574664</v>
      </c>
      <c r="Q456" s="32" t="n">
        <f aca="false">(F456+Settings!$B$7*Settings!$B$3)/(E456+Settings!$B$7)</f>
        <v>0.031122331167655</v>
      </c>
      <c r="R456" s="61" t="n">
        <f aca="false">PERCENTRANK($H$2:$H$1780,H456,6)</f>
        <v>0.728346</v>
      </c>
      <c r="S456" s="61" t="n">
        <f aca="false">PERCENTRANK($Q$2:$Q$1780,Q456,6)</f>
        <v>0.747469</v>
      </c>
      <c r="T456" s="61" t="n">
        <f aca="false">PERCENTRANK($F$2:$F$1780,F456,6)</f>
        <v>0.685039</v>
      </c>
      <c r="U456" s="62" t="n">
        <f aca="false">IF(F456&gt;0,(Settings!$B$8*T456+Settings!$B$9*R456+Settings!$B$10*S456)/SUM(Settings!$B$8:$B$10),0)</f>
        <v>0.720284666666667</v>
      </c>
      <c r="V456" s="56" t="n">
        <f aca="false">IF(U456&gt;0,RANK(U456,$U$2:$U$1780)+COUNTIF($U$2:U456,U456)-1,"")</f>
        <v>455</v>
      </c>
      <c r="W456" s="56" t="str">
        <f aca="false">IF(V456="","",IF(V456&lt;=Settings!$B$11,"1 - Fix first",IF(V456&lt;=Settings!$B$12,"2 - Review","3 - Monitor")))</f>
        <v>3 - Monitor</v>
      </c>
      <c r="X456" s="56" t="str">
        <f aca="false">IF(AND(E456&gt;=Settings!$B$4,F456&gt;=Settings!$B$5,O456&gt;=Settings!$B$6),"HIGH RATE","")</f>
        <v/>
      </c>
      <c r="Y456" s="56" t="n">
        <f aca="false">IF(F456&gt;0,RANK(F456,$F$2:$F$1780)+COUNTIF($F$2:F456,F456)-1,"")</f>
        <v>501</v>
      </c>
      <c r="Z456" s="56" t="n">
        <f aca="false">IF(H456&gt;0,RANK(H456,$H$2:$H$1780)+COUNTIF($H$2:H456,H456)-1,"")</f>
        <v>484</v>
      </c>
      <c r="AA456" s="56" t="n">
        <f aca="false">IF(AC456="","",RANK(AC456,$AC$2:$AC$1780)+COUNTIF($AC$2:AC456,AC456)-1)</f>
        <v>255</v>
      </c>
      <c r="AB456" s="56" t="str">
        <f aca="false">IF(AD456="","",RANK(AD456,$AD$2:$AD$1780)+COUNTIF($AD$2:AD456,AD456)-1)</f>
        <v/>
      </c>
      <c r="AC456" s="32" t="n">
        <f aca="false">IF(AND(F456&gt;0,E456&gt;=Settings!$B$4),J456,"")</f>
        <v>0.03125</v>
      </c>
      <c r="AD456" s="56" t="str">
        <f aca="false">IF(X456="HIGH RATE",O456,"")</f>
        <v/>
      </c>
    </row>
    <row r="457" customFormat="false" ht="15" hidden="false" customHeight="false" outlineLevel="0" collapsed="false">
      <c r="A457" s="56" t="s">
        <v>1536</v>
      </c>
      <c r="B457" s="56" t="s">
        <v>1537</v>
      </c>
      <c r="C457" s="56" t="s">
        <v>665</v>
      </c>
      <c r="D457" s="56" t="str">
        <f aca="false">IFERROR(INDEX('Brand Map'!$B$4:$B$124,MATCH(C457,'Brand Map'!$A$4:$A$124,0)),"Other")</f>
        <v>Other (small prefixes)</v>
      </c>
      <c r="E457" s="57" t="n">
        <v>26</v>
      </c>
      <c r="F457" s="57" t="n">
        <v>1</v>
      </c>
      <c r="G457" s="58" t="n">
        <v>1568.42</v>
      </c>
      <c r="H457" s="58" t="n">
        <v>54.5</v>
      </c>
      <c r="I457" s="58" t="n">
        <v>1486.68</v>
      </c>
      <c r="J457" s="32" t="n">
        <f aca="false">IF(E457&gt;0,F457/E457,0)</f>
        <v>0.0384615384615385</v>
      </c>
      <c r="K457" s="32" t="n">
        <f aca="false">IF(G457&gt;0,H457/G457,0)</f>
        <v>0.0347483454686882</v>
      </c>
      <c r="L457" s="59" t="n">
        <f aca="false">H457/Settings!$B$16</f>
        <v>0.000108919691333186</v>
      </c>
      <c r="M457" s="59" t="n">
        <f aca="false">H457/Settings!$B$20</f>
        <v>4.23107481439977E-006</v>
      </c>
      <c r="N457" s="60" t="n">
        <f aca="false">E457*Settings!$B$3</f>
        <v>0.805639928075331</v>
      </c>
      <c r="O457" s="60" t="n">
        <f aca="false">IF(E457&gt;0,(F457-N457)/SQRT(E457*Settings!$B$3*(1-Settings!$B$3)),0)</f>
        <v>0.219974109433691</v>
      </c>
      <c r="P457" s="60" t="n">
        <f aca="false">MAX(0,F457-N457)</f>
        <v>0.194360071924669</v>
      </c>
      <c r="Q457" s="32" t="n">
        <f aca="false">(F457+Settings!$B$7*Settings!$B$3)/(E457+Settings!$B$7)</f>
        <v>0.0344568666499038</v>
      </c>
      <c r="R457" s="61" t="n">
        <f aca="false">PERCENTRANK($H$2:$H$1780,H457,6)</f>
        <v>0.704724</v>
      </c>
      <c r="S457" s="61" t="n">
        <f aca="false">PERCENTRANK($Q$2:$Q$1780,Q457,6)</f>
        <v>0.769404</v>
      </c>
      <c r="T457" s="61" t="n">
        <f aca="false">PERCENTRANK($F$2:$F$1780,F457,6)</f>
        <v>0.685039</v>
      </c>
      <c r="U457" s="62" t="n">
        <f aca="false">IF(F457&gt;0,(Settings!$B$8*T457+Settings!$B$9*R457+Settings!$B$10*S457)/SUM(Settings!$B$8:$B$10),0)</f>
        <v>0.719722333333333</v>
      </c>
      <c r="V457" s="56" t="n">
        <f aca="false">IF(U457&gt;0,RANK(U457,$U$2:$U$1780)+COUNTIF($U$2:U457,U457)-1,"")</f>
        <v>456</v>
      </c>
      <c r="W457" s="56" t="str">
        <f aca="false">IF(V457="","",IF(V457&lt;=Settings!$B$11,"1 - Fix first",IF(V457&lt;=Settings!$B$12,"2 - Review","3 - Monitor")))</f>
        <v>3 - Monitor</v>
      </c>
      <c r="X457" s="56" t="str">
        <f aca="false">IF(AND(E457&gt;=Settings!$B$4,F457&gt;=Settings!$B$5,O457&gt;=Settings!$B$6),"HIGH RATE","")</f>
        <v/>
      </c>
      <c r="Y457" s="56" t="n">
        <f aca="false">IF(F457&gt;0,RANK(F457,$F$2:$F$1780)+COUNTIF($F$2:F457,F457)-1,"")</f>
        <v>502</v>
      </c>
      <c r="Z457" s="56" t="n">
        <f aca="false">IF(H457&gt;0,RANK(H457,$H$2:$H$1780)+COUNTIF($H$2:H457,H457)-1,"")</f>
        <v>526</v>
      </c>
      <c r="AA457" s="56" t="str">
        <f aca="false">IF(AC457="","",RANK(AC457,$AC$2:$AC$1780)+COUNTIF($AC$2:AC457,AC457)-1)</f>
        <v/>
      </c>
      <c r="AB457" s="56" t="str">
        <f aca="false">IF(AD457="","",RANK(AD457,$AD$2:$AD$1780)+COUNTIF($AD$2:AD457,AD457)-1)</f>
        <v/>
      </c>
      <c r="AC457" s="56" t="str">
        <f aca="false">IF(AND(F457&gt;0,E457&gt;=Settings!$B$4),J457,"")</f>
        <v/>
      </c>
      <c r="AD457" s="56" t="str">
        <f aca="false">IF(X457="HIGH RATE",O457,"")</f>
        <v/>
      </c>
    </row>
    <row r="458" customFormat="false" ht="15" hidden="false" customHeight="false" outlineLevel="0" collapsed="false">
      <c r="A458" s="56" t="s">
        <v>1538</v>
      </c>
      <c r="B458" s="56" t="s">
        <v>1539</v>
      </c>
      <c r="C458" s="56" t="s">
        <v>51</v>
      </c>
      <c r="D458" s="56" t="str">
        <f aca="false">IFERROR(INDEX('Brand Map'!$B$4:$B$124,MATCH(C458,'Brand Map'!$A$4:$A$124,0)),"Other")</f>
        <v>AU</v>
      </c>
      <c r="E458" s="57" t="n">
        <v>27</v>
      </c>
      <c r="F458" s="57" t="n">
        <v>1</v>
      </c>
      <c r="G458" s="58" t="n">
        <v>1858.3</v>
      </c>
      <c r="H458" s="58" t="n">
        <v>57.23</v>
      </c>
      <c r="I458" s="58" t="n">
        <v>1772.48</v>
      </c>
      <c r="J458" s="32" t="n">
        <f aca="false">IF(E458&gt;0,F458/E458,0)</f>
        <v>0.037037037037037</v>
      </c>
      <c r="K458" s="32" t="n">
        <f aca="false">IF(G458&gt;0,H458/G458,0)</f>
        <v>0.0307969649679815</v>
      </c>
      <c r="L458" s="59" t="n">
        <f aca="false">H458/Settings!$B$16</f>
        <v>0.000114375668532078</v>
      </c>
      <c r="M458" s="59" t="n">
        <f aca="false">H458/Settings!$B$20</f>
        <v>4.44301672712108E-006</v>
      </c>
      <c r="N458" s="60" t="n">
        <f aca="false">E458*Settings!$B$3</f>
        <v>0.836626079155151</v>
      </c>
      <c r="O458" s="60" t="n">
        <f aca="false">IF(E458&gt;0,(F458-N458)/SQRT(E458*Settings!$B$3*(1-Settings!$B$3)),0)</f>
        <v>0.181447939524074</v>
      </c>
      <c r="P458" s="60" t="n">
        <f aca="false">MAX(0,F458-N458)</f>
        <v>0.163373920844849</v>
      </c>
      <c r="Q458" s="32" t="n">
        <f aca="false">(F458+Settings!$B$7*Settings!$B$3)/(E458+Settings!$B$7)</f>
        <v>0.0338523602174493</v>
      </c>
      <c r="R458" s="61" t="n">
        <f aca="false">PERCENTRANK($H$2:$H$1780,H458,6)</f>
        <v>0.708099</v>
      </c>
      <c r="S458" s="61" t="n">
        <f aca="false">PERCENTRANK($Q$2:$Q$1780,Q458,6)</f>
        <v>0.76378</v>
      </c>
      <c r="T458" s="61" t="n">
        <f aca="false">PERCENTRANK($F$2:$F$1780,F458,6)</f>
        <v>0.685039</v>
      </c>
      <c r="U458" s="62" t="n">
        <f aca="false">IF(F458&gt;0,(Settings!$B$8*T458+Settings!$B$9*R458+Settings!$B$10*S458)/SUM(Settings!$B$8:$B$10),0)</f>
        <v>0.718972666666667</v>
      </c>
      <c r="V458" s="56" t="n">
        <f aca="false">IF(U458&gt;0,RANK(U458,$U$2:$U$1780)+COUNTIF($U$2:U458,U458)-1,"")</f>
        <v>457</v>
      </c>
      <c r="W458" s="56" t="str">
        <f aca="false">IF(V458="","",IF(V458&lt;=Settings!$B$11,"1 - Fix first",IF(V458&lt;=Settings!$B$12,"2 - Review","3 - Monitor")))</f>
        <v>3 - Monitor</v>
      </c>
      <c r="X458" s="56" t="str">
        <f aca="false">IF(AND(E458&gt;=Settings!$B$4,F458&gt;=Settings!$B$5,O458&gt;=Settings!$B$6),"HIGH RATE","")</f>
        <v/>
      </c>
      <c r="Y458" s="56" t="n">
        <f aca="false">IF(F458&gt;0,RANK(F458,$F$2:$F$1780)+COUNTIF($F$2:F458,F458)-1,"")</f>
        <v>503</v>
      </c>
      <c r="Z458" s="56" t="n">
        <f aca="false">IF(H458&gt;0,RANK(H458,$H$2:$H$1780)+COUNTIF($H$2:H458,H458)-1,"")</f>
        <v>520</v>
      </c>
      <c r="AA458" s="56" t="str">
        <f aca="false">IF(AC458="","",RANK(AC458,$AC$2:$AC$1780)+COUNTIF($AC$2:AC458,AC458)-1)</f>
        <v/>
      </c>
      <c r="AB458" s="56" t="str">
        <f aca="false">IF(AD458="","",RANK(AD458,$AD$2:$AD$1780)+COUNTIF($AD$2:AD458,AD458)-1)</f>
        <v/>
      </c>
      <c r="AC458" s="56" t="str">
        <f aca="false">IF(AND(F458&gt;0,E458&gt;=Settings!$B$4),J458,"")</f>
        <v/>
      </c>
      <c r="AD458" s="56" t="str">
        <f aca="false">IF(X458="HIGH RATE",O458,"")</f>
        <v/>
      </c>
    </row>
    <row r="459" customFormat="false" ht="15" hidden="false" customHeight="false" outlineLevel="0" collapsed="false">
      <c r="A459" s="56" t="s">
        <v>1540</v>
      </c>
      <c r="B459" s="56" t="s">
        <v>1232</v>
      </c>
      <c r="C459" s="56" t="s">
        <v>87</v>
      </c>
      <c r="D459" s="56" t="str">
        <f aca="false">IFERROR(INDEX('Brand Map'!$B$4:$B$124,MATCH(C459,'Brand Map'!$A$4:$A$124,0)),"Other")</f>
        <v>FYF</v>
      </c>
      <c r="E459" s="57" t="n">
        <v>25</v>
      </c>
      <c r="F459" s="57" t="n">
        <v>1</v>
      </c>
      <c r="G459" s="58" t="n">
        <v>1123.75</v>
      </c>
      <c r="H459" s="58" t="n">
        <v>44.95</v>
      </c>
      <c r="I459" s="58" t="n">
        <v>1078.8</v>
      </c>
      <c r="J459" s="32" t="n">
        <f aca="false">IF(E459&gt;0,F459/E459,0)</f>
        <v>0.04</v>
      </c>
      <c r="K459" s="32" t="n">
        <f aca="false">IF(G459&gt;0,H459/G459,0)</f>
        <v>0.04</v>
      </c>
      <c r="L459" s="59" t="n">
        <f aca="false">H459/Settings!$B$16</f>
        <v>8.98337637692976E-005</v>
      </c>
      <c r="M459" s="59" t="n">
        <f aca="false">H459/Settings!$B$20</f>
        <v>3.48966629187651E-006</v>
      </c>
      <c r="N459" s="60" t="n">
        <f aca="false">E459*Settings!$B$3</f>
        <v>0.77465377699551</v>
      </c>
      <c r="O459" s="60" t="n">
        <f aca="false">IF(E459&gt;0,(F459-N459)/SQRT(E459*Settings!$B$3*(1-Settings!$B$3)),0)</f>
        <v>0.260094680484406</v>
      </c>
      <c r="P459" s="60" t="n">
        <f aca="false">MAX(0,F459-N459)</f>
        <v>0.22534622300449</v>
      </c>
      <c r="Q459" s="32" t="n">
        <f aca="false">(F459+Settings!$B$7*Settings!$B$3)/(E459+Settings!$B$7)</f>
        <v>0.0350833551344475</v>
      </c>
      <c r="R459" s="61" t="n">
        <f aca="false">PERCENTRANK($H$2:$H$1780,H459,6)</f>
        <v>0.697413</v>
      </c>
      <c r="S459" s="61" t="n">
        <f aca="false">PERCENTRANK($Q$2:$Q$1780,Q459,6)</f>
        <v>0.773903</v>
      </c>
      <c r="T459" s="61" t="n">
        <f aca="false">PERCENTRANK($F$2:$F$1780,F459,6)</f>
        <v>0.685039</v>
      </c>
      <c r="U459" s="62" t="n">
        <f aca="false">IF(F459&gt;0,(Settings!$B$8*T459+Settings!$B$9*R459+Settings!$B$10*S459)/SUM(Settings!$B$8:$B$10),0)</f>
        <v>0.718785</v>
      </c>
      <c r="V459" s="56" t="n">
        <f aca="false">IF(U459&gt;0,RANK(U459,$U$2:$U$1780)+COUNTIF($U$2:U459,U459)-1,"")</f>
        <v>458</v>
      </c>
      <c r="W459" s="56" t="str">
        <f aca="false">IF(V459="","",IF(V459&lt;=Settings!$B$11,"1 - Fix first",IF(V459&lt;=Settings!$B$12,"2 - Review","3 - Monitor")))</f>
        <v>3 - Monitor</v>
      </c>
      <c r="X459" s="56" t="str">
        <f aca="false">IF(AND(E459&gt;=Settings!$B$4,F459&gt;=Settings!$B$5,O459&gt;=Settings!$B$6),"HIGH RATE","")</f>
        <v/>
      </c>
      <c r="Y459" s="56" t="n">
        <f aca="false">IF(F459&gt;0,RANK(F459,$F$2:$F$1780)+COUNTIF($F$2:F459,F459)-1,"")</f>
        <v>504</v>
      </c>
      <c r="Z459" s="56" t="n">
        <f aca="false">IF(H459&gt;0,RANK(H459,$H$2:$H$1780)+COUNTIF($H$2:H459,H459)-1,"")</f>
        <v>539</v>
      </c>
      <c r="AA459" s="56" t="str">
        <f aca="false">IF(AC459="","",RANK(AC459,$AC$2:$AC$1780)+COUNTIF($AC$2:AC459,AC459)-1)</f>
        <v/>
      </c>
      <c r="AB459" s="56" t="str">
        <f aca="false">IF(AD459="","",RANK(AD459,$AD$2:$AD$1780)+COUNTIF($AD$2:AD459,AD459)-1)</f>
        <v/>
      </c>
      <c r="AC459" s="56" t="str">
        <f aca="false">IF(AND(F459&gt;0,E459&gt;=Settings!$B$4),J459,"")</f>
        <v/>
      </c>
      <c r="AD459" s="56" t="str">
        <f aca="false">IF(X459="HIGH RATE",O459,"")</f>
        <v/>
      </c>
    </row>
    <row r="460" customFormat="false" ht="15" hidden="false" customHeight="false" outlineLevel="0" collapsed="false">
      <c r="A460" s="56" t="s">
        <v>1541</v>
      </c>
      <c r="B460" s="56" t="s">
        <v>1542</v>
      </c>
      <c r="C460" s="56" t="s">
        <v>51</v>
      </c>
      <c r="D460" s="56" t="str">
        <f aca="false">IFERROR(INDEX('Brand Map'!$B$4:$B$124,MATCH(C460,'Brand Map'!$A$4:$A$124,0)),"Other")</f>
        <v>AU</v>
      </c>
      <c r="E460" s="57" t="n">
        <v>68</v>
      </c>
      <c r="F460" s="57" t="n">
        <v>2</v>
      </c>
      <c r="G460" s="58" t="n">
        <v>9196.54</v>
      </c>
      <c r="H460" s="58" t="n">
        <v>311.9</v>
      </c>
      <c r="I460" s="58" t="n">
        <v>8646.68</v>
      </c>
      <c r="J460" s="32" t="n">
        <f aca="false">IF(E460&gt;0,F460/E460,0)</f>
        <v>0.0294117647058824</v>
      </c>
      <c r="K460" s="32" t="n">
        <f aca="false">IF(G460&gt;0,H460/G460,0)</f>
        <v>0.0339149288754249</v>
      </c>
      <c r="L460" s="59" t="n">
        <f aca="false">H460/Settings!$B$16</f>
        <v>0.000623340398657262</v>
      </c>
      <c r="M460" s="59" t="n">
        <f aca="false">H460/Settings!$B$20</f>
        <v>2.4214169442409E-005</v>
      </c>
      <c r="N460" s="60" t="n">
        <f aca="false">E460*Settings!$B$3</f>
        <v>2.10705827342779</v>
      </c>
      <c r="O460" s="60" t="n">
        <f aca="false">IF(E460&gt;0,(F460-N460)/SQRT(E460*Settings!$B$3*(1-Settings!$B$3)),0)</f>
        <v>-0.0749233124343469</v>
      </c>
      <c r="P460" s="60" t="n">
        <f aca="false">MAX(0,F460-N460)</f>
        <v>0</v>
      </c>
      <c r="Q460" s="32" t="n">
        <f aca="false">(F460+Settings!$B$7*Settings!$B$3)/(E460+Settings!$B$7)</f>
        <v>0.0298937197183124</v>
      </c>
      <c r="R460" s="61" t="n">
        <f aca="false">PERCENTRANK($H$2:$H$1780,H460,6)</f>
        <v>0.870079</v>
      </c>
      <c r="S460" s="61" t="n">
        <f aca="false">PERCENTRANK($Q$2:$Q$1780,Q460,6)</f>
        <v>0.485939</v>
      </c>
      <c r="T460" s="61" t="n">
        <f aca="false">PERCENTRANK($F$2:$F$1780,F460,6)</f>
        <v>0.799775</v>
      </c>
      <c r="U460" s="62" t="n">
        <f aca="false">IF(F460&gt;0,(Settings!$B$8*T460+Settings!$B$9*R460+Settings!$B$10*S460)/SUM(Settings!$B$8:$B$10),0)</f>
        <v>0.718597666666667</v>
      </c>
      <c r="V460" s="56" t="n">
        <f aca="false">IF(U460&gt;0,RANK(U460,$U$2:$U$1780)+COUNTIF($U$2:U460,U460)-1,"")</f>
        <v>459</v>
      </c>
      <c r="W460" s="56" t="str">
        <f aca="false">IF(V460="","",IF(V460&lt;=Settings!$B$11,"1 - Fix first",IF(V460&lt;=Settings!$B$12,"2 - Review","3 - Monitor")))</f>
        <v>3 - Monitor</v>
      </c>
      <c r="X460" s="56" t="str">
        <f aca="false">IF(AND(E460&gt;=Settings!$B$4,F460&gt;=Settings!$B$5,O460&gt;=Settings!$B$6),"HIGH RATE","")</f>
        <v/>
      </c>
      <c r="Y460" s="56" t="n">
        <f aca="false">IF(F460&gt;0,RANK(F460,$F$2:$F$1780)+COUNTIF($F$2:F460,F460)-1,"")</f>
        <v>345</v>
      </c>
      <c r="Z460" s="56" t="n">
        <f aca="false">IF(H460&gt;0,RANK(H460,$H$2:$H$1780)+COUNTIF($H$2:H460,H460)-1,"")</f>
        <v>232</v>
      </c>
      <c r="AA460" s="56" t="n">
        <f aca="false">IF(AC460="","",RANK(AC460,$AC$2:$AC$1780)+COUNTIF($AC$2:AC460,AC460)-1)</f>
        <v>270</v>
      </c>
      <c r="AB460" s="56" t="str">
        <f aca="false">IF(AD460="","",RANK(AD460,$AD$2:$AD$1780)+COUNTIF($AD$2:AD460,AD460)-1)</f>
        <v/>
      </c>
      <c r="AC460" s="32" t="n">
        <f aca="false">IF(AND(F460&gt;0,E460&gt;=Settings!$B$4),J460,"")</f>
        <v>0.0294117647058824</v>
      </c>
      <c r="AD460" s="56" t="str">
        <f aca="false">IF(X460="HIGH RATE",O460,"")</f>
        <v/>
      </c>
    </row>
    <row r="461" customFormat="false" ht="15" hidden="false" customHeight="false" outlineLevel="0" collapsed="false">
      <c r="A461" s="56" t="s">
        <v>1543</v>
      </c>
      <c r="B461" s="56" t="s">
        <v>1544</v>
      </c>
      <c r="C461" s="56" t="s">
        <v>151</v>
      </c>
      <c r="D461" s="56" t="str">
        <f aca="false">IFERROR(INDEX('Brand Map'!$B$4:$B$124,MATCH(C461,'Brand Map'!$A$4:$A$124,0)),"Other")</f>
        <v>WBAU</v>
      </c>
      <c r="E461" s="57" t="n">
        <v>28</v>
      </c>
      <c r="F461" s="57" t="n">
        <v>1</v>
      </c>
      <c r="G461" s="58" t="n">
        <v>2292</v>
      </c>
      <c r="H461" s="58" t="n">
        <v>62.56</v>
      </c>
      <c r="I461" s="58" t="n">
        <v>2100.41</v>
      </c>
      <c r="J461" s="32" t="n">
        <f aca="false">IF(E461&gt;0,F461/E461,0)</f>
        <v>0.0357142857142857</v>
      </c>
      <c r="K461" s="32" t="n">
        <f aca="false">IF(G461&gt;0,H461/G461,0)</f>
        <v>0.0272949389179756</v>
      </c>
      <c r="L461" s="59" t="n">
        <f aca="false">H461/Settings!$B$16</f>
        <v>0.000125027814491819</v>
      </c>
      <c r="M461" s="59" t="n">
        <f aca="false">H461/Settings!$B$20</f>
        <v>4.85680808052935E-006</v>
      </c>
      <c r="N461" s="60" t="n">
        <f aca="false">E461*Settings!$B$3</f>
        <v>0.867612230234972</v>
      </c>
      <c r="O461" s="60" t="n">
        <f aca="false">IF(E461&gt;0,(F461-N461)/SQRT(E461*Settings!$B$3*(1-Settings!$B$3)),0)</f>
        <v>0.144384323164387</v>
      </c>
      <c r="P461" s="60" t="n">
        <f aca="false">MAX(0,F461-N461)</f>
        <v>0.132387769765028</v>
      </c>
      <c r="Q461" s="32" t="n">
        <f aca="false">(F461+Settings!$B$7*Settings!$B$3)/(E461+Settings!$B$7)</f>
        <v>0.0332686988343899</v>
      </c>
      <c r="R461" s="61" t="n">
        <f aca="false">PERCENTRANK($H$2:$H$1780,H461,6)</f>
        <v>0.713161</v>
      </c>
      <c r="S461" s="61" t="n">
        <f aca="false">PERCENTRANK($Q$2:$Q$1780,Q461,6)</f>
        <v>0.757593</v>
      </c>
      <c r="T461" s="61" t="n">
        <f aca="false">PERCENTRANK($F$2:$F$1780,F461,6)</f>
        <v>0.685039</v>
      </c>
      <c r="U461" s="62" t="n">
        <f aca="false">IF(F461&gt;0,(Settings!$B$8*T461+Settings!$B$9*R461+Settings!$B$10*S461)/SUM(Settings!$B$8:$B$10),0)</f>
        <v>0.718597666666667</v>
      </c>
      <c r="V461" s="56" t="n">
        <f aca="false">IF(U461&gt;0,RANK(U461,$U$2:$U$1780)+COUNTIF($U$2:U461,U461)-1,"")</f>
        <v>460</v>
      </c>
      <c r="W461" s="56" t="str">
        <f aca="false">IF(V461="","",IF(V461&lt;=Settings!$B$11,"1 - Fix first",IF(V461&lt;=Settings!$B$12,"2 - Review","3 - Monitor")))</f>
        <v>3 - Monitor</v>
      </c>
      <c r="X461" s="56" t="str">
        <f aca="false">IF(AND(E461&gt;=Settings!$B$4,F461&gt;=Settings!$B$5,O461&gt;=Settings!$B$6),"HIGH RATE","")</f>
        <v/>
      </c>
      <c r="Y461" s="56" t="n">
        <f aca="false">IF(F461&gt;0,RANK(F461,$F$2:$F$1780)+COUNTIF($F$2:F461,F461)-1,"")</f>
        <v>505</v>
      </c>
      <c r="Z461" s="56" t="n">
        <f aca="false">IF(H461&gt;0,RANK(H461,$H$2:$H$1780)+COUNTIF($H$2:H461,H461)-1,"")</f>
        <v>511</v>
      </c>
      <c r="AA461" s="56" t="str">
        <f aca="false">IF(AC461="","",RANK(AC461,$AC$2:$AC$1780)+COUNTIF($AC$2:AC461,AC461)-1)</f>
        <v/>
      </c>
      <c r="AB461" s="56" t="str">
        <f aca="false">IF(AD461="","",RANK(AD461,$AD$2:$AD$1780)+COUNTIF($AD$2:AD461,AD461)-1)</f>
        <v/>
      </c>
      <c r="AC461" s="56" t="str">
        <f aca="false">IF(AND(F461&gt;0,E461&gt;=Settings!$B$4),J461,"")</f>
        <v/>
      </c>
      <c r="AD461" s="56" t="str">
        <f aca="false">IF(X461="HIGH RATE",O461,"")</f>
        <v/>
      </c>
    </row>
    <row r="462" customFormat="false" ht="15" hidden="false" customHeight="false" outlineLevel="0" collapsed="false">
      <c r="A462" s="56" t="s">
        <v>1545</v>
      </c>
      <c r="B462" s="56" t="s">
        <v>1546</v>
      </c>
      <c r="C462" s="56" t="s">
        <v>611</v>
      </c>
      <c r="D462" s="56" t="str">
        <f aca="false">IFERROR(INDEX('Brand Map'!$B$4:$B$124,MATCH(C462,'Brand Map'!$A$4:$A$124,0)),"Other")</f>
        <v>Other (small prefixes)</v>
      </c>
      <c r="E462" s="57" t="n">
        <v>24</v>
      </c>
      <c r="F462" s="57" t="n">
        <v>1</v>
      </c>
      <c r="G462" s="58" t="n">
        <v>1029.74</v>
      </c>
      <c r="H462" s="58" t="n">
        <v>24.5</v>
      </c>
      <c r="I462" s="58" t="n">
        <v>986.88</v>
      </c>
      <c r="J462" s="32" t="n">
        <f aca="false">IF(E462&gt;0,F462/E462,0)</f>
        <v>0.0416666666666667</v>
      </c>
      <c r="K462" s="32" t="n">
        <f aca="false">IF(G462&gt;0,H462/G462,0)</f>
        <v>0.0237924136189718</v>
      </c>
      <c r="L462" s="59" t="n">
        <f aca="false">H462/Settings!$B$16</f>
        <v>4.89638979387718E-005</v>
      </c>
      <c r="M462" s="59" t="n">
        <f aca="false">H462/Settings!$B$20</f>
        <v>1.90204280647329E-006</v>
      </c>
      <c r="N462" s="60" t="n">
        <f aca="false">E462*Settings!$B$3</f>
        <v>0.74366762591569</v>
      </c>
      <c r="O462" s="60" t="n">
        <f aca="false">IF(E462&gt;0,(F462-N462)/SQRT(E462*Settings!$B$3*(1-Settings!$B$3)),0)</f>
        <v>0.301959731147039</v>
      </c>
      <c r="P462" s="60" t="n">
        <f aca="false">MAX(0,F462-N462)</f>
        <v>0.25633237408431</v>
      </c>
      <c r="Q462" s="32" t="n">
        <f aca="false">(F462+Settings!$B$7*Settings!$B$3)/(E462+Settings!$B$7)</f>
        <v>0.0357330468961965</v>
      </c>
      <c r="R462" s="61" t="n">
        <f aca="false">PERCENTRANK($H$2:$H$1780,H462,6)</f>
        <v>0.690664</v>
      </c>
      <c r="S462" s="61" t="n">
        <f aca="false">PERCENTRANK($Q$2:$Q$1780,Q462,6)</f>
        <v>0.779528</v>
      </c>
      <c r="T462" s="61" t="n">
        <f aca="false">PERCENTRANK($F$2:$F$1780,F462,6)</f>
        <v>0.685039</v>
      </c>
      <c r="U462" s="62" t="n">
        <f aca="false">IF(F462&gt;0,(Settings!$B$8*T462+Settings!$B$9*R462+Settings!$B$10*S462)/SUM(Settings!$B$8:$B$10),0)</f>
        <v>0.718410333333333</v>
      </c>
      <c r="V462" s="56" t="n">
        <f aca="false">IF(U462&gt;0,RANK(U462,$U$2:$U$1780)+COUNTIF($U$2:U462,U462)-1,"")</f>
        <v>461</v>
      </c>
      <c r="W462" s="56" t="str">
        <f aca="false">IF(V462="","",IF(V462&lt;=Settings!$B$11,"1 - Fix first",IF(V462&lt;=Settings!$B$12,"2 - Review","3 - Monitor")))</f>
        <v>3 - Monitor</v>
      </c>
      <c r="X462" s="56" t="str">
        <f aca="false">IF(AND(E462&gt;=Settings!$B$4,F462&gt;=Settings!$B$5,O462&gt;=Settings!$B$6),"HIGH RATE","")</f>
        <v/>
      </c>
      <c r="Y462" s="56" t="n">
        <f aca="false">IF(F462&gt;0,RANK(F462,$F$2:$F$1780)+COUNTIF($F$2:F462,F462)-1,"")</f>
        <v>506</v>
      </c>
      <c r="Z462" s="56" t="n">
        <f aca="false">IF(H462&gt;0,RANK(H462,$H$2:$H$1780)+COUNTIF($H$2:H462,H462)-1,"")</f>
        <v>551</v>
      </c>
      <c r="AA462" s="56" t="str">
        <f aca="false">IF(AC462="","",RANK(AC462,$AC$2:$AC$1780)+COUNTIF($AC$2:AC462,AC462)-1)</f>
        <v/>
      </c>
      <c r="AB462" s="56" t="str">
        <f aca="false">IF(AD462="","",RANK(AD462,$AD$2:$AD$1780)+COUNTIF($AD$2:AD462,AD462)-1)</f>
        <v/>
      </c>
      <c r="AC462" s="56" t="str">
        <f aca="false">IF(AND(F462&gt;0,E462&gt;=Settings!$B$4),J462,"")</f>
        <v/>
      </c>
      <c r="AD462" s="56" t="str">
        <f aca="false">IF(X462="HIGH RATE",O462,"")</f>
        <v/>
      </c>
    </row>
    <row r="463" customFormat="false" ht="15" hidden="false" customHeight="false" outlineLevel="0" collapsed="false">
      <c r="A463" s="56" t="s">
        <v>699</v>
      </c>
      <c r="B463" s="56" t="s">
        <v>700</v>
      </c>
      <c r="C463" s="56" t="s">
        <v>698</v>
      </c>
      <c r="D463" s="56" t="str">
        <f aca="false">IFERROR(INDEX('Brand Map'!$B$4:$B$124,MATCH(C463,'Brand Map'!$A$4:$A$124,0)),"Other")</f>
        <v>Other (small prefixes)</v>
      </c>
      <c r="E463" s="57" t="n">
        <v>25</v>
      </c>
      <c r="F463" s="57" t="n">
        <v>1</v>
      </c>
      <c r="G463" s="58" t="n">
        <v>1088.75</v>
      </c>
      <c r="H463" s="58" t="n">
        <v>39.95</v>
      </c>
      <c r="I463" s="58" t="n">
        <v>1048.8</v>
      </c>
      <c r="J463" s="32" t="n">
        <f aca="false">IF(E463&gt;0,F463/E463,0)</f>
        <v>0.04</v>
      </c>
      <c r="K463" s="32" t="n">
        <f aca="false">IF(G463&gt;0,H463/G463,0)</f>
        <v>0.0366934557979334</v>
      </c>
      <c r="L463" s="59" t="n">
        <f aca="false">H463/Settings!$B$16</f>
        <v>7.98411315368952E-005</v>
      </c>
      <c r="M463" s="59" t="n">
        <f aca="false">H463/Settings!$B$20</f>
        <v>3.10149429055543E-006</v>
      </c>
      <c r="N463" s="60" t="n">
        <f aca="false">E463*Settings!$B$3</f>
        <v>0.77465377699551</v>
      </c>
      <c r="O463" s="60" t="n">
        <f aca="false">IF(E463&gt;0,(F463-N463)/SQRT(E463*Settings!$B$3*(1-Settings!$B$3)),0)</f>
        <v>0.260094680484406</v>
      </c>
      <c r="P463" s="60" t="n">
        <f aca="false">MAX(0,F463-N463)</f>
        <v>0.22534622300449</v>
      </c>
      <c r="Q463" s="32" t="n">
        <f aca="false">(F463+Settings!$B$7*Settings!$B$3)/(E463+Settings!$B$7)</f>
        <v>0.0350833551344475</v>
      </c>
      <c r="R463" s="61" t="n">
        <f aca="false">PERCENTRANK($H$2:$H$1780,H463,6)</f>
        <v>0.695726</v>
      </c>
      <c r="S463" s="61" t="n">
        <f aca="false">PERCENTRANK($Q$2:$Q$1780,Q463,6)</f>
        <v>0.773903</v>
      </c>
      <c r="T463" s="61" t="n">
        <f aca="false">PERCENTRANK($F$2:$F$1780,F463,6)</f>
        <v>0.685039</v>
      </c>
      <c r="U463" s="62" t="n">
        <f aca="false">IF(F463&gt;0,(Settings!$B$8*T463+Settings!$B$9*R463+Settings!$B$10*S463)/SUM(Settings!$B$8:$B$10),0)</f>
        <v>0.718222666666667</v>
      </c>
      <c r="V463" s="56" t="n">
        <f aca="false">IF(U463&gt;0,RANK(U463,$U$2:$U$1780)+COUNTIF($U$2:U463,U463)-1,"")</f>
        <v>462</v>
      </c>
      <c r="W463" s="56" t="str">
        <f aca="false">IF(V463="","",IF(V463&lt;=Settings!$B$11,"1 - Fix first",IF(V463&lt;=Settings!$B$12,"2 - Review","3 - Monitor")))</f>
        <v>3 - Monitor</v>
      </c>
      <c r="X463" s="56" t="str">
        <f aca="false">IF(AND(E463&gt;=Settings!$B$4,F463&gt;=Settings!$B$5,O463&gt;=Settings!$B$6),"HIGH RATE","")</f>
        <v/>
      </c>
      <c r="Y463" s="56" t="n">
        <f aca="false">IF(F463&gt;0,RANK(F463,$F$2:$F$1780)+COUNTIF($F$2:F463,F463)-1,"")</f>
        <v>507</v>
      </c>
      <c r="Z463" s="56" t="n">
        <f aca="false">IF(H463&gt;0,RANK(H463,$H$2:$H$1780)+COUNTIF($H$2:H463,H463)-1,"")</f>
        <v>542</v>
      </c>
      <c r="AA463" s="56" t="str">
        <f aca="false">IF(AC463="","",RANK(AC463,$AC$2:$AC$1780)+COUNTIF($AC$2:AC463,AC463)-1)</f>
        <v/>
      </c>
      <c r="AB463" s="56" t="str">
        <f aca="false">IF(AD463="","",RANK(AD463,$AD$2:$AD$1780)+COUNTIF($AD$2:AD463,AD463)-1)</f>
        <v/>
      </c>
      <c r="AC463" s="56" t="str">
        <f aca="false">IF(AND(F463&gt;0,E463&gt;=Settings!$B$4),J463,"")</f>
        <v/>
      </c>
      <c r="AD463" s="56" t="str">
        <f aca="false">IF(X463="HIGH RATE",O463,"")</f>
        <v/>
      </c>
    </row>
    <row r="464" customFormat="false" ht="15" hidden="false" customHeight="false" outlineLevel="0" collapsed="false">
      <c r="A464" s="56" t="s">
        <v>666</v>
      </c>
      <c r="B464" s="56" t="s">
        <v>667</v>
      </c>
      <c r="C464" s="56" t="s">
        <v>665</v>
      </c>
      <c r="D464" s="56" t="str">
        <f aca="false">IFERROR(INDEX('Brand Map'!$B$4:$B$124,MATCH(C464,'Brand Map'!$A$4:$A$124,0)),"Other")</f>
        <v>Other (small prefixes)</v>
      </c>
      <c r="E464" s="57" t="n">
        <v>28</v>
      </c>
      <c r="F464" s="57" t="n">
        <v>1</v>
      </c>
      <c r="G464" s="58" t="n">
        <v>1628.12</v>
      </c>
      <c r="H464" s="58" t="n">
        <v>49.95</v>
      </c>
      <c r="I464" s="58" t="n">
        <v>1570.68</v>
      </c>
      <c r="J464" s="32" t="n">
        <f aca="false">IF(E464&gt;0,F464/E464,0)</f>
        <v>0.0357142857142857</v>
      </c>
      <c r="K464" s="32" t="n">
        <f aca="false">IF(G464&gt;0,H464/G464,0)</f>
        <v>0.0306795567894258</v>
      </c>
      <c r="L464" s="59" t="n">
        <f aca="false">H464/Settings!$B$16</f>
        <v>9.98263960017E-005</v>
      </c>
      <c r="M464" s="59" t="n">
        <f aca="false">H464/Settings!$B$20</f>
        <v>3.87783829319759E-006</v>
      </c>
      <c r="N464" s="60" t="n">
        <f aca="false">E464*Settings!$B$3</f>
        <v>0.867612230234972</v>
      </c>
      <c r="O464" s="60" t="n">
        <f aca="false">IF(E464&gt;0,(F464-N464)/SQRT(E464*Settings!$B$3*(1-Settings!$B$3)),0)</f>
        <v>0.144384323164387</v>
      </c>
      <c r="P464" s="60" t="n">
        <f aca="false">MAX(0,F464-N464)</f>
        <v>0.132387769765028</v>
      </c>
      <c r="Q464" s="32" t="n">
        <f aca="false">(F464+Settings!$B$7*Settings!$B$3)/(E464+Settings!$B$7)</f>
        <v>0.0332686988343899</v>
      </c>
      <c r="R464" s="61" t="n">
        <f aca="false">PERCENTRANK($H$2:$H$1780,H464,6)</f>
        <v>0.700225</v>
      </c>
      <c r="S464" s="61" t="n">
        <f aca="false">PERCENTRANK($Q$2:$Q$1780,Q464,6)</f>
        <v>0.757593</v>
      </c>
      <c r="T464" s="61" t="n">
        <f aca="false">PERCENTRANK($F$2:$F$1780,F464,6)</f>
        <v>0.685039</v>
      </c>
      <c r="U464" s="62" t="n">
        <f aca="false">IF(F464&gt;0,(Settings!$B$8*T464+Settings!$B$9*R464+Settings!$B$10*S464)/SUM(Settings!$B$8:$B$10),0)</f>
        <v>0.714285666666667</v>
      </c>
      <c r="V464" s="56" t="n">
        <f aca="false">IF(U464&gt;0,RANK(U464,$U$2:$U$1780)+COUNTIF($U$2:U464,U464)-1,"")</f>
        <v>463</v>
      </c>
      <c r="W464" s="56" t="str">
        <f aca="false">IF(V464="","",IF(V464&lt;=Settings!$B$11,"1 - Fix first",IF(V464&lt;=Settings!$B$12,"2 - Review","3 - Monitor")))</f>
        <v>3 - Monitor</v>
      </c>
      <c r="X464" s="56" t="str">
        <f aca="false">IF(AND(E464&gt;=Settings!$B$4,F464&gt;=Settings!$B$5,O464&gt;=Settings!$B$6),"HIGH RATE","")</f>
        <v/>
      </c>
      <c r="Y464" s="56" t="n">
        <f aca="false">IF(F464&gt;0,RANK(F464,$F$2:$F$1780)+COUNTIF($F$2:F464,F464)-1,"")</f>
        <v>508</v>
      </c>
      <c r="Z464" s="56" t="n">
        <f aca="false">IF(H464&gt;0,RANK(H464,$H$2:$H$1780)+COUNTIF($H$2:H464,H464)-1,"")</f>
        <v>533</v>
      </c>
      <c r="AA464" s="56" t="str">
        <f aca="false">IF(AC464="","",RANK(AC464,$AC$2:$AC$1780)+COUNTIF($AC$2:AC464,AC464)-1)</f>
        <v/>
      </c>
      <c r="AB464" s="56" t="str">
        <f aca="false">IF(AD464="","",RANK(AD464,$AD$2:$AD$1780)+COUNTIF($AD$2:AD464,AD464)-1)</f>
        <v/>
      </c>
      <c r="AC464" s="56" t="str">
        <f aca="false">IF(AND(F464&gt;0,E464&gt;=Settings!$B$4),J464,"")</f>
        <v/>
      </c>
      <c r="AD464" s="56" t="str">
        <f aca="false">IF(X464="HIGH RATE",O464,"")</f>
        <v/>
      </c>
    </row>
    <row r="465" customFormat="false" ht="15" hidden="false" customHeight="false" outlineLevel="0" collapsed="false">
      <c r="A465" s="56" t="s">
        <v>1547</v>
      </c>
      <c r="B465" s="56" t="s">
        <v>904</v>
      </c>
      <c r="C465" s="56" t="s">
        <v>75</v>
      </c>
      <c r="D465" s="56" t="str">
        <f aca="false">IFERROR(INDEX('Brand Map'!$B$4:$B$124,MATCH(C465,'Brand Map'!$A$4:$A$124,0)),"Other")</f>
        <v>AURP</v>
      </c>
      <c r="E465" s="57" t="n">
        <v>28</v>
      </c>
      <c r="F465" s="57" t="n">
        <v>1</v>
      </c>
      <c r="G465" s="58" t="n">
        <v>419.72</v>
      </c>
      <c r="H465" s="58" t="n">
        <v>14.99</v>
      </c>
      <c r="I465" s="58" t="n">
        <v>404.73</v>
      </c>
      <c r="J465" s="32" t="n">
        <f aca="false">IF(E465&gt;0,F465/E465,0)</f>
        <v>0.0357142857142857</v>
      </c>
      <c r="K465" s="32" t="n">
        <f aca="false">IF(G465&gt;0,H465/G465,0)</f>
        <v>0.0357142857142857</v>
      </c>
      <c r="L465" s="59" t="n">
        <f aca="false">H465/Settings!$B$16</f>
        <v>2.99579114327424E-005</v>
      </c>
      <c r="M465" s="59" t="n">
        <f aca="false">H465/Settings!$B$20</f>
        <v>1.1637396599606E-006</v>
      </c>
      <c r="N465" s="60" t="n">
        <f aca="false">E465*Settings!$B$3</f>
        <v>0.867612230234972</v>
      </c>
      <c r="O465" s="60" t="n">
        <f aca="false">IF(E465&gt;0,(F465-N465)/SQRT(E465*Settings!$B$3*(1-Settings!$B$3)),0)</f>
        <v>0.144384323164387</v>
      </c>
      <c r="P465" s="60" t="n">
        <f aca="false">MAX(0,F465-N465)</f>
        <v>0.132387769765028</v>
      </c>
      <c r="Q465" s="32" t="n">
        <f aca="false">(F465+Settings!$B$7*Settings!$B$3)/(E465+Settings!$B$7)</f>
        <v>0.0332686988343899</v>
      </c>
      <c r="R465" s="61" t="n">
        <f aca="false">PERCENTRANK($H$2:$H$1780,H465,6)</f>
        <v>0.687852</v>
      </c>
      <c r="S465" s="61" t="n">
        <f aca="false">PERCENTRANK($Q$2:$Q$1780,Q465,6)</f>
        <v>0.757593</v>
      </c>
      <c r="T465" s="61" t="n">
        <f aca="false">PERCENTRANK($F$2:$F$1780,F465,6)</f>
        <v>0.685039</v>
      </c>
      <c r="U465" s="62" t="n">
        <f aca="false">IF(F465&gt;0,(Settings!$B$8*T465+Settings!$B$9*R465+Settings!$B$10*S465)/SUM(Settings!$B$8:$B$10),0)</f>
        <v>0.710161333333333</v>
      </c>
      <c r="V465" s="56" t="n">
        <f aca="false">IF(U465&gt;0,RANK(U465,$U$2:$U$1780)+COUNTIF($U$2:U465,U465)-1,"")</f>
        <v>464</v>
      </c>
      <c r="W465" s="56" t="str">
        <f aca="false">IF(V465="","",IF(V465&lt;=Settings!$B$11,"1 - Fix first",IF(V465&lt;=Settings!$B$12,"2 - Review","3 - Monitor")))</f>
        <v>3 - Monitor</v>
      </c>
      <c r="X465" s="56" t="str">
        <f aca="false">IF(AND(E465&gt;=Settings!$B$4,F465&gt;=Settings!$B$5,O465&gt;=Settings!$B$6),"HIGH RATE","")</f>
        <v/>
      </c>
      <c r="Y465" s="56" t="n">
        <f aca="false">IF(F465&gt;0,RANK(F465,$F$2:$F$1780)+COUNTIF($F$2:F465,F465)-1,"")</f>
        <v>509</v>
      </c>
      <c r="Z465" s="56" t="n">
        <f aca="false">IF(H465&gt;0,RANK(H465,$H$2:$H$1780)+COUNTIF($H$2:H465,H465)-1,"")</f>
        <v>556</v>
      </c>
      <c r="AA465" s="56" t="str">
        <f aca="false">IF(AC465="","",RANK(AC465,$AC$2:$AC$1780)+COUNTIF($AC$2:AC465,AC465)-1)</f>
        <v/>
      </c>
      <c r="AB465" s="56" t="str">
        <f aca="false">IF(AD465="","",RANK(AD465,$AD$2:$AD$1780)+COUNTIF($AD$2:AD465,AD465)-1)</f>
        <v/>
      </c>
      <c r="AC465" s="56" t="str">
        <f aca="false">IF(AND(F465&gt;0,E465&gt;=Settings!$B$4),J465,"")</f>
        <v/>
      </c>
      <c r="AD465" s="56" t="str">
        <f aca="false">IF(X465="HIGH RATE",O465,"")</f>
        <v/>
      </c>
    </row>
    <row r="466" customFormat="false" ht="15" hidden="false" customHeight="false" outlineLevel="0" collapsed="false">
      <c r="A466" s="56" t="s">
        <v>1548</v>
      </c>
      <c r="B466" s="56" t="s">
        <v>599</v>
      </c>
      <c r="C466" s="56" t="s">
        <v>158</v>
      </c>
      <c r="D466" s="56" t="str">
        <f aca="false">IFERROR(INDEX('Brand Map'!$B$4:$B$124,MATCH(C466,'Brand Map'!$A$4:$A$124,0)),"Other")</f>
        <v>SC</v>
      </c>
      <c r="E466" s="57" t="n">
        <v>28</v>
      </c>
      <c r="F466" s="57" t="n">
        <v>1</v>
      </c>
      <c r="G466" s="58" t="n">
        <v>110.6</v>
      </c>
      <c r="H466" s="58" t="n">
        <v>3.95</v>
      </c>
      <c r="I466" s="58" t="n">
        <v>106.65</v>
      </c>
      <c r="J466" s="32" t="n">
        <f aca="false">IF(E466&gt;0,F466/E466,0)</f>
        <v>0.0357142857142857</v>
      </c>
      <c r="K466" s="32" t="n">
        <f aca="false">IF(G466&gt;0,H466/G466,0)</f>
        <v>0.0357142857142857</v>
      </c>
      <c r="L466" s="59" t="n">
        <f aca="false">H466/Settings!$B$16</f>
        <v>7.8941794635979E-006</v>
      </c>
      <c r="M466" s="59" t="n">
        <f aca="false">H466/Settings!$B$20</f>
        <v>3.06655881043653E-007</v>
      </c>
      <c r="N466" s="60" t="n">
        <f aca="false">E466*Settings!$B$3</f>
        <v>0.867612230234972</v>
      </c>
      <c r="O466" s="60" t="n">
        <f aca="false">IF(E466&gt;0,(F466-N466)/SQRT(E466*Settings!$B$3*(1-Settings!$B$3)),0)</f>
        <v>0.144384323164387</v>
      </c>
      <c r="P466" s="60" t="n">
        <f aca="false">MAX(0,F466-N466)</f>
        <v>0.132387769765028</v>
      </c>
      <c r="Q466" s="32" t="n">
        <f aca="false">(F466+Settings!$B$7*Settings!$B$3)/(E466+Settings!$B$7)</f>
        <v>0.0332686988343899</v>
      </c>
      <c r="R466" s="61" t="n">
        <f aca="false">PERCENTRANK($H$2:$H$1780,H466,6)</f>
        <v>0.685602</v>
      </c>
      <c r="S466" s="61" t="n">
        <f aca="false">PERCENTRANK($Q$2:$Q$1780,Q466,6)</f>
        <v>0.757593</v>
      </c>
      <c r="T466" s="61" t="n">
        <f aca="false">PERCENTRANK($F$2:$F$1780,F466,6)</f>
        <v>0.685039</v>
      </c>
      <c r="U466" s="62" t="n">
        <f aca="false">IF(F466&gt;0,(Settings!$B$8*T466+Settings!$B$9*R466+Settings!$B$10*S466)/SUM(Settings!$B$8:$B$10),0)</f>
        <v>0.709411333333333</v>
      </c>
      <c r="V466" s="56" t="n">
        <f aca="false">IF(U466&gt;0,RANK(U466,$U$2:$U$1780)+COUNTIF($U$2:U466,U466)-1,"")</f>
        <v>465</v>
      </c>
      <c r="W466" s="56" t="str">
        <f aca="false">IF(V466="","",IF(V466&lt;=Settings!$B$11,"1 - Fix first",IF(V466&lt;=Settings!$B$12,"2 - Review","3 - Monitor")))</f>
        <v>3 - Monitor</v>
      </c>
      <c r="X466" s="56" t="str">
        <f aca="false">IF(AND(E466&gt;=Settings!$B$4,F466&gt;=Settings!$B$5,O466&gt;=Settings!$B$6),"HIGH RATE","")</f>
        <v/>
      </c>
      <c r="Y466" s="56" t="n">
        <f aca="false">IF(F466&gt;0,RANK(F466,$F$2:$F$1780)+COUNTIF($F$2:F466,F466)-1,"")</f>
        <v>510</v>
      </c>
      <c r="Z466" s="56" t="n">
        <f aca="false">IF(H466&gt;0,RANK(H466,$H$2:$H$1780)+COUNTIF($H$2:H466,H466)-1,"")</f>
        <v>560</v>
      </c>
      <c r="AA466" s="56" t="str">
        <f aca="false">IF(AC466="","",RANK(AC466,$AC$2:$AC$1780)+COUNTIF($AC$2:AC466,AC466)-1)</f>
        <v/>
      </c>
      <c r="AB466" s="56" t="str">
        <f aca="false">IF(AD466="","",RANK(AD466,$AD$2:$AD$1780)+COUNTIF($AD$2:AD466,AD466)-1)</f>
        <v/>
      </c>
      <c r="AC466" s="56" t="str">
        <f aca="false">IF(AND(F466&gt;0,E466&gt;=Settings!$B$4),J466,"")</f>
        <v/>
      </c>
      <c r="AD466" s="56" t="str">
        <f aca="false">IF(X466="HIGH RATE",O466,"")</f>
        <v/>
      </c>
    </row>
    <row r="467" customFormat="false" ht="15" hidden="false" customHeight="false" outlineLevel="0" collapsed="false">
      <c r="A467" s="56" t="s">
        <v>1549</v>
      </c>
      <c r="B467" s="56" t="s">
        <v>1550</v>
      </c>
      <c r="C467" s="56" t="s">
        <v>132</v>
      </c>
      <c r="D467" s="56" t="str">
        <f aca="false">IFERROR(INDEX('Brand Map'!$B$4:$B$124,MATCH(C467,'Brand Map'!$A$4:$A$124,0)),"Other")</f>
        <v>RP</v>
      </c>
      <c r="E467" s="57" t="n">
        <v>32</v>
      </c>
      <c r="F467" s="57" t="n">
        <v>1</v>
      </c>
      <c r="G467" s="58" t="n">
        <v>437.53</v>
      </c>
      <c r="H467" s="58" t="n">
        <v>10.87</v>
      </c>
      <c r="I467" s="58" t="n">
        <v>404.29</v>
      </c>
      <c r="J467" s="32" t="n">
        <f aca="false">IF(E467&gt;0,F467/E467,0)</f>
        <v>0.03125</v>
      </c>
      <c r="K467" s="32" t="n">
        <f aca="false">IF(G467&gt;0,H467/G467,0)</f>
        <v>0.0248440106964094</v>
      </c>
      <c r="L467" s="59" t="n">
        <f aca="false">H467/Settings!$B$16</f>
        <v>2.17239824732428E-005</v>
      </c>
      <c r="M467" s="59" t="n">
        <f aca="false">H467/Settings!$B$20</f>
        <v>8.43885930872027E-007</v>
      </c>
      <c r="N467" s="60" t="n">
        <f aca="false">E467*Settings!$B$3</f>
        <v>0.991556834554253</v>
      </c>
      <c r="O467" s="60" t="n">
        <f aca="false">IF(E467&gt;0,(F467-N467)/SQRT(E467*Settings!$B$3*(1-Settings!$B$3)),0)</f>
        <v>0.00861353655793674</v>
      </c>
      <c r="P467" s="60" t="n">
        <f aca="false">MAX(0,F467-N467)</f>
        <v>0.00844316544574664</v>
      </c>
      <c r="Q467" s="32" t="n">
        <f aca="false">(F467+Settings!$B$7*Settings!$B$3)/(E467+Settings!$B$7)</f>
        <v>0.031122331167655</v>
      </c>
      <c r="R467" s="61" t="n">
        <f aca="false">PERCENTRANK($H$2:$H$1780,H467,6)</f>
        <v>0.686727</v>
      </c>
      <c r="S467" s="61" t="n">
        <f aca="false">PERCENTRANK($Q$2:$Q$1780,Q467,6)</f>
        <v>0.747469</v>
      </c>
      <c r="T467" s="61" t="n">
        <f aca="false">PERCENTRANK($F$2:$F$1780,F467,6)</f>
        <v>0.685039</v>
      </c>
      <c r="U467" s="62" t="n">
        <f aca="false">IF(F467&gt;0,(Settings!$B$8*T467+Settings!$B$9*R467+Settings!$B$10*S467)/SUM(Settings!$B$8:$B$10),0)</f>
        <v>0.706411666666667</v>
      </c>
      <c r="V467" s="56" t="n">
        <f aca="false">IF(U467&gt;0,RANK(U467,$U$2:$U$1780)+COUNTIF($U$2:U467,U467)-1,"")</f>
        <v>466</v>
      </c>
      <c r="W467" s="56" t="str">
        <f aca="false">IF(V467="","",IF(V467&lt;=Settings!$B$11,"1 - Fix first",IF(V467&lt;=Settings!$B$12,"2 - Review","3 - Monitor")))</f>
        <v>3 - Monitor</v>
      </c>
      <c r="X467" s="56" t="str">
        <f aca="false">IF(AND(E467&gt;=Settings!$B$4,F467&gt;=Settings!$B$5,O467&gt;=Settings!$B$6),"HIGH RATE","")</f>
        <v/>
      </c>
      <c r="Y467" s="56" t="n">
        <f aca="false">IF(F467&gt;0,RANK(F467,$F$2:$F$1780)+COUNTIF($F$2:F467,F467)-1,"")</f>
        <v>511</v>
      </c>
      <c r="Z467" s="56" t="n">
        <f aca="false">IF(H467&gt;0,RANK(H467,$H$2:$H$1780)+COUNTIF($H$2:H467,H467)-1,"")</f>
        <v>558</v>
      </c>
      <c r="AA467" s="56" t="n">
        <f aca="false">IF(AC467="","",RANK(AC467,$AC$2:$AC$1780)+COUNTIF($AC$2:AC467,AC467)-1)</f>
        <v>256</v>
      </c>
      <c r="AB467" s="56" t="str">
        <f aca="false">IF(AD467="","",RANK(AD467,$AD$2:$AD$1780)+COUNTIF($AD$2:AD467,AD467)-1)</f>
        <v/>
      </c>
      <c r="AC467" s="32" t="n">
        <f aca="false">IF(AND(F467&gt;0,E467&gt;=Settings!$B$4),J467,"")</f>
        <v>0.03125</v>
      </c>
      <c r="AD467" s="56" t="str">
        <f aca="false">IF(X467="HIGH RATE",O467,"")</f>
        <v/>
      </c>
    </row>
    <row r="468" customFormat="false" ht="15" hidden="false" customHeight="false" outlineLevel="0" collapsed="false">
      <c r="A468" s="56" t="s">
        <v>1551</v>
      </c>
      <c r="B468" s="56" t="s">
        <v>989</v>
      </c>
      <c r="C468" s="56" t="s">
        <v>51</v>
      </c>
      <c r="D468" s="56" t="str">
        <f aca="false">IFERROR(INDEX('Brand Map'!$B$4:$B$124,MATCH(C468,'Brand Map'!$A$4:$A$124,0)),"Other")</f>
        <v>AU</v>
      </c>
      <c r="E468" s="57" t="n">
        <v>33</v>
      </c>
      <c r="F468" s="57" t="n">
        <v>1</v>
      </c>
      <c r="G468" s="58" t="n">
        <v>118.47</v>
      </c>
      <c r="H468" s="58" t="n">
        <v>3.59</v>
      </c>
      <c r="I468" s="58" t="n">
        <v>112.37</v>
      </c>
      <c r="J468" s="32" t="n">
        <f aca="false">IF(E468&gt;0,F468/E468,0)</f>
        <v>0.0303030303030303</v>
      </c>
      <c r="K468" s="32" t="n">
        <f aca="false">IF(G468&gt;0,H468/G468,0)</f>
        <v>0.0303030303030303</v>
      </c>
      <c r="L468" s="59" t="n">
        <f aca="false">H468/Settings!$B$16</f>
        <v>7.17470994286493E-006</v>
      </c>
      <c r="M468" s="59" t="n">
        <f aca="false">H468/Settings!$B$20</f>
        <v>2.78707496948535E-007</v>
      </c>
      <c r="N468" s="60" t="n">
        <f aca="false">E468*Settings!$B$3</f>
        <v>1.02254298563407</v>
      </c>
      <c r="O468" s="60" t="n">
        <f aca="false">IF(E468&gt;0,(F468-N468)/SQRT(E468*Settings!$B$3*(1-Settings!$B$3)),0)</f>
        <v>-0.0226467379778553</v>
      </c>
      <c r="P468" s="60" t="n">
        <f aca="false">MAX(0,F468-N468)</f>
        <v>0</v>
      </c>
      <c r="Q468" s="32" t="n">
        <f aca="false">(F468+Settings!$B$7*Settings!$B$3)/(E468+Settings!$B$7)</f>
        <v>0.0306283259110256</v>
      </c>
      <c r="R468" s="61" t="n">
        <f aca="false">PERCENTRANK($H$2:$H$1780,H468,6)</f>
        <v>0.685039</v>
      </c>
      <c r="S468" s="61" t="n">
        <f aca="false">PERCENTRANK($Q$2:$Q$1780,Q468,6)</f>
        <v>0.745219</v>
      </c>
      <c r="T468" s="61" t="n">
        <f aca="false">PERCENTRANK($F$2:$F$1780,F468,6)</f>
        <v>0.685039</v>
      </c>
      <c r="U468" s="62" t="n">
        <f aca="false">IF(F468&gt;0,(Settings!$B$8*T468+Settings!$B$9*R468+Settings!$B$10*S468)/SUM(Settings!$B$8:$B$10),0)</f>
        <v>0.705099</v>
      </c>
      <c r="V468" s="56" t="n">
        <f aca="false">IF(U468&gt;0,RANK(U468,$U$2:$U$1780)+COUNTIF($U$2:U468,U468)-1,"")</f>
        <v>467</v>
      </c>
      <c r="W468" s="56" t="str">
        <f aca="false">IF(V468="","",IF(V468&lt;=Settings!$B$11,"1 - Fix first",IF(V468&lt;=Settings!$B$12,"2 - Review","3 - Monitor")))</f>
        <v>3 - Monitor</v>
      </c>
      <c r="X468" s="56" t="str">
        <f aca="false">IF(AND(E468&gt;=Settings!$B$4,F468&gt;=Settings!$B$5,O468&gt;=Settings!$B$6),"HIGH RATE","")</f>
        <v/>
      </c>
      <c r="Y468" s="56" t="n">
        <f aca="false">IF(F468&gt;0,RANK(F468,$F$2:$F$1780)+COUNTIF($F$2:F468,F468)-1,"")</f>
        <v>512</v>
      </c>
      <c r="Z468" s="56" t="n">
        <f aca="false">IF(H468&gt;0,RANK(H468,$H$2:$H$1780)+COUNTIF($H$2:H468,H468)-1,"")</f>
        <v>561</v>
      </c>
      <c r="AA468" s="56" t="n">
        <f aca="false">IF(AC468="","",RANK(AC468,$AC$2:$AC$1780)+COUNTIF($AC$2:AC468,AC468)-1)</f>
        <v>262</v>
      </c>
      <c r="AB468" s="56" t="str">
        <f aca="false">IF(AD468="","",RANK(AD468,$AD$2:$AD$1780)+COUNTIF($AD$2:AD468,AD468)-1)</f>
        <v/>
      </c>
      <c r="AC468" s="32" t="n">
        <f aca="false">IF(AND(F468&gt;0,E468&gt;=Settings!$B$4),J468,"")</f>
        <v>0.0303030303030303</v>
      </c>
      <c r="AD468" s="56" t="str">
        <f aca="false">IF(X468="HIGH RATE",O468,"")</f>
        <v/>
      </c>
    </row>
    <row r="469" customFormat="false" ht="15" hidden="false" customHeight="false" outlineLevel="0" collapsed="false">
      <c r="A469" s="56" t="s">
        <v>273</v>
      </c>
      <c r="B469" s="56" t="s">
        <v>1552</v>
      </c>
      <c r="C469" s="56" t="s">
        <v>67</v>
      </c>
      <c r="D469" s="56" t="str">
        <f aca="false">IFERROR(INDEX('Brand Map'!$B$4:$B$124,MATCH(C469,'Brand Map'!$A$4:$A$124,0)),"Other")</f>
        <v>MJ</v>
      </c>
      <c r="E469" s="57" t="n">
        <v>3090</v>
      </c>
      <c r="F469" s="57" t="n">
        <v>70</v>
      </c>
      <c r="G469" s="58" t="n">
        <v>182885.81</v>
      </c>
      <c r="H469" s="58" t="n">
        <v>4429.38</v>
      </c>
      <c r="I469" s="58" t="n">
        <v>174752.96</v>
      </c>
      <c r="J469" s="32" t="n">
        <f aca="false">IF(E469&gt;0,F469/E469,0)</f>
        <v>0.0226537216828479</v>
      </c>
      <c r="K469" s="32" t="n">
        <f aca="false">IF(G469&gt;0,H469/G469,0)</f>
        <v>0.0242193749203396</v>
      </c>
      <c r="L469" s="59" t="n">
        <f aca="false">H469/Settings!$B$16</f>
        <v>0.00885223307151171</v>
      </c>
      <c r="M469" s="59" t="n">
        <f aca="false">H469/Settings!$B$20</f>
        <v>0.000343872259842313</v>
      </c>
      <c r="N469" s="60" t="n">
        <f aca="false">E469*Settings!$B$3</f>
        <v>95.7472068366451</v>
      </c>
      <c r="O469" s="60" t="n">
        <f aca="false">IF(E469&gt;0,(F469-N469)/SQRT(E469*Settings!$B$3*(1-Settings!$B$3)),0)</f>
        <v>-2.67301916871042</v>
      </c>
      <c r="P469" s="60" t="n">
        <f aca="false">MAX(0,F469-N469)</f>
        <v>0</v>
      </c>
      <c r="Q469" s="32" t="n">
        <f aca="false">(F469+Settings!$B$7*Settings!$B$3)/(E469+Settings!$B$7)</f>
        <v>0.0227338411962803</v>
      </c>
      <c r="R469" s="61" t="n">
        <f aca="false">PERCENTRANK($H$2:$H$1780,H469,6)</f>
        <v>0.987627</v>
      </c>
      <c r="S469" s="61" t="n">
        <f aca="false">PERCENTRANK($Q$2:$Q$1780,Q469,6)</f>
        <v>0.127672</v>
      </c>
      <c r="T469" s="61" t="n">
        <f aca="false">PERCENTRANK($F$2:$F$1780,F469,6)</f>
        <v>0.984252</v>
      </c>
      <c r="U469" s="62" t="n">
        <f aca="false">IF(F469&gt;0,(Settings!$B$8*T469+Settings!$B$9*R469+Settings!$B$10*S469)/SUM(Settings!$B$8:$B$10),0)</f>
        <v>0.699850333333333</v>
      </c>
      <c r="V469" s="56" t="n">
        <f aca="false">IF(U469&gt;0,RANK(U469,$U$2:$U$1780)+COUNTIF($U$2:U469,U469)-1,"")</f>
        <v>468</v>
      </c>
      <c r="W469" s="56" t="str">
        <f aca="false">IF(V469="","",IF(V469&lt;=Settings!$B$11,"1 - Fix first",IF(V469&lt;=Settings!$B$12,"2 - Review","3 - Monitor")))</f>
        <v>3 - Monitor</v>
      </c>
      <c r="X469" s="56" t="str">
        <f aca="false">IF(AND(E469&gt;=Settings!$B$4,F469&gt;=Settings!$B$5,O469&gt;=Settings!$B$6),"HIGH RATE","")</f>
        <v/>
      </c>
      <c r="Y469" s="56" t="n">
        <f aca="false">IF(F469&gt;0,RANK(F469,$F$2:$F$1780)+COUNTIF($F$2:F469,F469)-1,"")</f>
        <v>29</v>
      </c>
      <c r="Z469" s="56" t="n">
        <f aca="false">IF(H469&gt;0,RANK(H469,$H$2:$H$1780)+COUNTIF($H$2:H469,H469)-1,"")</f>
        <v>23</v>
      </c>
      <c r="AA469" s="56" t="n">
        <f aca="false">IF(AC469="","",RANK(AC469,$AC$2:$AC$1780)+COUNTIF($AC$2:AC469,AC469)-1)</f>
        <v>295</v>
      </c>
      <c r="AB469" s="56" t="str">
        <f aca="false">IF(AD469="","",RANK(AD469,$AD$2:$AD$1780)+COUNTIF($AD$2:AD469,AD469)-1)</f>
        <v/>
      </c>
      <c r="AC469" s="32" t="n">
        <f aca="false">IF(AND(F469&gt;0,E469&gt;=Settings!$B$4),J469,"")</f>
        <v>0.0226537216828479</v>
      </c>
      <c r="AD469" s="56" t="str">
        <f aca="false">IF(X469="HIGH RATE",O469,"")</f>
        <v/>
      </c>
    </row>
    <row r="470" customFormat="false" ht="15" hidden="false" customHeight="false" outlineLevel="0" collapsed="false">
      <c r="A470" s="56" t="s">
        <v>549</v>
      </c>
      <c r="B470" s="56" t="s">
        <v>550</v>
      </c>
      <c r="C470" s="56" t="s">
        <v>103</v>
      </c>
      <c r="D470" s="56" t="str">
        <f aca="false">IFERROR(INDEX('Brand Map'!$B$4:$B$124,MATCH(C470,'Brand Map'!$A$4:$A$124,0)),"Other")</f>
        <v>MDM</v>
      </c>
      <c r="E470" s="57" t="n">
        <v>4105</v>
      </c>
      <c r="F470" s="57" t="n">
        <v>85</v>
      </c>
      <c r="G470" s="58" t="n">
        <v>252345.67</v>
      </c>
      <c r="H470" s="58" t="n">
        <v>5835.37</v>
      </c>
      <c r="I470" s="58" t="n">
        <v>241050.77</v>
      </c>
      <c r="J470" s="32" t="n">
        <f aca="false">IF(E470&gt;0,F470/E470,0)</f>
        <v>0.0207064555420219</v>
      </c>
      <c r="K470" s="32" t="n">
        <f aca="false">IF(G470&gt;0,H470/G470,0)</f>
        <v>0.0231245101213744</v>
      </c>
      <c r="L470" s="59" t="n">
        <f aca="false">H470/Settings!$B$16</f>
        <v>0.0116621412699988</v>
      </c>
      <c r="M470" s="59" t="n">
        <f aca="false">H470/Settings!$B$20</f>
        <v>0.000453025450269798</v>
      </c>
      <c r="N470" s="60" t="n">
        <f aca="false">E470*Settings!$B$3</f>
        <v>127.198150182663</v>
      </c>
      <c r="O470" s="60" t="n">
        <f aca="false">IF(E470&gt;0,(F470-N470)/SQRT(E470*Settings!$B$3*(1-Settings!$B$3)),0)</f>
        <v>-3.800913828679</v>
      </c>
      <c r="P470" s="60" t="n">
        <f aca="false">MAX(0,F470-N470)</f>
        <v>0</v>
      </c>
      <c r="Q470" s="32" t="n">
        <f aca="false">(F470+Settings!$B$7*Settings!$B$3)/(E470+Settings!$B$7)</f>
        <v>0.0207810361626105</v>
      </c>
      <c r="R470" s="61" t="n">
        <f aca="false">PERCENTRANK($H$2:$H$1780,H470,6)</f>
        <v>0.991001</v>
      </c>
      <c r="S470" s="61" t="n">
        <f aca="false">PERCENTRANK($Q$2:$Q$1780,Q470,6)</f>
        <v>0.0989876</v>
      </c>
      <c r="T470" s="61" t="n">
        <f aca="false">PERCENTRANK($F$2:$F$1780,F470,6)</f>
        <v>0.987064</v>
      </c>
      <c r="U470" s="62" t="n">
        <f aca="false">IF(F470&gt;0,(Settings!$B$8*T470+Settings!$B$9*R470+Settings!$B$10*S470)/SUM(Settings!$B$8:$B$10),0)</f>
        <v>0.692350866666667</v>
      </c>
      <c r="V470" s="56" t="n">
        <f aca="false">IF(U470&gt;0,RANK(U470,$U$2:$U$1780)+COUNTIF($U$2:U470,U470)-1,"")</f>
        <v>469</v>
      </c>
      <c r="W470" s="56" t="str">
        <f aca="false">IF(V470="","",IF(V470&lt;=Settings!$B$11,"1 - Fix first",IF(V470&lt;=Settings!$B$12,"2 - Review","3 - Monitor")))</f>
        <v>3 - Monitor</v>
      </c>
      <c r="X470" s="56" t="str">
        <f aca="false">IF(AND(E470&gt;=Settings!$B$4,F470&gt;=Settings!$B$5,O470&gt;=Settings!$B$6),"HIGH RATE","")</f>
        <v/>
      </c>
      <c r="Y470" s="56" t="n">
        <f aca="false">IF(F470&gt;0,RANK(F470,$F$2:$F$1780)+COUNTIF($F$2:F470,F470)-1,"")</f>
        <v>24</v>
      </c>
      <c r="Z470" s="56" t="n">
        <f aca="false">IF(H470&gt;0,RANK(H470,$H$2:$H$1780)+COUNTIF($H$2:H470,H470)-1,"")</f>
        <v>17</v>
      </c>
      <c r="AA470" s="56" t="n">
        <f aca="false">IF(AC470="","",RANK(AC470,$AC$2:$AC$1780)+COUNTIF($AC$2:AC470,AC470)-1)</f>
        <v>304</v>
      </c>
      <c r="AB470" s="56" t="str">
        <f aca="false">IF(AD470="","",RANK(AD470,$AD$2:$AD$1780)+COUNTIF($AD$2:AD470,AD470)-1)</f>
        <v/>
      </c>
      <c r="AC470" s="32" t="n">
        <f aca="false">IF(AND(F470&gt;0,E470&gt;=Settings!$B$4),J470,"")</f>
        <v>0.0207064555420219</v>
      </c>
      <c r="AD470" s="56" t="str">
        <f aca="false">IF(X470="HIGH RATE",O470,"")</f>
        <v/>
      </c>
    </row>
    <row r="471" customFormat="false" ht="15" hidden="false" customHeight="false" outlineLevel="0" collapsed="false">
      <c r="A471" s="56" t="s">
        <v>1553</v>
      </c>
      <c r="B471" s="56" t="s">
        <v>1554</v>
      </c>
      <c r="C471" s="56" t="s">
        <v>51</v>
      </c>
      <c r="D471" s="56" t="str">
        <f aca="false">IFERROR(INDEX('Brand Map'!$B$4:$B$124,MATCH(C471,'Brand Map'!$A$4:$A$124,0)),"Other")</f>
        <v>AU</v>
      </c>
      <c r="E471" s="57" t="n">
        <v>600</v>
      </c>
      <c r="F471" s="57" t="n">
        <v>15</v>
      </c>
      <c r="G471" s="58" t="n">
        <v>50292.29</v>
      </c>
      <c r="H471" s="58" t="n">
        <v>1141.89</v>
      </c>
      <c r="I471" s="58" t="n">
        <v>47943.51</v>
      </c>
      <c r="J471" s="32" t="n">
        <f aca="false">IF(E471&gt;0,F471/E471,0)</f>
        <v>0.025</v>
      </c>
      <c r="K471" s="32" t="n">
        <f aca="false">IF(G471&gt;0,H471/G471,0)</f>
        <v>0.0227050706977153</v>
      </c>
      <c r="L471" s="59" t="n">
        <f aca="false">H471/Settings!$B$16</f>
        <v>0.0022820973639716</v>
      </c>
      <c r="M471" s="59" t="n">
        <f aca="false">H471/Settings!$B$20</f>
        <v>8.86499453177056E-005</v>
      </c>
      <c r="N471" s="60" t="n">
        <f aca="false">E471*Settings!$B$3</f>
        <v>18.5916906478923</v>
      </c>
      <c r="O471" s="60" t="n">
        <f aca="false">IF(E471&gt;0,(F471-N471)/SQRT(E471*Settings!$B$3*(1-Settings!$B$3)),0)</f>
        <v>-0.846202861636322</v>
      </c>
      <c r="P471" s="60" t="n">
        <f aca="false">MAX(0,F471-N471)</f>
        <v>0</v>
      </c>
      <c r="Q471" s="32" t="n">
        <f aca="false">(F471+Settings!$B$7*Settings!$B$3)/(E471+Settings!$B$7)</f>
        <v>0.0252850548133248</v>
      </c>
      <c r="R471" s="61" t="n">
        <f aca="false">PERCENTRANK($H$2:$H$1780,H471,6)</f>
        <v>0.949381</v>
      </c>
      <c r="S471" s="61" t="n">
        <f aca="false">PERCENTRANK($Q$2:$Q$1780,Q471,6)</f>
        <v>0.186164</v>
      </c>
      <c r="T471" s="61" t="n">
        <f aca="false">PERCENTRANK($F$2:$F$1780,F471,6)</f>
        <v>0.940945</v>
      </c>
      <c r="U471" s="62" t="n">
        <f aca="false">IF(F471&gt;0,(Settings!$B$8*T471+Settings!$B$9*R471+Settings!$B$10*S471)/SUM(Settings!$B$8:$B$10),0)</f>
        <v>0.692163333333333</v>
      </c>
      <c r="V471" s="56" t="n">
        <f aca="false">IF(U471&gt;0,RANK(U471,$U$2:$U$1780)+COUNTIF($U$2:U471,U471)-1,"")</f>
        <v>470</v>
      </c>
      <c r="W471" s="56" t="str">
        <f aca="false">IF(V471="","",IF(V471&lt;=Settings!$B$11,"1 - Fix first",IF(V471&lt;=Settings!$B$12,"2 - Review","3 - Monitor")))</f>
        <v>3 - Monitor</v>
      </c>
      <c r="X471" s="56" t="str">
        <f aca="false">IF(AND(E471&gt;=Settings!$B$4,F471&gt;=Settings!$B$5,O471&gt;=Settings!$B$6),"HIGH RATE","")</f>
        <v/>
      </c>
      <c r="Y471" s="56" t="n">
        <f aca="false">IF(F471&gt;0,RANK(F471,$F$2:$F$1780)+COUNTIF($F$2:F471,F471)-1,"")</f>
        <v>106</v>
      </c>
      <c r="Z471" s="56" t="n">
        <f aca="false">IF(H471&gt;0,RANK(H471,$H$2:$H$1780)+COUNTIF($H$2:H471,H471)-1,"")</f>
        <v>91</v>
      </c>
      <c r="AA471" s="56" t="n">
        <f aca="false">IF(AC471="","",RANK(AC471,$AC$2:$AC$1780)+COUNTIF($AC$2:AC471,AC471)-1)</f>
        <v>282</v>
      </c>
      <c r="AB471" s="56" t="str">
        <f aca="false">IF(AD471="","",RANK(AD471,$AD$2:$AD$1780)+COUNTIF($AD$2:AD471,AD471)-1)</f>
        <v/>
      </c>
      <c r="AC471" s="32" t="n">
        <f aca="false">IF(AND(F471&gt;0,E471&gt;=Settings!$B$4),J471,"")</f>
        <v>0.025</v>
      </c>
      <c r="AD471" s="56" t="str">
        <f aca="false">IF(X471="HIGH RATE",O471,"")</f>
        <v/>
      </c>
    </row>
    <row r="472" customFormat="false" ht="15" hidden="false" customHeight="false" outlineLevel="0" collapsed="false">
      <c r="A472" s="56" t="s">
        <v>272</v>
      </c>
      <c r="B472" s="56" t="s">
        <v>542</v>
      </c>
      <c r="C472" s="56" t="s">
        <v>67</v>
      </c>
      <c r="D472" s="56" t="str">
        <f aca="false">IFERROR(INDEX('Brand Map'!$B$4:$B$124,MATCH(C472,'Brand Map'!$A$4:$A$124,0)),"Other")</f>
        <v>MJ</v>
      </c>
      <c r="E472" s="57" t="n">
        <v>5316</v>
      </c>
      <c r="F472" s="57" t="n">
        <v>97</v>
      </c>
      <c r="G472" s="58" t="n">
        <v>290092.58</v>
      </c>
      <c r="H472" s="58" t="n">
        <v>5347.79</v>
      </c>
      <c r="I472" s="58" t="n">
        <v>280357.17</v>
      </c>
      <c r="J472" s="32" t="n">
        <f aca="false">IF(E472&gt;0,F472/E472,0)</f>
        <v>0.0182468021068473</v>
      </c>
      <c r="K472" s="32" t="n">
        <f aca="false">IF(G472&gt;0,H472/G472,0)</f>
        <v>0.0184347700310018</v>
      </c>
      <c r="L472" s="59" t="n">
        <f aca="false">H472/Settings!$B$16</f>
        <v>0.0106876997452239</v>
      </c>
      <c r="M472" s="59" t="n">
        <f aca="false">H472/Settings!$B$20</f>
        <v>0.000415172469388971</v>
      </c>
      <c r="N472" s="60" t="n">
        <f aca="false">E472*Settings!$B$3</f>
        <v>164.722379140325</v>
      </c>
      <c r="O472" s="60" t="n">
        <f aca="false">IF(E472&gt;0,(F472-N472)/SQRT(E472*Settings!$B$3*(1-Settings!$B$3)),0)</f>
        <v>-5.36032240359934</v>
      </c>
      <c r="P472" s="60" t="n">
        <f aca="false">MAX(0,F472-N472)</f>
        <v>0</v>
      </c>
      <c r="Q472" s="32" t="n">
        <f aca="false">(F472+Settings!$B$7*Settings!$B$3)/(E472+Settings!$B$7)</f>
        <v>0.018318291158323</v>
      </c>
      <c r="R472" s="61" t="n">
        <f aca="false">PERCENTRANK($H$2:$H$1780,H472,6)</f>
        <v>0.989876</v>
      </c>
      <c r="S472" s="61" t="n">
        <f aca="false">PERCENTRANK($Q$2:$Q$1780,Q472,6)</f>
        <v>0.0725534</v>
      </c>
      <c r="T472" s="61" t="n">
        <f aca="false">PERCENTRANK($F$2:$F$1780,F472,6)</f>
        <v>0.990439</v>
      </c>
      <c r="U472" s="62" t="n">
        <f aca="false">IF(F472&gt;0,(Settings!$B$8*T472+Settings!$B$9*R472+Settings!$B$10*S472)/SUM(Settings!$B$8:$B$10),0)</f>
        <v>0.684289466666667</v>
      </c>
      <c r="V472" s="56" t="n">
        <f aca="false">IF(U472&gt;0,RANK(U472,$U$2:$U$1780)+COUNTIF($U$2:U472,U472)-1,"")</f>
        <v>472</v>
      </c>
      <c r="W472" s="56" t="str">
        <f aca="false">IF(V472="","",IF(V472&lt;=Settings!$B$11,"1 - Fix first",IF(V472&lt;=Settings!$B$12,"2 - Review","3 - Monitor")))</f>
        <v>3 - Monitor</v>
      </c>
      <c r="X472" s="56" t="str">
        <f aca="false">IF(AND(E472&gt;=Settings!$B$4,F472&gt;=Settings!$B$5,O472&gt;=Settings!$B$6),"HIGH RATE","")</f>
        <v/>
      </c>
      <c r="Y472" s="56" t="n">
        <f aca="false">IF(F472&gt;0,RANK(F472,$F$2:$F$1780)+COUNTIF($F$2:F472,F472)-1,"")</f>
        <v>18</v>
      </c>
      <c r="Z472" s="56" t="n">
        <f aca="false">IF(H472&gt;0,RANK(H472,$H$2:$H$1780)+COUNTIF($H$2:H472,H472)-1,"")</f>
        <v>19</v>
      </c>
      <c r="AA472" s="56" t="n">
        <f aca="false">IF(AC472="","",RANK(AC472,$AC$2:$AC$1780)+COUNTIF($AC$2:AC472,AC472)-1)</f>
        <v>315</v>
      </c>
      <c r="AB472" s="56" t="str">
        <f aca="false">IF(AD472="","",RANK(AD472,$AD$2:$AD$1780)+COUNTIF($AD$2:AD472,AD472)-1)</f>
        <v/>
      </c>
      <c r="AC472" s="32" t="n">
        <f aca="false">IF(AND(F472&gt;0,E472&gt;=Settings!$B$4),J472,"")</f>
        <v>0.0182468021068473</v>
      </c>
      <c r="AD472" s="56" t="str">
        <f aca="false">IF(X472="HIGH RATE",O472,"")</f>
        <v/>
      </c>
    </row>
    <row r="473" customFormat="false" ht="15" hidden="false" customHeight="false" outlineLevel="0" collapsed="false">
      <c r="A473" s="56" t="s">
        <v>1555</v>
      </c>
      <c r="B473" s="56" t="s">
        <v>1556</v>
      </c>
      <c r="C473" s="56" t="s">
        <v>51</v>
      </c>
      <c r="D473" s="56" t="str">
        <f aca="false">IFERROR(INDEX('Brand Map'!$B$4:$B$124,MATCH(C473,'Brand Map'!$A$4:$A$124,0)),"Other")</f>
        <v>AU</v>
      </c>
      <c r="E473" s="57" t="n">
        <v>106</v>
      </c>
      <c r="F473" s="57" t="n">
        <v>3</v>
      </c>
      <c r="G473" s="58" t="n">
        <v>9952.04</v>
      </c>
      <c r="H473" s="58" t="n">
        <v>245.33</v>
      </c>
      <c r="I473" s="58" t="n">
        <v>9372.66</v>
      </c>
      <c r="J473" s="32" t="n">
        <f aca="false">IF(E473&gt;0,F473/E473,0)</f>
        <v>0.0283018867924528</v>
      </c>
      <c r="K473" s="32" t="n">
        <f aca="false">IF(G473&gt;0,H473/G473,0)</f>
        <v>0.024651227286064</v>
      </c>
      <c r="L473" s="59" t="n">
        <f aca="false">H473/Settings!$B$16</f>
        <v>0.000490298493115057</v>
      </c>
      <c r="M473" s="59" t="n">
        <f aca="false">H473/Settings!$B$20</f>
        <v>1.90460474168201E-005</v>
      </c>
      <c r="N473" s="60" t="n">
        <f aca="false">E473*Settings!$B$3</f>
        <v>3.28453201446096</v>
      </c>
      <c r="O473" s="60" t="n">
        <f aca="false">IF(E473&gt;0,(F473-N473)/SQRT(E473*Settings!$B$3*(1-Settings!$B$3)),0)</f>
        <v>-0.159488508640643</v>
      </c>
      <c r="P473" s="60" t="n">
        <f aca="false">MAX(0,F473-N473)</f>
        <v>0</v>
      </c>
      <c r="Q473" s="32" t="n">
        <f aca="false">(F473+Settings!$B$7*Settings!$B$3)/(E473+Settings!$B$7)</f>
        <v>0.0288940039146663</v>
      </c>
      <c r="R473" s="61" t="n">
        <f aca="false">PERCENTRANK($H$2:$H$1780,H473,6)</f>
        <v>0.845332</v>
      </c>
      <c r="S473" s="61" t="n">
        <f aca="false">PERCENTRANK($Q$2:$Q$1780,Q473,6)</f>
        <v>0.365017</v>
      </c>
      <c r="T473" s="61" t="n">
        <f aca="false">PERCENTRANK($F$2:$F$1780,F473,6)</f>
        <v>0.84252</v>
      </c>
      <c r="U473" s="62" t="n">
        <f aca="false">IF(F473&gt;0,(Settings!$B$8*T473+Settings!$B$9*R473+Settings!$B$10*S473)/SUM(Settings!$B$8:$B$10),0)</f>
        <v>0.684289666666667</v>
      </c>
      <c r="V473" s="56" t="n">
        <f aca="false">IF(U473&gt;0,RANK(U473,$U$2:$U$1780)+COUNTIF($U$2:U473,U473)-1,"")</f>
        <v>471</v>
      </c>
      <c r="W473" s="56" t="str">
        <f aca="false">IF(V473="","",IF(V473&lt;=Settings!$B$11,"1 - Fix first",IF(V473&lt;=Settings!$B$12,"2 - Review","3 - Monitor")))</f>
        <v>3 - Monitor</v>
      </c>
      <c r="X473" s="56" t="str">
        <f aca="false">IF(AND(E473&gt;=Settings!$B$4,F473&gt;=Settings!$B$5,O473&gt;=Settings!$B$6),"HIGH RATE","")</f>
        <v/>
      </c>
      <c r="Y473" s="56" t="n">
        <f aca="false">IF(F473&gt;0,RANK(F473,$F$2:$F$1780)+COUNTIF($F$2:F473,F473)-1,"")</f>
        <v>268</v>
      </c>
      <c r="Z473" s="56" t="n">
        <f aca="false">IF(H473&gt;0,RANK(H473,$H$2:$H$1780)+COUNTIF($H$2:H473,H473)-1,"")</f>
        <v>276</v>
      </c>
      <c r="AA473" s="56" t="n">
        <f aca="false">IF(AC473="","",RANK(AC473,$AC$2:$AC$1780)+COUNTIF($AC$2:AC473,AC473)-1)</f>
        <v>274</v>
      </c>
      <c r="AB473" s="56" t="str">
        <f aca="false">IF(AD473="","",RANK(AD473,$AD$2:$AD$1780)+COUNTIF($AD$2:AD473,AD473)-1)</f>
        <v/>
      </c>
      <c r="AC473" s="32" t="n">
        <f aca="false">IF(AND(F473&gt;0,E473&gt;=Settings!$B$4),J473,"")</f>
        <v>0.0283018867924528</v>
      </c>
      <c r="AD473" s="56" t="str">
        <f aca="false">IF(X473="HIGH RATE",O473,"")</f>
        <v/>
      </c>
    </row>
    <row r="474" customFormat="false" ht="15" hidden="false" customHeight="false" outlineLevel="0" collapsed="false">
      <c r="A474" s="56" t="s">
        <v>1557</v>
      </c>
      <c r="B474" s="56" t="s">
        <v>1558</v>
      </c>
      <c r="C474" s="56" t="s">
        <v>51</v>
      </c>
      <c r="D474" s="56" t="str">
        <f aca="false">IFERROR(INDEX('Brand Map'!$B$4:$B$124,MATCH(C474,'Brand Map'!$A$4:$A$124,0)),"Other")</f>
        <v>AU</v>
      </c>
      <c r="E474" s="57" t="n">
        <v>550</v>
      </c>
      <c r="F474" s="57" t="n">
        <v>13</v>
      </c>
      <c r="G474" s="58" t="n">
        <v>26910.13</v>
      </c>
      <c r="H474" s="58" t="n">
        <v>567.63</v>
      </c>
      <c r="I474" s="58" t="n">
        <v>25633.71</v>
      </c>
      <c r="J474" s="32" t="n">
        <f aca="false">IF(E474&gt;0,F474/E474,0)</f>
        <v>0.0236363636363636</v>
      </c>
      <c r="K474" s="32" t="n">
        <f aca="false">IF(G474&gt;0,H474/G474,0)</f>
        <v>0.0210935435837731</v>
      </c>
      <c r="L474" s="59" t="n">
        <f aca="false">H474/Settings!$B$16</f>
        <v>0.00113442356681572</v>
      </c>
      <c r="M474" s="59" t="n">
        <f aca="false">H474/Settings!$B$20</f>
        <v>4.40676146219769E-005</v>
      </c>
      <c r="N474" s="60" t="n">
        <f aca="false">E474*Settings!$B$3</f>
        <v>17.0423830939012</v>
      </c>
      <c r="O474" s="60" t="n">
        <f aca="false">IF(E474&gt;0,(F474-N474)/SQRT(E474*Settings!$B$3*(1-Settings!$B$3)),0)</f>
        <v>-0.994734808099046</v>
      </c>
      <c r="P474" s="60" t="n">
        <f aca="false">MAX(0,F474-N474)</f>
        <v>0</v>
      </c>
      <c r="Q474" s="32" t="n">
        <f aca="false">(F474+Settings!$B$7*Settings!$B$3)/(E474+Settings!$B$7)</f>
        <v>0.0240165250558528</v>
      </c>
      <c r="R474" s="61" t="n">
        <f aca="false">PERCENTRANK($H$2:$H$1780,H474,6)</f>
        <v>0.911699</v>
      </c>
      <c r="S474" s="61" t="n">
        <f aca="false">PERCENTRANK($Q$2:$Q$1780,Q474,6)</f>
        <v>0.149606</v>
      </c>
      <c r="T474" s="61" t="n">
        <f aca="false">PERCENTRANK($F$2:$F$1780,F474,6)</f>
        <v>0.934758</v>
      </c>
      <c r="U474" s="62" t="n">
        <f aca="false">IF(F474&gt;0,(Settings!$B$8*T474+Settings!$B$9*R474+Settings!$B$10*S474)/SUM(Settings!$B$8:$B$10),0)</f>
        <v>0.665354333333333</v>
      </c>
      <c r="V474" s="56" t="n">
        <f aca="false">IF(U474&gt;0,RANK(U474,$U$2:$U$1780)+COUNTIF($U$2:U474,U474)-1,"")</f>
        <v>473</v>
      </c>
      <c r="W474" s="56" t="str">
        <f aca="false">IF(V474="","",IF(V474&lt;=Settings!$B$11,"1 - Fix first",IF(V474&lt;=Settings!$B$12,"2 - Review","3 - Monitor")))</f>
        <v>3 - Monitor</v>
      </c>
      <c r="X474" s="56" t="str">
        <f aca="false">IF(AND(E474&gt;=Settings!$B$4,F474&gt;=Settings!$B$5,O474&gt;=Settings!$B$6),"HIGH RATE","")</f>
        <v/>
      </c>
      <c r="Y474" s="56" t="n">
        <f aca="false">IF(F474&gt;0,RANK(F474,$F$2:$F$1780)+COUNTIF($F$2:F474,F474)-1,"")</f>
        <v>117</v>
      </c>
      <c r="Z474" s="56" t="n">
        <f aca="false">IF(H474&gt;0,RANK(H474,$H$2:$H$1780)+COUNTIF($H$2:H474,H474)-1,"")</f>
        <v>158</v>
      </c>
      <c r="AA474" s="56" t="n">
        <f aca="false">IF(AC474="","",RANK(AC474,$AC$2:$AC$1780)+COUNTIF($AC$2:AC474,AC474)-1)</f>
        <v>290</v>
      </c>
      <c r="AB474" s="56" t="str">
        <f aca="false">IF(AD474="","",RANK(AD474,$AD$2:$AD$1780)+COUNTIF($AD$2:AD474,AD474)-1)</f>
        <v/>
      </c>
      <c r="AC474" s="32" t="n">
        <f aca="false">IF(AND(F474&gt;0,E474&gt;=Settings!$B$4),J474,"")</f>
        <v>0.0236363636363636</v>
      </c>
      <c r="AD474" s="56" t="str">
        <f aca="false">IF(X474="HIGH RATE",O474,"")</f>
        <v/>
      </c>
    </row>
    <row r="475" customFormat="false" ht="15" hidden="false" customHeight="false" outlineLevel="0" collapsed="false">
      <c r="A475" s="56" t="s">
        <v>1559</v>
      </c>
      <c r="B475" s="56" t="s">
        <v>1328</v>
      </c>
      <c r="C475" s="56" t="s">
        <v>51</v>
      </c>
      <c r="D475" s="56" t="str">
        <f aca="false">IFERROR(INDEX('Brand Map'!$B$4:$B$124,MATCH(C475,'Brand Map'!$A$4:$A$124,0)),"Other")</f>
        <v>AU</v>
      </c>
      <c r="E475" s="57" t="n">
        <v>1011</v>
      </c>
      <c r="F475" s="57" t="n">
        <v>18</v>
      </c>
      <c r="G475" s="58" t="n">
        <v>98236.88</v>
      </c>
      <c r="H475" s="58" t="n">
        <v>1726.97</v>
      </c>
      <c r="I475" s="58" t="n">
        <v>94981.77</v>
      </c>
      <c r="J475" s="32" t="n">
        <f aca="false">IF(E475&gt;0,F475/E475,0)</f>
        <v>0.0178041543026706</v>
      </c>
      <c r="K475" s="32" t="n">
        <f aca="false">IF(G475&gt;0,H475/G475,0)</f>
        <v>0.0175796503309144</v>
      </c>
      <c r="L475" s="59" t="n">
        <f aca="false">H475/Settings!$B$16</f>
        <v>0.0034513952172784</v>
      </c>
      <c r="M475" s="59" t="n">
        <f aca="false">H475/Settings!$B$20</f>
        <v>0.000134072280224293</v>
      </c>
      <c r="N475" s="60" t="n">
        <f aca="false">E475*Settings!$B$3</f>
        <v>31.3269987416984</v>
      </c>
      <c r="O475" s="60" t="n">
        <f aca="false">IF(E475&gt;0,(F475-N475)/SQRT(E475*Settings!$B$3*(1-Settings!$B$3)),0)</f>
        <v>-2.41884461203722</v>
      </c>
      <c r="P475" s="60" t="n">
        <f aca="false">MAX(0,F475-N475)</f>
        <v>0</v>
      </c>
      <c r="Q475" s="32" t="n">
        <f aca="false">(F475+Settings!$B$7*Settings!$B$3)/(E475+Settings!$B$7)</f>
        <v>0.0181840389360179</v>
      </c>
      <c r="R475" s="61" t="n">
        <f aca="false">PERCENTRANK($H$2:$H$1780,H475,6)</f>
        <v>0.963442</v>
      </c>
      <c r="S475" s="61" t="n">
        <f aca="false">PERCENTRANK($Q$2:$Q$1780,Q475,6)</f>
        <v>0.0691789</v>
      </c>
      <c r="T475" s="61" t="n">
        <f aca="false">PERCENTRANK($F$2:$F$1780,F475,6)</f>
        <v>0.947694</v>
      </c>
      <c r="U475" s="62" t="n">
        <f aca="false">IF(F475&gt;0,(Settings!$B$8*T475+Settings!$B$9*R475+Settings!$B$10*S475)/SUM(Settings!$B$8:$B$10),0)</f>
        <v>0.660104966666667</v>
      </c>
      <c r="V475" s="56" t="n">
        <f aca="false">IF(U475&gt;0,RANK(U475,$U$2:$U$1780)+COUNTIF($U$2:U475,U475)-1,"")</f>
        <v>474</v>
      </c>
      <c r="W475" s="56" t="str">
        <f aca="false">IF(V475="","",IF(V475&lt;=Settings!$B$11,"1 - Fix first",IF(V475&lt;=Settings!$B$12,"2 - Review","3 - Monitor")))</f>
        <v>3 - Monitor</v>
      </c>
      <c r="X475" s="56" t="str">
        <f aca="false">IF(AND(E475&gt;=Settings!$B$4,F475&gt;=Settings!$B$5,O475&gt;=Settings!$B$6),"HIGH RATE","")</f>
        <v/>
      </c>
      <c r="Y475" s="56" t="n">
        <f aca="false">IF(F475&gt;0,RANK(F475,$F$2:$F$1780)+COUNTIF($F$2:F475,F475)-1,"")</f>
        <v>93</v>
      </c>
      <c r="Z475" s="56" t="n">
        <f aca="false">IF(H475&gt;0,RANK(H475,$H$2:$H$1780)+COUNTIF($H$2:H475,H475)-1,"")</f>
        <v>66</v>
      </c>
      <c r="AA475" s="56" t="n">
        <f aca="false">IF(AC475="","",RANK(AC475,$AC$2:$AC$1780)+COUNTIF($AC$2:AC475,AC475)-1)</f>
        <v>320</v>
      </c>
      <c r="AB475" s="56" t="str">
        <f aca="false">IF(AD475="","",RANK(AD475,$AD$2:$AD$1780)+COUNTIF($AD$2:AD475,AD475)-1)</f>
        <v/>
      </c>
      <c r="AC475" s="32" t="n">
        <f aca="false">IF(AND(F475&gt;0,E475&gt;=Settings!$B$4),J475,"")</f>
        <v>0.0178041543026706</v>
      </c>
      <c r="AD475" s="56" t="str">
        <f aca="false">IF(X475="HIGH RATE",O475,"")</f>
        <v/>
      </c>
    </row>
    <row r="476" customFormat="false" ht="15" hidden="false" customHeight="false" outlineLevel="0" collapsed="false">
      <c r="A476" s="56" t="s">
        <v>1560</v>
      </c>
      <c r="B476" s="56" t="s">
        <v>1561</v>
      </c>
      <c r="C476" s="56" t="s">
        <v>51</v>
      </c>
      <c r="D476" s="56" t="str">
        <f aca="false">IFERROR(INDEX('Brand Map'!$B$4:$B$124,MATCH(C476,'Brand Map'!$A$4:$A$124,0)),"Other")</f>
        <v>AU</v>
      </c>
      <c r="E476" s="57" t="n">
        <v>394</v>
      </c>
      <c r="F476" s="57" t="n">
        <v>9</v>
      </c>
      <c r="G476" s="58" t="n">
        <v>33587</v>
      </c>
      <c r="H476" s="58" t="n">
        <v>690</v>
      </c>
      <c r="I476" s="58" t="n">
        <v>29261.4</v>
      </c>
      <c r="J476" s="32" t="n">
        <f aca="false">IF(E476&gt;0,F476/E476,0)</f>
        <v>0.0228426395939086</v>
      </c>
      <c r="K476" s="32" t="n">
        <f aca="false">IF(G476&gt;0,H476/G476,0)</f>
        <v>0.0205436627266502</v>
      </c>
      <c r="L476" s="59" t="n">
        <f aca="false">H476/Settings!$B$16</f>
        <v>0.00137898324807153</v>
      </c>
      <c r="M476" s="59" t="n">
        <f aca="false">H476/Settings!$B$20</f>
        <v>5.3567736182309E-005</v>
      </c>
      <c r="N476" s="60" t="n">
        <f aca="false">E476*Settings!$B$3</f>
        <v>12.2085435254492</v>
      </c>
      <c r="O476" s="60" t="n">
        <f aca="false">IF(E476&gt;0,(F476-N476)/SQRT(E476*Settings!$B$3*(1-Settings!$B$3)),0)</f>
        <v>-0.932848280152177</v>
      </c>
      <c r="P476" s="60" t="n">
        <f aca="false">MAX(0,F476-N476)</f>
        <v>0</v>
      </c>
      <c r="Q476" s="32" t="n">
        <f aca="false">(F476+Settings!$B$7*Settings!$B$3)/(E476+Settings!$B$7)</f>
        <v>0.0234188314443269</v>
      </c>
      <c r="R476" s="61" t="n">
        <f aca="false">PERCENTRANK($H$2:$H$1780,H476,6)</f>
        <v>0.920697</v>
      </c>
      <c r="S476" s="61" t="n">
        <f aca="false">PERCENTRANK($Q$2:$Q$1780,Q476,6)</f>
        <v>0.14117</v>
      </c>
      <c r="T476" s="61" t="n">
        <f aca="false">PERCENTRANK($F$2:$F$1780,F476,6)</f>
        <v>0.917323</v>
      </c>
      <c r="U476" s="62" t="n">
        <f aca="false">IF(F476&gt;0,(Settings!$B$8*T476+Settings!$B$9*R476+Settings!$B$10*S476)/SUM(Settings!$B$8:$B$10),0)</f>
        <v>0.65973</v>
      </c>
      <c r="V476" s="56" t="n">
        <f aca="false">IF(U476&gt;0,RANK(U476,$U$2:$U$1780)+COUNTIF($U$2:U476,U476)-1,"")</f>
        <v>475</v>
      </c>
      <c r="W476" s="56" t="str">
        <f aca="false">IF(V476="","",IF(V476&lt;=Settings!$B$11,"1 - Fix first",IF(V476&lt;=Settings!$B$12,"2 - Review","3 - Monitor")))</f>
        <v>3 - Monitor</v>
      </c>
      <c r="X476" s="56" t="str">
        <f aca="false">IF(AND(E476&gt;=Settings!$B$4,F476&gt;=Settings!$B$5,O476&gt;=Settings!$B$6),"HIGH RATE","")</f>
        <v/>
      </c>
      <c r="Y476" s="56" t="n">
        <f aca="false">IF(F476&gt;0,RANK(F476,$F$2:$F$1780)+COUNTIF($F$2:F476,F476)-1,"")</f>
        <v>145</v>
      </c>
      <c r="Z476" s="56" t="n">
        <f aca="false">IF(H476&gt;0,RANK(H476,$H$2:$H$1780)+COUNTIF($H$2:H476,H476)-1,"")</f>
        <v>142</v>
      </c>
      <c r="AA476" s="56" t="n">
        <f aca="false">IF(AC476="","",RANK(AC476,$AC$2:$AC$1780)+COUNTIF($AC$2:AC476,AC476)-1)</f>
        <v>292</v>
      </c>
      <c r="AB476" s="56" t="str">
        <f aca="false">IF(AD476="","",RANK(AD476,$AD$2:$AD$1780)+COUNTIF($AD$2:AD476,AD476)-1)</f>
        <v/>
      </c>
      <c r="AC476" s="32" t="n">
        <f aca="false">IF(AND(F476&gt;0,E476&gt;=Settings!$B$4),J476,"")</f>
        <v>0.0228426395939086</v>
      </c>
      <c r="AD476" s="56" t="str">
        <f aca="false">IF(X476="HIGH RATE",O476,"")</f>
        <v/>
      </c>
    </row>
    <row r="477" customFormat="false" ht="15" hidden="false" customHeight="false" outlineLevel="0" collapsed="false">
      <c r="A477" s="56" t="s">
        <v>1562</v>
      </c>
      <c r="B477" s="56" t="s">
        <v>1452</v>
      </c>
      <c r="C477" s="56" t="s">
        <v>51</v>
      </c>
      <c r="D477" s="56" t="str">
        <f aca="false">IFERROR(INDEX('Brand Map'!$B$4:$B$124,MATCH(C477,'Brand Map'!$A$4:$A$124,0)),"Other")</f>
        <v>AU</v>
      </c>
      <c r="E477" s="57" t="n">
        <v>36</v>
      </c>
      <c r="F477" s="57" t="n">
        <v>1</v>
      </c>
      <c r="G477" s="58" t="n">
        <v>4862.43</v>
      </c>
      <c r="H477" s="58" t="n">
        <v>131.77</v>
      </c>
      <c r="I477" s="58" t="n">
        <v>4605.52</v>
      </c>
      <c r="J477" s="32" t="n">
        <f aca="false">IF(E477&gt;0,F477/E477,0)</f>
        <v>0.0277777777777778</v>
      </c>
      <c r="K477" s="32" t="n">
        <f aca="false">IF(G477&gt;0,H477/G477,0)</f>
        <v>0.0270996189148224</v>
      </c>
      <c r="L477" s="59" t="n">
        <f aca="false">H477/Settings!$B$16</f>
        <v>0.000263345829852733</v>
      </c>
      <c r="M477" s="59" t="n">
        <f aca="false">H477/Settings!$B$20</f>
        <v>1.02298849228157E-005</v>
      </c>
      <c r="N477" s="60" t="n">
        <f aca="false">E477*Settings!$B$3</f>
        <v>1.11550143887354</v>
      </c>
      <c r="O477" s="60" t="n">
        <f aca="false">IF(E477&gt;0,(F477-N477)/SQRT(E477*Settings!$B$3*(1-Settings!$B$3)),0)</f>
        <v>-0.111093163809476</v>
      </c>
      <c r="P477" s="60" t="n">
        <f aca="false">MAX(0,F477-N477)</f>
        <v>0</v>
      </c>
      <c r="Q477" s="32" t="n">
        <f aca="false">(F477+Settings!$B$7*Settings!$B$3)/(E477+Settings!$B$7)</f>
        <v>0.0292361292787063</v>
      </c>
      <c r="R477" s="61" t="n">
        <f aca="false">PERCENTRANK($H$2:$H$1780,H477,6)</f>
        <v>0.792463</v>
      </c>
      <c r="S477" s="61" t="n">
        <f aca="false">PERCENTRANK($Q$2:$Q$1780,Q477,6)</f>
        <v>0.482002</v>
      </c>
      <c r="T477" s="61" t="n">
        <f aca="false">PERCENTRANK($F$2:$F$1780,F477,6)</f>
        <v>0.685039</v>
      </c>
      <c r="U477" s="62" t="n">
        <f aca="false">IF(F477&gt;0,(Settings!$B$8*T477+Settings!$B$9*R477+Settings!$B$10*S477)/SUM(Settings!$B$8:$B$10),0)</f>
        <v>0.653168</v>
      </c>
      <c r="V477" s="56" t="n">
        <f aca="false">IF(U477&gt;0,RANK(U477,$U$2:$U$1780)+COUNTIF($U$2:U477,U477)-1,"")</f>
        <v>476</v>
      </c>
      <c r="W477" s="56" t="str">
        <f aca="false">IF(V477="","",IF(V477&lt;=Settings!$B$11,"1 - Fix first",IF(V477&lt;=Settings!$B$12,"2 - Review","3 - Monitor")))</f>
        <v>3 - Monitor</v>
      </c>
      <c r="X477" s="56" t="str">
        <f aca="false">IF(AND(E477&gt;=Settings!$B$4,F477&gt;=Settings!$B$5,O477&gt;=Settings!$B$6),"HIGH RATE","")</f>
        <v/>
      </c>
      <c r="Y477" s="56" t="n">
        <f aca="false">IF(F477&gt;0,RANK(F477,$F$2:$F$1780)+COUNTIF($F$2:F477,F477)-1,"")</f>
        <v>513</v>
      </c>
      <c r="Z477" s="56" t="n">
        <f aca="false">IF(H477&gt;0,RANK(H477,$H$2:$H$1780)+COUNTIF($H$2:H477,H477)-1,"")</f>
        <v>370</v>
      </c>
      <c r="AA477" s="56" t="n">
        <f aca="false">IF(AC477="","",RANK(AC477,$AC$2:$AC$1780)+COUNTIF($AC$2:AC477,AC477)-1)</f>
        <v>276</v>
      </c>
      <c r="AB477" s="56" t="str">
        <f aca="false">IF(AD477="","",RANK(AD477,$AD$2:$AD$1780)+COUNTIF($AD$2:AD477,AD477)-1)</f>
        <v/>
      </c>
      <c r="AC477" s="32" t="n">
        <f aca="false">IF(AND(F477&gt;0,E477&gt;=Settings!$B$4),J477,"")</f>
        <v>0.0277777777777778</v>
      </c>
      <c r="AD477" s="56" t="str">
        <f aca="false">IF(X477="HIGH RATE",O477,"")</f>
        <v/>
      </c>
    </row>
    <row r="478" customFormat="false" ht="15" hidden="false" customHeight="false" outlineLevel="0" collapsed="false">
      <c r="A478" s="56" t="s">
        <v>1563</v>
      </c>
      <c r="B478" s="56" t="s">
        <v>1564</v>
      </c>
      <c r="C478" s="56" t="s">
        <v>75</v>
      </c>
      <c r="D478" s="56" t="str">
        <f aca="false">IFERROR(INDEX('Brand Map'!$B$4:$B$124,MATCH(C478,'Brand Map'!$A$4:$A$124,0)),"Other")</f>
        <v>AURP</v>
      </c>
      <c r="E478" s="57" t="n">
        <v>429</v>
      </c>
      <c r="F478" s="57" t="n">
        <v>11</v>
      </c>
      <c r="G478" s="58" t="n">
        <v>7490.97</v>
      </c>
      <c r="H478" s="58" t="n">
        <v>162.57</v>
      </c>
      <c r="I478" s="58" t="n">
        <v>7195.41</v>
      </c>
      <c r="J478" s="32" t="n">
        <f aca="false">IF(E478&gt;0,F478/E478,0)</f>
        <v>0.0256410256410256</v>
      </c>
      <c r="K478" s="32" t="n">
        <f aca="false">IF(G478&gt;0,H478/G478,0)</f>
        <v>0.021702129363754</v>
      </c>
      <c r="L478" s="59" t="n">
        <f aca="false">H478/Settings!$B$16</f>
        <v>0.000324900444404332</v>
      </c>
      <c r="M478" s="59" t="n">
        <f aca="false">H478/Settings!$B$20</f>
        <v>1.26210244509536E-005</v>
      </c>
      <c r="N478" s="60" t="n">
        <f aca="false">E478*Settings!$B$3</f>
        <v>13.293058813243</v>
      </c>
      <c r="O478" s="60" t="n">
        <f aca="false">IF(E478&gt;0,(F478-N478)/SQRT(E478*Settings!$B$3*(1-Settings!$B$3)),0)</f>
        <v>-0.638907135877501</v>
      </c>
      <c r="P478" s="60" t="n">
        <f aca="false">MAX(0,F478-N478)</f>
        <v>0</v>
      </c>
      <c r="Q478" s="32" t="n">
        <f aca="false">(F478+Settings!$B$7*Settings!$B$3)/(E478+Settings!$B$7)</f>
        <v>0.0259903802448684</v>
      </c>
      <c r="R478" s="61" t="n">
        <f aca="false">PERCENTRANK($H$2:$H$1780,H478,6)</f>
        <v>0.812711</v>
      </c>
      <c r="S478" s="61" t="n">
        <f aca="false">PERCENTRANK($Q$2:$Q$1780,Q478,6)</f>
        <v>0.218223</v>
      </c>
      <c r="T478" s="61" t="n">
        <f aca="false">PERCENTRANK($F$2:$F$1780,F478,6)</f>
        <v>0.925759</v>
      </c>
      <c r="U478" s="62" t="n">
        <f aca="false">IF(F478&gt;0,(Settings!$B$8*T478+Settings!$B$9*R478+Settings!$B$10*S478)/SUM(Settings!$B$8:$B$10),0)</f>
        <v>0.652231</v>
      </c>
      <c r="V478" s="56" t="n">
        <f aca="false">IF(U478&gt;0,RANK(U478,$U$2:$U$1780)+COUNTIF($U$2:U478,U478)-1,"")</f>
        <v>477</v>
      </c>
      <c r="W478" s="56" t="str">
        <f aca="false">IF(V478="","",IF(V478&lt;=Settings!$B$11,"1 - Fix first",IF(V478&lt;=Settings!$B$12,"2 - Review","3 - Monitor")))</f>
        <v>3 - Monitor</v>
      </c>
      <c r="X478" s="56" t="str">
        <f aca="false">IF(AND(E478&gt;=Settings!$B$4,F478&gt;=Settings!$B$5,O478&gt;=Settings!$B$6),"HIGH RATE","")</f>
        <v/>
      </c>
      <c r="Y478" s="56" t="n">
        <f aca="false">IF(F478&gt;0,RANK(F478,$F$2:$F$1780)+COUNTIF($F$2:F478,F478)-1,"")</f>
        <v>133</v>
      </c>
      <c r="Z478" s="56" t="n">
        <f aca="false">IF(H478&gt;0,RANK(H478,$H$2:$H$1780)+COUNTIF($H$2:H478,H478)-1,"")</f>
        <v>334</v>
      </c>
      <c r="AA478" s="56" t="n">
        <f aca="false">IF(AC478="","",RANK(AC478,$AC$2:$AC$1780)+COUNTIF($AC$2:AC478,AC478)-1)</f>
        <v>280</v>
      </c>
      <c r="AB478" s="56" t="str">
        <f aca="false">IF(AD478="","",RANK(AD478,$AD$2:$AD$1780)+COUNTIF($AD$2:AD478,AD478)-1)</f>
        <v/>
      </c>
      <c r="AC478" s="32" t="n">
        <f aca="false">IF(AND(F478&gt;0,E478&gt;=Settings!$B$4),J478,"")</f>
        <v>0.0256410256410256</v>
      </c>
      <c r="AD478" s="56" t="str">
        <f aca="false">IF(X478="HIGH RATE",O478,"")</f>
        <v/>
      </c>
    </row>
    <row r="479" customFormat="false" ht="15" hidden="false" customHeight="false" outlineLevel="0" collapsed="false">
      <c r="A479" s="56" t="s">
        <v>1565</v>
      </c>
      <c r="B479" s="56" t="s">
        <v>1566</v>
      </c>
      <c r="C479" s="56" t="s">
        <v>608</v>
      </c>
      <c r="D479" s="56" t="str">
        <f aca="false">IFERROR(INDEX('Brand Map'!$B$4:$B$124,MATCH(C479,'Brand Map'!$A$4:$A$124,0)),"Other")</f>
        <v>Other (small prefixes)</v>
      </c>
      <c r="E479" s="57" t="n">
        <v>73</v>
      </c>
      <c r="F479" s="57" t="n">
        <v>2</v>
      </c>
      <c r="G479" s="58" t="n">
        <v>6247.93</v>
      </c>
      <c r="H479" s="58" t="n">
        <v>123.56</v>
      </c>
      <c r="I479" s="58" t="n">
        <v>6064.99</v>
      </c>
      <c r="J479" s="32" t="n">
        <f aca="false">IF(E479&gt;0,F479/E479,0)</f>
        <v>0.0273972602739726</v>
      </c>
      <c r="K479" s="32" t="n">
        <f aca="false">IF(G479&gt;0,H479/G479,0)</f>
        <v>0.0197761498608339</v>
      </c>
      <c r="L479" s="59" t="n">
        <f aca="false">H479/Settings!$B$16</f>
        <v>0.000246937927727128</v>
      </c>
      <c r="M479" s="59" t="n">
        <f aca="false">H479/Settings!$B$20</f>
        <v>9.59250649664652E-006</v>
      </c>
      <c r="N479" s="60" t="n">
        <f aca="false">E479*Settings!$B$3</f>
        <v>2.26198902882689</v>
      </c>
      <c r="O479" s="60" t="n">
        <f aca="false">IF(E479&gt;0,(F479-N479)/SQRT(E479*Settings!$B$3*(1-Settings!$B$3)),0)</f>
        <v>-0.176959085777175</v>
      </c>
      <c r="P479" s="60" t="n">
        <f aca="false">MAX(0,F479-N479)</f>
        <v>0</v>
      </c>
      <c r="Q479" s="32" t="n">
        <f aca="false">(F479+Settings!$B$7*Settings!$B$3)/(E479+Settings!$B$7)</f>
        <v>0.0284425682756759</v>
      </c>
      <c r="R479" s="61" t="n">
        <f aca="false">PERCENTRANK($H$2:$H$1780,H479,6)</f>
        <v>0.781215</v>
      </c>
      <c r="S479" s="61" t="n">
        <f aca="false">PERCENTRANK($Q$2:$Q$1780,Q479,6)</f>
        <v>0.363892</v>
      </c>
      <c r="T479" s="61" t="n">
        <f aca="false">PERCENTRANK($F$2:$F$1780,F479,6)</f>
        <v>0.799775</v>
      </c>
      <c r="U479" s="62" t="n">
        <f aca="false">IF(F479&gt;0,(Settings!$B$8*T479+Settings!$B$9*R479+Settings!$B$10*S479)/SUM(Settings!$B$8:$B$10),0)</f>
        <v>0.648294</v>
      </c>
      <c r="V479" s="56" t="n">
        <f aca="false">IF(U479&gt;0,RANK(U479,$U$2:$U$1780)+COUNTIF($U$2:U479,U479)-1,"")</f>
        <v>478</v>
      </c>
      <c r="W479" s="56" t="str">
        <f aca="false">IF(V479="","",IF(V479&lt;=Settings!$B$11,"1 - Fix first",IF(V479&lt;=Settings!$B$12,"2 - Review","3 - Monitor")))</f>
        <v>3 - Monitor</v>
      </c>
      <c r="X479" s="56" t="str">
        <f aca="false">IF(AND(E479&gt;=Settings!$B$4,F479&gt;=Settings!$B$5,O479&gt;=Settings!$B$6),"HIGH RATE","")</f>
        <v/>
      </c>
      <c r="Y479" s="56" t="n">
        <f aca="false">IF(F479&gt;0,RANK(F479,$F$2:$F$1780)+COUNTIF($F$2:F479,F479)-1,"")</f>
        <v>346</v>
      </c>
      <c r="Z479" s="56" t="n">
        <f aca="false">IF(H479&gt;0,RANK(H479,$H$2:$H$1780)+COUNTIF($H$2:H479,H479)-1,"")</f>
        <v>390</v>
      </c>
      <c r="AA479" s="56" t="n">
        <f aca="false">IF(AC479="","",RANK(AC479,$AC$2:$AC$1780)+COUNTIF($AC$2:AC479,AC479)-1)</f>
        <v>278</v>
      </c>
      <c r="AB479" s="56" t="str">
        <f aca="false">IF(AD479="","",RANK(AD479,$AD$2:$AD$1780)+COUNTIF($AD$2:AD479,AD479)-1)</f>
        <v/>
      </c>
      <c r="AC479" s="32" t="n">
        <f aca="false">IF(AND(F479&gt;0,E479&gt;=Settings!$B$4),J479,"")</f>
        <v>0.0273972602739726</v>
      </c>
      <c r="AD479" s="56" t="str">
        <f aca="false">IF(X479="HIGH RATE",O479,"")</f>
        <v/>
      </c>
    </row>
    <row r="480" customFormat="false" ht="15" hidden="false" customHeight="false" outlineLevel="0" collapsed="false">
      <c r="A480" s="56" t="s">
        <v>1567</v>
      </c>
      <c r="B480" s="56" t="s">
        <v>1568</v>
      </c>
      <c r="C480" s="56" t="s">
        <v>151</v>
      </c>
      <c r="D480" s="56" t="str">
        <f aca="false">IFERROR(INDEX('Brand Map'!$B$4:$B$124,MATCH(C480,'Brand Map'!$A$4:$A$124,0)),"Other")</f>
        <v>WBAU</v>
      </c>
      <c r="E480" s="57" t="n">
        <v>35</v>
      </c>
      <c r="F480" s="57" t="n">
        <v>1</v>
      </c>
      <c r="G480" s="58" t="n">
        <v>4760.83</v>
      </c>
      <c r="H480" s="58" t="n">
        <v>113.59</v>
      </c>
      <c r="I480" s="58" t="n">
        <v>4647.24</v>
      </c>
      <c r="J480" s="32" t="n">
        <f aca="false">IF(E480&gt;0,F480/E480,0)</f>
        <v>0.0285714285714286</v>
      </c>
      <c r="K480" s="32" t="n">
        <f aca="false">IF(G480&gt;0,H480/G480,0)</f>
        <v>0.0238592850406337</v>
      </c>
      <c r="L480" s="59" t="n">
        <f aca="false">H480/Settings!$B$16</f>
        <v>0.000227012619055718</v>
      </c>
      <c r="M480" s="59" t="n">
        <f aca="false">H480/Settings!$B$20</f>
        <v>8.81849152601229E-006</v>
      </c>
      <c r="N480" s="60" t="n">
        <f aca="false">E480*Settings!$B$3</f>
        <v>1.08451528779371</v>
      </c>
      <c r="O480" s="60" t="n">
        <f aca="false">IF(E480&gt;0,(F480-N480)/SQRT(E480*Settings!$B$3*(1-Settings!$B$3)),0)</f>
        <v>-0.0824427449940285</v>
      </c>
      <c r="P480" s="60" t="n">
        <f aca="false">MAX(0,F480-N480)</f>
        <v>0</v>
      </c>
      <c r="Q480" s="32" t="n">
        <f aca="false">(F480+Settings!$B$7*Settings!$B$3)/(E480+Settings!$B$7)</f>
        <v>0.029685915882994</v>
      </c>
      <c r="R480" s="61" t="n">
        <f aca="false">PERCENTRANK($H$2:$H$1780,H480,6)</f>
        <v>0.772216</v>
      </c>
      <c r="S480" s="61" t="n">
        <f aca="false">PERCENTRANK($Q$2:$Q$1780,Q480,6)</f>
        <v>0.484814</v>
      </c>
      <c r="T480" s="61" t="n">
        <f aca="false">PERCENTRANK($F$2:$F$1780,F480,6)</f>
        <v>0.685039</v>
      </c>
      <c r="U480" s="62" t="n">
        <f aca="false">IF(F480&gt;0,(Settings!$B$8*T480+Settings!$B$9*R480+Settings!$B$10*S480)/SUM(Settings!$B$8:$B$10),0)</f>
        <v>0.647356333333333</v>
      </c>
      <c r="V480" s="56" t="n">
        <f aca="false">IF(U480&gt;0,RANK(U480,$U$2:$U$1780)+COUNTIF($U$2:U480,U480)-1,"")</f>
        <v>479</v>
      </c>
      <c r="W480" s="56" t="str">
        <f aca="false">IF(V480="","",IF(V480&lt;=Settings!$B$11,"1 - Fix first",IF(V480&lt;=Settings!$B$12,"2 - Review","3 - Monitor")))</f>
        <v>3 - Monitor</v>
      </c>
      <c r="X480" s="56" t="str">
        <f aca="false">IF(AND(E480&gt;=Settings!$B$4,F480&gt;=Settings!$B$5,O480&gt;=Settings!$B$6),"HIGH RATE","")</f>
        <v/>
      </c>
      <c r="Y480" s="56" t="n">
        <f aca="false">IF(F480&gt;0,RANK(F480,$F$2:$F$1780)+COUNTIF($F$2:F480,F480)-1,"")</f>
        <v>514</v>
      </c>
      <c r="Z480" s="56" t="n">
        <f aca="false">IF(H480&gt;0,RANK(H480,$H$2:$H$1780)+COUNTIF($H$2:H480,H480)-1,"")</f>
        <v>406</v>
      </c>
      <c r="AA480" s="56" t="n">
        <f aca="false">IF(AC480="","",RANK(AC480,$AC$2:$AC$1780)+COUNTIF($AC$2:AC480,AC480)-1)</f>
        <v>273</v>
      </c>
      <c r="AB480" s="56" t="str">
        <f aca="false">IF(AD480="","",RANK(AD480,$AD$2:$AD$1780)+COUNTIF($AD$2:AD480,AD480)-1)</f>
        <v/>
      </c>
      <c r="AC480" s="32" t="n">
        <f aca="false">IF(AND(F480&gt;0,E480&gt;=Settings!$B$4),J480,"")</f>
        <v>0.0285714285714286</v>
      </c>
      <c r="AD480" s="56" t="str">
        <f aca="false">IF(X480="HIGH RATE",O480,"")</f>
        <v/>
      </c>
    </row>
    <row r="481" customFormat="false" ht="15" hidden="false" customHeight="false" outlineLevel="0" collapsed="false">
      <c r="A481" s="56" t="s">
        <v>1569</v>
      </c>
      <c r="B481" s="56" t="s">
        <v>1570</v>
      </c>
      <c r="C481" s="56" t="s">
        <v>51</v>
      </c>
      <c r="D481" s="56" t="str">
        <f aca="false">IFERROR(INDEX('Brand Map'!$B$4:$B$124,MATCH(C481,'Brand Map'!$A$4:$A$124,0)),"Other")</f>
        <v>AU</v>
      </c>
      <c r="E481" s="57" t="n">
        <v>272</v>
      </c>
      <c r="F481" s="57" t="n">
        <v>6</v>
      </c>
      <c r="G481" s="58" t="n">
        <v>25255.29</v>
      </c>
      <c r="H481" s="58" t="n">
        <v>462.25</v>
      </c>
      <c r="I481" s="58" t="n">
        <v>23973.64</v>
      </c>
      <c r="J481" s="32" t="n">
        <f aca="false">IF(E481&gt;0,F481/E481,0)</f>
        <v>0.0220588235294118</v>
      </c>
      <c r="K481" s="32" t="n">
        <f aca="false">IF(G481&gt;0,H481/G481,0)</f>
        <v>0.0183030961038262</v>
      </c>
      <c r="L481" s="59" t="n">
        <f aca="false">H481/Settings!$B$16</f>
        <v>0.000923818849885602</v>
      </c>
      <c r="M481" s="59" t="n">
        <f aca="false">H481/Settings!$B$20</f>
        <v>3.58865015221338E-005</v>
      </c>
      <c r="N481" s="60" t="n">
        <f aca="false">E481*Settings!$B$3</f>
        <v>8.42823309371115</v>
      </c>
      <c r="O481" s="60" t="n">
        <f aca="false">IF(E481&gt;0,(F481-N481)/SQRT(E481*Settings!$B$3*(1-Settings!$B$3)),0)</f>
        <v>-0.849683358971111</v>
      </c>
      <c r="P481" s="60" t="n">
        <f aca="false">MAX(0,F481-N481)</f>
        <v>0</v>
      </c>
      <c r="Q481" s="32" t="n">
        <f aca="false">(F481+Settings!$B$7*Settings!$B$3)/(E481+Settings!$B$7)</f>
        <v>0.022945644147002</v>
      </c>
      <c r="R481" s="61" t="n">
        <f aca="false">PERCENTRANK($H$2:$H$1780,H481,6)</f>
        <v>0.897638</v>
      </c>
      <c r="S481" s="61" t="n">
        <f aca="false">PERCENTRANK($Q$2:$Q$1780,Q481,6)</f>
        <v>0.128796</v>
      </c>
      <c r="T481" s="61" t="n">
        <f aca="false">PERCENTRANK($F$2:$F$1780,F481,6)</f>
        <v>0.898763</v>
      </c>
      <c r="U481" s="62" t="n">
        <f aca="false">IF(F481&gt;0,(Settings!$B$8*T481+Settings!$B$9*R481+Settings!$B$10*S481)/SUM(Settings!$B$8:$B$10),0)</f>
        <v>0.641732333333333</v>
      </c>
      <c r="V481" s="56" t="n">
        <f aca="false">IF(U481&gt;0,RANK(U481,$U$2:$U$1780)+COUNTIF($U$2:U481,U481)-1,"")</f>
        <v>480</v>
      </c>
      <c r="W481" s="56" t="str">
        <f aca="false">IF(V481="","",IF(V481&lt;=Settings!$B$11,"1 - Fix first",IF(V481&lt;=Settings!$B$12,"2 - Review","3 - Monitor")))</f>
        <v>3 - Monitor</v>
      </c>
      <c r="X481" s="56" t="str">
        <f aca="false">IF(AND(E481&gt;=Settings!$B$4,F481&gt;=Settings!$B$5,O481&gt;=Settings!$B$6),"HIGH RATE","")</f>
        <v/>
      </c>
      <c r="Y481" s="56" t="n">
        <f aca="false">IF(F481&gt;0,RANK(F481,$F$2:$F$1780)+COUNTIF($F$2:F481,F481)-1,"")</f>
        <v>181</v>
      </c>
      <c r="Z481" s="56" t="n">
        <f aca="false">IF(H481&gt;0,RANK(H481,$H$2:$H$1780)+COUNTIF($H$2:H481,H481)-1,"")</f>
        <v>183</v>
      </c>
      <c r="AA481" s="56" t="n">
        <f aca="false">IF(AC481="","",RANK(AC481,$AC$2:$AC$1780)+COUNTIF($AC$2:AC481,AC481)-1)</f>
        <v>297</v>
      </c>
      <c r="AB481" s="56" t="str">
        <f aca="false">IF(AD481="","",RANK(AD481,$AD$2:$AD$1780)+COUNTIF($AD$2:AD481,AD481)-1)</f>
        <v/>
      </c>
      <c r="AC481" s="32" t="n">
        <f aca="false">IF(AND(F481&gt;0,E481&gt;=Settings!$B$4),J481,"")</f>
        <v>0.0220588235294118</v>
      </c>
      <c r="AD481" s="56" t="str">
        <f aca="false">IF(X481="HIGH RATE",O481,"")</f>
        <v/>
      </c>
    </row>
    <row r="482" customFormat="false" ht="15" hidden="false" customHeight="false" outlineLevel="0" collapsed="false">
      <c r="A482" s="56" t="s">
        <v>302</v>
      </c>
      <c r="B482" s="56" t="s">
        <v>1571</v>
      </c>
      <c r="C482" s="56" t="s">
        <v>71</v>
      </c>
      <c r="D482" s="56" t="str">
        <f aca="false">IFERROR(INDEX('Brand Map'!$B$4:$B$124,MATCH(C482,'Brand Map'!$A$4:$A$124,0)),"Other")</f>
        <v>GF</v>
      </c>
      <c r="E482" s="57" t="n">
        <v>36</v>
      </c>
      <c r="F482" s="57" t="n">
        <v>1</v>
      </c>
      <c r="G482" s="58" t="n">
        <v>3680.88</v>
      </c>
      <c r="H482" s="58" t="n">
        <v>95.41</v>
      </c>
      <c r="I482" s="58" t="n">
        <v>3419.09</v>
      </c>
      <c r="J482" s="32" t="n">
        <f aca="false">IF(E482&gt;0,F482/E482,0)</f>
        <v>0.0277777777777778</v>
      </c>
      <c r="K482" s="32" t="n">
        <f aca="false">IF(G482&gt;0,H482/G482,0)</f>
        <v>0.0259204320705918</v>
      </c>
      <c r="L482" s="59" t="n">
        <f aca="false">H482/Settings!$B$16</f>
        <v>0.000190679408258703</v>
      </c>
      <c r="M482" s="59" t="n">
        <f aca="false">H482/Settings!$B$20</f>
        <v>7.40709812920884E-006</v>
      </c>
      <c r="N482" s="60" t="n">
        <f aca="false">E482*Settings!$B$3</f>
        <v>1.11550143887354</v>
      </c>
      <c r="O482" s="60" t="n">
        <f aca="false">IF(E482&gt;0,(F482-N482)/SQRT(E482*Settings!$B$3*(1-Settings!$B$3)),0)</f>
        <v>-0.111093163809476</v>
      </c>
      <c r="P482" s="60" t="n">
        <f aca="false">MAX(0,F482-N482)</f>
        <v>0</v>
      </c>
      <c r="Q482" s="32" t="n">
        <f aca="false">(F482+Settings!$B$7*Settings!$B$3)/(E482+Settings!$B$7)</f>
        <v>0.0292361292787063</v>
      </c>
      <c r="R482" s="61" t="n">
        <f aca="false">PERCENTRANK($H$2:$H$1780,H482,6)</f>
        <v>0.754218</v>
      </c>
      <c r="S482" s="61" t="n">
        <f aca="false">PERCENTRANK($Q$2:$Q$1780,Q482,6)</f>
        <v>0.482002</v>
      </c>
      <c r="T482" s="61" t="n">
        <f aca="false">PERCENTRANK($F$2:$F$1780,F482,6)</f>
        <v>0.685039</v>
      </c>
      <c r="U482" s="62" t="n">
        <f aca="false">IF(F482&gt;0,(Settings!$B$8*T482+Settings!$B$9*R482+Settings!$B$10*S482)/SUM(Settings!$B$8:$B$10),0)</f>
        <v>0.640419666666667</v>
      </c>
      <c r="V482" s="56" t="n">
        <f aca="false">IF(U482&gt;0,RANK(U482,$U$2:$U$1780)+COUNTIF($U$2:U482,U482)-1,"")</f>
        <v>481</v>
      </c>
      <c r="W482" s="56" t="str">
        <f aca="false">IF(V482="","",IF(V482&lt;=Settings!$B$11,"1 - Fix first",IF(V482&lt;=Settings!$B$12,"2 - Review","3 - Monitor")))</f>
        <v>3 - Monitor</v>
      </c>
      <c r="X482" s="56" t="str">
        <f aca="false">IF(AND(E482&gt;=Settings!$B$4,F482&gt;=Settings!$B$5,O482&gt;=Settings!$B$6),"HIGH RATE","")</f>
        <v/>
      </c>
      <c r="Y482" s="56" t="n">
        <f aca="false">IF(F482&gt;0,RANK(F482,$F$2:$F$1780)+COUNTIF($F$2:F482,F482)-1,"")</f>
        <v>515</v>
      </c>
      <c r="Z482" s="56" t="n">
        <f aca="false">IF(H482&gt;0,RANK(H482,$H$2:$H$1780)+COUNTIF($H$2:H482,H482)-1,"")</f>
        <v>438</v>
      </c>
      <c r="AA482" s="56" t="n">
        <f aca="false">IF(AC482="","",RANK(AC482,$AC$2:$AC$1780)+COUNTIF($AC$2:AC482,AC482)-1)</f>
        <v>277</v>
      </c>
      <c r="AB482" s="56" t="str">
        <f aca="false">IF(AD482="","",RANK(AD482,$AD$2:$AD$1780)+COUNTIF($AD$2:AD482,AD482)-1)</f>
        <v/>
      </c>
      <c r="AC482" s="32" t="n">
        <f aca="false">IF(AND(F482&gt;0,E482&gt;=Settings!$B$4),J482,"")</f>
        <v>0.0277777777777778</v>
      </c>
      <c r="AD482" s="56" t="str">
        <f aca="false">IF(X482="HIGH RATE",O482,"")</f>
        <v/>
      </c>
    </row>
    <row r="483" customFormat="false" ht="15" hidden="false" customHeight="false" outlineLevel="0" collapsed="false">
      <c r="A483" s="56" t="s">
        <v>1572</v>
      </c>
      <c r="B483" s="56" t="s">
        <v>585</v>
      </c>
      <c r="C483" s="56" t="s">
        <v>174</v>
      </c>
      <c r="D483" s="56" t="str">
        <f aca="false">IFERROR(INDEX('Brand Map'!$B$4:$B$124,MATCH(C483,'Brand Map'!$A$4:$A$124,0)),"Other")</f>
        <v>AUV</v>
      </c>
      <c r="E483" s="57" t="n">
        <v>79</v>
      </c>
      <c r="F483" s="57" t="n">
        <v>2</v>
      </c>
      <c r="G483" s="58" t="n">
        <v>12241.05</v>
      </c>
      <c r="H483" s="58" t="n">
        <v>309.9</v>
      </c>
      <c r="I483" s="58" t="n">
        <v>11931.15</v>
      </c>
      <c r="J483" s="32" t="n">
        <f aca="false">IF(E483&gt;0,F483/E483,0)</f>
        <v>0.0253164556962025</v>
      </c>
      <c r="K483" s="32" t="n">
        <f aca="false">IF(G483&gt;0,H483/G483,0)</f>
        <v>0.0253164556962025</v>
      </c>
      <c r="L483" s="59" t="n">
        <f aca="false">H483/Settings!$B$16</f>
        <v>0.000619343345764301</v>
      </c>
      <c r="M483" s="59" t="n">
        <f aca="false">H483/Settings!$B$20</f>
        <v>2.40589006418805E-005</v>
      </c>
      <c r="N483" s="60" t="n">
        <f aca="false">E483*Settings!$B$3</f>
        <v>2.44790593530581</v>
      </c>
      <c r="O483" s="60" t="n">
        <f aca="false">IF(E483&gt;0,(F483-N483)/SQRT(E483*Settings!$B$3*(1-Settings!$B$3)),0)</f>
        <v>-0.290820129026329</v>
      </c>
      <c r="P483" s="60" t="n">
        <f aca="false">MAX(0,F483-N483)</f>
        <v>0</v>
      </c>
      <c r="Q483" s="32" t="n">
        <f aca="false">(F483+Settings!$B$7*Settings!$B$3)/(E483+Settings!$B$7)</f>
        <v>0.0268769223155469</v>
      </c>
      <c r="R483" s="61" t="n">
        <f aca="false">PERCENTRANK($H$2:$H$1780,H483,6)</f>
        <v>0.868391</v>
      </c>
      <c r="S483" s="61" t="n">
        <f aca="false">PERCENTRANK($Q$2:$Q$1780,Q483,6)</f>
        <v>0.252531</v>
      </c>
      <c r="T483" s="61" t="n">
        <f aca="false">PERCENTRANK($F$2:$F$1780,F483,6)</f>
        <v>0.799775</v>
      </c>
      <c r="U483" s="62" t="n">
        <f aca="false">IF(F483&gt;0,(Settings!$B$8*T483+Settings!$B$9*R483+Settings!$B$10*S483)/SUM(Settings!$B$8:$B$10),0)</f>
        <v>0.640232333333333</v>
      </c>
      <c r="V483" s="56" t="n">
        <f aca="false">IF(U483&gt;0,RANK(U483,$U$2:$U$1780)+COUNTIF($U$2:U483,U483)-1,"")</f>
        <v>482</v>
      </c>
      <c r="W483" s="56" t="str">
        <f aca="false">IF(V483="","",IF(V483&lt;=Settings!$B$11,"1 - Fix first",IF(V483&lt;=Settings!$B$12,"2 - Review","3 - Monitor")))</f>
        <v>3 - Monitor</v>
      </c>
      <c r="X483" s="56" t="str">
        <f aca="false">IF(AND(E483&gt;=Settings!$B$4,F483&gt;=Settings!$B$5,O483&gt;=Settings!$B$6),"HIGH RATE","")</f>
        <v/>
      </c>
      <c r="Y483" s="56" t="n">
        <f aca="false">IF(F483&gt;0,RANK(F483,$F$2:$F$1780)+COUNTIF($F$2:F483,F483)-1,"")</f>
        <v>347</v>
      </c>
      <c r="Z483" s="56" t="n">
        <f aca="false">IF(H483&gt;0,RANK(H483,$H$2:$H$1780)+COUNTIF($H$2:H483,H483)-1,"")</f>
        <v>235</v>
      </c>
      <c r="AA483" s="56" t="n">
        <f aca="false">IF(AC483="","",RANK(AC483,$AC$2:$AC$1780)+COUNTIF($AC$2:AC483,AC483)-1)</f>
        <v>281</v>
      </c>
      <c r="AB483" s="56" t="str">
        <f aca="false">IF(AD483="","",RANK(AD483,$AD$2:$AD$1780)+COUNTIF($AD$2:AD483,AD483)-1)</f>
        <v/>
      </c>
      <c r="AC483" s="32" t="n">
        <f aca="false">IF(AND(F483&gt;0,E483&gt;=Settings!$B$4),J483,"")</f>
        <v>0.0253164556962025</v>
      </c>
      <c r="AD483" s="56" t="str">
        <f aca="false">IF(X483="HIGH RATE",O483,"")</f>
        <v/>
      </c>
    </row>
    <row r="484" customFormat="false" ht="15" hidden="false" customHeight="false" outlineLevel="0" collapsed="false">
      <c r="A484" s="56" t="s">
        <v>1573</v>
      </c>
      <c r="B484" s="56" t="s">
        <v>1574</v>
      </c>
      <c r="C484" s="56" t="s">
        <v>51</v>
      </c>
      <c r="D484" s="56" t="str">
        <f aca="false">IFERROR(INDEX('Brand Map'!$B$4:$B$124,MATCH(C484,'Brand Map'!$A$4:$A$124,0)),"Other")</f>
        <v>AU</v>
      </c>
      <c r="E484" s="57" t="n">
        <v>513</v>
      </c>
      <c r="F484" s="57" t="n">
        <v>9</v>
      </c>
      <c r="G484" s="58" t="n">
        <v>55820.13</v>
      </c>
      <c r="H484" s="58" t="n">
        <v>782.09</v>
      </c>
      <c r="I484" s="58" t="n">
        <v>54456.45</v>
      </c>
      <c r="J484" s="32" t="n">
        <f aca="false">IF(E484&gt;0,F484/E484,0)</f>
        <v>0.0175438596491228</v>
      </c>
      <c r="K484" s="32" t="n">
        <f aca="false">IF(G484&gt;0,H484/G484,0)</f>
        <v>0.0140108953526264</v>
      </c>
      <c r="L484" s="59" t="n">
        <f aca="false">H484/Settings!$B$16</f>
        <v>0.00156302754852792</v>
      </c>
      <c r="M484" s="59" t="n">
        <f aca="false">H484/Settings!$B$20</f>
        <v>6.07170881026407E-005</v>
      </c>
      <c r="N484" s="60" t="n">
        <f aca="false">E484*Settings!$B$3</f>
        <v>15.8958955039479</v>
      </c>
      <c r="O484" s="60" t="n">
        <f aca="false">IF(E484&gt;0,(F484-N484)/SQRT(E484*Settings!$B$3*(1-Settings!$B$3)),0)</f>
        <v>-1.75704619699582</v>
      </c>
      <c r="P484" s="60" t="n">
        <f aca="false">MAX(0,F484-N484)</f>
        <v>0</v>
      </c>
      <c r="Q484" s="32" t="n">
        <f aca="false">(F484+Settings!$B$7*Settings!$B$3)/(E484+Settings!$B$7)</f>
        <v>0.018286527683968</v>
      </c>
      <c r="R484" s="61" t="n">
        <f aca="false">PERCENTRANK($H$2:$H$1780,H484,6)</f>
        <v>0.930821</v>
      </c>
      <c r="S484" s="61" t="n">
        <f aca="false">PERCENTRANK($Q$2:$Q$1780,Q484,6)</f>
        <v>0.071991</v>
      </c>
      <c r="T484" s="61" t="n">
        <f aca="false">PERCENTRANK($F$2:$F$1780,F484,6)</f>
        <v>0.917323</v>
      </c>
      <c r="U484" s="62" t="n">
        <f aca="false">IF(F484&gt;0,(Settings!$B$8*T484+Settings!$B$9*R484+Settings!$B$10*S484)/SUM(Settings!$B$8:$B$10),0)</f>
        <v>0.640045</v>
      </c>
      <c r="V484" s="56" t="n">
        <f aca="false">IF(U484&gt;0,RANK(U484,$U$2:$U$1780)+COUNTIF($U$2:U484,U484)-1,"")</f>
        <v>483</v>
      </c>
      <c r="W484" s="56" t="str">
        <f aca="false">IF(V484="","",IF(V484&lt;=Settings!$B$11,"1 - Fix first",IF(V484&lt;=Settings!$B$12,"2 - Review","3 - Monitor")))</f>
        <v>3 - Monitor</v>
      </c>
      <c r="X484" s="56" t="str">
        <f aca="false">IF(AND(E484&gt;=Settings!$B$4,F484&gt;=Settings!$B$5,O484&gt;=Settings!$B$6),"HIGH RATE","")</f>
        <v/>
      </c>
      <c r="Y484" s="56" t="n">
        <f aca="false">IF(F484&gt;0,RANK(F484,$F$2:$F$1780)+COUNTIF($F$2:F484,F484)-1,"")</f>
        <v>146</v>
      </c>
      <c r="Z484" s="56" t="n">
        <f aca="false">IF(H484&gt;0,RANK(H484,$H$2:$H$1780)+COUNTIF($H$2:H484,H484)-1,"")</f>
        <v>124</v>
      </c>
      <c r="AA484" s="56" t="n">
        <f aca="false">IF(AC484="","",RANK(AC484,$AC$2:$AC$1780)+COUNTIF($AC$2:AC484,AC484)-1)</f>
        <v>321</v>
      </c>
      <c r="AB484" s="56" t="str">
        <f aca="false">IF(AD484="","",RANK(AD484,$AD$2:$AD$1780)+COUNTIF($AD$2:AD484,AD484)-1)</f>
        <v/>
      </c>
      <c r="AC484" s="32" t="n">
        <f aca="false">IF(AND(F484&gt;0,E484&gt;=Settings!$B$4),J484,"")</f>
        <v>0.0175438596491228</v>
      </c>
      <c r="AD484" s="56" t="str">
        <f aca="false">IF(X484="HIGH RATE",O484,"")</f>
        <v/>
      </c>
    </row>
    <row r="485" customFormat="false" ht="15" hidden="false" customHeight="false" outlineLevel="0" collapsed="false">
      <c r="A485" s="56" t="s">
        <v>1575</v>
      </c>
      <c r="B485" s="56" t="s">
        <v>1576</v>
      </c>
      <c r="C485" s="56" t="s">
        <v>107</v>
      </c>
      <c r="D485" s="56" t="str">
        <f aca="false">IFERROR(INDEX('Brand Map'!$B$4:$B$124,MATCH(C485,'Brand Map'!$A$4:$A$124,0)),"Other")</f>
        <v>DCMJ</v>
      </c>
      <c r="E485" s="57" t="n">
        <v>505</v>
      </c>
      <c r="F485" s="57" t="n">
        <v>9</v>
      </c>
      <c r="G485" s="58" t="n">
        <v>37369.42</v>
      </c>
      <c r="H485" s="58" t="n">
        <v>634.55</v>
      </c>
      <c r="I485" s="58" t="n">
        <v>35511.74</v>
      </c>
      <c r="J485" s="32" t="n">
        <f aca="false">IF(E485&gt;0,F485/E485,0)</f>
        <v>0.0178217821782178</v>
      </c>
      <c r="K485" s="32" t="n">
        <f aca="false">IF(G485&gt;0,H485/G485,0)</f>
        <v>0.0169804615645627</v>
      </c>
      <c r="L485" s="59" t="n">
        <f aca="false">H485/Settings!$B$16</f>
        <v>0.00126816495661419</v>
      </c>
      <c r="M485" s="59" t="n">
        <f aca="false">H485/Settings!$B$20</f>
        <v>4.92629086876582E-005</v>
      </c>
      <c r="N485" s="60" t="n">
        <f aca="false">E485*Settings!$B$3</f>
        <v>15.6480062953093</v>
      </c>
      <c r="O485" s="60" t="n">
        <f aca="false">IF(E485&gt;0,(F485-N485)/SQRT(E485*Settings!$B$3*(1-Settings!$B$3)),0)</f>
        <v>-1.70724922397413</v>
      </c>
      <c r="P485" s="60" t="n">
        <f aca="false">MAX(0,F485-N485)</f>
        <v>0</v>
      </c>
      <c r="Q485" s="32" t="n">
        <f aca="false">(F485+Settings!$B$7*Settings!$B$3)/(E485+Settings!$B$7)</f>
        <v>0.0185599710885881</v>
      </c>
      <c r="R485" s="61" t="n">
        <f aca="false">PERCENTRANK($H$2:$H$1780,H485,6)</f>
        <v>0.91676</v>
      </c>
      <c r="S485" s="61" t="n">
        <f aca="false">PERCENTRANK($Q$2:$Q$1780,Q485,6)</f>
        <v>0.0742407</v>
      </c>
      <c r="T485" s="61" t="n">
        <f aca="false">PERCENTRANK($F$2:$F$1780,F485,6)</f>
        <v>0.917323</v>
      </c>
      <c r="U485" s="62" t="n">
        <f aca="false">IF(F485&gt;0,(Settings!$B$8*T485+Settings!$B$9*R485+Settings!$B$10*S485)/SUM(Settings!$B$8:$B$10),0)</f>
        <v>0.6361079</v>
      </c>
      <c r="V485" s="56" t="n">
        <f aca="false">IF(U485&gt;0,RANK(U485,$U$2:$U$1780)+COUNTIF($U$2:U485,U485)-1,"")</f>
        <v>484</v>
      </c>
      <c r="W485" s="56" t="str">
        <f aca="false">IF(V485="","",IF(V485&lt;=Settings!$B$11,"1 - Fix first",IF(V485&lt;=Settings!$B$12,"2 - Review","3 - Monitor")))</f>
        <v>3 - Monitor</v>
      </c>
      <c r="X485" s="56" t="str">
        <f aca="false">IF(AND(E485&gt;=Settings!$B$4,F485&gt;=Settings!$B$5,O485&gt;=Settings!$B$6),"HIGH RATE","")</f>
        <v/>
      </c>
      <c r="Y485" s="56" t="n">
        <f aca="false">IF(F485&gt;0,RANK(F485,$F$2:$F$1780)+COUNTIF($F$2:F485,F485)-1,"")</f>
        <v>147</v>
      </c>
      <c r="Z485" s="56" t="n">
        <f aca="false">IF(H485&gt;0,RANK(H485,$H$2:$H$1780)+COUNTIF($H$2:H485,H485)-1,"")</f>
        <v>149</v>
      </c>
      <c r="AA485" s="56" t="n">
        <f aca="false">IF(AC485="","",RANK(AC485,$AC$2:$AC$1780)+COUNTIF($AC$2:AC485,AC485)-1)</f>
        <v>319</v>
      </c>
      <c r="AB485" s="56" t="str">
        <f aca="false">IF(AD485="","",RANK(AD485,$AD$2:$AD$1780)+COUNTIF($AD$2:AD485,AD485)-1)</f>
        <v/>
      </c>
      <c r="AC485" s="32" t="n">
        <f aca="false">IF(AND(F485&gt;0,E485&gt;=Settings!$B$4),J485,"")</f>
        <v>0.0178217821782178</v>
      </c>
      <c r="AD485" s="56" t="str">
        <f aca="false">IF(X485="HIGH RATE",O485,"")</f>
        <v/>
      </c>
    </row>
    <row r="486" customFormat="false" ht="15" hidden="false" customHeight="false" outlineLevel="0" collapsed="false">
      <c r="A486" s="56" t="s">
        <v>648</v>
      </c>
      <c r="B486" s="56" t="s">
        <v>649</v>
      </c>
      <c r="C486" s="56" t="s">
        <v>647</v>
      </c>
      <c r="D486" s="56" t="str">
        <f aca="false">IFERROR(INDEX('Brand Map'!$B$4:$B$124,MATCH(C486,'Brand Map'!$A$4:$A$124,0)),"Other")</f>
        <v>Other (small prefixes)</v>
      </c>
      <c r="E486" s="57" t="n">
        <v>285</v>
      </c>
      <c r="F486" s="57" t="n">
        <v>7</v>
      </c>
      <c r="G486" s="58" t="n">
        <v>6904.61</v>
      </c>
      <c r="H486" s="58" t="n">
        <v>164.2</v>
      </c>
      <c r="I486" s="58" t="n">
        <v>6598.96</v>
      </c>
      <c r="J486" s="32" t="n">
        <f aca="false">IF(E486&gt;0,F486/E486,0)</f>
        <v>0.0245614035087719</v>
      </c>
      <c r="K486" s="32" t="n">
        <f aca="false">IF(G486&gt;0,H486/G486,0)</f>
        <v>0.0237812128418549</v>
      </c>
      <c r="L486" s="59" t="n">
        <f aca="false">H486/Settings!$B$16</f>
        <v>0.000328158042512095</v>
      </c>
      <c r="M486" s="59" t="n">
        <f aca="false">H486/Settings!$B$20</f>
        <v>1.27475685233843E-005</v>
      </c>
      <c r="N486" s="60" t="n">
        <f aca="false">E486*Settings!$B$3</f>
        <v>8.83105305774882</v>
      </c>
      <c r="O486" s="60" t="n">
        <f aca="false">IF(E486&gt;0,(F486-N486)/SQRT(E486*Settings!$B$3*(1-Settings!$B$3)),0)</f>
        <v>-0.625935653599571</v>
      </c>
      <c r="P486" s="60" t="n">
        <f aca="false">MAX(0,F486-N486)</f>
        <v>0</v>
      </c>
      <c r="Q486" s="32" t="n">
        <f aca="false">(F486+Settings!$B$7*Settings!$B$3)/(E486+Settings!$B$7)</f>
        <v>0.0251732842298242</v>
      </c>
      <c r="R486" s="61" t="n">
        <f aca="false">PERCENTRANK($H$2:$H$1780,H486,6)</f>
        <v>0.813836</v>
      </c>
      <c r="S486" s="61" t="n">
        <f aca="false">PERCENTRANK($Q$2:$Q$1780,Q486,6)</f>
        <v>0.185602</v>
      </c>
      <c r="T486" s="61" t="n">
        <f aca="false">PERCENTRANK($F$2:$F$1780,F486,6)</f>
        <v>0.908324</v>
      </c>
      <c r="U486" s="62" t="n">
        <f aca="false">IF(F486&gt;0,(Settings!$B$8*T486+Settings!$B$9*R486+Settings!$B$10*S486)/SUM(Settings!$B$8:$B$10),0)</f>
        <v>0.635920666666667</v>
      </c>
      <c r="V486" s="56" t="n">
        <f aca="false">IF(U486&gt;0,RANK(U486,$U$2:$U$1780)+COUNTIF($U$2:U486,U486)-1,"")</f>
        <v>485</v>
      </c>
      <c r="W486" s="56" t="str">
        <f aca="false">IF(V486="","",IF(V486&lt;=Settings!$B$11,"1 - Fix first",IF(V486&lt;=Settings!$B$12,"2 - Review","3 - Monitor")))</f>
        <v>3 - Monitor</v>
      </c>
      <c r="X486" s="56" t="str">
        <f aca="false">IF(AND(E486&gt;=Settings!$B$4,F486&gt;=Settings!$B$5,O486&gt;=Settings!$B$6),"HIGH RATE","")</f>
        <v/>
      </c>
      <c r="Y486" s="56" t="n">
        <f aca="false">IF(F486&gt;0,RANK(F486,$F$2:$F$1780)+COUNTIF($F$2:F486,F486)-1,"")</f>
        <v>163</v>
      </c>
      <c r="Z486" s="56" t="n">
        <f aca="false">IF(H486&gt;0,RANK(H486,$H$2:$H$1780)+COUNTIF($H$2:H486,H486)-1,"")</f>
        <v>332</v>
      </c>
      <c r="AA486" s="56" t="n">
        <f aca="false">IF(AC486="","",RANK(AC486,$AC$2:$AC$1780)+COUNTIF($AC$2:AC486,AC486)-1)</f>
        <v>286</v>
      </c>
      <c r="AB486" s="56" t="str">
        <f aca="false">IF(AD486="","",RANK(AD486,$AD$2:$AD$1780)+COUNTIF($AD$2:AD486,AD486)-1)</f>
        <v/>
      </c>
      <c r="AC486" s="32" t="n">
        <f aca="false">IF(AND(F486&gt;0,E486&gt;=Settings!$B$4),J486,"")</f>
        <v>0.0245614035087719</v>
      </c>
      <c r="AD486" s="56" t="str">
        <f aca="false">IF(X486="HIGH RATE",O486,"")</f>
        <v/>
      </c>
    </row>
    <row r="487" customFormat="false" ht="15" hidden="false" customHeight="false" outlineLevel="0" collapsed="false">
      <c r="A487" s="56" t="s">
        <v>1577</v>
      </c>
      <c r="B487" s="56" t="s">
        <v>1578</v>
      </c>
      <c r="C487" s="56" t="s">
        <v>75</v>
      </c>
      <c r="D487" s="56" t="str">
        <f aca="false">IFERROR(INDEX('Brand Map'!$B$4:$B$124,MATCH(C487,'Brand Map'!$A$4:$A$124,0)),"Other")</f>
        <v>AURP</v>
      </c>
      <c r="E487" s="57" t="n">
        <v>756</v>
      </c>
      <c r="F487" s="57" t="n">
        <v>18</v>
      </c>
      <c r="G487" s="58" t="n">
        <v>7453.86</v>
      </c>
      <c r="H487" s="58" t="n">
        <v>156.73</v>
      </c>
      <c r="I487" s="58" t="n">
        <v>7121.33</v>
      </c>
      <c r="J487" s="32" t="n">
        <f aca="false">IF(E487&gt;0,F487/E487,0)</f>
        <v>0.0238095238095238</v>
      </c>
      <c r="K487" s="32" t="n">
        <f aca="false">IF(G487&gt;0,H487/G487,0)</f>
        <v>0.0210266895273053</v>
      </c>
      <c r="L487" s="59" t="n">
        <f aca="false">H487/Settings!$B$16</f>
        <v>0.000313229049956886</v>
      </c>
      <c r="M487" s="59" t="n">
        <f aca="false">H487/Settings!$B$20</f>
        <v>1.21676395534106E-005</v>
      </c>
      <c r="N487" s="60" t="n">
        <f aca="false">E487*Settings!$B$3</f>
        <v>23.4255302163442</v>
      </c>
      <c r="O487" s="60" t="n">
        <f aca="false">IF(E487&gt;0,(F487-N487)/SQRT(E487*Settings!$B$3*(1-Settings!$B$3)),0)</f>
        <v>-1.13876072382932</v>
      </c>
      <c r="P487" s="60" t="n">
        <f aca="false">MAX(0,F487-N487)</f>
        <v>0</v>
      </c>
      <c r="Q487" s="32" t="n">
        <f aca="false">(F487+Settings!$B$7*Settings!$B$3)/(E487+Settings!$B$7)</f>
        <v>0.0240834408809092</v>
      </c>
      <c r="R487" s="61" t="n">
        <f aca="false">PERCENTRANK($H$2:$H$1780,H487,6)</f>
        <v>0.809336</v>
      </c>
      <c r="S487" s="61" t="n">
        <f aca="false">PERCENTRANK($Q$2:$Q$1780,Q487,6)</f>
        <v>0.150169</v>
      </c>
      <c r="T487" s="61" t="n">
        <f aca="false">PERCENTRANK($F$2:$F$1780,F487,6)</f>
        <v>0.947694</v>
      </c>
      <c r="U487" s="62" t="n">
        <f aca="false">IF(F487&gt;0,(Settings!$B$8*T487+Settings!$B$9*R487+Settings!$B$10*S487)/SUM(Settings!$B$8:$B$10),0)</f>
        <v>0.635733</v>
      </c>
      <c r="V487" s="56" t="n">
        <f aca="false">IF(U487&gt;0,RANK(U487,$U$2:$U$1780)+COUNTIF($U$2:U487,U487)-1,"")</f>
        <v>486</v>
      </c>
      <c r="W487" s="56" t="str">
        <f aca="false">IF(V487="","",IF(V487&lt;=Settings!$B$11,"1 - Fix first",IF(V487&lt;=Settings!$B$12,"2 - Review","3 - Monitor")))</f>
        <v>3 - Monitor</v>
      </c>
      <c r="X487" s="56" t="str">
        <f aca="false">IF(AND(E487&gt;=Settings!$B$4,F487&gt;=Settings!$B$5,O487&gt;=Settings!$B$6),"HIGH RATE","")</f>
        <v/>
      </c>
      <c r="Y487" s="56" t="n">
        <f aca="false">IF(F487&gt;0,RANK(F487,$F$2:$F$1780)+COUNTIF($F$2:F487,F487)-1,"")</f>
        <v>94</v>
      </c>
      <c r="Z487" s="56" t="n">
        <f aca="false">IF(H487&gt;0,RANK(H487,$H$2:$H$1780)+COUNTIF($H$2:H487,H487)-1,"")</f>
        <v>340</v>
      </c>
      <c r="AA487" s="56" t="n">
        <f aca="false">IF(AC487="","",RANK(AC487,$AC$2:$AC$1780)+COUNTIF($AC$2:AC487,AC487)-1)</f>
        <v>288</v>
      </c>
      <c r="AB487" s="56" t="str">
        <f aca="false">IF(AD487="","",RANK(AD487,$AD$2:$AD$1780)+COUNTIF($AD$2:AD487,AD487)-1)</f>
        <v/>
      </c>
      <c r="AC487" s="32" t="n">
        <f aca="false">IF(AND(F487&gt;0,E487&gt;=Settings!$B$4),J487,"")</f>
        <v>0.0238095238095238</v>
      </c>
      <c r="AD487" s="56" t="str">
        <f aca="false">IF(X487="HIGH RATE",O487,"")</f>
        <v/>
      </c>
    </row>
    <row r="488" customFormat="false" ht="15" hidden="false" customHeight="false" outlineLevel="0" collapsed="false">
      <c r="A488" s="56" t="s">
        <v>1579</v>
      </c>
      <c r="B488" s="56" t="s">
        <v>1580</v>
      </c>
      <c r="C488" s="56" t="s">
        <v>51</v>
      </c>
      <c r="D488" s="56" t="str">
        <f aca="false">IFERROR(INDEX('Brand Map'!$B$4:$B$124,MATCH(C488,'Brand Map'!$A$4:$A$124,0)),"Other")</f>
        <v>AU</v>
      </c>
      <c r="E488" s="57" t="n">
        <v>121</v>
      </c>
      <c r="F488" s="57" t="n">
        <v>3</v>
      </c>
      <c r="G488" s="58" t="n">
        <v>11336.56</v>
      </c>
      <c r="H488" s="58" t="n">
        <v>227.83</v>
      </c>
      <c r="I488" s="58" t="n">
        <v>10648.56</v>
      </c>
      <c r="J488" s="32" t="n">
        <f aca="false">IF(E488&gt;0,F488/E488,0)</f>
        <v>0.0247933884297521</v>
      </c>
      <c r="K488" s="32" t="n">
        <f aca="false">IF(G488&gt;0,H488/G488,0)</f>
        <v>0.0200969253459603</v>
      </c>
      <c r="L488" s="59" t="n">
        <f aca="false">H488/Settings!$B$16</f>
        <v>0.000455324280301648</v>
      </c>
      <c r="M488" s="59" t="n">
        <f aca="false">H488/Settings!$B$20</f>
        <v>1.76874454121963E-005</v>
      </c>
      <c r="N488" s="60" t="n">
        <f aca="false">E488*Settings!$B$3</f>
        <v>3.74932428065827</v>
      </c>
      <c r="O488" s="60" t="n">
        <f aca="false">IF(E488&gt;0,(F488-N488)/SQRT(E488*Settings!$B$3*(1-Settings!$B$3)),0)</f>
        <v>-0.393122871428939</v>
      </c>
      <c r="P488" s="60" t="n">
        <f aca="false">MAX(0,F488-N488)</f>
        <v>0</v>
      </c>
      <c r="Q488" s="32" t="n">
        <f aca="false">(F488+Settings!$B$7*Settings!$B$3)/(E488+Settings!$B$7)</f>
        <v>0.0260237386251299</v>
      </c>
      <c r="R488" s="61" t="n">
        <f aca="false">PERCENTRANK($H$2:$H$1780,H488,6)</f>
        <v>0.838583</v>
      </c>
      <c r="S488" s="61" t="n">
        <f aca="false">PERCENTRANK($Q$2:$Q$1780,Q488,6)</f>
        <v>0.218785</v>
      </c>
      <c r="T488" s="61" t="n">
        <f aca="false">PERCENTRANK($F$2:$F$1780,F488,6)</f>
        <v>0.84252</v>
      </c>
      <c r="U488" s="62" t="n">
        <f aca="false">IF(F488&gt;0,(Settings!$B$8*T488+Settings!$B$9*R488+Settings!$B$10*S488)/SUM(Settings!$B$8:$B$10),0)</f>
        <v>0.633296</v>
      </c>
      <c r="V488" s="56" t="n">
        <f aca="false">IF(U488&gt;0,RANK(U488,$U$2:$U$1780)+COUNTIF($U$2:U488,U488)-1,"")</f>
        <v>487</v>
      </c>
      <c r="W488" s="56" t="str">
        <f aca="false">IF(V488="","",IF(V488&lt;=Settings!$B$11,"1 - Fix first",IF(V488&lt;=Settings!$B$12,"2 - Review","3 - Monitor")))</f>
        <v>3 - Monitor</v>
      </c>
      <c r="X488" s="56" t="str">
        <f aca="false">IF(AND(E488&gt;=Settings!$B$4,F488&gt;=Settings!$B$5,O488&gt;=Settings!$B$6),"HIGH RATE","")</f>
        <v/>
      </c>
      <c r="Y488" s="56" t="n">
        <f aca="false">IF(F488&gt;0,RANK(F488,$F$2:$F$1780)+COUNTIF($F$2:F488,F488)-1,"")</f>
        <v>269</v>
      </c>
      <c r="Z488" s="56" t="n">
        <f aca="false">IF(H488&gt;0,RANK(H488,$H$2:$H$1780)+COUNTIF($H$2:H488,H488)-1,"")</f>
        <v>288</v>
      </c>
      <c r="AA488" s="56" t="n">
        <f aca="false">IF(AC488="","",RANK(AC488,$AC$2:$AC$1780)+COUNTIF($AC$2:AC488,AC488)-1)</f>
        <v>283</v>
      </c>
      <c r="AB488" s="56" t="str">
        <f aca="false">IF(AD488="","",RANK(AD488,$AD$2:$AD$1780)+COUNTIF($AD$2:AD488,AD488)-1)</f>
        <v/>
      </c>
      <c r="AC488" s="32" t="n">
        <f aca="false">IF(AND(F488&gt;0,E488&gt;=Settings!$B$4),J488,"")</f>
        <v>0.0247933884297521</v>
      </c>
      <c r="AD488" s="56" t="str">
        <f aca="false">IF(X488="HIGH RATE",O488,"")</f>
        <v/>
      </c>
    </row>
    <row r="489" customFormat="false" ht="15" hidden="false" customHeight="false" outlineLevel="0" collapsed="false">
      <c r="A489" s="56" t="s">
        <v>588</v>
      </c>
      <c r="B489" s="56" t="s">
        <v>589</v>
      </c>
      <c r="C489" s="56" t="s">
        <v>171</v>
      </c>
      <c r="D489" s="56" t="str">
        <f aca="false">IFERROR(INDEX('Brand Map'!$B$4:$B$124,MATCH(C489,'Brand Map'!$A$4:$A$124,0)),"Other")</f>
        <v>HF</v>
      </c>
      <c r="E489" s="57" t="n">
        <v>496</v>
      </c>
      <c r="F489" s="57" t="n">
        <v>8</v>
      </c>
      <c r="G489" s="58" t="n">
        <v>45325.91</v>
      </c>
      <c r="H489" s="58" t="n">
        <v>709.45</v>
      </c>
      <c r="I489" s="58" t="n">
        <v>43538.83</v>
      </c>
      <c r="J489" s="32" t="n">
        <f aca="false">IF(E489&gt;0,F489/E489,0)</f>
        <v>0.0161290322580645</v>
      </c>
      <c r="K489" s="32" t="n">
        <f aca="false">IF(G489&gt;0,H489/G489,0)</f>
        <v>0.0156521953999379</v>
      </c>
      <c r="L489" s="59" t="n">
        <f aca="false">H489/Settings!$B$16</f>
        <v>0.00141785458745558</v>
      </c>
      <c r="M489" s="59" t="n">
        <f aca="false">H489/Settings!$B$20</f>
        <v>5.5077725267448E-005</v>
      </c>
      <c r="N489" s="60" t="n">
        <f aca="false">E489*Settings!$B$3</f>
        <v>15.3691309355909</v>
      </c>
      <c r="O489" s="60" t="n">
        <f aca="false">IF(E489&gt;0,(F489-N489)/SQRT(E489*Settings!$B$3*(1-Settings!$B$3)),0)</f>
        <v>-1.90953061614497</v>
      </c>
      <c r="P489" s="60" t="n">
        <f aca="false">MAX(0,F489-N489)</f>
        <v>0</v>
      </c>
      <c r="Q489" s="32" t="n">
        <f aca="false">(F489+Settings!$B$7*Settings!$B$3)/(E489+Settings!$B$7)</f>
        <v>0.0169763964494194</v>
      </c>
      <c r="R489" s="61" t="n">
        <f aca="false">PERCENTRANK($H$2:$H$1780,H489,6)</f>
        <v>0.922385</v>
      </c>
      <c r="S489" s="61" t="n">
        <f aca="false">PERCENTRANK($Q$2:$Q$1780,Q489,6)</f>
        <v>0.0551181</v>
      </c>
      <c r="T489" s="61" t="n">
        <f aca="false">PERCENTRANK($F$2:$F$1780,F489,6)</f>
        <v>0.912823</v>
      </c>
      <c r="U489" s="62" t="n">
        <f aca="false">IF(F489&gt;0,(Settings!$B$8*T489+Settings!$B$9*R489+Settings!$B$10*S489)/SUM(Settings!$B$8:$B$10),0)</f>
        <v>0.6301087</v>
      </c>
      <c r="V489" s="56" t="n">
        <f aca="false">IF(U489&gt;0,RANK(U489,$U$2:$U$1780)+COUNTIF($U$2:U489,U489)-1,"")</f>
        <v>488</v>
      </c>
      <c r="W489" s="56" t="str">
        <f aca="false">IF(V489="","",IF(V489&lt;=Settings!$B$11,"1 - Fix first",IF(V489&lt;=Settings!$B$12,"2 - Review","3 - Monitor")))</f>
        <v>3 - Monitor</v>
      </c>
      <c r="X489" s="56" t="str">
        <f aca="false">IF(AND(E489&gt;=Settings!$B$4,F489&gt;=Settings!$B$5,O489&gt;=Settings!$B$6),"HIGH RATE","")</f>
        <v/>
      </c>
      <c r="Y489" s="56" t="n">
        <f aca="false">IF(F489&gt;0,RANK(F489,$F$2:$F$1780)+COUNTIF($F$2:F489,F489)-1,"")</f>
        <v>156</v>
      </c>
      <c r="Z489" s="56" t="n">
        <f aca="false">IF(H489&gt;0,RANK(H489,$H$2:$H$1780)+COUNTIF($H$2:H489,H489)-1,"")</f>
        <v>139</v>
      </c>
      <c r="AA489" s="56" t="n">
        <f aca="false">IF(AC489="","",RANK(AC489,$AC$2:$AC$1780)+COUNTIF($AC$2:AC489,AC489)-1)</f>
        <v>328</v>
      </c>
      <c r="AB489" s="56" t="str">
        <f aca="false">IF(AD489="","",RANK(AD489,$AD$2:$AD$1780)+COUNTIF($AD$2:AD489,AD489)-1)</f>
        <v/>
      </c>
      <c r="AC489" s="32" t="n">
        <f aca="false">IF(AND(F489&gt;0,E489&gt;=Settings!$B$4),J489,"")</f>
        <v>0.0161290322580645</v>
      </c>
      <c r="AD489" s="56" t="str">
        <f aca="false">IF(X489="HIGH RATE",O489,"")</f>
        <v/>
      </c>
    </row>
    <row r="490" customFormat="false" ht="15" hidden="false" customHeight="false" outlineLevel="0" collapsed="false">
      <c r="A490" s="56" t="s">
        <v>1581</v>
      </c>
      <c r="B490" s="56" t="s">
        <v>1582</v>
      </c>
      <c r="C490" s="56" t="s">
        <v>151</v>
      </c>
      <c r="D490" s="56" t="str">
        <f aca="false">IFERROR(INDEX('Brand Map'!$B$4:$B$124,MATCH(C490,'Brand Map'!$A$4:$A$124,0)),"Other")</f>
        <v>WBAU</v>
      </c>
      <c r="E490" s="57" t="n">
        <v>38</v>
      </c>
      <c r="F490" s="57" t="n">
        <v>1</v>
      </c>
      <c r="G490" s="58" t="n">
        <v>5188.61</v>
      </c>
      <c r="H490" s="58" t="n">
        <v>159.95</v>
      </c>
      <c r="I490" s="58" t="n">
        <v>4888.53</v>
      </c>
      <c r="J490" s="32" t="n">
        <f aca="false">IF(E490&gt;0,F490/E490,0)</f>
        <v>0.0263157894736842</v>
      </c>
      <c r="K490" s="32" t="n">
        <f aca="false">IF(G490&gt;0,H490/G490,0)</f>
        <v>0.0308271386749052</v>
      </c>
      <c r="L490" s="59" t="n">
        <f aca="false">H490/Settings!$B$16</f>
        <v>0.000319664305114553</v>
      </c>
      <c r="M490" s="59" t="n">
        <f aca="false">H490/Settings!$B$20</f>
        <v>1.24176223222613E-005</v>
      </c>
      <c r="N490" s="60" t="n">
        <f aca="false">E490*Settings!$B$3</f>
        <v>1.17747374103318</v>
      </c>
      <c r="O490" s="60" t="n">
        <f aca="false">IF(E490&gt;0,(F490-N490)/SQRT(E490*Settings!$B$3*(1-Settings!$B$3)),0)</f>
        <v>-0.166147379821092</v>
      </c>
      <c r="P490" s="60" t="n">
        <f aca="false">MAX(0,F490-N490)</f>
        <v>0</v>
      </c>
      <c r="Q490" s="32" t="n">
        <f aca="false">(F490+Settings!$B$7*Settings!$B$3)/(E490+Settings!$B$7)</f>
        <v>0.0283762431234502</v>
      </c>
      <c r="R490" s="61" t="n">
        <f aca="false">PERCENTRANK($H$2:$H$1780,H490,6)</f>
        <v>0.809899</v>
      </c>
      <c r="S490" s="61" t="n">
        <f aca="false">PERCENTRANK($Q$2:$Q$1780,Q490,6)</f>
        <v>0.36333</v>
      </c>
      <c r="T490" s="61" t="n">
        <f aca="false">PERCENTRANK($F$2:$F$1780,F490,6)</f>
        <v>0.685039</v>
      </c>
      <c r="U490" s="62" t="n">
        <f aca="false">IF(F490&gt;0,(Settings!$B$8*T490+Settings!$B$9*R490+Settings!$B$10*S490)/SUM(Settings!$B$8:$B$10),0)</f>
        <v>0.619422666666667</v>
      </c>
      <c r="V490" s="56" t="n">
        <f aca="false">IF(U490&gt;0,RANK(U490,$U$2:$U$1780)+COUNTIF($U$2:U490,U490)-1,"")</f>
        <v>489</v>
      </c>
      <c r="W490" s="56" t="str">
        <f aca="false">IF(V490="","",IF(V490&lt;=Settings!$B$11,"1 - Fix first",IF(V490&lt;=Settings!$B$12,"2 - Review","3 - Monitor")))</f>
        <v>3 - Monitor</v>
      </c>
      <c r="X490" s="56" t="str">
        <f aca="false">IF(AND(E490&gt;=Settings!$B$4,F490&gt;=Settings!$B$5,O490&gt;=Settings!$B$6),"HIGH RATE","")</f>
        <v/>
      </c>
      <c r="Y490" s="56" t="n">
        <f aca="false">IF(F490&gt;0,RANK(F490,$F$2:$F$1780)+COUNTIF($F$2:F490,F490)-1,"")</f>
        <v>516</v>
      </c>
      <c r="Z490" s="56" t="n">
        <f aca="false">IF(H490&gt;0,RANK(H490,$H$2:$H$1780)+COUNTIF($H$2:H490,H490)-1,"")</f>
        <v>339</v>
      </c>
      <c r="AA490" s="56" t="n">
        <f aca="false">IF(AC490="","",RANK(AC490,$AC$2:$AC$1780)+COUNTIF($AC$2:AC490,AC490)-1)</f>
        <v>279</v>
      </c>
      <c r="AB490" s="56" t="str">
        <f aca="false">IF(AD490="","",RANK(AD490,$AD$2:$AD$1780)+COUNTIF($AD$2:AD490,AD490)-1)</f>
        <v/>
      </c>
      <c r="AC490" s="32" t="n">
        <f aca="false">IF(AND(F490&gt;0,E490&gt;=Settings!$B$4),J490,"")</f>
        <v>0.0263157894736842</v>
      </c>
      <c r="AD490" s="56" t="str">
        <f aca="false">IF(X490="HIGH RATE",O490,"")</f>
        <v/>
      </c>
    </row>
    <row r="491" customFormat="false" ht="15" hidden="false" customHeight="false" outlineLevel="0" collapsed="false">
      <c r="A491" s="56" t="s">
        <v>244</v>
      </c>
      <c r="B491" s="56" t="s">
        <v>1583</v>
      </c>
      <c r="C491" s="56" t="s">
        <v>59</v>
      </c>
      <c r="D491" s="56" t="str">
        <f aca="false">IFERROR(INDEX('Brand Map'!$B$4:$B$124,MATCH(C491,'Brand Map'!$A$4:$A$124,0)),"Other")</f>
        <v>DC</v>
      </c>
      <c r="E491" s="57" t="n">
        <v>801</v>
      </c>
      <c r="F491" s="57" t="n">
        <v>9</v>
      </c>
      <c r="G491" s="58" t="n">
        <v>68977.08</v>
      </c>
      <c r="H491" s="58" t="n">
        <v>669.8</v>
      </c>
      <c r="I491" s="58" t="n">
        <v>67015.42</v>
      </c>
      <c r="J491" s="32" t="n">
        <f aca="false">IF(E491&gt;0,F491/E491,0)</f>
        <v>0.0112359550561798</v>
      </c>
      <c r="K491" s="32" t="n">
        <f aca="false">IF(G491&gt;0,H491/G491,0)</f>
        <v>0.00971047194227416</v>
      </c>
      <c r="L491" s="59" t="n">
        <f aca="false">H491/Settings!$B$16</f>
        <v>0.00133861301385263</v>
      </c>
      <c r="M491" s="59" t="n">
        <f aca="false">H491/Settings!$B$20</f>
        <v>5.19995212969718E-005</v>
      </c>
      <c r="N491" s="60" t="n">
        <f aca="false">E491*Settings!$B$3</f>
        <v>24.8199070149362</v>
      </c>
      <c r="O491" s="60" t="n">
        <f aca="false">IF(E491&gt;0,(F491-N491)/SQRT(E491*Settings!$B$3*(1-Settings!$B$3)),0)</f>
        <v>-3.22581056143293</v>
      </c>
      <c r="P491" s="60" t="n">
        <f aca="false">MAX(0,F491-N491)</f>
        <v>0</v>
      </c>
      <c r="Q491" s="32" t="n">
        <f aca="false">(F491+Settings!$B$7*Settings!$B$3)/(E491+Settings!$B$7)</f>
        <v>0.0119489585227372</v>
      </c>
      <c r="R491" s="61" t="n">
        <f aca="false">PERCENTRANK($H$2:$H$1780,H491,6)</f>
        <v>0.91901</v>
      </c>
      <c r="S491" s="61" t="n">
        <f aca="false">PERCENTRANK($Q$2:$Q$1780,Q491,6)</f>
        <v>0.0213723</v>
      </c>
      <c r="T491" s="61" t="n">
        <f aca="false">PERCENTRANK($F$2:$F$1780,F491,6)</f>
        <v>0.917323</v>
      </c>
      <c r="U491" s="62" t="n">
        <f aca="false">IF(F491&gt;0,(Settings!$B$8*T491+Settings!$B$9*R491+Settings!$B$10*S491)/SUM(Settings!$B$8:$B$10),0)</f>
        <v>0.6192351</v>
      </c>
      <c r="V491" s="56" t="n">
        <f aca="false">IF(U491&gt;0,RANK(U491,$U$2:$U$1780)+COUNTIF($U$2:U491,U491)-1,"")</f>
        <v>490</v>
      </c>
      <c r="W491" s="56" t="str">
        <f aca="false">IF(V491="","",IF(V491&lt;=Settings!$B$11,"1 - Fix first",IF(V491&lt;=Settings!$B$12,"2 - Review","3 - Monitor")))</f>
        <v>3 - Monitor</v>
      </c>
      <c r="X491" s="56" t="str">
        <f aca="false">IF(AND(E491&gt;=Settings!$B$4,F491&gt;=Settings!$B$5,O491&gt;=Settings!$B$6),"HIGH RATE","")</f>
        <v/>
      </c>
      <c r="Y491" s="56" t="n">
        <f aca="false">IF(F491&gt;0,RANK(F491,$F$2:$F$1780)+COUNTIF($F$2:F491,F491)-1,"")</f>
        <v>148</v>
      </c>
      <c r="Z491" s="56" t="n">
        <f aca="false">IF(H491&gt;0,RANK(H491,$H$2:$H$1780)+COUNTIF($H$2:H491,H491)-1,"")</f>
        <v>145</v>
      </c>
      <c r="AA491" s="56" t="n">
        <f aca="false">IF(AC491="","",RANK(AC491,$AC$2:$AC$1780)+COUNTIF($AC$2:AC491,AC491)-1)</f>
        <v>351</v>
      </c>
      <c r="AB491" s="56" t="str">
        <f aca="false">IF(AD491="","",RANK(AD491,$AD$2:$AD$1780)+COUNTIF($AD$2:AD491,AD491)-1)</f>
        <v/>
      </c>
      <c r="AC491" s="32" t="n">
        <f aca="false">IF(AND(F491&gt;0,E491&gt;=Settings!$B$4),J491,"")</f>
        <v>0.0112359550561798</v>
      </c>
      <c r="AD491" s="56" t="str">
        <f aca="false">IF(X491="HIGH RATE",O491,"")</f>
        <v/>
      </c>
    </row>
    <row r="492" customFormat="false" ht="15" hidden="false" customHeight="false" outlineLevel="0" collapsed="false">
      <c r="A492" s="56" t="s">
        <v>1584</v>
      </c>
      <c r="B492" s="56" t="s">
        <v>1585</v>
      </c>
      <c r="C492" s="56" t="s">
        <v>51</v>
      </c>
      <c r="D492" s="56" t="str">
        <f aca="false">IFERROR(INDEX('Brand Map'!$B$4:$B$124,MATCH(C492,'Brand Map'!$A$4:$A$124,0)),"Other")</f>
        <v>AU</v>
      </c>
      <c r="E492" s="57" t="n">
        <v>132</v>
      </c>
      <c r="F492" s="57" t="n">
        <v>3</v>
      </c>
      <c r="G492" s="58" t="n">
        <v>11850.57</v>
      </c>
      <c r="H492" s="58" t="n">
        <v>261.67</v>
      </c>
      <c r="I492" s="58" t="n">
        <v>11281.76</v>
      </c>
      <c r="J492" s="32" t="n">
        <f aca="false">IF(E492&gt;0,F492/E492,0)</f>
        <v>0.0227272727272727</v>
      </c>
      <c r="K492" s="32" t="n">
        <f aca="false">IF(G492&gt;0,H492/G492,0)</f>
        <v>0.0220807944259221</v>
      </c>
      <c r="L492" s="59" t="n">
        <f aca="false">H492/Settings!$B$16</f>
        <v>0.000522954415250548</v>
      </c>
      <c r="M492" s="59" t="n">
        <f aca="false">H492/Settings!$B$20</f>
        <v>2.03145935171374E-005</v>
      </c>
      <c r="N492" s="60" t="n">
        <f aca="false">E492*Settings!$B$3</f>
        <v>4.0901719425363</v>
      </c>
      <c r="O492" s="60" t="n">
        <f aca="false">IF(E492&gt;0,(F492-N492)/SQRT(E492*Settings!$B$3*(1-Settings!$B$3)),0)</f>
        <v>-0.547594687194223</v>
      </c>
      <c r="P492" s="60" t="n">
        <f aca="false">MAX(0,F492-N492)</f>
        <v>0</v>
      </c>
      <c r="Q492" s="32" t="n">
        <f aca="false">(F492+Settings!$B$7*Settings!$B$3)/(E492+Settings!$B$7)</f>
        <v>0.0242566946444112</v>
      </c>
      <c r="R492" s="61" t="n">
        <f aca="false">PERCENTRANK($H$2:$H$1780,H492,6)</f>
        <v>0.852643</v>
      </c>
      <c r="S492" s="61" t="n">
        <f aca="false">PERCENTRANK($Q$2:$Q$1780,Q492,6)</f>
        <v>0.152981</v>
      </c>
      <c r="T492" s="61" t="n">
        <f aca="false">PERCENTRANK($F$2:$F$1780,F492,6)</f>
        <v>0.84252</v>
      </c>
      <c r="U492" s="62" t="n">
        <f aca="false">IF(F492&gt;0,(Settings!$B$8*T492+Settings!$B$9*R492+Settings!$B$10*S492)/SUM(Settings!$B$8:$B$10),0)</f>
        <v>0.616048</v>
      </c>
      <c r="V492" s="56" t="n">
        <f aca="false">IF(U492&gt;0,RANK(U492,$U$2:$U$1780)+COUNTIF($U$2:U492,U492)-1,"")</f>
        <v>491</v>
      </c>
      <c r="W492" s="56" t="str">
        <f aca="false">IF(V492="","",IF(V492&lt;=Settings!$B$11,"1 - Fix first",IF(V492&lt;=Settings!$B$12,"2 - Review","3 - Monitor")))</f>
        <v>3 - Monitor</v>
      </c>
      <c r="X492" s="56" t="str">
        <f aca="false">IF(AND(E492&gt;=Settings!$B$4,F492&gt;=Settings!$B$5,O492&gt;=Settings!$B$6),"HIGH RATE","")</f>
        <v/>
      </c>
      <c r="Y492" s="56" t="n">
        <f aca="false">IF(F492&gt;0,RANK(F492,$F$2:$F$1780)+COUNTIF($F$2:F492,F492)-1,"")</f>
        <v>270</v>
      </c>
      <c r="Z492" s="56" t="n">
        <f aca="false">IF(H492&gt;0,RANK(H492,$H$2:$H$1780)+COUNTIF($H$2:H492,H492)-1,"")</f>
        <v>263</v>
      </c>
      <c r="AA492" s="56" t="n">
        <f aca="false">IF(AC492="","",RANK(AC492,$AC$2:$AC$1780)+COUNTIF($AC$2:AC492,AC492)-1)</f>
        <v>293</v>
      </c>
      <c r="AB492" s="56" t="str">
        <f aca="false">IF(AD492="","",RANK(AD492,$AD$2:$AD$1780)+COUNTIF($AD$2:AD492,AD492)-1)</f>
        <v/>
      </c>
      <c r="AC492" s="32" t="n">
        <f aca="false">IF(AND(F492&gt;0,E492&gt;=Settings!$B$4),J492,"")</f>
        <v>0.0227272727272727</v>
      </c>
      <c r="AD492" s="56" t="str">
        <f aca="false">IF(X492="HIGH RATE",O492,"")</f>
        <v/>
      </c>
    </row>
    <row r="493" customFormat="false" ht="15" hidden="false" customHeight="false" outlineLevel="0" collapsed="false">
      <c r="A493" s="56" t="s">
        <v>1586</v>
      </c>
      <c r="B493" s="56" t="s">
        <v>1587</v>
      </c>
      <c r="C493" s="56" t="s">
        <v>51</v>
      </c>
      <c r="D493" s="56" t="str">
        <f aca="false">IFERROR(INDEX('Brand Map'!$B$4:$B$124,MATCH(C493,'Brand Map'!$A$4:$A$124,0)),"Other")</f>
        <v>AU</v>
      </c>
      <c r="E493" s="57" t="n">
        <v>127</v>
      </c>
      <c r="F493" s="57" t="n">
        <v>3</v>
      </c>
      <c r="G493" s="58" t="n">
        <v>12189.17</v>
      </c>
      <c r="H493" s="58" t="n">
        <v>227.15</v>
      </c>
      <c r="I493" s="58" t="n">
        <v>11604.88</v>
      </c>
      <c r="J493" s="32" t="n">
        <f aca="false">IF(E493&gt;0,F493/E493,0)</f>
        <v>0.0236220472440945</v>
      </c>
      <c r="K493" s="32" t="n">
        <f aca="false">IF(G493&gt;0,H493/G493,0)</f>
        <v>0.0186353951909769</v>
      </c>
      <c r="L493" s="59" t="n">
        <f aca="false">H493/Settings!$B$16</f>
        <v>0.000453965282318041</v>
      </c>
      <c r="M493" s="59" t="n">
        <f aca="false">H493/Settings!$B$20</f>
        <v>1.76346540200167E-005</v>
      </c>
      <c r="N493" s="60" t="n">
        <f aca="false">E493*Settings!$B$3</f>
        <v>3.93524118713719</v>
      </c>
      <c r="O493" s="60" t="n">
        <f aca="false">IF(E493&gt;0,(F493-N493)/SQRT(E493*Settings!$B$3*(1-Settings!$B$3)),0)</f>
        <v>-0.478931006930534</v>
      </c>
      <c r="P493" s="60" t="n">
        <f aca="false">MAX(0,F493-N493)</f>
        <v>0</v>
      </c>
      <c r="Q493" s="32" t="n">
        <f aca="false">(F493+Settings!$B$7*Settings!$B$3)/(E493+Settings!$B$7)</f>
        <v>0.0250292008432778</v>
      </c>
      <c r="R493" s="61" t="n">
        <f aca="false">PERCENTRANK($H$2:$H$1780,H493,6)</f>
        <v>0.83802</v>
      </c>
      <c r="S493" s="61" t="n">
        <f aca="false">PERCENTRANK($Q$2:$Q$1780,Q493,6)</f>
        <v>0.167604</v>
      </c>
      <c r="T493" s="61" t="n">
        <f aca="false">PERCENTRANK($F$2:$F$1780,F493,6)</f>
        <v>0.84252</v>
      </c>
      <c r="U493" s="62" t="n">
        <f aca="false">IF(F493&gt;0,(Settings!$B$8*T493+Settings!$B$9*R493+Settings!$B$10*S493)/SUM(Settings!$B$8:$B$10),0)</f>
        <v>0.616048</v>
      </c>
      <c r="V493" s="56" t="n">
        <f aca="false">IF(U493&gt;0,RANK(U493,$U$2:$U$1780)+COUNTIF($U$2:U493,U493)-1,"")</f>
        <v>492</v>
      </c>
      <c r="W493" s="56" t="str">
        <f aca="false">IF(V493="","",IF(V493&lt;=Settings!$B$11,"1 - Fix first",IF(V493&lt;=Settings!$B$12,"2 - Review","3 - Monitor")))</f>
        <v>3 - Monitor</v>
      </c>
      <c r="X493" s="56" t="str">
        <f aca="false">IF(AND(E493&gt;=Settings!$B$4,F493&gt;=Settings!$B$5,O493&gt;=Settings!$B$6),"HIGH RATE","")</f>
        <v/>
      </c>
      <c r="Y493" s="56" t="n">
        <f aca="false">IF(F493&gt;0,RANK(F493,$F$2:$F$1780)+COUNTIF($F$2:F493,F493)-1,"")</f>
        <v>271</v>
      </c>
      <c r="Z493" s="56" t="n">
        <f aca="false">IF(H493&gt;0,RANK(H493,$H$2:$H$1780)+COUNTIF($H$2:H493,H493)-1,"")</f>
        <v>289</v>
      </c>
      <c r="AA493" s="56" t="n">
        <f aca="false">IF(AC493="","",RANK(AC493,$AC$2:$AC$1780)+COUNTIF($AC$2:AC493,AC493)-1)</f>
        <v>291</v>
      </c>
      <c r="AB493" s="56" t="str">
        <f aca="false">IF(AD493="","",RANK(AD493,$AD$2:$AD$1780)+COUNTIF($AD$2:AD493,AD493)-1)</f>
        <v/>
      </c>
      <c r="AC493" s="32" t="n">
        <f aca="false">IF(AND(F493&gt;0,E493&gt;=Settings!$B$4),J493,"")</f>
        <v>0.0236220472440945</v>
      </c>
      <c r="AD493" s="56" t="str">
        <f aca="false">IF(X493="HIGH RATE",O493,"")</f>
        <v/>
      </c>
    </row>
    <row r="494" customFormat="false" ht="15" hidden="false" customHeight="false" outlineLevel="0" collapsed="false">
      <c r="A494" s="56" t="s">
        <v>612</v>
      </c>
      <c r="B494" s="56" t="s">
        <v>613</v>
      </c>
      <c r="C494" s="56" t="s">
        <v>611</v>
      </c>
      <c r="D494" s="56" t="str">
        <f aca="false">IFERROR(INDEX('Brand Map'!$B$4:$B$124,MATCH(C494,'Brand Map'!$A$4:$A$124,0)),"Other")</f>
        <v>Other (small prefixes)</v>
      </c>
      <c r="E494" s="57" t="n">
        <v>81</v>
      </c>
      <c r="F494" s="57" t="n">
        <v>2</v>
      </c>
      <c r="G494" s="58" t="n">
        <v>9204.87</v>
      </c>
      <c r="H494" s="58" t="n">
        <v>194.03</v>
      </c>
      <c r="I494" s="58" t="n">
        <v>8724.32</v>
      </c>
      <c r="J494" s="32" t="n">
        <f aca="false">IF(E494&gt;0,F494/E494,0)</f>
        <v>0.0246913580246914</v>
      </c>
      <c r="K494" s="32" t="n">
        <f aca="false">IF(G494&gt;0,H494/G494,0)</f>
        <v>0.0210790592371212</v>
      </c>
      <c r="L494" s="59" t="n">
        <f aca="false">H494/Settings!$B$16</f>
        <v>0.000387774086410608</v>
      </c>
      <c r="M494" s="59" t="n">
        <f aca="false">H494/Settings!$B$20</f>
        <v>1.50634026832658E-005</v>
      </c>
      <c r="N494" s="60" t="n">
        <f aca="false">E494*Settings!$B$3</f>
        <v>2.50987823746545</v>
      </c>
      <c r="O494" s="60" t="n">
        <f aca="false">IF(E494&gt;0,(F494-N494)/SQRT(E494*Settings!$B$3*(1-Settings!$B$3)),0)</f>
        <v>-0.326945344347078</v>
      </c>
      <c r="P494" s="60" t="n">
        <f aca="false">MAX(0,F494-N494)</f>
        <v>0</v>
      </c>
      <c r="Q494" s="32" t="n">
        <f aca="false">(F494+Settings!$B$7*Settings!$B$3)/(E494+Settings!$B$7)</f>
        <v>0.0263926534449965</v>
      </c>
      <c r="R494" s="61" t="n">
        <f aca="false">PERCENTRANK($H$2:$H$1780,H494,6)</f>
        <v>0.827334</v>
      </c>
      <c r="S494" s="61" t="n">
        <f aca="false">PERCENTRANK($Q$2:$Q$1780,Q494,6)</f>
        <v>0.21991</v>
      </c>
      <c r="T494" s="61" t="n">
        <f aca="false">PERCENTRANK($F$2:$F$1780,F494,6)</f>
        <v>0.799775</v>
      </c>
      <c r="U494" s="62" t="n">
        <f aca="false">IF(F494&gt;0,(Settings!$B$8*T494+Settings!$B$9*R494+Settings!$B$10*S494)/SUM(Settings!$B$8:$B$10),0)</f>
        <v>0.615673</v>
      </c>
      <c r="V494" s="56" t="n">
        <f aca="false">IF(U494&gt;0,RANK(U494,$U$2:$U$1780)+COUNTIF($U$2:U494,U494)-1,"")</f>
        <v>493</v>
      </c>
      <c r="W494" s="56" t="str">
        <f aca="false">IF(V494="","",IF(V494&lt;=Settings!$B$11,"1 - Fix first",IF(V494&lt;=Settings!$B$12,"2 - Review","3 - Monitor")))</f>
        <v>3 - Monitor</v>
      </c>
      <c r="X494" s="56" t="str">
        <f aca="false">IF(AND(E494&gt;=Settings!$B$4,F494&gt;=Settings!$B$5,O494&gt;=Settings!$B$6),"HIGH RATE","")</f>
        <v/>
      </c>
      <c r="Y494" s="56" t="n">
        <f aca="false">IF(F494&gt;0,RANK(F494,$F$2:$F$1780)+COUNTIF($F$2:F494,F494)-1,"")</f>
        <v>348</v>
      </c>
      <c r="Z494" s="56" t="n">
        <f aca="false">IF(H494&gt;0,RANK(H494,$H$2:$H$1780)+COUNTIF($H$2:H494,H494)-1,"")</f>
        <v>308</v>
      </c>
      <c r="AA494" s="56" t="n">
        <f aca="false">IF(AC494="","",RANK(AC494,$AC$2:$AC$1780)+COUNTIF($AC$2:AC494,AC494)-1)</f>
        <v>285</v>
      </c>
      <c r="AB494" s="56" t="str">
        <f aca="false">IF(AD494="","",RANK(AD494,$AD$2:$AD$1780)+COUNTIF($AD$2:AD494,AD494)-1)</f>
        <v/>
      </c>
      <c r="AC494" s="32" t="n">
        <f aca="false">IF(AND(F494&gt;0,E494&gt;=Settings!$B$4),J494,"")</f>
        <v>0.0246913580246914</v>
      </c>
      <c r="AD494" s="56" t="str">
        <f aca="false">IF(X494="HIGH RATE",O494,"")</f>
        <v/>
      </c>
    </row>
    <row r="495" customFormat="false" ht="15" hidden="false" customHeight="false" outlineLevel="0" collapsed="false">
      <c r="A495" s="56" t="s">
        <v>557</v>
      </c>
      <c r="B495" s="56" t="s">
        <v>558</v>
      </c>
      <c r="C495" s="56" t="s">
        <v>148</v>
      </c>
      <c r="D495" s="56" t="str">
        <f aca="false">IFERROR(INDEX('Brand Map'!$B$4:$B$124,MATCH(C495,'Brand Map'!$A$4:$A$124,0)),"Other")</f>
        <v>FBAU</v>
      </c>
      <c r="E495" s="57" t="n">
        <v>338</v>
      </c>
      <c r="F495" s="57" t="n">
        <v>5</v>
      </c>
      <c r="G495" s="58" t="n">
        <v>33911.24</v>
      </c>
      <c r="H495" s="58" t="n">
        <v>474.62</v>
      </c>
      <c r="I495" s="58" t="n">
        <v>32285.7</v>
      </c>
      <c r="J495" s="32" t="n">
        <f aca="false">IF(E495&gt;0,F495/E495,0)</f>
        <v>0.014792899408284</v>
      </c>
      <c r="K495" s="32" t="n">
        <f aca="false">IF(G495&gt;0,H495/G495,0)</f>
        <v>0.0139959494256182</v>
      </c>
      <c r="L495" s="59" t="n">
        <f aca="false">H495/Settings!$B$16</f>
        <v>0.000948540622028566</v>
      </c>
      <c r="M495" s="59" t="n">
        <f aca="false">H495/Settings!$B$20</f>
        <v>3.68468390534022E-005</v>
      </c>
      <c r="N495" s="60" t="n">
        <f aca="false">E495*Settings!$B$3</f>
        <v>10.4733190649793</v>
      </c>
      <c r="O495" s="60" t="n">
        <f aca="false">IF(E495&gt;0,(F495-N495)/SQRT(E495*Settings!$B$3*(1-Settings!$B$3)),0)</f>
        <v>-1.7180808881142</v>
      </c>
      <c r="P495" s="60" t="n">
        <f aca="false">MAX(0,F495-N495)</f>
        <v>0</v>
      </c>
      <c r="Q495" s="32" t="n">
        <f aca="false">(F495+Settings!$B$7*Settings!$B$3)/(E495+Settings!$B$7)</f>
        <v>0.0161130014467245</v>
      </c>
      <c r="R495" s="61" t="n">
        <f aca="false">PERCENTRANK($H$2:$H$1780,H495,6)</f>
        <v>0.901012</v>
      </c>
      <c r="S495" s="61" t="n">
        <f aca="false">PERCENTRANK($Q$2:$Q$1780,Q495,6)</f>
        <v>0.0478065</v>
      </c>
      <c r="T495" s="61" t="n">
        <f aca="false">PERCENTRANK($F$2:$F$1780,F495,6)</f>
        <v>0.889764</v>
      </c>
      <c r="U495" s="62" t="n">
        <f aca="false">IF(F495&gt;0,(Settings!$B$8*T495+Settings!$B$9*R495+Settings!$B$10*S495)/SUM(Settings!$B$8:$B$10),0)</f>
        <v>0.612860833333333</v>
      </c>
      <c r="V495" s="56" t="n">
        <f aca="false">IF(U495&gt;0,RANK(U495,$U$2:$U$1780)+COUNTIF($U$2:U495,U495)-1,"")</f>
        <v>494</v>
      </c>
      <c r="W495" s="56" t="str">
        <f aca="false">IF(V495="","",IF(V495&lt;=Settings!$B$11,"1 - Fix first",IF(V495&lt;=Settings!$B$12,"2 - Review","3 - Monitor")))</f>
        <v>3 - Monitor</v>
      </c>
      <c r="X495" s="56" t="str">
        <f aca="false">IF(AND(E495&gt;=Settings!$B$4,F495&gt;=Settings!$B$5,O495&gt;=Settings!$B$6),"HIGH RATE","")</f>
        <v/>
      </c>
      <c r="Y495" s="56" t="n">
        <f aca="false">IF(F495&gt;0,RANK(F495,$F$2:$F$1780)+COUNTIF($F$2:F495,F495)-1,"")</f>
        <v>197</v>
      </c>
      <c r="Z495" s="56" t="n">
        <f aca="false">IF(H495&gt;0,RANK(H495,$H$2:$H$1780)+COUNTIF($H$2:H495,H495)-1,"")</f>
        <v>177</v>
      </c>
      <c r="AA495" s="56" t="n">
        <f aca="false">IF(AC495="","",RANK(AC495,$AC$2:$AC$1780)+COUNTIF($AC$2:AC495,AC495)-1)</f>
        <v>334</v>
      </c>
      <c r="AB495" s="56" t="str">
        <f aca="false">IF(AD495="","",RANK(AD495,$AD$2:$AD$1780)+COUNTIF($AD$2:AD495,AD495)-1)</f>
        <v/>
      </c>
      <c r="AC495" s="32" t="n">
        <f aca="false">IF(AND(F495&gt;0,E495&gt;=Settings!$B$4),J495,"")</f>
        <v>0.014792899408284</v>
      </c>
      <c r="AD495" s="56" t="str">
        <f aca="false">IF(X495="HIGH RATE",O495,"")</f>
        <v/>
      </c>
    </row>
    <row r="496" customFormat="false" ht="15" hidden="false" customHeight="false" outlineLevel="0" collapsed="false">
      <c r="A496" s="56" t="s">
        <v>1588</v>
      </c>
      <c r="B496" s="56" t="s">
        <v>585</v>
      </c>
      <c r="C496" s="56" t="s">
        <v>174</v>
      </c>
      <c r="D496" s="56" t="str">
        <f aca="false">IFERROR(INDEX('Brand Map'!$B$4:$B$124,MATCH(C496,'Brand Map'!$A$4:$A$124,0)),"Other")</f>
        <v>AUV</v>
      </c>
      <c r="E496" s="57" t="n">
        <v>84</v>
      </c>
      <c r="F496" s="57" t="n">
        <v>2</v>
      </c>
      <c r="G496" s="58" t="n">
        <v>10405.8</v>
      </c>
      <c r="H496" s="58" t="n">
        <v>234.9</v>
      </c>
      <c r="I496" s="58" t="n">
        <v>10170.9</v>
      </c>
      <c r="J496" s="32" t="n">
        <f aca="false">IF(E496&gt;0,F496/E496,0)</f>
        <v>0.0238095238095238</v>
      </c>
      <c r="K496" s="32" t="n">
        <f aca="false">IF(G496&gt;0,H496/G496,0)</f>
        <v>0.0225739491437468</v>
      </c>
      <c r="L496" s="59" t="n">
        <f aca="false">H496/Settings!$B$16</f>
        <v>0.000469453862278265</v>
      </c>
      <c r="M496" s="59" t="n">
        <f aca="false">H496/Settings!$B$20</f>
        <v>1.82363206220643E-005</v>
      </c>
      <c r="N496" s="60" t="n">
        <f aca="false">E496*Settings!$B$3</f>
        <v>2.60283669070492</v>
      </c>
      <c r="O496" s="60" t="n">
        <f aca="false">IF(E496&gt;0,(F496-N496)/SQRT(E496*Settings!$B$3*(1-Settings!$B$3)),0)</f>
        <v>-0.379586907943106</v>
      </c>
      <c r="P496" s="60" t="n">
        <f aca="false">MAX(0,F496-N496)</f>
        <v>0</v>
      </c>
      <c r="Q496" s="32" t="n">
        <f aca="false">(F496+Settings!$B$7*Settings!$B$3)/(E496+Settings!$B$7)</f>
        <v>0.0256981099332861</v>
      </c>
      <c r="R496" s="61" t="n">
        <f aca="false">PERCENTRANK($H$2:$H$1780,H496,6)</f>
        <v>0.841395</v>
      </c>
      <c r="S496" s="61" t="n">
        <f aca="false">PERCENTRANK($Q$2:$Q$1780,Q496,6)</f>
        <v>0.188414</v>
      </c>
      <c r="T496" s="61" t="n">
        <f aca="false">PERCENTRANK($F$2:$F$1780,F496,6)</f>
        <v>0.799775</v>
      </c>
      <c r="U496" s="62" t="n">
        <f aca="false">IF(F496&gt;0,(Settings!$B$8*T496+Settings!$B$9*R496+Settings!$B$10*S496)/SUM(Settings!$B$8:$B$10),0)</f>
        <v>0.609861333333333</v>
      </c>
      <c r="V496" s="56" t="n">
        <f aca="false">IF(U496&gt;0,RANK(U496,$U$2:$U$1780)+COUNTIF($U$2:U496,U496)-1,"")</f>
        <v>495</v>
      </c>
      <c r="W496" s="56" t="str">
        <f aca="false">IF(V496="","",IF(V496&lt;=Settings!$B$11,"1 - Fix first",IF(V496&lt;=Settings!$B$12,"2 - Review","3 - Monitor")))</f>
        <v>3 - Monitor</v>
      </c>
      <c r="X496" s="56" t="str">
        <f aca="false">IF(AND(E496&gt;=Settings!$B$4,F496&gt;=Settings!$B$5,O496&gt;=Settings!$B$6),"HIGH RATE","")</f>
        <v/>
      </c>
      <c r="Y496" s="56" t="n">
        <f aca="false">IF(F496&gt;0,RANK(F496,$F$2:$F$1780)+COUNTIF($F$2:F496,F496)-1,"")</f>
        <v>349</v>
      </c>
      <c r="Z496" s="56" t="n">
        <f aca="false">IF(H496&gt;0,RANK(H496,$H$2:$H$1780)+COUNTIF($H$2:H496,H496)-1,"")</f>
        <v>283</v>
      </c>
      <c r="AA496" s="56" t="n">
        <f aca="false">IF(AC496="","",RANK(AC496,$AC$2:$AC$1780)+COUNTIF($AC$2:AC496,AC496)-1)</f>
        <v>289</v>
      </c>
      <c r="AB496" s="56" t="str">
        <f aca="false">IF(AD496="","",RANK(AD496,$AD$2:$AD$1780)+COUNTIF($AD$2:AD496,AD496)-1)</f>
        <v/>
      </c>
      <c r="AC496" s="32" t="n">
        <f aca="false">IF(AND(F496&gt;0,E496&gt;=Settings!$B$4),J496,"")</f>
        <v>0.0238095238095238</v>
      </c>
      <c r="AD496" s="56" t="str">
        <f aca="false">IF(X496="HIGH RATE",O496,"")</f>
        <v/>
      </c>
    </row>
    <row r="497" customFormat="false" ht="15" hidden="false" customHeight="false" outlineLevel="0" collapsed="false">
      <c r="A497" s="56" t="s">
        <v>283</v>
      </c>
      <c r="B497" s="56" t="s">
        <v>1589</v>
      </c>
      <c r="C497" s="56" t="s">
        <v>67</v>
      </c>
      <c r="D497" s="56" t="str">
        <f aca="false">IFERROR(INDEX('Brand Map'!$B$4:$B$124,MATCH(C497,'Brand Map'!$A$4:$A$124,0)),"Other")</f>
        <v>MJ</v>
      </c>
      <c r="E497" s="57" t="n">
        <v>132</v>
      </c>
      <c r="F497" s="57" t="n">
        <v>3</v>
      </c>
      <c r="G497" s="58" t="n">
        <v>10705.85</v>
      </c>
      <c r="H497" s="58" t="n">
        <v>216.32</v>
      </c>
      <c r="I497" s="58" t="n">
        <v>10388.08</v>
      </c>
      <c r="J497" s="32" t="n">
        <f aca="false">IF(E497&gt;0,F497/E497,0)</f>
        <v>0.0227272727272727</v>
      </c>
      <c r="K497" s="32" t="n">
        <f aca="false">IF(G497&gt;0,H497/G497,0)</f>
        <v>0.0202057753471233</v>
      </c>
      <c r="L497" s="59" t="n">
        <f aca="false">H497/Settings!$B$16</f>
        <v>0.000432321240902658</v>
      </c>
      <c r="M497" s="59" t="n">
        <f aca="false">H497/Settings!$B$20</f>
        <v>1.67938734651552E-005</v>
      </c>
      <c r="N497" s="60" t="n">
        <f aca="false">E497*Settings!$B$3</f>
        <v>4.0901719425363</v>
      </c>
      <c r="O497" s="60" t="n">
        <f aca="false">IF(E497&gt;0,(F497-N497)/SQRT(E497*Settings!$B$3*(1-Settings!$B$3)),0)</f>
        <v>-0.547594687194223</v>
      </c>
      <c r="P497" s="60" t="n">
        <f aca="false">MAX(0,F497-N497)</f>
        <v>0</v>
      </c>
      <c r="Q497" s="32" t="n">
        <f aca="false">(F497+Settings!$B$7*Settings!$B$3)/(E497+Settings!$B$7)</f>
        <v>0.0242566946444112</v>
      </c>
      <c r="R497" s="61" t="n">
        <f aca="false">PERCENTRANK($H$2:$H$1780,H497,6)</f>
        <v>0.831834</v>
      </c>
      <c r="S497" s="61" t="n">
        <f aca="false">PERCENTRANK($Q$2:$Q$1780,Q497,6)</f>
        <v>0.152981</v>
      </c>
      <c r="T497" s="61" t="n">
        <f aca="false">PERCENTRANK($F$2:$F$1780,F497,6)</f>
        <v>0.84252</v>
      </c>
      <c r="U497" s="62" t="n">
        <f aca="false">IF(F497&gt;0,(Settings!$B$8*T497+Settings!$B$9*R497+Settings!$B$10*S497)/SUM(Settings!$B$8:$B$10),0)</f>
        <v>0.609111666666667</v>
      </c>
      <c r="V497" s="56" t="n">
        <f aca="false">IF(U497&gt;0,RANK(U497,$U$2:$U$1780)+COUNTIF($U$2:U497,U497)-1,"")</f>
        <v>496</v>
      </c>
      <c r="W497" s="56" t="str">
        <f aca="false">IF(V497="","",IF(V497&lt;=Settings!$B$11,"1 - Fix first",IF(V497&lt;=Settings!$B$12,"2 - Review","3 - Monitor")))</f>
        <v>3 - Monitor</v>
      </c>
      <c r="X497" s="56" t="str">
        <f aca="false">IF(AND(E497&gt;=Settings!$B$4,F497&gt;=Settings!$B$5,O497&gt;=Settings!$B$6),"HIGH RATE","")</f>
        <v/>
      </c>
      <c r="Y497" s="56" t="n">
        <f aca="false">IF(F497&gt;0,RANK(F497,$F$2:$F$1780)+COUNTIF($F$2:F497,F497)-1,"")</f>
        <v>272</v>
      </c>
      <c r="Z497" s="56" t="n">
        <f aca="false">IF(H497&gt;0,RANK(H497,$H$2:$H$1780)+COUNTIF($H$2:H497,H497)-1,"")</f>
        <v>300</v>
      </c>
      <c r="AA497" s="56" t="n">
        <f aca="false">IF(AC497="","",RANK(AC497,$AC$2:$AC$1780)+COUNTIF($AC$2:AC497,AC497)-1)</f>
        <v>294</v>
      </c>
      <c r="AB497" s="56" t="str">
        <f aca="false">IF(AD497="","",RANK(AD497,$AD$2:$AD$1780)+COUNTIF($AD$2:AD497,AD497)-1)</f>
        <v/>
      </c>
      <c r="AC497" s="32" t="n">
        <f aca="false">IF(AND(F497&gt;0,E497&gt;=Settings!$B$4),J497,"")</f>
        <v>0.0227272727272727</v>
      </c>
      <c r="AD497" s="56" t="str">
        <f aca="false">IF(X497="HIGH RATE",O497,"")</f>
        <v/>
      </c>
    </row>
    <row r="498" customFormat="false" ht="15" hidden="false" customHeight="false" outlineLevel="0" collapsed="false">
      <c r="A498" s="56" t="s">
        <v>374</v>
      </c>
      <c r="B498" s="56" t="s">
        <v>372</v>
      </c>
      <c r="C498" s="56" t="s">
        <v>107</v>
      </c>
      <c r="D498" s="56" t="str">
        <f aca="false">IFERROR(INDEX('Brand Map'!$B$4:$B$124,MATCH(C498,'Brand Map'!$A$4:$A$124,0)),"Other")</f>
        <v>DCMJ</v>
      </c>
      <c r="E498" s="57" t="n">
        <v>1142</v>
      </c>
      <c r="F498" s="57" t="n">
        <v>7</v>
      </c>
      <c r="G498" s="58" t="n">
        <v>69170.28</v>
      </c>
      <c r="H498" s="58" t="n">
        <v>435.85</v>
      </c>
      <c r="I498" s="58" t="n">
        <v>67363.33</v>
      </c>
      <c r="J498" s="32" t="n">
        <f aca="false">IF(E498&gt;0,F498/E498,0)</f>
        <v>0.00612959719789842</v>
      </c>
      <c r="K498" s="32" t="n">
        <f aca="false">IF(G498&gt;0,H498/G498,0)</f>
        <v>0.00630111660672763</v>
      </c>
      <c r="L498" s="59" t="n">
        <f aca="false">H498/Settings!$B$16</f>
        <v>0.000871057751698518</v>
      </c>
      <c r="M498" s="59" t="n">
        <f aca="false">H498/Settings!$B$20</f>
        <v>3.38369533551585E-005</v>
      </c>
      <c r="N498" s="60" t="n">
        <f aca="false">E498*Settings!$B$3</f>
        <v>35.3861845331549</v>
      </c>
      <c r="O498" s="60" t="n">
        <f aca="false">IF(E498&gt;0,(F498-N498)/SQRT(E498*Settings!$B$3*(1-Settings!$B$3)),0)</f>
        <v>-4.8475819618013</v>
      </c>
      <c r="P498" s="60" t="n">
        <f aca="false">MAX(0,F498-N498)</f>
        <v>0</v>
      </c>
      <c r="Q498" s="32" t="n">
        <f aca="false">(F498+Settings!$B$7*Settings!$B$3)/(E498+Settings!$B$7)</f>
        <v>0.00676585710955172</v>
      </c>
      <c r="R498" s="61" t="n">
        <f aca="false">PERCENTRANK($H$2:$H$1780,H498,6)</f>
        <v>0.895388</v>
      </c>
      <c r="S498" s="61" t="n">
        <f aca="false">PERCENTRANK($Q$2:$Q$1780,Q498,6)</f>
        <v>0.00731159</v>
      </c>
      <c r="T498" s="61" t="n">
        <f aca="false">PERCENTRANK($F$2:$F$1780,F498,6)</f>
        <v>0.908324</v>
      </c>
      <c r="U498" s="62" t="n">
        <f aca="false">IF(F498&gt;0,(Settings!$B$8*T498+Settings!$B$9*R498+Settings!$B$10*S498)/SUM(Settings!$B$8:$B$10),0)</f>
        <v>0.60367453</v>
      </c>
      <c r="V498" s="56" t="n">
        <f aca="false">IF(U498&gt;0,RANK(U498,$U$2:$U$1780)+COUNTIF($U$2:U498,U498)-1,"")</f>
        <v>497</v>
      </c>
      <c r="W498" s="56" t="str">
        <f aca="false">IF(V498="","",IF(V498&lt;=Settings!$B$11,"1 - Fix first",IF(V498&lt;=Settings!$B$12,"2 - Review","3 - Monitor")))</f>
        <v>3 - Monitor</v>
      </c>
      <c r="X498" s="56" t="str">
        <f aca="false">IF(AND(E498&gt;=Settings!$B$4,F498&gt;=Settings!$B$5,O498&gt;=Settings!$B$6),"HIGH RATE","")</f>
        <v/>
      </c>
      <c r="Y498" s="56" t="n">
        <f aca="false">IF(F498&gt;0,RANK(F498,$F$2:$F$1780)+COUNTIF($F$2:F498,F498)-1,"")</f>
        <v>164</v>
      </c>
      <c r="Z498" s="56" t="n">
        <f aca="false">IF(H498&gt;0,RANK(H498,$H$2:$H$1780)+COUNTIF($H$2:H498,H498)-1,"")</f>
        <v>187</v>
      </c>
      <c r="AA498" s="56" t="n">
        <f aca="false">IF(AC498="","",RANK(AC498,$AC$2:$AC$1780)+COUNTIF($AC$2:AC498,AC498)-1)</f>
        <v>361</v>
      </c>
      <c r="AB498" s="56" t="str">
        <f aca="false">IF(AD498="","",RANK(AD498,$AD$2:$AD$1780)+COUNTIF($AD$2:AD498,AD498)-1)</f>
        <v/>
      </c>
      <c r="AC498" s="32" t="n">
        <f aca="false">IF(AND(F498&gt;0,E498&gt;=Settings!$B$4),J498,"")</f>
        <v>0.00612959719789842</v>
      </c>
      <c r="AD498" s="56" t="str">
        <f aca="false">IF(X498="HIGH RATE",O498,"")</f>
        <v/>
      </c>
    </row>
    <row r="499" customFormat="false" ht="15" hidden="false" customHeight="false" outlineLevel="0" collapsed="false">
      <c r="A499" s="56" t="s">
        <v>1590</v>
      </c>
      <c r="B499" s="56" t="s">
        <v>1591</v>
      </c>
      <c r="C499" s="56" t="s">
        <v>51</v>
      </c>
      <c r="D499" s="56" t="str">
        <f aca="false">IFERROR(INDEX('Brand Map'!$B$4:$B$124,MATCH(C499,'Brand Map'!$A$4:$A$124,0)),"Other")</f>
        <v>AU</v>
      </c>
      <c r="E499" s="57" t="n">
        <v>247</v>
      </c>
      <c r="F499" s="57" t="n">
        <v>4</v>
      </c>
      <c r="G499" s="58" t="n">
        <v>21170.14</v>
      </c>
      <c r="H499" s="58" t="n">
        <v>318</v>
      </c>
      <c r="I499" s="58" t="n">
        <v>20369.52</v>
      </c>
      <c r="J499" s="32" t="n">
        <f aca="false">IF(E499&gt;0,F499/E499,0)</f>
        <v>0.0161943319838057</v>
      </c>
      <c r="K499" s="32" t="n">
        <f aca="false">IF(G499&gt;0,H499/G499,0)</f>
        <v>0.0150211571581482</v>
      </c>
      <c r="L499" s="59" t="n">
        <f aca="false">H499/Settings!$B$16</f>
        <v>0.000635531409980793</v>
      </c>
      <c r="M499" s="59" t="n">
        <f aca="false">H499/Settings!$B$20</f>
        <v>2.46877392840207E-005</v>
      </c>
      <c r="N499" s="60" t="n">
        <f aca="false">E499*Settings!$B$3</f>
        <v>7.65357931671564</v>
      </c>
      <c r="O499" s="60" t="n">
        <f aca="false">IF(E499&gt;0,(F499-N499)/SQRT(E499*Settings!$B$3*(1-Settings!$B$3)),0)</f>
        <v>-1.34159445438825</v>
      </c>
      <c r="P499" s="60" t="n">
        <f aca="false">MAX(0,F499-N499)</f>
        <v>0</v>
      </c>
      <c r="Q499" s="32" t="n">
        <f aca="false">(F499+Settings!$B$7*Settings!$B$3)/(E499+Settings!$B$7)</f>
        <v>0.0177963340519661</v>
      </c>
      <c r="R499" s="61" t="n">
        <f aca="false">PERCENTRANK($H$2:$H$1780,H499,6)</f>
        <v>0.872328</v>
      </c>
      <c r="S499" s="61" t="n">
        <f aca="false">PERCENTRANK($Q$2:$Q$1780,Q499,6)</f>
        <v>0.0629921</v>
      </c>
      <c r="T499" s="61" t="n">
        <f aca="false">PERCENTRANK($F$2:$F$1780,F499,6)</f>
        <v>0.871766</v>
      </c>
      <c r="U499" s="62" t="n">
        <f aca="false">IF(F499&gt;0,(Settings!$B$8*T499+Settings!$B$9*R499+Settings!$B$10*S499)/SUM(Settings!$B$8:$B$10),0)</f>
        <v>0.602362033333333</v>
      </c>
      <c r="V499" s="56" t="n">
        <f aca="false">IF(U499&gt;0,RANK(U499,$U$2:$U$1780)+COUNTIF($U$2:U499,U499)-1,"")</f>
        <v>498</v>
      </c>
      <c r="W499" s="56" t="str">
        <f aca="false">IF(V499="","",IF(V499&lt;=Settings!$B$11,"1 - Fix first",IF(V499&lt;=Settings!$B$12,"2 - Review","3 - Monitor")))</f>
        <v>3 - Monitor</v>
      </c>
      <c r="X499" s="56" t="str">
        <f aca="false">IF(AND(E499&gt;=Settings!$B$4,F499&gt;=Settings!$B$5,O499&gt;=Settings!$B$6),"HIGH RATE","")</f>
        <v/>
      </c>
      <c r="Y499" s="56" t="n">
        <f aca="false">IF(F499&gt;0,RANK(F499,$F$2:$F$1780)+COUNTIF($F$2:F499,F499)-1,"")</f>
        <v>228</v>
      </c>
      <c r="Z499" s="56" t="n">
        <f aca="false">IF(H499&gt;0,RANK(H499,$H$2:$H$1780)+COUNTIF($H$2:H499,H499)-1,"")</f>
        <v>228</v>
      </c>
      <c r="AA499" s="56" t="n">
        <f aca="false">IF(AC499="","",RANK(AC499,$AC$2:$AC$1780)+COUNTIF($AC$2:AC499,AC499)-1)</f>
        <v>327</v>
      </c>
      <c r="AB499" s="56" t="str">
        <f aca="false">IF(AD499="","",RANK(AD499,$AD$2:$AD$1780)+COUNTIF($AD$2:AD499,AD499)-1)</f>
        <v/>
      </c>
      <c r="AC499" s="32" t="n">
        <f aca="false">IF(AND(F499&gt;0,E499&gt;=Settings!$B$4),J499,"")</f>
        <v>0.0161943319838057</v>
      </c>
      <c r="AD499" s="56" t="str">
        <f aca="false">IF(X499="HIGH RATE",O499,"")</f>
        <v/>
      </c>
    </row>
    <row r="500" customFormat="false" ht="15" hidden="false" customHeight="false" outlineLevel="0" collapsed="false">
      <c r="A500" s="56" t="s">
        <v>1592</v>
      </c>
      <c r="B500" s="56" t="s">
        <v>1593</v>
      </c>
      <c r="C500" s="56" t="s">
        <v>55</v>
      </c>
      <c r="D500" s="56" t="str">
        <f aca="false">IFERROR(INDEX('Brand Map'!$B$4:$B$124,MATCH(C500,'Brand Map'!$A$4:$A$124,0)),"Other")</f>
        <v>AUMJ</v>
      </c>
      <c r="E500" s="57" t="n">
        <v>182</v>
      </c>
      <c r="F500" s="57" t="n">
        <v>3</v>
      </c>
      <c r="G500" s="58" t="n">
        <v>21784.17</v>
      </c>
      <c r="H500" s="58" t="n">
        <v>301.24</v>
      </c>
      <c r="I500" s="58" t="n">
        <v>20982.77</v>
      </c>
      <c r="J500" s="32" t="n">
        <f aca="false">IF(E500&gt;0,F500/E500,0)</f>
        <v>0.0164835164835165</v>
      </c>
      <c r="K500" s="32" t="n">
        <f aca="false">IF(G500&gt;0,H500/G500,0)</f>
        <v>0.0138283900648958</v>
      </c>
      <c r="L500" s="59" t="n">
        <f aca="false">H500/Settings!$B$16</f>
        <v>0.00060203610673778</v>
      </c>
      <c r="M500" s="59" t="n">
        <f aca="false">H500/Settings!$B$20</f>
        <v>2.33865867355924E-005</v>
      </c>
      <c r="N500" s="60" t="n">
        <f aca="false">E500*Settings!$B$3</f>
        <v>5.63947949652732</v>
      </c>
      <c r="O500" s="60" t="n">
        <f aca="false">IF(E500&gt;0,(F500-N500)/SQRT(E500*Settings!$B$3*(1-Settings!$B$3)),0)</f>
        <v>-1.12910359395281</v>
      </c>
      <c r="P500" s="60" t="n">
        <f aca="false">MAX(0,F500-N500)</f>
        <v>0</v>
      </c>
      <c r="Q500" s="32" t="n">
        <f aca="false">(F500+Settings!$B$7*Settings!$B$3)/(E500+Settings!$B$7)</f>
        <v>0.018535776096201</v>
      </c>
      <c r="R500" s="61" t="n">
        <f aca="false">PERCENTRANK($H$2:$H$1780,H500,6)</f>
        <v>0.864454</v>
      </c>
      <c r="S500" s="61" t="n">
        <f aca="false">PERCENTRANK($Q$2:$Q$1780,Q500,6)</f>
        <v>0.0731159</v>
      </c>
      <c r="T500" s="61" t="n">
        <f aca="false">PERCENTRANK($F$2:$F$1780,F500,6)</f>
        <v>0.84252</v>
      </c>
      <c r="U500" s="62" t="n">
        <f aca="false">IF(F500&gt;0,(Settings!$B$8*T500+Settings!$B$9*R500+Settings!$B$10*S500)/SUM(Settings!$B$8:$B$10),0)</f>
        <v>0.5933633</v>
      </c>
      <c r="V500" s="56" t="n">
        <f aca="false">IF(U500&gt;0,RANK(U500,$U$2:$U$1780)+COUNTIF($U$2:U500,U500)-1,"")</f>
        <v>499</v>
      </c>
      <c r="W500" s="56" t="str">
        <f aca="false">IF(V500="","",IF(V500&lt;=Settings!$B$11,"1 - Fix first",IF(V500&lt;=Settings!$B$12,"2 - Review","3 - Monitor")))</f>
        <v>3 - Monitor</v>
      </c>
      <c r="X500" s="56" t="str">
        <f aca="false">IF(AND(E500&gt;=Settings!$B$4,F500&gt;=Settings!$B$5,O500&gt;=Settings!$B$6),"HIGH RATE","")</f>
        <v/>
      </c>
      <c r="Y500" s="56" t="n">
        <f aca="false">IF(F500&gt;0,RANK(F500,$F$2:$F$1780)+COUNTIF($F$2:F500,F500)-1,"")</f>
        <v>273</v>
      </c>
      <c r="Z500" s="56" t="n">
        <f aca="false">IF(H500&gt;0,RANK(H500,$H$2:$H$1780)+COUNTIF($H$2:H500,H500)-1,"")</f>
        <v>242</v>
      </c>
      <c r="AA500" s="56" t="n">
        <f aca="false">IF(AC500="","",RANK(AC500,$AC$2:$AC$1780)+COUNTIF($AC$2:AC500,AC500)-1)</f>
        <v>325</v>
      </c>
      <c r="AB500" s="56" t="str">
        <f aca="false">IF(AD500="","",RANK(AD500,$AD$2:$AD$1780)+COUNTIF($AD$2:AD500,AD500)-1)</f>
        <v/>
      </c>
      <c r="AC500" s="32" t="n">
        <f aca="false">IF(AND(F500&gt;0,E500&gt;=Settings!$B$4),J500,"")</f>
        <v>0.0164835164835165</v>
      </c>
      <c r="AD500" s="56" t="str">
        <f aca="false">IF(X500="HIGH RATE",O500,"")</f>
        <v/>
      </c>
    </row>
    <row r="501" customFormat="false" ht="15" hidden="false" customHeight="false" outlineLevel="0" collapsed="false">
      <c r="A501" s="56" t="s">
        <v>624</v>
      </c>
      <c r="B501" s="56" t="s">
        <v>625</v>
      </c>
      <c r="C501" s="56" t="s">
        <v>623</v>
      </c>
      <c r="D501" s="56" t="str">
        <f aca="false">IFERROR(INDEX('Brand Map'!$B$4:$B$124,MATCH(C501,'Brand Map'!$A$4:$A$124,0)),"Other")</f>
        <v>Other (small prefixes)</v>
      </c>
      <c r="E501" s="57" t="n">
        <v>182</v>
      </c>
      <c r="F501" s="57" t="n">
        <v>3</v>
      </c>
      <c r="G501" s="58" t="n">
        <v>14935.06</v>
      </c>
      <c r="H501" s="58" t="n">
        <v>254.93</v>
      </c>
      <c r="I501" s="58" t="n">
        <v>14136.47</v>
      </c>
      <c r="J501" s="32" t="n">
        <f aca="false">IF(E501&gt;0,F501/E501,0)</f>
        <v>0.0164835164835165</v>
      </c>
      <c r="K501" s="32" t="n">
        <f aca="false">IF(G501&gt;0,H501/G501,0)</f>
        <v>0.0170692317272244</v>
      </c>
      <c r="L501" s="59" t="n">
        <f aca="false">H501/Settings!$B$16</f>
        <v>0.000509484347001269</v>
      </c>
      <c r="M501" s="59" t="n">
        <f aca="false">H501/Settings!$B$20</f>
        <v>1.97913376593566E-005</v>
      </c>
      <c r="N501" s="60" t="n">
        <f aca="false">E501*Settings!$B$3</f>
        <v>5.63947949652732</v>
      </c>
      <c r="O501" s="60" t="n">
        <f aca="false">IF(E501&gt;0,(F501-N501)/SQRT(E501*Settings!$B$3*(1-Settings!$B$3)),0)</f>
        <v>-1.12910359395281</v>
      </c>
      <c r="P501" s="60" t="n">
        <f aca="false">MAX(0,F501-N501)</f>
        <v>0</v>
      </c>
      <c r="Q501" s="32" t="n">
        <f aca="false">(F501+Settings!$B$7*Settings!$B$3)/(E501+Settings!$B$7)</f>
        <v>0.018535776096201</v>
      </c>
      <c r="R501" s="61" t="n">
        <f aca="false">PERCENTRANK($H$2:$H$1780,H501,6)</f>
        <v>0.850956</v>
      </c>
      <c r="S501" s="61" t="n">
        <f aca="false">PERCENTRANK($Q$2:$Q$1780,Q501,6)</f>
        <v>0.0731159</v>
      </c>
      <c r="T501" s="61" t="n">
        <f aca="false">PERCENTRANK($F$2:$F$1780,F501,6)</f>
        <v>0.84252</v>
      </c>
      <c r="U501" s="62" t="n">
        <f aca="false">IF(F501&gt;0,(Settings!$B$8*T501+Settings!$B$9*R501+Settings!$B$10*S501)/SUM(Settings!$B$8:$B$10),0)</f>
        <v>0.588863966666667</v>
      </c>
      <c r="V501" s="56" t="n">
        <f aca="false">IF(U501&gt;0,RANK(U501,$U$2:$U$1780)+COUNTIF($U$2:U501,U501)-1,"")</f>
        <v>500</v>
      </c>
      <c r="W501" s="56" t="str">
        <f aca="false">IF(V501="","",IF(V501&lt;=Settings!$B$11,"1 - Fix first",IF(V501&lt;=Settings!$B$12,"2 - Review","3 - Monitor")))</f>
        <v>3 - Monitor</v>
      </c>
      <c r="X501" s="56" t="str">
        <f aca="false">IF(AND(E501&gt;=Settings!$B$4,F501&gt;=Settings!$B$5,O501&gt;=Settings!$B$6),"HIGH RATE","")</f>
        <v/>
      </c>
      <c r="Y501" s="56" t="n">
        <f aca="false">IF(F501&gt;0,RANK(F501,$F$2:$F$1780)+COUNTIF($F$2:F501,F501)-1,"")</f>
        <v>274</v>
      </c>
      <c r="Z501" s="56" t="n">
        <f aca="false">IF(H501&gt;0,RANK(H501,$H$2:$H$1780)+COUNTIF($H$2:H501,H501)-1,"")</f>
        <v>266</v>
      </c>
      <c r="AA501" s="56" t="n">
        <f aca="false">IF(AC501="","",RANK(AC501,$AC$2:$AC$1780)+COUNTIF($AC$2:AC501,AC501)-1)</f>
        <v>326</v>
      </c>
      <c r="AB501" s="56" t="str">
        <f aca="false">IF(AD501="","",RANK(AD501,$AD$2:$AD$1780)+COUNTIF($AD$2:AD501,AD501)-1)</f>
        <v/>
      </c>
      <c r="AC501" s="32" t="n">
        <f aca="false">IF(AND(F501&gt;0,E501&gt;=Settings!$B$4),J501,"")</f>
        <v>0.0164835164835165</v>
      </c>
      <c r="AD501" s="56" t="str">
        <f aca="false">IF(X501="HIGH RATE",O501,"")</f>
        <v/>
      </c>
    </row>
    <row r="502" customFormat="false" ht="15" hidden="false" customHeight="false" outlineLevel="0" collapsed="false">
      <c r="A502" s="56" t="s">
        <v>1594</v>
      </c>
      <c r="B502" s="56" t="s">
        <v>1595</v>
      </c>
      <c r="C502" s="56" t="s">
        <v>177</v>
      </c>
      <c r="D502" s="56" t="str">
        <f aca="false">IFERROR(INDEX('Brand Map'!$B$4:$B$124,MATCH(C502,'Brand Map'!$A$4:$A$124,0)),"Other")</f>
        <v>GBGC</v>
      </c>
      <c r="E502" s="57" t="n">
        <v>91</v>
      </c>
      <c r="F502" s="57" t="n">
        <v>2</v>
      </c>
      <c r="G502" s="58" t="n">
        <v>6530.3</v>
      </c>
      <c r="H502" s="58" t="n">
        <v>155.54</v>
      </c>
      <c r="I502" s="58" t="n">
        <v>6217.35</v>
      </c>
      <c r="J502" s="32" t="n">
        <f aca="false">IF(E502&gt;0,F502/E502,0)</f>
        <v>0.021978021978022</v>
      </c>
      <c r="K502" s="32" t="n">
        <f aca="false">IF(G502&gt;0,H502/G502,0)</f>
        <v>0.02381820130775</v>
      </c>
      <c r="L502" s="59" t="n">
        <f aca="false">H502/Settings!$B$16</f>
        <v>0.000310850803485574</v>
      </c>
      <c r="M502" s="59" t="n">
        <f aca="false">H502/Settings!$B$20</f>
        <v>1.20752546170961E-005</v>
      </c>
      <c r="N502" s="60" t="n">
        <f aca="false">E502*Settings!$B$3</f>
        <v>2.81973974826366</v>
      </c>
      <c r="O502" s="60" t="n">
        <f aca="false">IF(E502&gt;0,(F502-N502)/SQRT(E502*Settings!$B$3*(1-Settings!$B$3)),0)</f>
        <v>-0.4959141370269</v>
      </c>
      <c r="P502" s="60" t="n">
        <f aca="false">MAX(0,F502-N502)</f>
        <v>0</v>
      </c>
      <c r="Q502" s="32" t="n">
        <f aca="false">(F502+Settings!$B$7*Settings!$B$3)/(E502+Settings!$B$7)</f>
        <v>0.0242114424164844</v>
      </c>
      <c r="R502" s="61" t="n">
        <f aca="false">PERCENTRANK($H$2:$H$1780,H502,6)</f>
        <v>0.807087</v>
      </c>
      <c r="S502" s="61" t="n">
        <f aca="false">PERCENTRANK($Q$2:$Q$1780,Q502,6)</f>
        <v>0.151856</v>
      </c>
      <c r="T502" s="61" t="n">
        <f aca="false">PERCENTRANK($F$2:$F$1780,F502,6)</f>
        <v>0.799775</v>
      </c>
      <c r="U502" s="62" t="n">
        <f aca="false">IF(F502&gt;0,(Settings!$B$8*T502+Settings!$B$9*R502+Settings!$B$10*S502)/SUM(Settings!$B$8:$B$10),0)</f>
        <v>0.586239333333333</v>
      </c>
      <c r="V502" s="56" t="n">
        <f aca="false">IF(U502&gt;0,RANK(U502,$U$2:$U$1780)+COUNTIF($U$2:U502,U502)-1,"")</f>
        <v>501</v>
      </c>
      <c r="W502" s="56" t="str">
        <f aca="false">IF(V502="","",IF(V502&lt;=Settings!$B$11,"1 - Fix first",IF(V502&lt;=Settings!$B$12,"2 - Review","3 - Monitor")))</f>
        <v>3 - Monitor</v>
      </c>
      <c r="X502" s="56" t="str">
        <f aca="false">IF(AND(E502&gt;=Settings!$B$4,F502&gt;=Settings!$B$5,O502&gt;=Settings!$B$6),"HIGH RATE","")</f>
        <v/>
      </c>
      <c r="Y502" s="56" t="n">
        <f aca="false">IF(F502&gt;0,RANK(F502,$F$2:$F$1780)+COUNTIF($F$2:F502,F502)-1,"")</f>
        <v>350</v>
      </c>
      <c r="Z502" s="56" t="n">
        <f aca="false">IF(H502&gt;0,RANK(H502,$H$2:$H$1780)+COUNTIF($H$2:H502,H502)-1,"")</f>
        <v>344</v>
      </c>
      <c r="AA502" s="56" t="n">
        <f aca="false">IF(AC502="","",RANK(AC502,$AC$2:$AC$1780)+COUNTIF($AC$2:AC502,AC502)-1)</f>
        <v>298</v>
      </c>
      <c r="AB502" s="56" t="str">
        <f aca="false">IF(AD502="","",RANK(AD502,$AD$2:$AD$1780)+COUNTIF($AD$2:AD502,AD502)-1)</f>
        <v/>
      </c>
      <c r="AC502" s="32" t="n">
        <f aca="false">IF(AND(F502&gt;0,E502&gt;=Settings!$B$4),J502,"")</f>
        <v>0.021978021978022</v>
      </c>
      <c r="AD502" s="56" t="str">
        <f aca="false">IF(X502="HIGH RATE",O502,"")</f>
        <v/>
      </c>
    </row>
    <row r="503" customFormat="false" ht="15" hidden="false" customHeight="false" outlineLevel="0" collapsed="false">
      <c r="A503" s="56" t="s">
        <v>1596</v>
      </c>
      <c r="B503" s="56" t="s">
        <v>1084</v>
      </c>
      <c r="C503" s="56" t="s">
        <v>75</v>
      </c>
      <c r="D503" s="56" t="str">
        <f aca="false">IFERROR(INDEX('Brand Map'!$B$4:$B$124,MATCH(C503,'Brand Map'!$A$4:$A$124,0)),"Other")</f>
        <v>AURP</v>
      </c>
      <c r="E503" s="57" t="n">
        <v>121</v>
      </c>
      <c r="F503" s="57" t="n">
        <v>3</v>
      </c>
      <c r="G503" s="58" t="n">
        <v>1688.42</v>
      </c>
      <c r="H503" s="58" t="n">
        <v>41.85</v>
      </c>
      <c r="I503" s="58" t="n">
        <v>1616.98</v>
      </c>
      <c r="J503" s="32" t="n">
        <f aca="false">IF(E503&gt;0,F503/E503,0)</f>
        <v>0.0247933884297521</v>
      </c>
      <c r="K503" s="32" t="n">
        <f aca="false">IF(G503&gt;0,H503/G503,0)</f>
        <v>0.0247864867746177</v>
      </c>
      <c r="L503" s="59" t="n">
        <f aca="false">H503/Settings!$B$16</f>
        <v>8.36383317852081E-005</v>
      </c>
      <c r="M503" s="59" t="n">
        <f aca="false">H503/Settings!$B$20</f>
        <v>3.24899965105744E-006</v>
      </c>
      <c r="N503" s="60" t="n">
        <f aca="false">E503*Settings!$B$3</f>
        <v>3.74932428065827</v>
      </c>
      <c r="O503" s="60" t="n">
        <f aca="false">IF(E503&gt;0,(F503-N503)/SQRT(E503*Settings!$B$3*(1-Settings!$B$3)),0)</f>
        <v>-0.393122871428939</v>
      </c>
      <c r="P503" s="60" t="n">
        <f aca="false">MAX(0,F503-N503)</f>
        <v>0</v>
      </c>
      <c r="Q503" s="32" t="n">
        <f aca="false">(F503+Settings!$B$7*Settings!$B$3)/(E503+Settings!$B$7)</f>
        <v>0.0260237386251299</v>
      </c>
      <c r="R503" s="61" t="n">
        <f aca="false">PERCENTRANK($H$2:$H$1780,H503,6)</f>
        <v>0.69685</v>
      </c>
      <c r="S503" s="61" t="n">
        <f aca="false">PERCENTRANK($Q$2:$Q$1780,Q503,6)</f>
        <v>0.218785</v>
      </c>
      <c r="T503" s="61" t="n">
        <f aca="false">PERCENTRANK($F$2:$F$1780,F503,6)</f>
        <v>0.84252</v>
      </c>
      <c r="U503" s="62" t="n">
        <f aca="false">IF(F503&gt;0,(Settings!$B$8*T503+Settings!$B$9*R503+Settings!$B$10*S503)/SUM(Settings!$B$8:$B$10),0)</f>
        <v>0.586051666666667</v>
      </c>
      <c r="V503" s="56" t="n">
        <f aca="false">IF(U503&gt;0,RANK(U503,$U$2:$U$1780)+COUNTIF($U$2:U503,U503)-1,"")</f>
        <v>502</v>
      </c>
      <c r="W503" s="56" t="str">
        <f aca="false">IF(V503="","",IF(V503&lt;=Settings!$B$11,"1 - Fix first",IF(V503&lt;=Settings!$B$12,"2 - Review","3 - Monitor")))</f>
        <v>3 - Monitor</v>
      </c>
      <c r="X503" s="56" t="str">
        <f aca="false">IF(AND(E503&gt;=Settings!$B$4,F503&gt;=Settings!$B$5,O503&gt;=Settings!$B$6),"HIGH RATE","")</f>
        <v/>
      </c>
      <c r="Y503" s="56" t="n">
        <f aca="false">IF(F503&gt;0,RANK(F503,$F$2:$F$1780)+COUNTIF($F$2:F503,F503)-1,"")</f>
        <v>275</v>
      </c>
      <c r="Z503" s="56" t="n">
        <f aca="false">IF(H503&gt;0,RANK(H503,$H$2:$H$1780)+COUNTIF($H$2:H503,H503)-1,"")</f>
        <v>540</v>
      </c>
      <c r="AA503" s="56" t="n">
        <f aca="false">IF(AC503="","",RANK(AC503,$AC$2:$AC$1780)+COUNTIF($AC$2:AC503,AC503)-1)</f>
        <v>284</v>
      </c>
      <c r="AB503" s="56" t="str">
        <f aca="false">IF(AD503="","",RANK(AD503,$AD$2:$AD$1780)+COUNTIF($AD$2:AD503,AD503)-1)</f>
        <v/>
      </c>
      <c r="AC503" s="32" t="n">
        <f aca="false">IF(AND(F503&gt;0,E503&gt;=Settings!$B$4),J503,"")</f>
        <v>0.0247933884297521</v>
      </c>
      <c r="AD503" s="56" t="str">
        <f aca="false">IF(X503="HIGH RATE",O503,"")</f>
        <v/>
      </c>
    </row>
    <row r="504" customFormat="false" ht="15" hidden="false" customHeight="false" outlineLevel="0" collapsed="false">
      <c r="A504" s="56" t="s">
        <v>1597</v>
      </c>
      <c r="B504" s="56" t="s">
        <v>1598</v>
      </c>
      <c r="C504" s="56" t="s">
        <v>51</v>
      </c>
      <c r="D504" s="56" t="str">
        <f aca="false">IFERROR(INDEX('Brand Map'!$B$4:$B$124,MATCH(C504,'Brand Map'!$A$4:$A$124,0)),"Other")</f>
        <v>AU</v>
      </c>
      <c r="E504" s="57" t="n">
        <v>91</v>
      </c>
      <c r="F504" s="57" t="n">
        <v>2</v>
      </c>
      <c r="G504" s="58" t="n">
        <v>8954.91</v>
      </c>
      <c r="H504" s="58" t="n">
        <v>146.74</v>
      </c>
      <c r="I504" s="58" t="n">
        <v>8475.89</v>
      </c>
      <c r="J504" s="32" t="n">
        <f aca="false">IF(E504&gt;0,F504/E504,0)</f>
        <v>0.021978021978022</v>
      </c>
      <c r="K504" s="32" t="n">
        <f aca="false">IF(G504&gt;0,H504/G504,0)</f>
        <v>0.0163865410149292</v>
      </c>
      <c r="L504" s="59" t="n">
        <f aca="false">H504/Settings!$B$16</f>
        <v>0.000293263770756546</v>
      </c>
      <c r="M504" s="59" t="n">
        <f aca="false">H504/Settings!$B$20</f>
        <v>1.1392071894771E-005</v>
      </c>
      <c r="N504" s="60" t="n">
        <f aca="false">E504*Settings!$B$3</f>
        <v>2.81973974826366</v>
      </c>
      <c r="O504" s="60" t="n">
        <f aca="false">IF(E504&gt;0,(F504-N504)/SQRT(E504*Settings!$B$3*(1-Settings!$B$3)),0)</f>
        <v>-0.4959141370269</v>
      </c>
      <c r="P504" s="60" t="n">
        <f aca="false">MAX(0,F504-N504)</f>
        <v>0</v>
      </c>
      <c r="Q504" s="32" t="n">
        <f aca="false">(F504+Settings!$B$7*Settings!$B$3)/(E504+Settings!$B$7)</f>
        <v>0.0242114424164844</v>
      </c>
      <c r="R504" s="61" t="n">
        <f aca="false">PERCENTRANK($H$2:$H$1780,H504,6)</f>
        <v>0.801462</v>
      </c>
      <c r="S504" s="61" t="n">
        <f aca="false">PERCENTRANK($Q$2:$Q$1780,Q504,6)</f>
        <v>0.151856</v>
      </c>
      <c r="T504" s="61" t="n">
        <f aca="false">PERCENTRANK($F$2:$F$1780,F504,6)</f>
        <v>0.799775</v>
      </c>
      <c r="U504" s="62" t="n">
        <f aca="false">IF(F504&gt;0,(Settings!$B$8*T504+Settings!$B$9*R504+Settings!$B$10*S504)/SUM(Settings!$B$8:$B$10),0)</f>
        <v>0.584364333333333</v>
      </c>
      <c r="V504" s="56" t="n">
        <f aca="false">IF(U504&gt;0,RANK(U504,$U$2:$U$1780)+COUNTIF($U$2:U504,U504)-1,"")</f>
        <v>503</v>
      </c>
      <c r="W504" s="56" t="str">
        <f aca="false">IF(V504="","",IF(V504&lt;=Settings!$B$11,"1 - Fix first",IF(V504&lt;=Settings!$B$12,"2 - Review","3 - Monitor")))</f>
        <v>3 - Monitor</v>
      </c>
      <c r="X504" s="56" t="str">
        <f aca="false">IF(AND(E504&gt;=Settings!$B$4,F504&gt;=Settings!$B$5,O504&gt;=Settings!$B$6),"HIGH RATE","")</f>
        <v/>
      </c>
      <c r="Y504" s="56" t="n">
        <f aca="false">IF(F504&gt;0,RANK(F504,$F$2:$F$1780)+COUNTIF($F$2:F504,F504)-1,"")</f>
        <v>351</v>
      </c>
      <c r="Z504" s="56" t="n">
        <f aca="false">IF(H504&gt;0,RANK(H504,$H$2:$H$1780)+COUNTIF($H$2:H504,H504)-1,"")</f>
        <v>354</v>
      </c>
      <c r="AA504" s="56" t="n">
        <f aca="false">IF(AC504="","",RANK(AC504,$AC$2:$AC$1780)+COUNTIF($AC$2:AC504,AC504)-1)</f>
        <v>299</v>
      </c>
      <c r="AB504" s="56" t="str">
        <f aca="false">IF(AD504="","",RANK(AD504,$AD$2:$AD$1780)+COUNTIF($AD$2:AD504,AD504)-1)</f>
        <v/>
      </c>
      <c r="AC504" s="32" t="n">
        <f aca="false">IF(AND(F504&gt;0,E504&gt;=Settings!$B$4),J504,"")</f>
        <v>0.021978021978022</v>
      </c>
      <c r="AD504" s="56" t="str">
        <f aca="false">IF(X504="HIGH RATE",O504,"")</f>
        <v/>
      </c>
    </row>
    <row r="505" customFormat="false" ht="15" hidden="false" customHeight="false" outlineLevel="0" collapsed="false">
      <c r="A505" s="56" t="s">
        <v>284</v>
      </c>
      <c r="B505" s="56" t="s">
        <v>1599</v>
      </c>
      <c r="C505" s="56" t="s">
        <v>67</v>
      </c>
      <c r="D505" s="56" t="str">
        <f aca="false">IFERROR(INDEX('Brand Map'!$B$4:$B$124,MATCH(C505,'Brand Map'!$A$4:$A$124,0)),"Other")</f>
        <v>MJ</v>
      </c>
      <c r="E505" s="57" t="n">
        <v>152</v>
      </c>
      <c r="F505" s="57" t="n">
        <v>3</v>
      </c>
      <c r="G505" s="58" t="n">
        <v>7055.26</v>
      </c>
      <c r="H505" s="58" t="n">
        <v>149.85</v>
      </c>
      <c r="I505" s="58" t="n">
        <v>6631.16</v>
      </c>
      <c r="J505" s="32" t="n">
        <f aca="false">IF(E505&gt;0,F505/E505,0)</f>
        <v>0.0197368421052632</v>
      </c>
      <c r="K505" s="32" t="n">
        <f aca="false">IF(G505&gt;0,H505/G505,0)</f>
        <v>0.0212394723936467</v>
      </c>
      <c r="L505" s="59" t="n">
        <f aca="false">H505/Settings!$B$16</f>
        <v>0.0002994791880051</v>
      </c>
      <c r="M505" s="59" t="n">
        <f aca="false">H505/Settings!$B$20</f>
        <v>1.16335148795928E-005</v>
      </c>
      <c r="N505" s="60" t="n">
        <f aca="false">E505*Settings!$B$3</f>
        <v>4.7098949641327</v>
      </c>
      <c r="O505" s="60" t="n">
        <f aca="false">IF(E505&gt;0,(F505-N505)/SQRT(E505*Settings!$B$3*(1-Settings!$B$3)),0)</f>
        <v>-0.80038479610012</v>
      </c>
      <c r="P505" s="60" t="n">
        <f aca="false">MAX(0,F505-N505)</f>
        <v>0</v>
      </c>
      <c r="Q505" s="32" t="n">
        <f aca="false">(F505+Settings!$B$7*Settings!$B$3)/(E505+Settings!$B$7)</f>
        <v>0.021591123804366</v>
      </c>
      <c r="R505" s="61" t="n">
        <f aca="false">PERCENTRANK($H$2:$H$1780,H505,6)</f>
        <v>0.803712</v>
      </c>
      <c r="S505" s="61" t="n">
        <f aca="false">PERCENTRANK($Q$2:$Q$1780,Q505,6)</f>
        <v>0.103487</v>
      </c>
      <c r="T505" s="61" t="n">
        <f aca="false">PERCENTRANK($F$2:$F$1780,F505,6)</f>
        <v>0.84252</v>
      </c>
      <c r="U505" s="62" t="n">
        <f aca="false">IF(F505&gt;0,(Settings!$B$8*T505+Settings!$B$9*R505+Settings!$B$10*S505)/SUM(Settings!$B$8:$B$10),0)</f>
        <v>0.583239666666667</v>
      </c>
      <c r="V505" s="56" t="n">
        <f aca="false">IF(U505&gt;0,RANK(U505,$U$2:$U$1780)+COUNTIF($U$2:U505,U505)-1,"")</f>
        <v>504</v>
      </c>
      <c r="W505" s="56" t="str">
        <f aca="false">IF(V505="","",IF(V505&lt;=Settings!$B$11,"1 - Fix first",IF(V505&lt;=Settings!$B$12,"2 - Review","3 - Monitor")))</f>
        <v>3 - Monitor</v>
      </c>
      <c r="X505" s="56" t="str">
        <f aca="false">IF(AND(E505&gt;=Settings!$B$4,F505&gt;=Settings!$B$5,O505&gt;=Settings!$B$6),"HIGH RATE","")</f>
        <v/>
      </c>
      <c r="Y505" s="56" t="n">
        <f aca="false">IF(F505&gt;0,RANK(F505,$F$2:$F$1780)+COUNTIF($F$2:F505,F505)-1,"")</f>
        <v>276</v>
      </c>
      <c r="Z505" s="56" t="n">
        <f aca="false">IF(H505&gt;0,RANK(H505,$H$2:$H$1780)+COUNTIF($H$2:H505,H505)-1,"")</f>
        <v>350</v>
      </c>
      <c r="AA505" s="56" t="n">
        <f aca="false">IF(AC505="","",RANK(AC505,$AC$2:$AC$1780)+COUNTIF($AC$2:AC505,AC505)-1)</f>
        <v>309</v>
      </c>
      <c r="AB505" s="56" t="str">
        <f aca="false">IF(AD505="","",RANK(AD505,$AD$2:$AD$1780)+COUNTIF($AD$2:AD505,AD505)-1)</f>
        <v/>
      </c>
      <c r="AC505" s="32" t="n">
        <f aca="false">IF(AND(F505&gt;0,E505&gt;=Settings!$B$4),J505,"")</f>
        <v>0.0197368421052632</v>
      </c>
      <c r="AD505" s="56" t="str">
        <f aca="false">IF(X505="HIGH RATE",O505,"")</f>
        <v/>
      </c>
    </row>
    <row r="506" customFormat="false" ht="15" hidden="false" customHeight="false" outlineLevel="0" collapsed="false">
      <c r="A506" s="56" t="s">
        <v>1600</v>
      </c>
      <c r="B506" s="56" t="s">
        <v>1601</v>
      </c>
      <c r="C506" s="56" t="s">
        <v>51</v>
      </c>
      <c r="D506" s="56" t="str">
        <f aca="false">IFERROR(INDEX('Brand Map'!$B$4:$B$124,MATCH(C506,'Brand Map'!$A$4:$A$124,0)),"Other")</f>
        <v>AU</v>
      </c>
      <c r="E506" s="57" t="n">
        <v>370</v>
      </c>
      <c r="F506" s="57" t="n">
        <v>3</v>
      </c>
      <c r="G506" s="58" t="n">
        <v>44933.16</v>
      </c>
      <c r="H506" s="58" t="n">
        <v>350.88</v>
      </c>
      <c r="I506" s="58" t="n">
        <v>43289.45</v>
      </c>
      <c r="J506" s="32" t="n">
        <f aca="false">IF(E506&gt;0,F506/E506,0)</f>
        <v>0.00810810810810811</v>
      </c>
      <c r="K506" s="32" t="n">
        <f aca="false">IF(G506&gt;0,H506/G506,0)</f>
        <v>0.00780893220062867</v>
      </c>
      <c r="L506" s="59" t="n">
        <f aca="false">H506/Settings!$B$16</f>
        <v>0.000701242959541071</v>
      </c>
      <c r="M506" s="59" t="n">
        <f aca="false">H506/Settings!$B$20</f>
        <v>2.72403583647081E-005</v>
      </c>
      <c r="N506" s="60" t="n">
        <f aca="false">E506*Settings!$B$3</f>
        <v>11.4648758995336</v>
      </c>
      <c r="O506" s="60" t="n">
        <f aca="false">IF(E506&gt;0,(F506-N506)/SQRT(E506*Settings!$B$3*(1-Settings!$B$3)),0)</f>
        <v>-2.53963278231266</v>
      </c>
      <c r="P506" s="60" t="n">
        <f aca="false">MAX(0,F506-N506)</f>
        <v>0</v>
      </c>
      <c r="Q506" s="32" t="n">
        <f aca="false">(F506+Settings!$B$7*Settings!$B$3)/(E506+Settings!$B$7)</f>
        <v>0.00982396133098653</v>
      </c>
      <c r="R506" s="61" t="n">
        <f aca="false">PERCENTRANK($H$2:$H$1780,H506,6)</f>
        <v>0.87964</v>
      </c>
      <c r="S506" s="61" t="n">
        <f aca="false">PERCENTRANK($Q$2:$Q$1780,Q506,6)</f>
        <v>0.0123735</v>
      </c>
      <c r="T506" s="61" t="n">
        <f aca="false">PERCENTRANK($F$2:$F$1780,F506,6)</f>
        <v>0.84252</v>
      </c>
      <c r="U506" s="62" t="n">
        <f aca="false">IF(F506&gt;0,(Settings!$B$8*T506+Settings!$B$9*R506+Settings!$B$10*S506)/SUM(Settings!$B$8:$B$10),0)</f>
        <v>0.578177833333333</v>
      </c>
      <c r="V506" s="56" t="n">
        <f aca="false">IF(U506&gt;0,RANK(U506,$U$2:$U$1780)+COUNTIF($U$2:U506,U506)-1,"")</f>
        <v>505</v>
      </c>
      <c r="W506" s="56" t="str">
        <f aca="false">IF(V506="","",IF(V506&lt;=Settings!$B$11,"1 - Fix first",IF(V506&lt;=Settings!$B$12,"2 - Review","3 - Monitor")))</f>
        <v>3 - Monitor</v>
      </c>
      <c r="X506" s="56" t="str">
        <f aca="false">IF(AND(E506&gt;=Settings!$B$4,F506&gt;=Settings!$B$5,O506&gt;=Settings!$B$6),"HIGH RATE","")</f>
        <v/>
      </c>
      <c r="Y506" s="56" t="n">
        <f aca="false">IF(F506&gt;0,RANK(F506,$F$2:$F$1780)+COUNTIF($F$2:F506,F506)-1,"")</f>
        <v>277</v>
      </c>
      <c r="Z506" s="56" t="n">
        <f aca="false">IF(H506&gt;0,RANK(H506,$H$2:$H$1780)+COUNTIF($H$2:H506,H506)-1,"")</f>
        <v>215</v>
      </c>
      <c r="AA506" s="56" t="n">
        <f aca="false">IF(AC506="","",RANK(AC506,$AC$2:$AC$1780)+COUNTIF($AC$2:AC506,AC506)-1)</f>
        <v>356</v>
      </c>
      <c r="AB506" s="56" t="str">
        <f aca="false">IF(AD506="","",RANK(AD506,$AD$2:$AD$1780)+COUNTIF($AD$2:AD506,AD506)-1)</f>
        <v/>
      </c>
      <c r="AC506" s="32" t="n">
        <f aca="false">IF(AND(F506&gt;0,E506&gt;=Settings!$B$4),J506,"")</f>
        <v>0.00810810810810811</v>
      </c>
      <c r="AD506" s="56" t="str">
        <f aca="false">IF(X506="HIGH RATE",O506,"")</f>
        <v/>
      </c>
    </row>
    <row r="507" customFormat="false" ht="15" hidden="false" customHeight="false" outlineLevel="0" collapsed="false">
      <c r="A507" s="56" t="s">
        <v>1602</v>
      </c>
      <c r="B507" s="56" t="s">
        <v>1603</v>
      </c>
      <c r="C507" s="56" t="s">
        <v>148</v>
      </c>
      <c r="D507" s="56" t="str">
        <f aca="false">IFERROR(INDEX('Brand Map'!$B$4:$B$124,MATCH(C507,'Brand Map'!$A$4:$A$124,0)),"Other")</f>
        <v>FBAU</v>
      </c>
      <c r="E507" s="57" t="n">
        <v>246</v>
      </c>
      <c r="F507" s="57" t="n">
        <v>3</v>
      </c>
      <c r="G507" s="58" t="n">
        <v>22433.43</v>
      </c>
      <c r="H507" s="58" t="n">
        <v>246.07</v>
      </c>
      <c r="I507" s="58" t="n">
        <v>21393.73</v>
      </c>
      <c r="J507" s="32" t="n">
        <f aca="false">IF(E507&gt;0,F507/E507,0)</f>
        <v>0.0121951219512195</v>
      </c>
      <c r="K507" s="32" t="n">
        <f aca="false">IF(G507&gt;0,H507/G507,0)</f>
        <v>0.010968897756607</v>
      </c>
      <c r="L507" s="59" t="n">
        <f aca="false">H507/Settings!$B$16</f>
        <v>0.000491777402685452</v>
      </c>
      <c r="M507" s="59" t="n">
        <f aca="false">H507/Settings!$B$20</f>
        <v>1.91034968730156E-005</v>
      </c>
      <c r="N507" s="60" t="n">
        <f aca="false">E507*Settings!$B$3</f>
        <v>7.62259316563582</v>
      </c>
      <c r="O507" s="60" t="n">
        <f aca="false">IF(E507&gt;0,(F507-N507)/SQRT(E507*Settings!$B$3*(1-Settings!$B$3)),0)</f>
        <v>-1.70086290825985</v>
      </c>
      <c r="P507" s="60" t="n">
        <f aca="false">MAX(0,F507-N507)</f>
        <v>0</v>
      </c>
      <c r="Q507" s="32" t="n">
        <f aca="false">(F507+Settings!$B$7*Settings!$B$3)/(E507+Settings!$B$7)</f>
        <v>0.0142376251173718</v>
      </c>
      <c r="R507" s="61" t="n">
        <f aca="false">PERCENTRANK($H$2:$H$1780,H507,6)</f>
        <v>0.845894</v>
      </c>
      <c r="S507" s="61" t="n">
        <f aca="false">PERCENTRANK($Q$2:$Q$1780,Q507,6)</f>
        <v>0.0343082</v>
      </c>
      <c r="T507" s="61" t="n">
        <f aca="false">PERCENTRANK($F$2:$F$1780,F507,6)</f>
        <v>0.84252</v>
      </c>
      <c r="U507" s="62" t="n">
        <f aca="false">IF(F507&gt;0,(Settings!$B$8*T507+Settings!$B$9*R507+Settings!$B$10*S507)/SUM(Settings!$B$8:$B$10),0)</f>
        <v>0.574240733333333</v>
      </c>
      <c r="V507" s="56" t="n">
        <f aca="false">IF(U507&gt;0,RANK(U507,$U$2:$U$1780)+COUNTIF($U$2:U507,U507)-1,"")</f>
        <v>506</v>
      </c>
      <c r="W507" s="56" t="str">
        <f aca="false">IF(V507="","",IF(V507&lt;=Settings!$B$11,"1 - Fix first",IF(V507&lt;=Settings!$B$12,"2 - Review","3 - Monitor")))</f>
        <v>3 - Monitor</v>
      </c>
      <c r="X507" s="56" t="str">
        <f aca="false">IF(AND(E507&gt;=Settings!$B$4,F507&gt;=Settings!$B$5,O507&gt;=Settings!$B$6),"HIGH RATE","")</f>
        <v/>
      </c>
      <c r="Y507" s="56" t="n">
        <f aca="false">IF(F507&gt;0,RANK(F507,$F$2:$F$1780)+COUNTIF($F$2:F507,F507)-1,"")</f>
        <v>278</v>
      </c>
      <c r="Z507" s="56" t="n">
        <f aca="false">IF(H507&gt;0,RANK(H507,$H$2:$H$1780)+COUNTIF($H$2:H507,H507)-1,"")</f>
        <v>275</v>
      </c>
      <c r="AA507" s="56" t="n">
        <f aca="false">IF(AC507="","",RANK(AC507,$AC$2:$AC$1780)+COUNTIF($AC$2:AC507,AC507)-1)</f>
        <v>348</v>
      </c>
      <c r="AB507" s="56" t="str">
        <f aca="false">IF(AD507="","",RANK(AD507,$AD$2:$AD$1780)+COUNTIF($AD$2:AD507,AD507)-1)</f>
        <v/>
      </c>
      <c r="AC507" s="32" t="n">
        <f aca="false">IF(AND(F507&gt;0,E507&gt;=Settings!$B$4),J507,"")</f>
        <v>0.0121951219512195</v>
      </c>
      <c r="AD507" s="56" t="str">
        <f aca="false">IF(X507="HIGH RATE",O507,"")</f>
        <v/>
      </c>
    </row>
    <row r="508" customFormat="false" ht="15" hidden="false" customHeight="false" outlineLevel="0" collapsed="false">
      <c r="A508" s="56" t="s">
        <v>1604</v>
      </c>
      <c r="B508" s="56" t="s">
        <v>1605</v>
      </c>
      <c r="C508" s="56" t="s">
        <v>55</v>
      </c>
      <c r="D508" s="56" t="str">
        <f aca="false">IFERROR(INDEX('Brand Map'!$B$4:$B$124,MATCH(C508,'Brand Map'!$A$4:$A$124,0)),"Other")</f>
        <v>AUMJ</v>
      </c>
      <c r="E508" s="57" t="n">
        <v>98</v>
      </c>
      <c r="F508" s="57" t="n">
        <v>2</v>
      </c>
      <c r="G508" s="58" t="n">
        <v>6658.18</v>
      </c>
      <c r="H508" s="58" t="n">
        <v>118.37</v>
      </c>
      <c r="I508" s="58" t="n">
        <v>6439.16</v>
      </c>
      <c r="J508" s="32" t="n">
        <f aca="false">IF(E508&gt;0,F508/E508,0)</f>
        <v>0.0204081632653061</v>
      </c>
      <c r="K508" s="32" t="n">
        <f aca="false">IF(G508&gt;0,H508/G508,0)</f>
        <v>0.0177781315614778</v>
      </c>
      <c r="L508" s="59" t="n">
        <f aca="false">H508/Settings!$B$16</f>
        <v>0.000236565575469895</v>
      </c>
      <c r="M508" s="59" t="n">
        <f aca="false">H508/Settings!$B$20</f>
        <v>9.18958395927524E-006</v>
      </c>
      <c r="N508" s="60" t="n">
        <f aca="false">E508*Settings!$B$3</f>
        <v>3.0366428058224</v>
      </c>
      <c r="O508" s="60" t="n">
        <f aca="false">IF(E508&gt;0,(F508-N508)/SQRT(E508*Settings!$B$3*(1-Settings!$B$3)),0)</f>
        <v>-0.604320450519559</v>
      </c>
      <c r="P508" s="60" t="n">
        <f aca="false">MAX(0,F508-N508)</f>
        <v>0</v>
      </c>
      <c r="Q508" s="32" t="n">
        <f aca="false">(F508+Settings!$B$7*Settings!$B$3)/(E508+Settings!$B$7)</f>
        <v>0.0228873791593329</v>
      </c>
      <c r="R508" s="61" t="n">
        <f aca="false">PERCENTRANK($H$2:$H$1780,H508,6)</f>
        <v>0.77784</v>
      </c>
      <c r="S508" s="61" t="n">
        <f aca="false">PERCENTRANK($Q$2:$Q$1780,Q508,6)</f>
        <v>0.128234</v>
      </c>
      <c r="T508" s="61" t="n">
        <f aca="false">PERCENTRANK($F$2:$F$1780,F508,6)</f>
        <v>0.799775</v>
      </c>
      <c r="U508" s="62" t="n">
        <f aca="false">IF(F508&gt;0,(Settings!$B$8*T508+Settings!$B$9*R508+Settings!$B$10*S508)/SUM(Settings!$B$8:$B$10),0)</f>
        <v>0.568616333333333</v>
      </c>
      <c r="V508" s="56" t="n">
        <f aca="false">IF(U508&gt;0,RANK(U508,$U$2:$U$1780)+COUNTIF($U$2:U508,U508)-1,"")</f>
        <v>507</v>
      </c>
      <c r="W508" s="56" t="str">
        <f aca="false">IF(V508="","",IF(V508&lt;=Settings!$B$11,"1 - Fix first",IF(V508&lt;=Settings!$B$12,"2 - Review","3 - Monitor")))</f>
        <v>3 - Monitor</v>
      </c>
      <c r="X508" s="56" t="str">
        <f aca="false">IF(AND(E508&gt;=Settings!$B$4,F508&gt;=Settings!$B$5,O508&gt;=Settings!$B$6),"HIGH RATE","")</f>
        <v/>
      </c>
      <c r="Y508" s="56" t="n">
        <f aca="false">IF(F508&gt;0,RANK(F508,$F$2:$F$1780)+COUNTIF($F$2:F508,F508)-1,"")</f>
        <v>352</v>
      </c>
      <c r="Z508" s="56" t="n">
        <f aca="false">IF(H508&gt;0,RANK(H508,$H$2:$H$1780)+COUNTIF($H$2:H508,H508)-1,"")</f>
        <v>396</v>
      </c>
      <c r="AA508" s="56" t="n">
        <f aca="false">IF(AC508="","",RANK(AC508,$AC$2:$AC$1780)+COUNTIF($AC$2:AC508,AC508)-1)</f>
        <v>305</v>
      </c>
      <c r="AB508" s="56" t="str">
        <f aca="false">IF(AD508="","",RANK(AD508,$AD$2:$AD$1780)+COUNTIF($AD$2:AD508,AD508)-1)</f>
        <v/>
      </c>
      <c r="AC508" s="32" t="n">
        <f aca="false">IF(AND(F508&gt;0,E508&gt;=Settings!$B$4),J508,"")</f>
        <v>0.0204081632653061</v>
      </c>
      <c r="AD508" s="56" t="str">
        <f aca="false">IF(X508="HIGH RATE",O508,"")</f>
        <v/>
      </c>
    </row>
    <row r="509" customFormat="false" ht="15" hidden="false" customHeight="false" outlineLevel="0" collapsed="false">
      <c r="A509" s="56" t="s">
        <v>615</v>
      </c>
      <c r="B509" s="56" t="s">
        <v>616</v>
      </c>
      <c r="C509" s="56" t="s">
        <v>614</v>
      </c>
      <c r="D509" s="56" t="str">
        <f aca="false">IFERROR(INDEX('Brand Map'!$B$4:$B$124,MATCH(C509,'Brand Map'!$A$4:$A$124,0)),"Other")</f>
        <v>Other (small prefixes)</v>
      </c>
      <c r="E509" s="57" t="n">
        <v>277</v>
      </c>
      <c r="F509" s="57" t="n">
        <v>3</v>
      </c>
      <c r="G509" s="58" t="n">
        <v>20327.98</v>
      </c>
      <c r="H509" s="58" t="n">
        <v>190.77</v>
      </c>
      <c r="I509" s="58" t="n">
        <v>19940.55</v>
      </c>
      <c r="J509" s="32" t="n">
        <f aca="false">IF(E509&gt;0,F509/E509,0)</f>
        <v>0.0108303249097473</v>
      </c>
      <c r="K509" s="32" t="n">
        <f aca="false">IF(G509&gt;0,H509/G509,0)</f>
        <v>0.00938460191322502</v>
      </c>
      <c r="L509" s="59" t="n">
        <f aca="false">H509/Settings!$B$16</f>
        <v>0.000381258890195081</v>
      </c>
      <c r="M509" s="59" t="n">
        <f aca="false">H509/Settings!$B$20</f>
        <v>1.48103145384045E-005</v>
      </c>
      <c r="N509" s="60" t="n">
        <f aca="false">E509*Settings!$B$3</f>
        <v>8.58316384911026</v>
      </c>
      <c r="O509" s="60" t="n">
        <f aca="false">IF(E509&gt;0,(F509-N509)/SQRT(E509*Settings!$B$3*(1-Settings!$B$3)),0)</f>
        <v>-1.93593904843834</v>
      </c>
      <c r="P509" s="60" t="n">
        <f aca="false">MAX(0,F509-N509)</f>
        <v>0</v>
      </c>
      <c r="Q509" s="32" t="n">
        <f aca="false">(F509+Settings!$B$7*Settings!$B$3)/(E509+Settings!$B$7)</f>
        <v>0.0127999496169206</v>
      </c>
      <c r="R509" s="61" t="n">
        <f aca="false">PERCENTRANK($H$2:$H$1780,H509,6)</f>
        <v>0.826772</v>
      </c>
      <c r="S509" s="61" t="n">
        <f aca="false">PERCENTRANK($Q$2:$Q$1780,Q509,6)</f>
        <v>0.0286839</v>
      </c>
      <c r="T509" s="61" t="n">
        <f aca="false">PERCENTRANK($F$2:$F$1780,F509,6)</f>
        <v>0.84252</v>
      </c>
      <c r="U509" s="62" t="n">
        <f aca="false">IF(F509&gt;0,(Settings!$B$8*T509+Settings!$B$9*R509+Settings!$B$10*S509)/SUM(Settings!$B$8:$B$10),0)</f>
        <v>0.565991966666667</v>
      </c>
      <c r="V509" s="56" t="n">
        <f aca="false">IF(U509&gt;0,RANK(U509,$U$2:$U$1780)+COUNTIF($U$2:U509,U509)-1,"")</f>
        <v>508</v>
      </c>
      <c r="W509" s="56" t="str">
        <f aca="false">IF(V509="","",IF(V509&lt;=Settings!$B$11,"1 - Fix first",IF(V509&lt;=Settings!$B$12,"2 - Review","3 - Monitor")))</f>
        <v>3 - Monitor</v>
      </c>
      <c r="X509" s="56" t="str">
        <f aca="false">IF(AND(E509&gt;=Settings!$B$4,F509&gt;=Settings!$B$5,O509&gt;=Settings!$B$6),"HIGH RATE","")</f>
        <v/>
      </c>
      <c r="Y509" s="56" t="n">
        <f aca="false">IF(F509&gt;0,RANK(F509,$F$2:$F$1780)+COUNTIF($F$2:F509,F509)-1,"")</f>
        <v>279</v>
      </c>
      <c r="Z509" s="56" t="n">
        <f aca="false">IF(H509&gt;0,RANK(H509,$H$2:$H$1780)+COUNTIF($H$2:H509,H509)-1,"")</f>
        <v>309</v>
      </c>
      <c r="AA509" s="56" t="n">
        <f aca="false">IF(AC509="","",RANK(AC509,$AC$2:$AC$1780)+COUNTIF($AC$2:AC509,AC509)-1)</f>
        <v>354</v>
      </c>
      <c r="AB509" s="56" t="str">
        <f aca="false">IF(AD509="","",RANK(AD509,$AD$2:$AD$1780)+COUNTIF($AD$2:AD509,AD509)-1)</f>
        <v/>
      </c>
      <c r="AC509" s="32" t="n">
        <f aca="false">IF(AND(F509&gt;0,E509&gt;=Settings!$B$4),J509,"")</f>
        <v>0.0108303249097473</v>
      </c>
      <c r="AD509" s="56" t="str">
        <f aca="false">IF(X509="HIGH RATE",O509,"")</f>
        <v/>
      </c>
    </row>
    <row r="510" customFormat="false" ht="15" hidden="false" customHeight="false" outlineLevel="0" collapsed="false">
      <c r="A510" s="56" t="s">
        <v>1606</v>
      </c>
      <c r="B510" s="56" t="s">
        <v>1223</v>
      </c>
      <c r="C510" s="56" t="s">
        <v>87</v>
      </c>
      <c r="D510" s="56" t="str">
        <f aca="false">IFERROR(INDEX('Brand Map'!$B$4:$B$124,MATCH(C510,'Brand Map'!$A$4:$A$124,0)),"Other")</f>
        <v>FYF</v>
      </c>
      <c r="E510" s="57" t="n">
        <v>111</v>
      </c>
      <c r="F510" s="57" t="n">
        <v>2</v>
      </c>
      <c r="G510" s="58" t="n">
        <v>7764.45</v>
      </c>
      <c r="H510" s="58" t="n">
        <v>139.9</v>
      </c>
      <c r="I510" s="58" t="n">
        <v>7624.55</v>
      </c>
      <c r="J510" s="32" t="n">
        <f aca="false">IF(E510&gt;0,F510/E510,0)</f>
        <v>0.018018018018018</v>
      </c>
      <c r="K510" s="32" t="n">
        <f aca="false">IF(G510&gt;0,H510/G510,0)</f>
        <v>0.018018018018018</v>
      </c>
      <c r="L510" s="59" t="n">
        <f aca="false">H510/Settings!$B$16</f>
        <v>0.000279593849862619</v>
      </c>
      <c r="M510" s="59" t="n">
        <f aca="false">H510/Settings!$B$20</f>
        <v>1.08610525969638E-005</v>
      </c>
      <c r="N510" s="60" t="n">
        <f aca="false">E510*Settings!$B$3</f>
        <v>3.43946276986007</v>
      </c>
      <c r="O510" s="60" t="n">
        <f aca="false">IF(E510&gt;0,(F510-N510)/SQRT(E510*Settings!$B$3*(1-Settings!$B$3)),0)</f>
        <v>-0.788479013455401</v>
      </c>
      <c r="P510" s="60" t="n">
        <f aca="false">MAX(0,F510-N510)</f>
        <v>0</v>
      </c>
      <c r="Q510" s="32" t="n">
        <f aca="false">(F510+Settings!$B$7*Settings!$B$3)/(E510+Settings!$B$7)</f>
        <v>0.02077719526521</v>
      </c>
      <c r="R510" s="61" t="n">
        <f aca="false">PERCENTRANK($H$2:$H$1780,H510,6)</f>
        <v>0.794713</v>
      </c>
      <c r="S510" s="61" t="n">
        <f aca="false">PERCENTRANK($Q$2:$Q$1780,Q510,6)</f>
        <v>0.0984252</v>
      </c>
      <c r="T510" s="61" t="n">
        <f aca="false">PERCENTRANK($F$2:$F$1780,F510,6)</f>
        <v>0.799775</v>
      </c>
      <c r="U510" s="62" t="n">
        <f aca="false">IF(F510&gt;0,(Settings!$B$8*T510+Settings!$B$9*R510+Settings!$B$10*S510)/SUM(Settings!$B$8:$B$10),0)</f>
        <v>0.5643044</v>
      </c>
      <c r="V510" s="56" t="n">
        <f aca="false">IF(U510&gt;0,RANK(U510,$U$2:$U$1780)+COUNTIF($U$2:U510,U510)-1,"")</f>
        <v>509</v>
      </c>
      <c r="W510" s="56" t="str">
        <f aca="false">IF(V510="","",IF(V510&lt;=Settings!$B$11,"1 - Fix first",IF(V510&lt;=Settings!$B$12,"2 - Review","3 - Monitor")))</f>
        <v>3 - Monitor</v>
      </c>
      <c r="X510" s="56" t="str">
        <f aca="false">IF(AND(E510&gt;=Settings!$B$4,F510&gt;=Settings!$B$5,O510&gt;=Settings!$B$6),"HIGH RATE","")</f>
        <v/>
      </c>
      <c r="Y510" s="56" t="n">
        <f aca="false">IF(F510&gt;0,RANK(F510,$F$2:$F$1780)+COUNTIF($F$2:F510,F510)-1,"")</f>
        <v>353</v>
      </c>
      <c r="Z510" s="56" t="n">
        <f aca="false">IF(H510&gt;0,RANK(H510,$H$2:$H$1780)+COUNTIF($H$2:H510,H510)-1,"")</f>
        <v>366</v>
      </c>
      <c r="AA510" s="56" t="n">
        <f aca="false">IF(AC510="","",RANK(AC510,$AC$2:$AC$1780)+COUNTIF($AC$2:AC510,AC510)-1)</f>
        <v>317</v>
      </c>
      <c r="AB510" s="56" t="str">
        <f aca="false">IF(AD510="","",RANK(AD510,$AD$2:$AD$1780)+COUNTIF($AD$2:AD510,AD510)-1)</f>
        <v/>
      </c>
      <c r="AC510" s="32" t="n">
        <f aca="false">IF(AND(F510&gt;0,E510&gt;=Settings!$B$4),J510,"")</f>
        <v>0.018018018018018</v>
      </c>
      <c r="AD510" s="56" t="str">
        <f aca="false">IF(X510="HIGH RATE",O510,"")</f>
        <v/>
      </c>
    </row>
    <row r="511" customFormat="false" ht="15" hidden="false" customHeight="false" outlineLevel="0" collapsed="false">
      <c r="A511" s="56" t="s">
        <v>1607</v>
      </c>
      <c r="B511" s="56" t="s">
        <v>1608</v>
      </c>
      <c r="C511" s="56" t="s">
        <v>51</v>
      </c>
      <c r="D511" s="56" t="str">
        <f aca="false">IFERROR(INDEX('Brand Map'!$B$4:$B$124,MATCH(C511,'Brand Map'!$A$4:$A$124,0)),"Other")</f>
        <v>AU</v>
      </c>
      <c r="E511" s="57" t="n">
        <v>151</v>
      </c>
      <c r="F511" s="57" t="n">
        <v>2</v>
      </c>
      <c r="G511" s="58" t="n">
        <v>15732.07</v>
      </c>
      <c r="H511" s="58" t="n">
        <v>218.09</v>
      </c>
      <c r="I511" s="58" t="n">
        <v>15084.73</v>
      </c>
      <c r="J511" s="32" t="n">
        <f aca="false">IF(E511&gt;0,F511/E511,0)</f>
        <v>0.0132450331125828</v>
      </c>
      <c r="K511" s="32" t="n">
        <f aca="false">IF(G511&gt;0,H511/G511,0)</f>
        <v>0.0138627656754642</v>
      </c>
      <c r="L511" s="59" t="n">
        <f aca="false">H511/Settings!$B$16</f>
        <v>0.000435858632712928</v>
      </c>
      <c r="M511" s="59" t="n">
        <f aca="false">H511/Settings!$B$20</f>
        <v>1.69312863536229E-005</v>
      </c>
      <c r="N511" s="60" t="n">
        <f aca="false">E511*Settings!$B$3</f>
        <v>4.67890881305288</v>
      </c>
      <c r="O511" s="60" t="n">
        <f aca="false">IF(E511&gt;0,(F511-N511)/SQRT(E511*Settings!$B$3*(1-Settings!$B$3)),0)</f>
        <v>-1.25811589238016</v>
      </c>
      <c r="P511" s="60" t="n">
        <f aca="false">MAX(0,F511-N511)</f>
        <v>0</v>
      </c>
      <c r="Q511" s="32" t="n">
        <f aca="false">(F511+Settings!$B$7*Settings!$B$3)/(E511+Settings!$B$7)</f>
        <v>0.0161855499027327</v>
      </c>
      <c r="R511" s="61" t="n">
        <f aca="false">PERCENTRANK($H$2:$H$1780,H511,6)</f>
        <v>0.832396</v>
      </c>
      <c r="S511" s="61" t="n">
        <f aca="false">PERCENTRANK($Q$2:$Q$1780,Q511,6)</f>
        <v>0.048369</v>
      </c>
      <c r="T511" s="61" t="n">
        <f aca="false">PERCENTRANK($F$2:$F$1780,F511,6)</f>
        <v>0.799775</v>
      </c>
      <c r="U511" s="62" t="n">
        <f aca="false">IF(F511&gt;0,(Settings!$B$8*T511+Settings!$B$9*R511+Settings!$B$10*S511)/SUM(Settings!$B$8:$B$10),0)</f>
        <v>0.56018</v>
      </c>
      <c r="V511" s="56" t="n">
        <f aca="false">IF(U511&gt;0,RANK(U511,$U$2:$U$1780)+COUNTIF($U$2:U511,U511)-1,"")</f>
        <v>510</v>
      </c>
      <c r="W511" s="56" t="str">
        <f aca="false">IF(V511="","",IF(V511&lt;=Settings!$B$11,"1 - Fix first",IF(V511&lt;=Settings!$B$12,"2 - Review","3 - Monitor")))</f>
        <v>3 - Monitor</v>
      </c>
      <c r="X511" s="56" t="str">
        <f aca="false">IF(AND(E511&gt;=Settings!$B$4,F511&gt;=Settings!$B$5,O511&gt;=Settings!$B$6),"HIGH RATE","")</f>
        <v/>
      </c>
      <c r="Y511" s="56" t="n">
        <f aca="false">IF(F511&gt;0,RANK(F511,$F$2:$F$1780)+COUNTIF($F$2:F511,F511)-1,"")</f>
        <v>354</v>
      </c>
      <c r="Z511" s="56" t="n">
        <f aca="false">IF(H511&gt;0,RANK(H511,$H$2:$H$1780)+COUNTIF($H$2:H511,H511)-1,"")</f>
        <v>299</v>
      </c>
      <c r="AA511" s="56" t="n">
        <f aca="false">IF(AC511="","",RANK(AC511,$AC$2:$AC$1780)+COUNTIF($AC$2:AC511,AC511)-1)</f>
        <v>339</v>
      </c>
      <c r="AB511" s="56" t="str">
        <f aca="false">IF(AD511="","",RANK(AD511,$AD$2:$AD$1780)+COUNTIF($AD$2:AD511,AD511)-1)</f>
        <v/>
      </c>
      <c r="AC511" s="32" t="n">
        <f aca="false">IF(AND(F511&gt;0,E511&gt;=Settings!$B$4),J511,"")</f>
        <v>0.0132450331125828</v>
      </c>
      <c r="AD511" s="56" t="str">
        <f aca="false">IF(X511="HIGH RATE",O511,"")</f>
        <v/>
      </c>
    </row>
    <row r="512" customFormat="false" ht="15" hidden="false" customHeight="false" outlineLevel="0" collapsed="false">
      <c r="A512" s="56" t="s">
        <v>621</v>
      </c>
      <c r="B512" s="56" t="s">
        <v>622</v>
      </c>
      <c r="C512" s="56" t="s">
        <v>620</v>
      </c>
      <c r="D512" s="56" t="str">
        <f aca="false">IFERROR(INDEX('Brand Map'!$B$4:$B$124,MATCH(C512,'Brand Map'!$A$4:$A$124,0)),"Other")</f>
        <v>Other (small prefixes)</v>
      </c>
      <c r="E512" s="57" t="n">
        <v>361</v>
      </c>
      <c r="F512" s="57" t="n">
        <v>3</v>
      </c>
      <c r="G512" s="58" t="n">
        <v>18929.83</v>
      </c>
      <c r="H512" s="58" t="n">
        <v>152.91</v>
      </c>
      <c r="I512" s="58" t="n">
        <v>18660.78</v>
      </c>
      <c r="J512" s="32" t="n">
        <f aca="false">IF(E512&gt;0,F512/E512,0)</f>
        <v>0.00831024930747923</v>
      </c>
      <c r="K512" s="32" t="n">
        <f aca="false">IF(G512&gt;0,H512/G512,0)</f>
        <v>0.00807772705829899</v>
      </c>
      <c r="L512" s="59" t="n">
        <f aca="false">H512/Settings!$B$16</f>
        <v>0.00030559467893133</v>
      </c>
      <c r="M512" s="59" t="n">
        <f aca="false">H512/Settings!$B$20</f>
        <v>1.18710761444013E-005</v>
      </c>
      <c r="N512" s="60" t="n">
        <f aca="false">E512*Settings!$B$3</f>
        <v>11.1860005398152</v>
      </c>
      <c r="O512" s="60" t="n">
        <f aca="false">IF(E512&gt;0,(F512-N512)/SQRT(E512*Settings!$B$3*(1-Settings!$B$3)),0)</f>
        <v>-2.48639062157815</v>
      </c>
      <c r="P512" s="60" t="n">
        <f aca="false">MAX(0,F512-N512)</f>
        <v>0</v>
      </c>
      <c r="Q512" s="32" t="n">
        <f aca="false">(F512+Settings!$B$7*Settings!$B$3)/(E512+Settings!$B$7)</f>
        <v>0.0100500883181448</v>
      </c>
      <c r="R512" s="61" t="n">
        <f aca="false">PERCENTRANK($H$2:$H$1780,H512,6)</f>
        <v>0.805399</v>
      </c>
      <c r="S512" s="61" t="n">
        <f aca="false">PERCENTRANK($Q$2:$Q$1780,Q512,6)</f>
        <v>0.0140607</v>
      </c>
      <c r="T512" s="61" t="n">
        <f aca="false">PERCENTRANK($F$2:$F$1780,F512,6)</f>
        <v>0.84252</v>
      </c>
      <c r="U512" s="62" t="n">
        <f aca="false">IF(F512&gt;0,(Settings!$B$8*T512+Settings!$B$9*R512+Settings!$B$10*S512)/SUM(Settings!$B$8:$B$10),0)</f>
        <v>0.553993233333333</v>
      </c>
      <c r="V512" s="56" t="n">
        <f aca="false">IF(U512&gt;0,RANK(U512,$U$2:$U$1780)+COUNTIF($U$2:U512,U512)-1,"")</f>
        <v>511</v>
      </c>
      <c r="W512" s="56" t="str">
        <f aca="false">IF(V512="","",IF(V512&lt;=Settings!$B$11,"1 - Fix first",IF(V512&lt;=Settings!$B$12,"2 - Review","3 - Monitor")))</f>
        <v>3 - Monitor</v>
      </c>
      <c r="X512" s="56" t="str">
        <f aca="false">IF(AND(E512&gt;=Settings!$B$4,F512&gt;=Settings!$B$5,O512&gt;=Settings!$B$6),"HIGH RATE","")</f>
        <v/>
      </c>
      <c r="Y512" s="56" t="n">
        <f aca="false">IF(F512&gt;0,RANK(F512,$F$2:$F$1780)+COUNTIF($F$2:F512,F512)-1,"")</f>
        <v>280</v>
      </c>
      <c r="Z512" s="56" t="n">
        <f aca="false">IF(H512&gt;0,RANK(H512,$H$2:$H$1780)+COUNTIF($H$2:H512,H512)-1,"")</f>
        <v>347</v>
      </c>
      <c r="AA512" s="56" t="n">
        <f aca="false">IF(AC512="","",RANK(AC512,$AC$2:$AC$1780)+COUNTIF($AC$2:AC512,AC512)-1)</f>
        <v>355</v>
      </c>
      <c r="AB512" s="56" t="str">
        <f aca="false">IF(AD512="","",RANK(AD512,$AD$2:$AD$1780)+COUNTIF($AD$2:AD512,AD512)-1)</f>
        <v/>
      </c>
      <c r="AC512" s="32" t="n">
        <f aca="false">IF(AND(F512&gt;0,E512&gt;=Settings!$B$4),J512,"")</f>
        <v>0.00831024930747923</v>
      </c>
      <c r="AD512" s="56" t="str">
        <f aca="false">IF(X512="HIGH RATE",O512,"")</f>
        <v/>
      </c>
    </row>
    <row r="513" customFormat="false" ht="15" hidden="false" customHeight="false" outlineLevel="0" collapsed="false">
      <c r="A513" s="56" t="s">
        <v>1609</v>
      </c>
      <c r="B513" s="56" t="s">
        <v>1610</v>
      </c>
      <c r="C513" s="56" t="s">
        <v>165</v>
      </c>
      <c r="D513" s="56" t="str">
        <f aca="false">IFERROR(INDEX('Brand Map'!$B$4:$B$124,MATCH(C513,'Brand Map'!$A$4:$A$124,0)),"Other")</f>
        <v>GWC</v>
      </c>
      <c r="E513" s="57" t="n">
        <v>50</v>
      </c>
      <c r="F513" s="57" t="n">
        <v>1</v>
      </c>
      <c r="G513" s="58" t="n">
        <v>9764.8</v>
      </c>
      <c r="H513" s="58" t="n">
        <v>169.97</v>
      </c>
      <c r="I513" s="58" t="n">
        <v>8784.32</v>
      </c>
      <c r="J513" s="32" t="n">
        <f aca="false">IF(E513&gt;0,F513/E513,0)</f>
        <v>0.02</v>
      </c>
      <c r="K513" s="32" t="n">
        <f aca="false">IF(G513&gt;0,H513/G513,0)</f>
        <v>0.0174063984925447</v>
      </c>
      <c r="L513" s="59" t="n">
        <f aca="false">H513/Settings!$B$16</f>
        <v>0.000339689540108287</v>
      </c>
      <c r="M513" s="59" t="n">
        <f aca="false">H513/Settings!$B$20</f>
        <v>1.31955190129088E-005</v>
      </c>
      <c r="N513" s="60" t="n">
        <f aca="false">E513*Settings!$B$3</f>
        <v>1.54930755399102</v>
      </c>
      <c r="O513" s="60" t="n">
        <f aca="false">IF(E513&gt;0,(F513-N513)/SQRT(E513*Settings!$B$3*(1-Settings!$B$3)),0)</f>
        <v>-0.448313441517223</v>
      </c>
      <c r="P513" s="60" t="n">
        <f aca="false">MAX(0,F513-N513)</f>
        <v>0</v>
      </c>
      <c r="Q513" s="32" t="n">
        <f aca="false">(F513+Settings!$B$7*Settings!$B$3)/(E513+Settings!$B$7)</f>
        <v>0.0241198066549327</v>
      </c>
      <c r="R513" s="61" t="n">
        <f aca="false">PERCENTRANK($H$2:$H$1780,H513,6)</f>
        <v>0.818898</v>
      </c>
      <c r="S513" s="61" t="n">
        <f aca="false">PERCENTRANK($Q$2:$Q$1780,Q513,6)</f>
        <v>0.150731</v>
      </c>
      <c r="T513" s="61" t="n">
        <f aca="false">PERCENTRANK($F$2:$F$1780,F513,6)</f>
        <v>0.685039</v>
      </c>
      <c r="U513" s="62" t="n">
        <f aca="false">IF(F513&gt;0,(Settings!$B$8*T513+Settings!$B$9*R513+Settings!$B$10*S513)/SUM(Settings!$B$8:$B$10),0)</f>
        <v>0.551556</v>
      </c>
      <c r="V513" s="56" t="n">
        <f aca="false">IF(U513&gt;0,RANK(U513,$U$2:$U$1780)+COUNTIF($U$2:U513,U513)-1,"")</f>
        <v>512</v>
      </c>
      <c r="W513" s="56" t="str">
        <f aca="false">IF(V513="","",IF(V513&lt;=Settings!$B$11,"1 - Fix first",IF(V513&lt;=Settings!$B$12,"2 - Review","3 - Monitor")))</f>
        <v>3 - Monitor</v>
      </c>
      <c r="X513" s="56" t="str">
        <f aca="false">IF(AND(E513&gt;=Settings!$B$4,F513&gt;=Settings!$B$5,O513&gt;=Settings!$B$6),"HIGH RATE","")</f>
        <v/>
      </c>
      <c r="Y513" s="56" t="n">
        <f aca="false">IF(F513&gt;0,RANK(F513,$F$2:$F$1780)+COUNTIF($F$2:F513,F513)-1,"")</f>
        <v>517</v>
      </c>
      <c r="Z513" s="56" t="n">
        <f aca="false">IF(H513&gt;0,RANK(H513,$H$2:$H$1780)+COUNTIF($H$2:H513,H513)-1,"")</f>
        <v>323</v>
      </c>
      <c r="AA513" s="56" t="n">
        <f aca="false">IF(AC513="","",RANK(AC513,$AC$2:$AC$1780)+COUNTIF($AC$2:AC513,AC513)-1)</f>
        <v>307</v>
      </c>
      <c r="AB513" s="56" t="str">
        <f aca="false">IF(AD513="","",RANK(AD513,$AD$2:$AD$1780)+COUNTIF($AD$2:AD513,AD513)-1)</f>
        <v/>
      </c>
      <c r="AC513" s="32" t="n">
        <f aca="false">IF(AND(F513&gt;0,E513&gt;=Settings!$B$4),J513,"")</f>
        <v>0.02</v>
      </c>
      <c r="AD513" s="56" t="str">
        <f aca="false">IF(X513="HIGH RATE",O513,"")</f>
        <v/>
      </c>
    </row>
    <row r="514" customFormat="false" ht="15" hidden="false" customHeight="false" outlineLevel="0" collapsed="false">
      <c r="A514" s="56" t="s">
        <v>1611</v>
      </c>
      <c r="B514" s="56" t="s">
        <v>1612</v>
      </c>
      <c r="C514" s="56" t="s">
        <v>51</v>
      </c>
      <c r="D514" s="56" t="str">
        <f aca="false">IFERROR(INDEX('Brand Map'!$B$4:$B$124,MATCH(C514,'Brand Map'!$A$4:$A$124,0)),"Other")</f>
        <v>AU</v>
      </c>
      <c r="E514" s="57" t="n">
        <v>41</v>
      </c>
      <c r="F514" s="57" t="n">
        <v>1</v>
      </c>
      <c r="G514" s="58" t="n">
        <v>2416.23</v>
      </c>
      <c r="H514" s="58" t="n">
        <v>54.05</v>
      </c>
      <c r="I514" s="58" t="n">
        <v>2147.76</v>
      </c>
      <c r="J514" s="32" t="n">
        <f aca="false">IF(E514&gt;0,F514/E514,0)</f>
        <v>0.024390243902439</v>
      </c>
      <c r="K514" s="32" t="n">
        <f aca="false">IF(G514&gt;0,H514/G514,0)</f>
        <v>0.0223695591893156</v>
      </c>
      <c r="L514" s="59" t="n">
        <f aca="false">H514/Settings!$B$16</f>
        <v>0.00010802035443227</v>
      </c>
      <c r="M514" s="59" t="n">
        <f aca="false">H514/Settings!$B$20</f>
        <v>4.19613933428087E-006</v>
      </c>
      <c r="N514" s="60" t="n">
        <f aca="false">E514*Settings!$B$3</f>
        <v>1.27043219427264</v>
      </c>
      <c r="O514" s="60" t="n">
        <f aca="false">IF(E514&gt;0,(F514-N514)/SQRT(E514*Settings!$B$3*(1-Settings!$B$3)),0)</f>
        <v>-0.243734863585089</v>
      </c>
      <c r="P514" s="60" t="n">
        <f aca="false">MAX(0,F514-N514)</f>
        <v>0</v>
      </c>
      <c r="Q514" s="32" t="n">
        <f aca="false">(F514+Settings!$B$7*Settings!$B$3)/(E514+Settings!$B$7)</f>
        <v>0.0271772469351354</v>
      </c>
      <c r="R514" s="61" t="n">
        <f aca="false">PERCENTRANK($H$2:$H$1780,H514,6)</f>
        <v>0.704162</v>
      </c>
      <c r="S514" s="61" t="n">
        <f aca="false">PERCENTRANK($Q$2:$Q$1780,Q514,6)</f>
        <v>0.253093</v>
      </c>
      <c r="T514" s="61" t="n">
        <f aca="false">PERCENTRANK($F$2:$F$1780,F514,6)</f>
        <v>0.685039</v>
      </c>
      <c r="U514" s="62" t="n">
        <f aca="false">IF(F514&gt;0,(Settings!$B$8*T514+Settings!$B$9*R514+Settings!$B$10*S514)/SUM(Settings!$B$8:$B$10),0)</f>
        <v>0.547431333333333</v>
      </c>
      <c r="V514" s="56" t="n">
        <f aca="false">IF(U514&gt;0,RANK(U514,$U$2:$U$1780)+COUNTIF($U$2:U514,U514)-1,"")</f>
        <v>513</v>
      </c>
      <c r="W514" s="56" t="str">
        <f aca="false">IF(V514="","",IF(V514&lt;=Settings!$B$11,"1 - Fix first",IF(V514&lt;=Settings!$B$12,"2 - Review","3 - Monitor")))</f>
        <v>3 - Monitor</v>
      </c>
      <c r="X514" s="56" t="str">
        <f aca="false">IF(AND(E514&gt;=Settings!$B$4,F514&gt;=Settings!$B$5,O514&gt;=Settings!$B$6),"HIGH RATE","")</f>
        <v/>
      </c>
      <c r="Y514" s="56" t="n">
        <f aca="false">IF(F514&gt;0,RANK(F514,$F$2:$F$1780)+COUNTIF($F$2:F514,F514)-1,"")</f>
        <v>518</v>
      </c>
      <c r="Z514" s="56" t="n">
        <f aca="false">IF(H514&gt;0,RANK(H514,$H$2:$H$1780)+COUNTIF($H$2:H514,H514)-1,"")</f>
        <v>527</v>
      </c>
      <c r="AA514" s="56" t="n">
        <f aca="false">IF(AC514="","",RANK(AC514,$AC$2:$AC$1780)+COUNTIF($AC$2:AC514,AC514)-1)</f>
        <v>287</v>
      </c>
      <c r="AB514" s="56" t="str">
        <f aca="false">IF(AD514="","",RANK(AD514,$AD$2:$AD$1780)+COUNTIF($AD$2:AD514,AD514)-1)</f>
        <v/>
      </c>
      <c r="AC514" s="32" t="n">
        <f aca="false">IF(AND(F514&gt;0,E514&gt;=Settings!$B$4),J514,"")</f>
        <v>0.024390243902439</v>
      </c>
      <c r="AD514" s="56" t="str">
        <f aca="false">IF(X514="HIGH RATE",O514,"")</f>
        <v/>
      </c>
    </row>
    <row r="515" customFormat="false" ht="15" hidden="false" customHeight="false" outlineLevel="0" collapsed="false">
      <c r="A515" s="56" t="s">
        <v>259</v>
      </c>
      <c r="B515" s="56" t="s">
        <v>371</v>
      </c>
      <c r="C515" s="56" t="s">
        <v>63</v>
      </c>
      <c r="D515" s="56" t="str">
        <f aca="false">IFERROR(INDEX('Brand Map'!$B$4:$B$124,MATCH(C515,'Brand Map'!$A$4:$A$124,0)),"Other")</f>
        <v>AUSGF</v>
      </c>
      <c r="E515" s="57" t="n">
        <v>134</v>
      </c>
      <c r="F515" s="57" t="n">
        <v>2</v>
      </c>
      <c r="G515" s="58" t="n">
        <v>7095.3</v>
      </c>
      <c r="H515" s="58" t="n">
        <v>105.9</v>
      </c>
      <c r="I515" s="58" t="n">
        <v>6989.4</v>
      </c>
      <c r="J515" s="32" t="n">
        <f aca="false">IF(E515&gt;0,F515/E515,0)</f>
        <v>0.0149253731343284</v>
      </c>
      <c r="K515" s="32" t="n">
        <f aca="false">IF(G515&gt;0,H515/G515,0)</f>
        <v>0.0149253731343284</v>
      </c>
      <c r="L515" s="59" t="n">
        <f aca="false">H515/Settings!$B$16</f>
        <v>0.000211643950682283</v>
      </c>
      <c r="M515" s="59" t="n">
        <f aca="false">H515/Settings!$B$20</f>
        <v>8.22148298798047E-006</v>
      </c>
      <c r="N515" s="60" t="n">
        <f aca="false">E515*Settings!$B$3</f>
        <v>4.15214424469594</v>
      </c>
      <c r="O515" s="60" t="n">
        <f aca="false">IF(E515&gt;0,(F515-N515)/SQRT(E515*Settings!$B$3*(1-Settings!$B$3)),0)</f>
        <v>-1.07292698384991</v>
      </c>
      <c r="P515" s="60" t="n">
        <f aca="false">MAX(0,F515-N515)</f>
        <v>0</v>
      </c>
      <c r="Q515" s="32" t="n">
        <f aca="false">(F515+Settings!$B$7*Settings!$B$3)/(E515+Settings!$B$7)</f>
        <v>0.0178633203194793</v>
      </c>
      <c r="R515" s="61" t="n">
        <f aca="false">PERCENTRANK($H$2:$H$1780,H515,6)</f>
        <v>0.762655</v>
      </c>
      <c r="S515" s="61" t="n">
        <f aca="false">PERCENTRANK($Q$2:$Q$1780,Q515,6)</f>
        <v>0.0635546</v>
      </c>
      <c r="T515" s="61" t="n">
        <f aca="false">PERCENTRANK($F$2:$F$1780,F515,6)</f>
        <v>0.799775</v>
      </c>
      <c r="U515" s="62" t="n">
        <f aca="false">IF(F515&gt;0,(Settings!$B$8*T515+Settings!$B$9*R515+Settings!$B$10*S515)/SUM(Settings!$B$8:$B$10),0)</f>
        <v>0.541994866666667</v>
      </c>
      <c r="V515" s="56" t="n">
        <f aca="false">IF(U515&gt;0,RANK(U515,$U$2:$U$1780)+COUNTIF($U$2:U515,U515)-1,"")</f>
        <v>514</v>
      </c>
      <c r="W515" s="56" t="str">
        <f aca="false">IF(V515="","",IF(V515&lt;=Settings!$B$11,"1 - Fix first",IF(V515&lt;=Settings!$B$12,"2 - Review","3 - Monitor")))</f>
        <v>3 - Monitor</v>
      </c>
      <c r="X515" s="56" t="str">
        <f aca="false">IF(AND(E515&gt;=Settings!$B$4,F515&gt;=Settings!$B$5,O515&gt;=Settings!$B$6),"HIGH RATE","")</f>
        <v/>
      </c>
      <c r="Y515" s="56" t="n">
        <f aca="false">IF(F515&gt;0,RANK(F515,$F$2:$F$1780)+COUNTIF($F$2:F515,F515)-1,"")</f>
        <v>355</v>
      </c>
      <c r="Z515" s="56" t="n">
        <f aca="false">IF(H515&gt;0,RANK(H515,$H$2:$H$1780)+COUNTIF($H$2:H515,H515)-1,"")</f>
        <v>423</v>
      </c>
      <c r="AA515" s="56" t="n">
        <f aca="false">IF(AC515="","",RANK(AC515,$AC$2:$AC$1780)+COUNTIF($AC$2:AC515,AC515)-1)</f>
        <v>333</v>
      </c>
      <c r="AB515" s="56" t="str">
        <f aca="false">IF(AD515="","",RANK(AD515,$AD$2:$AD$1780)+COUNTIF($AD$2:AD515,AD515)-1)</f>
        <v/>
      </c>
      <c r="AC515" s="32" t="n">
        <f aca="false">IF(AND(F515&gt;0,E515&gt;=Settings!$B$4),J515,"")</f>
        <v>0.0149253731343284</v>
      </c>
      <c r="AD515" s="56" t="str">
        <f aca="false">IF(X515="HIGH RATE",O515,"")</f>
        <v/>
      </c>
    </row>
    <row r="516" customFormat="false" ht="15" hidden="false" customHeight="false" outlineLevel="0" collapsed="false">
      <c r="A516" s="56" t="s">
        <v>1613</v>
      </c>
      <c r="B516" s="56" t="s">
        <v>1614</v>
      </c>
      <c r="C516" s="56" t="s">
        <v>51</v>
      </c>
      <c r="D516" s="56" t="str">
        <f aca="false">IFERROR(INDEX('Brand Map'!$B$4:$B$124,MATCH(C516,'Brand Map'!$A$4:$A$124,0)),"Other")</f>
        <v>AU</v>
      </c>
      <c r="E516" s="57" t="n">
        <v>276</v>
      </c>
      <c r="F516" s="57" t="n">
        <v>3</v>
      </c>
      <c r="G516" s="58" t="n">
        <v>8541.16</v>
      </c>
      <c r="H516" s="58" t="n">
        <v>95.31</v>
      </c>
      <c r="I516" s="58" t="n">
        <v>8379.45</v>
      </c>
      <c r="J516" s="32" t="n">
        <f aca="false">IF(E516&gt;0,F516/E516,0)</f>
        <v>0.0108695652173913</v>
      </c>
      <c r="K516" s="32" t="n">
        <f aca="false">IF(G516&gt;0,H516/G516,0)</f>
        <v>0.0111589058160718</v>
      </c>
      <c r="L516" s="59" t="n">
        <f aca="false">H516/Settings!$B$16</f>
        <v>0.000190479555614055</v>
      </c>
      <c r="M516" s="59" t="n">
        <f aca="false">H516/Settings!$B$20</f>
        <v>7.39933468918242E-006</v>
      </c>
      <c r="N516" s="60" t="n">
        <f aca="false">E516*Settings!$B$3</f>
        <v>8.55217769803044</v>
      </c>
      <c r="O516" s="60" t="n">
        <f aca="false">IF(E516&gt;0,(F516-N516)/SQRT(E516*Settings!$B$3*(1-Settings!$B$3)),0)</f>
        <v>-1.92867924648638</v>
      </c>
      <c r="P516" s="60" t="n">
        <f aca="false">MAX(0,F516-N516)</f>
        <v>0</v>
      </c>
      <c r="Q516" s="32" t="n">
        <f aca="false">(F516+Settings!$B$7*Settings!$B$3)/(E516+Settings!$B$7)</f>
        <v>0.0128417795176295</v>
      </c>
      <c r="R516" s="61" t="n">
        <f aca="false">PERCENTRANK($H$2:$H$1780,H516,6)</f>
        <v>0.753656</v>
      </c>
      <c r="S516" s="61" t="n">
        <f aca="false">PERCENTRANK($Q$2:$Q$1780,Q516,6)</f>
        <v>0.0292463</v>
      </c>
      <c r="T516" s="61" t="n">
        <f aca="false">PERCENTRANK($F$2:$F$1780,F516,6)</f>
        <v>0.84252</v>
      </c>
      <c r="U516" s="62" t="n">
        <f aca="false">IF(F516&gt;0,(Settings!$B$8*T516+Settings!$B$9*R516+Settings!$B$10*S516)/SUM(Settings!$B$8:$B$10),0)</f>
        <v>0.541807433333333</v>
      </c>
      <c r="V516" s="56" t="n">
        <f aca="false">IF(U516&gt;0,RANK(U516,$U$2:$U$1780)+COUNTIF($U$2:U516,U516)-1,"")</f>
        <v>515</v>
      </c>
      <c r="W516" s="56" t="str">
        <f aca="false">IF(V516="","",IF(V516&lt;=Settings!$B$11,"1 - Fix first",IF(V516&lt;=Settings!$B$12,"2 - Review","3 - Monitor")))</f>
        <v>3 - Monitor</v>
      </c>
      <c r="X516" s="56" t="str">
        <f aca="false">IF(AND(E516&gt;=Settings!$B$4,F516&gt;=Settings!$B$5,O516&gt;=Settings!$B$6),"HIGH RATE","")</f>
        <v/>
      </c>
      <c r="Y516" s="56" t="n">
        <f aca="false">IF(F516&gt;0,RANK(F516,$F$2:$F$1780)+COUNTIF($F$2:F516,F516)-1,"")</f>
        <v>281</v>
      </c>
      <c r="Z516" s="56" t="n">
        <f aca="false">IF(H516&gt;0,RANK(H516,$H$2:$H$1780)+COUNTIF($H$2:H516,H516)-1,"")</f>
        <v>439</v>
      </c>
      <c r="AA516" s="56" t="n">
        <f aca="false">IF(AC516="","",RANK(AC516,$AC$2:$AC$1780)+COUNTIF($AC$2:AC516,AC516)-1)</f>
        <v>352</v>
      </c>
      <c r="AB516" s="56" t="str">
        <f aca="false">IF(AD516="","",RANK(AD516,$AD$2:$AD$1780)+COUNTIF($AD$2:AD516,AD516)-1)</f>
        <v/>
      </c>
      <c r="AC516" s="32" t="n">
        <f aca="false">IF(AND(F516&gt;0,E516&gt;=Settings!$B$4),J516,"")</f>
        <v>0.0108695652173913</v>
      </c>
      <c r="AD516" s="56" t="str">
        <f aca="false">IF(X516="HIGH RATE",O516,"")</f>
        <v/>
      </c>
    </row>
    <row r="517" customFormat="false" ht="15" hidden="false" customHeight="false" outlineLevel="0" collapsed="false">
      <c r="A517" s="56" t="s">
        <v>1615</v>
      </c>
      <c r="B517" s="56" t="s">
        <v>1272</v>
      </c>
      <c r="C517" s="56" t="s">
        <v>51</v>
      </c>
      <c r="D517" s="56" t="str">
        <f aca="false">IFERROR(INDEX('Brand Map'!$B$4:$B$124,MATCH(C517,'Brand Map'!$A$4:$A$124,0)),"Other")</f>
        <v>AU</v>
      </c>
      <c r="E517" s="57" t="n">
        <v>57</v>
      </c>
      <c r="F517" s="57" t="n">
        <v>1</v>
      </c>
      <c r="G517" s="58" t="n">
        <v>9577.13</v>
      </c>
      <c r="H517" s="58" t="n">
        <v>181.77</v>
      </c>
      <c r="I517" s="58" t="n">
        <v>9108.13</v>
      </c>
      <c r="J517" s="32" t="n">
        <f aca="false">IF(E517&gt;0,F517/E517,0)</f>
        <v>0.0175438596491228</v>
      </c>
      <c r="K517" s="32" t="n">
        <f aca="false">IF(G517&gt;0,H517/G517,0)</f>
        <v>0.0189795899189006</v>
      </c>
      <c r="L517" s="59" t="n">
        <f aca="false">H517/Settings!$B$16</f>
        <v>0.000363272152176757</v>
      </c>
      <c r="M517" s="59" t="n">
        <f aca="false">H517/Settings!$B$20</f>
        <v>1.41116049360265E-005</v>
      </c>
      <c r="N517" s="60" t="n">
        <f aca="false">E517*Settings!$B$3</f>
        <v>1.76621061154976</v>
      </c>
      <c r="O517" s="60" t="n">
        <f aca="false">IF(E517&gt;0,(F517-N517)/SQRT(E517*Settings!$B$3*(1-Settings!$B$3)),0)</f>
        <v>-0.585682065665273</v>
      </c>
      <c r="P517" s="60" t="n">
        <f aca="false">MAX(0,F517-N517)</f>
        <v>0</v>
      </c>
      <c r="Q517" s="32" t="n">
        <f aca="false">(F517+Settings!$B$7*Settings!$B$3)/(E517+Settings!$B$7)</f>
        <v>0.0221791325562599</v>
      </c>
      <c r="R517" s="61" t="n">
        <f aca="false">PERCENTRANK($H$2:$H$1780,H517,6)</f>
        <v>0.822835</v>
      </c>
      <c r="S517" s="61" t="n">
        <f aca="false">PERCENTRANK($Q$2:$Q$1780,Q517,6)</f>
        <v>0.116423</v>
      </c>
      <c r="T517" s="61" t="n">
        <f aca="false">PERCENTRANK($F$2:$F$1780,F517,6)</f>
        <v>0.685039</v>
      </c>
      <c r="U517" s="62" t="n">
        <f aca="false">IF(F517&gt;0,(Settings!$B$8*T517+Settings!$B$9*R517+Settings!$B$10*S517)/SUM(Settings!$B$8:$B$10),0)</f>
        <v>0.541432333333333</v>
      </c>
      <c r="V517" s="56" t="n">
        <f aca="false">IF(U517&gt;0,RANK(U517,$U$2:$U$1780)+COUNTIF($U$2:U517,U517)-1,"")</f>
        <v>516</v>
      </c>
      <c r="W517" s="56" t="str">
        <f aca="false">IF(V517="","",IF(V517&lt;=Settings!$B$11,"1 - Fix first",IF(V517&lt;=Settings!$B$12,"2 - Review","3 - Monitor")))</f>
        <v>3 - Monitor</v>
      </c>
      <c r="X517" s="56" t="str">
        <f aca="false">IF(AND(E517&gt;=Settings!$B$4,F517&gt;=Settings!$B$5,O517&gt;=Settings!$B$6),"HIGH RATE","")</f>
        <v/>
      </c>
      <c r="Y517" s="56" t="n">
        <f aca="false">IF(F517&gt;0,RANK(F517,$F$2:$F$1780)+COUNTIF($F$2:F517,F517)-1,"")</f>
        <v>519</v>
      </c>
      <c r="Z517" s="56" t="n">
        <f aca="false">IF(H517&gt;0,RANK(H517,$H$2:$H$1780)+COUNTIF($H$2:H517,H517)-1,"")</f>
        <v>316</v>
      </c>
      <c r="AA517" s="56" t="n">
        <f aca="false">IF(AC517="","",RANK(AC517,$AC$2:$AC$1780)+COUNTIF($AC$2:AC517,AC517)-1)</f>
        <v>322</v>
      </c>
      <c r="AB517" s="56" t="str">
        <f aca="false">IF(AD517="","",RANK(AD517,$AD$2:$AD$1780)+COUNTIF($AD$2:AD517,AD517)-1)</f>
        <v/>
      </c>
      <c r="AC517" s="32" t="n">
        <f aca="false">IF(AND(F517&gt;0,E517&gt;=Settings!$B$4),J517,"")</f>
        <v>0.0175438596491228</v>
      </c>
      <c r="AD517" s="56" t="str">
        <f aca="false">IF(X517="HIGH RATE",O517,"")</f>
        <v/>
      </c>
    </row>
    <row r="518" customFormat="false" ht="15" hidden="false" customHeight="false" outlineLevel="0" collapsed="false">
      <c r="A518" s="56" t="s">
        <v>1616</v>
      </c>
      <c r="B518" s="56" t="s">
        <v>1617</v>
      </c>
      <c r="C518" s="56" t="s">
        <v>145</v>
      </c>
      <c r="D518" s="56" t="str">
        <f aca="false">IFERROR(INDEX('Brand Map'!$B$4:$B$124,MATCH(C518,'Brand Map'!$A$4:$A$124,0)),"Other")</f>
        <v>AUDC</v>
      </c>
      <c r="E518" s="57" t="n">
        <v>56</v>
      </c>
      <c r="F518" s="57" t="n">
        <v>1</v>
      </c>
      <c r="G518" s="58" t="n">
        <v>7590.22</v>
      </c>
      <c r="H518" s="58" t="n">
        <v>164.95</v>
      </c>
      <c r="I518" s="58" t="n">
        <v>7135.33</v>
      </c>
      <c r="J518" s="32" t="n">
        <f aca="false">IF(E518&gt;0,F518/E518,0)</f>
        <v>0.0178571428571429</v>
      </c>
      <c r="K518" s="32" t="n">
        <f aca="false">IF(G518&gt;0,H518/G518,0)</f>
        <v>0.0217319129089802</v>
      </c>
      <c r="L518" s="59" t="n">
        <f aca="false">H518/Settings!$B$16</f>
        <v>0.000329656937346955</v>
      </c>
      <c r="M518" s="59" t="n">
        <f aca="false">H518/Settings!$B$20</f>
        <v>1.28057943235824E-005</v>
      </c>
      <c r="N518" s="60" t="n">
        <f aca="false">E518*Settings!$B$3</f>
        <v>1.73522446046994</v>
      </c>
      <c r="O518" s="60" t="n">
        <f aca="false">IF(E518&gt;0,(F518-N518)/SQRT(E518*Settings!$B$3*(1-Settings!$B$3)),0)</f>
        <v>-0.566992252757278</v>
      </c>
      <c r="P518" s="60" t="n">
        <f aca="false">MAX(0,F518-N518)</f>
        <v>0</v>
      </c>
      <c r="Q518" s="32" t="n">
        <f aca="false">(F518+Settings!$B$7*Settings!$B$3)/(E518+Settings!$B$7)</f>
        <v>0.022437029446449</v>
      </c>
      <c r="R518" s="61" t="n">
        <f aca="false">PERCENTRANK($H$2:$H$1780,H518,6)</f>
        <v>0.814398</v>
      </c>
      <c r="S518" s="61" t="n">
        <f aca="false">PERCENTRANK($Q$2:$Q$1780,Q518,6)</f>
        <v>0.116985</v>
      </c>
      <c r="T518" s="61" t="n">
        <f aca="false">PERCENTRANK($F$2:$F$1780,F518,6)</f>
        <v>0.685039</v>
      </c>
      <c r="U518" s="62" t="n">
        <f aca="false">IF(F518&gt;0,(Settings!$B$8*T518+Settings!$B$9*R518+Settings!$B$10*S518)/SUM(Settings!$B$8:$B$10),0)</f>
        <v>0.538807333333333</v>
      </c>
      <c r="V518" s="56" t="n">
        <f aca="false">IF(U518&gt;0,RANK(U518,$U$2:$U$1780)+COUNTIF($U$2:U518,U518)-1,"")</f>
        <v>517</v>
      </c>
      <c r="W518" s="56" t="str">
        <f aca="false">IF(V518="","",IF(V518&lt;=Settings!$B$11,"1 - Fix first",IF(V518&lt;=Settings!$B$12,"2 - Review","3 - Monitor")))</f>
        <v>3 - Monitor</v>
      </c>
      <c r="X518" s="56" t="str">
        <f aca="false">IF(AND(E518&gt;=Settings!$B$4,F518&gt;=Settings!$B$5,O518&gt;=Settings!$B$6),"HIGH RATE","")</f>
        <v/>
      </c>
      <c r="Y518" s="56" t="n">
        <f aca="false">IF(F518&gt;0,RANK(F518,$F$2:$F$1780)+COUNTIF($F$2:F518,F518)-1,"")</f>
        <v>520</v>
      </c>
      <c r="Z518" s="56" t="n">
        <f aca="false">IF(H518&gt;0,RANK(H518,$H$2:$H$1780)+COUNTIF($H$2:H518,H518)-1,"")</f>
        <v>331</v>
      </c>
      <c r="AA518" s="56" t="n">
        <f aca="false">IF(AC518="","",RANK(AC518,$AC$2:$AC$1780)+COUNTIF($AC$2:AC518,AC518)-1)</f>
        <v>318</v>
      </c>
      <c r="AB518" s="56" t="str">
        <f aca="false">IF(AD518="","",RANK(AD518,$AD$2:$AD$1780)+COUNTIF($AD$2:AD518,AD518)-1)</f>
        <v/>
      </c>
      <c r="AC518" s="32" t="n">
        <f aca="false">IF(AND(F518&gt;0,E518&gt;=Settings!$B$4),J518,"")</f>
        <v>0.0178571428571429</v>
      </c>
      <c r="AD518" s="56" t="str">
        <f aca="false">IF(X518="HIGH RATE",O518,"")</f>
        <v/>
      </c>
    </row>
    <row r="519" customFormat="false" ht="15" hidden="false" customHeight="false" outlineLevel="0" collapsed="false">
      <c r="A519" s="56" t="s">
        <v>1618</v>
      </c>
      <c r="B519" s="56" t="s">
        <v>1619</v>
      </c>
      <c r="C519" s="56" t="s">
        <v>51</v>
      </c>
      <c r="D519" s="56" t="str">
        <f aca="false">IFERROR(INDEX('Brand Map'!$B$4:$B$124,MATCH(C519,'Brand Map'!$A$4:$A$124,0)),"Other")</f>
        <v>AU</v>
      </c>
      <c r="E519" s="57" t="n">
        <v>54</v>
      </c>
      <c r="F519" s="57" t="n">
        <v>1</v>
      </c>
      <c r="G519" s="58" t="n">
        <v>8513.63</v>
      </c>
      <c r="H519" s="58" t="n">
        <v>145.41</v>
      </c>
      <c r="I519" s="58" t="n">
        <v>7969.4</v>
      </c>
      <c r="J519" s="32" t="n">
        <f aca="false">IF(E519&gt;0,F519/E519,0)</f>
        <v>0.0185185185185185</v>
      </c>
      <c r="K519" s="32" t="n">
        <f aca="false">IF(G519&gt;0,H519/G519,0)</f>
        <v>0.0170796710686276</v>
      </c>
      <c r="L519" s="59" t="n">
        <f aca="false">H519/Settings!$B$16</f>
        <v>0.000290605730582727</v>
      </c>
      <c r="M519" s="59" t="n">
        <f aca="false">H519/Settings!$B$20</f>
        <v>1.12888181424196E-005</v>
      </c>
      <c r="N519" s="60" t="n">
        <f aca="false">E519*Settings!$B$3</f>
        <v>1.6732521583103</v>
      </c>
      <c r="O519" s="60" t="n">
        <f aca="false">IF(E519&gt;0,(F519-N519)/SQRT(E519*Settings!$B$3*(1-Settings!$B$3)),0)</f>
        <v>-0.52872770218424</v>
      </c>
      <c r="P519" s="60" t="n">
        <f aca="false">MAX(0,F519-N519)</f>
        <v>0</v>
      </c>
      <c r="Q519" s="32" t="n">
        <f aca="false">(F519+Settings!$B$7*Settings!$B$3)/(E519+Settings!$B$7)</f>
        <v>0.0229712444332692</v>
      </c>
      <c r="R519" s="61" t="n">
        <f aca="false">PERCENTRANK($H$2:$H$1780,H519,6)</f>
        <v>0.800337</v>
      </c>
      <c r="S519" s="61" t="n">
        <f aca="false">PERCENTRANK($Q$2:$Q$1780,Q519,6)</f>
        <v>0.129359</v>
      </c>
      <c r="T519" s="61" t="n">
        <f aca="false">PERCENTRANK($F$2:$F$1780,F519,6)</f>
        <v>0.685039</v>
      </c>
      <c r="U519" s="62" t="n">
        <f aca="false">IF(F519&gt;0,(Settings!$B$8*T519+Settings!$B$9*R519+Settings!$B$10*S519)/SUM(Settings!$B$8:$B$10),0)</f>
        <v>0.538245</v>
      </c>
      <c r="V519" s="56" t="n">
        <f aca="false">IF(U519&gt;0,RANK(U519,$U$2:$U$1780)+COUNTIF($U$2:U519,U519)-1,"")</f>
        <v>518</v>
      </c>
      <c r="W519" s="56" t="str">
        <f aca="false">IF(V519="","",IF(V519&lt;=Settings!$B$11,"1 - Fix first",IF(V519&lt;=Settings!$B$12,"2 - Review","3 - Monitor")))</f>
        <v>3 - Monitor</v>
      </c>
      <c r="X519" s="56" t="str">
        <f aca="false">IF(AND(E519&gt;=Settings!$B$4,F519&gt;=Settings!$B$5,O519&gt;=Settings!$B$6),"HIGH RATE","")</f>
        <v/>
      </c>
      <c r="Y519" s="56" t="n">
        <f aca="false">IF(F519&gt;0,RANK(F519,$F$2:$F$1780)+COUNTIF($F$2:F519,F519)-1,"")</f>
        <v>521</v>
      </c>
      <c r="Z519" s="56" t="n">
        <f aca="false">IF(H519&gt;0,RANK(H519,$H$2:$H$1780)+COUNTIF($H$2:H519,H519)-1,"")</f>
        <v>356</v>
      </c>
      <c r="AA519" s="56" t="n">
        <f aca="false">IF(AC519="","",RANK(AC519,$AC$2:$AC$1780)+COUNTIF($AC$2:AC519,AC519)-1)</f>
        <v>312</v>
      </c>
      <c r="AB519" s="56" t="str">
        <f aca="false">IF(AD519="","",RANK(AD519,$AD$2:$AD$1780)+COUNTIF($AD$2:AD519,AD519)-1)</f>
        <v/>
      </c>
      <c r="AC519" s="32" t="n">
        <f aca="false">IF(AND(F519&gt;0,E519&gt;=Settings!$B$4),J519,"")</f>
        <v>0.0185185185185185</v>
      </c>
      <c r="AD519" s="56" t="str">
        <f aca="false">IF(X519="HIGH RATE",O519,"")</f>
        <v/>
      </c>
    </row>
    <row r="520" customFormat="false" ht="15" hidden="false" customHeight="false" outlineLevel="0" collapsed="false">
      <c r="A520" s="56" t="s">
        <v>1620</v>
      </c>
      <c r="B520" s="56" t="s">
        <v>1621</v>
      </c>
      <c r="C520" s="56" t="s">
        <v>51</v>
      </c>
      <c r="D520" s="56" t="str">
        <f aca="false">IFERROR(INDEX('Brand Map'!$B$4:$B$124,MATCH(C520,'Brand Map'!$A$4:$A$124,0)),"Other")</f>
        <v>AU</v>
      </c>
      <c r="E520" s="57" t="n">
        <v>49</v>
      </c>
      <c r="F520" s="57" t="n">
        <v>1</v>
      </c>
      <c r="G520" s="58" t="n">
        <v>5304.42</v>
      </c>
      <c r="H520" s="58" t="n">
        <v>114.95</v>
      </c>
      <c r="I520" s="58" t="n">
        <v>5175.17</v>
      </c>
      <c r="J520" s="32" t="n">
        <f aca="false">IF(E520&gt;0,F520/E520,0)</f>
        <v>0.0204081632653061</v>
      </c>
      <c r="K520" s="32" t="n">
        <f aca="false">IF(G520&gt;0,H520/G520,0)</f>
        <v>0.0216706067769898</v>
      </c>
      <c r="L520" s="59" t="n">
        <f aca="false">H520/Settings!$B$16</f>
        <v>0.000229730615022931</v>
      </c>
      <c r="M520" s="59" t="n">
        <f aca="false">H520/Settings!$B$20</f>
        <v>8.92407431037162E-006</v>
      </c>
      <c r="N520" s="60" t="n">
        <f aca="false">E520*Settings!$B$3</f>
        <v>1.5183214029112</v>
      </c>
      <c r="O520" s="60" t="n">
        <f aca="false">IF(E520&gt;0,(F520-N520)/SQRT(E520*Settings!$B$3*(1-Settings!$B$3)),0)</f>
        <v>-0.427319088572089</v>
      </c>
      <c r="P520" s="60" t="n">
        <f aca="false">MAX(0,F520-N520)</f>
        <v>0</v>
      </c>
      <c r="Q520" s="32" t="n">
        <f aca="false">(F520+Settings!$B$7*Settings!$B$3)/(E520+Settings!$B$7)</f>
        <v>0.0244251206632229</v>
      </c>
      <c r="R520" s="61" t="n">
        <f aca="false">PERCENTRANK($H$2:$H$1780,H520,6)</f>
        <v>0.773341</v>
      </c>
      <c r="S520" s="61" t="n">
        <f aca="false">PERCENTRANK($Q$2:$Q$1780,Q520,6)</f>
        <v>0.154106</v>
      </c>
      <c r="T520" s="61" t="n">
        <f aca="false">PERCENTRANK($F$2:$F$1780,F520,6)</f>
        <v>0.685039</v>
      </c>
      <c r="U520" s="62" t="n">
        <f aca="false">IF(F520&gt;0,(Settings!$B$8*T520+Settings!$B$9*R520+Settings!$B$10*S520)/SUM(Settings!$B$8:$B$10),0)</f>
        <v>0.537495333333333</v>
      </c>
      <c r="V520" s="56" t="n">
        <f aca="false">IF(U520&gt;0,RANK(U520,$U$2:$U$1780)+COUNTIF($U$2:U520,U520)-1,"")</f>
        <v>519</v>
      </c>
      <c r="W520" s="56" t="str">
        <f aca="false">IF(V520="","",IF(V520&lt;=Settings!$B$11,"1 - Fix first",IF(V520&lt;=Settings!$B$12,"2 - Review","3 - Monitor")))</f>
        <v>3 - Monitor</v>
      </c>
      <c r="X520" s="56" t="str">
        <f aca="false">IF(AND(E520&gt;=Settings!$B$4,F520&gt;=Settings!$B$5,O520&gt;=Settings!$B$6),"HIGH RATE","")</f>
        <v/>
      </c>
      <c r="Y520" s="56" t="n">
        <f aca="false">IF(F520&gt;0,RANK(F520,$F$2:$F$1780)+COUNTIF($F$2:F520,F520)-1,"")</f>
        <v>522</v>
      </c>
      <c r="Z520" s="56" t="n">
        <f aca="false">IF(H520&gt;0,RANK(H520,$H$2:$H$1780)+COUNTIF($H$2:H520,H520)-1,"")</f>
        <v>403</v>
      </c>
      <c r="AA520" s="56" t="n">
        <f aca="false">IF(AC520="","",RANK(AC520,$AC$2:$AC$1780)+COUNTIF($AC$2:AC520,AC520)-1)</f>
        <v>306</v>
      </c>
      <c r="AB520" s="56" t="str">
        <f aca="false">IF(AD520="","",RANK(AD520,$AD$2:$AD$1780)+COUNTIF($AD$2:AD520,AD520)-1)</f>
        <v/>
      </c>
      <c r="AC520" s="32" t="n">
        <f aca="false">IF(AND(F520&gt;0,E520&gt;=Settings!$B$4),J520,"")</f>
        <v>0.0204081632653061</v>
      </c>
      <c r="AD520" s="56" t="str">
        <f aca="false">IF(X520="HIGH RATE",O520,"")</f>
        <v/>
      </c>
    </row>
    <row r="521" customFormat="false" ht="15" hidden="false" customHeight="false" outlineLevel="0" collapsed="false">
      <c r="A521" s="56" t="s">
        <v>569</v>
      </c>
      <c r="B521" s="56" t="s">
        <v>570</v>
      </c>
      <c r="C521" s="56" t="s">
        <v>145</v>
      </c>
      <c r="D521" s="56" t="str">
        <f aca="false">IFERROR(INDEX('Brand Map'!$B$4:$B$124,MATCH(C521,'Brand Map'!$A$4:$A$124,0)),"Other")</f>
        <v>AUDC</v>
      </c>
      <c r="E521" s="57" t="n">
        <v>340</v>
      </c>
      <c r="F521" s="57" t="n">
        <v>2</v>
      </c>
      <c r="G521" s="58" t="n">
        <v>28659.04</v>
      </c>
      <c r="H521" s="58" t="n">
        <v>134.47</v>
      </c>
      <c r="I521" s="58" t="n">
        <v>28060.87</v>
      </c>
      <c r="J521" s="32" t="n">
        <f aca="false">IF(E521&gt;0,F521/E521,0)</f>
        <v>0.00588235294117647</v>
      </c>
      <c r="K521" s="32" t="n">
        <f aca="false">IF(G521&gt;0,H521/G521,0)</f>
        <v>0.00469206226028506</v>
      </c>
      <c r="L521" s="59" t="n">
        <f aca="false">H521/Settings!$B$16</f>
        <v>0.00026874185125823</v>
      </c>
      <c r="M521" s="59" t="n">
        <f aca="false">H521/Settings!$B$20</f>
        <v>1.04394978035291E-005</v>
      </c>
      <c r="N521" s="60" t="n">
        <f aca="false">E521*Settings!$B$3</f>
        <v>10.5352913671389</v>
      </c>
      <c r="O521" s="60" t="n">
        <f aca="false">IF(E521&gt;0,(F521-N521)/SQRT(E521*Settings!$B$3*(1-Settings!$B$3)),0)</f>
        <v>-2.67134563666977</v>
      </c>
      <c r="P521" s="60" t="n">
        <f aca="false">MAX(0,F521-N521)</f>
        <v>0</v>
      </c>
      <c r="Q521" s="32" t="n">
        <f aca="false">(F521+Settings!$B$7*Settings!$B$3)/(E521+Settings!$B$7)</f>
        <v>0.00791779603349895</v>
      </c>
      <c r="R521" s="61" t="n">
        <f aca="false">PERCENTRANK($H$2:$H$1780,H521,6)</f>
        <v>0.793588</v>
      </c>
      <c r="S521" s="61" t="n">
        <f aca="false">PERCENTRANK($Q$2:$Q$1780,Q521,6)</f>
        <v>0.0095613</v>
      </c>
      <c r="T521" s="61" t="n">
        <f aca="false">PERCENTRANK($F$2:$F$1780,F521,6)</f>
        <v>0.799775</v>
      </c>
      <c r="U521" s="62" t="n">
        <f aca="false">IF(F521&gt;0,(Settings!$B$8*T521+Settings!$B$9*R521+Settings!$B$10*S521)/SUM(Settings!$B$8:$B$10),0)</f>
        <v>0.5343081</v>
      </c>
      <c r="V521" s="56" t="n">
        <f aca="false">IF(U521&gt;0,RANK(U521,$U$2:$U$1780)+COUNTIF($U$2:U521,U521)-1,"")</f>
        <v>520</v>
      </c>
      <c r="W521" s="56" t="str">
        <f aca="false">IF(V521="","",IF(V521&lt;=Settings!$B$11,"1 - Fix first",IF(V521&lt;=Settings!$B$12,"2 - Review","3 - Monitor")))</f>
        <v>3 - Monitor</v>
      </c>
      <c r="X521" s="56" t="str">
        <f aca="false">IF(AND(E521&gt;=Settings!$B$4,F521&gt;=Settings!$B$5,O521&gt;=Settings!$B$6),"HIGH RATE","")</f>
        <v/>
      </c>
      <c r="Y521" s="56" t="n">
        <f aca="false">IF(F521&gt;0,RANK(F521,$F$2:$F$1780)+COUNTIF($F$2:F521,F521)-1,"")</f>
        <v>356</v>
      </c>
      <c r="Z521" s="56" t="n">
        <f aca="false">IF(H521&gt;0,RANK(H521,$H$2:$H$1780)+COUNTIF($H$2:H521,H521)-1,"")</f>
        <v>368</v>
      </c>
      <c r="AA521" s="56" t="n">
        <f aca="false">IF(AC521="","",RANK(AC521,$AC$2:$AC$1780)+COUNTIF($AC$2:AC521,AC521)-1)</f>
        <v>363</v>
      </c>
      <c r="AB521" s="56" t="str">
        <f aca="false">IF(AD521="","",RANK(AD521,$AD$2:$AD$1780)+COUNTIF($AD$2:AD521,AD521)-1)</f>
        <v/>
      </c>
      <c r="AC521" s="32" t="n">
        <f aca="false">IF(AND(F521&gt;0,E521&gt;=Settings!$B$4),J521,"")</f>
        <v>0.00588235294117647</v>
      </c>
      <c r="AD521" s="56" t="str">
        <f aca="false">IF(X521="HIGH RATE",O521,"")</f>
        <v/>
      </c>
    </row>
    <row r="522" customFormat="false" ht="15" hidden="false" customHeight="false" outlineLevel="0" collapsed="false">
      <c r="A522" s="56" t="s">
        <v>1622</v>
      </c>
      <c r="B522" s="56" t="s">
        <v>371</v>
      </c>
      <c r="C522" s="56" t="s">
        <v>87</v>
      </c>
      <c r="D522" s="56" t="str">
        <f aca="false">IFERROR(INDEX('Brand Map'!$B$4:$B$124,MATCH(C522,'Brand Map'!$A$4:$A$124,0)),"Other")</f>
        <v>FYF</v>
      </c>
      <c r="E522" s="57" t="n">
        <v>46</v>
      </c>
      <c r="F522" s="57" t="n">
        <v>1</v>
      </c>
      <c r="G522" s="58" t="n">
        <v>3677.7</v>
      </c>
      <c r="H522" s="58" t="n">
        <v>79.95</v>
      </c>
      <c r="I522" s="58" t="n">
        <v>3597.75</v>
      </c>
      <c r="J522" s="32" t="n">
        <f aca="false">IF(E522&gt;0,F522/E522,0)</f>
        <v>0.0217391304347826</v>
      </c>
      <c r="K522" s="32" t="n">
        <f aca="false">IF(G522&gt;0,H522/G522,0)</f>
        <v>0.0217391304347826</v>
      </c>
      <c r="L522" s="59" t="n">
        <f aca="false">H522/Settings!$B$16</f>
        <v>0.000159782189396114</v>
      </c>
      <c r="M522" s="59" t="n">
        <f aca="false">H522/Settings!$B$20</f>
        <v>6.20687030112407E-006</v>
      </c>
      <c r="N522" s="60" t="n">
        <f aca="false">E522*Settings!$B$3</f>
        <v>1.42536294967174</v>
      </c>
      <c r="O522" s="60" t="n">
        <f aca="false">IF(E522&gt;0,(F522-N522)/SQRT(E522*Settings!$B$3*(1-Settings!$B$3)),0)</f>
        <v>-0.361936126420989</v>
      </c>
      <c r="P522" s="60" t="n">
        <f aca="false">MAX(0,F522-N522)</f>
        <v>0</v>
      </c>
      <c r="Q522" s="32" t="n">
        <f aca="false">(F522+Settings!$B$7*Settings!$B$3)/(E522+Settings!$B$7)</f>
        <v>0.025389270163087</v>
      </c>
      <c r="R522" s="61" t="n">
        <f aca="false">PERCENTRANK($H$2:$H$1780,H522,6)</f>
        <v>0.728909</v>
      </c>
      <c r="S522" s="61" t="n">
        <f aca="false">PERCENTRANK($Q$2:$Q$1780,Q522,6)</f>
        <v>0.186727</v>
      </c>
      <c r="T522" s="61" t="n">
        <f aca="false">PERCENTRANK($F$2:$F$1780,F522,6)</f>
        <v>0.685039</v>
      </c>
      <c r="U522" s="62" t="n">
        <f aca="false">IF(F522&gt;0,(Settings!$B$8*T522+Settings!$B$9*R522+Settings!$B$10*S522)/SUM(Settings!$B$8:$B$10),0)</f>
        <v>0.533558333333333</v>
      </c>
      <c r="V522" s="56" t="n">
        <f aca="false">IF(U522&gt;0,RANK(U522,$U$2:$U$1780)+COUNTIF($U$2:U522,U522)-1,"")</f>
        <v>521</v>
      </c>
      <c r="W522" s="56" t="str">
        <f aca="false">IF(V522="","",IF(V522&lt;=Settings!$B$11,"1 - Fix first",IF(V522&lt;=Settings!$B$12,"2 - Review","3 - Monitor")))</f>
        <v>3 - Monitor</v>
      </c>
      <c r="X522" s="56" t="str">
        <f aca="false">IF(AND(E522&gt;=Settings!$B$4,F522&gt;=Settings!$B$5,O522&gt;=Settings!$B$6),"HIGH RATE","")</f>
        <v/>
      </c>
      <c r="Y522" s="56" t="n">
        <f aca="false">IF(F522&gt;0,RANK(F522,$F$2:$F$1780)+COUNTIF($F$2:F522,F522)-1,"")</f>
        <v>523</v>
      </c>
      <c r="Z522" s="56" t="n">
        <f aca="false">IF(H522&gt;0,RANK(H522,$H$2:$H$1780)+COUNTIF($H$2:H522,H522)-1,"")</f>
        <v>481</v>
      </c>
      <c r="AA522" s="56" t="n">
        <f aca="false">IF(AC522="","",RANK(AC522,$AC$2:$AC$1780)+COUNTIF($AC$2:AC522,AC522)-1)</f>
        <v>300</v>
      </c>
      <c r="AB522" s="56" t="str">
        <f aca="false">IF(AD522="","",RANK(AD522,$AD$2:$AD$1780)+COUNTIF($AD$2:AD522,AD522)-1)</f>
        <v/>
      </c>
      <c r="AC522" s="32" t="n">
        <f aca="false">IF(AND(F522&gt;0,E522&gt;=Settings!$B$4),J522,"")</f>
        <v>0.0217391304347826</v>
      </c>
      <c r="AD522" s="56" t="str">
        <f aca="false">IF(X522="HIGH RATE",O522,"")</f>
        <v/>
      </c>
    </row>
    <row r="523" customFormat="false" ht="15" hidden="false" customHeight="false" outlineLevel="0" collapsed="false">
      <c r="A523" s="56" t="s">
        <v>1623</v>
      </c>
      <c r="B523" s="56" t="s">
        <v>1624</v>
      </c>
      <c r="C523" s="56" t="s">
        <v>608</v>
      </c>
      <c r="D523" s="56" t="str">
        <f aca="false">IFERROR(INDEX('Brand Map'!$B$4:$B$124,MATCH(C523,'Brand Map'!$A$4:$A$124,0)),"Other")</f>
        <v>Other (small prefixes)</v>
      </c>
      <c r="E523" s="57" t="n">
        <v>50</v>
      </c>
      <c r="F523" s="57" t="n">
        <v>1</v>
      </c>
      <c r="G523" s="58" t="n">
        <v>5048.36</v>
      </c>
      <c r="H523" s="58" t="n">
        <v>99.95</v>
      </c>
      <c r="I523" s="58" t="n">
        <v>4933.83</v>
      </c>
      <c r="J523" s="32" t="n">
        <f aca="false">IF(E523&gt;0,F523/E523,0)</f>
        <v>0.02</v>
      </c>
      <c r="K523" s="32" t="n">
        <f aca="false">IF(G523&gt;0,H523/G523,0)</f>
        <v>0.0197985088226672</v>
      </c>
      <c r="L523" s="59" t="n">
        <f aca="false">H523/Settings!$B$16</f>
        <v>0.000199752718325724</v>
      </c>
      <c r="M523" s="59" t="n">
        <f aca="false">H523/Settings!$B$20</f>
        <v>7.75955830640839E-006</v>
      </c>
      <c r="N523" s="60" t="n">
        <f aca="false">E523*Settings!$B$3</f>
        <v>1.54930755399102</v>
      </c>
      <c r="O523" s="60" t="n">
        <f aca="false">IF(E523&gt;0,(F523-N523)/SQRT(E523*Settings!$B$3*(1-Settings!$B$3)),0)</f>
        <v>-0.448313441517223</v>
      </c>
      <c r="P523" s="60" t="n">
        <f aca="false">MAX(0,F523-N523)</f>
        <v>0</v>
      </c>
      <c r="Q523" s="32" t="n">
        <f aca="false">(F523+Settings!$B$7*Settings!$B$3)/(E523+Settings!$B$7)</f>
        <v>0.0241198066549327</v>
      </c>
      <c r="R523" s="61" t="n">
        <f aca="false">PERCENTRANK($H$2:$H$1780,H523,6)</f>
        <v>0.754781</v>
      </c>
      <c r="S523" s="61" t="n">
        <f aca="false">PERCENTRANK($Q$2:$Q$1780,Q523,6)</f>
        <v>0.150731</v>
      </c>
      <c r="T523" s="61" t="n">
        <f aca="false">PERCENTRANK($F$2:$F$1780,F523,6)</f>
        <v>0.685039</v>
      </c>
      <c r="U523" s="62" t="n">
        <f aca="false">IF(F523&gt;0,(Settings!$B$8*T523+Settings!$B$9*R523+Settings!$B$10*S523)/SUM(Settings!$B$8:$B$10),0)</f>
        <v>0.530183666666667</v>
      </c>
      <c r="V523" s="56" t="n">
        <f aca="false">IF(U523&gt;0,RANK(U523,$U$2:$U$1780)+COUNTIF($U$2:U523,U523)-1,"")</f>
        <v>522</v>
      </c>
      <c r="W523" s="56" t="str">
        <f aca="false">IF(V523="","",IF(V523&lt;=Settings!$B$11,"1 - Fix first",IF(V523&lt;=Settings!$B$12,"2 - Review","3 - Monitor")))</f>
        <v>3 - Monitor</v>
      </c>
      <c r="X523" s="56" t="str">
        <f aca="false">IF(AND(E523&gt;=Settings!$B$4,F523&gt;=Settings!$B$5,O523&gt;=Settings!$B$6),"HIGH RATE","")</f>
        <v/>
      </c>
      <c r="Y523" s="56" t="n">
        <f aca="false">IF(F523&gt;0,RANK(F523,$F$2:$F$1780)+COUNTIF($F$2:F523,F523)-1,"")</f>
        <v>524</v>
      </c>
      <c r="Z523" s="56" t="n">
        <f aca="false">IF(H523&gt;0,RANK(H523,$H$2:$H$1780)+COUNTIF($H$2:H523,H523)-1,"")</f>
        <v>435</v>
      </c>
      <c r="AA523" s="56" t="n">
        <f aca="false">IF(AC523="","",RANK(AC523,$AC$2:$AC$1780)+COUNTIF($AC$2:AC523,AC523)-1)</f>
        <v>308</v>
      </c>
      <c r="AB523" s="56" t="str">
        <f aca="false">IF(AD523="","",RANK(AD523,$AD$2:$AD$1780)+COUNTIF($AD$2:AD523,AD523)-1)</f>
        <v/>
      </c>
      <c r="AC523" s="32" t="n">
        <f aca="false">IF(AND(F523&gt;0,E523&gt;=Settings!$B$4),J523,"")</f>
        <v>0.02</v>
      </c>
      <c r="AD523" s="56" t="str">
        <f aca="false">IF(X523="HIGH RATE",O523,"")</f>
        <v/>
      </c>
    </row>
    <row r="524" customFormat="false" ht="15" hidden="false" customHeight="false" outlineLevel="0" collapsed="false">
      <c r="A524" s="56" t="s">
        <v>1625</v>
      </c>
      <c r="B524" s="56" t="s">
        <v>1626</v>
      </c>
      <c r="C524" s="56" t="s">
        <v>67</v>
      </c>
      <c r="D524" s="56" t="str">
        <f aca="false">IFERROR(INDEX('Brand Map'!$B$4:$B$124,MATCH(C524,'Brand Map'!$A$4:$A$124,0)),"Other")</f>
        <v>MJ</v>
      </c>
      <c r="E524" s="57" t="n">
        <v>155</v>
      </c>
      <c r="F524" s="57" t="n">
        <v>2</v>
      </c>
      <c r="G524" s="58" t="n">
        <v>7569.98</v>
      </c>
      <c r="H524" s="58" t="n">
        <v>86.27</v>
      </c>
      <c r="I524" s="58" t="n">
        <v>7301.95</v>
      </c>
      <c r="J524" s="32" t="n">
        <f aca="false">IF(E524&gt;0,F524/E524,0)</f>
        <v>0.0129032258064516</v>
      </c>
      <c r="K524" s="32" t="n">
        <f aca="false">IF(G524&gt;0,H524/G524,0)</f>
        <v>0.0113963312981012</v>
      </c>
      <c r="L524" s="59" t="n">
        <f aca="false">H524/Settings!$B$16</f>
        <v>0.000172412876537871</v>
      </c>
      <c r="M524" s="59" t="n">
        <f aca="false">H524/Settings!$B$20</f>
        <v>6.69751971079391E-006</v>
      </c>
      <c r="N524" s="60" t="n">
        <f aca="false">E524*Settings!$B$3</f>
        <v>4.80285341737217</v>
      </c>
      <c r="O524" s="60" t="n">
        <f aca="false">IF(E524&gt;0,(F524-N524)/SQRT(E524*Settings!$B$3*(1-Settings!$B$3)),0)</f>
        <v>-1.29922906534007</v>
      </c>
      <c r="P524" s="60" t="n">
        <f aca="false">MAX(0,F524-N524)</f>
        <v>0</v>
      </c>
      <c r="Q524" s="32" t="n">
        <f aca="false">(F524+Settings!$B$7*Settings!$B$3)/(E524+Settings!$B$7)</f>
        <v>0.0158355920669979</v>
      </c>
      <c r="R524" s="61" t="n">
        <f aca="false">PERCENTRANK($H$2:$H$1780,H524,6)</f>
        <v>0.740157</v>
      </c>
      <c r="S524" s="61" t="n">
        <f aca="false">PERCENTRANK($Q$2:$Q$1780,Q524,6)</f>
        <v>0.0444319</v>
      </c>
      <c r="T524" s="61" t="n">
        <f aca="false">PERCENTRANK($F$2:$F$1780,F524,6)</f>
        <v>0.799775</v>
      </c>
      <c r="U524" s="62" t="n">
        <f aca="false">IF(F524&gt;0,(Settings!$B$8*T524+Settings!$B$9*R524+Settings!$B$10*S524)/SUM(Settings!$B$8:$B$10),0)</f>
        <v>0.5281213</v>
      </c>
      <c r="V524" s="56" t="n">
        <f aca="false">IF(U524&gt;0,RANK(U524,$U$2:$U$1780)+COUNTIF($U$2:U524,U524)-1,"")</f>
        <v>523</v>
      </c>
      <c r="W524" s="56" t="str">
        <f aca="false">IF(V524="","",IF(V524&lt;=Settings!$B$11,"1 - Fix first",IF(V524&lt;=Settings!$B$12,"2 - Review","3 - Monitor")))</f>
        <v>3 - Monitor</v>
      </c>
      <c r="X524" s="56" t="str">
        <f aca="false">IF(AND(E524&gt;=Settings!$B$4,F524&gt;=Settings!$B$5,O524&gt;=Settings!$B$6),"HIGH RATE","")</f>
        <v/>
      </c>
      <c r="Y524" s="56" t="n">
        <f aca="false">IF(F524&gt;0,RANK(F524,$F$2:$F$1780)+COUNTIF($F$2:F524,F524)-1,"")</f>
        <v>357</v>
      </c>
      <c r="Z524" s="56" t="n">
        <f aca="false">IF(H524&gt;0,RANK(H524,$H$2:$H$1780)+COUNTIF($H$2:H524,H524)-1,"")</f>
        <v>463</v>
      </c>
      <c r="AA524" s="56" t="n">
        <f aca="false">IF(AC524="","",RANK(AC524,$AC$2:$AC$1780)+COUNTIF($AC$2:AC524,AC524)-1)</f>
        <v>340</v>
      </c>
      <c r="AB524" s="56" t="str">
        <f aca="false">IF(AD524="","",RANK(AD524,$AD$2:$AD$1780)+COUNTIF($AD$2:AD524,AD524)-1)</f>
        <v/>
      </c>
      <c r="AC524" s="32" t="n">
        <f aca="false">IF(AND(F524&gt;0,E524&gt;=Settings!$B$4),J524,"")</f>
        <v>0.0129032258064516</v>
      </c>
      <c r="AD524" s="56" t="str">
        <f aca="false">IF(X524="HIGH RATE",O524,"")</f>
        <v/>
      </c>
    </row>
    <row r="525" customFormat="false" ht="15" hidden="false" customHeight="false" outlineLevel="0" collapsed="false">
      <c r="A525" s="56" t="s">
        <v>684</v>
      </c>
      <c r="B525" s="56" t="s">
        <v>685</v>
      </c>
      <c r="C525" s="56" t="s">
        <v>683</v>
      </c>
      <c r="D525" s="56" t="str">
        <f aca="false">IFERROR(INDEX('Brand Map'!$B$4:$B$124,MATCH(C525,'Brand Map'!$A$4:$A$124,0)),"Other")</f>
        <v>Other (small prefixes)</v>
      </c>
      <c r="E525" s="57" t="n">
        <v>504</v>
      </c>
      <c r="F525" s="57" t="n">
        <v>4</v>
      </c>
      <c r="G525" s="58" t="n">
        <v>5030.31</v>
      </c>
      <c r="H525" s="58" t="n">
        <v>33.47</v>
      </c>
      <c r="I525" s="58" t="n">
        <v>4924.4</v>
      </c>
      <c r="J525" s="32" t="n">
        <f aca="false">IF(E525&gt;0,F525/E525,0)</f>
        <v>0.00793650793650794</v>
      </c>
      <c r="K525" s="32" t="n">
        <f aca="false">IF(G525&gt;0,H525/G525,0)</f>
        <v>0.00665366547986108</v>
      </c>
      <c r="L525" s="59" t="n">
        <f aca="false">H525/Settings!$B$16</f>
        <v>6.68906801637017E-005</v>
      </c>
      <c r="M525" s="59" t="n">
        <f aca="false">H525/Settings!$B$20</f>
        <v>2.59842337684331E-006</v>
      </c>
      <c r="N525" s="60" t="n">
        <f aca="false">E525*Settings!$B$3</f>
        <v>15.6170201442295</v>
      </c>
      <c r="O525" s="60" t="n">
        <f aca="false">IF(E525&gt;0,(F525-N525)/SQRT(E525*Settings!$B$3*(1-Settings!$B$3)),0)</f>
        <v>-2.98628095955586</v>
      </c>
      <c r="P525" s="60" t="n">
        <f aca="false">MAX(0,F525-N525)</f>
        <v>0</v>
      </c>
      <c r="Q525" s="32" t="n">
        <f aca="false">(F525+Settings!$B$7*Settings!$B$3)/(E525+Settings!$B$7)</f>
        <v>0.00923143170860414</v>
      </c>
      <c r="R525" s="61" t="n">
        <f aca="false">PERCENTRANK($H$2:$H$1780,H525,6)</f>
        <v>0.693476</v>
      </c>
      <c r="S525" s="61" t="n">
        <f aca="false">PERCENTRANK($Q$2:$Q$1780,Q525,6)</f>
        <v>0.0106862</v>
      </c>
      <c r="T525" s="61" t="n">
        <f aca="false">PERCENTRANK($F$2:$F$1780,F525,6)</f>
        <v>0.871766</v>
      </c>
      <c r="U525" s="62" t="n">
        <f aca="false">IF(F525&gt;0,(Settings!$B$8*T525+Settings!$B$9*R525+Settings!$B$10*S525)/SUM(Settings!$B$8:$B$10),0)</f>
        <v>0.5253094</v>
      </c>
      <c r="V525" s="56" t="n">
        <f aca="false">IF(U525&gt;0,RANK(U525,$U$2:$U$1780)+COUNTIF($U$2:U525,U525)-1,"")</f>
        <v>524</v>
      </c>
      <c r="W525" s="56" t="str">
        <f aca="false">IF(V525="","",IF(V525&lt;=Settings!$B$11,"1 - Fix first",IF(V525&lt;=Settings!$B$12,"2 - Review","3 - Monitor")))</f>
        <v>3 - Monitor</v>
      </c>
      <c r="X525" s="56" t="str">
        <f aca="false">IF(AND(E525&gt;=Settings!$B$4,F525&gt;=Settings!$B$5,O525&gt;=Settings!$B$6),"HIGH RATE","")</f>
        <v/>
      </c>
      <c r="Y525" s="56" t="n">
        <f aca="false">IF(F525&gt;0,RANK(F525,$F$2:$F$1780)+COUNTIF($F$2:F525,F525)-1,"")</f>
        <v>229</v>
      </c>
      <c r="Z525" s="56" t="n">
        <f aca="false">IF(H525&gt;0,RANK(H525,$H$2:$H$1780)+COUNTIF($H$2:H525,H525)-1,"")</f>
        <v>546</v>
      </c>
      <c r="AA525" s="56" t="n">
        <f aca="false">IF(AC525="","",RANK(AC525,$AC$2:$AC$1780)+COUNTIF($AC$2:AC525,AC525)-1)</f>
        <v>358</v>
      </c>
      <c r="AB525" s="56" t="str">
        <f aca="false">IF(AD525="","",RANK(AD525,$AD$2:$AD$1780)+COUNTIF($AD$2:AD525,AD525)-1)</f>
        <v/>
      </c>
      <c r="AC525" s="32" t="n">
        <f aca="false">IF(AND(F525&gt;0,E525&gt;=Settings!$B$4),J525,"")</f>
        <v>0.00793650793650794</v>
      </c>
      <c r="AD525" s="56" t="str">
        <f aca="false">IF(X525="HIGH RATE",O525,"")</f>
        <v/>
      </c>
    </row>
    <row r="526" customFormat="false" ht="15" hidden="false" customHeight="false" outlineLevel="0" collapsed="false">
      <c r="A526" s="56" t="s">
        <v>1627</v>
      </c>
      <c r="B526" s="56" t="s">
        <v>1576</v>
      </c>
      <c r="C526" s="56" t="s">
        <v>107</v>
      </c>
      <c r="D526" s="56" t="str">
        <f aca="false">IFERROR(INDEX('Brand Map'!$B$4:$B$124,MATCH(C526,'Brand Map'!$A$4:$A$124,0)),"Other")</f>
        <v>DCMJ</v>
      </c>
      <c r="E526" s="57" t="n">
        <v>46</v>
      </c>
      <c r="F526" s="57" t="n">
        <v>1</v>
      </c>
      <c r="G526" s="58" t="n">
        <v>3410.5</v>
      </c>
      <c r="H526" s="58" t="n">
        <v>53.64</v>
      </c>
      <c r="I526" s="58" t="n">
        <v>2868.63</v>
      </c>
      <c r="J526" s="32" t="n">
        <f aca="false">IF(E526&gt;0,F526/E526,0)</f>
        <v>0.0217391304347826</v>
      </c>
      <c r="K526" s="32" t="n">
        <f aca="false">IF(G526&gt;0,H526/G526,0)</f>
        <v>0.0157278991350242</v>
      </c>
      <c r="L526" s="59" t="n">
        <f aca="false">H526/Settings!$B$16</f>
        <v>0.000107200958589213</v>
      </c>
      <c r="M526" s="59" t="n">
        <f aca="false">H526/Settings!$B$20</f>
        <v>4.16430923017254E-006</v>
      </c>
      <c r="N526" s="60" t="n">
        <f aca="false">E526*Settings!$B$3</f>
        <v>1.42536294967174</v>
      </c>
      <c r="O526" s="60" t="n">
        <f aca="false">IF(E526&gt;0,(F526-N526)/SQRT(E526*Settings!$B$3*(1-Settings!$B$3)),0)</f>
        <v>-0.361936126420989</v>
      </c>
      <c r="P526" s="60" t="n">
        <f aca="false">MAX(0,F526-N526)</f>
        <v>0</v>
      </c>
      <c r="Q526" s="32" t="n">
        <f aca="false">(F526+Settings!$B$7*Settings!$B$3)/(E526+Settings!$B$7)</f>
        <v>0.025389270163087</v>
      </c>
      <c r="R526" s="61" t="n">
        <f aca="false">PERCENTRANK($H$2:$H$1780,H526,6)</f>
        <v>0.7036</v>
      </c>
      <c r="S526" s="61" t="n">
        <f aca="false">PERCENTRANK($Q$2:$Q$1780,Q526,6)</f>
        <v>0.186727</v>
      </c>
      <c r="T526" s="61" t="n">
        <f aca="false">PERCENTRANK($F$2:$F$1780,F526,6)</f>
        <v>0.685039</v>
      </c>
      <c r="U526" s="62" t="n">
        <f aca="false">IF(F526&gt;0,(Settings!$B$8*T526+Settings!$B$9*R526+Settings!$B$10*S526)/SUM(Settings!$B$8:$B$10),0)</f>
        <v>0.525122</v>
      </c>
      <c r="V526" s="56" t="n">
        <f aca="false">IF(U526&gt;0,RANK(U526,$U$2:$U$1780)+COUNTIF($U$2:U526,U526)-1,"")</f>
        <v>525</v>
      </c>
      <c r="W526" s="56" t="str">
        <f aca="false">IF(V526="","",IF(V526&lt;=Settings!$B$11,"1 - Fix first",IF(V526&lt;=Settings!$B$12,"2 - Review","3 - Monitor")))</f>
        <v>3 - Monitor</v>
      </c>
      <c r="X526" s="56" t="str">
        <f aca="false">IF(AND(E526&gt;=Settings!$B$4,F526&gt;=Settings!$B$5,O526&gt;=Settings!$B$6),"HIGH RATE","")</f>
        <v/>
      </c>
      <c r="Y526" s="56" t="n">
        <f aca="false">IF(F526&gt;0,RANK(F526,$F$2:$F$1780)+COUNTIF($F$2:F526,F526)-1,"")</f>
        <v>525</v>
      </c>
      <c r="Z526" s="56" t="n">
        <f aca="false">IF(H526&gt;0,RANK(H526,$H$2:$H$1780)+COUNTIF($H$2:H526,H526)-1,"")</f>
        <v>528</v>
      </c>
      <c r="AA526" s="56" t="n">
        <f aca="false">IF(AC526="","",RANK(AC526,$AC$2:$AC$1780)+COUNTIF($AC$2:AC526,AC526)-1)</f>
        <v>301</v>
      </c>
      <c r="AB526" s="56" t="str">
        <f aca="false">IF(AD526="","",RANK(AD526,$AD$2:$AD$1780)+COUNTIF($AD$2:AD526,AD526)-1)</f>
        <v/>
      </c>
      <c r="AC526" s="32" t="n">
        <f aca="false">IF(AND(F526&gt;0,E526&gt;=Settings!$B$4),J526,"")</f>
        <v>0.0217391304347826</v>
      </c>
      <c r="AD526" s="56" t="str">
        <f aca="false">IF(X526="HIGH RATE",O526,"")</f>
        <v/>
      </c>
    </row>
    <row r="527" customFormat="false" ht="15" hidden="false" customHeight="false" outlineLevel="0" collapsed="false">
      <c r="A527" s="56" t="s">
        <v>681</v>
      </c>
      <c r="B527" s="56" t="s">
        <v>682</v>
      </c>
      <c r="C527" s="56" t="s">
        <v>680</v>
      </c>
      <c r="D527" s="56" t="str">
        <f aca="false">IFERROR(INDEX('Brand Map'!$B$4:$B$124,MATCH(C527,'Brand Map'!$A$4:$A$124,0)),"Other")</f>
        <v>Other (small prefixes)</v>
      </c>
      <c r="E527" s="57" t="n">
        <v>45</v>
      </c>
      <c r="F527" s="57" t="n">
        <v>1</v>
      </c>
      <c r="G527" s="58" t="n">
        <v>2047.75</v>
      </c>
      <c r="H527" s="58" t="n">
        <v>49.95</v>
      </c>
      <c r="I527" s="58" t="n">
        <v>1997.8</v>
      </c>
      <c r="J527" s="32" t="n">
        <f aca="false">IF(E527&gt;0,F527/E527,0)</f>
        <v>0.0222222222222222</v>
      </c>
      <c r="K527" s="32" t="n">
        <f aca="false">IF(G527&gt;0,H527/G527,0)</f>
        <v>0.024392626052985</v>
      </c>
      <c r="L527" s="59" t="n">
        <f aca="false">H527/Settings!$B$16</f>
        <v>9.98263960017E-005</v>
      </c>
      <c r="M527" s="59" t="n">
        <f aca="false">H527/Settings!$B$20</f>
        <v>3.87783829319759E-006</v>
      </c>
      <c r="N527" s="60" t="n">
        <f aca="false">E527*Settings!$B$3</f>
        <v>1.39437679859192</v>
      </c>
      <c r="O527" s="60" t="n">
        <f aca="false">IF(E527&gt;0,(F527-N527)/SQRT(E527*Settings!$B$3*(1-Settings!$B$3)),0)</f>
        <v>-0.339278462486883</v>
      </c>
      <c r="P527" s="60" t="n">
        <f aca="false">MAX(0,F527-N527)</f>
        <v>0</v>
      </c>
      <c r="Q527" s="32" t="n">
        <f aca="false">(F527+Settings!$B$7*Settings!$B$3)/(E527+Settings!$B$7)</f>
        <v>0.0257277937652615</v>
      </c>
      <c r="R527" s="61" t="n">
        <f aca="false">PERCENTRANK($H$2:$H$1780,H527,6)</f>
        <v>0.700225</v>
      </c>
      <c r="S527" s="61" t="n">
        <f aca="false">PERCENTRANK($Q$2:$Q$1780,Q527,6)</f>
        <v>0.188976</v>
      </c>
      <c r="T527" s="61" t="n">
        <f aca="false">PERCENTRANK($F$2:$F$1780,F527,6)</f>
        <v>0.685039</v>
      </c>
      <c r="U527" s="62" t="n">
        <f aca="false">IF(F527&gt;0,(Settings!$B$8*T527+Settings!$B$9*R527+Settings!$B$10*S527)/SUM(Settings!$B$8:$B$10),0)</f>
        <v>0.524746666666667</v>
      </c>
      <c r="V527" s="56" t="n">
        <f aca="false">IF(U527&gt;0,RANK(U527,$U$2:$U$1780)+COUNTIF($U$2:U527,U527)-1,"")</f>
        <v>526</v>
      </c>
      <c r="W527" s="56" t="str">
        <f aca="false">IF(V527="","",IF(V527&lt;=Settings!$B$11,"1 - Fix first",IF(V527&lt;=Settings!$B$12,"2 - Review","3 - Monitor")))</f>
        <v>3 - Monitor</v>
      </c>
      <c r="X527" s="56" t="str">
        <f aca="false">IF(AND(E527&gt;=Settings!$B$4,F527&gt;=Settings!$B$5,O527&gt;=Settings!$B$6),"HIGH RATE","")</f>
        <v/>
      </c>
      <c r="Y527" s="56" t="n">
        <f aca="false">IF(F527&gt;0,RANK(F527,$F$2:$F$1780)+COUNTIF($F$2:F527,F527)-1,"")</f>
        <v>526</v>
      </c>
      <c r="Z527" s="56" t="n">
        <f aca="false">IF(H527&gt;0,RANK(H527,$H$2:$H$1780)+COUNTIF($H$2:H527,H527)-1,"")</f>
        <v>534</v>
      </c>
      <c r="AA527" s="56" t="n">
        <f aca="false">IF(AC527="","",RANK(AC527,$AC$2:$AC$1780)+COUNTIF($AC$2:AC527,AC527)-1)</f>
        <v>296</v>
      </c>
      <c r="AB527" s="56" t="str">
        <f aca="false">IF(AD527="","",RANK(AD527,$AD$2:$AD$1780)+COUNTIF($AD$2:AD527,AD527)-1)</f>
        <v/>
      </c>
      <c r="AC527" s="32" t="n">
        <f aca="false">IF(AND(F527&gt;0,E527&gt;=Settings!$B$4),J527,"")</f>
        <v>0.0222222222222222</v>
      </c>
      <c r="AD527" s="56" t="str">
        <f aca="false">IF(X527="HIGH RATE",O527,"")</f>
        <v/>
      </c>
    </row>
    <row r="528" customFormat="false" ht="15" hidden="false" customHeight="false" outlineLevel="0" collapsed="false">
      <c r="A528" s="56" t="s">
        <v>1628</v>
      </c>
      <c r="B528" s="56" t="s">
        <v>1629</v>
      </c>
      <c r="C528" s="56" t="s">
        <v>51</v>
      </c>
      <c r="D528" s="56" t="str">
        <f aca="false">IFERROR(INDEX('Brand Map'!$B$4:$B$124,MATCH(C528,'Brand Map'!$A$4:$A$124,0)),"Other")</f>
        <v>AU</v>
      </c>
      <c r="E528" s="57" t="n">
        <v>55</v>
      </c>
      <c r="F528" s="57" t="n">
        <v>1</v>
      </c>
      <c r="G528" s="58" t="n">
        <v>6860.08</v>
      </c>
      <c r="H528" s="58" t="n">
        <v>104.28</v>
      </c>
      <c r="I528" s="58" t="n">
        <v>6606.62</v>
      </c>
      <c r="J528" s="32" t="n">
        <f aca="false">IF(E528&gt;0,F528/E528,0)</f>
        <v>0.0181818181818182</v>
      </c>
      <c r="K528" s="32" t="n">
        <f aca="false">IF(G528&gt;0,H528/G528,0)</f>
        <v>0.0152009889097503</v>
      </c>
      <c r="L528" s="59" t="n">
        <f aca="false">H528/Settings!$B$16</f>
        <v>0.000208406337838985</v>
      </c>
      <c r="M528" s="59" t="n">
        <f aca="false">H528/Settings!$B$20</f>
        <v>8.09571525955244E-006</v>
      </c>
      <c r="N528" s="60" t="n">
        <f aca="false">E528*Settings!$B$3</f>
        <v>1.70423830939012</v>
      </c>
      <c r="O528" s="60" t="n">
        <f aca="false">IF(E528&gt;0,(F528-N528)/SQRT(E528*Settings!$B$3*(1-Settings!$B$3)),0)</f>
        <v>-0.548011273253138</v>
      </c>
      <c r="P528" s="60" t="n">
        <f aca="false">MAX(0,F528-N528)</f>
        <v>0</v>
      </c>
      <c r="Q528" s="32" t="n">
        <f aca="false">(F528+Settings!$B$7*Settings!$B$3)/(E528+Settings!$B$7)</f>
        <v>0.0227009944987601</v>
      </c>
      <c r="R528" s="61" t="n">
        <f aca="false">PERCENTRANK($H$2:$H$1780,H528,6)</f>
        <v>0.760405</v>
      </c>
      <c r="S528" s="61" t="n">
        <f aca="false">PERCENTRANK($Q$2:$Q$1780,Q528,6)</f>
        <v>0.127109</v>
      </c>
      <c r="T528" s="61" t="n">
        <f aca="false">PERCENTRANK($F$2:$F$1780,F528,6)</f>
        <v>0.685039</v>
      </c>
      <c r="U528" s="62" t="n">
        <f aca="false">IF(F528&gt;0,(Settings!$B$8*T528+Settings!$B$9*R528+Settings!$B$10*S528)/SUM(Settings!$B$8:$B$10),0)</f>
        <v>0.524184333333333</v>
      </c>
      <c r="V528" s="56" t="n">
        <f aca="false">IF(U528&gt;0,RANK(U528,$U$2:$U$1780)+COUNTIF($U$2:U528,U528)-1,"")</f>
        <v>527</v>
      </c>
      <c r="W528" s="56" t="str">
        <f aca="false">IF(V528="","",IF(V528&lt;=Settings!$B$11,"1 - Fix first",IF(V528&lt;=Settings!$B$12,"2 - Review","3 - Monitor")))</f>
        <v>3 - Monitor</v>
      </c>
      <c r="X528" s="56" t="str">
        <f aca="false">IF(AND(E528&gt;=Settings!$B$4,F528&gt;=Settings!$B$5,O528&gt;=Settings!$B$6),"HIGH RATE","")</f>
        <v/>
      </c>
      <c r="Y528" s="56" t="n">
        <f aca="false">IF(F528&gt;0,RANK(F528,$F$2:$F$1780)+COUNTIF($F$2:F528,F528)-1,"")</f>
        <v>527</v>
      </c>
      <c r="Z528" s="56" t="n">
        <f aca="false">IF(H528&gt;0,RANK(H528,$H$2:$H$1780)+COUNTIF($H$2:H528,H528)-1,"")</f>
        <v>427</v>
      </c>
      <c r="AA528" s="56" t="n">
        <f aca="false">IF(AC528="","",RANK(AC528,$AC$2:$AC$1780)+COUNTIF($AC$2:AC528,AC528)-1)</f>
        <v>316</v>
      </c>
      <c r="AB528" s="56" t="str">
        <f aca="false">IF(AD528="","",RANK(AD528,$AD$2:$AD$1780)+COUNTIF($AD$2:AD528,AD528)-1)</f>
        <v/>
      </c>
      <c r="AC528" s="32" t="n">
        <f aca="false">IF(AND(F528&gt;0,E528&gt;=Settings!$B$4),J528,"")</f>
        <v>0.0181818181818182</v>
      </c>
      <c r="AD528" s="56" t="str">
        <f aca="false">IF(X528="HIGH RATE",O528,"")</f>
        <v/>
      </c>
    </row>
    <row r="529" customFormat="false" ht="15" hidden="false" customHeight="false" outlineLevel="0" collapsed="false">
      <c r="A529" s="56" t="s">
        <v>1630</v>
      </c>
      <c r="B529" s="56" t="s">
        <v>619</v>
      </c>
      <c r="C529" s="56" t="s">
        <v>617</v>
      </c>
      <c r="D529" s="56" t="str">
        <f aca="false">IFERROR(INDEX('Brand Map'!$B$4:$B$124,MATCH(C529,'Brand Map'!$A$4:$A$124,0)),"Other")</f>
        <v>Other (small prefixes)</v>
      </c>
      <c r="E529" s="57" t="n">
        <v>51</v>
      </c>
      <c r="F529" s="57" t="n">
        <v>1</v>
      </c>
      <c r="G529" s="58" t="n">
        <v>4587.45</v>
      </c>
      <c r="H529" s="58" t="n">
        <v>89.95</v>
      </c>
      <c r="I529" s="58" t="n">
        <v>4497.5</v>
      </c>
      <c r="J529" s="32" t="n">
        <f aca="false">IF(E529&gt;0,F529/E529,0)</f>
        <v>0.0196078431372549</v>
      </c>
      <c r="K529" s="32" t="n">
        <f aca="false">IF(G529&gt;0,H529/G529,0)</f>
        <v>0.0196078431372549</v>
      </c>
      <c r="L529" s="59" t="n">
        <f aca="false">H529/Settings!$B$16</f>
        <v>0.000179767453860919</v>
      </c>
      <c r="M529" s="59" t="n">
        <f aca="false">H529/Settings!$B$20</f>
        <v>6.98321430376622E-006</v>
      </c>
      <c r="N529" s="60" t="n">
        <f aca="false">E529*Settings!$B$3</f>
        <v>1.58029370507084</v>
      </c>
      <c r="O529" s="60" t="n">
        <f aca="false">IF(E529&gt;0,(F529-N529)/SQRT(E529*Settings!$B$3*(1-Settings!$B$3)),0)</f>
        <v>-0.468936418726642</v>
      </c>
      <c r="P529" s="60" t="n">
        <f aca="false">MAX(0,F529-N529)</f>
        <v>0</v>
      </c>
      <c r="Q529" s="32" t="n">
        <f aca="false">(F529+Settings!$B$7*Settings!$B$3)/(E529+Settings!$B$7)</f>
        <v>0.023822031264131</v>
      </c>
      <c r="R529" s="61" t="n">
        <f aca="false">PERCENTRANK($H$2:$H$1780,H529,6)</f>
        <v>0.744094</v>
      </c>
      <c r="S529" s="61" t="n">
        <f aca="false">PERCENTRANK($Q$2:$Q$1780,Q529,6)</f>
        <v>0.142295</v>
      </c>
      <c r="T529" s="61" t="n">
        <f aca="false">PERCENTRANK($F$2:$F$1780,F529,6)</f>
        <v>0.685039</v>
      </c>
      <c r="U529" s="62" t="n">
        <f aca="false">IF(F529&gt;0,(Settings!$B$8*T529+Settings!$B$9*R529+Settings!$B$10*S529)/SUM(Settings!$B$8:$B$10),0)</f>
        <v>0.523809333333333</v>
      </c>
      <c r="V529" s="56" t="n">
        <f aca="false">IF(U529&gt;0,RANK(U529,$U$2:$U$1780)+COUNTIF($U$2:U529,U529)-1,"")</f>
        <v>528</v>
      </c>
      <c r="W529" s="56" t="str">
        <f aca="false">IF(V529="","",IF(V529&lt;=Settings!$B$11,"1 - Fix first",IF(V529&lt;=Settings!$B$12,"2 - Review","3 - Monitor")))</f>
        <v>3 - Monitor</v>
      </c>
      <c r="X529" s="56" t="str">
        <f aca="false">IF(AND(E529&gt;=Settings!$B$4,F529&gt;=Settings!$B$5,O529&gt;=Settings!$B$6),"HIGH RATE","")</f>
        <v/>
      </c>
      <c r="Y529" s="56" t="n">
        <f aca="false">IF(F529&gt;0,RANK(F529,$F$2:$F$1780)+COUNTIF($F$2:F529,F529)-1,"")</f>
        <v>528</v>
      </c>
      <c r="Z529" s="56" t="n">
        <f aca="false">IF(H529&gt;0,RANK(H529,$H$2:$H$1780)+COUNTIF($H$2:H529,H529)-1,"")</f>
        <v>456</v>
      </c>
      <c r="AA529" s="56" t="n">
        <f aca="false">IF(AC529="","",RANK(AC529,$AC$2:$AC$1780)+COUNTIF($AC$2:AC529,AC529)-1)</f>
        <v>310</v>
      </c>
      <c r="AB529" s="56" t="str">
        <f aca="false">IF(AD529="","",RANK(AD529,$AD$2:$AD$1780)+COUNTIF($AD$2:AD529,AD529)-1)</f>
        <v/>
      </c>
      <c r="AC529" s="32" t="n">
        <f aca="false">IF(AND(F529&gt;0,E529&gt;=Settings!$B$4),J529,"")</f>
        <v>0.0196078431372549</v>
      </c>
      <c r="AD529" s="56" t="str">
        <f aca="false">IF(X529="HIGH RATE",O529,"")</f>
        <v/>
      </c>
    </row>
    <row r="530" customFormat="false" ht="15" hidden="false" customHeight="false" outlineLevel="0" collapsed="false">
      <c r="A530" s="56" t="s">
        <v>1631</v>
      </c>
      <c r="B530" s="56" t="s">
        <v>1632</v>
      </c>
      <c r="C530" s="56" t="s">
        <v>168</v>
      </c>
      <c r="D530" s="56" t="str">
        <f aca="false">IFERROR(INDEX('Brand Map'!$B$4:$B$124,MATCH(C530,'Brand Map'!$A$4:$A$124,0)),"Other")</f>
        <v>OR</v>
      </c>
      <c r="E530" s="57" t="n">
        <v>54</v>
      </c>
      <c r="F530" s="57" t="n">
        <v>1</v>
      </c>
      <c r="G530" s="58" t="n">
        <v>6204.86</v>
      </c>
      <c r="H530" s="58" t="n">
        <v>99.95</v>
      </c>
      <c r="I530" s="58" t="n">
        <v>6028.45</v>
      </c>
      <c r="J530" s="32" t="n">
        <f aca="false">IF(E530&gt;0,F530/E530,0)</f>
        <v>0.0185185185185185</v>
      </c>
      <c r="K530" s="32" t="n">
        <f aca="false">IF(G530&gt;0,H530/G530,0)</f>
        <v>0.0161083408811802</v>
      </c>
      <c r="L530" s="59" t="n">
        <f aca="false">H530/Settings!$B$16</f>
        <v>0.000199752718325724</v>
      </c>
      <c r="M530" s="59" t="n">
        <f aca="false">H530/Settings!$B$20</f>
        <v>7.75955830640839E-006</v>
      </c>
      <c r="N530" s="60" t="n">
        <f aca="false">E530*Settings!$B$3</f>
        <v>1.6732521583103</v>
      </c>
      <c r="O530" s="60" t="n">
        <f aca="false">IF(E530&gt;0,(F530-N530)/SQRT(E530*Settings!$B$3*(1-Settings!$B$3)),0)</f>
        <v>-0.52872770218424</v>
      </c>
      <c r="P530" s="60" t="n">
        <f aca="false">MAX(0,F530-N530)</f>
        <v>0</v>
      </c>
      <c r="Q530" s="32" t="n">
        <f aca="false">(F530+Settings!$B$7*Settings!$B$3)/(E530+Settings!$B$7)</f>
        <v>0.0229712444332692</v>
      </c>
      <c r="R530" s="61" t="n">
        <f aca="false">PERCENTRANK($H$2:$H$1780,H530,6)</f>
        <v>0.754781</v>
      </c>
      <c r="S530" s="61" t="n">
        <f aca="false">PERCENTRANK($Q$2:$Q$1780,Q530,6)</f>
        <v>0.129359</v>
      </c>
      <c r="T530" s="61" t="n">
        <f aca="false">PERCENTRANK($F$2:$F$1780,F530,6)</f>
        <v>0.685039</v>
      </c>
      <c r="U530" s="62" t="n">
        <f aca="false">IF(F530&gt;0,(Settings!$B$8*T530+Settings!$B$9*R530+Settings!$B$10*S530)/SUM(Settings!$B$8:$B$10),0)</f>
        <v>0.523059666666667</v>
      </c>
      <c r="V530" s="56" t="n">
        <f aca="false">IF(U530&gt;0,RANK(U530,$U$2:$U$1780)+COUNTIF($U$2:U530,U530)-1,"")</f>
        <v>529</v>
      </c>
      <c r="W530" s="56" t="str">
        <f aca="false">IF(V530="","",IF(V530&lt;=Settings!$B$11,"1 - Fix first",IF(V530&lt;=Settings!$B$12,"2 - Review","3 - Monitor")))</f>
        <v>3 - Monitor</v>
      </c>
      <c r="X530" s="56" t="str">
        <f aca="false">IF(AND(E530&gt;=Settings!$B$4,F530&gt;=Settings!$B$5,O530&gt;=Settings!$B$6),"HIGH RATE","")</f>
        <v/>
      </c>
      <c r="Y530" s="56" t="n">
        <f aca="false">IF(F530&gt;0,RANK(F530,$F$2:$F$1780)+COUNTIF($F$2:F530,F530)-1,"")</f>
        <v>529</v>
      </c>
      <c r="Z530" s="56" t="n">
        <f aca="false">IF(H530&gt;0,RANK(H530,$H$2:$H$1780)+COUNTIF($H$2:H530,H530)-1,"")</f>
        <v>436</v>
      </c>
      <c r="AA530" s="56" t="n">
        <f aca="false">IF(AC530="","",RANK(AC530,$AC$2:$AC$1780)+COUNTIF($AC$2:AC530,AC530)-1)</f>
        <v>313</v>
      </c>
      <c r="AB530" s="56" t="str">
        <f aca="false">IF(AD530="","",RANK(AD530,$AD$2:$AD$1780)+COUNTIF($AD$2:AD530,AD530)-1)</f>
        <v/>
      </c>
      <c r="AC530" s="32" t="n">
        <f aca="false">IF(AND(F530&gt;0,E530&gt;=Settings!$B$4),J530,"")</f>
        <v>0.0185185185185185</v>
      </c>
      <c r="AD530" s="56" t="str">
        <f aca="false">IF(X530="HIGH RATE",O530,"")</f>
        <v/>
      </c>
    </row>
    <row r="531" customFormat="false" ht="15" hidden="false" customHeight="false" outlineLevel="0" collapsed="false">
      <c r="A531" s="56" t="s">
        <v>1633</v>
      </c>
      <c r="B531" s="56" t="s">
        <v>1634</v>
      </c>
      <c r="C531" s="56" t="s">
        <v>51</v>
      </c>
      <c r="D531" s="56" t="str">
        <f aca="false">IFERROR(INDEX('Brand Map'!$B$4:$B$124,MATCH(C531,'Brand Map'!$A$4:$A$124,0)),"Other")</f>
        <v>AU</v>
      </c>
      <c r="E531" s="57" t="n">
        <v>46</v>
      </c>
      <c r="F531" s="57" t="n">
        <v>1</v>
      </c>
      <c r="G531" s="58" t="n">
        <v>5427.3</v>
      </c>
      <c r="H531" s="58" t="n">
        <v>15</v>
      </c>
      <c r="I531" s="58" t="n">
        <v>5412.3</v>
      </c>
      <c r="J531" s="32" t="n">
        <f aca="false">IF(E531&gt;0,F531/E531,0)</f>
        <v>0.0217391304347826</v>
      </c>
      <c r="K531" s="32" t="n">
        <f aca="false">IF(G531&gt;0,H531/G531,0)</f>
        <v>0.00276380520700901</v>
      </c>
      <c r="L531" s="59" t="n">
        <f aca="false">H531/Settings!$B$16</f>
        <v>2.99778966972072E-005</v>
      </c>
      <c r="M531" s="59" t="n">
        <f aca="false">H531/Settings!$B$20</f>
        <v>1.16451600396324E-006</v>
      </c>
      <c r="N531" s="60" t="n">
        <f aca="false">E531*Settings!$B$3</f>
        <v>1.42536294967174</v>
      </c>
      <c r="O531" s="60" t="n">
        <f aca="false">IF(E531&gt;0,(F531-N531)/SQRT(E531*Settings!$B$3*(1-Settings!$B$3)),0)</f>
        <v>-0.361936126420989</v>
      </c>
      <c r="P531" s="60" t="n">
        <f aca="false">MAX(0,F531-N531)</f>
        <v>0</v>
      </c>
      <c r="Q531" s="32" t="n">
        <f aca="false">(F531+Settings!$B$7*Settings!$B$3)/(E531+Settings!$B$7)</f>
        <v>0.025389270163087</v>
      </c>
      <c r="R531" s="61" t="n">
        <f aca="false">PERCENTRANK($H$2:$H$1780,H531,6)</f>
        <v>0.688414</v>
      </c>
      <c r="S531" s="61" t="n">
        <f aca="false">PERCENTRANK($Q$2:$Q$1780,Q531,6)</f>
        <v>0.186727</v>
      </c>
      <c r="T531" s="61" t="n">
        <f aca="false">PERCENTRANK($F$2:$F$1780,F531,6)</f>
        <v>0.685039</v>
      </c>
      <c r="U531" s="62" t="n">
        <f aca="false">IF(F531&gt;0,(Settings!$B$8*T531+Settings!$B$9*R531+Settings!$B$10*S531)/SUM(Settings!$B$8:$B$10),0)</f>
        <v>0.52006</v>
      </c>
      <c r="V531" s="56" t="n">
        <f aca="false">IF(U531&gt;0,RANK(U531,$U$2:$U$1780)+COUNTIF($U$2:U531,U531)-1,"")</f>
        <v>530</v>
      </c>
      <c r="W531" s="56" t="str">
        <f aca="false">IF(V531="","",IF(V531&lt;=Settings!$B$11,"1 - Fix first",IF(V531&lt;=Settings!$B$12,"2 - Review","3 - Monitor")))</f>
        <v>3 - Monitor</v>
      </c>
      <c r="X531" s="56" t="str">
        <f aca="false">IF(AND(E531&gt;=Settings!$B$4,F531&gt;=Settings!$B$5,O531&gt;=Settings!$B$6),"HIGH RATE","")</f>
        <v/>
      </c>
      <c r="Y531" s="56" t="n">
        <f aca="false">IF(F531&gt;0,RANK(F531,$F$2:$F$1780)+COUNTIF($F$2:F531,F531)-1,"")</f>
        <v>530</v>
      </c>
      <c r="Z531" s="56" t="n">
        <f aca="false">IF(H531&gt;0,RANK(H531,$H$2:$H$1780)+COUNTIF($H$2:H531,H531)-1,"")</f>
        <v>555</v>
      </c>
      <c r="AA531" s="56" t="n">
        <f aca="false">IF(AC531="","",RANK(AC531,$AC$2:$AC$1780)+COUNTIF($AC$2:AC531,AC531)-1)</f>
        <v>302</v>
      </c>
      <c r="AB531" s="56" t="str">
        <f aca="false">IF(AD531="","",RANK(AD531,$AD$2:$AD$1780)+COUNTIF($AD$2:AD531,AD531)-1)</f>
        <v/>
      </c>
      <c r="AC531" s="32" t="n">
        <f aca="false">IF(AND(F531&gt;0,E531&gt;=Settings!$B$4),J531,"")</f>
        <v>0.0217391304347826</v>
      </c>
      <c r="AD531" s="56" t="str">
        <f aca="false">IF(X531="HIGH RATE",O531,"")</f>
        <v/>
      </c>
    </row>
    <row r="532" customFormat="false" ht="15" hidden="false" customHeight="false" outlineLevel="0" collapsed="false">
      <c r="A532" s="56" t="s">
        <v>1635</v>
      </c>
      <c r="B532" s="56" t="s">
        <v>1636</v>
      </c>
      <c r="C532" s="56" t="s">
        <v>142</v>
      </c>
      <c r="D532" s="56" t="str">
        <f aca="false">IFERROR(INDEX('Brand Map'!$B$4:$B$124,MATCH(C532,'Brand Map'!$A$4:$A$124,0)),"Other")</f>
        <v>RBC</v>
      </c>
      <c r="E532" s="57" t="n">
        <v>48</v>
      </c>
      <c r="F532" s="57" t="n">
        <v>1</v>
      </c>
      <c r="G532" s="58" t="n">
        <v>3427.37</v>
      </c>
      <c r="H532" s="58" t="n">
        <v>50.19</v>
      </c>
      <c r="I532" s="58" t="n">
        <v>3231.5</v>
      </c>
      <c r="J532" s="32" t="n">
        <f aca="false">IF(E532&gt;0,F532/E532,0)</f>
        <v>0.0208333333333333</v>
      </c>
      <c r="K532" s="32" t="n">
        <f aca="false">IF(G532&gt;0,H532/G532,0)</f>
        <v>0.0146438814601283</v>
      </c>
      <c r="L532" s="59" t="n">
        <f aca="false">H532/Settings!$B$16</f>
        <v>0.000100306042348855</v>
      </c>
      <c r="M532" s="59" t="n">
        <f aca="false">H532/Settings!$B$20</f>
        <v>3.896470549261E-006</v>
      </c>
      <c r="N532" s="60" t="n">
        <f aca="false">E532*Settings!$B$3</f>
        <v>1.48733525183138</v>
      </c>
      <c r="O532" s="60" t="n">
        <f aca="false">IF(E532&gt;0,(F532-N532)/SQRT(E532*Settings!$B$3*(1-Settings!$B$3)),0)</f>
        <v>-0.405936777630922</v>
      </c>
      <c r="P532" s="60" t="n">
        <f aca="false">MAX(0,F532-N532)</f>
        <v>0</v>
      </c>
      <c r="Q532" s="32" t="n">
        <f aca="false">(F532+Settings!$B$7*Settings!$B$3)/(E532+Settings!$B$7)</f>
        <v>0.0247382632358284</v>
      </c>
      <c r="R532" s="61" t="n">
        <f aca="false">PERCENTRANK($H$2:$H$1780,H532,6)</f>
        <v>0.703037</v>
      </c>
      <c r="S532" s="61" t="n">
        <f aca="false">PERCENTRANK($Q$2:$Q$1780,Q532,6)</f>
        <v>0.167042</v>
      </c>
      <c r="T532" s="61" t="n">
        <f aca="false">PERCENTRANK($F$2:$F$1780,F532,6)</f>
        <v>0.685039</v>
      </c>
      <c r="U532" s="62" t="n">
        <f aca="false">IF(F532&gt;0,(Settings!$B$8*T532+Settings!$B$9*R532+Settings!$B$10*S532)/SUM(Settings!$B$8:$B$10),0)</f>
        <v>0.518372666666667</v>
      </c>
      <c r="V532" s="56" t="n">
        <f aca="false">IF(U532&gt;0,RANK(U532,$U$2:$U$1780)+COUNTIF($U$2:U532,U532)-1,"")</f>
        <v>531</v>
      </c>
      <c r="W532" s="56" t="str">
        <f aca="false">IF(V532="","",IF(V532&lt;=Settings!$B$11,"1 - Fix first",IF(V532&lt;=Settings!$B$12,"2 - Review","3 - Monitor")))</f>
        <v>3 - Monitor</v>
      </c>
      <c r="X532" s="56" t="str">
        <f aca="false">IF(AND(E532&gt;=Settings!$B$4,F532&gt;=Settings!$B$5,O532&gt;=Settings!$B$6),"HIGH RATE","")</f>
        <v/>
      </c>
      <c r="Y532" s="56" t="n">
        <f aca="false">IF(F532&gt;0,RANK(F532,$F$2:$F$1780)+COUNTIF($F$2:F532,F532)-1,"")</f>
        <v>531</v>
      </c>
      <c r="Z532" s="56" t="n">
        <f aca="false">IF(H532&gt;0,RANK(H532,$H$2:$H$1780)+COUNTIF($H$2:H532,H532)-1,"")</f>
        <v>529</v>
      </c>
      <c r="AA532" s="56" t="n">
        <f aca="false">IF(AC532="","",RANK(AC532,$AC$2:$AC$1780)+COUNTIF($AC$2:AC532,AC532)-1)</f>
        <v>303</v>
      </c>
      <c r="AB532" s="56" t="str">
        <f aca="false">IF(AD532="","",RANK(AD532,$AD$2:$AD$1780)+COUNTIF($AD$2:AD532,AD532)-1)</f>
        <v/>
      </c>
      <c r="AC532" s="32" t="n">
        <f aca="false">IF(AND(F532&gt;0,E532&gt;=Settings!$B$4),J532,"")</f>
        <v>0.0208333333333333</v>
      </c>
      <c r="AD532" s="56" t="str">
        <f aca="false">IF(X532="HIGH RATE",O532,"")</f>
        <v/>
      </c>
    </row>
    <row r="533" customFormat="false" ht="15" hidden="false" customHeight="false" outlineLevel="0" collapsed="false">
      <c r="A533" s="56" t="s">
        <v>1637</v>
      </c>
      <c r="B533" s="56" t="s">
        <v>1638</v>
      </c>
      <c r="C533" s="56" t="s">
        <v>168</v>
      </c>
      <c r="D533" s="56" t="str">
        <f aca="false">IFERROR(INDEX('Brand Map'!$B$4:$B$124,MATCH(C533,'Brand Map'!$A$4:$A$124,0)),"Other")</f>
        <v>OR</v>
      </c>
      <c r="E533" s="57" t="n">
        <v>52</v>
      </c>
      <c r="F533" s="57" t="n">
        <v>1</v>
      </c>
      <c r="G533" s="58" t="n">
        <v>4754.5</v>
      </c>
      <c r="H533" s="58" t="n">
        <v>76.33</v>
      </c>
      <c r="I533" s="58" t="n">
        <v>4606.1</v>
      </c>
      <c r="J533" s="32" t="n">
        <f aca="false">IF(E533&gt;0,F533/E533,0)</f>
        <v>0.0192307692307692</v>
      </c>
      <c r="K533" s="32" t="n">
        <f aca="false">IF(G533&gt;0,H533/G533,0)</f>
        <v>0.0160542643811126</v>
      </c>
      <c r="L533" s="59" t="n">
        <f aca="false">H533/Settings!$B$16</f>
        <v>0.000152547523659855</v>
      </c>
      <c r="M533" s="59" t="n">
        <f aca="false">H533/Settings!$B$20</f>
        <v>5.9258337721676E-006</v>
      </c>
      <c r="N533" s="60" t="n">
        <f aca="false">E533*Settings!$B$3</f>
        <v>1.61127985615066</v>
      </c>
      <c r="O533" s="60" t="n">
        <f aca="false">IF(E533&gt;0,(F533-N533)/SQRT(E533*Settings!$B$3*(1-Settings!$B$3)),0)</f>
        <v>-0.489203554226806</v>
      </c>
      <c r="P533" s="60" t="n">
        <f aca="false">MAX(0,F533-N533)</f>
        <v>0</v>
      </c>
      <c r="Q533" s="32" t="n">
        <f aca="false">(F533+Settings!$B$7*Settings!$B$3)/(E533+Settings!$B$7)</f>
        <v>0.0235315186877392</v>
      </c>
      <c r="R533" s="61" t="n">
        <f aca="false">PERCENTRANK($H$2:$H$1780,H533,6)</f>
        <v>0.727222</v>
      </c>
      <c r="S533" s="61" t="n">
        <f aca="false">PERCENTRANK($Q$2:$Q$1780,Q533,6)</f>
        <v>0.141732</v>
      </c>
      <c r="T533" s="61" t="n">
        <f aca="false">PERCENTRANK($F$2:$F$1780,F533,6)</f>
        <v>0.685039</v>
      </c>
      <c r="U533" s="62" t="n">
        <f aca="false">IF(F533&gt;0,(Settings!$B$8*T533+Settings!$B$9*R533+Settings!$B$10*S533)/SUM(Settings!$B$8:$B$10),0)</f>
        <v>0.517997666666667</v>
      </c>
      <c r="V533" s="56" t="n">
        <f aca="false">IF(U533&gt;0,RANK(U533,$U$2:$U$1780)+COUNTIF($U$2:U533,U533)-1,"")</f>
        <v>532</v>
      </c>
      <c r="W533" s="56" t="str">
        <f aca="false">IF(V533="","",IF(V533&lt;=Settings!$B$11,"1 - Fix first",IF(V533&lt;=Settings!$B$12,"2 - Review","3 - Monitor")))</f>
        <v>3 - Monitor</v>
      </c>
      <c r="X533" s="56" t="str">
        <f aca="false">IF(AND(E533&gt;=Settings!$B$4,F533&gt;=Settings!$B$5,O533&gt;=Settings!$B$6),"HIGH RATE","")</f>
        <v/>
      </c>
      <c r="Y533" s="56" t="n">
        <f aca="false">IF(F533&gt;0,RANK(F533,$F$2:$F$1780)+COUNTIF($F$2:F533,F533)-1,"")</f>
        <v>532</v>
      </c>
      <c r="Z533" s="56" t="n">
        <f aca="false">IF(H533&gt;0,RANK(H533,$H$2:$H$1780)+COUNTIF($H$2:H533,H533)-1,"")</f>
        <v>486</v>
      </c>
      <c r="AA533" s="56" t="n">
        <f aca="false">IF(AC533="","",RANK(AC533,$AC$2:$AC$1780)+COUNTIF($AC$2:AC533,AC533)-1)</f>
        <v>311</v>
      </c>
      <c r="AB533" s="56" t="str">
        <f aca="false">IF(AD533="","",RANK(AD533,$AD$2:$AD$1780)+COUNTIF($AD$2:AD533,AD533)-1)</f>
        <v/>
      </c>
      <c r="AC533" s="32" t="n">
        <f aca="false">IF(AND(F533&gt;0,E533&gt;=Settings!$B$4),J533,"")</f>
        <v>0.0192307692307692</v>
      </c>
      <c r="AD533" s="56" t="str">
        <f aca="false">IF(X533="HIGH RATE",O533,"")</f>
        <v/>
      </c>
    </row>
    <row r="534" customFormat="false" ht="15" hidden="false" customHeight="false" outlineLevel="0" collapsed="false">
      <c r="A534" s="56" t="s">
        <v>1639</v>
      </c>
      <c r="B534" s="56" t="s">
        <v>1640</v>
      </c>
      <c r="C534" s="56" t="s">
        <v>162</v>
      </c>
      <c r="D534" s="56" t="str">
        <f aca="false">IFERROR(INDEX('Brand Map'!$B$4:$B$124,MATCH(C534,'Brand Map'!$A$4:$A$124,0)),"Other")</f>
        <v>GBAU</v>
      </c>
      <c r="E534" s="57" t="n">
        <v>79</v>
      </c>
      <c r="F534" s="57" t="n">
        <v>1</v>
      </c>
      <c r="G534" s="58" t="n">
        <v>8155.66</v>
      </c>
      <c r="H534" s="58" t="n">
        <v>133.27</v>
      </c>
      <c r="I534" s="58" t="n">
        <v>7844.9</v>
      </c>
      <c r="J534" s="32" t="n">
        <f aca="false">IF(E534&gt;0,F534/E534,0)</f>
        <v>0.0126582278481013</v>
      </c>
      <c r="K534" s="32" t="n">
        <f aca="false">IF(G534&gt;0,H534/G534,0)</f>
        <v>0.0163407989053001</v>
      </c>
      <c r="L534" s="59" t="n">
        <f aca="false">H534/Settings!$B$16</f>
        <v>0.000266343619522454</v>
      </c>
      <c r="M534" s="59" t="n">
        <f aca="false">H534/Settings!$B$20</f>
        <v>1.03463365232121E-005</v>
      </c>
      <c r="N534" s="60" t="n">
        <f aca="false">E534*Settings!$B$3</f>
        <v>2.44790593530581</v>
      </c>
      <c r="O534" s="60" t="n">
        <f aca="false">IF(E534&gt;0,(F534-N534)/SQRT(E534*Settings!$B$3*(1-Settings!$B$3)),0)</f>
        <v>-0.940108531127471</v>
      </c>
      <c r="P534" s="60" t="n">
        <f aca="false">MAX(0,F534-N534)</f>
        <v>0</v>
      </c>
      <c r="Q534" s="32" t="n">
        <f aca="false">(F534+Settings!$B$7*Settings!$B$3)/(E534+Settings!$B$7)</f>
        <v>0.0177026103889414</v>
      </c>
      <c r="R534" s="61" t="n">
        <f aca="false">PERCENTRANK($H$2:$H$1780,H534,6)</f>
        <v>0.793026</v>
      </c>
      <c r="S534" s="61" t="n">
        <f aca="false">PERCENTRANK($Q$2:$Q$1780,Q534,6)</f>
        <v>0.0618673</v>
      </c>
      <c r="T534" s="61" t="n">
        <f aca="false">PERCENTRANK($F$2:$F$1780,F534,6)</f>
        <v>0.685039</v>
      </c>
      <c r="U534" s="62" t="n">
        <f aca="false">IF(F534&gt;0,(Settings!$B$8*T534+Settings!$B$9*R534+Settings!$B$10*S534)/SUM(Settings!$B$8:$B$10),0)</f>
        <v>0.513310766666667</v>
      </c>
      <c r="V534" s="56" t="n">
        <f aca="false">IF(U534&gt;0,RANK(U534,$U$2:$U$1780)+COUNTIF($U$2:U534,U534)-1,"")</f>
        <v>533</v>
      </c>
      <c r="W534" s="56" t="str">
        <f aca="false">IF(V534="","",IF(V534&lt;=Settings!$B$11,"1 - Fix first",IF(V534&lt;=Settings!$B$12,"2 - Review","3 - Monitor")))</f>
        <v>3 - Monitor</v>
      </c>
      <c r="X534" s="56" t="str">
        <f aca="false">IF(AND(E534&gt;=Settings!$B$4,F534&gt;=Settings!$B$5,O534&gt;=Settings!$B$6),"HIGH RATE","")</f>
        <v/>
      </c>
      <c r="Y534" s="56" t="n">
        <f aca="false">IF(F534&gt;0,RANK(F534,$F$2:$F$1780)+COUNTIF($F$2:F534,F534)-1,"")</f>
        <v>533</v>
      </c>
      <c r="Z534" s="56" t="n">
        <f aca="false">IF(H534&gt;0,RANK(H534,$H$2:$H$1780)+COUNTIF($H$2:H534,H534)-1,"")</f>
        <v>369</v>
      </c>
      <c r="AA534" s="56" t="n">
        <f aca="false">IF(AC534="","",RANK(AC534,$AC$2:$AC$1780)+COUNTIF($AC$2:AC534,AC534)-1)</f>
        <v>344</v>
      </c>
      <c r="AB534" s="56" t="str">
        <f aca="false">IF(AD534="","",RANK(AD534,$AD$2:$AD$1780)+COUNTIF($AD$2:AD534,AD534)-1)</f>
        <v/>
      </c>
      <c r="AC534" s="32" t="n">
        <f aca="false">IF(AND(F534&gt;0,E534&gt;=Settings!$B$4),J534,"")</f>
        <v>0.0126582278481013</v>
      </c>
      <c r="AD534" s="56" t="str">
        <f aca="false">IF(X534="HIGH RATE",O534,"")</f>
        <v/>
      </c>
    </row>
    <row r="535" customFormat="false" ht="15" hidden="false" customHeight="false" outlineLevel="0" collapsed="false">
      <c r="A535" s="56" t="s">
        <v>1641</v>
      </c>
      <c r="B535" s="56" t="s">
        <v>1642</v>
      </c>
      <c r="C535" s="56" t="s">
        <v>51</v>
      </c>
      <c r="D535" s="56" t="str">
        <f aca="false">IFERROR(INDEX('Brand Map'!$B$4:$B$124,MATCH(C535,'Brand Map'!$A$4:$A$124,0)),"Other")</f>
        <v>AU</v>
      </c>
      <c r="E535" s="57" t="n">
        <v>64</v>
      </c>
      <c r="F535" s="57" t="n">
        <v>1</v>
      </c>
      <c r="G535" s="58" t="n">
        <v>7308.18</v>
      </c>
      <c r="H535" s="58" t="n">
        <v>104.5</v>
      </c>
      <c r="I535" s="58" t="n">
        <v>6991.15</v>
      </c>
      <c r="J535" s="32" t="n">
        <f aca="false">IF(E535&gt;0,F535/E535,0)</f>
        <v>0.015625</v>
      </c>
      <c r="K535" s="32" t="n">
        <f aca="false">IF(G535&gt;0,H535/G535,0)</f>
        <v>0.0142990457268431</v>
      </c>
      <c r="L535" s="59" t="n">
        <f aca="false">H535/Settings!$B$16</f>
        <v>0.00020884601365721</v>
      </c>
      <c r="M535" s="59" t="n">
        <f aca="false">H535/Settings!$B$20</f>
        <v>8.11279482761057E-006</v>
      </c>
      <c r="N535" s="60" t="n">
        <f aca="false">E535*Settings!$B$3</f>
        <v>1.98311366910851</v>
      </c>
      <c r="O535" s="60" t="n">
        <f aca="false">IF(E535&gt;0,(F535-N535)/SQRT(E535*Settings!$B$3*(1-Settings!$B$3)),0)</f>
        <v>-0.709193813627661</v>
      </c>
      <c r="P535" s="60" t="n">
        <f aca="false">MAX(0,F535-N535)</f>
        <v>0</v>
      </c>
      <c r="Q535" s="32" t="n">
        <f aca="false">(F535+Settings!$B$7*Settings!$B$3)/(E535+Settings!$B$7)</f>
        <v>0.0205274950254746</v>
      </c>
      <c r="R535" s="61" t="n">
        <f aca="false">PERCENTRANK($H$2:$H$1780,H535,6)</f>
        <v>0.760967</v>
      </c>
      <c r="S535" s="61" t="n">
        <f aca="false">PERCENTRANK($Q$2:$Q$1780,Q535,6)</f>
        <v>0.0905512</v>
      </c>
      <c r="T535" s="61" t="n">
        <f aca="false">PERCENTRANK($F$2:$F$1780,F535,6)</f>
        <v>0.685039</v>
      </c>
      <c r="U535" s="62" t="n">
        <f aca="false">IF(F535&gt;0,(Settings!$B$8*T535+Settings!$B$9*R535+Settings!$B$10*S535)/SUM(Settings!$B$8:$B$10),0)</f>
        <v>0.512185733333333</v>
      </c>
      <c r="V535" s="56" t="n">
        <f aca="false">IF(U535&gt;0,RANK(U535,$U$2:$U$1780)+COUNTIF($U$2:U535,U535)-1,"")</f>
        <v>534</v>
      </c>
      <c r="W535" s="56" t="str">
        <f aca="false">IF(V535="","",IF(V535&lt;=Settings!$B$11,"1 - Fix first",IF(V535&lt;=Settings!$B$12,"2 - Review","3 - Monitor")))</f>
        <v>3 - Monitor</v>
      </c>
      <c r="X535" s="56" t="str">
        <f aca="false">IF(AND(E535&gt;=Settings!$B$4,F535&gt;=Settings!$B$5,O535&gt;=Settings!$B$6),"HIGH RATE","")</f>
        <v/>
      </c>
      <c r="Y535" s="56" t="n">
        <f aca="false">IF(F535&gt;0,RANK(F535,$F$2:$F$1780)+COUNTIF($F$2:F535,F535)-1,"")</f>
        <v>534</v>
      </c>
      <c r="Z535" s="56" t="n">
        <f aca="false">IF(H535&gt;0,RANK(H535,$H$2:$H$1780)+COUNTIF($H$2:H535,H535)-1,"")</f>
        <v>426</v>
      </c>
      <c r="AA535" s="56" t="n">
        <f aca="false">IF(AC535="","",RANK(AC535,$AC$2:$AC$1780)+COUNTIF($AC$2:AC535,AC535)-1)</f>
        <v>329</v>
      </c>
      <c r="AB535" s="56" t="str">
        <f aca="false">IF(AD535="","",RANK(AD535,$AD$2:$AD$1780)+COUNTIF($AD$2:AD535,AD535)-1)</f>
        <v/>
      </c>
      <c r="AC535" s="32" t="n">
        <f aca="false">IF(AND(F535&gt;0,E535&gt;=Settings!$B$4),J535,"")</f>
        <v>0.015625</v>
      </c>
      <c r="AD535" s="56" t="str">
        <f aca="false">IF(X535="HIGH RATE",O535,"")</f>
        <v/>
      </c>
    </row>
    <row r="536" customFormat="false" ht="15" hidden="false" customHeight="false" outlineLevel="0" collapsed="false">
      <c r="A536" s="56" t="s">
        <v>1643</v>
      </c>
      <c r="B536" s="56" t="s">
        <v>1218</v>
      </c>
      <c r="C536" s="56" t="s">
        <v>87</v>
      </c>
      <c r="D536" s="56" t="str">
        <f aca="false">IFERROR(INDEX('Brand Map'!$B$4:$B$124,MATCH(C536,'Brand Map'!$A$4:$A$124,0)),"Other")</f>
        <v>FYF</v>
      </c>
      <c r="E536" s="57" t="n">
        <v>60</v>
      </c>
      <c r="F536" s="57" t="n">
        <v>1</v>
      </c>
      <c r="G536" s="58" t="n">
        <v>5697</v>
      </c>
      <c r="H536" s="58" t="n">
        <v>94.95</v>
      </c>
      <c r="I536" s="58" t="n">
        <v>5602.05</v>
      </c>
      <c r="J536" s="32" t="n">
        <f aca="false">IF(E536&gt;0,F536/E536,0)</f>
        <v>0.0166666666666667</v>
      </c>
      <c r="K536" s="32" t="n">
        <f aca="false">IF(G536&gt;0,H536/G536,0)</f>
        <v>0.0166666666666667</v>
      </c>
      <c r="L536" s="59" t="n">
        <f aca="false">H536/Settings!$B$16</f>
        <v>0.000189760086093322</v>
      </c>
      <c r="M536" s="59" t="n">
        <f aca="false">H536/Settings!$B$20</f>
        <v>7.3713863050873E-006</v>
      </c>
      <c r="N536" s="60" t="n">
        <f aca="false">E536*Settings!$B$3</f>
        <v>1.85916906478923</v>
      </c>
      <c r="O536" s="60" t="n">
        <f aca="false">IF(E536&gt;0,(F536-N536)/SQRT(E536*Settings!$B$3*(1-Settings!$B$3)),0)</f>
        <v>-0.640109388817647</v>
      </c>
      <c r="P536" s="60" t="n">
        <f aca="false">MAX(0,F536-N536)</f>
        <v>0</v>
      </c>
      <c r="Q536" s="32" t="n">
        <f aca="false">(F536+Settings!$B$7*Settings!$B$3)/(E536+Settings!$B$7)</f>
        <v>0.0214398281377179</v>
      </c>
      <c r="R536" s="61" t="n">
        <f aca="false">PERCENTRANK($H$2:$H$1780,H536,6)</f>
        <v>0.748594</v>
      </c>
      <c r="S536" s="61" t="n">
        <f aca="false">PERCENTRANK($Q$2:$Q$1780,Q536,6)</f>
        <v>0.102362</v>
      </c>
      <c r="T536" s="61" t="n">
        <f aca="false">PERCENTRANK($F$2:$F$1780,F536,6)</f>
        <v>0.685039</v>
      </c>
      <c r="U536" s="62" t="n">
        <f aca="false">IF(F536&gt;0,(Settings!$B$8*T536+Settings!$B$9*R536+Settings!$B$10*S536)/SUM(Settings!$B$8:$B$10),0)</f>
        <v>0.511998333333333</v>
      </c>
      <c r="V536" s="56" t="n">
        <f aca="false">IF(U536&gt;0,RANK(U536,$U$2:$U$1780)+COUNTIF($U$2:U536,U536)-1,"")</f>
        <v>535</v>
      </c>
      <c r="W536" s="56" t="str">
        <f aca="false">IF(V536="","",IF(V536&lt;=Settings!$B$11,"1 - Fix first",IF(V536&lt;=Settings!$B$12,"2 - Review","3 - Monitor")))</f>
        <v>3 - Monitor</v>
      </c>
      <c r="X536" s="56" t="str">
        <f aca="false">IF(AND(E536&gt;=Settings!$B$4,F536&gt;=Settings!$B$5,O536&gt;=Settings!$B$6),"HIGH RATE","")</f>
        <v/>
      </c>
      <c r="Y536" s="56" t="n">
        <f aca="false">IF(F536&gt;0,RANK(F536,$F$2:$F$1780)+COUNTIF($F$2:F536,F536)-1,"")</f>
        <v>535</v>
      </c>
      <c r="Z536" s="56" t="n">
        <f aca="false">IF(H536&gt;0,RANK(H536,$H$2:$H$1780)+COUNTIF($H$2:H536,H536)-1,"")</f>
        <v>447</v>
      </c>
      <c r="AA536" s="56" t="n">
        <f aca="false">IF(AC536="","",RANK(AC536,$AC$2:$AC$1780)+COUNTIF($AC$2:AC536,AC536)-1)</f>
        <v>323</v>
      </c>
      <c r="AB536" s="56" t="str">
        <f aca="false">IF(AD536="","",RANK(AD536,$AD$2:$AD$1780)+COUNTIF($AD$2:AD536,AD536)-1)</f>
        <v/>
      </c>
      <c r="AC536" s="32" t="n">
        <f aca="false">IF(AND(F536&gt;0,E536&gt;=Settings!$B$4),J536,"")</f>
        <v>0.0166666666666667</v>
      </c>
      <c r="AD536" s="56" t="str">
        <f aca="false">IF(X536="HIGH RATE",O536,"")</f>
        <v/>
      </c>
    </row>
    <row r="537" customFormat="false" ht="15" hidden="false" customHeight="false" outlineLevel="0" collapsed="false">
      <c r="A537" s="56" t="s">
        <v>1644</v>
      </c>
      <c r="B537" s="56" t="s">
        <v>1645</v>
      </c>
      <c r="C537" s="56" t="s">
        <v>177</v>
      </c>
      <c r="D537" s="56" t="str">
        <f aca="false">IFERROR(INDEX('Brand Map'!$B$4:$B$124,MATCH(C537,'Brand Map'!$A$4:$A$124,0)),"Other")</f>
        <v>GBGC</v>
      </c>
      <c r="E537" s="57" t="n">
        <v>60</v>
      </c>
      <c r="F537" s="57" t="n">
        <v>1</v>
      </c>
      <c r="G537" s="58" t="n">
        <v>6127.44</v>
      </c>
      <c r="H537" s="58" t="n">
        <v>86.32</v>
      </c>
      <c r="I537" s="58" t="n">
        <v>5856</v>
      </c>
      <c r="J537" s="32" t="n">
        <f aca="false">IF(E537&gt;0,F537/E537,0)</f>
        <v>0.0166666666666667</v>
      </c>
      <c r="K537" s="32" t="n">
        <f aca="false">IF(G537&gt;0,H537/G537,0)</f>
        <v>0.014087449244709</v>
      </c>
      <c r="L537" s="59" t="n">
        <f aca="false">H537/Settings!$B$16</f>
        <v>0.000172512802860195</v>
      </c>
      <c r="M537" s="59" t="n">
        <f aca="false">H537/Settings!$B$20</f>
        <v>6.70140143080712E-006</v>
      </c>
      <c r="N537" s="60" t="n">
        <f aca="false">E537*Settings!$B$3</f>
        <v>1.85916906478923</v>
      </c>
      <c r="O537" s="60" t="n">
        <f aca="false">IF(E537&gt;0,(F537-N537)/SQRT(E537*Settings!$B$3*(1-Settings!$B$3)),0)</f>
        <v>-0.640109388817647</v>
      </c>
      <c r="P537" s="60" t="n">
        <f aca="false">MAX(0,F537-N537)</f>
        <v>0</v>
      </c>
      <c r="Q537" s="32" t="n">
        <f aca="false">(F537+Settings!$B$7*Settings!$B$3)/(E537+Settings!$B$7)</f>
        <v>0.0214398281377179</v>
      </c>
      <c r="R537" s="61" t="n">
        <f aca="false">PERCENTRANK($H$2:$H$1780,H537,6)</f>
        <v>0.74072</v>
      </c>
      <c r="S537" s="61" t="n">
        <f aca="false">PERCENTRANK($Q$2:$Q$1780,Q537,6)</f>
        <v>0.102362</v>
      </c>
      <c r="T537" s="61" t="n">
        <f aca="false">PERCENTRANK($F$2:$F$1780,F537,6)</f>
        <v>0.685039</v>
      </c>
      <c r="U537" s="62" t="n">
        <f aca="false">IF(F537&gt;0,(Settings!$B$8*T537+Settings!$B$9*R537+Settings!$B$10*S537)/SUM(Settings!$B$8:$B$10),0)</f>
        <v>0.509373666666667</v>
      </c>
      <c r="V537" s="56" t="n">
        <f aca="false">IF(U537&gt;0,RANK(U537,$U$2:$U$1780)+COUNTIF($U$2:U537,U537)-1,"")</f>
        <v>536</v>
      </c>
      <c r="W537" s="56" t="str">
        <f aca="false">IF(V537="","",IF(V537&lt;=Settings!$B$11,"1 - Fix first",IF(V537&lt;=Settings!$B$12,"2 - Review","3 - Monitor")))</f>
        <v>3 - Monitor</v>
      </c>
      <c r="X537" s="56" t="str">
        <f aca="false">IF(AND(E537&gt;=Settings!$B$4,F537&gt;=Settings!$B$5,O537&gt;=Settings!$B$6),"HIGH RATE","")</f>
        <v/>
      </c>
      <c r="Y537" s="56" t="n">
        <f aca="false">IF(F537&gt;0,RANK(F537,$F$2:$F$1780)+COUNTIF($F$2:F537,F537)-1,"")</f>
        <v>536</v>
      </c>
      <c r="Z537" s="56" t="n">
        <f aca="false">IF(H537&gt;0,RANK(H537,$H$2:$H$1780)+COUNTIF($H$2:H537,H537)-1,"")</f>
        <v>462</v>
      </c>
      <c r="AA537" s="56" t="n">
        <f aca="false">IF(AC537="","",RANK(AC537,$AC$2:$AC$1780)+COUNTIF($AC$2:AC537,AC537)-1)</f>
        <v>324</v>
      </c>
      <c r="AB537" s="56" t="str">
        <f aca="false">IF(AD537="","",RANK(AD537,$AD$2:$AD$1780)+COUNTIF($AD$2:AD537,AD537)-1)</f>
        <v/>
      </c>
      <c r="AC537" s="32" t="n">
        <f aca="false">IF(AND(F537&gt;0,E537&gt;=Settings!$B$4),J537,"")</f>
        <v>0.0166666666666667</v>
      </c>
      <c r="AD537" s="56" t="str">
        <f aca="false">IF(X537="HIGH RATE",O537,"")</f>
        <v/>
      </c>
    </row>
    <row r="538" customFormat="false" ht="15" hidden="false" customHeight="false" outlineLevel="0" collapsed="false">
      <c r="A538" s="56" t="s">
        <v>330</v>
      </c>
      <c r="B538" s="56" t="s">
        <v>546</v>
      </c>
      <c r="C538" s="56" t="s">
        <v>79</v>
      </c>
      <c r="D538" s="56" t="str">
        <f aca="false">IFERROR(INDEX('Brand Map'!$B$4:$B$124,MATCH(C538,'Brand Map'!$A$4:$A$124,0)),"Other")</f>
        <v>AUSMJ</v>
      </c>
      <c r="E538" s="57" t="n">
        <v>54</v>
      </c>
      <c r="F538" s="57" t="n">
        <v>1</v>
      </c>
      <c r="G538" s="58" t="n">
        <v>3237.3</v>
      </c>
      <c r="H538" s="58" t="n">
        <v>59.95</v>
      </c>
      <c r="I538" s="58" t="n">
        <v>3177.35</v>
      </c>
      <c r="J538" s="32" t="n">
        <f aca="false">IF(E538&gt;0,F538/E538,0)</f>
        <v>0.0185185185185185</v>
      </c>
      <c r="K538" s="32" t="n">
        <f aca="false">IF(G538&gt;0,H538/G538,0)</f>
        <v>0.0185185185185185</v>
      </c>
      <c r="L538" s="59" t="n">
        <f aca="false">H538/Settings!$B$16</f>
        <v>0.000119811660466505</v>
      </c>
      <c r="M538" s="59" t="n">
        <f aca="false">H538/Settings!$B$20</f>
        <v>4.65418229583975E-006</v>
      </c>
      <c r="N538" s="60" t="n">
        <f aca="false">E538*Settings!$B$3</f>
        <v>1.6732521583103</v>
      </c>
      <c r="O538" s="60" t="n">
        <f aca="false">IF(E538&gt;0,(F538-N538)/SQRT(E538*Settings!$B$3*(1-Settings!$B$3)),0)</f>
        <v>-0.52872770218424</v>
      </c>
      <c r="P538" s="60" t="n">
        <f aca="false">MAX(0,F538-N538)</f>
        <v>0</v>
      </c>
      <c r="Q538" s="32" t="n">
        <f aca="false">(F538+Settings!$B$7*Settings!$B$3)/(E538+Settings!$B$7)</f>
        <v>0.0229712444332692</v>
      </c>
      <c r="R538" s="61" t="n">
        <f aca="false">PERCENTRANK($H$2:$H$1780,H538,6)</f>
        <v>0.710911</v>
      </c>
      <c r="S538" s="61" t="n">
        <f aca="false">PERCENTRANK($Q$2:$Q$1780,Q538,6)</f>
        <v>0.129359</v>
      </c>
      <c r="T538" s="61" t="n">
        <f aca="false">PERCENTRANK($F$2:$F$1780,F538,6)</f>
        <v>0.685039</v>
      </c>
      <c r="U538" s="62" t="n">
        <f aca="false">IF(F538&gt;0,(Settings!$B$8*T538+Settings!$B$9*R538+Settings!$B$10*S538)/SUM(Settings!$B$8:$B$10),0)</f>
        <v>0.508436333333333</v>
      </c>
      <c r="V538" s="56" t="n">
        <f aca="false">IF(U538&gt;0,RANK(U538,$U$2:$U$1780)+COUNTIF($U$2:U538,U538)-1,"")</f>
        <v>537</v>
      </c>
      <c r="W538" s="56" t="str">
        <f aca="false">IF(V538="","",IF(V538&lt;=Settings!$B$11,"1 - Fix first",IF(V538&lt;=Settings!$B$12,"2 - Review","3 - Monitor")))</f>
        <v>3 - Monitor</v>
      </c>
      <c r="X538" s="56" t="str">
        <f aca="false">IF(AND(E538&gt;=Settings!$B$4,F538&gt;=Settings!$B$5,O538&gt;=Settings!$B$6),"HIGH RATE","")</f>
        <v/>
      </c>
      <c r="Y538" s="56" t="n">
        <f aca="false">IF(F538&gt;0,RANK(F538,$F$2:$F$1780)+COUNTIF($F$2:F538,F538)-1,"")</f>
        <v>537</v>
      </c>
      <c r="Z538" s="56" t="n">
        <f aca="false">IF(H538&gt;0,RANK(H538,$H$2:$H$1780)+COUNTIF($H$2:H538,H538)-1,"")</f>
        <v>515</v>
      </c>
      <c r="AA538" s="56" t="n">
        <f aca="false">IF(AC538="","",RANK(AC538,$AC$2:$AC$1780)+COUNTIF($AC$2:AC538,AC538)-1)</f>
        <v>314</v>
      </c>
      <c r="AB538" s="56" t="str">
        <f aca="false">IF(AD538="","",RANK(AD538,$AD$2:$AD$1780)+COUNTIF($AD$2:AD538,AD538)-1)</f>
        <v/>
      </c>
      <c r="AC538" s="32" t="n">
        <f aca="false">IF(AND(F538&gt;0,E538&gt;=Settings!$B$4),J538,"")</f>
        <v>0.0185185185185185</v>
      </c>
      <c r="AD538" s="56" t="str">
        <f aca="false">IF(X538="HIGH RATE",O538,"")</f>
        <v/>
      </c>
    </row>
    <row r="539" customFormat="false" ht="15" hidden="false" customHeight="false" outlineLevel="0" collapsed="false">
      <c r="A539" s="56" t="s">
        <v>1646</v>
      </c>
      <c r="B539" s="56" t="s">
        <v>1647</v>
      </c>
      <c r="C539" s="56" t="s">
        <v>51</v>
      </c>
      <c r="D539" s="56" t="str">
        <f aca="false">IFERROR(INDEX('Brand Map'!$B$4:$B$124,MATCH(C539,'Brand Map'!$A$4:$A$124,0)),"Other")</f>
        <v>AU</v>
      </c>
      <c r="E539" s="57" t="n">
        <v>73</v>
      </c>
      <c r="F539" s="57" t="n">
        <v>1</v>
      </c>
      <c r="G539" s="58" t="n">
        <v>8947.87</v>
      </c>
      <c r="H539" s="58" t="n">
        <v>106.6</v>
      </c>
      <c r="I539" s="58" t="n">
        <v>8514.32</v>
      </c>
      <c r="J539" s="32" t="n">
        <f aca="false">IF(E539&gt;0,F539/E539,0)</f>
        <v>0.0136986301369863</v>
      </c>
      <c r="K539" s="32" t="n">
        <f aca="false">IF(G539&gt;0,H539/G539,0)</f>
        <v>0.0119134497930792</v>
      </c>
      <c r="L539" s="59" t="n">
        <f aca="false">H539/Settings!$B$16</f>
        <v>0.000213042919194819</v>
      </c>
      <c r="M539" s="59" t="n">
        <f aca="false">H539/Settings!$B$20</f>
        <v>8.27582706816542E-006</v>
      </c>
      <c r="N539" s="60" t="n">
        <f aca="false">E539*Settings!$B$3</f>
        <v>2.26198902882689</v>
      </c>
      <c r="O539" s="60" t="n">
        <f aca="false">IF(E539&gt;0,(F539-N539)/SQRT(E539*Settings!$B$3*(1-Settings!$B$3)),0)</f>
        <v>-0.852403727751481</v>
      </c>
      <c r="P539" s="60" t="n">
        <f aca="false">MAX(0,F539-N539)</f>
        <v>0</v>
      </c>
      <c r="Q539" s="32" t="n">
        <f aca="false">(F539+Settings!$B$7*Settings!$B$3)/(E539+Settings!$B$7)</f>
        <v>0.0187338304115982</v>
      </c>
      <c r="R539" s="61" t="n">
        <f aca="false">PERCENTRANK($H$2:$H$1780,H539,6)</f>
        <v>0.763217</v>
      </c>
      <c r="S539" s="61" t="n">
        <f aca="false">PERCENTRANK($Q$2:$Q$1780,Q539,6)</f>
        <v>0.0764904</v>
      </c>
      <c r="T539" s="61" t="n">
        <f aca="false">PERCENTRANK($F$2:$F$1780,F539,6)</f>
        <v>0.685039</v>
      </c>
      <c r="U539" s="62" t="n">
        <f aca="false">IF(F539&gt;0,(Settings!$B$8*T539+Settings!$B$9*R539+Settings!$B$10*S539)/SUM(Settings!$B$8:$B$10),0)</f>
        <v>0.5082488</v>
      </c>
      <c r="V539" s="56" t="n">
        <f aca="false">IF(U539&gt;0,RANK(U539,$U$2:$U$1780)+COUNTIF($U$2:U539,U539)-1,"")</f>
        <v>538</v>
      </c>
      <c r="W539" s="56" t="str">
        <f aca="false">IF(V539="","",IF(V539&lt;=Settings!$B$11,"1 - Fix first",IF(V539&lt;=Settings!$B$12,"2 - Review","3 - Monitor")))</f>
        <v>3 - Monitor</v>
      </c>
      <c r="X539" s="56" t="str">
        <f aca="false">IF(AND(E539&gt;=Settings!$B$4,F539&gt;=Settings!$B$5,O539&gt;=Settings!$B$6),"HIGH RATE","")</f>
        <v/>
      </c>
      <c r="Y539" s="56" t="n">
        <f aca="false">IF(F539&gt;0,RANK(F539,$F$2:$F$1780)+COUNTIF($F$2:F539,F539)-1,"")</f>
        <v>538</v>
      </c>
      <c r="Z539" s="56" t="n">
        <f aca="false">IF(H539&gt;0,RANK(H539,$H$2:$H$1780)+COUNTIF($H$2:H539,H539)-1,"")</f>
        <v>422</v>
      </c>
      <c r="AA539" s="56" t="n">
        <f aca="false">IF(AC539="","",RANK(AC539,$AC$2:$AC$1780)+COUNTIF($AC$2:AC539,AC539)-1)</f>
        <v>337</v>
      </c>
      <c r="AB539" s="56" t="str">
        <f aca="false">IF(AD539="","",RANK(AD539,$AD$2:$AD$1780)+COUNTIF($AD$2:AD539,AD539)-1)</f>
        <v/>
      </c>
      <c r="AC539" s="32" t="n">
        <f aca="false">IF(AND(F539&gt;0,E539&gt;=Settings!$B$4),J539,"")</f>
        <v>0.0136986301369863</v>
      </c>
      <c r="AD539" s="56" t="str">
        <f aca="false">IF(X539="HIGH RATE",O539,"")</f>
        <v/>
      </c>
    </row>
    <row r="540" customFormat="false" ht="15" hidden="false" customHeight="false" outlineLevel="0" collapsed="false">
      <c r="A540" s="56" t="s">
        <v>1648</v>
      </c>
      <c r="B540" s="56" t="s">
        <v>1649</v>
      </c>
      <c r="C540" s="56" t="s">
        <v>162</v>
      </c>
      <c r="D540" s="56" t="str">
        <f aca="false">IFERROR(INDEX('Brand Map'!$B$4:$B$124,MATCH(C540,'Brand Map'!$A$4:$A$124,0)),"Other")</f>
        <v>GBAU</v>
      </c>
      <c r="E540" s="57" t="n">
        <v>64</v>
      </c>
      <c r="F540" s="57" t="n">
        <v>1</v>
      </c>
      <c r="G540" s="58" t="n">
        <v>5535.88</v>
      </c>
      <c r="H540" s="58" t="n">
        <v>93.59</v>
      </c>
      <c r="I540" s="58" t="n">
        <v>5311.93</v>
      </c>
      <c r="J540" s="32" t="n">
        <f aca="false">IF(E540&gt;0,F540/E540,0)</f>
        <v>0.015625</v>
      </c>
      <c r="K540" s="32" t="n">
        <f aca="false">IF(G540&gt;0,H540/G540,0)</f>
        <v>0.0169060745536392</v>
      </c>
      <c r="L540" s="59" t="n">
        <f aca="false">H540/Settings!$B$16</f>
        <v>0.000187042090126108</v>
      </c>
      <c r="M540" s="59" t="n">
        <f aca="false">H540/Settings!$B$20</f>
        <v>7.26580352072797E-006</v>
      </c>
      <c r="N540" s="60" t="n">
        <f aca="false">E540*Settings!$B$3</f>
        <v>1.98311366910851</v>
      </c>
      <c r="O540" s="60" t="n">
        <f aca="false">IF(E540&gt;0,(F540-N540)/SQRT(E540*Settings!$B$3*(1-Settings!$B$3)),0)</f>
        <v>-0.709193813627661</v>
      </c>
      <c r="P540" s="60" t="n">
        <f aca="false">MAX(0,F540-N540)</f>
        <v>0</v>
      </c>
      <c r="Q540" s="32" t="n">
        <f aca="false">(F540+Settings!$B$7*Settings!$B$3)/(E540+Settings!$B$7)</f>
        <v>0.0205274950254746</v>
      </c>
      <c r="R540" s="61" t="n">
        <f aca="false">PERCENTRANK($H$2:$H$1780,H540,6)</f>
        <v>0.746907</v>
      </c>
      <c r="S540" s="61" t="n">
        <f aca="false">PERCENTRANK($Q$2:$Q$1780,Q540,6)</f>
        <v>0.0905512</v>
      </c>
      <c r="T540" s="61" t="n">
        <f aca="false">PERCENTRANK($F$2:$F$1780,F540,6)</f>
        <v>0.685039</v>
      </c>
      <c r="U540" s="62" t="n">
        <f aca="false">IF(F540&gt;0,(Settings!$B$8*T540+Settings!$B$9*R540+Settings!$B$10*S540)/SUM(Settings!$B$8:$B$10),0)</f>
        <v>0.507499066666667</v>
      </c>
      <c r="V540" s="56" t="n">
        <f aca="false">IF(U540&gt;0,RANK(U540,$U$2:$U$1780)+COUNTIF($U$2:U540,U540)-1,"")</f>
        <v>539</v>
      </c>
      <c r="W540" s="56" t="str">
        <f aca="false">IF(V540="","",IF(V540&lt;=Settings!$B$11,"1 - Fix first",IF(V540&lt;=Settings!$B$12,"2 - Review","3 - Monitor")))</f>
        <v>3 - Monitor</v>
      </c>
      <c r="X540" s="56" t="str">
        <f aca="false">IF(AND(E540&gt;=Settings!$B$4,F540&gt;=Settings!$B$5,O540&gt;=Settings!$B$6),"HIGH RATE","")</f>
        <v/>
      </c>
      <c r="Y540" s="56" t="n">
        <f aca="false">IF(F540&gt;0,RANK(F540,$F$2:$F$1780)+COUNTIF($F$2:F540,F540)-1,"")</f>
        <v>539</v>
      </c>
      <c r="Z540" s="56" t="n">
        <f aca="false">IF(H540&gt;0,RANK(H540,$H$2:$H$1780)+COUNTIF($H$2:H540,H540)-1,"")</f>
        <v>451</v>
      </c>
      <c r="AA540" s="56" t="n">
        <f aca="false">IF(AC540="","",RANK(AC540,$AC$2:$AC$1780)+COUNTIF($AC$2:AC540,AC540)-1)</f>
        <v>330</v>
      </c>
      <c r="AB540" s="56" t="str">
        <f aca="false">IF(AD540="","",RANK(AD540,$AD$2:$AD$1780)+COUNTIF($AD$2:AD540,AD540)-1)</f>
        <v/>
      </c>
      <c r="AC540" s="32" t="n">
        <f aca="false">IF(AND(F540&gt;0,E540&gt;=Settings!$B$4),J540,"")</f>
        <v>0.015625</v>
      </c>
      <c r="AD540" s="56" t="str">
        <f aca="false">IF(X540="HIGH RATE",O540,"")</f>
        <v/>
      </c>
    </row>
    <row r="541" customFormat="false" ht="15" hidden="false" customHeight="false" outlineLevel="0" collapsed="false">
      <c r="A541" s="56" t="s">
        <v>1650</v>
      </c>
      <c r="B541" s="56" t="s">
        <v>1651</v>
      </c>
      <c r="C541" s="56" t="s">
        <v>51</v>
      </c>
      <c r="D541" s="56" t="str">
        <f aca="false">IFERROR(INDEX('Brand Map'!$B$4:$B$124,MATCH(C541,'Brand Map'!$A$4:$A$124,0)),"Other")</f>
        <v>AU</v>
      </c>
      <c r="E541" s="57" t="n">
        <v>69</v>
      </c>
      <c r="F541" s="57" t="n">
        <v>1</v>
      </c>
      <c r="G541" s="58" t="n">
        <v>8872.01</v>
      </c>
      <c r="H541" s="58" t="n">
        <v>94.51</v>
      </c>
      <c r="I541" s="58" t="n">
        <v>8502.51</v>
      </c>
      <c r="J541" s="32" t="n">
        <f aca="false">IF(E541&gt;0,F541/E541,0)</f>
        <v>0.0144927536231884</v>
      </c>
      <c r="K541" s="32" t="n">
        <f aca="false">IF(G541&gt;0,H541/G541,0)</f>
        <v>0.0106526029614484</v>
      </c>
      <c r="L541" s="59" t="n">
        <f aca="false">H541/Settings!$B$16</f>
        <v>0.00018888073445687</v>
      </c>
      <c r="M541" s="59" t="n">
        <f aca="false">H541/Settings!$B$20</f>
        <v>7.33722716897105E-006</v>
      </c>
      <c r="N541" s="60" t="n">
        <f aca="false">E541*Settings!$B$3</f>
        <v>2.13804442450761</v>
      </c>
      <c r="O541" s="60" t="n">
        <f aca="false">IF(E541&gt;0,(F541-N541)/SQRT(E541*Settings!$B$3*(1-Settings!$B$3)),0)</f>
        <v>-0.790652887030607</v>
      </c>
      <c r="P541" s="60" t="n">
        <f aca="false">MAX(0,F541-N541)</f>
        <v>0</v>
      </c>
      <c r="Q541" s="32" t="n">
        <f aca="false">(F541+Settings!$B$7*Settings!$B$3)/(E541+Settings!$B$7)</f>
        <v>0.0194907528524708</v>
      </c>
      <c r="R541" s="61" t="n">
        <f aca="false">PERCENTRANK($H$2:$H$1780,H541,6)</f>
        <v>0.748031</v>
      </c>
      <c r="S541" s="61" t="n">
        <f aca="false">PERCENTRANK($Q$2:$Q$1780,Q541,6)</f>
        <v>0.0871766</v>
      </c>
      <c r="T541" s="61" t="n">
        <f aca="false">PERCENTRANK($F$2:$F$1780,F541,6)</f>
        <v>0.685039</v>
      </c>
      <c r="U541" s="62" t="n">
        <f aca="false">IF(F541&gt;0,(Settings!$B$8*T541+Settings!$B$9*R541+Settings!$B$10*S541)/SUM(Settings!$B$8:$B$10),0)</f>
        <v>0.506748866666667</v>
      </c>
      <c r="V541" s="56" t="n">
        <f aca="false">IF(U541&gt;0,RANK(U541,$U$2:$U$1780)+COUNTIF($U$2:U541,U541)-1,"")</f>
        <v>540</v>
      </c>
      <c r="W541" s="56" t="str">
        <f aca="false">IF(V541="","",IF(V541&lt;=Settings!$B$11,"1 - Fix first",IF(V541&lt;=Settings!$B$12,"2 - Review","3 - Monitor")))</f>
        <v>3 - Monitor</v>
      </c>
      <c r="X541" s="56" t="str">
        <f aca="false">IF(AND(E541&gt;=Settings!$B$4,F541&gt;=Settings!$B$5,O541&gt;=Settings!$B$6),"HIGH RATE","")</f>
        <v/>
      </c>
      <c r="Y541" s="56" t="n">
        <f aca="false">IF(F541&gt;0,RANK(F541,$F$2:$F$1780)+COUNTIF($F$2:F541,F541)-1,"")</f>
        <v>540</v>
      </c>
      <c r="Z541" s="56" t="n">
        <f aca="false">IF(H541&gt;0,RANK(H541,$H$2:$H$1780)+COUNTIF($H$2:H541,H541)-1,"")</f>
        <v>449</v>
      </c>
      <c r="AA541" s="56" t="n">
        <f aca="false">IF(AC541="","",RANK(AC541,$AC$2:$AC$1780)+COUNTIF($AC$2:AC541,AC541)-1)</f>
        <v>336</v>
      </c>
      <c r="AB541" s="56" t="str">
        <f aca="false">IF(AD541="","",RANK(AD541,$AD$2:$AD$1780)+COUNTIF($AD$2:AD541,AD541)-1)</f>
        <v/>
      </c>
      <c r="AC541" s="32" t="n">
        <f aca="false">IF(AND(F541&gt;0,E541&gt;=Settings!$B$4),J541,"")</f>
        <v>0.0144927536231884</v>
      </c>
      <c r="AD541" s="56" t="str">
        <f aca="false">IF(X541="HIGH RATE",O541,"")</f>
        <v/>
      </c>
    </row>
    <row r="542" customFormat="false" ht="15" hidden="false" customHeight="false" outlineLevel="0" collapsed="false">
      <c r="A542" s="56" t="s">
        <v>1652</v>
      </c>
      <c r="B542" s="56" t="s">
        <v>1653</v>
      </c>
      <c r="C542" s="56" t="s">
        <v>51</v>
      </c>
      <c r="D542" s="56" t="str">
        <f aca="false">IFERROR(INDEX('Brand Map'!$B$4:$B$124,MATCH(C542,'Brand Map'!$A$4:$A$124,0)),"Other")</f>
        <v>AU</v>
      </c>
      <c r="E542" s="57" t="n">
        <v>80</v>
      </c>
      <c r="F542" s="57" t="n">
        <v>1</v>
      </c>
      <c r="G542" s="58" t="n">
        <v>6526</v>
      </c>
      <c r="H542" s="58" t="n">
        <v>114.95</v>
      </c>
      <c r="I542" s="58" t="n">
        <v>6411.05</v>
      </c>
      <c r="J542" s="32" t="n">
        <f aca="false">IF(E542&gt;0,F542/E542,0)</f>
        <v>0.0125</v>
      </c>
      <c r="K542" s="32" t="n">
        <f aca="false">IF(G542&gt;0,H542/G542,0)</f>
        <v>0.0176141587496169</v>
      </c>
      <c r="L542" s="59" t="n">
        <f aca="false">H542/Settings!$B$16</f>
        <v>0.000229730615022931</v>
      </c>
      <c r="M542" s="59" t="n">
        <f aca="false">H542/Settings!$B$20</f>
        <v>8.92407431037162E-006</v>
      </c>
      <c r="N542" s="60" t="n">
        <f aca="false">E542*Settings!$B$3</f>
        <v>2.47889208638563</v>
      </c>
      <c r="O542" s="60" t="n">
        <f aca="false">IF(E542&gt;0,(F542-N542)/SQRT(E542*Settings!$B$3*(1-Settings!$B$3)),0)</f>
        <v>-0.954207185319481</v>
      </c>
      <c r="P542" s="60" t="n">
        <f aca="false">MAX(0,F542-N542)</f>
        <v>0</v>
      </c>
      <c r="Q542" s="32" t="n">
        <f aca="false">(F542+Settings!$B$7*Settings!$B$3)/(E542+Settings!$B$7)</f>
        <v>0.0175416775672238</v>
      </c>
      <c r="R542" s="61" t="n">
        <f aca="false">PERCENTRANK($H$2:$H$1780,H542,6)</f>
        <v>0.773341</v>
      </c>
      <c r="S542" s="61" t="n">
        <f aca="false">PERCENTRANK($Q$2:$Q$1780,Q542,6)</f>
        <v>0.0613048</v>
      </c>
      <c r="T542" s="61" t="n">
        <f aca="false">PERCENTRANK($F$2:$F$1780,F542,6)</f>
        <v>0.685039</v>
      </c>
      <c r="U542" s="62" t="n">
        <f aca="false">IF(F542&gt;0,(Settings!$B$8*T542+Settings!$B$9*R542+Settings!$B$10*S542)/SUM(Settings!$B$8:$B$10),0)</f>
        <v>0.5065616</v>
      </c>
      <c r="V542" s="56" t="n">
        <f aca="false">IF(U542&gt;0,RANK(U542,$U$2:$U$1780)+COUNTIF($U$2:U542,U542)-1,"")</f>
        <v>541</v>
      </c>
      <c r="W542" s="56" t="str">
        <f aca="false">IF(V542="","",IF(V542&lt;=Settings!$B$11,"1 - Fix first",IF(V542&lt;=Settings!$B$12,"2 - Review","3 - Monitor")))</f>
        <v>3 - Monitor</v>
      </c>
      <c r="X542" s="56" t="str">
        <f aca="false">IF(AND(E542&gt;=Settings!$B$4,F542&gt;=Settings!$B$5,O542&gt;=Settings!$B$6),"HIGH RATE","")</f>
        <v/>
      </c>
      <c r="Y542" s="56" t="n">
        <f aca="false">IF(F542&gt;0,RANK(F542,$F$2:$F$1780)+COUNTIF($F$2:F542,F542)-1,"")</f>
        <v>541</v>
      </c>
      <c r="Z542" s="56" t="n">
        <f aca="false">IF(H542&gt;0,RANK(H542,$H$2:$H$1780)+COUNTIF($H$2:H542,H542)-1,"")</f>
        <v>404</v>
      </c>
      <c r="AA542" s="56" t="n">
        <f aca="false">IF(AC542="","",RANK(AC542,$AC$2:$AC$1780)+COUNTIF($AC$2:AC542,AC542)-1)</f>
        <v>346</v>
      </c>
      <c r="AB542" s="56" t="str">
        <f aca="false">IF(AD542="","",RANK(AD542,$AD$2:$AD$1780)+COUNTIF($AD$2:AD542,AD542)-1)</f>
        <v/>
      </c>
      <c r="AC542" s="32" t="n">
        <f aca="false">IF(AND(F542&gt;0,E542&gt;=Settings!$B$4),J542,"")</f>
        <v>0.0125</v>
      </c>
      <c r="AD542" s="56" t="str">
        <f aca="false">IF(X542="HIGH RATE",O542,"")</f>
        <v/>
      </c>
    </row>
    <row r="543" customFormat="false" ht="15" hidden="false" customHeight="false" outlineLevel="0" collapsed="false">
      <c r="A543" s="56" t="s">
        <v>1654</v>
      </c>
      <c r="B543" s="56" t="s">
        <v>1655</v>
      </c>
      <c r="C543" s="56" t="s">
        <v>51</v>
      </c>
      <c r="D543" s="56" t="str">
        <f aca="false">IFERROR(INDEX('Brand Map'!$B$4:$B$124,MATCH(C543,'Brand Map'!$A$4:$A$124,0)),"Other")</f>
        <v>AU</v>
      </c>
      <c r="E543" s="57" t="n">
        <v>81</v>
      </c>
      <c r="F543" s="57" t="n">
        <v>1</v>
      </c>
      <c r="G543" s="58" t="n">
        <v>8905.95</v>
      </c>
      <c r="H543" s="58" t="n">
        <v>109.95</v>
      </c>
      <c r="I543" s="58" t="n">
        <v>8796</v>
      </c>
      <c r="J543" s="32" t="n">
        <f aca="false">IF(E543&gt;0,F543/E543,0)</f>
        <v>0.0123456790123457</v>
      </c>
      <c r="K543" s="32" t="n">
        <f aca="false">IF(G543&gt;0,H543/G543,0)</f>
        <v>0.0123456790123457</v>
      </c>
      <c r="L543" s="59" t="n">
        <f aca="false">H543/Settings!$B$16</f>
        <v>0.000219737982790529</v>
      </c>
      <c r="M543" s="59" t="n">
        <f aca="false">H543/Settings!$B$20</f>
        <v>8.53590230905054E-006</v>
      </c>
      <c r="N543" s="60" t="n">
        <f aca="false">E543*Settings!$B$3</f>
        <v>2.50987823746545</v>
      </c>
      <c r="O543" s="60" t="n">
        <f aca="false">IF(E543&gt;0,(F543-N543)/SQRT(E543*Settings!$B$3*(1-Settings!$B$3)),0)</f>
        <v>-0.968167738878537</v>
      </c>
      <c r="P543" s="60" t="n">
        <f aca="false">MAX(0,F543-N543)</f>
        <v>0</v>
      </c>
      <c r="Q543" s="32" t="n">
        <f aca="false">(F543+Settings!$B$7*Settings!$B$3)/(E543+Settings!$B$7)</f>
        <v>0.0173836444359875</v>
      </c>
      <c r="R543" s="61" t="n">
        <f aca="false">PERCENTRANK($H$2:$H$1780,H543,6)</f>
        <v>0.766592</v>
      </c>
      <c r="S543" s="61" t="n">
        <f aca="false">PERCENTRANK($Q$2:$Q$1780,Q543,6)</f>
        <v>0.0573678</v>
      </c>
      <c r="T543" s="61" t="n">
        <f aca="false">PERCENTRANK($F$2:$F$1780,F543,6)</f>
        <v>0.685039</v>
      </c>
      <c r="U543" s="62" t="n">
        <f aca="false">IF(F543&gt;0,(Settings!$B$8*T543+Settings!$B$9*R543+Settings!$B$10*S543)/SUM(Settings!$B$8:$B$10),0)</f>
        <v>0.5029996</v>
      </c>
      <c r="V543" s="56" t="n">
        <f aca="false">IF(U543&gt;0,RANK(U543,$U$2:$U$1780)+COUNTIF($U$2:U543,U543)-1,"")</f>
        <v>542</v>
      </c>
      <c r="W543" s="56" t="str">
        <f aca="false">IF(V543="","",IF(V543&lt;=Settings!$B$11,"1 - Fix first",IF(V543&lt;=Settings!$B$12,"2 - Review","3 - Monitor")))</f>
        <v>3 - Monitor</v>
      </c>
      <c r="X543" s="56" t="str">
        <f aca="false">IF(AND(E543&gt;=Settings!$B$4,F543&gt;=Settings!$B$5,O543&gt;=Settings!$B$6),"HIGH RATE","")</f>
        <v/>
      </c>
      <c r="Y543" s="56" t="n">
        <f aca="false">IF(F543&gt;0,RANK(F543,$F$2:$F$1780)+COUNTIF($F$2:F543,F543)-1,"")</f>
        <v>542</v>
      </c>
      <c r="Z543" s="56" t="n">
        <f aca="false">IF(H543&gt;0,RANK(H543,$H$2:$H$1780)+COUNTIF($H$2:H543,H543)-1,"")</f>
        <v>415</v>
      </c>
      <c r="AA543" s="56" t="n">
        <f aca="false">IF(AC543="","",RANK(AC543,$AC$2:$AC$1780)+COUNTIF($AC$2:AC543,AC543)-1)</f>
        <v>347</v>
      </c>
      <c r="AB543" s="56" t="str">
        <f aca="false">IF(AD543="","",RANK(AD543,$AD$2:$AD$1780)+COUNTIF($AD$2:AD543,AD543)-1)</f>
        <v/>
      </c>
      <c r="AC543" s="32" t="n">
        <f aca="false">IF(AND(F543&gt;0,E543&gt;=Settings!$B$4),J543,"")</f>
        <v>0.0123456790123457</v>
      </c>
      <c r="AD543" s="56" t="str">
        <f aca="false">IF(X543="HIGH RATE",O543,"")</f>
        <v/>
      </c>
    </row>
    <row r="544" customFormat="false" ht="15" hidden="false" customHeight="false" outlineLevel="0" collapsed="false">
      <c r="A544" s="56" t="s">
        <v>651</v>
      </c>
      <c r="B544" s="56" t="s">
        <v>652</v>
      </c>
      <c r="C544" s="56" t="s">
        <v>650</v>
      </c>
      <c r="D544" s="56" t="str">
        <f aca="false">IFERROR(INDEX('Brand Map'!$B$4:$B$124,MATCH(C544,'Brand Map'!$A$4:$A$124,0)),"Other")</f>
        <v>Other (small prefixes)</v>
      </c>
      <c r="E544" s="57" t="n">
        <v>68</v>
      </c>
      <c r="F544" s="57" t="n">
        <v>1</v>
      </c>
      <c r="G544" s="58" t="n">
        <v>5243.07</v>
      </c>
      <c r="H544" s="58" t="n">
        <v>79.95</v>
      </c>
      <c r="I544" s="58" t="n">
        <v>5163.12</v>
      </c>
      <c r="J544" s="32" t="n">
        <f aca="false">IF(E544&gt;0,F544/E544,0)</f>
        <v>0.0147058823529412</v>
      </c>
      <c r="K544" s="32" t="n">
        <f aca="false">IF(G544&gt;0,H544/G544,0)</f>
        <v>0.0152486997121915</v>
      </c>
      <c r="L544" s="59" t="n">
        <f aca="false">H544/Settings!$B$16</f>
        <v>0.000159782189396114</v>
      </c>
      <c r="M544" s="59" t="n">
        <f aca="false">H544/Settings!$B$20</f>
        <v>6.20687030112407E-006</v>
      </c>
      <c r="N544" s="60" t="n">
        <f aca="false">E544*Settings!$B$3</f>
        <v>2.10705827342779</v>
      </c>
      <c r="O544" s="60" t="n">
        <f aca="false">IF(E544&gt;0,(F544-N544)/SQRT(E544*Settings!$B$3*(1-Settings!$B$3)),0)</f>
        <v>-0.774760046536764</v>
      </c>
      <c r="P544" s="60" t="n">
        <f aca="false">MAX(0,F544-N544)</f>
        <v>0</v>
      </c>
      <c r="Q544" s="32" t="n">
        <f aca="false">(F544+Settings!$B$7*Settings!$B$3)/(E544+Settings!$B$7)</f>
        <v>0.0196896380856593</v>
      </c>
      <c r="R544" s="61" t="n">
        <f aca="false">PERCENTRANK($H$2:$H$1780,H544,6)</f>
        <v>0.728909</v>
      </c>
      <c r="S544" s="61" t="n">
        <f aca="false">PERCENTRANK($Q$2:$Q$1780,Q544,6)</f>
        <v>0.087739</v>
      </c>
      <c r="T544" s="61" t="n">
        <f aca="false">PERCENTRANK($F$2:$F$1780,F544,6)</f>
        <v>0.685039</v>
      </c>
      <c r="U544" s="62" t="n">
        <f aca="false">IF(F544&gt;0,(Settings!$B$8*T544+Settings!$B$9*R544+Settings!$B$10*S544)/SUM(Settings!$B$8:$B$10),0)</f>
        <v>0.500562333333333</v>
      </c>
      <c r="V544" s="56" t="n">
        <f aca="false">IF(U544&gt;0,RANK(U544,$U$2:$U$1780)+COUNTIF($U$2:U544,U544)-1,"")</f>
        <v>543</v>
      </c>
      <c r="W544" s="56" t="str">
        <f aca="false">IF(V544="","",IF(V544&lt;=Settings!$B$11,"1 - Fix first",IF(V544&lt;=Settings!$B$12,"2 - Review","3 - Monitor")))</f>
        <v>3 - Monitor</v>
      </c>
      <c r="X544" s="56" t="str">
        <f aca="false">IF(AND(E544&gt;=Settings!$B$4,F544&gt;=Settings!$B$5,O544&gt;=Settings!$B$6),"HIGH RATE","")</f>
        <v/>
      </c>
      <c r="Y544" s="56" t="n">
        <f aca="false">IF(F544&gt;0,RANK(F544,$F$2:$F$1780)+COUNTIF($F$2:F544,F544)-1,"")</f>
        <v>543</v>
      </c>
      <c r="Z544" s="56" t="n">
        <f aca="false">IF(H544&gt;0,RANK(H544,$H$2:$H$1780)+COUNTIF($H$2:H544,H544)-1,"")</f>
        <v>482</v>
      </c>
      <c r="AA544" s="56" t="n">
        <f aca="false">IF(AC544="","",RANK(AC544,$AC$2:$AC$1780)+COUNTIF($AC$2:AC544,AC544)-1)</f>
        <v>335</v>
      </c>
      <c r="AB544" s="56" t="str">
        <f aca="false">IF(AD544="","",RANK(AD544,$AD$2:$AD$1780)+COUNTIF($AD$2:AD544,AD544)-1)</f>
        <v/>
      </c>
      <c r="AC544" s="32" t="n">
        <f aca="false">IF(AND(F544&gt;0,E544&gt;=Settings!$B$4),J544,"")</f>
        <v>0.0147058823529412</v>
      </c>
      <c r="AD544" s="56" t="str">
        <f aca="false">IF(X544="HIGH RATE",O544,"")</f>
        <v/>
      </c>
    </row>
    <row r="545" customFormat="false" ht="15" hidden="false" customHeight="false" outlineLevel="0" collapsed="false">
      <c r="A545" s="56" t="s">
        <v>1656</v>
      </c>
      <c r="B545" s="56" t="s">
        <v>1657</v>
      </c>
      <c r="C545" s="56" t="s">
        <v>111</v>
      </c>
      <c r="D545" s="56" t="str">
        <f aca="false">IFERROR(INDEX('Brand Map'!$B$4:$B$124,MATCH(C545,'Brand Map'!$A$4:$A$124,0)),"Other")</f>
        <v>AUFS</v>
      </c>
      <c r="E545" s="57" t="n">
        <v>73</v>
      </c>
      <c r="F545" s="57" t="n">
        <v>1</v>
      </c>
      <c r="G545" s="58" t="n">
        <v>10278.79</v>
      </c>
      <c r="H545" s="58" t="n">
        <v>83.6</v>
      </c>
      <c r="I545" s="58" t="n">
        <v>9635.15</v>
      </c>
      <c r="J545" s="32" t="n">
        <f aca="false">IF(E545&gt;0,F545/E545,0)</f>
        <v>0.0136986301369863</v>
      </c>
      <c r="K545" s="32" t="n">
        <f aca="false">IF(G545&gt;0,H545/G545,0)</f>
        <v>0.00813325303853858</v>
      </c>
      <c r="L545" s="59" t="n">
        <f aca="false">H545/Settings!$B$16</f>
        <v>0.000167076810925768</v>
      </c>
      <c r="M545" s="59" t="n">
        <f aca="false">H545/Settings!$B$20</f>
        <v>6.49023586208845E-006</v>
      </c>
      <c r="N545" s="60" t="n">
        <f aca="false">E545*Settings!$B$3</f>
        <v>2.26198902882689</v>
      </c>
      <c r="O545" s="60" t="n">
        <f aca="false">IF(E545&gt;0,(F545-N545)/SQRT(E545*Settings!$B$3*(1-Settings!$B$3)),0)</f>
        <v>-0.852403727751481</v>
      </c>
      <c r="P545" s="60" t="n">
        <f aca="false">MAX(0,F545-N545)</f>
        <v>0</v>
      </c>
      <c r="Q545" s="32" t="n">
        <f aca="false">(F545+Settings!$B$7*Settings!$B$3)/(E545+Settings!$B$7)</f>
        <v>0.0187338304115982</v>
      </c>
      <c r="R545" s="61" t="n">
        <f aca="false">PERCENTRANK($H$2:$H$1780,H545,6)</f>
        <v>0.734533</v>
      </c>
      <c r="S545" s="61" t="n">
        <f aca="false">PERCENTRANK($Q$2:$Q$1780,Q545,6)</f>
        <v>0.0764904</v>
      </c>
      <c r="T545" s="61" t="n">
        <f aca="false">PERCENTRANK($F$2:$F$1780,F545,6)</f>
        <v>0.685039</v>
      </c>
      <c r="U545" s="62" t="n">
        <f aca="false">IF(F545&gt;0,(Settings!$B$8*T545+Settings!$B$9*R545+Settings!$B$10*S545)/SUM(Settings!$B$8:$B$10),0)</f>
        <v>0.498687466666667</v>
      </c>
      <c r="V545" s="56" t="n">
        <f aca="false">IF(U545&gt;0,RANK(U545,$U$2:$U$1780)+COUNTIF($U$2:U545,U545)-1,"")</f>
        <v>544</v>
      </c>
      <c r="W545" s="56" t="str">
        <f aca="false">IF(V545="","",IF(V545&lt;=Settings!$B$11,"1 - Fix first",IF(V545&lt;=Settings!$B$12,"2 - Review","3 - Monitor")))</f>
        <v>3 - Monitor</v>
      </c>
      <c r="X545" s="56" t="str">
        <f aca="false">IF(AND(E545&gt;=Settings!$B$4,F545&gt;=Settings!$B$5,O545&gt;=Settings!$B$6),"HIGH RATE","")</f>
        <v/>
      </c>
      <c r="Y545" s="56" t="n">
        <f aca="false">IF(F545&gt;0,RANK(F545,$F$2:$F$1780)+COUNTIF($F$2:F545,F545)-1,"")</f>
        <v>544</v>
      </c>
      <c r="Z545" s="56" t="n">
        <f aca="false">IF(H545&gt;0,RANK(H545,$H$2:$H$1780)+COUNTIF($H$2:H545,H545)-1,"")</f>
        <v>473</v>
      </c>
      <c r="AA545" s="56" t="n">
        <f aca="false">IF(AC545="","",RANK(AC545,$AC$2:$AC$1780)+COUNTIF($AC$2:AC545,AC545)-1)</f>
        <v>338</v>
      </c>
      <c r="AB545" s="56" t="str">
        <f aca="false">IF(AD545="","",RANK(AD545,$AD$2:$AD$1780)+COUNTIF($AD$2:AD545,AD545)-1)</f>
        <v/>
      </c>
      <c r="AC545" s="32" t="n">
        <f aca="false">IF(AND(F545&gt;0,E545&gt;=Settings!$B$4),J545,"")</f>
        <v>0.0136986301369863</v>
      </c>
      <c r="AD545" s="56" t="str">
        <f aca="false">IF(X545="HIGH RATE",O545,"")</f>
        <v/>
      </c>
    </row>
    <row r="546" customFormat="false" ht="15" hidden="false" customHeight="false" outlineLevel="0" collapsed="false">
      <c r="A546" s="56" t="s">
        <v>1658</v>
      </c>
      <c r="B546" s="56" t="s">
        <v>1464</v>
      </c>
      <c r="C546" s="56" t="s">
        <v>629</v>
      </c>
      <c r="D546" s="56" t="str">
        <f aca="false">IFERROR(INDEX('Brand Map'!$B$4:$B$124,MATCH(C546,'Brand Map'!$A$4:$A$124,0)),"Other")</f>
        <v>Other (small prefixes)</v>
      </c>
      <c r="E546" s="57" t="n">
        <v>64</v>
      </c>
      <c r="F546" s="57" t="n">
        <v>1</v>
      </c>
      <c r="G546" s="58" t="n">
        <v>4081.8</v>
      </c>
      <c r="H546" s="58" t="n">
        <v>64.95</v>
      </c>
      <c r="I546" s="58" t="n">
        <v>4016.85</v>
      </c>
      <c r="J546" s="32" t="n">
        <f aca="false">IF(E546&gt;0,F546/E546,0)</f>
        <v>0.015625</v>
      </c>
      <c r="K546" s="32" t="n">
        <f aca="false">IF(G546&gt;0,H546/G546,0)</f>
        <v>0.0159120976039982</v>
      </c>
      <c r="L546" s="59" t="n">
        <f aca="false">H546/Settings!$B$16</f>
        <v>0.000129804292698907</v>
      </c>
      <c r="M546" s="59" t="n">
        <f aca="false">H546/Settings!$B$20</f>
        <v>5.04235429716083E-006</v>
      </c>
      <c r="N546" s="60" t="n">
        <f aca="false">E546*Settings!$B$3</f>
        <v>1.98311366910851</v>
      </c>
      <c r="O546" s="60" t="n">
        <f aca="false">IF(E546&gt;0,(F546-N546)/SQRT(E546*Settings!$B$3*(1-Settings!$B$3)),0)</f>
        <v>-0.709193813627661</v>
      </c>
      <c r="P546" s="60" t="n">
        <f aca="false">MAX(0,F546-N546)</f>
        <v>0</v>
      </c>
      <c r="Q546" s="32" t="n">
        <f aca="false">(F546+Settings!$B$7*Settings!$B$3)/(E546+Settings!$B$7)</f>
        <v>0.0205274950254746</v>
      </c>
      <c r="R546" s="61" t="n">
        <f aca="false">PERCENTRANK($H$2:$H$1780,H546,6)</f>
        <v>0.718223</v>
      </c>
      <c r="S546" s="61" t="n">
        <f aca="false">PERCENTRANK($Q$2:$Q$1780,Q546,6)</f>
        <v>0.0905512</v>
      </c>
      <c r="T546" s="61" t="n">
        <f aca="false">PERCENTRANK($F$2:$F$1780,F546,6)</f>
        <v>0.685039</v>
      </c>
      <c r="U546" s="62" t="n">
        <f aca="false">IF(F546&gt;0,(Settings!$B$8*T546+Settings!$B$9*R546+Settings!$B$10*S546)/SUM(Settings!$B$8:$B$10),0)</f>
        <v>0.497937733333333</v>
      </c>
      <c r="V546" s="56" t="n">
        <f aca="false">IF(U546&gt;0,RANK(U546,$U$2:$U$1780)+COUNTIF($U$2:U546,U546)-1,"")</f>
        <v>545</v>
      </c>
      <c r="W546" s="56" t="str">
        <f aca="false">IF(V546="","",IF(V546&lt;=Settings!$B$11,"1 - Fix first",IF(V546&lt;=Settings!$B$12,"2 - Review","3 - Monitor")))</f>
        <v>3 - Monitor</v>
      </c>
      <c r="X546" s="56" t="str">
        <f aca="false">IF(AND(E546&gt;=Settings!$B$4,F546&gt;=Settings!$B$5,O546&gt;=Settings!$B$6),"HIGH RATE","")</f>
        <v/>
      </c>
      <c r="Y546" s="56" t="n">
        <f aca="false">IF(F546&gt;0,RANK(F546,$F$2:$F$1780)+COUNTIF($F$2:F546,F546)-1,"")</f>
        <v>545</v>
      </c>
      <c r="Z546" s="56" t="n">
        <f aca="false">IF(H546&gt;0,RANK(H546,$H$2:$H$1780)+COUNTIF($H$2:H546,H546)-1,"")</f>
        <v>502</v>
      </c>
      <c r="AA546" s="56" t="n">
        <f aca="false">IF(AC546="","",RANK(AC546,$AC$2:$AC$1780)+COUNTIF($AC$2:AC546,AC546)-1)</f>
        <v>331</v>
      </c>
      <c r="AB546" s="56" t="str">
        <f aca="false">IF(AD546="","",RANK(AD546,$AD$2:$AD$1780)+COUNTIF($AD$2:AD546,AD546)-1)</f>
        <v/>
      </c>
      <c r="AC546" s="32" t="n">
        <f aca="false">IF(AND(F546&gt;0,E546&gt;=Settings!$B$4),J546,"")</f>
        <v>0.015625</v>
      </c>
      <c r="AD546" s="56" t="str">
        <f aca="false">IF(X546="HIGH RATE",O546,"")</f>
        <v/>
      </c>
    </row>
    <row r="547" customFormat="false" ht="15" hidden="false" customHeight="false" outlineLevel="0" collapsed="false">
      <c r="A547" s="56" t="s">
        <v>1659</v>
      </c>
      <c r="B547" s="56" t="s">
        <v>1660</v>
      </c>
      <c r="C547" s="56" t="s">
        <v>51</v>
      </c>
      <c r="D547" s="56" t="str">
        <f aca="false">IFERROR(INDEX('Brand Map'!$B$4:$B$124,MATCH(C547,'Brand Map'!$A$4:$A$124,0)),"Other")</f>
        <v>AU</v>
      </c>
      <c r="E547" s="57" t="n">
        <v>88</v>
      </c>
      <c r="F547" s="57" t="n">
        <v>1</v>
      </c>
      <c r="G547" s="58" t="n">
        <v>9438.66</v>
      </c>
      <c r="H547" s="58" t="n">
        <v>99.95</v>
      </c>
      <c r="I547" s="58" t="n">
        <v>9098.68</v>
      </c>
      <c r="J547" s="32" t="n">
        <f aca="false">IF(E547&gt;0,F547/E547,0)</f>
        <v>0.0113636363636364</v>
      </c>
      <c r="K547" s="32" t="n">
        <f aca="false">IF(G547&gt;0,H547/G547,0)</f>
        <v>0.0105894268889864</v>
      </c>
      <c r="L547" s="59" t="n">
        <f aca="false">H547/Settings!$B$16</f>
        <v>0.000199752718325724</v>
      </c>
      <c r="M547" s="59" t="n">
        <f aca="false">H547/Settings!$B$20</f>
        <v>7.75955830640839E-006</v>
      </c>
      <c r="N547" s="60" t="n">
        <f aca="false">E547*Settings!$B$3</f>
        <v>2.7267812950242</v>
      </c>
      <c r="O547" s="60" t="n">
        <f aca="false">IF(E547&gt;0,(F547-N547)/SQRT(E547*Settings!$B$3*(1-Settings!$B$3)),0)</f>
        <v>-1.06230002218642</v>
      </c>
      <c r="P547" s="60" t="n">
        <f aca="false">MAX(0,F547-N547)</f>
        <v>0</v>
      </c>
      <c r="Q547" s="32" t="n">
        <f aca="false">(F547+Settings!$B$7*Settings!$B$3)/(E547+Settings!$B$7)</f>
        <v>0.0163524112914798</v>
      </c>
      <c r="R547" s="61" t="n">
        <f aca="false">PERCENTRANK($H$2:$H$1780,H547,6)</f>
        <v>0.754781</v>
      </c>
      <c r="S547" s="61" t="n">
        <f aca="false">PERCENTRANK($Q$2:$Q$1780,Q547,6)</f>
        <v>0.0517435</v>
      </c>
      <c r="T547" s="61" t="n">
        <f aca="false">PERCENTRANK($F$2:$F$1780,F547,6)</f>
        <v>0.685039</v>
      </c>
      <c r="U547" s="62" t="n">
        <f aca="false">IF(F547&gt;0,(Settings!$B$8*T547+Settings!$B$9*R547+Settings!$B$10*S547)/SUM(Settings!$B$8:$B$10),0)</f>
        <v>0.497187833333333</v>
      </c>
      <c r="V547" s="56" t="n">
        <f aca="false">IF(U547&gt;0,RANK(U547,$U$2:$U$1780)+COUNTIF($U$2:U547,U547)-1,"")</f>
        <v>546</v>
      </c>
      <c r="W547" s="56" t="str">
        <f aca="false">IF(V547="","",IF(V547&lt;=Settings!$B$11,"1 - Fix first",IF(V547&lt;=Settings!$B$12,"2 - Review","3 - Monitor")))</f>
        <v>3 - Monitor</v>
      </c>
      <c r="X547" s="56" t="str">
        <f aca="false">IF(AND(E547&gt;=Settings!$B$4,F547&gt;=Settings!$B$5,O547&gt;=Settings!$B$6),"HIGH RATE","")</f>
        <v/>
      </c>
      <c r="Y547" s="56" t="n">
        <f aca="false">IF(F547&gt;0,RANK(F547,$F$2:$F$1780)+COUNTIF($F$2:F547,F547)-1,"")</f>
        <v>546</v>
      </c>
      <c r="Z547" s="56" t="n">
        <f aca="false">IF(H547&gt;0,RANK(H547,$H$2:$H$1780)+COUNTIF($H$2:H547,H547)-1,"")</f>
        <v>437</v>
      </c>
      <c r="AA547" s="56" t="n">
        <f aca="false">IF(AC547="","",RANK(AC547,$AC$2:$AC$1780)+COUNTIF($AC$2:AC547,AC547)-1)</f>
        <v>349</v>
      </c>
      <c r="AB547" s="56" t="str">
        <f aca="false">IF(AD547="","",RANK(AD547,$AD$2:$AD$1780)+COUNTIF($AD$2:AD547,AD547)-1)</f>
        <v/>
      </c>
      <c r="AC547" s="32" t="n">
        <f aca="false">IF(AND(F547&gt;0,E547&gt;=Settings!$B$4),J547,"")</f>
        <v>0.0113636363636364</v>
      </c>
      <c r="AD547" s="56" t="str">
        <f aca="false">IF(X547="HIGH RATE",O547,"")</f>
        <v/>
      </c>
    </row>
    <row r="548" customFormat="false" ht="15" hidden="false" customHeight="false" outlineLevel="0" collapsed="false">
      <c r="A548" s="56" t="s">
        <v>1661</v>
      </c>
      <c r="B548" s="56" t="s">
        <v>1662</v>
      </c>
      <c r="C548" s="56" t="s">
        <v>51</v>
      </c>
      <c r="D548" s="56" t="str">
        <f aca="false">IFERROR(INDEX('Brand Map'!$B$4:$B$124,MATCH(C548,'Brand Map'!$A$4:$A$124,0)),"Other")</f>
        <v>AU</v>
      </c>
      <c r="E548" s="57" t="n">
        <v>64</v>
      </c>
      <c r="F548" s="57" t="n">
        <v>1</v>
      </c>
      <c r="G548" s="58" t="n">
        <v>4560.57</v>
      </c>
      <c r="H548" s="58" t="n">
        <v>63.59</v>
      </c>
      <c r="I548" s="58" t="n">
        <v>4451.78</v>
      </c>
      <c r="J548" s="32" t="n">
        <f aca="false">IF(E548&gt;0,F548/E548,0)</f>
        <v>0.015625</v>
      </c>
      <c r="K548" s="32" t="n">
        <f aca="false">IF(G548&gt;0,H548/G548,0)</f>
        <v>0.0139434325095328</v>
      </c>
      <c r="L548" s="59" t="n">
        <f aca="false">H548/Settings!$B$16</f>
        <v>0.000127086296731694</v>
      </c>
      <c r="M548" s="59" t="n">
        <f aca="false">H548/Settings!$B$20</f>
        <v>4.93677151280149E-006</v>
      </c>
      <c r="N548" s="60" t="n">
        <f aca="false">E548*Settings!$B$3</f>
        <v>1.98311366910851</v>
      </c>
      <c r="O548" s="60" t="n">
        <f aca="false">IF(E548&gt;0,(F548-N548)/SQRT(E548*Settings!$B$3*(1-Settings!$B$3)),0)</f>
        <v>-0.709193813627661</v>
      </c>
      <c r="P548" s="60" t="n">
        <f aca="false">MAX(0,F548-N548)</f>
        <v>0</v>
      </c>
      <c r="Q548" s="32" t="n">
        <f aca="false">(F548+Settings!$B$7*Settings!$B$3)/(E548+Settings!$B$7)</f>
        <v>0.0205274950254746</v>
      </c>
      <c r="R548" s="61" t="n">
        <f aca="false">PERCENTRANK($H$2:$H$1780,H548,6)</f>
        <v>0.713723</v>
      </c>
      <c r="S548" s="61" t="n">
        <f aca="false">PERCENTRANK($Q$2:$Q$1780,Q548,6)</f>
        <v>0.0905512</v>
      </c>
      <c r="T548" s="61" t="n">
        <f aca="false">PERCENTRANK($F$2:$F$1780,F548,6)</f>
        <v>0.685039</v>
      </c>
      <c r="U548" s="62" t="n">
        <f aca="false">IF(F548&gt;0,(Settings!$B$8*T548+Settings!$B$9*R548+Settings!$B$10*S548)/SUM(Settings!$B$8:$B$10),0)</f>
        <v>0.496437733333333</v>
      </c>
      <c r="V548" s="56" t="n">
        <f aca="false">IF(U548&gt;0,RANK(U548,$U$2:$U$1780)+COUNTIF($U$2:U548,U548)-1,"")</f>
        <v>547</v>
      </c>
      <c r="W548" s="56" t="str">
        <f aca="false">IF(V548="","",IF(V548&lt;=Settings!$B$11,"1 - Fix first",IF(V548&lt;=Settings!$B$12,"2 - Review","3 - Monitor")))</f>
        <v>3 - Monitor</v>
      </c>
      <c r="X548" s="56" t="str">
        <f aca="false">IF(AND(E548&gt;=Settings!$B$4,F548&gt;=Settings!$B$5,O548&gt;=Settings!$B$6),"HIGH RATE","")</f>
        <v/>
      </c>
      <c r="Y548" s="56" t="n">
        <f aca="false">IF(F548&gt;0,RANK(F548,$F$2:$F$1780)+COUNTIF($F$2:F548,F548)-1,"")</f>
        <v>547</v>
      </c>
      <c r="Z548" s="56" t="n">
        <f aca="false">IF(H548&gt;0,RANK(H548,$H$2:$H$1780)+COUNTIF($H$2:H548,H548)-1,"")</f>
        <v>510</v>
      </c>
      <c r="AA548" s="56" t="n">
        <f aca="false">IF(AC548="","",RANK(AC548,$AC$2:$AC$1780)+COUNTIF($AC$2:AC548,AC548)-1)</f>
        <v>332</v>
      </c>
      <c r="AB548" s="56" t="str">
        <f aca="false">IF(AD548="","",RANK(AD548,$AD$2:$AD$1780)+COUNTIF($AD$2:AD548,AD548)-1)</f>
        <v/>
      </c>
      <c r="AC548" s="32" t="n">
        <f aca="false">IF(AND(F548&gt;0,E548&gt;=Settings!$B$4),J548,"")</f>
        <v>0.015625</v>
      </c>
      <c r="AD548" s="56" t="str">
        <f aca="false">IF(X548="HIGH RATE",O548,"")</f>
        <v/>
      </c>
    </row>
    <row r="549" customFormat="false" ht="15" hidden="false" customHeight="false" outlineLevel="0" collapsed="false">
      <c r="A549" s="56" t="s">
        <v>1663</v>
      </c>
      <c r="B549" s="56" t="s">
        <v>1664</v>
      </c>
      <c r="C549" s="56" t="s">
        <v>180</v>
      </c>
      <c r="D549" s="56" t="str">
        <f aca="false">IFERROR(INDEX('Brand Map'!$B$4:$B$124,MATCH(C549,'Brand Map'!$A$4:$A$124,0)),"Other")</f>
        <v>MDPR</v>
      </c>
      <c r="E549" s="57" t="n">
        <v>78</v>
      </c>
      <c r="F549" s="57" t="n">
        <v>1</v>
      </c>
      <c r="G549" s="58" t="n">
        <v>7261.42</v>
      </c>
      <c r="H549" s="58" t="n">
        <v>82.65</v>
      </c>
      <c r="I549" s="58" t="n">
        <v>7057.96</v>
      </c>
      <c r="J549" s="32" t="n">
        <f aca="false">IF(E549&gt;0,F549/E549,0)</f>
        <v>0.0128205128205128</v>
      </c>
      <c r="K549" s="32" t="n">
        <f aca="false">IF(G549&gt;0,H549/G549,0)</f>
        <v>0.0113820712753153</v>
      </c>
      <c r="L549" s="59" t="n">
        <f aca="false">H549/Settings!$B$16</f>
        <v>0.000165178210801612</v>
      </c>
      <c r="M549" s="59" t="n">
        <f aca="false">H549/Settings!$B$20</f>
        <v>6.41648318183745E-006</v>
      </c>
      <c r="N549" s="60" t="n">
        <f aca="false">E549*Settings!$B$3</f>
        <v>2.41691978422599</v>
      </c>
      <c r="O549" s="60" t="n">
        <f aca="false">IF(E549&gt;0,(F549-N549)/SQRT(E549*Settings!$B$3*(1-Settings!$B$3)),0)</f>
        <v>-0.925868170104048</v>
      </c>
      <c r="P549" s="60" t="n">
        <f aca="false">MAX(0,F549-N549)</f>
        <v>0</v>
      </c>
      <c r="Q549" s="32" t="n">
        <f aca="false">(F549+Settings!$B$7*Settings!$B$3)/(E549+Settings!$B$7)</f>
        <v>0.0178665234480983</v>
      </c>
      <c r="R549" s="61" t="n">
        <f aca="false">PERCENTRANK($H$2:$H$1780,H549,6)</f>
        <v>0.733971</v>
      </c>
      <c r="S549" s="61" t="n">
        <f aca="false">PERCENTRANK($Q$2:$Q$1780,Q549,6)</f>
        <v>0.064117</v>
      </c>
      <c r="T549" s="61" t="n">
        <f aca="false">PERCENTRANK($F$2:$F$1780,F549,6)</f>
        <v>0.685039</v>
      </c>
      <c r="U549" s="62" t="n">
        <f aca="false">IF(F549&gt;0,(Settings!$B$8*T549+Settings!$B$9*R549+Settings!$B$10*S549)/SUM(Settings!$B$8:$B$10),0)</f>
        <v>0.494375666666667</v>
      </c>
      <c r="V549" s="56" t="n">
        <f aca="false">IF(U549&gt;0,RANK(U549,$U$2:$U$1780)+COUNTIF($U$2:U549,U549)-1,"")</f>
        <v>548</v>
      </c>
      <c r="W549" s="56" t="str">
        <f aca="false">IF(V549="","",IF(V549&lt;=Settings!$B$11,"1 - Fix first",IF(V549&lt;=Settings!$B$12,"2 - Review","3 - Monitor")))</f>
        <v>3 - Monitor</v>
      </c>
      <c r="X549" s="56" t="str">
        <f aca="false">IF(AND(E549&gt;=Settings!$B$4,F549&gt;=Settings!$B$5,O549&gt;=Settings!$B$6),"HIGH RATE","")</f>
        <v/>
      </c>
      <c r="Y549" s="56" t="n">
        <f aca="false">IF(F549&gt;0,RANK(F549,$F$2:$F$1780)+COUNTIF($F$2:F549,F549)-1,"")</f>
        <v>548</v>
      </c>
      <c r="Z549" s="56" t="n">
        <f aca="false">IF(H549&gt;0,RANK(H549,$H$2:$H$1780)+COUNTIF($H$2:H549,H549)-1,"")</f>
        <v>474</v>
      </c>
      <c r="AA549" s="56" t="n">
        <f aca="false">IF(AC549="","",RANK(AC549,$AC$2:$AC$1780)+COUNTIF($AC$2:AC549,AC549)-1)</f>
        <v>341</v>
      </c>
      <c r="AB549" s="56" t="str">
        <f aca="false">IF(AD549="","",RANK(AD549,$AD$2:$AD$1780)+COUNTIF($AD$2:AD549,AD549)-1)</f>
        <v/>
      </c>
      <c r="AC549" s="32" t="n">
        <f aca="false">IF(AND(F549&gt;0,E549&gt;=Settings!$B$4),J549,"")</f>
        <v>0.0128205128205128</v>
      </c>
      <c r="AD549" s="56" t="str">
        <f aca="false">IF(X549="HIGH RATE",O549,"")</f>
        <v/>
      </c>
    </row>
    <row r="550" customFormat="false" ht="15" hidden="false" customHeight="false" outlineLevel="0" collapsed="false">
      <c r="A550" s="56" t="s">
        <v>1665</v>
      </c>
      <c r="B550" s="56" t="s">
        <v>1666</v>
      </c>
      <c r="C550" s="56" t="s">
        <v>51</v>
      </c>
      <c r="D550" s="56" t="str">
        <f aca="false">IFERROR(INDEX('Brand Map'!$B$4:$B$124,MATCH(C550,'Brand Map'!$A$4:$A$124,0)),"Other")</f>
        <v>AU</v>
      </c>
      <c r="E550" s="57" t="n">
        <v>134</v>
      </c>
      <c r="F550" s="57" t="n">
        <v>1</v>
      </c>
      <c r="G550" s="58" t="n">
        <v>19219.34</v>
      </c>
      <c r="H550" s="58" t="n">
        <v>115.88</v>
      </c>
      <c r="I550" s="58" t="n">
        <v>18759.92</v>
      </c>
      <c r="J550" s="32" t="n">
        <f aca="false">IF(E550&gt;0,F550/E550,0)</f>
        <v>0.00746268656716418</v>
      </c>
      <c r="K550" s="32" t="n">
        <f aca="false">IF(G550&gt;0,H550/G550,0)</f>
        <v>0.00602934335934533</v>
      </c>
      <c r="L550" s="59" t="n">
        <f aca="false">H550/Settings!$B$16</f>
        <v>0.000231589244618158</v>
      </c>
      <c r="M550" s="59" t="n">
        <f aca="false">H550/Settings!$B$20</f>
        <v>8.99627430261734E-006</v>
      </c>
      <c r="N550" s="60" t="n">
        <f aca="false">E550*Settings!$B$3</f>
        <v>4.15214424469594</v>
      </c>
      <c r="O550" s="60" t="n">
        <f aca="false">IF(E550&gt;0,(F550-N550)/SQRT(E550*Settings!$B$3*(1-Settings!$B$3)),0)</f>
        <v>-1.57146558622017</v>
      </c>
      <c r="P550" s="60" t="n">
        <f aca="false">MAX(0,F550-N550)</f>
        <v>0</v>
      </c>
      <c r="Q550" s="32" t="n">
        <f aca="false">(F550+Settings!$B$7*Settings!$B$3)/(E550+Settings!$B$7)</f>
        <v>0.0117657593438696</v>
      </c>
      <c r="R550" s="61" t="n">
        <f aca="false">PERCENTRANK($H$2:$H$1780,H550,6)</f>
        <v>0.775591</v>
      </c>
      <c r="S550" s="61" t="n">
        <f aca="false">PERCENTRANK($Q$2:$Q$1780,Q550,6)</f>
        <v>0.0202475</v>
      </c>
      <c r="T550" s="61" t="n">
        <f aca="false">PERCENTRANK($F$2:$F$1780,F550,6)</f>
        <v>0.685039</v>
      </c>
      <c r="U550" s="62" t="n">
        <f aca="false">IF(F550&gt;0,(Settings!$B$8*T550+Settings!$B$9*R550+Settings!$B$10*S550)/SUM(Settings!$B$8:$B$10),0)</f>
        <v>0.493625833333333</v>
      </c>
      <c r="V550" s="56" t="n">
        <f aca="false">IF(U550&gt;0,RANK(U550,$U$2:$U$1780)+COUNTIF($U$2:U550,U550)-1,"")</f>
        <v>549</v>
      </c>
      <c r="W550" s="56" t="str">
        <f aca="false">IF(V550="","",IF(V550&lt;=Settings!$B$11,"1 - Fix first",IF(V550&lt;=Settings!$B$12,"2 - Review","3 - Monitor")))</f>
        <v>3 - Monitor</v>
      </c>
      <c r="X550" s="56" t="str">
        <f aca="false">IF(AND(E550&gt;=Settings!$B$4,F550&gt;=Settings!$B$5,O550&gt;=Settings!$B$6),"HIGH RATE","")</f>
        <v/>
      </c>
      <c r="Y550" s="56" t="n">
        <f aca="false">IF(F550&gt;0,RANK(F550,$F$2:$F$1780)+COUNTIF($F$2:F550,F550)-1,"")</f>
        <v>549</v>
      </c>
      <c r="Z550" s="56" t="n">
        <f aca="false">IF(H550&gt;0,RANK(H550,$H$2:$H$1780)+COUNTIF($H$2:H550,H550)-1,"")</f>
        <v>400</v>
      </c>
      <c r="AA550" s="56" t="n">
        <f aca="false">IF(AC550="","",RANK(AC550,$AC$2:$AC$1780)+COUNTIF($AC$2:AC550,AC550)-1)</f>
        <v>359</v>
      </c>
      <c r="AB550" s="56" t="str">
        <f aca="false">IF(AD550="","",RANK(AD550,$AD$2:$AD$1780)+COUNTIF($AD$2:AD550,AD550)-1)</f>
        <v/>
      </c>
      <c r="AC550" s="32" t="n">
        <f aca="false">IF(AND(F550&gt;0,E550&gt;=Settings!$B$4),J550,"")</f>
        <v>0.00746268656716418</v>
      </c>
      <c r="AD550" s="56" t="str">
        <f aca="false">IF(X550="HIGH RATE",O550,"")</f>
        <v/>
      </c>
    </row>
    <row r="551" customFormat="false" ht="15" hidden="false" customHeight="false" outlineLevel="0" collapsed="false">
      <c r="A551" s="56" t="s">
        <v>584</v>
      </c>
      <c r="B551" s="56" t="s">
        <v>585</v>
      </c>
      <c r="C551" s="56" t="s">
        <v>174</v>
      </c>
      <c r="D551" s="56" t="str">
        <f aca="false">IFERROR(INDEX('Brand Map'!$B$4:$B$124,MATCH(C551,'Brand Map'!$A$4:$A$124,0)),"Other")</f>
        <v>AUV</v>
      </c>
      <c r="E551" s="57" t="n">
        <v>167</v>
      </c>
      <c r="F551" s="57" t="n">
        <v>1</v>
      </c>
      <c r="G551" s="58" t="n">
        <v>18361.65</v>
      </c>
      <c r="H551" s="58" t="n">
        <v>109.95</v>
      </c>
      <c r="I551" s="58" t="n">
        <v>18251.7</v>
      </c>
      <c r="J551" s="32" t="n">
        <f aca="false">IF(E551&gt;0,F551/E551,0)</f>
        <v>0.00598802395209581</v>
      </c>
      <c r="K551" s="32" t="n">
        <f aca="false">IF(G551&gt;0,H551/G551,0)</f>
        <v>0.00598802395209581</v>
      </c>
      <c r="L551" s="59" t="n">
        <f aca="false">H551/Settings!$B$16</f>
        <v>0.000219737982790529</v>
      </c>
      <c r="M551" s="59" t="n">
        <f aca="false">H551/Settings!$B$20</f>
        <v>8.53590230905054E-006</v>
      </c>
      <c r="N551" s="60" t="n">
        <f aca="false">E551*Settings!$B$3</f>
        <v>5.17468723033001</v>
      </c>
      <c r="O551" s="60" t="n">
        <f aca="false">IF(E551&gt;0,(F551-N551)/SQRT(E551*Settings!$B$3*(1-Settings!$B$3)),0)</f>
        <v>-1.86430471915831</v>
      </c>
      <c r="P551" s="60" t="n">
        <f aca="false">MAX(0,F551-N551)</f>
        <v>0</v>
      </c>
      <c r="Q551" s="32" t="n">
        <f aca="false">(F551+Settings!$B$7*Settings!$B$3)/(E551+Settings!$B$7)</f>
        <v>0.00979484534210463</v>
      </c>
      <c r="R551" s="61" t="n">
        <f aca="false">PERCENTRANK($H$2:$H$1780,H551,6)</f>
        <v>0.766592</v>
      </c>
      <c r="S551" s="61" t="n">
        <f aca="false">PERCENTRANK($Q$2:$Q$1780,Q551,6)</f>
        <v>0.011811</v>
      </c>
      <c r="T551" s="61" t="n">
        <f aca="false">PERCENTRANK($F$2:$F$1780,F551,6)</f>
        <v>0.685039</v>
      </c>
      <c r="U551" s="62" t="n">
        <f aca="false">IF(F551&gt;0,(Settings!$B$8*T551+Settings!$B$9*R551+Settings!$B$10*S551)/SUM(Settings!$B$8:$B$10),0)</f>
        <v>0.487814</v>
      </c>
      <c r="V551" s="56" t="n">
        <f aca="false">IF(U551&gt;0,RANK(U551,$U$2:$U$1780)+COUNTIF($U$2:U551,U551)-1,"")</f>
        <v>550</v>
      </c>
      <c r="W551" s="56" t="str">
        <f aca="false">IF(V551="","",IF(V551&lt;=Settings!$B$11,"1 - Fix first",IF(V551&lt;=Settings!$B$12,"2 - Review","3 - Monitor")))</f>
        <v>3 - Monitor</v>
      </c>
      <c r="X551" s="56" t="str">
        <f aca="false">IF(AND(E551&gt;=Settings!$B$4,F551&gt;=Settings!$B$5,O551&gt;=Settings!$B$6),"HIGH RATE","")</f>
        <v/>
      </c>
      <c r="Y551" s="56" t="n">
        <f aca="false">IF(F551&gt;0,RANK(F551,$F$2:$F$1780)+COUNTIF($F$2:F551,F551)-1,"")</f>
        <v>550</v>
      </c>
      <c r="Z551" s="56" t="n">
        <f aca="false">IF(H551&gt;0,RANK(H551,$H$2:$H$1780)+COUNTIF($H$2:H551,H551)-1,"")</f>
        <v>416</v>
      </c>
      <c r="AA551" s="56" t="n">
        <f aca="false">IF(AC551="","",RANK(AC551,$AC$2:$AC$1780)+COUNTIF($AC$2:AC551,AC551)-1)</f>
        <v>362</v>
      </c>
      <c r="AB551" s="56" t="str">
        <f aca="false">IF(AD551="","",RANK(AD551,$AD$2:$AD$1780)+COUNTIF($AD$2:AD551,AD551)-1)</f>
        <v/>
      </c>
      <c r="AC551" s="32" t="n">
        <f aca="false">IF(AND(F551&gt;0,E551&gt;=Settings!$B$4),J551,"")</f>
        <v>0.00598802395209581</v>
      </c>
      <c r="AD551" s="56" t="str">
        <f aca="false">IF(X551="HIGH RATE",O551,"")</f>
        <v/>
      </c>
    </row>
    <row r="552" customFormat="false" ht="15" hidden="false" customHeight="false" outlineLevel="0" collapsed="false">
      <c r="A552" s="56" t="s">
        <v>1667</v>
      </c>
      <c r="B552" s="56" t="s">
        <v>1668</v>
      </c>
      <c r="C552" s="56" t="s">
        <v>67</v>
      </c>
      <c r="D552" s="56" t="str">
        <f aca="false">IFERROR(INDEX('Brand Map'!$B$4:$B$124,MATCH(C552,'Brand Map'!$A$4:$A$124,0)),"Other")</f>
        <v>MJ</v>
      </c>
      <c r="E552" s="57" t="n">
        <v>78</v>
      </c>
      <c r="F552" s="57" t="n">
        <v>1</v>
      </c>
      <c r="G552" s="58" t="n">
        <v>5172.82</v>
      </c>
      <c r="H552" s="58" t="n">
        <v>59.05</v>
      </c>
      <c r="I552" s="58" t="n">
        <v>5032.08</v>
      </c>
      <c r="J552" s="32" t="n">
        <f aca="false">IF(E552&gt;0,F552/E552,0)</f>
        <v>0.0128205128205128</v>
      </c>
      <c r="K552" s="32" t="n">
        <f aca="false">IF(G552&gt;0,H552/G552,0)</f>
        <v>0.0114154368410268</v>
      </c>
      <c r="L552" s="59" t="n">
        <f aca="false">H552/Settings!$B$16</f>
        <v>0.000118012986664672</v>
      </c>
      <c r="M552" s="59" t="n">
        <f aca="false">H552/Settings!$B$20</f>
        <v>4.58431133560195E-006</v>
      </c>
      <c r="N552" s="60" t="n">
        <f aca="false">E552*Settings!$B$3</f>
        <v>2.41691978422599</v>
      </c>
      <c r="O552" s="60" t="n">
        <f aca="false">IF(E552&gt;0,(F552-N552)/SQRT(E552*Settings!$B$3*(1-Settings!$B$3)),0)</f>
        <v>-0.925868170104048</v>
      </c>
      <c r="P552" s="60" t="n">
        <f aca="false">MAX(0,F552-N552)</f>
        <v>0</v>
      </c>
      <c r="Q552" s="32" t="n">
        <f aca="false">(F552+Settings!$B$7*Settings!$B$3)/(E552+Settings!$B$7)</f>
        <v>0.0178665234480983</v>
      </c>
      <c r="R552" s="61" t="n">
        <f aca="false">PERCENTRANK($H$2:$H$1780,H552,6)</f>
        <v>0.709224</v>
      </c>
      <c r="S552" s="61" t="n">
        <f aca="false">PERCENTRANK($Q$2:$Q$1780,Q552,6)</f>
        <v>0.064117</v>
      </c>
      <c r="T552" s="61" t="n">
        <f aca="false">PERCENTRANK($F$2:$F$1780,F552,6)</f>
        <v>0.685039</v>
      </c>
      <c r="U552" s="62" t="n">
        <f aca="false">IF(F552&gt;0,(Settings!$B$8*T552+Settings!$B$9*R552+Settings!$B$10*S552)/SUM(Settings!$B$8:$B$10),0)</f>
        <v>0.486126666666667</v>
      </c>
      <c r="V552" s="56" t="n">
        <f aca="false">IF(U552&gt;0,RANK(U552,$U$2:$U$1780)+COUNTIF($U$2:U552,U552)-1,"")</f>
        <v>551</v>
      </c>
      <c r="W552" s="56" t="str">
        <f aca="false">IF(V552="","",IF(V552&lt;=Settings!$B$11,"1 - Fix first",IF(V552&lt;=Settings!$B$12,"2 - Review","3 - Monitor")))</f>
        <v>3 - Monitor</v>
      </c>
      <c r="X552" s="56" t="str">
        <f aca="false">IF(AND(E552&gt;=Settings!$B$4,F552&gt;=Settings!$B$5,O552&gt;=Settings!$B$6),"HIGH RATE","")</f>
        <v/>
      </c>
      <c r="Y552" s="56" t="n">
        <f aca="false">IF(F552&gt;0,RANK(F552,$F$2:$F$1780)+COUNTIF($F$2:F552,F552)-1,"")</f>
        <v>551</v>
      </c>
      <c r="Z552" s="56" t="n">
        <f aca="false">IF(H552&gt;0,RANK(H552,$H$2:$H$1780)+COUNTIF($H$2:H552,H552)-1,"")</f>
        <v>517</v>
      </c>
      <c r="AA552" s="56" t="n">
        <f aca="false">IF(AC552="","",RANK(AC552,$AC$2:$AC$1780)+COUNTIF($AC$2:AC552,AC552)-1)</f>
        <v>342</v>
      </c>
      <c r="AB552" s="56" t="str">
        <f aca="false">IF(AD552="","",RANK(AD552,$AD$2:$AD$1780)+COUNTIF($AD$2:AD552,AD552)-1)</f>
        <v/>
      </c>
      <c r="AC552" s="32" t="n">
        <f aca="false">IF(AND(F552&gt;0,E552&gt;=Settings!$B$4),J552,"")</f>
        <v>0.0128205128205128</v>
      </c>
      <c r="AD552" s="56" t="str">
        <f aca="false">IF(X552="HIGH RATE",O552,"")</f>
        <v/>
      </c>
    </row>
    <row r="553" customFormat="false" ht="15" hidden="false" customHeight="false" outlineLevel="0" collapsed="false">
      <c r="A553" s="56" t="s">
        <v>1669</v>
      </c>
      <c r="B553" s="56" t="s">
        <v>1670</v>
      </c>
      <c r="C553" s="56" t="s">
        <v>142</v>
      </c>
      <c r="D553" s="56" t="str">
        <f aca="false">IFERROR(INDEX('Brand Map'!$B$4:$B$124,MATCH(C553,'Brand Map'!$A$4:$A$124,0)),"Other")</f>
        <v>RBC</v>
      </c>
      <c r="E553" s="57" t="n">
        <v>88</v>
      </c>
      <c r="F553" s="57" t="n">
        <v>1</v>
      </c>
      <c r="G553" s="58" t="n">
        <v>6339.72</v>
      </c>
      <c r="H553" s="58" t="n">
        <v>59.05</v>
      </c>
      <c r="I553" s="58" t="n">
        <v>5844.63</v>
      </c>
      <c r="J553" s="32" t="n">
        <f aca="false">IF(E553&gt;0,F553/E553,0)</f>
        <v>0.0113636363636364</v>
      </c>
      <c r="K553" s="32" t="n">
        <f aca="false">IF(G553&gt;0,H553/G553,0)</f>
        <v>0.00931429148290461</v>
      </c>
      <c r="L553" s="59" t="n">
        <f aca="false">H553/Settings!$B$16</f>
        <v>0.000118012986664672</v>
      </c>
      <c r="M553" s="59" t="n">
        <f aca="false">H553/Settings!$B$20</f>
        <v>4.58431133560195E-006</v>
      </c>
      <c r="N553" s="60" t="n">
        <f aca="false">E553*Settings!$B$3</f>
        <v>2.7267812950242</v>
      </c>
      <c r="O553" s="60" t="n">
        <f aca="false">IF(E553&gt;0,(F553-N553)/SQRT(E553*Settings!$B$3*(1-Settings!$B$3)),0)</f>
        <v>-1.06230002218642</v>
      </c>
      <c r="P553" s="60" t="n">
        <f aca="false">MAX(0,F553-N553)</f>
        <v>0</v>
      </c>
      <c r="Q553" s="32" t="n">
        <f aca="false">(F553+Settings!$B$7*Settings!$B$3)/(E553+Settings!$B$7)</f>
        <v>0.0163524112914798</v>
      </c>
      <c r="R553" s="61" t="n">
        <f aca="false">PERCENTRANK($H$2:$H$1780,H553,6)</f>
        <v>0.709224</v>
      </c>
      <c r="S553" s="61" t="n">
        <f aca="false">PERCENTRANK($Q$2:$Q$1780,Q553,6)</f>
        <v>0.0517435</v>
      </c>
      <c r="T553" s="61" t="n">
        <f aca="false">PERCENTRANK($F$2:$F$1780,F553,6)</f>
        <v>0.685039</v>
      </c>
      <c r="U553" s="62" t="n">
        <f aca="false">IF(F553&gt;0,(Settings!$B$8*T553+Settings!$B$9*R553+Settings!$B$10*S553)/SUM(Settings!$B$8:$B$10),0)</f>
        <v>0.482002166666667</v>
      </c>
      <c r="V553" s="56" t="n">
        <f aca="false">IF(U553&gt;0,RANK(U553,$U$2:$U$1780)+COUNTIF($U$2:U553,U553)-1,"")</f>
        <v>552</v>
      </c>
      <c r="W553" s="56" t="str">
        <f aca="false">IF(V553="","",IF(V553&lt;=Settings!$B$11,"1 - Fix first",IF(V553&lt;=Settings!$B$12,"2 - Review","3 - Monitor")))</f>
        <v>3 - Monitor</v>
      </c>
      <c r="X553" s="56" t="str">
        <f aca="false">IF(AND(E553&gt;=Settings!$B$4,F553&gt;=Settings!$B$5,O553&gt;=Settings!$B$6),"HIGH RATE","")</f>
        <v/>
      </c>
      <c r="Y553" s="56" t="n">
        <f aca="false">IF(F553&gt;0,RANK(F553,$F$2:$F$1780)+COUNTIF($F$2:F553,F553)-1,"")</f>
        <v>552</v>
      </c>
      <c r="Z553" s="56" t="n">
        <f aca="false">IF(H553&gt;0,RANK(H553,$H$2:$H$1780)+COUNTIF($H$2:H553,H553)-1,"")</f>
        <v>518</v>
      </c>
      <c r="AA553" s="56" t="n">
        <f aca="false">IF(AC553="","",RANK(AC553,$AC$2:$AC$1780)+COUNTIF($AC$2:AC553,AC553)-1)</f>
        <v>350</v>
      </c>
      <c r="AB553" s="56" t="str">
        <f aca="false">IF(AD553="","",RANK(AD553,$AD$2:$AD$1780)+COUNTIF($AD$2:AD553,AD553)-1)</f>
        <v/>
      </c>
      <c r="AC553" s="32" t="n">
        <f aca="false">IF(AND(F553&gt;0,E553&gt;=Settings!$B$4),J553,"")</f>
        <v>0.0113636363636364</v>
      </c>
      <c r="AD553" s="56" t="str">
        <f aca="false">IF(X553="HIGH RATE",O553,"")</f>
        <v/>
      </c>
    </row>
    <row r="554" customFormat="false" ht="15" hidden="false" customHeight="false" outlineLevel="0" collapsed="false">
      <c r="A554" s="56" t="s">
        <v>1671</v>
      </c>
      <c r="B554" s="56" t="s">
        <v>1672</v>
      </c>
      <c r="C554" s="56" t="s">
        <v>51</v>
      </c>
      <c r="D554" s="56" t="str">
        <f aca="false">IFERROR(INDEX('Brand Map'!$B$4:$B$124,MATCH(C554,'Brand Map'!$A$4:$A$124,0)),"Other")</f>
        <v>AU</v>
      </c>
      <c r="E554" s="57" t="n">
        <v>194</v>
      </c>
      <c r="F554" s="57" t="n">
        <v>1</v>
      </c>
      <c r="G554" s="58" t="n">
        <v>19423.09</v>
      </c>
      <c r="H554" s="58" t="n">
        <v>94.95</v>
      </c>
      <c r="I554" s="58" t="n">
        <v>18977.53</v>
      </c>
      <c r="J554" s="32" t="n">
        <f aca="false">IF(E554&gt;0,F554/E554,0)</f>
        <v>0.00515463917525773</v>
      </c>
      <c r="K554" s="32" t="n">
        <f aca="false">IF(G554&gt;0,H554/G554,0)</f>
        <v>0.00488851156021004</v>
      </c>
      <c r="L554" s="59" t="n">
        <f aca="false">H554/Settings!$B$16</f>
        <v>0.000189760086093322</v>
      </c>
      <c r="M554" s="59" t="n">
        <f aca="false">H554/Settings!$B$20</f>
        <v>7.3713863050873E-006</v>
      </c>
      <c r="N554" s="60" t="n">
        <f aca="false">E554*Settings!$B$3</f>
        <v>6.01131330948516</v>
      </c>
      <c r="O554" s="60" t="n">
        <f aca="false">IF(E554&gt;0,(F554-N554)/SQRT(E554*Settings!$B$3*(1-Settings!$B$3)),0)</f>
        <v>-2.07635630950014</v>
      </c>
      <c r="P554" s="60" t="n">
        <f aca="false">MAX(0,F554-N554)</f>
        <v>0</v>
      </c>
      <c r="Q554" s="32" t="n">
        <f aca="false">(F554+Settings!$B$7*Settings!$B$3)/(E554+Settings!$B$7)</f>
        <v>0.00861421666247595</v>
      </c>
      <c r="R554" s="61" t="n">
        <f aca="false">PERCENTRANK($H$2:$H$1780,H554,6)</f>
        <v>0.748594</v>
      </c>
      <c r="S554" s="61" t="n">
        <f aca="false">PERCENTRANK($Q$2:$Q$1780,Q554,6)</f>
        <v>0.0101237</v>
      </c>
      <c r="T554" s="61" t="n">
        <f aca="false">PERCENTRANK($F$2:$F$1780,F554,6)</f>
        <v>0.685039</v>
      </c>
      <c r="U554" s="62" t="n">
        <f aca="false">IF(F554&gt;0,(Settings!$B$8*T554+Settings!$B$9*R554+Settings!$B$10*S554)/SUM(Settings!$B$8:$B$10),0)</f>
        <v>0.481252233333333</v>
      </c>
      <c r="V554" s="56" t="n">
        <f aca="false">IF(U554&gt;0,RANK(U554,$U$2:$U$1780)+COUNTIF($U$2:U554,U554)-1,"")</f>
        <v>553</v>
      </c>
      <c r="W554" s="56" t="str">
        <f aca="false">IF(V554="","",IF(V554&lt;=Settings!$B$11,"1 - Fix first",IF(V554&lt;=Settings!$B$12,"2 - Review","3 - Monitor")))</f>
        <v>3 - Monitor</v>
      </c>
      <c r="X554" s="56" t="str">
        <f aca="false">IF(AND(E554&gt;=Settings!$B$4,F554&gt;=Settings!$B$5,O554&gt;=Settings!$B$6),"HIGH RATE","")</f>
        <v/>
      </c>
      <c r="Y554" s="56" t="n">
        <f aca="false">IF(F554&gt;0,RANK(F554,$F$2:$F$1780)+COUNTIF($F$2:F554,F554)-1,"")</f>
        <v>553</v>
      </c>
      <c r="Z554" s="56" t="n">
        <f aca="false">IF(H554&gt;0,RANK(H554,$H$2:$H$1780)+COUNTIF($H$2:H554,H554)-1,"")</f>
        <v>448</v>
      </c>
      <c r="AA554" s="56" t="n">
        <f aca="false">IF(AC554="","",RANK(AC554,$AC$2:$AC$1780)+COUNTIF($AC$2:AC554,AC554)-1)</f>
        <v>365</v>
      </c>
      <c r="AB554" s="56" t="str">
        <f aca="false">IF(AD554="","",RANK(AD554,$AD$2:$AD$1780)+COUNTIF($AD$2:AD554,AD554)-1)</f>
        <v/>
      </c>
      <c r="AC554" s="32" t="n">
        <f aca="false">IF(AND(F554&gt;0,E554&gt;=Settings!$B$4),J554,"")</f>
        <v>0.00515463917525773</v>
      </c>
      <c r="AD554" s="56" t="str">
        <f aca="false">IF(X554="HIGH RATE",O554,"")</f>
        <v/>
      </c>
    </row>
    <row r="555" customFormat="false" ht="15" hidden="false" customHeight="false" outlineLevel="0" collapsed="false">
      <c r="A555" s="56" t="s">
        <v>586</v>
      </c>
      <c r="B555" s="56" t="s">
        <v>587</v>
      </c>
      <c r="C555" s="56" t="s">
        <v>151</v>
      </c>
      <c r="D555" s="56" t="str">
        <f aca="false">IFERROR(INDEX('Brand Map'!$B$4:$B$124,MATCH(C555,'Brand Map'!$A$4:$A$124,0)),"Other")</f>
        <v>WBAU</v>
      </c>
      <c r="E555" s="57" t="n">
        <v>92</v>
      </c>
      <c r="F555" s="57" t="n">
        <v>1</v>
      </c>
      <c r="G555" s="58" t="n">
        <v>7245.65</v>
      </c>
      <c r="H555" s="58" t="n">
        <v>61.79</v>
      </c>
      <c r="I555" s="58" t="n">
        <v>6972.02</v>
      </c>
      <c r="J555" s="32" t="n">
        <f aca="false">IF(E555&gt;0,F555/E555,0)</f>
        <v>0.0108695652173913</v>
      </c>
      <c r="K555" s="32" t="n">
        <f aca="false">IF(G555&gt;0,H555/G555,0)</f>
        <v>0.00852787534589719</v>
      </c>
      <c r="L555" s="59" t="n">
        <f aca="false">H555/Settings!$B$16</f>
        <v>0.000123488949128029</v>
      </c>
      <c r="M555" s="59" t="n">
        <f aca="false">H555/Settings!$B$20</f>
        <v>4.7970295923259E-006</v>
      </c>
      <c r="N555" s="60" t="n">
        <f aca="false">E555*Settings!$B$3</f>
        <v>2.85072589934348</v>
      </c>
      <c r="O555" s="60" t="n">
        <f aca="false">IF(E555&gt;0,(F555-N555)/SQRT(E555*Settings!$B$3*(1-Settings!$B$3)),0)</f>
        <v>-1.11352348213935</v>
      </c>
      <c r="P555" s="60" t="n">
        <f aca="false">MAX(0,F555-N555)</f>
        <v>0</v>
      </c>
      <c r="Q555" s="32" t="n">
        <f aca="false">(F555+Settings!$B$7*Settings!$B$3)/(E555+Settings!$B$7)</f>
        <v>0.0158162666589722</v>
      </c>
      <c r="R555" s="61" t="n">
        <f aca="false">PERCENTRANK($H$2:$H$1780,H555,6)</f>
        <v>0.712598</v>
      </c>
      <c r="S555" s="61" t="n">
        <f aca="false">PERCENTRANK($Q$2:$Q$1780,Q555,6)</f>
        <v>0.0438695</v>
      </c>
      <c r="T555" s="61" t="n">
        <f aca="false">PERCENTRANK($F$2:$F$1780,F555,6)</f>
        <v>0.685039</v>
      </c>
      <c r="U555" s="62" t="n">
        <f aca="false">IF(F555&gt;0,(Settings!$B$8*T555+Settings!$B$9*R555+Settings!$B$10*S555)/SUM(Settings!$B$8:$B$10),0)</f>
        <v>0.480502166666667</v>
      </c>
      <c r="V555" s="56" t="n">
        <f aca="false">IF(U555&gt;0,RANK(U555,$U$2:$U$1780)+COUNTIF($U$2:U555,U555)-1,"")</f>
        <v>554</v>
      </c>
      <c r="W555" s="56" t="str">
        <f aca="false">IF(V555="","",IF(V555&lt;=Settings!$B$11,"1 - Fix first",IF(V555&lt;=Settings!$B$12,"2 - Review","3 - Monitor")))</f>
        <v>3 - Monitor</v>
      </c>
      <c r="X555" s="56" t="str">
        <f aca="false">IF(AND(E555&gt;=Settings!$B$4,F555&gt;=Settings!$B$5,O555&gt;=Settings!$B$6),"HIGH RATE","")</f>
        <v/>
      </c>
      <c r="Y555" s="56" t="n">
        <f aca="false">IF(F555&gt;0,RANK(F555,$F$2:$F$1780)+COUNTIF($F$2:F555,F555)-1,"")</f>
        <v>554</v>
      </c>
      <c r="Z555" s="56" t="n">
        <f aca="false">IF(H555&gt;0,RANK(H555,$H$2:$H$1780)+COUNTIF($H$2:H555,H555)-1,"")</f>
        <v>512</v>
      </c>
      <c r="AA555" s="56" t="n">
        <f aca="false">IF(AC555="","",RANK(AC555,$AC$2:$AC$1780)+COUNTIF($AC$2:AC555,AC555)-1)</f>
        <v>353</v>
      </c>
      <c r="AB555" s="56" t="str">
        <f aca="false">IF(AD555="","",RANK(AD555,$AD$2:$AD$1780)+COUNTIF($AD$2:AD555,AD555)-1)</f>
        <v/>
      </c>
      <c r="AC555" s="32" t="n">
        <f aca="false">IF(AND(F555&gt;0,E555&gt;=Settings!$B$4),J555,"")</f>
        <v>0.0108695652173913</v>
      </c>
      <c r="AD555" s="56" t="str">
        <f aca="false">IF(X555="HIGH RATE",O555,"")</f>
        <v/>
      </c>
    </row>
    <row r="556" customFormat="false" ht="15" hidden="false" customHeight="false" outlineLevel="0" collapsed="false">
      <c r="A556" s="56" t="s">
        <v>1673</v>
      </c>
      <c r="B556" s="56" t="s">
        <v>1674</v>
      </c>
      <c r="C556" s="56" t="s">
        <v>647</v>
      </c>
      <c r="D556" s="56" t="str">
        <f aca="false">IFERROR(INDEX('Brand Map'!$B$4:$B$124,MATCH(C556,'Brand Map'!$A$4:$A$124,0)),"Other")</f>
        <v>Other (small prefixes)</v>
      </c>
      <c r="E556" s="57" t="n">
        <v>78</v>
      </c>
      <c r="F556" s="57" t="n">
        <v>1</v>
      </c>
      <c r="G556" s="58" t="n">
        <v>1785.18</v>
      </c>
      <c r="H556" s="58" t="n">
        <v>27.02</v>
      </c>
      <c r="I556" s="58" t="n">
        <v>1731.83</v>
      </c>
      <c r="J556" s="32" t="n">
        <f aca="false">IF(E556&gt;0,F556/E556,0)</f>
        <v>0.0128205128205128</v>
      </c>
      <c r="K556" s="32" t="n">
        <f aca="false">IF(G556&gt;0,H556/G556,0)</f>
        <v>0.0151357286100001</v>
      </c>
      <c r="L556" s="59" t="n">
        <f aca="false">H556/Settings!$B$16</f>
        <v>5.40001845839026E-005</v>
      </c>
      <c r="M556" s="59" t="n">
        <f aca="false">H556/Settings!$B$20</f>
        <v>2.09768149513911E-006</v>
      </c>
      <c r="N556" s="60" t="n">
        <f aca="false">E556*Settings!$B$3</f>
        <v>2.41691978422599</v>
      </c>
      <c r="O556" s="60" t="n">
        <f aca="false">IF(E556&gt;0,(F556-N556)/SQRT(E556*Settings!$B$3*(1-Settings!$B$3)),0)</f>
        <v>-0.925868170104048</v>
      </c>
      <c r="P556" s="60" t="n">
        <f aca="false">MAX(0,F556-N556)</f>
        <v>0</v>
      </c>
      <c r="Q556" s="32" t="n">
        <f aca="false">(F556+Settings!$B$7*Settings!$B$3)/(E556+Settings!$B$7)</f>
        <v>0.0178665234480983</v>
      </c>
      <c r="R556" s="61" t="n">
        <f aca="false">PERCENTRANK($H$2:$H$1780,H556,6)</f>
        <v>0.691226</v>
      </c>
      <c r="S556" s="61" t="n">
        <f aca="false">PERCENTRANK($Q$2:$Q$1780,Q556,6)</f>
        <v>0.064117</v>
      </c>
      <c r="T556" s="61" t="n">
        <f aca="false">PERCENTRANK($F$2:$F$1780,F556,6)</f>
        <v>0.685039</v>
      </c>
      <c r="U556" s="62" t="n">
        <f aca="false">IF(F556&gt;0,(Settings!$B$8*T556+Settings!$B$9*R556+Settings!$B$10*S556)/SUM(Settings!$B$8:$B$10),0)</f>
        <v>0.480127333333333</v>
      </c>
      <c r="V556" s="56" t="n">
        <f aca="false">IF(U556&gt;0,RANK(U556,$U$2:$U$1780)+COUNTIF($U$2:U556,U556)-1,"")</f>
        <v>555</v>
      </c>
      <c r="W556" s="56" t="str">
        <f aca="false">IF(V556="","",IF(V556&lt;=Settings!$B$11,"1 - Fix first",IF(V556&lt;=Settings!$B$12,"2 - Review","3 - Monitor")))</f>
        <v>3 - Monitor</v>
      </c>
      <c r="X556" s="56" t="str">
        <f aca="false">IF(AND(E556&gt;=Settings!$B$4,F556&gt;=Settings!$B$5,O556&gt;=Settings!$B$6),"HIGH RATE","")</f>
        <v/>
      </c>
      <c r="Y556" s="56" t="n">
        <f aca="false">IF(F556&gt;0,RANK(F556,$F$2:$F$1780)+COUNTIF($F$2:F556,F556)-1,"")</f>
        <v>555</v>
      </c>
      <c r="Z556" s="56" t="n">
        <f aca="false">IF(H556&gt;0,RANK(H556,$H$2:$H$1780)+COUNTIF($H$2:H556,H556)-1,"")</f>
        <v>550</v>
      </c>
      <c r="AA556" s="56" t="n">
        <f aca="false">IF(AC556="","",RANK(AC556,$AC$2:$AC$1780)+COUNTIF($AC$2:AC556,AC556)-1)</f>
        <v>343</v>
      </c>
      <c r="AB556" s="56" t="str">
        <f aca="false">IF(AD556="","",RANK(AD556,$AD$2:$AD$1780)+COUNTIF($AD$2:AD556,AD556)-1)</f>
        <v/>
      </c>
      <c r="AC556" s="32" t="n">
        <f aca="false">IF(AND(F556&gt;0,E556&gt;=Settings!$B$4),J556,"")</f>
        <v>0.0128205128205128</v>
      </c>
      <c r="AD556" s="56" t="str">
        <f aca="false">IF(X556="HIGH RATE",O556,"")</f>
        <v/>
      </c>
    </row>
    <row r="557" customFormat="false" ht="15" hidden="false" customHeight="false" outlineLevel="0" collapsed="false">
      <c r="A557" s="56" t="s">
        <v>717</v>
      </c>
      <c r="B557" s="56" t="s">
        <v>718</v>
      </c>
      <c r="C557" s="56" t="s">
        <v>716</v>
      </c>
      <c r="D557" s="56" t="str">
        <f aca="false">IFERROR(INDEX('Brand Map'!$B$4:$B$124,MATCH(C557,'Brand Map'!$A$4:$A$124,0)),"Other")</f>
        <v>Other (small prefixes)</v>
      </c>
      <c r="E557" s="57" t="n">
        <v>79</v>
      </c>
      <c r="F557" s="57" t="n">
        <v>1</v>
      </c>
      <c r="G557" s="58" t="n">
        <v>1576.05</v>
      </c>
      <c r="H557" s="58" t="n">
        <v>19.95</v>
      </c>
      <c r="I557" s="58" t="n">
        <v>1556.1</v>
      </c>
      <c r="J557" s="32" t="n">
        <f aca="false">IF(E557&gt;0,F557/E557,0)</f>
        <v>0.0126582278481013</v>
      </c>
      <c r="K557" s="32" t="n">
        <f aca="false">IF(G557&gt;0,H557/G557,0)</f>
        <v>0.0126582278481013</v>
      </c>
      <c r="L557" s="59" t="n">
        <f aca="false">H557/Settings!$B$16</f>
        <v>3.98706026072856E-005</v>
      </c>
      <c r="M557" s="59" t="n">
        <f aca="false">H557/Settings!$B$20</f>
        <v>1.54880628527111E-006</v>
      </c>
      <c r="N557" s="60" t="n">
        <f aca="false">E557*Settings!$B$3</f>
        <v>2.44790593530581</v>
      </c>
      <c r="O557" s="60" t="n">
        <f aca="false">IF(E557&gt;0,(F557-N557)/SQRT(E557*Settings!$B$3*(1-Settings!$B$3)),0)</f>
        <v>-0.940108531127471</v>
      </c>
      <c r="P557" s="60" t="n">
        <f aca="false">MAX(0,F557-N557)</f>
        <v>0</v>
      </c>
      <c r="Q557" s="32" t="n">
        <f aca="false">(F557+Settings!$B$7*Settings!$B$3)/(E557+Settings!$B$7)</f>
        <v>0.0177026103889414</v>
      </c>
      <c r="R557" s="61" t="n">
        <f aca="false">PERCENTRANK($H$2:$H$1780,H557,6)</f>
        <v>0.689539</v>
      </c>
      <c r="S557" s="61" t="n">
        <f aca="false">PERCENTRANK($Q$2:$Q$1780,Q557,6)</f>
        <v>0.0618673</v>
      </c>
      <c r="T557" s="61" t="n">
        <f aca="false">PERCENTRANK($F$2:$F$1780,F557,6)</f>
        <v>0.685039</v>
      </c>
      <c r="U557" s="62" t="n">
        <f aca="false">IF(F557&gt;0,(Settings!$B$8*T557+Settings!$B$9*R557+Settings!$B$10*S557)/SUM(Settings!$B$8:$B$10),0)</f>
        <v>0.4788151</v>
      </c>
      <c r="V557" s="56" t="n">
        <f aca="false">IF(U557&gt;0,RANK(U557,$U$2:$U$1780)+COUNTIF($U$2:U557,U557)-1,"")</f>
        <v>556</v>
      </c>
      <c r="W557" s="56" t="str">
        <f aca="false">IF(V557="","",IF(V557&lt;=Settings!$B$11,"1 - Fix first",IF(V557&lt;=Settings!$B$12,"2 - Review","3 - Monitor")))</f>
        <v>3 - Monitor</v>
      </c>
      <c r="X557" s="56" t="str">
        <f aca="false">IF(AND(E557&gt;=Settings!$B$4,F557&gt;=Settings!$B$5,O557&gt;=Settings!$B$6),"HIGH RATE","")</f>
        <v/>
      </c>
      <c r="Y557" s="56" t="n">
        <f aca="false">IF(F557&gt;0,RANK(F557,$F$2:$F$1780)+COUNTIF($F$2:F557,F557)-1,"")</f>
        <v>556</v>
      </c>
      <c r="Z557" s="56" t="n">
        <f aca="false">IF(H557&gt;0,RANK(H557,$H$2:$H$1780)+COUNTIF($H$2:H557,H557)-1,"")</f>
        <v>553</v>
      </c>
      <c r="AA557" s="56" t="n">
        <f aca="false">IF(AC557="","",RANK(AC557,$AC$2:$AC$1780)+COUNTIF($AC$2:AC557,AC557)-1)</f>
        <v>345</v>
      </c>
      <c r="AB557" s="56" t="str">
        <f aca="false">IF(AD557="","",RANK(AD557,$AD$2:$AD$1780)+COUNTIF($AD$2:AD557,AD557)-1)</f>
        <v/>
      </c>
      <c r="AC557" s="32" t="n">
        <f aca="false">IF(AND(F557&gt;0,E557&gt;=Settings!$B$4),J557,"")</f>
        <v>0.0126582278481013</v>
      </c>
      <c r="AD557" s="56" t="str">
        <f aca="false">IF(X557="HIGH RATE",O557,"")</f>
        <v/>
      </c>
    </row>
    <row r="558" customFormat="false" ht="15" hidden="false" customHeight="false" outlineLevel="0" collapsed="false">
      <c r="A558" s="56" t="s">
        <v>370</v>
      </c>
      <c r="B558" s="56" t="s">
        <v>369</v>
      </c>
      <c r="C558" s="56" t="s">
        <v>55</v>
      </c>
      <c r="D558" s="56" t="str">
        <f aca="false">IFERROR(INDEX('Brand Map'!$B$4:$B$124,MATCH(C558,'Brand Map'!$A$4:$A$124,0)),"Other")</f>
        <v>AUMJ</v>
      </c>
      <c r="E558" s="57" t="n">
        <v>150</v>
      </c>
      <c r="F558" s="57" t="n">
        <v>1</v>
      </c>
      <c r="G558" s="58" t="n">
        <v>11364.51</v>
      </c>
      <c r="H558" s="58" t="n">
        <v>79.95</v>
      </c>
      <c r="I558" s="58" t="n">
        <v>10983.95</v>
      </c>
      <c r="J558" s="32" t="n">
        <f aca="false">IF(E558&gt;0,F558/E558,0)</f>
        <v>0.00666666666666667</v>
      </c>
      <c r="K558" s="32" t="n">
        <f aca="false">IF(G558&gt;0,H558/G558,0)</f>
        <v>0.00703505914465296</v>
      </c>
      <c r="L558" s="59" t="n">
        <f aca="false">H558/Settings!$B$16</f>
        <v>0.000159782189396114</v>
      </c>
      <c r="M558" s="59" t="n">
        <f aca="false">H558/Settings!$B$20</f>
        <v>6.20687030112407E-006</v>
      </c>
      <c r="N558" s="60" t="n">
        <f aca="false">E558*Settings!$B$3</f>
        <v>4.64792266197306</v>
      </c>
      <c r="O558" s="60" t="n">
        <f aca="false">IF(E558&gt;0,(F558-N558)/SQRT(E558*Settings!$B$3*(1-Settings!$B$3)),0)</f>
        <v>-1.71890226537249</v>
      </c>
      <c r="P558" s="60" t="n">
        <f aca="false">MAX(0,F558-N558)</f>
        <v>0</v>
      </c>
      <c r="Q558" s="32" t="n">
        <f aca="false">(F558+Settings!$B$7*Settings!$B$3)/(E558+Settings!$B$7)</f>
        <v>0.010719914068859</v>
      </c>
      <c r="R558" s="61" t="n">
        <f aca="false">PERCENTRANK($H$2:$H$1780,H558,6)</f>
        <v>0.728909</v>
      </c>
      <c r="S558" s="61" t="n">
        <f aca="false">PERCENTRANK($Q$2:$Q$1780,Q558,6)</f>
        <v>0.0191226</v>
      </c>
      <c r="T558" s="61" t="n">
        <f aca="false">PERCENTRANK($F$2:$F$1780,F558,6)</f>
        <v>0.685039</v>
      </c>
      <c r="U558" s="62" t="n">
        <f aca="false">IF(F558&gt;0,(Settings!$B$8*T558+Settings!$B$9*R558+Settings!$B$10*S558)/SUM(Settings!$B$8:$B$10),0)</f>
        <v>0.4776902</v>
      </c>
      <c r="V558" s="56" t="n">
        <f aca="false">IF(U558&gt;0,RANK(U558,$U$2:$U$1780)+COUNTIF($U$2:U558,U558)-1,"")</f>
        <v>557</v>
      </c>
      <c r="W558" s="56" t="str">
        <f aca="false">IF(V558="","",IF(V558&lt;=Settings!$B$11,"1 - Fix first",IF(V558&lt;=Settings!$B$12,"2 - Review","3 - Monitor")))</f>
        <v>3 - Monitor</v>
      </c>
      <c r="X558" s="56" t="str">
        <f aca="false">IF(AND(E558&gt;=Settings!$B$4,F558&gt;=Settings!$B$5,O558&gt;=Settings!$B$6),"HIGH RATE","")</f>
        <v/>
      </c>
      <c r="Y558" s="56" t="n">
        <f aca="false">IF(F558&gt;0,RANK(F558,$F$2:$F$1780)+COUNTIF($F$2:F558,F558)-1,"")</f>
        <v>557</v>
      </c>
      <c r="Z558" s="56" t="n">
        <f aca="false">IF(H558&gt;0,RANK(H558,$H$2:$H$1780)+COUNTIF($H$2:H558,H558)-1,"")</f>
        <v>483</v>
      </c>
      <c r="AA558" s="56" t="n">
        <f aca="false">IF(AC558="","",RANK(AC558,$AC$2:$AC$1780)+COUNTIF($AC$2:AC558,AC558)-1)</f>
        <v>360</v>
      </c>
      <c r="AB558" s="56" t="str">
        <f aca="false">IF(AD558="","",RANK(AD558,$AD$2:$AD$1780)+COUNTIF($AD$2:AD558,AD558)-1)</f>
        <v/>
      </c>
      <c r="AC558" s="32" t="n">
        <f aca="false">IF(AND(F558&gt;0,E558&gt;=Settings!$B$4),J558,"")</f>
        <v>0.00666666666666667</v>
      </c>
      <c r="AD558" s="56" t="str">
        <f aca="false">IF(X558="HIGH RATE",O558,"")</f>
        <v/>
      </c>
    </row>
    <row r="559" customFormat="false" ht="15" hidden="false" customHeight="false" outlineLevel="0" collapsed="false">
      <c r="A559" s="56" t="s">
        <v>1675</v>
      </c>
      <c r="B559" s="56" t="s">
        <v>1320</v>
      </c>
      <c r="C559" s="56" t="s">
        <v>51</v>
      </c>
      <c r="D559" s="56" t="str">
        <f aca="false">IFERROR(INDEX('Brand Map'!$B$4:$B$124,MATCH(C559,'Brand Map'!$A$4:$A$124,0)),"Other")</f>
        <v>AU</v>
      </c>
      <c r="E559" s="57" t="n">
        <v>124</v>
      </c>
      <c r="F559" s="57" t="n">
        <v>1</v>
      </c>
      <c r="G559" s="58" t="n">
        <v>7166.8</v>
      </c>
      <c r="H559" s="58" t="n">
        <v>64.45</v>
      </c>
      <c r="I559" s="58" t="n">
        <v>7102.35</v>
      </c>
      <c r="J559" s="32" t="n">
        <f aca="false">IF(E559&gt;0,F559/E559,0)</f>
        <v>0.00806451612903226</v>
      </c>
      <c r="K559" s="32" t="n">
        <f aca="false">IF(G559&gt;0,H559/G559,0)</f>
        <v>0.00899285594686611</v>
      </c>
      <c r="L559" s="59" t="n">
        <f aca="false">H559/Settings!$B$16</f>
        <v>0.000128805029475667</v>
      </c>
      <c r="M559" s="59" t="n">
        <f aca="false">H559/Settings!$B$20</f>
        <v>5.00353709702872E-006</v>
      </c>
      <c r="N559" s="60" t="n">
        <f aca="false">E559*Settings!$B$3</f>
        <v>3.84228273389773</v>
      </c>
      <c r="O559" s="60" t="n">
        <f aca="false">IF(E559&gt;0,(F559-N559)/SQRT(E559*Settings!$B$3*(1-Settings!$B$3)),0)</f>
        <v>-1.47301654633518</v>
      </c>
      <c r="P559" s="60" t="n">
        <f aca="false">MAX(0,F559-N559)</f>
        <v>0</v>
      </c>
      <c r="Q559" s="32" t="n">
        <f aca="false">(F559+Settings!$B$7*Settings!$B$3)/(E559+Settings!$B$7)</f>
        <v>0.0125297696908741</v>
      </c>
      <c r="R559" s="61" t="n">
        <f aca="false">PERCENTRANK($H$2:$H$1780,H559,6)</f>
        <v>0.71766</v>
      </c>
      <c r="S559" s="61" t="n">
        <f aca="false">PERCENTRANK($Q$2:$Q$1780,Q559,6)</f>
        <v>0.0253093</v>
      </c>
      <c r="T559" s="61" t="n">
        <f aca="false">PERCENTRANK($F$2:$F$1780,F559,6)</f>
        <v>0.685039</v>
      </c>
      <c r="U559" s="62" t="n">
        <f aca="false">IF(F559&gt;0,(Settings!$B$8*T559+Settings!$B$9*R559+Settings!$B$10*S559)/SUM(Settings!$B$8:$B$10),0)</f>
        <v>0.476002766666667</v>
      </c>
      <c r="V559" s="56" t="n">
        <f aca="false">IF(U559&gt;0,RANK(U559,$U$2:$U$1780)+COUNTIF($U$2:U559,U559)-1,"")</f>
        <v>558</v>
      </c>
      <c r="W559" s="56" t="str">
        <f aca="false">IF(V559="","",IF(V559&lt;=Settings!$B$11,"1 - Fix first",IF(V559&lt;=Settings!$B$12,"2 - Review","3 - Monitor")))</f>
        <v>3 - Monitor</v>
      </c>
      <c r="X559" s="56" t="str">
        <f aca="false">IF(AND(E559&gt;=Settings!$B$4,F559&gt;=Settings!$B$5,O559&gt;=Settings!$B$6),"HIGH RATE","")</f>
        <v/>
      </c>
      <c r="Y559" s="56" t="n">
        <f aca="false">IF(F559&gt;0,RANK(F559,$F$2:$F$1780)+COUNTIF($F$2:F559,F559)-1,"")</f>
        <v>558</v>
      </c>
      <c r="Z559" s="56" t="n">
        <f aca="false">IF(H559&gt;0,RANK(H559,$H$2:$H$1780)+COUNTIF($H$2:H559,H559)-1,"")</f>
        <v>503</v>
      </c>
      <c r="AA559" s="56" t="n">
        <f aca="false">IF(AC559="","",RANK(AC559,$AC$2:$AC$1780)+COUNTIF($AC$2:AC559,AC559)-1)</f>
        <v>357</v>
      </c>
      <c r="AB559" s="56" t="str">
        <f aca="false">IF(AD559="","",RANK(AD559,$AD$2:$AD$1780)+COUNTIF($AD$2:AD559,AD559)-1)</f>
        <v/>
      </c>
      <c r="AC559" s="32" t="n">
        <f aca="false">IF(AND(F559&gt;0,E559&gt;=Settings!$B$4),J559,"")</f>
        <v>0.00806451612903226</v>
      </c>
      <c r="AD559" s="56" t="str">
        <f aca="false">IF(X559="HIGH RATE",O559,"")</f>
        <v/>
      </c>
    </row>
    <row r="560" customFormat="false" ht="15" hidden="false" customHeight="false" outlineLevel="0" collapsed="false">
      <c r="A560" s="56" t="s">
        <v>580</v>
      </c>
      <c r="B560" s="56" t="s">
        <v>581</v>
      </c>
      <c r="C560" s="56" t="s">
        <v>168</v>
      </c>
      <c r="D560" s="56" t="str">
        <f aca="false">IFERROR(INDEX('Brand Map'!$B$4:$B$124,MATCH(C560,'Brand Map'!$A$4:$A$124,0)),"Other")</f>
        <v>OR</v>
      </c>
      <c r="E560" s="57" t="n">
        <v>275</v>
      </c>
      <c r="F560" s="57" t="n">
        <v>1</v>
      </c>
      <c r="G560" s="58" t="n">
        <v>15852.54</v>
      </c>
      <c r="H560" s="58" t="n">
        <v>69.05</v>
      </c>
      <c r="I560" s="58" t="n">
        <v>15614.89</v>
      </c>
      <c r="J560" s="32" t="n">
        <f aca="false">IF(E560&gt;0,F560/E560,0)</f>
        <v>0.00363636363636364</v>
      </c>
      <c r="K560" s="32" t="n">
        <f aca="false">IF(G560&gt;0,H560/G560,0)</f>
        <v>0.0043557688547072</v>
      </c>
      <c r="L560" s="59" t="n">
        <f aca="false">H560/Settings!$B$16</f>
        <v>0.000137998251129477</v>
      </c>
      <c r="M560" s="59" t="n">
        <f aca="false">H560/Settings!$B$20</f>
        <v>5.36065533824411E-006</v>
      </c>
      <c r="N560" s="60" t="n">
        <f aca="false">E560*Settings!$B$3</f>
        <v>8.52119154695062</v>
      </c>
      <c r="O560" s="60" t="n">
        <f aca="false">IF(E560&gt;0,(F560-N560)/SQRT(E560*Settings!$B$3*(1-Settings!$B$3)),0)</f>
        <v>-2.61740840913981</v>
      </c>
      <c r="P560" s="60" t="n">
        <f aca="false">MAX(0,F560-N560)</f>
        <v>0</v>
      </c>
      <c r="Q560" s="32" t="n">
        <f aca="false">(F560+Settings!$B$7*Settings!$B$3)/(E560+Settings!$B$7)</f>
        <v>0.00632650666358889</v>
      </c>
      <c r="R560" s="61" t="n">
        <f aca="false">PERCENTRANK($H$2:$H$1780,H560,6)</f>
        <v>0.720472</v>
      </c>
      <c r="S560" s="61" t="n">
        <f aca="false">PERCENTRANK($Q$2:$Q$1780,Q560,6)</f>
        <v>0.00618673</v>
      </c>
      <c r="T560" s="61" t="n">
        <f aca="false">PERCENTRANK($F$2:$F$1780,F560,6)</f>
        <v>0.685039</v>
      </c>
      <c r="U560" s="62" t="n">
        <f aca="false">IF(F560&gt;0,(Settings!$B$8*T560+Settings!$B$9*R560+Settings!$B$10*S560)/SUM(Settings!$B$8:$B$10),0)</f>
        <v>0.47056591</v>
      </c>
      <c r="V560" s="56" t="n">
        <f aca="false">IF(U560&gt;0,RANK(U560,$U$2:$U$1780)+COUNTIF($U$2:U560,U560)-1,"")</f>
        <v>559</v>
      </c>
      <c r="W560" s="56" t="str">
        <f aca="false">IF(V560="","",IF(V560&lt;=Settings!$B$11,"1 - Fix first",IF(V560&lt;=Settings!$B$12,"2 - Review","3 - Monitor")))</f>
        <v>3 - Monitor</v>
      </c>
      <c r="X560" s="56" t="str">
        <f aca="false">IF(AND(E560&gt;=Settings!$B$4,F560&gt;=Settings!$B$5,O560&gt;=Settings!$B$6),"HIGH RATE","")</f>
        <v/>
      </c>
      <c r="Y560" s="56" t="n">
        <f aca="false">IF(F560&gt;0,RANK(F560,$F$2:$F$1780)+COUNTIF($F$2:F560,F560)-1,"")</f>
        <v>559</v>
      </c>
      <c r="Z560" s="56" t="n">
        <f aca="false">IF(H560&gt;0,RANK(H560,$H$2:$H$1780)+COUNTIF($H$2:H560,H560)-1,"")</f>
        <v>498</v>
      </c>
      <c r="AA560" s="56" t="n">
        <f aca="false">IF(AC560="","",RANK(AC560,$AC$2:$AC$1780)+COUNTIF($AC$2:AC560,AC560)-1)</f>
        <v>367</v>
      </c>
      <c r="AB560" s="56" t="str">
        <f aca="false">IF(AD560="","",RANK(AD560,$AD$2:$AD$1780)+COUNTIF($AD$2:AD560,AD560)-1)</f>
        <v/>
      </c>
      <c r="AC560" s="32" t="n">
        <f aca="false">IF(AND(F560&gt;0,E560&gt;=Settings!$B$4),J560,"")</f>
        <v>0.00363636363636364</v>
      </c>
      <c r="AD560" s="56" t="str">
        <f aca="false">IF(X560="HIGH RATE",O560,"")</f>
        <v/>
      </c>
    </row>
    <row r="561" customFormat="false" ht="15" hidden="false" customHeight="false" outlineLevel="0" collapsed="false">
      <c r="A561" s="56" t="s">
        <v>1676</v>
      </c>
      <c r="B561" s="56" t="s">
        <v>1677</v>
      </c>
      <c r="C561" s="56" t="s">
        <v>168</v>
      </c>
      <c r="D561" s="56" t="str">
        <f aca="false">IFERROR(INDEX('Brand Map'!$B$4:$B$124,MATCH(C561,'Brand Map'!$A$4:$A$124,0)),"Other")</f>
        <v>OR</v>
      </c>
      <c r="E561" s="57" t="n">
        <v>249</v>
      </c>
      <c r="F561" s="57" t="n">
        <v>1</v>
      </c>
      <c r="G561" s="58" t="n">
        <v>15170.54</v>
      </c>
      <c r="H561" s="58" t="n">
        <v>48.42</v>
      </c>
      <c r="I561" s="58" t="n">
        <v>14992.59</v>
      </c>
      <c r="J561" s="32" t="n">
        <f aca="false">IF(E561&gt;0,F561/E561,0)</f>
        <v>0.00401606425702811</v>
      </c>
      <c r="K561" s="32" t="n">
        <f aca="false">IF(G561&gt;0,H561/G561,0)</f>
        <v>0.00319171235829443</v>
      </c>
      <c r="L561" s="59" t="n">
        <f aca="false">H561/Settings!$B$16</f>
        <v>9.67686505385849E-005</v>
      </c>
      <c r="M561" s="59" t="n">
        <f aca="false">H561/Settings!$B$20</f>
        <v>3.75905766079334E-006</v>
      </c>
      <c r="N561" s="60" t="n">
        <f aca="false">E561*Settings!$B$3</f>
        <v>7.71555161887528</v>
      </c>
      <c r="O561" s="60" t="n">
        <f aca="false">IF(E561&gt;0,(F561-N561)/SQRT(E561*Settings!$B$3*(1-Settings!$B$3)),0)</f>
        <v>-2.45602740861308</v>
      </c>
      <c r="P561" s="60" t="n">
        <f aca="false">MAX(0,F561-N561)</f>
        <v>0</v>
      </c>
      <c r="Q561" s="32" t="n">
        <f aca="false">(F561+Settings!$B$7*Settings!$B$3)/(E561+Settings!$B$7)</f>
        <v>0.00691607359281223</v>
      </c>
      <c r="R561" s="61" t="n">
        <f aca="false">PERCENTRANK($H$2:$H$1780,H561,6)</f>
        <v>0.6991</v>
      </c>
      <c r="S561" s="61" t="n">
        <f aca="false">PERCENTRANK($Q$2:$Q$1780,Q561,6)</f>
        <v>0.00787402</v>
      </c>
      <c r="T561" s="61" t="n">
        <f aca="false">PERCENTRANK($F$2:$F$1780,F561,6)</f>
        <v>0.685039</v>
      </c>
      <c r="U561" s="62" t="n">
        <f aca="false">IF(F561&gt;0,(Settings!$B$8*T561+Settings!$B$9*R561+Settings!$B$10*S561)/SUM(Settings!$B$8:$B$10),0)</f>
        <v>0.46400434</v>
      </c>
      <c r="V561" s="56" t="n">
        <f aca="false">IF(U561&gt;0,RANK(U561,$U$2:$U$1780)+COUNTIF($U$2:U561,U561)-1,"")</f>
        <v>560</v>
      </c>
      <c r="W561" s="56" t="str">
        <f aca="false">IF(V561="","",IF(V561&lt;=Settings!$B$11,"1 - Fix first",IF(V561&lt;=Settings!$B$12,"2 - Review","3 - Monitor")))</f>
        <v>3 - Monitor</v>
      </c>
      <c r="X561" s="56" t="str">
        <f aca="false">IF(AND(E561&gt;=Settings!$B$4,F561&gt;=Settings!$B$5,O561&gt;=Settings!$B$6),"HIGH RATE","")</f>
        <v/>
      </c>
      <c r="Y561" s="56" t="n">
        <f aca="false">IF(F561&gt;0,RANK(F561,$F$2:$F$1780)+COUNTIF($F$2:F561,F561)-1,"")</f>
        <v>560</v>
      </c>
      <c r="Z561" s="56" t="n">
        <f aca="false">IF(H561&gt;0,RANK(H561,$H$2:$H$1780)+COUNTIF($H$2:H561,H561)-1,"")</f>
        <v>536</v>
      </c>
      <c r="AA561" s="56" t="n">
        <f aca="false">IF(AC561="","",RANK(AC561,$AC$2:$AC$1780)+COUNTIF($AC$2:AC561,AC561)-1)</f>
        <v>366</v>
      </c>
      <c r="AB561" s="56" t="str">
        <f aca="false">IF(AD561="","",RANK(AD561,$AD$2:$AD$1780)+COUNTIF($AD$2:AD561,AD561)-1)</f>
        <v/>
      </c>
      <c r="AC561" s="32" t="n">
        <f aca="false">IF(AND(F561&gt;0,E561&gt;=Settings!$B$4),J561,"")</f>
        <v>0.00401606425702811</v>
      </c>
      <c r="AD561" s="56" t="str">
        <f aca="false">IF(X561="HIGH RATE",O561,"")</f>
        <v/>
      </c>
    </row>
    <row r="562" customFormat="false" ht="15" hidden="false" customHeight="false" outlineLevel="0" collapsed="false">
      <c r="A562" s="56" t="s">
        <v>596</v>
      </c>
      <c r="B562" s="56" t="s">
        <v>597</v>
      </c>
      <c r="C562" s="56" t="s">
        <v>180</v>
      </c>
      <c r="D562" s="56" t="str">
        <f aca="false">IFERROR(INDEX('Brand Map'!$B$4:$B$124,MATCH(C562,'Brand Map'!$A$4:$A$124,0)),"Other")</f>
        <v>MDPR</v>
      </c>
      <c r="E562" s="57" t="n">
        <v>176</v>
      </c>
      <c r="F562" s="57" t="n">
        <v>1</v>
      </c>
      <c r="G562" s="58" t="n">
        <v>8890.54</v>
      </c>
      <c r="H562" s="58" t="n">
        <v>37.83</v>
      </c>
      <c r="I562" s="58" t="n">
        <v>8772.66</v>
      </c>
      <c r="J562" s="32" t="n">
        <f aca="false">IF(E562&gt;0,F562/E562,0)</f>
        <v>0.00568181818181818</v>
      </c>
      <c r="K562" s="32" t="n">
        <f aca="false">IF(G562&gt;0,H562/G562,0)</f>
        <v>0.0042550846180322</v>
      </c>
      <c r="L562" s="59" t="n">
        <f aca="false">H562/Settings!$B$16</f>
        <v>7.56042554703566E-005</v>
      </c>
      <c r="M562" s="59" t="n">
        <f aca="false">H562/Settings!$B$20</f>
        <v>2.93690936199529E-006</v>
      </c>
      <c r="N562" s="60" t="n">
        <f aca="false">E562*Settings!$B$3</f>
        <v>5.45356259004839</v>
      </c>
      <c r="O562" s="60" t="n">
        <f aca="false">IF(E562&gt;0,(F562-N562)/SQRT(E562*Settings!$B$3*(1-Settings!$B$3)),0)</f>
        <v>-1.93732470796952</v>
      </c>
      <c r="P562" s="60" t="n">
        <f aca="false">MAX(0,F562-N562)</f>
        <v>0</v>
      </c>
      <c r="Q562" s="32" t="n">
        <f aca="false">(F562+Settings!$B$7*Settings!$B$3)/(E562+Settings!$B$7)</f>
        <v>0.00936691520579909</v>
      </c>
      <c r="R562" s="61" t="n">
        <f aca="false">PERCENTRANK($H$2:$H$1780,H562,6)</f>
        <v>0.694601</v>
      </c>
      <c r="S562" s="61" t="n">
        <f aca="false">PERCENTRANK($Q$2:$Q$1780,Q562,6)</f>
        <v>0.0112486</v>
      </c>
      <c r="T562" s="61" t="n">
        <f aca="false">PERCENTRANK($F$2:$F$1780,F562,6)</f>
        <v>0.685039</v>
      </c>
      <c r="U562" s="62" t="n">
        <f aca="false">IF(F562&gt;0,(Settings!$B$8*T562+Settings!$B$9*R562+Settings!$B$10*S562)/SUM(Settings!$B$8:$B$10),0)</f>
        <v>0.463629533333333</v>
      </c>
      <c r="V562" s="56" t="n">
        <f aca="false">IF(U562&gt;0,RANK(U562,$U$2:$U$1780)+COUNTIF($U$2:U562,U562)-1,"")</f>
        <v>561</v>
      </c>
      <c r="W562" s="56" t="str">
        <f aca="false">IF(V562="","",IF(V562&lt;=Settings!$B$11,"1 - Fix first",IF(V562&lt;=Settings!$B$12,"2 - Review","3 - Monitor")))</f>
        <v>3 - Monitor</v>
      </c>
      <c r="X562" s="56" t="str">
        <f aca="false">IF(AND(E562&gt;=Settings!$B$4,F562&gt;=Settings!$B$5,O562&gt;=Settings!$B$6),"HIGH RATE","")</f>
        <v/>
      </c>
      <c r="Y562" s="56" t="n">
        <f aca="false">IF(F562&gt;0,RANK(F562,$F$2:$F$1780)+COUNTIF($F$2:F562,F562)-1,"")</f>
        <v>561</v>
      </c>
      <c r="Z562" s="56" t="n">
        <f aca="false">IF(H562&gt;0,RANK(H562,$H$2:$H$1780)+COUNTIF($H$2:H562,H562)-1,"")</f>
        <v>544</v>
      </c>
      <c r="AA562" s="56" t="n">
        <f aca="false">IF(AC562="","",RANK(AC562,$AC$2:$AC$1780)+COUNTIF($AC$2:AC562,AC562)-1)</f>
        <v>364</v>
      </c>
      <c r="AB562" s="56" t="str">
        <f aca="false">IF(AD562="","",RANK(AD562,$AD$2:$AD$1780)+COUNTIF($AD$2:AD562,AD562)-1)</f>
        <v/>
      </c>
      <c r="AC562" s="32" t="n">
        <f aca="false">IF(AND(F562&gt;0,E562&gt;=Settings!$B$4),J562,"")</f>
        <v>0.00568181818181818</v>
      </c>
      <c r="AD562" s="56" t="str">
        <f aca="false">IF(X562="HIGH RATE",O562,"")</f>
        <v/>
      </c>
    </row>
    <row r="563" customFormat="false" ht="15" hidden="false" customHeight="false" outlineLevel="0" collapsed="false">
      <c r="A563" s="56" t="s">
        <v>1678</v>
      </c>
      <c r="B563" s="56" t="s">
        <v>843</v>
      </c>
      <c r="C563" s="56" t="s">
        <v>841</v>
      </c>
      <c r="D563" s="56" t="str">
        <f aca="false">IFERROR(INDEX('Brand Map'!$B$4:$B$124,MATCH(C563,'Brand Map'!$A$4:$A$124,0)),"Other")</f>
        <v>Free / add-on / admin items</v>
      </c>
      <c r="E563" s="57" t="n">
        <v>1</v>
      </c>
      <c r="F563" s="57" t="n">
        <v>0</v>
      </c>
      <c r="G563" s="58" t="n">
        <v>0</v>
      </c>
      <c r="H563" s="58" t="n">
        <v>0</v>
      </c>
      <c r="I563" s="58" t="n">
        <v>0</v>
      </c>
      <c r="J563" s="32" t="n">
        <f aca="false">IF(E563&gt;0,F563/E563,0)</f>
        <v>0</v>
      </c>
      <c r="K563" s="32" t="n">
        <f aca="false">IF(G563&gt;0,H563/G563,0)</f>
        <v>0</v>
      </c>
      <c r="L563" s="59" t="n">
        <f aca="false">H563/Settings!$B$16</f>
        <v>-0</v>
      </c>
      <c r="M563" s="59" t="n">
        <f aca="false">H563/Settings!$B$20</f>
        <v>-0</v>
      </c>
      <c r="N563" s="60" t="n">
        <f aca="false">E563*Settings!$B$3</f>
        <v>0.0309861510798204</v>
      </c>
      <c r="O563" s="60" t="n">
        <f aca="false">IF(E563&gt;0,(F563-N563)/SQRT(E563*Settings!$B$3*(1-Settings!$B$3)),0)</f>
        <v>-0.178821125934444</v>
      </c>
      <c r="P563" s="60" t="n">
        <f aca="false">MAX(0,F563-N563)</f>
        <v>0</v>
      </c>
      <c r="Q563" s="32" t="n">
        <f aca="false">(F563+Settings!$B$7*Settings!$B$3)/(E563+Settings!$B$7)</f>
        <v>0.0299865978191811</v>
      </c>
      <c r="R563" s="61" t="n">
        <f aca="false">PERCENTRANK($H$2:$H$1780,H563,6)</f>
        <v>0</v>
      </c>
      <c r="S563" s="61" t="n">
        <f aca="false">PERCENTRANK($Q$2:$Q$1780,Q563,6)</f>
        <v>0.486502</v>
      </c>
      <c r="T563" s="61" t="n">
        <f aca="false">PERCENTRANK($F$2:$F$1780,F563,6)</f>
        <v>0</v>
      </c>
      <c r="U563" s="62" t="n">
        <f aca="false">IF(F563&gt;0,(Settings!$B$8*T563+Settings!$B$9*R563+Settings!$B$10*S563)/SUM(Settings!$B$8:$B$10),0)</f>
        <v>0</v>
      </c>
      <c r="V563" s="56" t="str">
        <f aca="false">IF(U563&gt;0,RANK(U563,$U$2:$U$1780)+COUNTIF($U$2:U563,U563)-1,"")</f>
        <v/>
      </c>
      <c r="W563" s="56" t="str">
        <f aca="false">IF(V563="","",IF(V563&lt;=Settings!$B$11,"1 - Fix first",IF(V563&lt;=Settings!$B$12,"2 - Review","3 - Monitor")))</f>
        <v/>
      </c>
      <c r="X563" s="56" t="str">
        <f aca="false">IF(AND(E563&gt;=Settings!$B$4,F563&gt;=Settings!$B$5,O563&gt;=Settings!$B$6),"HIGH RATE","")</f>
        <v/>
      </c>
      <c r="Y563" s="56" t="str">
        <f aca="false">IF(F563&gt;0,RANK(F563,$F$2:$F$1780)+COUNTIF($F$2:F563,F563)-1,"")</f>
        <v/>
      </c>
      <c r="Z563" s="56" t="str">
        <f aca="false">IF(H563&gt;0,RANK(H563,$H$2:$H$1780)+COUNTIF($H$2:H563,H563)-1,"")</f>
        <v/>
      </c>
      <c r="AA563" s="56" t="str">
        <f aca="false">IF(AC563="","",RANK(AC563,$AC$2:$AC$1780)+COUNTIF($AC$2:AC563,AC563)-1)</f>
        <v/>
      </c>
      <c r="AB563" s="56" t="str">
        <f aca="false">IF(AD563="","",RANK(AD563,$AD$2:$AD$1780)+COUNTIF($AD$2:AD563,AD563)-1)</f>
        <v/>
      </c>
      <c r="AC563" s="56" t="str">
        <f aca="false">IF(AND(F563&gt;0,E563&gt;=Settings!$B$4),J563,"")</f>
        <v/>
      </c>
      <c r="AD563" s="56" t="str">
        <f aca="false">IF(X563="HIGH RATE",O563,"")</f>
        <v/>
      </c>
    </row>
    <row r="564" customFormat="false" ht="15" hidden="false" customHeight="false" outlineLevel="0" collapsed="false">
      <c r="A564" s="56" t="s">
        <v>842</v>
      </c>
      <c r="B564" s="56" t="s">
        <v>843</v>
      </c>
      <c r="C564" s="56" t="s">
        <v>841</v>
      </c>
      <c r="D564" s="56" t="str">
        <f aca="false">IFERROR(INDEX('Brand Map'!$B$4:$B$124,MATCH(C564,'Brand Map'!$A$4:$A$124,0)),"Other")</f>
        <v>Free / add-on / admin items</v>
      </c>
      <c r="E564" s="57" t="n">
        <v>1</v>
      </c>
      <c r="F564" s="57" t="n">
        <v>0</v>
      </c>
      <c r="G564" s="58" t="n">
        <v>0</v>
      </c>
      <c r="H564" s="58" t="n">
        <v>0</v>
      </c>
      <c r="I564" s="58" t="n">
        <v>0</v>
      </c>
      <c r="J564" s="32" t="n">
        <f aca="false">IF(E564&gt;0,F564/E564,0)</f>
        <v>0</v>
      </c>
      <c r="K564" s="32" t="n">
        <f aca="false">IF(G564&gt;0,H564/G564,0)</f>
        <v>0</v>
      </c>
      <c r="L564" s="59" t="n">
        <f aca="false">H564/Settings!$B$16</f>
        <v>-0</v>
      </c>
      <c r="M564" s="59" t="n">
        <f aca="false">H564/Settings!$B$20</f>
        <v>-0</v>
      </c>
      <c r="N564" s="60" t="n">
        <f aca="false">E564*Settings!$B$3</f>
        <v>0.0309861510798204</v>
      </c>
      <c r="O564" s="60" t="n">
        <f aca="false">IF(E564&gt;0,(F564-N564)/SQRT(E564*Settings!$B$3*(1-Settings!$B$3)),0)</f>
        <v>-0.178821125934444</v>
      </c>
      <c r="P564" s="60" t="n">
        <f aca="false">MAX(0,F564-N564)</f>
        <v>0</v>
      </c>
      <c r="Q564" s="32" t="n">
        <f aca="false">(F564+Settings!$B$7*Settings!$B$3)/(E564+Settings!$B$7)</f>
        <v>0.0299865978191811</v>
      </c>
      <c r="R564" s="61" t="n">
        <f aca="false">PERCENTRANK($H$2:$H$1780,H564,6)</f>
        <v>0</v>
      </c>
      <c r="S564" s="61" t="n">
        <f aca="false">PERCENTRANK($Q$2:$Q$1780,Q564,6)</f>
        <v>0.486502</v>
      </c>
      <c r="T564" s="61" t="n">
        <f aca="false">PERCENTRANK($F$2:$F$1780,F564,6)</f>
        <v>0</v>
      </c>
      <c r="U564" s="62" t="n">
        <f aca="false">IF(F564&gt;0,(Settings!$B$8*T564+Settings!$B$9*R564+Settings!$B$10*S564)/SUM(Settings!$B$8:$B$10),0)</f>
        <v>0</v>
      </c>
      <c r="V564" s="56" t="str">
        <f aca="false">IF(U564&gt;0,RANK(U564,$U$2:$U$1780)+COUNTIF($U$2:U564,U564)-1,"")</f>
        <v/>
      </c>
      <c r="W564" s="56" t="str">
        <f aca="false">IF(V564="","",IF(V564&lt;=Settings!$B$11,"1 - Fix first",IF(V564&lt;=Settings!$B$12,"2 - Review","3 - Monitor")))</f>
        <v/>
      </c>
      <c r="X564" s="56" t="str">
        <f aca="false">IF(AND(E564&gt;=Settings!$B$4,F564&gt;=Settings!$B$5,O564&gt;=Settings!$B$6),"HIGH RATE","")</f>
        <v/>
      </c>
      <c r="Y564" s="56" t="str">
        <f aca="false">IF(F564&gt;0,RANK(F564,$F$2:$F$1780)+COUNTIF($F$2:F564,F564)-1,"")</f>
        <v/>
      </c>
      <c r="Z564" s="56" t="str">
        <f aca="false">IF(H564&gt;0,RANK(H564,$H$2:$H$1780)+COUNTIF($H$2:H564,H564)-1,"")</f>
        <v/>
      </c>
      <c r="AA564" s="56" t="str">
        <f aca="false">IF(AC564="","",RANK(AC564,$AC$2:$AC$1780)+COUNTIF($AC$2:AC564,AC564)-1)</f>
        <v/>
      </c>
      <c r="AB564" s="56" t="str">
        <f aca="false">IF(AD564="","",RANK(AD564,$AD$2:$AD$1780)+COUNTIF($AD$2:AD564,AD564)-1)</f>
        <v/>
      </c>
      <c r="AC564" s="56" t="str">
        <f aca="false">IF(AND(F564&gt;0,E564&gt;=Settings!$B$4),J564,"")</f>
        <v/>
      </c>
      <c r="AD564" s="56" t="str">
        <f aca="false">IF(X564="HIGH RATE",O564,"")</f>
        <v/>
      </c>
    </row>
    <row r="565" customFormat="false" ht="15" hidden="false" customHeight="false" outlineLevel="0" collapsed="false">
      <c r="A565" s="56" t="s">
        <v>1679</v>
      </c>
      <c r="B565" s="56" t="s">
        <v>843</v>
      </c>
      <c r="C565" s="56" t="s">
        <v>841</v>
      </c>
      <c r="D565" s="56" t="str">
        <f aca="false">IFERROR(INDEX('Brand Map'!$B$4:$B$124,MATCH(C565,'Brand Map'!$A$4:$A$124,0)),"Other")</f>
        <v>Free / add-on / admin items</v>
      </c>
      <c r="E565" s="57" t="n">
        <v>5</v>
      </c>
      <c r="F565" s="57" t="n">
        <v>0</v>
      </c>
      <c r="G565" s="58" t="n">
        <v>0</v>
      </c>
      <c r="H565" s="58" t="n">
        <v>0</v>
      </c>
      <c r="I565" s="58" t="n">
        <v>0</v>
      </c>
      <c r="J565" s="32" t="n">
        <f aca="false">IF(E565&gt;0,F565/E565,0)</f>
        <v>0</v>
      </c>
      <c r="K565" s="32" t="n">
        <f aca="false">IF(G565&gt;0,H565/G565,0)</f>
        <v>0</v>
      </c>
      <c r="L565" s="59" t="n">
        <f aca="false">H565/Settings!$B$16</f>
        <v>-0</v>
      </c>
      <c r="M565" s="59" t="n">
        <f aca="false">H565/Settings!$B$20</f>
        <v>-0</v>
      </c>
      <c r="N565" s="60" t="n">
        <f aca="false">E565*Settings!$B$3</f>
        <v>0.154930755399102</v>
      </c>
      <c r="O565" s="60" t="n">
        <f aca="false">IF(E565&gt;0,(F565-N565)/SQRT(E565*Settings!$B$3*(1-Settings!$B$3)),0)</f>
        <v>-0.399856193402468</v>
      </c>
      <c r="P565" s="60" t="n">
        <f aca="false">MAX(0,F565-N565)</f>
        <v>0</v>
      </c>
      <c r="Q565" s="32" t="n">
        <f aca="false">(F565+Settings!$B$7*Settings!$B$3)/(E565+Settings!$B$7)</f>
        <v>0.0265595580684175</v>
      </c>
      <c r="R565" s="61" t="n">
        <f aca="false">PERCENTRANK($H$2:$H$1780,H565,6)</f>
        <v>0</v>
      </c>
      <c r="S565" s="61" t="n">
        <f aca="false">PERCENTRANK($Q$2:$Q$1780,Q565,6)</f>
        <v>0.220472</v>
      </c>
      <c r="T565" s="61" t="n">
        <f aca="false">PERCENTRANK($F$2:$F$1780,F565,6)</f>
        <v>0</v>
      </c>
      <c r="U565" s="62" t="n">
        <f aca="false">IF(F565&gt;0,(Settings!$B$8*T565+Settings!$B$9*R565+Settings!$B$10*S565)/SUM(Settings!$B$8:$B$10),0)</f>
        <v>0</v>
      </c>
      <c r="V565" s="56" t="str">
        <f aca="false">IF(U565&gt;0,RANK(U565,$U$2:$U$1780)+COUNTIF($U$2:U565,U565)-1,"")</f>
        <v/>
      </c>
      <c r="W565" s="56" t="str">
        <f aca="false">IF(V565="","",IF(V565&lt;=Settings!$B$11,"1 - Fix first",IF(V565&lt;=Settings!$B$12,"2 - Review","3 - Monitor")))</f>
        <v/>
      </c>
      <c r="X565" s="56" t="str">
        <f aca="false">IF(AND(E565&gt;=Settings!$B$4,F565&gt;=Settings!$B$5,O565&gt;=Settings!$B$6),"HIGH RATE","")</f>
        <v/>
      </c>
      <c r="Y565" s="56" t="str">
        <f aca="false">IF(F565&gt;0,RANK(F565,$F$2:$F$1780)+COUNTIF($F$2:F565,F565)-1,"")</f>
        <v/>
      </c>
      <c r="Z565" s="56" t="str">
        <f aca="false">IF(H565&gt;0,RANK(H565,$H$2:$H$1780)+COUNTIF($H$2:H565,H565)-1,"")</f>
        <v/>
      </c>
      <c r="AA565" s="56" t="str">
        <f aca="false">IF(AC565="","",RANK(AC565,$AC$2:$AC$1780)+COUNTIF($AC$2:AC565,AC565)-1)</f>
        <v/>
      </c>
      <c r="AB565" s="56" t="str">
        <f aca="false">IF(AD565="","",RANK(AD565,$AD$2:$AD$1780)+COUNTIF($AD$2:AD565,AD565)-1)</f>
        <v/>
      </c>
      <c r="AC565" s="56" t="str">
        <f aca="false">IF(AND(F565&gt;0,E565&gt;=Settings!$B$4),J565,"")</f>
        <v/>
      </c>
      <c r="AD565" s="56" t="str">
        <f aca="false">IF(X565="HIGH RATE",O565,"")</f>
        <v/>
      </c>
    </row>
    <row r="566" customFormat="false" ht="15" hidden="false" customHeight="false" outlineLevel="0" collapsed="false">
      <c r="A566" s="56" t="s">
        <v>821</v>
      </c>
      <c r="B566" s="56" t="s">
        <v>822</v>
      </c>
      <c r="C566" s="56" t="s">
        <v>820</v>
      </c>
      <c r="D566" s="56" t="str">
        <f aca="false">IFERROR(INDEX('Brand Map'!$B$4:$B$124,MATCH(C566,'Brand Map'!$A$4:$A$124,0)),"Other")</f>
        <v>Other (small prefixes)</v>
      </c>
      <c r="E566" s="57" t="n">
        <v>1</v>
      </c>
      <c r="F566" s="57" t="n">
        <v>0</v>
      </c>
      <c r="G566" s="58" t="n">
        <v>44.95</v>
      </c>
      <c r="H566" s="58" t="n">
        <v>0</v>
      </c>
      <c r="I566" s="58" t="n">
        <v>44.95</v>
      </c>
      <c r="J566" s="32" t="n">
        <f aca="false">IF(E566&gt;0,F566/E566,0)</f>
        <v>0</v>
      </c>
      <c r="K566" s="32" t="n">
        <f aca="false">IF(G566&gt;0,H566/G566,0)</f>
        <v>-0</v>
      </c>
      <c r="L566" s="59" t="n">
        <f aca="false">H566/Settings!$B$16</f>
        <v>-0</v>
      </c>
      <c r="M566" s="59" t="n">
        <f aca="false">H566/Settings!$B$20</f>
        <v>-0</v>
      </c>
      <c r="N566" s="60" t="n">
        <f aca="false">E566*Settings!$B$3</f>
        <v>0.0309861510798204</v>
      </c>
      <c r="O566" s="60" t="n">
        <f aca="false">IF(E566&gt;0,(F566-N566)/SQRT(E566*Settings!$B$3*(1-Settings!$B$3)),0)</f>
        <v>-0.178821125934444</v>
      </c>
      <c r="P566" s="60" t="n">
        <f aca="false">MAX(0,F566-N566)</f>
        <v>0</v>
      </c>
      <c r="Q566" s="32" t="n">
        <f aca="false">(F566+Settings!$B$7*Settings!$B$3)/(E566+Settings!$B$7)</f>
        <v>0.0299865978191811</v>
      </c>
      <c r="R566" s="61" t="n">
        <f aca="false">PERCENTRANK($H$2:$H$1780,H566,6)</f>
        <v>0</v>
      </c>
      <c r="S566" s="61" t="n">
        <f aca="false">PERCENTRANK($Q$2:$Q$1780,Q566,6)</f>
        <v>0.486502</v>
      </c>
      <c r="T566" s="61" t="n">
        <f aca="false">PERCENTRANK($F$2:$F$1780,F566,6)</f>
        <v>0</v>
      </c>
      <c r="U566" s="62" t="n">
        <f aca="false">IF(F566&gt;0,(Settings!$B$8*T566+Settings!$B$9*R566+Settings!$B$10*S566)/SUM(Settings!$B$8:$B$10),0)</f>
        <v>0</v>
      </c>
      <c r="V566" s="56" t="str">
        <f aca="false">IF(U566&gt;0,RANK(U566,$U$2:$U$1780)+COUNTIF($U$2:U566,U566)-1,"")</f>
        <v/>
      </c>
      <c r="W566" s="56" t="str">
        <f aca="false">IF(V566="","",IF(V566&lt;=Settings!$B$11,"1 - Fix first",IF(V566&lt;=Settings!$B$12,"2 - Review","3 - Monitor")))</f>
        <v/>
      </c>
      <c r="X566" s="56" t="str">
        <f aca="false">IF(AND(E566&gt;=Settings!$B$4,F566&gt;=Settings!$B$5,O566&gt;=Settings!$B$6),"HIGH RATE","")</f>
        <v/>
      </c>
      <c r="Y566" s="56" t="str">
        <f aca="false">IF(F566&gt;0,RANK(F566,$F$2:$F$1780)+COUNTIF($F$2:F566,F566)-1,"")</f>
        <v/>
      </c>
      <c r="Z566" s="56" t="str">
        <f aca="false">IF(H566&gt;0,RANK(H566,$H$2:$H$1780)+COUNTIF($H$2:H566,H566)-1,"")</f>
        <v/>
      </c>
      <c r="AA566" s="56" t="str">
        <f aca="false">IF(AC566="","",RANK(AC566,$AC$2:$AC$1780)+COUNTIF($AC$2:AC566,AC566)-1)</f>
        <v/>
      </c>
      <c r="AB566" s="56" t="str">
        <f aca="false">IF(AD566="","",RANK(AD566,$AD$2:$AD$1780)+COUNTIF($AD$2:AD566,AD566)-1)</f>
        <v/>
      </c>
      <c r="AC566" s="56" t="str">
        <f aca="false">IF(AND(F566&gt;0,E566&gt;=Settings!$B$4),J566,"")</f>
        <v/>
      </c>
      <c r="AD566" s="56" t="str">
        <f aca="false">IF(X566="HIGH RATE",O566,"")</f>
        <v/>
      </c>
    </row>
    <row r="567" customFormat="false" ht="15" hidden="false" customHeight="false" outlineLevel="0" collapsed="false">
      <c r="A567" s="56" t="s">
        <v>1680</v>
      </c>
      <c r="B567" s="56" t="s">
        <v>930</v>
      </c>
      <c r="C567" s="56" t="s">
        <v>129</v>
      </c>
      <c r="D567" s="56" t="str">
        <f aca="false">IFERROR(INDEX('Brand Map'!$B$4:$B$124,MATCH(C567,'Brand Map'!$A$4:$A$124,0)),"Other")</f>
        <v>AL</v>
      </c>
      <c r="E567" s="57" t="n">
        <v>2</v>
      </c>
      <c r="F567" s="57" t="n">
        <v>0</v>
      </c>
      <c r="G567" s="58" t="n">
        <v>229.9</v>
      </c>
      <c r="H567" s="58" t="n">
        <v>0</v>
      </c>
      <c r="I567" s="58" t="n">
        <v>229.9</v>
      </c>
      <c r="J567" s="32" t="n">
        <f aca="false">IF(E567&gt;0,F567/E567,0)</f>
        <v>0</v>
      </c>
      <c r="K567" s="32" t="n">
        <f aca="false">IF(G567&gt;0,H567/G567,0)</f>
        <v>-0</v>
      </c>
      <c r="L567" s="59" t="n">
        <f aca="false">H567/Settings!$B$16</f>
        <v>-0</v>
      </c>
      <c r="M567" s="59" t="n">
        <f aca="false">H567/Settings!$B$20</f>
        <v>-0</v>
      </c>
      <c r="N567" s="60" t="n">
        <f aca="false">E567*Settings!$B$3</f>
        <v>0.0619723021596408</v>
      </c>
      <c r="O567" s="60" t="n">
        <f aca="false">IF(E567&gt;0,(F567-N567)/SQRT(E567*Settings!$B$3*(1-Settings!$B$3)),0)</f>
        <v>-0.252891261535318</v>
      </c>
      <c r="P567" s="60" t="n">
        <f aca="false">MAX(0,F567-N567)</f>
        <v>0</v>
      </c>
      <c r="Q567" s="32" t="n">
        <f aca="false">(F567+Settings!$B$7*Settings!$B$3)/(E567+Settings!$B$7)</f>
        <v>0.0290495166373316</v>
      </c>
      <c r="R567" s="61" t="n">
        <f aca="false">PERCENTRANK($H$2:$H$1780,H567,6)</f>
        <v>0</v>
      </c>
      <c r="S567" s="61" t="n">
        <f aca="false">PERCENTRANK($Q$2:$Q$1780,Q567,6)</f>
        <v>0.365579</v>
      </c>
      <c r="T567" s="61" t="n">
        <f aca="false">PERCENTRANK($F$2:$F$1780,F567,6)</f>
        <v>0</v>
      </c>
      <c r="U567" s="62" t="n">
        <f aca="false">IF(F567&gt;0,(Settings!$B$8*T567+Settings!$B$9*R567+Settings!$B$10*S567)/SUM(Settings!$B$8:$B$10),0)</f>
        <v>0</v>
      </c>
      <c r="V567" s="56" t="str">
        <f aca="false">IF(U567&gt;0,RANK(U567,$U$2:$U$1780)+COUNTIF($U$2:U567,U567)-1,"")</f>
        <v/>
      </c>
      <c r="W567" s="56" t="str">
        <f aca="false">IF(V567="","",IF(V567&lt;=Settings!$B$11,"1 - Fix first",IF(V567&lt;=Settings!$B$12,"2 - Review","3 - Monitor")))</f>
        <v/>
      </c>
      <c r="X567" s="56" t="str">
        <f aca="false">IF(AND(E567&gt;=Settings!$B$4,F567&gt;=Settings!$B$5,O567&gt;=Settings!$B$6),"HIGH RATE","")</f>
        <v/>
      </c>
      <c r="Y567" s="56" t="str">
        <f aca="false">IF(F567&gt;0,RANK(F567,$F$2:$F$1780)+COUNTIF($F$2:F567,F567)-1,"")</f>
        <v/>
      </c>
      <c r="Z567" s="56" t="str">
        <f aca="false">IF(H567&gt;0,RANK(H567,$H$2:$H$1780)+COUNTIF($H$2:H567,H567)-1,"")</f>
        <v/>
      </c>
      <c r="AA567" s="56" t="str">
        <f aca="false">IF(AC567="","",RANK(AC567,$AC$2:$AC$1780)+COUNTIF($AC$2:AC567,AC567)-1)</f>
        <v/>
      </c>
      <c r="AB567" s="56" t="str">
        <f aca="false">IF(AD567="","",RANK(AD567,$AD$2:$AD$1780)+COUNTIF($AD$2:AD567,AD567)-1)</f>
        <v/>
      </c>
      <c r="AC567" s="56" t="str">
        <f aca="false">IF(AND(F567&gt;0,E567&gt;=Settings!$B$4),J567,"")</f>
        <v/>
      </c>
      <c r="AD567" s="56" t="str">
        <f aca="false">IF(X567="HIGH RATE",O567,"")</f>
        <v/>
      </c>
    </row>
    <row r="568" customFormat="false" ht="15" hidden="false" customHeight="false" outlineLevel="0" collapsed="false">
      <c r="A568" s="56" t="s">
        <v>1681</v>
      </c>
      <c r="B568" s="56" t="s">
        <v>930</v>
      </c>
      <c r="C568" s="56" t="s">
        <v>129</v>
      </c>
      <c r="D568" s="56" t="str">
        <f aca="false">IFERROR(INDEX('Brand Map'!$B$4:$B$124,MATCH(C568,'Brand Map'!$A$4:$A$124,0)),"Other")</f>
        <v>AL</v>
      </c>
      <c r="E568" s="57" t="n">
        <v>2</v>
      </c>
      <c r="F568" s="57" t="n">
        <v>0</v>
      </c>
      <c r="G568" s="58" t="n">
        <v>289.9</v>
      </c>
      <c r="H568" s="58" t="n">
        <v>0</v>
      </c>
      <c r="I568" s="58" t="n">
        <v>289.9</v>
      </c>
      <c r="J568" s="32" t="n">
        <f aca="false">IF(E568&gt;0,F568/E568,0)</f>
        <v>0</v>
      </c>
      <c r="K568" s="32" t="n">
        <f aca="false">IF(G568&gt;0,H568/G568,0)</f>
        <v>-0</v>
      </c>
      <c r="L568" s="59" t="n">
        <f aca="false">H568/Settings!$B$16</f>
        <v>-0</v>
      </c>
      <c r="M568" s="59" t="n">
        <f aca="false">H568/Settings!$B$20</f>
        <v>-0</v>
      </c>
      <c r="N568" s="60" t="n">
        <f aca="false">E568*Settings!$B$3</f>
        <v>0.0619723021596408</v>
      </c>
      <c r="O568" s="60" t="n">
        <f aca="false">IF(E568&gt;0,(F568-N568)/SQRT(E568*Settings!$B$3*(1-Settings!$B$3)),0)</f>
        <v>-0.252891261535318</v>
      </c>
      <c r="P568" s="60" t="n">
        <f aca="false">MAX(0,F568-N568)</f>
        <v>0</v>
      </c>
      <c r="Q568" s="32" t="n">
        <f aca="false">(F568+Settings!$B$7*Settings!$B$3)/(E568+Settings!$B$7)</f>
        <v>0.0290495166373316</v>
      </c>
      <c r="R568" s="61" t="n">
        <f aca="false">PERCENTRANK($H$2:$H$1780,H568,6)</f>
        <v>0</v>
      </c>
      <c r="S568" s="61" t="n">
        <f aca="false">PERCENTRANK($Q$2:$Q$1780,Q568,6)</f>
        <v>0.365579</v>
      </c>
      <c r="T568" s="61" t="n">
        <f aca="false">PERCENTRANK($F$2:$F$1780,F568,6)</f>
        <v>0</v>
      </c>
      <c r="U568" s="62" t="n">
        <f aca="false">IF(F568&gt;0,(Settings!$B$8*T568+Settings!$B$9*R568+Settings!$B$10*S568)/SUM(Settings!$B$8:$B$10),0)</f>
        <v>0</v>
      </c>
      <c r="V568" s="56" t="str">
        <f aca="false">IF(U568&gt;0,RANK(U568,$U$2:$U$1780)+COUNTIF($U$2:U568,U568)-1,"")</f>
        <v/>
      </c>
      <c r="W568" s="56" t="str">
        <f aca="false">IF(V568="","",IF(V568&lt;=Settings!$B$11,"1 - Fix first",IF(V568&lt;=Settings!$B$12,"2 - Review","3 - Monitor")))</f>
        <v/>
      </c>
      <c r="X568" s="56" t="str">
        <f aca="false">IF(AND(E568&gt;=Settings!$B$4,F568&gt;=Settings!$B$5,O568&gt;=Settings!$B$6),"HIGH RATE","")</f>
        <v/>
      </c>
      <c r="Y568" s="56" t="str">
        <f aca="false">IF(F568&gt;0,RANK(F568,$F$2:$F$1780)+COUNTIF($F$2:F568,F568)-1,"")</f>
        <v/>
      </c>
      <c r="Z568" s="56" t="str">
        <f aca="false">IF(H568&gt;0,RANK(H568,$H$2:$H$1780)+COUNTIF($H$2:H568,H568)-1,"")</f>
        <v/>
      </c>
      <c r="AA568" s="56" t="str">
        <f aca="false">IF(AC568="","",RANK(AC568,$AC$2:$AC$1780)+COUNTIF($AC$2:AC568,AC568)-1)</f>
        <v/>
      </c>
      <c r="AB568" s="56" t="str">
        <f aca="false">IF(AD568="","",RANK(AD568,$AD$2:$AD$1780)+COUNTIF($AD$2:AD568,AD568)-1)</f>
        <v/>
      </c>
      <c r="AC568" s="56" t="str">
        <f aca="false">IF(AND(F568&gt;0,E568&gt;=Settings!$B$4),J568,"")</f>
        <v/>
      </c>
      <c r="AD568" s="56" t="str">
        <f aca="false">IF(X568="HIGH RATE",O568,"")</f>
        <v/>
      </c>
    </row>
    <row r="569" customFormat="false" ht="15" hidden="false" customHeight="false" outlineLevel="0" collapsed="false">
      <c r="A569" s="56" t="s">
        <v>1682</v>
      </c>
      <c r="B569" s="56" t="s">
        <v>930</v>
      </c>
      <c r="C569" s="56" t="s">
        <v>129</v>
      </c>
      <c r="D569" s="56" t="str">
        <f aca="false">IFERROR(INDEX('Brand Map'!$B$4:$B$124,MATCH(C569,'Brand Map'!$A$4:$A$124,0)),"Other")</f>
        <v>AL</v>
      </c>
      <c r="E569" s="57" t="n">
        <v>5</v>
      </c>
      <c r="F569" s="57" t="n">
        <v>0</v>
      </c>
      <c r="G569" s="58" t="n">
        <v>499.75</v>
      </c>
      <c r="H569" s="58" t="n">
        <v>0</v>
      </c>
      <c r="I569" s="58" t="n">
        <v>499.75</v>
      </c>
      <c r="J569" s="32" t="n">
        <f aca="false">IF(E569&gt;0,F569/E569,0)</f>
        <v>0</v>
      </c>
      <c r="K569" s="32" t="n">
        <f aca="false">IF(G569&gt;0,H569/G569,0)</f>
        <v>-0</v>
      </c>
      <c r="L569" s="59" t="n">
        <f aca="false">H569/Settings!$B$16</f>
        <v>-0</v>
      </c>
      <c r="M569" s="59" t="n">
        <f aca="false">H569/Settings!$B$20</f>
        <v>-0</v>
      </c>
      <c r="N569" s="60" t="n">
        <f aca="false">E569*Settings!$B$3</f>
        <v>0.154930755399102</v>
      </c>
      <c r="O569" s="60" t="n">
        <f aca="false">IF(E569&gt;0,(F569-N569)/SQRT(E569*Settings!$B$3*(1-Settings!$B$3)),0)</f>
        <v>-0.399856193402468</v>
      </c>
      <c r="P569" s="60" t="n">
        <f aca="false">MAX(0,F569-N569)</f>
        <v>0</v>
      </c>
      <c r="Q569" s="32" t="n">
        <f aca="false">(F569+Settings!$B$7*Settings!$B$3)/(E569+Settings!$B$7)</f>
        <v>0.0265595580684175</v>
      </c>
      <c r="R569" s="61" t="n">
        <f aca="false">PERCENTRANK($H$2:$H$1780,H569,6)</f>
        <v>0</v>
      </c>
      <c r="S569" s="61" t="n">
        <f aca="false">PERCENTRANK($Q$2:$Q$1780,Q569,6)</f>
        <v>0.220472</v>
      </c>
      <c r="T569" s="61" t="n">
        <f aca="false">PERCENTRANK($F$2:$F$1780,F569,6)</f>
        <v>0</v>
      </c>
      <c r="U569" s="62" t="n">
        <f aca="false">IF(F569&gt;0,(Settings!$B$8*T569+Settings!$B$9*R569+Settings!$B$10*S569)/SUM(Settings!$B$8:$B$10),0)</f>
        <v>0</v>
      </c>
      <c r="V569" s="56" t="str">
        <f aca="false">IF(U569&gt;0,RANK(U569,$U$2:$U$1780)+COUNTIF($U$2:U569,U569)-1,"")</f>
        <v/>
      </c>
      <c r="W569" s="56" t="str">
        <f aca="false">IF(V569="","",IF(V569&lt;=Settings!$B$11,"1 - Fix first",IF(V569&lt;=Settings!$B$12,"2 - Review","3 - Monitor")))</f>
        <v/>
      </c>
      <c r="X569" s="56" t="str">
        <f aca="false">IF(AND(E569&gt;=Settings!$B$4,F569&gt;=Settings!$B$5,O569&gt;=Settings!$B$6),"HIGH RATE","")</f>
        <v/>
      </c>
      <c r="Y569" s="56" t="str">
        <f aca="false">IF(F569&gt;0,RANK(F569,$F$2:$F$1780)+COUNTIF($F$2:F569,F569)-1,"")</f>
        <v/>
      </c>
      <c r="Z569" s="56" t="str">
        <f aca="false">IF(H569&gt;0,RANK(H569,$H$2:$H$1780)+COUNTIF($H$2:H569,H569)-1,"")</f>
        <v/>
      </c>
      <c r="AA569" s="56" t="str">
        <f aca="false">IF(AC569="","",RANK(AC569,$AC$2:$AC$1780)+COUNTIF($AC$2:AC569,AC569)-1)</f>
        <v/>
      </c>
      <c r="AB569" s="56" t="str">
        <f aca="false">IF(AD569="","",RANK(AD569,$AD$2:$AD$1780)+COUNTIF($AD$2:AD569,AD569)-1)</f>
        <v/>
      </c>
      <c r="AC569" s="56" t="str">
        <f aca="false">IF(AND(F569&gt;0,E569&gt;=Settings!$B$4),J569,"")</f>
        <v/>
      </c>
      <c r="AD569" s="56" t="str">
        <f aca="false">IF(X569="HIGH RATE",O569,"")</f>
        <v/>
      </c>
    </row>
    <row r="570" customFormat="false" ht="15" hidden="false" customHeight="false" outlineLevel="0" collapsed="false">
      <c r="A570" s="56" t="s">
        <v>1683</v>
      </c>
      <c r="B570" s="56" t="s">
        <v>1392</v>
      </c>
      <c r="C570" s="56" t="s">
        <v>129</v>
      </c>
      <c r="D570" s="56" t="str">
        <f aca="false">IFERROR(INDEX('Brand Map'!$B$4:$B$124,MATCH(C570,'Brand Map'!$A$4:$A$124,0)),"Other")</f>
        <v>AL</v>
      </c>
      <c r="E570" s="57" t="n">
        <v>12</v>
      </c>
      <c r="F570" s="57" t="n">
        <v>0</v>
      </c>
      <c r="G570" s="58" t="n">
        <v>839.4</v>
      </c>
      <c r="H570" s="58" t="n">
        <v>0</v>
      </c>
      <c r="I570" s="58" t="n">
        <v>839.4</v>
      </c>
      <c r="J570" s="32" t="n">
        <f aca="false">IF(E570&gt;0,F570/E570,0)</f>
        <v>0</v>
      </c>
      <c r="K570" s="32" t="n">
        <f aca="false">IF(G570&gt;0,H570/G570,0)</f>
        <v>-0</v>
      </c>
      <c r="L570" s="59" t="n">
        <f aca="false">H570/Settings!$B$16</f>
        <v>-0</v>
      </c>
      <c r="M570" s="59" t="n">
        <f aca="false">H570/Settings!$B$20</f>
        <v>-0</v>
      </c>
      <c r="N570" s="60" t="n">
        <f aca="false">E570*Settings!$B$3</f>
        <v>0.371833812957845</v>
      </c>
      <c r="O570" s="60" t="n">
        <f aca="false">IF(E570&gt;0,(F570-N570)/SQRT(E570*Settings!$B$3*(1-Settings!$B$3)),0)</f>
        <v>-0.61945455117026</v>
      </c>
      <c r="P570" s="60" t="n">
        <f aca="false">MAX(0,F570-N570)</f>
        <v>0</v>
      </c>
      <c r="Q570" s="32" t="n">
        <f aca="false">(F570+Settings!$B$7*Settings!$B$3)/(E570+Settings!$B$7)</f>
        <v>0.0221329650570146</v>
      </c>
      <c r="R570" s="61" t="n">
        <f aca="false">PERCENTRANK($H$2:$H$1780,H570,6)</f>
        <v>0</v>
      </c>
      <c r="S570" s="61" t="n">
        <f aca="false">PERCENTRANK($Q$2:$Q$1780,Q570,6)</f>
        <v>0.109674</v>
      </c>
      <c r="T570" s="61" t="n">
        <f aca="false">PERCENTRANK($F$2:$F$1780,F570,6)</f>
        <v>0</v>
      </c>
      <c r="U570" s="62" t="n">
        <f aca="false">IF(F570&gt;0,(Settings!$B$8*T570+Settings!$B$9*R570+Settings!$B$10*S570)/SUM(Settings!$B$8:$B$10),0)</f>
        <v>0</v>
      </c>
      <c r="V570" s="56" t="str">
        <f aca="false">IF(U570&gt;0,RANK(U570,$U$2:$U$1780)+COUNTIF($U$2:U570,U570)-1,"")</f>
        <v/>
      </c>
      <c r="W570" s="56" t="str">
        <f aca="false">IF(V570="","",IF(V570&lt;=Settings!$B$11,"1 - Fix first",IF(V570&lt;=Settings!$B$12,"2 - Review","3 - Monitor")))</f>
        <v/>
      </c>
      <c r="X570" s="56" t="str">
        <f aca="false">IF(AND(E570&gt;=Settings!$B$4,F570&gt;=Settings!$B$5,O570&gt;=Settings!$B$6),"HIGH RATE","")</f>
        <v/>
      </c>
      <c r="Y570" s="56" t="str">
        <f aca="false">IF(F570&gt;0,RANK(F570,$F$2:$F$1780)+COUNTIF($F$2:F570,F570)-1,"")</f>
        <v/>
      </c>
      <c r="Z570" s="56" t="str">
        <f aca="false">IF(H570&gt;0,RANK(H570,$H$2:$H$1780)+COUNTIF($H$2:H570,H570)-1,"")</f>
        <v/>
      </c>
      <c r="AA570" s="56" t="str">
        <f aca="false">IF(AC570="","",RANK(AC570,$AC$2:$AC$1780)+COUNTIF($AC$2:AC570,AC570)-1)</f>
        <v/>
      </c>
      <c r="AB570" s="56" t="str">
        <f aca="false">IF(AD570="","",RANK(AD570,$AD$2:$AD$1780)+COUNTIF($AD$2:AD570,AD570)-1)</f>
        <v/>
      </c>
      <c r="AC570" s="56" t="str">
        <f aca="false">IF(AND(F570&gt;0,E570&gt;=Settings!$B$4),J570,"")</f>
        <v/>
      </c>
      <c r="AD570" s="56" t="str">
        <f aca="false">IF(X570="HIGH RATE",O570,"")</f>
        <v/>
      </c>
    </row>
    <row r="571" customFormat="false" ht="15" hidden="false" customHeight="false" outlineLevel="0" collapsed="false">
      <c r="A571" s="56" t="s">
        <v>1684</v>
      </c>
      <c r="B571" s="56" t="s">
        <v>1392</v>
      </c>
      <c r="C571" s="56" t="s">
        <v>129</v>
      </c>
      <c r="D571" s="56" t="str">
        <f aca="false">IFERROR(INDEX('Brand Map'!$B$4:$B$124,MATCH(C571,'Brand Map'!$A$4:$A$124,0)),"Other")</f>
        <v>AL</v>
      </c>
      <c r="E571" s="57" t="n">
        <v>6</v>
      </c>
      <c r="F571" s="57" t="n">
        <v>0</v>
      </c>
      <c r="G571" s="58" t="n">
        <v>509.7</v>
      </c>
      <c r="H571" s="58" t="n">
        <v>0</v>
      </c>
      <c r="I571" s="58" t="n">
        <v>509.7</v>
      </c>
      <c r="J571" s="32" t="n">
        <f aca="false">IF(E571&gt;0,F571/E571,0)</f>
        <v>0</v>
      </c>
      <c r="K571" s="32" t="n">
        <f aca="false">IF(G571&gt;0,H571/G571,0)</f>
        <v>-0</v>
      </c>
      <c r="L571" s="59" t="n">
        <f aca="false">H571/Settings!$B$16</f>
        <v>-0</v>
      </c>
      <c r="M571" s="59" t="n">
        <f aca="false">H571/Settings!$B$20</f>
        <v>-0</v>
      </c>
      <c r="N571" s="60" t="n">
        <f aca="false">E571*Settings!$B$3</f>
        <v>0.185916906478923</v>
      </c>
      <c r="O571" s="60" t="n">
        <f aca="false">IF(E571&gt;0,(F571-N571)/SQRT(E571*Settings!$B$3*(1-Settings!$B$3)),0)</f>
        <v>-0.43802051376936</v>
      </c>
      <c r="P571" s="60" t="n">
        <f aca="false">MAX(0,F571-N571)</f>
        <v>0</v>
      </c>
      <c r="Q571" s="32" t="n">
        <f aca="false">(F571+Settings!$B$7*Settings!$B$3)/(E571+Settings!$B$7)</f>
        <v>0.025821792566517</v>
      </c>
      <c r="R571" s="61" t="n">
        <f aca="false">PERCENTRANK($H$2:$H$1780,H571,6)</f>
        <v>0</v>
      </c>
      <c r="S571" s="61" t="n">
        <f aca="false">PERCENTRANK($Q$2:$Q$1780,Q571,6)</f>
        <v>0.189539</v>
      </c>
      <c r="T571" s="61" t="n">
        <f aca="false">PERCENTRANK($F$2:$F$1780,F571,6)</f>
        <v>0</v>
      </c>
      <c r="U571" s="62" t="n">
        <f aca="false">IF(F571&gt;0,(Settings!$B$8*T571+Settings!$B$9*R571+Settings!$B$10*S571)/SUM(Settings!$B$8:$B$10),0)</f>
        <v>0</v>
      </c>
      <c r="V571" s="56" t="str">
        <f aca="false">IF(U571&gt;0,RANK(U571,$U$2:$U$1780)+COUNTIF($U$2:U571,U571)-1,"")</f>
        <v/>
      </c>
      <c r="W571" s="56" t="str">
        <f aca="false">IF(V571="","",IF(V571&lt;=Settings!$B$11,"1 - Fix first",IF(V571&lt;=Settings!$B$12,"2 - Review","3 - Monitor")))</f>
        <v/>
      </c>
      <c r="X571" s="56" t="str">
        <f aca="false">IF(AND(E571&gt;=Settings!$B$4,F571&gt;=Settings!$B$5,O571&gt;=Settings!$B$6),"HIGH RATE","")</f>
        <v/>
      </c>
      <c r="Y571" s="56" t="str">
        <f aca="false">IF(F571&gt;0,RANK(F571,$F$2:$F$1780)+COUNTIF($F$2:F571,F571)-1,"")</f>
        <v/>
      </c>
      <c r="Z571" s="56" t="str">
        <f aca="false">IF(H571&gt;0,RANK(H571,$H$2:$H$1780)+COUNTIF($H$2:H571,H571)-1,"")</f>
        <v/>
      </c>
      <c r="AA571" s="56" t="str">
        <f aca="false">IF(AC571="","",RANK(AC571,$AC$2:$AC$1780)+COUNTIF($AC$2:AC571,AC571)-1)</f>
        <v/>
      </c>
      <c r="AB571" s="56" t="str">
        <f aca="false">IF(AD571="","",RANK(AD571,$AD$2:$AD$1780)+COUNTIF($AD$2:AD571,AD571)-1)</f>
        <v/>
      </c>
      <c r="AC571" s="56" t="str">
        <f aca="false">IF(AND(F571&gt;0,E571&gt;=Settings!$B$4),J571,"")</f>
        <v/>
      </c>
      <c r="AD571" s="56" t="str">
        <f aca="false">IF(X571="HIGH RATE",O571,"")</f>
        <v/>
      </c>
    </row>
    <row r="572" customFormat="false" ht="15" hidden="false" customHeight="false" outlineLevel="0" collapsed="false">
      <c r="A572" s="56" t="s">
        <v>1685</v>
      </c>
      <c r="B572" s="56" t="s">
        <v>1392</v>
      </c>
      <c r="C572" s="56" t="s">
        <v>129</v>
      </c>
      <c r="D572" s="56" t="str">
        <f aca="false">IFERROR(INDEX('Brand Map'!$B$4:$B$124,MATCH(C572,'Brand Map'!$A$4:$A$124,0)),"Other")</f>
        <v>AL</v>
      </c>
      <c r="E572" s="57" t="n">
        <v>2</v>
      </c>
      <c r="F572" s="57" t="n">
        <v>0</v>
      </c>
      <c r="G572" s="58" t="n">
        <v>199.9</v>
      </c>
      <c r="H572" s="58" t="n">
        <v>0</v>
      </c>
      <c r="I572" s="58" t="n">
        <v>199.9</v>
      </c>
      <c r="J572" s="32" t="n">
        <f aca="false">IF(E572&gt;0,F572/E572,0)</f>
        <v>0</v>
      </c>
      <c r="K572" s="32" t="n">
        <f aca="false">IF(G572&gt;0,H572/G572,0)</f>
        <v>-0</v>
      </c>
      <c r="L572" s="59" t="n">
        <f aca="false">H572/Settings!$B$16</f>
        <v>-0</v>
      </c>
      <c r="M572" s="59" t="n">
        <f aca="false">H572/Settings!$B$20</f>
        <v>-0</v>
      </c>
      <c r="N572" s="60" t="n">
        <f aca="false">E572*Settings!$B$3</f>
        <v>0.0619723021596408</v>
      </c>
      <c r="O572" s="60" t="n">
        <f aca="false">IF(E572&gt;0,(F572-N572)/SQRT(E572*Settings!$B$3*(1-Settings!$B$3)),0)</f>
        <v>-0.252891261535318</v>
      </c>
      <c r="P572" s="60" t="n">
        <f aca="false">MAX(0,F572-N572)</f>
        <v>0</v>
      </c>
      <c r="Q572" s="32" t="n">
        <f aca="false">(F572+Settings!$B$7*Settings!$B$3)/(E572+Settings!$B$7)</f>
        <v>0.0290495166373316</v>
      </c>
      <c r="R572" s="61" t="n">
        <f aca="false">PERCENTRANK($H$2:$H$1780,H572,6)</f>
        <v>0</v>
      </c>
      <c r="S572" s="61" t="n">
        <f aca="false">PERCENTRANK($Q$2:$Q$1780,Q572,6)</f>
        <v>0.365579</v>
      </c>
      <c r="T572" s="61" t="n">
        <f aca="false">PERCENTRANK($F$2:$F$1780,F572,6)</f>
        <v>0</v>
      </c>
      <c r="U572" s="62" t="n">
        <f aca="false">IF(F572&gt;0,(Settings!$B$8*T572+Settings!$B$9*R572+Settings!$B$10*S572)/SUM(Settings!$B$8:$B$10),0)</f>
        <v>0</v>
      </c>
      <c r="V572" s="56" t="str">
        <f aca="false">IF(U572&gt;0,RANK(U572,$U$2:$U$1780)+COUNTIF($U$2:U572,U572)-1,"")</f>
        <v/>
      </c>
      <c r="W572" s="56" t="str">
        <f aca="false">IF(V572="","",IF(V572&lt;=Settings!$B$11,"1 - Fix first",IF(V572&lt;=Settings!$B$12,"2 - Review","3 - Monitor")))</f>
        <v/>
      </c>
      <c r="X572" s="56" t="str">
        <f aca="false">IF(AND(E572&gt;=Settings!$B$4,F572&gt;=Settings!$B$5,O572&gt;=Settings!$B$6),"HIGH RATE","")</f>
        <v/>
      </c>
      <c r="Y572" s="56" t="str">
        <f aca="false">IF(F572&gt;0,RANK(F572,$F$2:$F$1780)+COUNTIF($F$2:F572,F572)-1,"")</f>
        <v/>
      </c>
      <c r="Z572" s="56" t="str">
        <f aca="false">IF(H572&gt;0,RANK(H572,$H$2:$H$1780)+COUNTIF($H$2:H572,H572)-1,"")</f>
        <v/>
      </c>
      <c r="AA572" s="56" t="str">
        <f aca="false">IF(AC572="","",RANK(AC572,$AC$2:$AC$1780)+COUNTIF($AC$2:AC572,AC572)-1)</f>
        <v/>
      </c>
      <c r="AB572" s="56" t="str">
        <f aca="false">IF(AD572="","",RANK(AD572,$AD$2:$AD$1780)+COUNTIF($AD$2:AD572,AD572)-1)</f>
        <v/>
      </c>
      <c r="AC572" s="56" t="str">
        <f aca="false">IF(AND(F572&gt;0,E572&gt;=Settings!$B$4),J572,"")</f>
        <v/>
      </c>
      <c r="AD572" s="56" t="str">
        <f aca="false">IF(X572="HIGH RATE",O572,"")</f>
        <v/>
      </c>
    </row>
    <row r="573" customFormat="false" ht="15" hidden="false" customHeight="false" outlineLevel="0" collapsed="false">
      <c r="A573" s="56" t="s">
        <v>1686</v>
      </c>
      <c r="B573" s="56" t="s">
        <v>566</v>
      </c>
      <c r="C573" s="56" t="s">
        <v>129</v>
      </c>
      <c r="D573" s="56" t="str">
        <f aca="false">IFERROR(INDEX('Brand Map'!$B$4:$B$124,MATCH(C573,'Brand Map'!$A$4:$A$124,0)),"Other")</f>
        <v>AL</v>
      </c>
      <c r="E573" s="57" t="n">
        <v>24</v>
      </c>
      <c r="F573" s="57" t="n">
        <v>0</v>
      </c>
      <c r="G573" s="58" t="n">
        <v>3358.8</v>
      </c>
      <c r="H573" s="58" t="n">
        <v>0</v>
      </c>
      <c r="I573" s="58" t="n">
        <v>3358.8</v>
      </c>
      <c r="J573" s="32" t="n">
        <f aca="false">IF(E573&gt;0,F573/E573,0)</f>
        <v>0</v>
      </c>
      <c r="K573" s="32" t="n">
        <f aca="false">IF(G573&gt;0,H573/G573,0)</f>
        <v>-0</v>
      </c>
      <c r="L573" s="59" t="n">
        <f aca="false">H573/Settings!$B$16</f>
        <v>-0</v>
      </c>
      <c r="M573" s="59" t="n">
        <f aca="false">H573/Settings!$B$20</f>
        <v>-0</v>
      </c>
      <c r="N573" s="60" t="n">
        <f aca="false">E573*Settings!$B$3</f>
        <v>0.74366762591569</v>
      </c>
      <c r="O573" s="60" t="n">
        <f aca="false">IF(E573&gt;0,(F573-N573)/SQRT(E573*Settings!$B$3*(1-Settings!$B$3)),0)</f>
        <v>-0.876041027538719</v>
      </c>
      <c r="P573" s="60" t="n">
        <f aca="false">MAX(0,F573-N573)</f>
        <v>0</v>
      </c>
      <c r="Q573" s="32" t="n">
        <f aca="false">(F573+Settings!$B$7*Settings!$B$3)/(E573+Settings!$B$7)</f>
        <v>0.017214528377678</v>
      </c>
      <c r="R573" s="61" t="n">
        <f aca="false">PERCENTRANK($H$2:$H$1780,H573,6)</f>
        <v>0</v>
      </c>
      <c r="S573" s="61" t="n">
        <f aca="false">PERCENTRANK($Q$2:$Q$1780,Q573,6)</f>
        <v>0.0556805</v>
      </c>
      <c r="T573" s="61" t="n">
        <f aca="false">PERCENTRANK($F$2:$F$1780,F573,6)</f>
        <v>0</v>
      </c>
      <c r="U573" s="62" t="n">
        <f aca="false">IF(F573&gt;0,(Settings!$B$8*T573+Settings!$B$9*R573+Settings!$B$10*S573)/SUM(Settings!$B$8:$B$10),0)</f>
        <v>0</v>
      </c>
      <c r="V573" s="56" t="str">
        <f aca="false">IF(U573&gt;0,RANK(U573,$U$2:$U$1780)+COUNTIF($U$2:U573,U573)-1,"")</f>
        <v/>
      </c>
      <c r="W573" s="56" t="str">
        <f aca="false">IF(V573="","",IF(V573&lt;=Settings!$B$11,"1 - Fix first",IF(V573&lt;=Settings!$B$12,"2 - Review","3 - Monitor")))</f>
        <v/>
      </c>
      <c r="X573" s="56" t="str">
        <f aca="false">IF(AND(E573&gt;=Settings!$B$4,F573&gt;=Settings!$B$5,O573&gt;=Settings!$B$6),"HIGH RATE","")</f>
        <v/>
      </c>
      <c r="Y573" s="56" t="str">
        <f aca="false">IF(F573&gt;0,RANK(F573,$F$2:$F$1780)+COUNTIF($F$2:F573,F573)-1,"")</f>
        <v/>
      </c>
      <c r="Z573" s="56" t="str">
        <f aca="false">IF(H573&gt;0,RANK(H573,$H$2:$H$1780)+COUNTIF($H$2:H573,H573)-1,"")</f>
        <v/>
      </c>
      <c r="AA573" s="56" t="str">
        <f aca="false">IF(AC573="","",RANK(AC573,$AC$2:$AC$1780)+COUNTIF($AC$2:AC573,AC573)-1)</f>
        <v/>
      </c>
      <c r="AB573" s="56" t="str">
        <f aca="false">IF(AD573="","",RANK(AD573,$AD$2:$AD$1780)+COUNTIF($AD$2:AD573,AD573)-1)</f>
        <v/>
      </c>
      <c r="AC573" s="56" t="str">
        <f aca="false">IF(AND(F573&gt;0,E573&gt;=Settings!$B$4),J573,"")</f>
        <v/>
      </c>
      <c r="AD573" s="56" t="str">
        <f aca="false">IF(X573="HIGH RATE",O573,"")</f>
        <v/>
      </c>
    </row>
    <row r="574" customFormat="false" ht="15" hidden="false" customHeight="false" outlineLevel="0" collapsed="false">
      <c r="A574" s="56" t="s">
        <v>1687</v>
      </c>
      <c r="B574" s="56" t="s">
        <v>566</v>
      </c>
      <c r="C574" s="56" t="s">
        <v>129</v>
      </c>
      <c r="D574" s="56" t="str">
        <f aca="false">IFERROR(INDEX('Brand Map'!$B$4:$B$124,MATCH(C574,'Brand Map'!$A$4:$A$124,0)),"Other")</f>
        <v>AL</v>
      </c>
      <c r="E574" s="57" t="n">
        <v>10</v>
      </c>
      <c r="F574" s="57" t="n">
        <v>0</v>
      </c>
      <c r="G574" s="58" t="n">
        <v>1549.5</v>
      </c>
      <c r="H574" s="58" t="n">
        <v>0</v>
      </c>
      <c r="I574" s="58" t="n">
        <v>1549.5</v>
      </c>
      <c r="J574" s="32" t="n">
        <f aca="false">IF(E574&gt;0,F574/E574,0)</f>
        <v>0</v>
      </c>
      <c r="K574" s="32" t="n">
        <f aca="false">IF(G574&gt;0,H574/G574,0)</f>
        <v>-0</v>
      </c>
      <c r="L574" s="59" t="n">
        <f aca="false">H574/Settings!$B$16</f>
        <v>-0</v>
      </c>
      <c r="M574" s="59" t="n">
        <f aca="false">H574/Settings!$B$20</f>
        <v>-0</v>
      </c>
      <c r="N574" s="60" t="n">
        <f aca="false">E574*Settings!$B$3</f>
        <v>0.309861510798204</v>
      </c>
      <c r="O574" s="60" t="n">
        <f aca="false">IF(E574&gt;0,(F574-N574)/SQRT(E574*Settings!$B$3*(1-Settings!$B$3)),0)</f>
        <v>-0.565482051708649</v>
      </c>
      <c r="P574" s="60" t="n">
        <f aca="false">MAX(0,F574-N574)</f>
        <v>0</v>
      </c>
      <c r="Q574" s="32" t="n">
        <f aca="false">(F574+Settings!$B$7*Settings!$B$3)/(E574+Settings!$B$7)</f>
        <v>0.0232396133098653</v>
      </c>
      <c r="R574" s="61" t="n">
        <f aca="false">PERCENTRANK($H$2:$H$1780,H574,6)</f>
        <v>0</v>
      </c>
      <c r="S574" s="61" t="n">
        <f aca="false">PERCENTRANK($Q$2:$Q$1780,Q574,6)</f>
        <v>0.131046</v>
      </c>
      <c r="T574" s="61" t="n">
        <f aca="false">PERCENTRANK($F$2:$F$1780,F574,6)</f>
        <v>0</v>
      </c>
      <c r="U574" s="62" t="n">
        <f aca="false">IF(F574&gt;0,(Settings!$B$8*T574+Settings!$B$9*R574+Settings!$B$10*S574)/SUM(Settings!$B$8:$B$10),0)</f>
        <v>0</v>
      </c>
      <c r="V574" s="56" t="str">
        <f aca="false">IF(U574&gt;0,RANK(U574,$U$2:$U$1780)+COUNTIF($U$2:U574,U574)-1,"")</f>
        <v/>
      </c>
      <c r="W574" s="56" t="str">
        <f aca="false">IF(V574="","",IF(V574&lt;=Settings!$B$11,"1 - Fix first",IF(V574&lt;=Settings!$B$12,"2 - Review","3 - Monitor")))</f>
        <v/>
      </c>
      <c r="X574" s="56" t="str">
        <f aca="false">IF(AND(E574&gt;=Settings!$B$4,F574&gt;=Settings!$B$5,O574&gt;=Settings!$B$6),"HIGH RATE","")</f>
        <v/>
      </c>
      <c r="Y574" s="56" t="str">
        <f aca="false">IF(F574&gt;0,RANK(F574,$F$2:$F$1780)+COUNTIF($F$2:F574,F574)-1,"")</f>
        <v/>
      </c>
      <c r="Z574" s="56" t="str">
        <f aca="false">IF(H574&gt;0,RANK(H574,$H$2:$H$1780)+COUNTIF($H$2:H574,H574)-1,"")</f>
        <v/>
      </c>
      <c r="AA574" s="56" t="str">
        <f aca="false">IF(AC574="","",RANK(AC574,$AC$2:$AC$1780)+COUNTIF($AC$2:AC574,AC574)-1)</f>
        <v/>
      </c>
      <c r="AB574" s="56" t="str">
        <f aca="false">IF(AD574="","",RANK(AD574,$AD$2:$AD$1780)+COUNTIF($AD$2:AD574,AD574)-1)</f>
        <v/>
      </c>
      <c r="AC574" s="56" t="str">
        <f aca="false">IF(AND(F574&gt;0,E574&gt;=Settings!$B$4),J574,"")</f>
        <v/>
      </c>
      <c r="AD574" s="56" t="str">
        <f aca="false">IF(X574="HIGH RATE",O574,"")</f>
        <v/>
      </c>
    </row>
    <row r="575" customFormat="false" ht="15" hidden="false" customHeight="false" outlineLevel="0" collapsed="false">
      <c r="A575" s="56" t="s">
        <v>1688</v>
      </c>
      <c r="B575" s="56" t="s">
        <v>1255</v>
      </c>
      <c r="C575" s="56" t="s">
        <v>129</v>
      </c>
      <c r="D575" s="56" t="str">
        <f aca="false">IFERROR(INDEX('Brand Map'!$B$4:$B$124,MATCH(C575,'Brand Map'!$A$4:$A$124,0)),"Other")</f>
        <v>AL</v>
      </c>
      <c r="E575" s="57" t="n">
        <v>6</v>
      </c>
      <c r="F575" s="57" t="n">
        <v>0</v>
      </c>
      <c r="G575" s="58" t="n">
        <v>1259.7</v>
      </c>
      <c r="H575" s="58" t="n">
        <v>0</v>
      </c>
      <c r="I575" s="58" t="n">
        <v>1259.7</v>
      </c>
      <c r="J575" s="32" t="n">
        <f aca="false">IF(E575&gt;0,F575/E575,0)</f>
        <v>0</v>
      </c>
      <c r="K575" s="32" t="n">
        <f aca="false">IF(G575&gt;0,H575/G575,0)</f>
        <v>-0</v>
      </c>
      <c r="L575" s="59" t="n">
        <f aca="false">H575/Settings!$B$16</f>
        <v>-0</v>
      </c>
      <c r="M575" s="59" t="n">
        <f aca="false">H575/Settings!$B$20</f>
        <v>-0</v>
      </c>
      <c r="N575" s="60" t="n">
        <f aca="false">E575*Settings!$B$3</f>
        <v>0.185916906478923</v>
      </c>
      <c r="O575" s="60" t="n">
        <f aca="false">IF(E575&gt;0,(F575-N575)/SQRT(E575*Settings!$B$3*(1-Settings!$B$3)),0)</f>
        <v>-0.43802051376936</v>
      </c>
      <c r="P575" s="60" t="n">
        <f aca="false">MAX(0,F575-N575)</f>
        <v>0</v>
      </c>
      <c r="Q575" s="32" t="n">
        <f aca="false">(F575+Settings!$B$7*Settings!$B$3)/(E575+Settings!$B$7)</f>
        <v>0.025821792566517</v>
      </c>
      <c r="R575" s="61" t="n">
        <f aca="false">PERCENTRANK($H$2:$H$1780,H575,6)</f>
        <v>0</v>
      </c>
      <c r="S575" s="61" t="n">
        <f aca="false">PERCENTRANK($Q$2:$Q$1780,Q575,6)</f>
        <v>0.189539</v>
      </c>
      <c r="T575" s="61" t="n">
        <f aca="false">PERCENTRANK($F$2:$F$1780,F575,6)</f>
        <v>0</v>
      </c>
      <c r="U575" s="62" t="n">
        <f aca="false">IF(F575&gt;0,(Settings!$B$8*T575+Settings!$B$9*R575+Settings!$B$10*S575)/SUM(Settings!$B$8:$B$10),0)</f>
        <v>0</v>
      </c>
      <c r="V575" s="56" t="str">
        <f aca="false">IF(U575&gt;0,RANK(U575,$U$2:$U$1780)+COUNTIF($U$2:U575,U575)-1,"")</f>
        <v/>
      </c>
      <c r="W575" s="56" t="str">
        <f aca="false">IF(V575="","",IF(V575&lt;=Settings!$B$11,"1 - Fix first",IF(V575&lt;=Settings!$B$12,"2 - Review","3 - Monitor")))</f>
        <v/>
      </c>
      <c r="X575" s="56" t="str">
        <f aca="false">IF(AND(E575&gt;=Settings!$B$4,F575&gt;=Settings!$B$5,O575&gt;=Settings!$B$6),"HIGH RATE","")</f>
        <v/>
      </c>
      <c r="Y575" s="56" t="str">
        <f aca="false">IF(F575&gt;0,RANK(F575,$F$2:$F$1780)+COUNTIF($F$2:F575,F575)-1,"")</f>
        <v/>
      </c>
      <c r="Z575" s="56" t="str">
        <f aca="false">IF(H575&gt;0,RANK(H575,$H$2:$H$1780)+COUNTIF($H$2:H575,H575)-1,"")</f>
        <v/>
      </c>
      <c r="AA575" s="56" t="str">
        <f aca="false">IF(AC575="","",RANK(AC575,$AC$2:$AC$1780)+COUNTIF($AC$2:AC575,AC575)-1)</f>
        <v/>
      </c>
      <c r="AB575" s="56" t="str">
        <f aca="false">IF(AD575="","",RANK(AD575,$AD$2:$AD$1780)+COUNTIF($AD$2:AD575,AD575)-1)</f>
        <v/>
      </c>
      <c r="AC575" s="56" t="str">
        <f aca="false">IF(AND(F575&gt;0,E575&gt;=Settings!$B$4),J575,"")</f>
        <v/>
      </c>
      <c r="AD575" s="56" t="str">
        <f aca="false">IF(X575="HIGH RATE",O575,"")</f>
        <v/>
      </c>
    </row>
    <row r="576" customFormat="false" ht="15" hidden="false" customHeight="false" outlineLevel="0" collapsed="false">
      <c r="A576" s="56" t="s">
        <v>1689</v>
      </c>
      <c r="B576" s="56" t="s">
        <v>1255</v>
      </c>
      <c r="C576" s="56" t="s">
        <v>129</v>
      </c>
      <c r="D576" s="56" t="str">
        <f aca="false">IFERROR(INDEX('Brand Map'!$B$4:$B$124,MATCH(C576,'Brand Map'!$A$4:$A$124,0)),"Other")</f>
        <v>AL</v>
      </c>
      <c r="E576" s="57" t="n">
        <v>1</v>
      </c>
      <c r="F576" s="57" t="n">
        <v>0</v>
      </c>
      <c r="G576" s="58" t="n">
        <v>199.95</v>
      </c>
      <c r="H576" s="58" t="n">
        <v>0</v>
      </c>
      <c r="I576" s="58" t="n">
        <v>199.95</v>
      </c>
      <c r="J576" s="32" t="n">
        <f aca="false">IF(E576&gt;0,F576/E576,0)</f>
        <v>0</v>
      </c>
      <c r="K576" s="32" t="n">
        <f aca="false">IF(G576&gt;0,H576/G576,0)</f>
        <v>-0</v>
      </c>
      <c r="L576" s="59" t="n">
        <f aca="false">H576/Settings!$B$16</f>
        <v>-0</v>
      </c>
      <c r="M576" s="59" t="n">
        <f aca="false">H576/Settings!$B$20</f>
        <v>-0</v>
      </c>
      <c r="N576" s="60" t="n">
        <f aca="false">E576*Settings!$B$3</f>
        <v>0.0309861510798204</v>
      </c>
      <c r="O576" s="60" t="n">
        <f aca="false">IF(E576&gt;0,(F576-N576)/SQRT(E576*Settings!$B$3*(1-Settings!$B$3)),0)</f>
        <v>-0.178821125934444</v>
      </c>
      <c r="P576" s="60" t="n">
        <f aca="false">MAX(0,F576-N576)</f>
        <v>0</v>
      </c>
      <c r="Q576" s="32" t="n">
        <f aca="false">(F576+Settings!$B$7*Settings!$B$3)/(E576+Settings!$B$7)</f>
        <v>0.0299865978191811</v>
      </c>
      <c r="R576" s="61" t="n">
        <f aca="false">PERCENTRANK($H$2:$H$1780,H576,6)</f>
        <v>0</v>
      </c>
      <c r="S576" s="61" t="n">
        <f aca="false">PERCENTRANK($Q$2:$Q$1780,Q576,6)</f>
        <v>0.486502</v>
      </c>
      <c r="T576" s="61" t="n">
        <f aca="false">PERCENTRANK($F$2:$F$1780,F576,6)</f>
        <v>0</v>
      </c>
      <c r="U576" s="62" t="n">
        <f aca="false">IF(F576&gt;0,(Settings!$B$8*T576+Settings!$B$9*R576+Settings!$B$10*S576)/SUM(Settings!$B$8:$B$10),0)</f>
        <v>0</v>
      </c>
      <c r="V576" s="56" t="str">
        <f aca="false">IF(U576&gt;0,RANK(U576,$U$2:$U$1780)+COUNTIF($U$2:U576,U576)-1,"")</f>
        <v/>
      </c>
      <c r="W576" s="56" t="str">
        <f aca="false">IF(V576="","",IF(V576&lt;=Settings!$B$11,"1 - Fix first",IF(V576&lt;=Settings!$B$12,"2 - Review","3 - Monitor")))</f>
        <v/>
      </c>
      <c r="X576" s="56" t="str">
        <f aca="false">IF(AND(E576&gt;=Settings!$B$4,F576&gt;=Settings!$B$5,O576&gt;=Settings!$B$6),"HIGH RATE","")</f>
        <v/>
      </c>
      <c r="Y576" s="56" t="str">
        <f aca="false">IF(F576&gt;0,RANK(F576,$F$2:$F$1780)+COUNTIF($F$2:F576,F576)-1,"")</f>
        <v/>
      </c>
      <c r="Z576" s="56" t="str">
        <f aca="false">IF(H576&gt;0,RANK(H576,$H$2:$H$1780)+COUNTIF($H$2:H576,H576)-1,"")</f>
        <v/>
      </c>
      <c r="AA576" s="56" t="str">
        <f aca="false">IF(AC576="","",RANK(AC576,$AC$2:$AC$1780)+COUNTIF($AC$2:AC576,AC576)-1)</f>
        <v/>
      </c>
      <c r="AB576" s="56" t="str">
        <f aca="false">IF(AD576="","",RANK(AD576,$AD$2:$AD$1780)+COUNTIF($AD$2:AD576,AD576)-1)</f>
        <v/>
      </c>
      <c r="AC576" s="56" t="str">
        <f aca="false">IF(AND(F576&gt;0,E576&gt;=Settings!$B$4),J576,"")</f>
        <v/>
      </c>
      <c r="AD576" s="56" t="str">
        <f aca="false">IF(X576="HIGH RATE",O576,"")</f>
        <v/>
      </c>
    </row>
    <row r="577" customFormat="false" ht="15" hidden="false" customHeight="false" outlineLevel="0" collapsed="false">
      <c r="A577" s="56" t="s">
        <v>1690</v>
      </c>
      <c r="B577" s="56" t="s">
        <v>1255</v>
      </c>
      <c r="C577" s="56" t="s">
        <v>129</v>
      </c>
      <c r="D577" s="56" t="str">
        <f aca="false">IFERROR(INDEX('Brand Map'!$B$4:$B$124,MATCH(C577,'Brand Map'!$A$4:$A$124,0)),"Other")</f>
        <v>AL</v>
      </c>
      <c r="E577" s="57" t="n">
        <v>1</v>
      </c>
      <c r="F577" s="57" t="n">
        <v>0</v>
      </c>
      <c r="G577" s="58" t="n">
        <v>214.95</v>
      </c>
      <c r="H577" s="58" t="n">
        <v>0</v>
      </c>
      <c r="I577" s="58" t="n">
        <v>214.95</v>
      </c>
      <c r="J577" s="32" t="n">
        <f aca="false">IF(E577&gt;0,F577/E577,0)</f>
        <v>0</v>
      </c>
      <c r="K577" s="32" t="n">
        <f aca="false">IF(G577&gt;0,H577/G577,0)</f>
        <v>-0</v>
      </c>
      <c r="L577" s="59" t="n">
        <f aca="false">H577/Settings!$B$16</f>
        <v>-0</v>
      </c>
      <c r="M577" s="59" t="n">
        <f aca="false">H577/Settings!$B$20</f>
        <v>-0</v>
      </c>
      <c r="N577" s="60" t="n">
        <f aca="false">E577*Settings!$B$3</f>
        <v>0.0309861510798204</v>
      </c>
      <c r="O577" s="60" t="n">
        <f aca="false">IF(E577&gt;0,(F577-N577)/SQRT(E577*Settings!$B$3*(1-Settings!$B$3)),0)</f>
        <v>-0.178821125934444</v>
      </c>
      <c r="P577" s="60" t="n">
        <f aca="false">MAX(0,F577-N577)</f>
        <v>0</v>
      </c>
      <c r="Q577" s="32" t="n">
        <f aca="false">(F577+Settings!$B$7*Settings!$B$3)/(E577+Settings!$B$7)</f>
        <v>0.0299865978191811</v>
      </c>
      <c r="R577" s="61" t="n">
        <f aca="false">PERCENTRANK($H$2:$H$1780,H577,6)</f>
        <v>0</v>
      </c>
      <c r="S577" s="61" t="n">
        <f aca="false">PERCENTRANK($Q$2:$Q$1780,Q577,6)</f>
        <v>0.486502</v>
      </c>
      <c r="T577" s="61" t="n">
        <f aca="false">PERCENTRANK($F$2:$F$1780,F577,6)</f>
        <v>0</v>
      </c>
      <c r="U577" s="62" t="n">
        <f aca="false">IF(F577&gt;0,(Settings!$B$8*T577+Settings!$B$9*R577+Settings!$B$10*S577)/SUM(Settings!$B$8:$B$10),0)</f>
        <v>0</v>
      </c>
      <c r="V577" s="56" t="str">
        <f aca="false">IF(U577&gt;0,RANK(U577,$U$2:$U$1780)+COUNTIF($U$2:U577,U577)-1,"")</f>
        <v/>
      </c>
      <c r="W577" s="56" t="str">
        <f aca="false">IF(V577="","",IF(V577&lt;=Settings!$B$11,"1 - Fix first",IF(V577&lt;=Settings!$B$12,"2 - Review","3 - Monitor")))</f>
        <v/>
      </c>
      <c r="X577" s="56" t="str">
        <f aca="false">IF(AND(E577&gt;=Settings!$B$4,F577&gt;=Settings!$B$5,O577&gt;=Settings!$B$6),"HIGH RATE","")</f>
        <v/>
      </c>
      <c r="Y577" s="56" t="str">
        <f aca="false">IF(F577&gt;0,RANK(F577,$F$2:$F$1780)+COUNTIF($F$2:F577,F577)-1,"")</f>
        <v/>
      </c>
      <c r="Z577" s="56" t="str">
        <f aca="false">IF(H577&gt;0,RANK(H577,$H$2:$H$1780)+COUNTIF($H$2:H577,H577)-1,"")</f>
        <v/>
      </c>
      <c r="AA577" s="56" t="str">
        <f aca="false">IF(AC577="","",RANK(AC577,$AC$2:$AC$1780)+COUNTIF($AC$2:AC577,AC577)-1)</f>
        <v/>
      </c>
      <c r="AB577" s="56" t="str">
        <f aca="false">IF(AD577="","",RANK(AD577,$AD$2:$AD$1780)+COUNTIF($AD$2:AD577,AD577)-1)</f>
        <v/>
      </c>
      <c r="AC577" s="56" t="str">
        <f aca="false">IF(AND(F577&gt;0,E577&gt;=Settings!$B$4),J577,"")</f>
        <v/>
      </c>
      <c r="AD577" s="56" t="str">
        <f aca="false">IF(X577="HIGH RATE",O577,"")</f>
        <v/>
      </c>
    </row>
    <row r="578" customFormat="false" ht="15" hidden="false" customHeight="false" outlineLevel="0" collapsed="false">
      <c r="A578" s="56" t="s">
        <v>1691</v>
      </c>
      <c r="B578" s="56" t="s">
        <v>1255</v>
      </c>
      <c r="C578" s="56" t="s">
        <v>129</v>
      </c>
      <c r="D578" s="56" t="str">
        <f aca="false">IFERROR(INDEX('Brand Map'!$B$4:$B$124,MATCH(C578,'Brand Map'!$A$4:$A$124,0)),"Other")</f>
        <v>AL</v>
      </c>
      <c r="E578" s="57" t="n">
        <v>1</v>
      </c>
      <c r="F578" s="57" t="n">
        <v>0</v>
      </c>
      <c r="G578" s="58" t="n">
        <v>229.95</v>
      </c>
      <c r="H578" s="58" t="n">
        <v>0</v>
      </c>
      <c r="I578" s="58" t="n">
        <v>229.95</v>
      </c>
      <c r="J578" s="32" t="n">
        <f aca="false">IF(E578&gt;0,F578/E578,0)</f>
        <v>0</v>
      </c>
      <c r="K578" s="32" t="n">
        <f aca="false">IF(G578&gt;0,H578/G578,0)</f>
        <v>-0</v>
      </c>
      <c r="L578" s="59" t="n">
        <f aca="false">H578/Settings!$B$16</f>
        <v>-0</v>
      </c>
      <c r="M578" s="59" t="n">
        <f aca="false">H578/Settings!$B$20</f>
        <v>-0</v>
      </c>
      <c r="N578" s="60" t="n">
        <f aca="false">E578*Settings!$B$3</f>
        <v>0.0309861510798204</v>
      </c>
      <c r="O578" s="60" t="n">
        <f aca="false">IF(E578&gt;0,(F578-N578)/SQRT(E578*Settings!$B$3*(1-Settings!$B$3)),0)</f>
        <v>-0.178821125934444</v>
      </c>
      <c r="P578" s="60" t="n">
        <f aca="false">MAX(0,F578-N578)</f>
        <v>0</v>
      </c>
      <c r="Q578" s="32" t="n">
        <f aca="false">(F578+Settings!$B$7*Settings!$B$3)/(E578+Settings!$B$7)</f>
        <v>0.0299865978191811</v>
      </c>
      <c r="R578" s="61" t="n">
        <f aca="false">PERCENTRANK($H$2:$H$1780,H578,6)</f>
        <v>0</v>
      </c>
      <c r="S578" s="61" t="n">
        <f aca="false">PERCENTRANK($Q$2:$Q$1780,Q578,6)</f>
        <v>0.486502</v>
      </c>
      <c r="T578" s="61" t="n">
        <f aca="false">PERCENTRANK($F$2:$F$1780,F578,6)</f>
        <v>0</v>
      </c>
      <c r="U578" s="62" t="n">
        <f aca="false">IF(F578&gt;0,(Settings!$B$8*T578+Settings!$B$9*R578+Settings!$B$10*S578)/SUM(Settings!$B$8:$B$10),0)</f>
        <v>0</v>
      </c>
      <c r="V578" s="56" t="str">
        <f aca="false">IF(U578&gt;0,RANK(U578,$U$2:$U$1780)+COUNTIF($U$2:U578,U578)-1,"")</f>
        <v/>
      </c>
      <c r="W578" s="56" t="str">
        <f aca="false">IF(V578="","",IF(V578&lt;=Settings!$B$11,"1 - Fix first",IF(V578&lt;=Settings!$B$12,"2 - Review","3 - Monitor")))</f>
        <v/>
      </c>
      <c r="X578" s="56" t="str">
        <f aca="false">IF(AND(E578&gt;=Settings!$B$4,F578&gt;=Settings!$B$5,O578&gt;=Settings!$B$6),"HIGH RATE","")</f>
        <v/>
      </c>
      <c r="Y578" s="56" t="str">
        <f aca="false">IF(F578&gt;0,RANK(F578,$F$2:$F$1780)+COUNTIF($F$2:F578,F578)-1,"")</f>
        <v/>
      </c>
      <c r="Z578" s="56" t="str">
        <f aca="false">IF(H578&gt;0,RANK(H578,$H$2:$H$1780)+COUNTIF($H$2:H578,H578)-1,"")</f>
        <v/>
      </c>
      <c r="AA578" s="56" t="str">
        <f aca="false">IF(AC578="","",RANK(AC578,$AC$2:$AC$1780)+COUNTIF($AC$2:AC578,AC578)-1)</f>
        <v/>
      </c>
      <c r="AB578" s="56" t="str">
        <f aca="false">IF(AD578="","",RANK(AD578,$AD$2:$AD$1780)+COUNTIF($AD$2:AD578,AD578)-1)</f>
        <v/>
      </c>
      <c r="AC578" s="56" t="str">
        <f aca="false">IF(AND(F578&gt;0,E578&gt;=Settings!$B$4),J578,"")</f>
        <v/>
      </c>
      <c r="AD578" s="56" t="str">
        <f aca="false">IF(X578="HIGH RATE",O578,"")</f>
        <v/>
      </c>
    </row>
    <row r="579" customFormat="false" ht="15" hidden="false" customHeight="false" outlineLevel="0" collapsed="false">
      <c r="A579" s="56" t="s">
        <v>1692</v>
      </c>
      <c r="B579" s="56" t="s">
        <v>1255</v>
      </c>
      <c r="C579" s="56" t="s">
        <v>129</v>
      </c>
      <c r="D579" s="56" t="str">
        <f aca="false">IFERROR(INDEX('Brand Map'!$B$4:$B$124,MATCH(C579,'Brand Map'!$A$4:$A$124,0)),"Other")</f>
        <v>AL</v>
      </c>
      <c r="E579" s="57" t="n">
        <v>4</v>
      </c>
      <c r="F579" s="57" t="n">
        <v>0</v>
      </c>
      <c r="G579" s="58" t="n">
        <v>739.8</v>
      </c>
      <c r="H579" s="58" t="n">
        <v>0</v>
      </c>
      <c r="I579" s="58" t="n">
        <v>739.8</v>
      </c>
      <c r="J579" s="32" t="n">
        <f aca="false">IF(E579&gt;0,F579/E579,0)</f>
        <v>0</v>
      </c>
      <c r="K579" s="32" t="n">
        <f aca="false">IF(G579&gt;0,H579/G579,0)</f>
        <v>-0</v>
      </c>
      <c r="L579" s="59" t="n">
        <f aca="false">H579/Settings!$B$16</f>
        <v>-0</v>
      </c>
      <c r="M579" s="59" t="n">
        <f aca="false">H579/Settings!$B$20</f>
        <v>-0</v>
      </c>
      <c r="N579" s="60" t="n">
        <f aca="false">E579*Settings!$B$3</f>
        <v>0.123944604319282</v>
      </c>
      <c r="O579" s="60" t="n">
        <f aca="false">IF(E579&gt;0,(F579-N579)/SQRT(E579*Settings!$B$3*(1-Settings!$B$3)),0)</f>
        <v>-0.357642251868888</v>
      </c>
      <c r="P579" s="60" t="n">
        <f aca="false">MAX(0,F579-N579)</f>
        <v>0</v>
      </c>
      <c r="Q579" s="32" t="n">
        <f aca="false">(F579+Settings!$B$7*Settings!$B$3)/(E579+Settings!$B$7)</f>
        <v>0.027340721541018</v>
      </c>
      <c r="R579" s="61" t="n">
        <f aca="false">PERCENTRANK($H$2:$H$1780,H579,6)</f>
        <v>0</v>
      </c>
      <c r="S579" s="61" t="n">
        <f aca="false">PERCENTRANK($Q$2:$Q$1780,Q579,6)</f>
        <v>0.253656</v>
      </c>
      <c r="T579" s="61" t="n">
        <f aca="false">PERCENTRANK($F$2:$F$1780,F579,6)</f>
        <v>0</v>
      </c>
      <c r="U579" s="62" t="n">
        <f aca="false">IF(F579&gt;0,(Settings!$B$8*T579+Settings!$B$9*R579+Settings!$B$10*S579)/SUM(Settings!$B$8:$B$10),0)</f>
        <v>0</v>
      </c>
      <c r="V579" s="56" t="str">
        <f aca="false">IF(U579&gt;0,RANK(U579,$U$2:$U$1780)+COUNTIF($U$2:U579,U579)-1,"")</f>
        <v/>
      </c>
      <c r="W579" s="56" t="str">
        <f aca="false">IF(V579="","",IF(V579&lt;=Settings!$B$11,"1 - Fix first",IF(V579&lt;=Settings!$B$12,"2 - Review","3 - Monitor")))</f>
        <v/>
      </c>
      <c r="X579" s="56" t="str">
        <f aca="false">IF(AND(E579&gt;=Settings!$B$4,F579&gt;=Settings!$B$5,O579&gt;=Settings!$B$6),"HIGH RATE","")</f>
        <v/>
      </c>
      <c r="Y579" s="56" t="str">
        <f aca="false">IF(F579&gt;0,RANK(F579,$F$2:$F$1780)+COUNTIF($F$2:F579,F579)-1,"")</f>
        <v/>
      </c>
      <c r="Z579" s="56" t="str">
        <f aca="false">IF(H579&gt;0,RANK(H579,$H$2:$H$1780)+COUNTIF($H$2:H579,H579)-1,"")</f>
        <v/>
      </c>
      <c r="AA579" s="56" t="str">
        <f aca="false">IF(AC579="","",RANK(AC579,$AC$2:$AC$1780)+COUNTIF($AC$2:AC579,AC579)-1)</f>
        <v/>
      </c>
      <c r="AB579" s="56" t="str">
        <f aca="false">IF(AD579="","",RANK(AD579,$AD$2:$AD$1780)+COUNTIF($AD$2:AD579,AD579)-1)</f>
        <v/>
      </c>
      <c r="AC579" s="56" t="str">
        <f aca="false">IF(AND(F579&gt;0,E579&gt;=Settings!$B$4),J579,"")</f>
        <v/>
      </c>
      <c r="AD579" s="56" t="str">
        <f aca="false">IF(X579="HIGH RATE",O579,"")</f>
        <v/>
      </c>
    </row>
    <row r="580" customFormat="false" ht="15" hidden="false" customHeight="false" outlineLevel="0" collapsed="false">
      <c r="A580" s="56" t="s">
        <v>1693</v>
      </c>
      <c r="B580" s="56" t="s">
        <v>1694</v>
      </c>
      <c r="C580" s="56" t="s">
        <v>129</v>
      </c>
      <c r="D580" s="56" t="str">
        <f aca="false">IFERROR(INDEX('Brand Map'!$B$4:$B$124,MATCH(C580,'Brand Map'!$A$4:$A$124,0)),"Other")</f>
        <v>AL</v>
      </c>
      <c r="E580" s="57" t="n">
        <v>1</v>
      </c>
      <c r="F580" s="57" t="n">
        <v>0</v>
      </c>
      <c r="G580" s="58" t="n">
        <v>134.95</v>
      </c>
      <c r="H580" s="58" t="n">
        <v>0</v>
      </c>
      <c r="I580" s="58" t="n">
        <v>134.95</v>
      </c>
      <c r="J580" s="32" t="n">
        <f aca="false">IF(E580&gt;0,F580/E580,0)</f>
        <v>0</v>
      </c>
      <c r="K580" s="32" t="n">
        <f aca="false">IF(G580&gt;0,H580/G580,0)</f>
        <v>-0</v>
      </c>
      <c r="L580" s="59" t="n">
        <f aca="false">H580/Settings!$B$16</f>
        <v>-0</v>
      </c>
      <c r="M580" s="59" t="n">
        <f aca="false">H580/Settings!$B$20</f>
        <v>-0</v>
      </c>
      <c r="N580" s="60" t="n">
        <f aca="false">E580*Settings!$B$3</f>
        <v>0.0309861510798204</v>
      </c>
      <c r="O580" s="60" t="n">
        <f aca="false">IF(E580&gt;0,(F580-N580)/SQRT(E580*Settings!$B$3*(1-Settings!$B$3)),0)</f>
        <v>-0.178821125934444</v>
      </c>
      <c r="P580" s="60" t="n">
        <f aca="false">MAX(0,F580-N580)</f>
        <v>0</v>
      </c>
      <c r="Q580" s="32" t="n">
        <f aca="false">(F580+Settings!$B$7*Settings!$B$3)/(E580+Settings!$B$7)</f>
        <v>0.0299865978191811</v>
      </c>
      <c r="R580" s="61" t="n">
        <f aca="false">PERCENTRANK($H$2:$H$1780,H580,6)</f>
        <v>0</v>
      </c>
      <c r="S580" s="61" t="n">
        <f aca="false">PERCENTRANK($Q$2:$Q$1780,Q580,6)</f>
        <v>0.486502</v>
      </c>
      <c r="T580" s="61" t="n">
        <f aca="false">PERCENTRANK($F$2:$F$1780,F580,6)</f>
        <v>0</v>
      </c>
      <c r="U580" s="62" t="n">
        <f aca="false">IF(F580&gt;0,(Settings!$B$8*T580+Settings!$B$9*R580+Settings!$B$10*S580)/SUM(Settings!$B$8:$B$10),0)</f>
        <v>0</v>
      </c>
      <c r="V580" s="56" t="str">
        <f aca="false">IF(U580&gt;0,RANK(U580,$U$2:$U$1780)+COUNTIF($U$2:U580,U580)-1,"")</f>
        <v/>
      </c>
      <c r="W580" s="56" t="str">
        <f aca="false">IF(V580="","",IF(V580&lt;=Settings!$B$11,"1 - Fix first",IF(V580&lt;=Settings!$B$12,"2 - Review","3 - Monitor")))</f>
        <v/>
      </c>
      <c r="X580" s="56" t="str">
        <f aca="false">IF(AND(E580&gt;=Settings!$B$4,F580&gt;=Settings!$B$5,O580&gt;=Settings!$B$6),"HIGH RATE","")</f>
        <v/>
      </c>
      <c r="Y580" s="56" t="str">
        <f aca="false">IF(F580&gt;0,RANK(F580,$F$2:$F$1780)+COUNTIF($F$2:F580,F580)-1,"")</f>
        <v/>
      </c>
      <c r="Z580" s="56" t="str">
        <f aca="false">IF(H580&gt;0,RANK(H580,$H$2:$H$1780)+COUNTIF($H$2:H580,H580)-1,"")</f>
        <v/>
      </c>
      <c r="AA580" s="56" t="str">
        <f aca="false">IF(AC580="","",RANK(AC580,$AC$2:$AC$1780)+COUNTIF($AC$2:AC580,AC580)-1)</f>
        <v/>
      </c>
      <c r="AB580" s="56" t="str">
        <f aca="false">IF(AD580="","",RANK(AD580,$AD$2:$AD$1780)+COUNTIF($AD$2:AD580,AD580)-1)</f>
        <v/>
      </c>
      <c r="AC580" s="56" t="str">
        <f aca="false">IF(AND(F580&gt;0,E580&gt;=Settings!$B$4),J580,"")</f>
        <v/>
      </c>
      <c r="AD580" s="56" t="str">
        <f aca="false">IF(X580="HIGH RATE",O580,"")</f>
        <v/>
      </c>
    </row>
    <row r="581" customFormat="false" ht="15" hidden="false" customHeight="false" outlineLevel="0" collapsed="false">
      <c r="A581" s="56" t="s">
        <v>1695</v>
      </c>
      <c r="B581" s="56" t="s">
        <v>1694</v>
      </c>
      <c r="C581" s="56" t="s">
        <v>129</v>
      </c>
      <c r="D581" s="56" t="str">
        <f aca="false">IFERROR(INDEX('Brand Map'!$B$4:$B$124,MATCH(C581,'Brand Map'!$A$4:$A$124,0)),"Other")</f>
        <v>AL</v>
      </c>
      <c r="E581" s="57" t="n">
        <v>1</v>
      </c>
      <c r="F581" s="57" t="n">
        <v>0</v>
      </c>
      <c r="G581" s="58" t="n">
        <v>149.95</v>
      </c>
      <c r="H581" s="58" t="n">
        <v>0</v>
      </c>
      <c r="I581" s="58" t="n">
        <v>149.95</v>
      </c>
      <c r="J581" s="32" t="n">
        <f aca="false">IF(E581&gt;0,F581/E581,0)</f>
        <v>0</v>
      </c>
      <c r="K581" s="32" t="n">
        <f aca="false">IF(G581&gt;0,H581/G581,0)</f>
        <v>-0</v>
      </c>
      <c r="L581" s="59" t="n">
        <f aca="false">H581/Settings!$B$16</f>
        <v>-0</v>
      </c>
      <c r="M581" s="59" t="n">
        <f aca="false">H581/Settings!$B$20</f>
        <v>-0</v>
      </c>
      <c r="N581" s="60" t="n">
        <f aca="false">E581*Settings!$B$3</f>
        <v>0.0309861510798204</v>
      </c>
      <c r="O581" s="60" t="n">
        <f aca="false">IF(E581&gt;0,(F581-N581)/SQRT(E581*Settings!$B$3*(1-Settings!$B$3)),0)</f>
        <v>-0.178821125934444</v>
      </c>
      <c r="P581" s="60" t="n">
        <f aca="false">MAX(0,F581-N581)</f>
        <v>0</v>
      </c>
      <c r="Q581" s="32" t="n">
        <f aca="false">(F581+Settings!$B$7*Settings!$B$3)/(E581+Settings!$B$7)</f>
        <v>0.0299865978191811</v>
      </c>
      <c r="R581" s="61" t="n">
        <f aca="false">PERCENTRANK($H$2:$H$1780,H581,6)</f>
        <v>0</v>
      </c>
      <c r="S581" s="61" t="n">
        <f aca="false">PERCENTRANK($Q$2:$Q$1780,Q581,6)</f>
        <v>0.486502</v>
      </c>
      <c r="T581" s="61" t="n">
        <f aca="false">PERCENTRANK($F$2:$F$1780,F581,6)</f>
        <v>0</v>
      </c>
      <c r="U581" s="62" t="n">
        <f aca="false">IF(F581&gt;0,(Settings!$B$8*T581+Settings!$B$9*R581+Settings!$B$10*S581)/SUM(Settings!$B$8:$B$10),0)</f>
        <v>0</v>
      </c>
      <c r="V581" s="56" t="str">
        <f aca="false">IF(U581&gt;0,RANK(U581,$U$2:$U$1780)+COUNTIF($U$2:U581,U581)-1,"")</f>
        <v/>
      </c>
      <c r="W581" s="56" t="str">
        <f aca="false">IF(V581="","",IF(V581&lt;=Settings!$B$11,"1 - Fix first",IF(V581&lt;=Settings!$B$12,"2 - Review","3 - Monitor")))</f>
        <v/>
      </c>
      <c r="X581" s="56" t="str">
        <f aca="false">IF(AND(E581&gt;=Settings!$B$4,F581&gt;=Settings!$B$5,O581&gt;=Settings!$B$6),"HIGH RATE","")</f>
        <v/>
      </c>
      <c r="Y581" s="56" t="str">
        <f aca="false">IF(F581&gt;0,RANK(F581,$F$2:$F$1780)+COUNTIF($F$2:F581,F581)-1,"")</f>
        <v/>
      </c>
      <c r="Z581" s="56" t="str">
        <f aca="false">IF(H581&gt;0,RANK(H581,$H$2:$H$1780)+COUNTIF($H$2:H581,H581)-1,"")</f>
        <v/>
      </c>
      <c r="AA581" s="56" t="str">
        <f aca="false">IF(AC581="","",RANK(AC581,$AC$2:$AC$1780)+COUNTIF($AC$2:AC581,AC581)-1)</f>
        <v/>
      </c>
      <c r="AB581" s="56" t="str">
        <f aca="false">IF(AD581="","",RANK(AD581,$AD$2:$AD$1780)+COUNTIF($AD$2:AD581,AD581)-1)</f>
        <v/>
      </c>
      <c r="AC581" s="56" t="str">
        <f aca="false">IF(AND(F581&gt;0,E581&gt;=Settings!$B$4),J581,"")</f>
        <v/>
      </c>
      <c r="AD581" s="56" t="str">
        <f aca="false">IF(X581="HIGH RATE",O581,"")</f>
        <v/>
      </c>
    </row>
    <row r="582" customFormat="false" ht="15" hidden="false" customHeight="false" outlineLevel="0" collapsed="false">
      <c r="A582" s="56" t="s">
        <v>1696</v>
      </c>
      <c r="B582" s="56" t="s">
        <v>1697</v>
      </c>
      <c r="C582" s="56" t="s">
        <v>129</v>
      </c>
      <c r="D582" s="56" t="str">
        <f aca="false">IFERROR(INDEX('Brand Map'!$B$4:$B$124,MATCH(C582,'Brand Map'!$A$4:$A$124,0)),"Other")</f>
        <v>AL</v>
      </c>
      <c r="E582" s="57" t="n">
        <v>2</v>
      </c>
      <c r="F582" s="57" t="n">
        <v>0</v>
      </c>
      <c r="G582" s="58" t="n">
        <v>229.9</v>
      </c>
      <c r="H582" s="58" t="n">
        <v>0</v>
      </c>
      <c r="I582" s="58" t="n">
        <v>229.9</v>
      </c>
      <c r="J582" s="32" t="n">
        <f aca="false">IF(E582&gt;0,F582/E582,0)</f>
        <v>0</v>
      </c>
      <c r="K582" s="32" t="n">
        <f aca="false">IF(G582&gt;0,H582/G582,0)</f>
        <v>-0</v>
      </c>
      <c r="L582" s="59" t="n">
        <f aca="false">H582/Settings!$B$16</f>
        <v>-0</v>
      </c>
      <c r="M582" s="59" t="n">
        <f aca="false">H582/Settings!$B$20</f>
        <v>-0</v>
      </c>
      <c r="N582" s="60" t="n">
        <f aca="false">E582*Settings!$B$3</f>
        <v>0.0619723021596408</v>
      </c>
      <c r="O582" s="60" t="n">
        <f aca="false">IF(E582&gt;0,(F582-N582)/SQRT(E582*Settings!$B$3*(1-Settings!$B$3)),0)</f>
        <v>-0.252891261535318</v>
      </c>
      <c r="P582" s="60" t="n">
        <f aca="false">MAX(0,F582-N582)</f>
        <v>0</v>
      </c>
      <c r="Q582" s="32" t="n">
        <f aca="false">(F582+Settings!$B$7*Settings!$B$3)/(E582+Settings!$B$7)</f>
        <v>0.0290495166373316</v>
      </c>
      <c r="R582" s="61" t="n">
        <f aca="false">PERCENTRANK($H$2:$H$1780,H582,6)</f>
        <v>0</v>
      </c>
      <c r="S582" s="61" t="n">
        <f aca="false">PERCENTRANK($Q$2:$Q$1780,Q582,6)</f>
        <v>0.365579</v>
      </c>
      <c r="T582" s="61" t="n">
        <f aca="false">PERCENTRANK($F$2:$F$1780,F582,6)</f>
        <v>0</v>
      </c>
      <c r="U582" s="62" t="n">
        <f aca="false">IF(F582&gt;0,(Settings!$B$8*T582+Settings!$B$9*R582+Settings!$B$10*S582)/SUM(Settings!$B$8:$B$10),0)</f>
        <v>0</v>
      </c>
      <c r="V582" s="56" t="str">
        <f aca="false">IF(U582&gt;0,RANK(U582,$U$2:$U$1780)+COUNTIF($U$2:U582,U582)-1,"")</f>
        <v/>
      </c>
      <c r="W582" s="56" t="str">
        <f aca="false">IF(V582="","",IF(V582&lt;=Settings!$B$11,"1 - Fix first",IF(V582&lt;=Settings!$B$12,"2 - Review","3 - Monitor")))</f>
        <v/>
      </c>
      <c r="X582" s="56" t="str">
        <f aca="false">IF(AND(E582&gt;=Settings!$B$4,F582&gt;=Settings!$B$5,O582&gt;=Settings!$B$6),"HIGH RATE","")</f>
        <v/>
      </c>
      <c r="Y582" s="56" t="str">
        <f aca="false">IF(F582&gt;0,RANK(F582,$F$2:$F$1780)+COUNTIF($F$2:F582,F582)-1,"")</f>
        <v/>
      </c>
      <c r="Z582" s="56" t="str">
        <f aca="false">IF(H582&gt;0,RANK(H582,$H$2:$H$1780)+COUNTIF($H$2:H582,H582)-1,"")</f>
        <v/>
      </c>
      <c r="AA582" s="56" t="str">
        <f aca="false">IF(AC582="","",RANK(AC582,$AC$2:$AC$1780)+COUNTIF($AC$2:AC582,AC582)-1)</f>
        <v/>
      </c>
      <c r="AB582" s="56" t="str">
        <f aca="false">IF(AD582="","",RANK(AD582,$AD$2:$AD$1780)+COUNTIF($AD$2:AD582,AD582)-1)</f>
        <v/>
      </c>
      <c r="AC582" s="56" t="str">
        <f aca="false">IF(AND(F582&gt;0,E582&gt;=Settings!$B$4),J582,"")</f>
        <v/>
      </c>
      <c r="AD582" s="56" t="str">
        <f aca="false">IF(X582="HIGH RATE",O582,"")</f>
        <v/>
      </c>
    </row>
    <row r="583" customFormat="false" ht="15" hidden="false" customHeight="false" outlineLevel="0" collapsed="false">
      <c r="A583" s="56" t="s">
        <v>1698</v>
      </c>
      <c r="B583" s="56" t="s">
        <v>1699</v>
      </c>
      <c r="C583" s="56" t="s">
        <v>129</v>
      </c>
      <c r="D583" s="56" t="str">
        <f aca="false">IFERROR(INDEX('Brand Map'!$B$4:$B$124,MATCH(C583,'Brand Map'!$A$4:$A$124,0)),"Other")</f>
        <v>AL</v>
      </c>
      <c r="E583" s="57" t="n">
        <v>1</v>
      </c>
      <c r="F583" s="57" t="n">
        <v>0</v>
      </c>
      <c r="G583" s="58" t="n">
        <v>199.95</v>
      </c>
      <c r="H583" s="58" t="n">
        <v>0</v>
      </c>
      <c r="I583" s="58" t="n">
        <v>199.95</v>
      </c>
      <c r="J583" s="32" t="n">
        <f aca="false">IF(E583&gt;0,F583/E583,0)</f>
        <v>0</v>
      </c>
      <c r="K583" s="32" t="n">
        <f aca="false">IF(G583&gt;0,H583/G583,0)</f>
        <v>-0</v>
      </c>
      <c r="L583" s="59" t="n">
        <f aca="false">H583/Settings!$B$16</f>
        <v>-0</v>
      </c>
      <c r="M583" s="59" t="n">
        <f aca="false">H583/Settings!$B$20</f>
        <v>-0</v>
      </c>
      <c r="N583" s="60" t="n">
        <f aca="false">E583*Settings!$B$3</f>
        <v>0.0309861510798204</v>
      </c>
      <c r="O583" s="60" t="n">
        <f aca="false">IF(E583&gt;0,(F583-N583)/SQRT(E583*Settings!$B$3*(1-Settings!$B$3)),0)</f>
        <v>-0.178821125934444</v>
      </c>
      <c r="P583" s="60" t="n">
        <f aca="false">MAX(0,F583-N583)</f>
        <v>0</v>
      </c>
      <c r="Q583" s="32" t="n">
        <f aca="false">(F583+Settings!$B$7*Settings!$B$3)/(E583+Settings!$B$7)</f>
        <v>0.0299865978191811</v>
      </c>
      <c r="R583" s="61" t="n">
        <f aca="false">PERCENTRANK($H$2:$H$1780,H583,6)</f>
        <v>0</v>
      </c>
      <c r="S583" s="61" t="n">
        <f aca="false">PERCENTRANK($Q$2:$Q$1780,Q583,6)</f>
        <v>0.486502</v>
      </c>
      <c r="T583" s="61" t="n">
        <f aca="false">PERCENTRANK($F$2:$F$1780,F583,6)</f>
        <v>0</v>
      </c>
      <c r="U583" s="62" t="n">
        <f aca="false">IF(F583&gt;0,(Settings!$B$8*T583+Settings!$B$9*R583+Settings!$B$10*S583)/SUM(Settings!$B$8:$B$10),0)</f>
        <v>0</v>
      </c>
      <c r="V583" s="56" t="str">
        <f aca="false">IF(U583&gt;0,RANK(U583,$U$2:$U$1780)+COUNTIF($U$2:U583,U583)-1,"")</f>
        <v/>
      </c>
      <c r="W583" s="56" t="str">
        <f aca="false">IF(V583="","",IF(V583&lt;=Settings!$B$11,"1 - Fix first",IF(V583&lt;=Settings!$B$12,"2 - Review","3 - Monitor")))</f>
        <v/>
      </c>
      <c r="X583" s="56" t="str">
        <f aca="false">IF(AND(E583&gt;=Settings!$B$4,F583&gt;=Settings!$B$5,O583&gt;=Settings!$B$6),"HIGH RATE","")</f>
        <v/>
      </c>
      <c r="Y583" s="56" t="str">
        <f aca="false">IF(F583&gt;0,RANK(F583,$F$2:$F$1780)+COUNTIF($F$2:F583,F583)-1,"")</f>
        <v/>
      </c>
      <c r="Z583" s="56" t="str">
        <f aca="false">IF(H583&gt;0,RANK(H583,$H$2:$H$1780)+COUNTIF($H$2:H583,H583)-1,"")</f>
        <v/>
      </c>
      <c r="AA583" s="56" t="str">
        <f aca="false">IF(AC583="","",RANK(AC583,$AC$2:$AC$1780)+COUNTIF($AC$2:AC583,AC583)-1)</f>
        <v/>
      </c>
      <c r="AB583" s="56" t="str">
        <f aca="false">IF(AD583="","",RANK(AD583,$AD$2:$AD$1780)+COUNTIF($AD$2:AD583,AD583)-1)</f>
        <v/>
      </c>
      <c r="AC583" s="56" t="str">
        <f aca="false">IF(AND(F583&gt;0,E583&gt;=Settings!$B$4),J583,"")</f>
        <v/>
      </c>
      <c r="AD583" s="56" t="str">
        <f aca="false">IF(X583="HIGH RATE",O583,"")</f>
        <v/>
      </c>
    </row>
    <row r="584" customFormat="false" ht="15" hidden="false" customHeight="false" outlineLevel="0" collapsed="false">
      <c r="A584" s="56" t="s">
        <v>1700</v>
      </c>
      <c r="B584" s="56" t="s">
        <v>1699</v>
      </c>
      <c r="C584" s="56" t="s">
        <v>129</v>
      </c>
      <c r="D584" s="56" t="str">
        <f aca="false">IFERROR(INDEX('Brand Map'!$B$4:$B$124,MATCH(C584,'Brand Map'!$A$4:$A$124,0)),"Other")</f>
        <v>AL</v>
      </c>
      <c r="E584" s="57" t="n">
        <v>1</v>
      </c>
      <c r="F584" s="57" t="n">
        <v>0</v>
      </c>
      <c r="G584" s="58" t="n">
        <v>214.95</v>
      </c>
      <c r="H584" s="58" t="n">
        <v>0</v>
      </c>
      <c r="I584" s="58" t="n">
        <v>214.95</v>
      </c>
      <c r="J584" s="32" t="n">
        <f aca="false">IF(E584&gt;0,F584/E584,0)</f>
        <v>0</v>
      </c>
      <c r="K584" s="32" t="n">
        <f aca="false">IF(G584&gt;0,H584/G584,0)</f>
        <v>-0</v>
      </c>
      <c r="L584" s="59" t="n">
        <f aca="false">H584/Settings!$B$16</f>
        <v>-0</v>
      </c>
      <c r="M584" s="59" t="n">
        <f aca="false">H584/Settings!$B$20</f>
        <v>-0</v>
      </c>
      <c r="N584" s="60" t="n">
        <f aca="false">E584*Settings!$B$3</f>
        <v>0.0309861510798204</v>
      </c>
      <c r="O584" s="60" t="n">
        <f aca="false">IF(E584&gt;0,(F584-N584)/SQRT(E584*Settings!$B$3*(1-Settings!$B$3)),0)</f>
        <v>-0.178821125934444</v>
      </c>
      <c r="P584" s="60" t="n">
        <f aca="false">MAX(0,F584-N584)</f>
        <v>0</v>
      </c>
      <c r="Q584" s="32" t="n">
        <f aca="false">(F584+Settings!$B$7*Settings!$B$3)/(E584+Settings!$B$7)</f>
        <v>0.0299865978191811</v>
      </c>
      <c r="R584" s="61" t="n">
        <f aca="false">PERCENTRANK($H$2:$H$1780,H584,6)</f>
        <v>0</v>
      </c>
      <c r="S584" s="61" t="n">
        <f aca="false">PERCENTRANK($Q$2:$Q$1780,Q584,6)</f>
        <v>0.486502</v>
      </c>
      <c r="T584" s="61" t="n">
        <f aca="false">PERCENTRANK($F$2:$F$1780,F584,6)</f>
        <v>0</v>
      </c>
      <c r="U584" s="62" t="n">
        <f aca="false">IF(F584&gt;0,(Settings!$B$8*T584+Settings!$B$9*R584+Settings!$B$10*S584)/SUM(Settings!$B$8:$B$10),0)</f>
        <v>0</v>
      </c>
      <c r="V584" s="56" t="str">
        <f aca="false">IF(U584&gt;0,RANK(U584,$U$2:$U$1780)+COUNTIF($U$2:U584,U584)-1,"")</f>
        <v/>
      </c>
      <c r="W584" s="56" t="str">
        <f aca="false">IF(V584="","",IF(V584&lt;=Settings!$B$11,"1 - Fix first",IF(V584&lt;=Settings!$B$12,"2 - Review","3 - Monitor")))</f>
        <v/>
      </c>
      <c r="X584" s="56" t="str">
        <f aca="false">IF(AND(E584&gt;=Settings!$B$4,F584&gt;=Settings!$B$5,O584&gt;=Settings!$B$6),"HIGH RATE","")</f>
        <v/>
      </c>
      <c r="Y584" s="56" t="str">
        <f aca="false">IF(F584&gt;0,RANK(F584,$F$2:$F$1780)+COUNTIF($F$2:F584,F584)-1,"")</f>
        <v/>
      </c>
      <c r="Z584" s="56" t="str">
        <f aca="false">IF(H584&gt;0,RANK(H584,$H$2:$H$1780)+COUNTIF($H$2:H584,H584)-1,"")</f>
        <v/>
      </c>
      <c r="AA584" s="56" t="str">
        <f aca="false">IF(AC584="","",RANK(AC584,$AC$2:$AC$1780)+COUNTIF($AC$2:AC584,AC584)-1)</f>
        <v/>
      </c>
      <c r="AB584" s="56" t="str">
        <f aca="false">IF(AD584="","",RANK(AD584,$AD$2:$AD$1780)+COUNTIF($AD$2:AD584,AD584)-1)</f>
        <v/>
      </c>
      <c r="AC584" s="56" t="str">
        <f aca="false">IF(AND(F584&gt;0,E584&gt;=Settings!$B$4),J584,"")</f>
        <v/>
      </c>
      <c r="AD584" s="56" t="str">
        <f aca="false">IF(X584="HIGH RATE",O584,"")</f>
        <v/>
      </c>
    </row>
    <row r="585" customFormat="false" ht="15" hidden="false" customHeight="false" outlineLevel="0" collapsed="false">
      <c r="A585" s="56" t="s">
        <v>1701</v>
      </c>
      <c r="B585" s="56" t="s">
        <v>1702</v>
      </c>
      <c r="C585" s="56" t="s">
        <v>129</v>
      </c>
      <c r="D585" s="56" t="str">
        <f aca="false">IFERROR(INDEX('Brand Map'!$B$4:$B$124,MATCH(C585,'Brand Map'!$A$4:$A$124,0)),"Other")</f>
        <v>AL</v>
      </c>
      <c r="E585" s="57" t="n">
        <v>1</v>
      </c>
      <c r="F585" s="57" t="n">
        <v>0</v>
      </c>
      <c r="G585" s="58" t="n">
        <v>154.95</v>
      </c>
      <c r="H585" s="58" t="n">
        <v>0</v>
      </c>
      <c r="I585" s="58" t="n">
        <v>154.95</v>
      </c>
      <c r="J585" s="32" t="n">
        <f aca="false">IF(E585&gt;0,F585/E585,0)</f>
        <v>0</v>
      </c>
      <c r="K585" s="32" t="n">
        <f aca="false">IF(G585&gt;0,H585/G585,0)</f>
        <v>-0</v>
      </c>
      <c r="L585" s="59" t="n">
        <f aca="false">H585/Settings!$B$16</f>
        <v>-0</v>
      </c>
      <c r="M585" s="59" t="n">
        <f aca="false">H585/Settings!$B$20</f>
        <v>-0</v>
      </c>
      <c r="N585" s="60" t="n">
        <f aca="false">E585*Settings!$B$3</f>
        <v>0.0309861510798204</v>
      </c>
      <c r="O585" s="60" t="n">
        <f aca="false">IF(E585&gt;0,(F585-N585)/SQRT(E585*Settings!$B$3*(1-Settings!$B$3)),0)</f>
        <v>-0.178821125934444</v>
      </c>
      <c r="P585" s="60" t="n">
        <f aca="false">MAX(0,F585-N585)</f>
        <v>0</v>
      </c>
      <c r="Q585" s="32" t="n">
        <f aca="false">(F585+Settings!$B$7*Settings!$B$3)/(E585+Settings!$B$7)</f>
        <v>0.0299865978191811</v>
      </c>
      <c r="R585" s="61" t="n">
        <f aca="false">PERCENTRANK($H$2:$H$1780,H585,6)</f>
        <v>0</v>
      </c>
      <c r="S585" s="61" t="n">
        <f aca="false">PERCENTRANK($Q$2:$Q$1780,Q585,6)</f>
        <v>0.486502</v>
      </c>
      <c r="T585" s="61" t="n">
        <f aca="false">PERCENTRANK($F$2:$F$1780,F585,6)</f>
        <v>0</v>
      </c>
      <c r="U585" s="62" t="n">
        <f aca="false">IF(F585&gt;0,(Settings!$B$8*T585+Settings!$B$9*R585+Settings!$B$10*S585)/SUM(Settings!$B$8:$B$10),0)</f>
        <v>0</v>
      </c>
      <c r="V585" s="56" t="str">
        <f aca="false">IF(U585&gt;0,RANK(U585,$U$2:$U$1780)+COUNTIF($U$2:U585,U585)-1,"")</f>
        <v/>
      </c>
      <c r="W585" s="56" t="str">
        <f aca="false">IF(V585="","",IF(V585&lt;=Settings!$B$11,"1 - Fix first",IF(V585&lt;=Settings!$B$12,"2 - Review","3 - Monitor")))</f>
        <v/>
      </c>
      <c r="X585" s="56" t="str">
        <f aca="false">IF(AND(E585&gt;=Settings!$B$4,F585&gt;=Settings!$B$5,O585&gt;=Settings!$B$6),"HIGH RATE","")</f>
        <v/>
      </c>
      <c r="Y585" s="56" t="str">
        <f aca="false">IF(F585&gt;0,RANK(F585,$F$2:$F$1780)+COUNTIF($F$2:F585,F585)-1,"")</f>
        <v/>
      </c>
      <c r="Z585" s="56" t="str">
        <f aca="false">IF(H585&gt;0,RANK(H585,$H$2:$H$1780)+COUNTIF($H$2:H585,H585)-1,"")</f>
        <v/>
      </c>
      <c r="AA585" s="56" t="str">
        <f aca="false">IF(AC585="","",RANK(AC585,$AC$2:$AC$1780)+COUNTIF($AC$2:AC585,AC585)-1)</f>
        <v/>
      </c>
      <c r="AB585" s="56" t="str">
        <f aca="false">IF(AD585="","",RANK(AD585,$AD$2:$AD$1780)+COUNTIF($AD$2:AD585,AD585)-1)</f>
        <v/>
      </c>
      <c r="AC585" s="56" t="str">
        <f aca="false">IF(AND(F585&gt;0,E585&gt;=Settings!$B$4),J585,"")</f>
        <v/>
      </c>
      <c r="AD585" s="56" t="str">
        <f aca="false">IF(X585="HIGH RATE",O585,"")</f>
        <v/>
      </c>
    </row>
    <row r="586" customFormat="false" ht="15" hidden="false" customHeight="false" outlineLevel="0" collapsed="false">
      <c r="A586" s="56" t="s">
        <v>1703</v>
      </c>
      <c r="B586" s="56" t="s">
        <v>1702</v>
      </c>
      <c r="C586" s="56" t="s">
        <v>129</v>
      </c>
      <c r="D586" s="56" t="str">
        <f aca="false">IFERROR(INDEX('Brand Map'!$B$4:$B$124,MATCH(C586,'Brand Map'!$A$4:$A$124,0)),"Other")</f>
        <v>AL</v>
      </c>
      <c r="E586" s="57" t="n">
        <v>4</v>
      </c>
      <c r="F586" s="57" t="n">
        <v>0</v>
      </c>
      <c r="G586" s="58" t="n">
        <v>559.8</v>
      </c>
      <c r="H586" s="58" t="n">
        <v>0</v>
      </c>
      <c r="I586" s="58" t="n">
        <v>559.8</v>
      </c>
      <c r="J586" s="32" t="n">
        <f aca="false">IF(E586&gt;0,F586/E586,0)</f>
        <v>0</v>
      </c>
      <c r="K586" s="32" t="n">
        <f aca="false">IF(G586&gt;0,H586/G586,0)</f>
        <v>-0</v>
      </c>
      <c r="L586" s="59" t="n">
        <f aca="false">H586/Settings!$B$16</f>
        <v>-0</v>
      </c>
      <c r="M586" s="59" t="n">
        <f aca="false">H586/Settings!$B$20</f>
        <v>-0</v>
      </c>
      <c r="N586" s="60" t="n">
        <f aca="false">E586*Settings!$B$3</f>
        <v>0.123944604319282</v>
      </c>
      <c r="O586" s="60" t="n">
        <f aca="false">IF(E586&gt;0,(F586-N586)/SQRT(E586*Settings!$B$3*(1-Settings!$B$3)),0)</f>
        <v>-0.357642251868888</v>
      </c>
      <c r="P586" s="60" t="n">
        <f aca="false">MAX(0,F586-N586)</f>
        <v>0</v>
      </c>
      <c r="Q586" s="32" t="n">
        <f aca="false">(F586+Settings!$B$7*Settings!$B$3)/(E586+Settings!$B$7)</f>
        <v>0.027340721541018</v>
      </c>
      <c r="R586" s="61" t="n">
        <f aca="false">PERCENTRANK($H$2:$H$1780,H586,6)</f>
        <v>0</v>
      </c>
      <c r="S586" s="61" t="n">
        <f aca="false">PERCENTRANK($Q$2:$Q$1780,Q586,6)</f>
        <v>0.253656</v>
      </c>
      <c r="T586" s="61" t="n">
        <f aca="false">PERCENTRANK($F$2:$F$1780,F586,6)</f>
        <v>0</v>
      </c>
      <c r="U586" s="62" t="n">
        <f aca="false">IF(F586&gt;0,(Settings!$B$8*T586+Settings!$B$9*R586+Settings!$B$10*S586)/SUM(Settings!$B$8:$B$10),0)</f>
        <v>0</v>
      </c>
      <c r="V586" s="56" t="str">
        <f aca="false">IF(U586&gt;0,RANK(U586,$U$2:$U$1780)+COUNTIF($U$2:U586,U586)-1,"")</f>
        <v/>
      </c>
      <c r="W586" s="56" t="str">
        <f aca="false">IF(V586="","",IF(V586&lt;=Settings!$B$11,"1 - Fix first",IF(V586&lt;=Settings!$B$12,"2 - Review","3 - Monitor")))</f>
        <v/>
      </c>
      <c r="X586" s="56" t="str">
        <f aca="false">IF(AND(E586&gt;=Settings!$B$4,F586&gt;=Settings!$B$5,O586&gt;=Settings!$B$6),"HIGH RATE","")</f>
        <v/>
      </c>
      <c r="Y586" s="56" t="str">
        <f aca="false">IF(F586&gt;0,RANK(F586,$F$2:$F$1780)+COUNTIF($F$2:F586,F586)-1,"")</f>
        <v/>
      </c>
      <c r="Z586" s="56" t="str">
        <f aca="false">IF(H586&gt;0,RANK(H586,$H$2:$H$1780)+COUNTIF($H$2:H586,H586)-1,"")</f>
        <v/>
      </c>
      <c r="AA586" s="56" t="str">
        <f aca="false">IF(AC586="","",RANK(AC586,$AC$2:$AC$1780)+COUNTIF($AC$2:AC586,AC586)-1)</f>
        <v/>
      </c>
      <c r="AB586" s="56" t="str">
        <f aca="false">IF(AD586="","",RANK(AD586,$AD$2:$AD$1780)+COUNTIF($AD$2:AD586,AD586)-1)</f>
        <v/>
      </c>
      <c r="AC586" s="56" t="str">
        <f aca="false">IF(AND(F586&gt;0,E586&gt;=Settings!$B$4),J586,"")</f>
        <v/>
      </c>
      <c r="AD586" s="56" t="str">
        <f aca="false">IF(X586="HIGH RATE",O586,"")</f>
        <v/>
      </c>
    </row>
    <row r="587" customFormat="false" ht="15" hidden="false" customHeight="false" outlineLevel="0" collapsed="false">
      <c r="A587" s="56" t="s">
        <v>1704</v>
      </c>
      <c r="B587" s="56" t="s">
        <v>1705</v>
      </c>
      <c r="C587" s="56" t="s">
        <v>51</v>
      </c>
      <c r="D587" s="56" t="str">
        <f aca="false">IFERROR(INDEX('Brand Map'!$B$4:$B$124,MATCH(C587,'Brand Map'!$A$4:$A$124,0)),"Other")</f>
        <v>AU</v>
      </c>
      <c r="E587" s="57" t="n">
        <v>7</v>
      </c>
      <c r="F587" s="57" t="n">
        <v>0</v>
      </c>
      <c r="G587" s="58" t="n">
        <v>63.56</v>
      </c>
      <c r="H587" s="58" t="n">
        <v>0</v>
      </c>
      <c r="I587" s="58" t="n">
        <v>63.56</v>
      </c>
      <c r="J587" s="32" t="n">
        <f aca="false">IF(E587&gt;0,F587/E587,0)</f>
        <v>0</v>
      </c>
      <c r="K587" s="32" t="n">
        <f aca="false">IF(G587&gt;0,H587/G587,0)</f>
        <v>-0</v>
      </c>
      <c r="L587" s="59" t="n">
        <f aca="false">H587/Settings!$B$16</f>
        <v>-0</v>
      </c>
      <c r="M587" s="59" t="n">
        <f aca="false">H587/Settings!$B$20</f>
        <v>-0</v>
      </c>
      <c r="N587" s="60" t="n">
        <f aca="false">E587*Settings!$B$3</f>
        <v>0.216903057558743</v>
      </c>
      <c r="O587" s="60" t="n">
        <f aca="false">IF(E587&gt;0,(F587-N587)/SQRT(E587*Settings!$B$3*(1-Settings!$B$3)),0)</f>
        <v>-0.473116228387102</v>
      </c>
      <c r="P587" s="60" t="n">
        <f aca="false">MAX(0,F587-N587)</f>
        <v>0</v>
      </c>
      <c r="Q587" s="32" t="n">
        <f aca="false">(F587+Settings!$B$7*Settings!$B$3)/(E587+Settings!$B$7)</f>
        <v>0.0251239062809355</v>
      </c>
      <c r="R587" s="61" t="n">
        <f aca="false">PERCENTRANK($H$2:$H$1780,H587,6)</f>
        <v>0</v>
      </c>
      <c r="S587" s="61" t="n">
        <f aca="false">PERCENTRANK($Q$2:$Q$1780,Q587,6)</f>
        <v>0.168166</v>
      </c>
      <c r="T587" s="61" t="n">
        <f aca="false">PERCENTRANK($F$2:$F$1780,F587,6)</f>
        <v>0</v>
      </c>
      <c r="U587" s="62" t="n">
        <f aca="false">IF(F587&gt;0,(Settings!$B$8*T587+Settings!$B$9*R587+Settings!$B$10*S587)/SUM(Settings!$B$8:$B$10),0)</f>
        <v>0</v>
      </c>
      <c r="V587" s="56" t="str">
        <f aca="false">IF(U587&gt;0,RANK(U587,$U$2:$U$1780)+COUNTIF($U$2:U587,U587)-1,"")</f>
        <v/>
      </c>
      <c r="W587" s="56" t="str">
        <f aca="false">IF(V587="","",IF(V587&lt;=Settings!$B$11,"1 - Fix first",IF(V587&lt;=Settings!$B$12,"2 - Review","3 - Monitor")))</f>
        <v/>
      </c>
      <c r="X587" s="56" t="str">
        <f aca="false">IF(AND(E587&gt;=Settings!$B$4,F587&gt;=Settings!$B$5,O587&gt;=Settings!$B$6),"HIGH RATE","")</f>
        <v/>
      </c>
      <c r="Y587" s="56" t="str">
        <f aca="false">IF(F587&gt;0,RANK(F587,$F$2:$F$1780)+COUNTIF($F$2:F587,F587)-1,"")</f>
        <v/>
      </c>
      <c r="Z587" s="56" t="str">
        <f aca="false">IF(H587&gt;0,RANK(H587,$H$2:$H$1780)+COUNTIF($H$2:H587,H587)-1,"")</f>
        <v/>
      </c>
      <c r="AA587" s="56" t="str">
        <f aca="false">IF(AC587="","",RANK(AC587,$AC$2:$AC$1780)+COUNTIF($AC$2:AC587,AC587)-1)</f>
        <v/>
      </c>
      <c r="AB587" s="56" t="str">
        <f aca="false">IF(AD587="","",RANK(AD587,$AD$2:$AD$1780)+COUNTIF($AD$2:AD587,AD587)-1)</f>
        <v/>
      </c>
      <c r="AC587" s="56" t="str">
        <f aca="false">IF(AND(F587&gt;0,E587&gt;=Settings!$B$4),J587,"")</f>
        <v/>
      </c>
      <c r="AD587" s="56" t="str">
        <f aca="false">IF(X587="HIGH RATE",O587,"")</f>
        <v/>
      </c>
    </row>
    <row r="588" customFormat="false" ht="15" hidden="false" customHeight="false" outlineLevel="0" collapsed="false">
      <c r="A588" s="56" t="s">
        <v>1706</v>
      </c>
      <c r="B588" s="56" t="s">
        <v>1121</v>
      </c>
      <c r="C588" s="56" t="s">
        <v>51</v>
      </c>
      <c r="D588" s="56" t="str">
        <f aca="false">IFERROR(INDEX('Brand Map'!$B$4:$B$124,MATCH(C588,'Brand Map'!$A$4:$A$124,0)),"Other")</f>
        <v>AU</v>
      </c>
      <c r="E588" s="57" t="n">
        <v>1</v>
      </c>
      <c r="F588" s="57" t="n">
        <v>0</v>
      </c>
      <c r="G588" s="58" t="n">
        <v>8.14</v>
      </c>
      <c r="H588" s="58" t="n">
        <v>0</v>
      </c>
      <c r="I588" s="58" t="n">
        <v>8.14</v>
      </c>
      <c r="J588" s="32" t="n">
        <f aca="false">IF(E588&gt;0,F588/E588,0)</f>
        <v>0</v>
      </c>
      <c r="K588" s="32" t="n">
        <f aca="false">IF(G588&gt;0,H588/G588,0)</f>
        <v>-0</v>
      </c>
      <c r="L588" s="59" t="n">
        <f aca="false">H588/Settings!$B$16</f>
        <v>-0</v>
      </c>
      <c r="M588" s="59" t="n">
        <f aca="false">H588/Settings!$B$20</f>
        <v>-0</v>
      </c>
      <c r="N588" s="60" t="n">
        <f aca="false">E588*Settings!$B$3</f>
        <v>0.0309861510798204</v>
      </c>
      <c r="O588" s="60" t="n">
        <f aca="false">IF(E588&gt;0,(F588-N588)/SQRT(E588*Settings!$B$3*(1-Settings!$B$3)),0)</f>
        <v>-0.178821125934444</v>
      </c>
      <c r="P588" s="60" t="n">
        <f aca="false">MAX(0,F588-N588)</f>
        <v>0</v>
      </c>
      <c r="Q588" s="32" t="n">
        <f aca="false">(F588+Settings!$B$7*Settings!$B$3)/(E588+Settings!$B$7)</f>
        <v>0.0299865978191811</v>
      </c>
      <c r="R588" s="61" t="n">
        <f aca="false">PERCENTRANK($H$2:$H$1780,H588,6)</f>
        <v>0</v>
      </c>
      <c r="S588" s="61" t="n">
        <f aca="false">PERCENTRANK($Q$2:$Q$1780,Q588,6)</f>
        <v>0.486502</v>
      </c>
      <c r="T588" s="61" t="n">
        <f aca="false">PERCENTRANK($F$2:$F$1780,F588,6)</f>
        <v>0</v>
      </c>
      <c r="U588" s="62" t="n">
        <f aca="false">IF(F588&gt;0,(Settings!$B$8*T588+Settings!$B$9*R588+Settings!$B$10*S588)/SUM(Settings!$B$8:$B$10),0)</f>
        <v>0</v>
      </c>
      <c r="V588" s="56" t="str">
        <f aca="false">IF(U588&gt;0,RANK(U588,$U$2:$U$1780)+COUNTIF($U$2:U588,U588)-1,"")</f>
        <v/>
      </c>
      <c r="W588" s="56" t="str">
        <f aca="false">IF(V588="","",IF(V588&lt;=Settings!$B$11,"1 - Fix first",IF(V588&lt;=Settings!$B$12,"2 - Review","3 - Monitor")))</f>
        <v/>
      </c>
      <c r="X588" s="56" t="str">
        <f aca="false">IF(AND(E588&gt;=Settings!$B$4,F588&gt;=Settings!$B$5,O588&gt;=Settings!$B$6),"HIGH RATE","")</f>
        <v/>
      </c>
      <c r="Y588" s="56" t="str">
        <f aca="false">IF(F588&gt;0,RANK(F588,$F$2:$F$1780)+COUNTIF($F$2:F588,F588)-1,"")</f>
        <v/>
      </c>
      <c r="Z588" s="56" t="str">
        <f aca="false">IF(H588&gt;0,RANK(H588,$H$2:$H$1780)+COUNTIF($H$2:H588,H588)-1,"")</f>
        <v/>
      </c>
      <c r="AA588" s="56" t="str">
        <f aca="false">IF(AC588="","",RANK(AC588,$AC$2:$AC$1780)+COUNTIF($AC$2:AC588,AC588)-1)</f>
        <v/>
      </c>
      <c r="AB588" s="56" t="str">
        <f aca="false">IF(AD588="","",RANK(AD588,$AD$2:$AD$1780)+COUNTIF($AD$2:AD588,AD588)-1)</f>
        <v/>
      </c>
      <c r="AC588" s="56" t="str">
        <f aca="false">IF(AND(F588&gt;0,E588&gt;=Settings!$B$4),J588,"")</f>
        <v/>
      </c>
      <c r="AD588" s="56" t="str">
        <f aca="false">IF(X588="HIGH RATE",O588,"")</f>
        <v/>
      </c>
    </row>
    <row r="589" customFormat="false" ht="15" hidden="false" customHeight="false" outlineLevel="0" collapsed="false">
      <c r="A589" s="56" t="s">
        <v>1707</v>
      </c>
      <c r="B589" s="56" t="s">
        <v>945</v>
      </c>
      <c r="C589" s="56" t="s">
        <v>51</v>
      </c>
      <c r="D589" s="56" t="str">
        <f aca="false">IFERROR(INDEX('Brand Map'!$B$4:$B$124,MATCH(C589,'Brand Map'!$A$4:$A$124,0)),"Other")</f>
        <v>AU</v>
      </c>
      <c r="E589" s="57" t="n">
        <v>1</v>
      </c>
      <c r="F589" s="57" t="n">
        <v>0</v>
      </c>
      <c r="G589" s="58" t="n">
        <v>8.95</v>
      </c>
      <c r="H589" s="58" t="n">
        <v>0</v>
      </c>
      <c r="I589" s="58" t="n">
        <v>8.95</v>
      </c>
      <c r="J589" s="32" t="n">
        <f aca="false">IF(E589&gt;0,F589/E589,0)</f>
        <v>0</v>
      </c>
      <c r="K589" s="32" t="n">
        <f aca="false">IF(G589&gt;0,H589/G589,0)</f>
        <v>-0</v>
      </c>
      <c r="L589" s="59" t="n">
        <f aca="false">H589/Settings!$B$16</f>
        <v>-0</v>
      </c>
      <c r="M589" s="59" t="n">
        <f aca="false">H589/Settings!$B$20</f>
        <v>-0</v>
      </c>
      <c r="N589" s="60" t="n">
        <f aca="false">E589*Settings!$B$3</f>
        <v>0.0309861510798204</v>
      </c>
      <c r="O589" s="60" t="n">
        <f aca="false">IF(E589&gt;0,(F589-N589)/SQRT(E589*Settings!$B$3*(1-Settings!$B$3)),0)</f>
        <v>-0.178821125934444</v>
      </c>
      <c r="P589" s="60" t="n">
        <f aca="false">MAX(0,F589-N589)</f>
        <v>0</v>
      </c>
      <c r="Q589" s="32" t="n">
        <f aca="false">(F589+Settings!$B$7*Settings!$B$3)/(E589+Settings!$B$7)</f>
        <v>0.0299865978191811</v>
      </c>
      <c r="R589" s="61" t="n">
        <f aca="false">PERCENTRANK($H$2:$H$1780,H589,6)</f>
        <v>0</v>
      </c>
      <c r="S589" s="61" t="n">
        <f aca="false">PERCENTRANK($Q$2:$Q$1780,Q589,6)</f>
        <v>0.486502</v>
      </c>
      <c r="T589" s="61" t="n">
        <f aca="false">PERCENTRANK($F$2:$F$1780,F589,6)</f>
        <v>0</v>
      </c>
      <c r="U589" s="62" t="n">
        <f aca="false">IF(F589&gt;0,(Settings!$B$8*T589+Settings!$B$9*R589+Settings!$B$10*S589)/SUM(Settings!$B$8:$B$10),0)</f>
        <v>0</v>
      </c>
      <c r="V589" s="56" t="str">
        <f aca="false">IF(U589&gt;0,RANK(U589,$U$2:$U$1780)+COUNTIF($U$2:U589,U589)-1,"")</f>
        <v/>
      </c>
      <c r="W589" s="56" t="str">
        <f aca="false">IF(V589="","",IF(V589&lt;=Settings!$B$11,"1 - Fix first",IF(V589&lt;=Settings!$B$12,"2 - Review","3 - Monitor")))</f>
        <v/>
      </c>
      <c r="X589" s="56" t="str">
        <f aca="false">IF(AND(E589&gt;=Settings!$B$4,F589&gt;=Settings!$B$5,O589&gt;=Settings!$B$6),"HIGH RATE","")</f>
        <v/>
      </c>
      <c r="Y589" s="56" t="str">
        <f aca="false">IF(F589&gt;0,RANK(F589,$F$2:$F$1780)+COUNTIF($F$2:F589,F589)-1,"")</f>
        <v/>
      </c>
      <c r="Z589" s="56" t="str">
        <f aca="false">IF(H589&gt;0,RANK(H589,$H$2:$H$1780)+COUNTIF($H$2:H589,H589)-1,"")</f>
        <v/>
      </c>
      <c r="AA589" s="56" t="str">
        <f aca="false">IF(AC589="","",RANK(AC589,$AC$2:$AC$1780)+COUNTIF($AC$2:AC589,AC589)-1)</f>
        <v/>
      </c>
      <c r="AB589" s="56" t="str">
        <f aca="false">IF(AD589="","",RANK(AD589,$AD$2:$AD$1780)+COUNTIF($AD$2:AD589,AD589)-1)</f>
        <v/>
      </c>
      <c r="AC589" s="56" t="str">
        <f aca="false">IF(AND(F589&gt;0,E589&gt;=Settings!$B$4),J589,"")</f>
        <v/>
      </c>
      <c r="AD589" s="56" t="str">
        <f aca="false">IF(X589="HIGH RATE",O589,"")</f>
        <v/>
      </c>
    </row>
    <row r="590" customFormat="false" ht="15" hidden="false" customHeight="false" outlineLevel="0" collapsed="false">
      <c r="A590" s="56" t="s">
        <v>1708</v>
      </c>
      <c r="B590" s="56" t="s">
        <v>1709</v>
      </c>
      <c r="C590" s="56" t="s">
        <v>51</v>
      </c>
      <c r="D590" s="56" t="str">
        <f aca="false">IFERROR(INDEX('Brand Map'!$B$4:$B$124,MATCH(C590,'Brand Map'!$A$4:$A$124,0)),"Other")</f>
        <v>AU</v>
      </c>
      <c r="E590" s="57" t="n">
        <v>3</v>
      </c>
      <c r="F590" s="57" t="n">
        <v>0</v>
      </c>
      <c r="G590" s="58" t="n">
        <v>43.49</v>
      </c>
      <c r="H590" s="58" t="n">
        <v>0</v>
      </c>
      <c r="I590" s="58" t="n">
        <v>42.13</v>
      </c>
      <c r="J590" s="32" t="n">
        <f aca="false">IF(E590&gt;0,F590/E590,0)</f>
        <v>0</v>
      </c>
      <c r="K590" s="32" t="n">
        <f aca="false">IF(G590&gt;0,H590/G590,0)</f>
        <v>-0</v>
      </c>
      <c r="L590" s="59" t="n">
        <f aca="false">H590/Settings!$B$16</f>
        <v>-0</v>
      </c>
      <c r="M590" s="59" t="n">
        <f aca="false">H590/Settings!$B$20</f>
        <v>-0</v>
      </c>
      <c r="N590" s="60" t="n">
        <f aca="false">E590*Settings!$B$3</f>
        <v>0.0929584532394613</v>
      </c>
      <c r="O590" s="60" t="n">
        <f aca="false">IF(E590&gt;0,(F590-N590)/SQRT(E590*Settings!$B$3*(1-Settings!$B$3)),0)</f>
        <v>-0.30972727558513</v>
      </c>
      <c r="P590" s="60" t="n">
        <f aca="false">MAX(0,F590-N590)</f>
        <v>0</v>
      </c>
      <c r="Q590" s="32" t="n">
        <f aca="false">(F590+Settings!$B$7*Settings!$B$3)/(E590+Settings!$B$7)</f>
        <v>0.0281692282543822</v>
      </c>
      <c r="R590" s="61" t="n">
        <f aca="false">PERCENTRANK($H$2:$H$1780,H590,6)</f>
        <v>0</v>
      </c>
      <c r="S590" s="61" t="n">
        <f aca="false">PERCENTRANK($Q$2:$Q$1780,Q590,6)</f>
        <v>0.294151</v>
      </c>
      <c r="T590" s="61" t="n">
        <f aca="false">PERCENTRANK($F$2:$F$1780,F590,6)</f>
        <v>0</v>
      </c>
      <c r="U590" s="62" t="n">
        <f aca="false">IF(F590&gt;0,(Settings!$B$8*T590+Settings!$B$9*R590+Settings!$B$10*S590)/SUM(Settings!$B$8:$B$10),0)</f>
        <v>0</v>
      </c>
      <c r="V590" s="56" t="str">
        <f aca="false">IF(U590&gt;0,RANK(U590,$U$2:$U$1780)+COUNTIF($U$2:U590,U590)-1,"")</f>
        <v/>
      </c>
      <c r="W590" s="56" t="str">
        <f aca="false">IF(V590="","",IF(V590&lt;=Settings!$B$11,"1 - Fix first",IF(V590&lt;=Settings!$B$12,"2 - Review","3 - Monitor")))</f>
        <v/>
      </c>
      <c r="X590" s="56" t="str">
        <f aca="false">IF(AND(E590&gt;=Settings!$B$4,F590&gt;=Settings!$B$5,O590&gt;=Settings!$B$6),"HIGH RATE","")</f>
        <v/>
      </c>
      <c r="Y590" s="56" t="str">
        <f aca="false">IF(F590&gt;0,RANK(F590,$F$2:$F$1780)+COUNTIF($F$2:F590,F590)-1,"")</f>
        <v/>
      </c>
      <c r="Z590" s="56" t="str">
        <f aca="false">IF(H590&gt;0,RANK(H590,$H$2:$H$1780)+COUNTIF($H$2:H590,H590)-1,"")</f>
        <v/>
      </c>
      <c r="AA590" s="56" t="str">
        <f aca="false">IF(AC590="","",RANK(AC590,$AC$2:$AC$1780)+COUNTIF($AC$2:AC590,AC590)-1)</f>
        <v/>
      </c>
      <c r="AB590" s="56" t="str">
        <f aca="false">IF(AD590="","",RANK(AD590,$AD$2:$AD$1780)+COUNTIF($AD$2:AD590,AD590)-1)</f>
        <v/>
      </c>
      <c r="AC590" s="56" t="str">
        <f aca="false">IF(AND(F590&gt;0,E590&gt;=Settings!$B$4),J590,"")</f>
        <v/>
      </c>
      <c r="AD590" s="56" t="str">
        <f aca="false">IF(X590="HIGH RATE",O590,"")</f>
        <v/>
      </c>
    </row>
    <row r="591" customFormat="false" ht="15" hidden="false" customHeight="false" outlineLevel="0" collapsed="false">
      <c r="A591" s="56" t="s">
        <v>1710</v>
      </c>
      <c r="B591" s="56" t="s">
        <v>1711</v>
      </c>
      <c r="C591" s="56" t="s">
        <v>51</v>
      </c>
      <c r="D591" s="56" t="str">
        <f aca="false">IFERROR(INDEX('Brand Map'!$B$4:$B$124,MATCH(C591,'Brand Map'!$A$4:$A$124,0)),"Other")</f>
        <v>AU</v>
      </c>
      <c r="E591" s="57" t="n">
        <v>3</v>
      </c>
      <c r="F591" s="57" t="n">
        <v>0</v>
      </c>
      <c r="G591" s="58" t="n">
        <v>36.22</v>
      </c>
      <c r="H591" s="58" t="n">
        <v>0</v>
      </c>
      <c r="I591" s="58" t="n">
        <v>35.01</v>
      </c>
      <c r="J591" s="32" t="n">
        <f aca="false">IF(E591&gt;0,F591/E591,0)</f>
        <v>0</v>
      </c>
      <c r="K591" s="32" t="n">
        <f aca="false">IF(G591&gt;0,H591/G591,0)</f>
        <v>-0</v>
      </c>
      <c r="L591" s="59" t="n">
        <f aca="false">H591/Settings!$B$16</f>
        <v>-0</v>
      </c>
      <c r="M591" s="59" t="n">
        <f aca="false">H591/Settings!$B$20</f>
        <v>-0</v>
      </c>
      <c r="N591" s="60" t="n">
        <f aca="false">E591*Settings!$B$3</f>
        <v>0.0929584532394613</v>
      </c>
      <c r="O591" s="60" t="n">
        <f aca="false">IF(E591&gt;0,(F591-N591)/SQRT(E591*Settings!$B$3*(1-Settings!$B$3)),0)</f>
        <v>-0.30972727558513</v>
      </c>
      <c r="P591" s="60" t="n">
        <f aca="false">MAX(0,F591-N591)</f>
        <v>0</v>
      </c>
      <c r="Q591" s="32" t="n">
        <f aca="false">(F591+Settings!$B$7*Settings!$B$3)/(E591+Settings!$B$7)</f>
        <v>0.0281692282543822</v>
      </c>
      <c r="R591" s="61" t="n">
        <f aca="false">PERCENTRANK($H$2:$H$1780,H591,6)</f>
        <v>0</v>
      </c>
      <c r="S591" s="61" t="n">
        <f aca="false">PERCENTRANK($Q$2:$Q$1780,Q591,6)</f>
        <v>0.294151</v>
      </c>
      <c r="T591" s="61" t="n">
        <f aca="false">PERCENTRANK($F$2:$F$1780,F591,6)</f>
        <v>0</v>
      </c>
      <c r="U591" s="62" t="n">
        <f aca="false">IF(F591&gt;0,(Settings!$B$8*T591+Settings!$B$9*R591+Settings!$B$10*S591)/SUM(Settings!$B$8:$B$10),0)</f>
        <v>0</v>
      </c>
      <c r="V591" s="56" t="str">
        <f aca="false">IF(U591&gt;0,RANK(U591,$U$2:$U$1780)+COUNTIF($U$2:U591,U591)-1,"")</f>
        <v/>
      </c>
      <c r="W591" s="56" t="str">
        <f aca="false">IF(V591="","",IF(V591&lt;=Settings!$B$11,"1 - Fix first",IF(V591&lt;=Settings!$B$12,"2 - Review","3 - Monitor")))</f>
        <v/>
      </c>
      <c r="X591" s="56" t="str">
        <f aca="false">IF(AND(E591&gt;=Settings!$B$4,F591&gt;=Settings!$B$5,O591&gt;=Settings!$B$6),"HIGH RATE","")</f>
        <v/>
      </c>
      <c r="Y591" s="56" t="str">
        <f aca="false">IF(F591&gt;0,RANK(F591,$F$2:$F$1780)+COUNTIF($F$2:F591,F591)-1,"")</f>
        <v/>
      </c>
      <c r="Z591" s="56" t="str">
        <f aca="false">IF(H591&gt;0,RANK(H591,$H$2:$H$1780)+COUNTIF($H$2:H591,H591)-1,"")</f>
        <v/>
      </c>
      <c r="AA591" s="56" t="str">
        <f aca="false">IF(AC591="","",RANK(AC591,$AC$2:$AC$1780)+COUNTIF($AC$2:AC591,AC591)-1)</f>
        <v/>
      </c>
      <c r="AB591" s="56" t="str">
        <f aca="false">IF(AD591="","",RANK(AD591,$AD$2:$AD$1780)+COUNTIF($AD$2:AD591,AD591)-1)</f>
        <v/>
      </c>
      <c r="AC591" s="56" t="str">
        <f aca="false">IF(AND(F591&gt;0,E591&gt;=Settings!$B$4),J591,"")</f>
        <v/>
      </c>
      <c r="AD591" s="56" t="str">
        <f aca="false">IF(X591="HIGH RATE",O591,"")</f>
        <v/>
      </c>
    </row>
    <row r="592" customFormat="false" ht="15" hidden="false" customHeight="false" outlineLevel="0" collapsed="false">
      <c r="A592" s="56" t="s">
        <v>1712</v>
      </c>
      <c r="B592" s="56" t="s">
        <v>1713</v>
      </c>
      <c r="C592" s="56" t="s">
        <v>51</v>
      </c>
      <c r="D592" s="56" t="str">
        <f aca="false">IFERROR(INDEX('Brand Map'!$B$4:$B$124,MATCH(C592,'Brand Map'!$A$4:$A$124,0)),"Other")</f>
        <v>AU</v>
      </c>
      <c r="E592" s="57" t="n">
        <v>2</v>
      </c>
      <c r="F592" s="57" t="n">
        <v>0</v>
      </c>
      <c r="G592" s="58" t="n">
        <v>109.9</v>
      </c>
      <c r="H592" s="58" t="n">
        <v>0</v>
      </c>
      <c r="I592" s="58" t="n">
        <v>109.9</v>
      </c>
      <c r="J592" s="32" t="n">
        <f aca="false">IF(E592&gt;0,F592/E592,0)</f>
        <v>0</v>
      </c>
      <c r="K592" s="32" t="n">
        <f aca="false">IF(G592&gt;0,H592/G592,0)</f>
        <v>-0</v>
      </c>
      <c r="L592" s="59" t="n">
        <f aca="false">H592/Settings!$B$16</f>
        <v>-0</v>
      </c>
      <c r="M592" s="59" t="n">
        <f aca="false">H592/Settings!$B$20</f>
        <v>-0</v>
      </c>
      <c r="N592" s="60" t="n">
        <f aca="false">E592*Settings!$B$3</f>
        <v>0.0619723021596408</v>
      </c>
      <c r="O592" s="60" t="n">
        <f aca="false">IF(E592&gt;0,(F592-N592)/SQRT(E592*Settings!$B$3*(1-Settings!$B$3)),0)</f>
        <v>-0.252891261535318</v>
      </c>
      <c r="P592" s="60" t="n">
        <f aca="false">MAX(0,F592-N592)</f>
        <v>0</v>
      </c>
      <c r="Q592" s="32" t="n">
        <f aca="false">(F592+Settings!$B$7*Settings!$B$3)/(E592+Settings!$B$7)</f>
        <v>0.0290495166373316</v>
      </c>
      <c r="R592" s="61" t="n">
        <f aca="false">PERCENTRANK($H$2:$H$1780,H592,6)</f>
        <v>0</v>
      </c>
      <c r="S592" s="61" t="n">
        <f aca="false">PERCENTRANK($Q$2:$Q$1780,Q592,6)</f>
        <v>0.365579</v>
      </c>
      <c r="T592" s="61" t="n">
        <f aca="false">PERCENTRANK($F$2:$F$1780,F592,6)</f>
        <v>0</v>
      </c>
      <c r="U592" s="62" t="n">
        <f aca="false">IF(F592&gt;0,(Settings!$B$8*T592+Settings!$B$9*R592+Settings!$B$10*S592)/SUM(Settings!$B$8:$B$10),0)</f>
        <v>0</v>
      </c>
      <c r="V592" s="56" t="str">
        <f aca="false">IF(U592&gt;0,RANK(U592,$U$2:$U$1780)+COUNTIF($U$2:U592,U592)-1,"")</f>
        <v/>
      </c>
      <c r="W592" s="56" t="str">
        <f aca="false">IF(V592="","",IF(V592&lt;=Settings!$B$11,"1 - Fix first",IF(V592&lt;=Settings!$B$12,"2 - Review","3 - Monitor")))</f>
        <v/>
      </c>
      <c r="X592" s="56" t="str">
        <f aca="false">IF(AND(E592&gt;=Settings!$B$4,F592&gt;=Settings!$B$5,O592&gt;=Settings!$B$6),"HIGH RATE","")</f>
        <v/>
      </c>
      <c r="Y592" s="56" t="str">
        <f aca="false">IF(F592&gt;0,RANK(F592,$F$2:$F$1780)+COUNTIF($F$2:F592,F592)-1,"")</f>
        <v/>
      </c>
      <c r="Z592" s="56" t="str">
        <f aca="false">IF(H592&gt;0,RANK(H592,$H$2:$H$1780)+COUNTIF($H$2:H592,H592)-1,"")</f>
        <v/>
      </c>
      <c r="AA592" s="56" t="str">
        <f aca="false">IF(AC592="","",RANK(AC592,$AC$2:$AC$1780)+COUNTIF($AC$2:AC592,AC592)-1)</f>
        <v/>
      </c>
      <c r="AB592" s="56" t="str">
        <f aca="false">IF(AD592="","",RANK(AD592,$AD$2:$AD$1780)+COUNTIF($AD$2:AD592,AD592)-1)</f>
        <v/>
      </c>
      <c r="AC592" s="56" t="str">
        <f aca="false">IF(AND(F592&gt;0,E592&gt;=Settings!$B$4),J592,"")</f>
        <v/>
      </c>
      <c r="AD592" s="56" t="str">
        <f aca="false">IF(X592="HIGH RATE",O592,"")</f>
        <v/>
      </c>
    </row>
    <row r="593" customFormat="false" ht="15" hidden="false" customHeight="false" outlineLevel="0" collapsed="false">
      <c r="A593" s="56" t="s">
        <v>1714</v>
      </c>
      <c r="B593" s="56" t="s">
        <v>1715</v>
      </c>
      <c r="C593" s="56" t="s">
        <v>51</v>
      </c>
      <c r="D593" s="56" t="str">
        <f aca="false">IFERROR(INDEX('Brand Map'!$B$4:$B$124,MATCH(C593,'Brand Map'!$A$4:$A$124,0)),"Other")</f>
        <v>AU</v>
      </c>
      <c r="E593" s="57" t="n">
        <v>2</v>
      </c>
      <c r="F593" s="57" t="n">
        <v>0</v>
      </c>
      <c r="G593" s="58" t="n">
        <v>104.9</v>
      </c>
      <c r="H593" s="58" t="n">
        <v>0</v>
      </c>
      <c r="I593" s="58" t="n">
        <v>104.9</v>
      </c>
      <c r="J593" s="32" t="n">
        <f aca="false">IF(E593&gt;0,F593/E593,0)</f>
        <v>0</v>
      </c>
      <c r="K593" s="32" t="n">
        <f aca="false">IF(G593&gt;0,H593/G593,0)</f>
        <v>-0</v>
      </c>
      <c r="L593" s="59" t="n">
        <f aca="false">H593/Settings!$B$16</f>
        <v>-0</v>
      </c>
      <c r="M593" s="59" t="n">
        <f aca="false">H593/Settings!$B$20</f>
        <v>-0</v>
      </c>
      <c r="N593" s="60" t="n">
        <f aca="false">E593*Settings!$B$3</f>
        <v>0.0619723021596408</v>
      </c>
      <c r="O593" s="60" t="n">
        <f aca="false">IF(E593&gt;0,(F593-N593)/SQRT(E593*Settings!$B$3*(1-Settings!$B$3)),0)</f>
        <v>-0.252891261535318</v>
      </c>
      <c r="P593" s="60" t="n">
        <f aca="false">MAX(0,F593-N593)</f>
        <v>0</v>
      </c>
      <c r="Q593" s="32" t="n">
        <f aca="false">(F593+Settings!$B$7*Settings!$B$3)/(E593+Settings!$B$7)</f>
        <v>0.0290495166373316</v>
      </c>
      <c r="R593" s="61" t="n">
        <f aca="false">PERCENTRANK($H$2:$H$1780,H593,6)</f>
        <v>0</v>
      </c>
      <c r="S593" s="61" t="n">
        <f aca="false">PERCENTRANK($Q$2:$Q$1780,Q593,6)</f>
        <v>0.365579</v>
      </c>
      <c r="T593" s="61" t="n">
        <f aca="false">PERCENTRANK($F$2:$F$1780,F593,6)</f>
        <v>0</v>
      </c>
      <c r="U593" s="62" t="n">
        <f aca="false">IF(F593&gt;0,(Settings!$B$8*T593+Settings!$B$9*R593+Settings!$B$10*S593)/SUM(Settings!$B$8:$B$10),0)</f>
        <v>0</v>
      </c>
      <c r="V593" s="56" t="str">
        <f aca="false">IF(U593&gt;0,RANK(U593,$U$2:$U$1780)+COUNTIF($U$2:U593,U593)-1,"")</f>
        <v/>
      </c>
      <c r="W593" s="56" t="str">
        <f aca="false">IF(V593="","",IF(V593&lt;=Settings!$B$11,"1 - Fix first",IF(V593&lt;=Settings!$B$12,"2 - Review","3 - Monitor")))</f>
        <v/>
      </c>
      <c r="X593" s="56" t="str">
        <f aca="false">IF(AND(E593&gt;=Settings!$B$4,F593&gt;=Settings!$B$5,O593&gt;=Settings!$B$6),"HIGH RATE","")</f>
        <v/>
      </c>
      <c r="Y593" s="56" t="str">
        <f aca="false">IF(F593&gt;0,RANK(F593,$F$2:$F$1780)+COUNTIF($F$2:F593,F593)-1,"")</f>
        <v/>
      </c>
      <c r="Z593" s="56" t="str">
        <f aca="false">IF(H593&gt;0,RANK(H593,$H$2:$H$1780)+COUNTIF($H$2:H593,H593)-1,"")</f>
        <v/>
      </c>
      <c r="AA593" s="56" t="str">
        <f aca="false">IF(AC593="","",RANK(AC593,$AC$2:$AC$1780)+COUNTIF($AC$2:AC593,AC593)-1)</f>
        <v/>
      </c>
      <c r="AB593" s="56" t="str">
        <f aca="false">IF(AD593="","",RANK(AD593,$AD$2:$AD$1780)+COUNTIF($AD$2:AD593,AD593)-1)</f>
        <v/>
      </c>
      <c r="AC593" s="56" t="str">
        <f aca="false">IF(AND(F593&gt;0,E593&gt;=Settings!$B$4),J593,"")</f>
        <v/>
      </c>
      <c r="AD593" s="56" t="str">
        <f aca="false">IF(X593="HIGH RATE",O593,"")</f>
        <v/>
      </c>
    </row>
    <row r="594" customFormat="false" ht="15" hidden="false" customHeight="false" outlineLevel="0" collapsed="false">
      <c r="A594" s="56" t="s">
        <v>1716</v>
      </c>
      <c r="B594" s="56" t="s">
        <v>1717</v>
      </c>
      <c r="C594" s="56" t="s">
        <v>51</v>
      </c>
      <c r="D594" s="56" t="str">
        <f aca="false">IFERROR(INDEX('Brand Map'!$B$4:$B$124,MATCH(C594,'Brand Map'!$A$4:$A$124,0)),"Other")</f>
        <v>AU</v>
      </c>
      <c r="E594" s="57" t="n">
        <v>18</v>
      </c>
      <c r="F594" s="57" t="n">
        <v>0</v>
      </c>
      <c r="G594" s="58" t="n">
        <v>356.86</v>
      </c>
      <c r="H594" s="58" t="n">
        <v>0</v>
      </c>
      <c r="I594" s="58" t="n">
        <v>356.86</v>
      </c>
      <c r="J594" s="32" t="n">
        <f aca="false">IF(E594&gt;0,F594/E594,0)</f>
        <v>0</v>
      </c>
      <c r="K594" s="32" t="n">
        <f aca="false">IF(G594&gt;0,H594/G594,0)</f>
        <v>-0</v>
      </c>
      <c r="L594" s="59" t="n">
        <f aca="false">H594/Settings!$B$16</f>
        <v>-0</v>
      </c>
      <c r="M594" s="59" t="n">
        <f aca="false">H594/Settings!$B$20</f>
        <v>-0</v>
      </c>
      <c r="N594" s="60" t="n">
        <f aca="false">E594*Settings!$B$3</f>
        <v>0.557750719436768</v>
      </c>
      <c r="O594" s="60" t="n">
        <f aca="false">IF(E594&gt;0,(F594-N594)/SQRT(E594*Settings!$B$3*(1-Settings!$B$3)),0)</f>
        <v>-0.758673784605954</v>
      </c>
      <c r="P594" s="60" t="n">
        <f aca="false">MAX(0,F594-N594)</f>
        <v>0</v>
      </c>
      <c r="Q594" s="32" t="n">
        <f aca="false">(F594+Settings!$B$7*Settings!$B$3)/(E594+Settings!$B$7)</f>
        <v>0.0193663444248878</v>
      </c>
      <c r="R594" s="61" t="n">
        <f aca="false">PERCENTRANK($H$2:$H$1780,H594,6)</f>
        <v>0</v>
      </c>
      <c r="S594" s="61" t="n">
        <f aca="false">PERCENTRANK($Q$2:$Q$1780,Q594,6)</f>
        <v>0.083802</v>
      </c>
      <c r="T594" s="61" t="n">
        <f aca="false">PERCENTRANK($F$2:$F$1780,F594,6)</f>
        <v>0</v>
      </c>
      <c r="U594" s="62" t="n">
        <f aca="false">IF(F594&gt;0,(Settings!$B$8*T594+Settings!$B$9*R594+Settings!$B$10*S594)/SUM(Settings!$B$8:$B$10),0)</f>
        <v>0</v>
      </c>
      <c r="V594" s="56" t="str">
        <f aca="false">IF(U594&gt;0,RANK(U594,$U$2:$U$1780)+COUNTIF($U$2:U594,U594)-1,"")</f>
        <v/>
      </c>
      <c r="W594" s="56" t="str">
        <f aca="false">IF(V594="","",IF(V594&lt;=Settings!$B$11,"1 - Fix first",IF(V594&lt;=Settings!$B$12,"2 - Review","3 - Monitor")))</f>
        <v/>
      </c>
      <c r="X594" s="56" t="str">
        <f aca="false">IF(AND(E594&gt;=Settings!$B$4,F594&gt;=Settings!$B$5,O594&gt;=Settings!$B$6),"HIGH RATE","")</f>
        <v/>
      </c>
      <c r="Y594" s="56" t="str">
        <f aca="false">IF(F594&gt;0,RANK(F594,$F$2:$F$1780)+COUNTIF($F$2:F594,F594)-1,"")</f>
        <v/>
      </c>
      <c r="Z594" s="56" t="str">
        <f aca="false">IF(H594&gt;0,RANK(H594,$H$2:$H$1780)+COUNTIF($H$2:H594,H594)-1,"")</f>
        <v/>
      </c>
      <c r="AA594" s="56" t="str">
        <f aca="false">IF(AC594="","",RANK(AC594,$AC$2:$AC$1780)+COUNTIF($AC$2:AC594,AC594)-1)</f>
        <v/>
      </c>
      <c r="AB594" s="56" t="str">
        <f aca="false">IF(AD594="","",RANK(AD594,$AD$2:$AD$1780)+COUNTIF($AD$2:AD594,AD594)-1)</f>
        <v/>
      </c>
      <c r="AC594" s="56" t="str">
        <f aca="false">IF(AND(F594&gt;0,E594&gt;=Settings!$B$4),J594,"")</f>
        <v/>
      </c>
      <c r="AD594" s="56" t="str">
        <f aca="false">IF(X594="HIGH RATE",O594,"")</f>
        <v/>
      </c>
    </row>
    <row r="595" customFormat="false" ht="15" hidden="false" customHeight="false" outlineLevel="0" collapsed="false">
      <c r="A595" s="56" t="s">
        <v>1718</v>
      </c>
      <c r="B595" s="56" t="s">
        <v>1719</v>
      </c>
      <c r="C595" s="56" t="s">
        <v>51</v>
      </c>
      <c r="D595" s="56" t="str">
        <f aca="false">IFERROR(INDEX('Brand Map'!$B$4:$B$124,MATCH(C595,'Brand Map'!$A$4:$A$124,0)),"Other")</f>
        <v>AU</v>
      </c>
      <c r="E595" s="57" t="n">
        <v>2</v>
      </c>
      <c r="F595" s="57" t="n">
        <v>0</v>
      </c>
      <c r="G595" s="58" t="n">
        <v>127.18</v>
      </c>
      <c r="H595" s="58" t="n">
        <v>0</v>
      </c>
      <c r="I595" s="58" t="n">
        <v>127.18</v>
      </c>
      <c r="J595" s="32" t="n">
        <f aca="false">IF(E595&gt;0,F595/E595,0)</f>
        <v>0</v>
      </c>
      <c r="K595" s="32" t="n">
        <f aca="false">IF(G595&gt;0,H595/G595,0)</f>
        <v>-0</v>
      </c>
      <c r="L595" s="59" t="n">
        <f aca="false">H595/Settings!$B$16</f>
        <v>-0</v>
      </c>
      <c r="M595" s="59" t="n">
        <f aca="false">H595/Settings!$B$20</f>
        <v>-0</v>
      </c>
      <c r="N595" s="60" t="n">
        <f aca="false">E595*Settings!$B$3</f>
        <v>0.0619723021596408</v>
      </c>
      <c r="O595" s="60" t="n">
        <f aca="false">IF(E595&gt;0,(F595-N595)/SQRT(E595*Settings!$B$3*(1-Settings!$B$3)),0)</f>
        <v>-0.252891261535318</v>
      </c>
      <c r="P595" s="60" t="n">
        <f aca="false">MAX(0,F595-N595)</f>
        <v>0</v>
      </c>
      <c r="Q595" s="32" t="n">
        <f aca="false">(F595+Settings!$B$7*Settings!$B$3)/(E595+Settings!$B$7)</f>
        <v>0.0290495166373316</v>
      </c>
      <c r="R595" s="61" t="n">
        <f aca="false">PERCENTRANK($H$2:$H$1780,H595,6)</f>
        <v>0</v>
      </c>
      <c r="S595" s="61" t="n">
        <f aca="false">PERCENTRANK($Q$2:$Q$1780,Q595,6)</f>
        <v>0.365579</v>
      </c>
      <c r="T595" s="61" t="n">
        <f aca="false">PERCENTRANK($F$2:$F$1780,F595,6)</f>
        <v>0</v>
      </c>
      <c r="U595" s="62" t="n">
        <f aca="false">IF(F595&gt;0,(Settings!$B$8*T595+Settings!$B$9*R595+Settings!$B$10*S595)/SUM(Settings!$B$8:$B$10),0)</f>
        <v>0</v>
      </c>
      <c r="V595" s="56" t="str">
        <f aca="false">IF(U595&gt;0,RANK(U595,$U$2:$U$1780)+COUNTIF($U$2:U595,U595)-1,"")</f>
        <v/>
      </c>
      <c r="W595" s="56" t="str">
        <f aca="false">IF(V595="","",IF(V595&lt;=Settings!$B$11,"1 - Fix first",IF(V595&lt;=Settings!$B$12,"2 - Review","3 - Monitor")))</f>
        <v/>
      </c>
      <c r="X595" s="56" t="str">
        <f aca="false">IF(AND(E595&gt;=Settings!$B$4,F595&gt;=Settings!$B$5,O595&gt;=Settings!$B$6),"HIGH RATE","")</f>
        <v/>
      </c>
      <c r="Y595" s="56" t="str">
        <f aca="false">IF(F595&gt;0,RANK(F595,$F$2:$F$1780)+COUNTIF($F$2:F595,F595)-1,"")</f>
        <v/>
      </c>
      <c r="Z595" s="56" t="str">
        <f aca="false">IF(H595&gt;0,RANK(H595,$H$2:$H$1780)+COUNTIF($H$2:H595,H595)-1,"")</f>
        <v/>
      </c>
      <c r="AA595" s="56" t="str">
        <f aca="false">IF(AC595="","",RANK(AC595,$AC$2:$AC$1780)+COUNTIF($AC$2:AC595,AC595)-1)</f>
        <v/>
      </c>
      <c r="AB595" s="56" t="str">
        <f aca="false">IF(AD595="","",RANK(AD595,$AD$2:$AD$1780)+COUNTIF($AD$2:AD595,AD595)-1)</f>
        <v/>
      </c>
      <c r="AC595" s="56" t="str">
        <f aca="false">IF(AND(F595&gt;0,E595&gt;=Settings!$B$4),J595,"")</f>
        <v/>
      </c>
      <c r="AD595" s="56" t="str">
        <f aca="false">IF(X595="HIGH RATE",O595,"")</f>
        <v/>
      </c>
    </row>
    <row r="596" customFormat="false" ht="15" hidden="false" customHeight="false" outlineLevel="0" collapsed="false">
      <c r="A596" s="56" t="s">
        <v>1720</v>
      </c>
      <c r="B596" s="56" t="s">
        <v>1721</v>
      </c>
      <c r="C596" s="56" t="s">
        <v>51</v>
      </c>
      <c r="D596" s="56" t="str">
        <f aca="false">IFERROR(INDEX('Brand Map'!$B$4:$B$124,MATCH(C596,'Brand Map'!$A$4:$A$124,0)),"Other")</f>
        <v>AU</v>
      </c>
      <c r="E596" s="57" t="n">
        <v>3</v>
      </c>
      <c r="F596" s="57" t="n">
        <v>0</v>
      </c>
      <c r="G596" s="58" t="n">
        <v>112.59</v>
      </c>
      <c r="H596" s="58" t="n">
        <v>0</v>
      </c>
      <c r="I596" s="58" t="n">
        <v>112.59</v>
      </c>
      <c r="J596" s="32" t="n">
        <f aca="false">IF(E596&gt;0,F596/E596,0)</f>
        <v>0</v>
      </c>
      <c r="K596" s="32" t="n">
        <f aca="false">IF(G596&gt;0,H596/G596,0)</f>
        <v>-0</v>
      </c>
      <c r="L596" s="59" t="n">
        <f aca="false">H596/Settings!$B$16</f>
        <v>-0</v>
      </c>
      <c r="M596" s="59" t="n">
        <f aca="false">H596/Settings!$B$20</f>
        <v>-0</v>
      </c>
      <c r="N596" s="60" t="n">
        <f aca="false">E596*Settings!$B$3</f>
        <v>0.0929584532394613</v>
      </c>
      <c r="O596" s="60" t="n">
        <f aca="false">IF(E596&gt;0,(F596-N596)/SQRT(E596*Settings!$B$3*(1-Settings!$B$3)),0)</f>
        <v>-0.30972727558513</v>
      </c>
      <c r="P596" s="60" t="n">
        <f aca="false">MAX(0,F596-N596)</f>
        <v>0</v>
      </c>
      <c r="Q596" s="32" t="n">
        <f aca="false">(F596+Settings!$B$7*Settings!$B$3)/(E596+Settings!$B$7)</f>
        <v>0.0281692282543822</v>
      </c>
      <c r="R596" s="61" t="n">
        <f aca="false">PERCENTRANK($H$2:$H$1780,H596,6)</f>
        <v>0</v>
      </c>
      <c r="S596" s="61" t="n">
        <f aca="false">PERCENTRANK($Q$2:$Q$1780,Q596,6)</f>
        <v>0.294151</v>
      </c>
      <c r="T596" s="61" t="n">
        <f aca="false">PERCENTRANK($F$2:$F$1780,F596,6)</f>
        <v>0</v>
      </c>
      <c r="U596" s="62" t="n">
        <f aca="false">IF(F596&gt;0,(Settings!$B$8*T596+Settings!$B$9*R596+Settings!$B$10*S596)/SUM(Settings!$B$8:$B$10),0)</f>
        <v>0</v>
      </c>
      <c r="V596" s="56" t="str">
        <f aca="false">IF(U596&gt;0,RANK(U596,$U$2:$U$1780)+COUNTIF($U$2:U596,U596)-1,"")</f>
        <v/>
      </c>
      <c r="W596" s="56" t="str">
        <f aca="false">IF(V596="","",IF(V596&lt;=Settings!$B$11,"1 - Fix first",IF(V596&lt;=Settings!$B$12,"2 - Review","3 - Monitor")))</f>
        <v/>
      </c>
      <c r="X596" s="56" t="str">
        <f aca="false">IF(AND(E596&gt;=Settings!$B$4,F596&gt;=Settings!$B$5,O596&gt;=Settings!$B$6),"HIGH RATE","")</f>
        <v/>
      </c>
      <c r="Y596" s="56" t="str">
        <f aca="false">IF(F596&gt;0,RANK(F596,$F$2:$F$1780)+COUNTIF($F$2:F596,F596)-1,"")</f>
        <v/>
      </c>
      <c r="Z596" s="56" t="str">
        <f aca="false">IF(H596&gt;0,RANK(H596,$H$2:$H$1780)+COUNTIF($H$2:H596,H596)-1,"")</f>
        <v/>
      </c>
      <c r="AA596" s="56" t="str">
        <f aca="false">IF(AC596="","",RANK(AC596,$AC$2:$AC$1780)+COUNTIF($AC$2:AC596,AC596)-1)</f>
        <v/>
      </c>
      <c r="AB596" s="56" t="str">
        <f aca="false">IF(AD596="","",RANK(AD596,$AD$2:$AD$1780)+COUNTIF($AD$2:AD596,AD596)-1)</f>
        <v/>
      </c>
      <c r="AC596" s="56" t="str">
        <f aca="false">IF(AND(F596&gt;0,E596&gt;=Settings!$B$4),J596,"")</f>
        <v/>
      </c>
      <c r="AD596" s="56" t="str">
        <f aca="false">IF(X596="HIGH RATE",O596,"")</f>
        <v/>
      </c>
    </row>
    <row r="597" customFormat="false" ht="15" hidden="false" customHeight="false" outlineLevel="0" collapsed="false">
      <c r="A597" s="56" t="s">
        <v>1722</v>
      </c>
      <c r="B597" s="56" t="s">
        <v>1008</v>
      </c>
      <c r="C597" s="56" t="s">
        <v>51</v>
      </c>
      <c r="D597" s="56" t="str">
        <f aca="false">IFERROR(INDEX('Brand Map'!$B$4:$B$124,MATCH(C597,'Brand Map'!$A$4:$A$124,0)),"Other")</f>
        <v>AU</v>
      </c>
      <c r="E597" s="57" t="n">
        <v>2</v>
      </c>
      <c r="F597" s="57" t="n">
        <v>0</v>
      </c>
      <c r="G597" s="58" t="n">
        <v>36.28</v>
      </c>
      <c r="H597" s="58" t="n">
        <v>0</v>
      </c>
      <c r="I597" s="58" t="n">
        <v>36.28</v>
      </c>
      <c r="J597" s="32" t="n">
        <f aca="false">IF(E597&gt;0,F597/E597,0)</f>
        <v>0</v>
      </c>
      <c r="K597" s="32" t="n">
        <f aca="false">IF(G597&gt;0,H597/G597,0)</f>
        <v>-0</v>
      </c>
      <c r="L597" s="59" t="n">
        <f aca="false">H597/Settings!$B$16</f>
        <v>-0</v>
      </c>
      <c r="M597" s="59" t="n">
        <f aca="false">H597/Settings!$B$20</f>
        <v>-0</v>
      </c>
      <c r="N597" s="60" t="n">
        <f aca="false">E597*Settings!$B$3</f>
        <v>0.0619723021596408</v>
      </c>
      <c r="O597" s="60" t="n">
        <f aca="false">IF(E597&gt;0,(F597-N597)/SQRT(E597*Settings!$B$3*(1-Settings!$B$3)),0)</f>
        <v>-0.252891261535318</v>
      </c>
      <c r="P597" s="60" t="n">
        <f aca="false">MAX(0,F597-N597)</f>
        <v>0</v>
      </c>
      <c r="Q597" s="32" t="n">
        <f aca="false">(F597+Settings!$B$7*Settings!$B$3)/(E597+Settings!$B$7)</f>
        <v>0.0290495166373316</v>
      </c>
      <c r="R597" s="61" t="n">
        <f aca="false">PERCENTRANK($H$2:$H$1780,H597,6)</f>
        <v>0</v>
      </c>
      <c r="S597" s="61" t="n">
        <f aca="false">PERCENTRANK($Q$2:$Q$1780,Q597,6)</f>
        <v>0.365579</v>
      </c>
      <c r="T597" s="61" t="n">
        <f aca="false">PERCENTRANK($F$2:$F$1780,F597,6)</f>
        <v>0</v>
      </c>
      <c r="U597" s="62" t="n">
        <f aca="false">IF(F597&gt;0,(Settings!$B$8*T597+Settings!$B$9*R597+Settings!$B$10*S597)/SUM(Settings!$B$8:$B$10),0)</f>
        <v>0</v>
      </c>
      <c r="V597" s="56" t="str">
        <f aca="false">IF(U597&gt;0,RANK(U597,$U$2:$U$1780)+COUNTIF($U$2:U597,U597)-1,"")</f>
        <v/>
      </c>
      <c r="W597" s="56" t="str">
        <f aca="false">IF(V597="","",IF(V597&lt;=Settings!$B$11,"1 - Fix first",IF(V597&lt;=Settings!$B$12,"2 - Review","3 - Monitor")))</f>
        <v/>
      </c>
      <c r="X597" s="56" t="str">
        <f aca="false">IF(AND(E597&gt;=Settings!$B$4,F597&gt;=Settings!$B$5,O597&gt;=Settings!$B$6),"HIGH RATE","")</f>
        <v/>
      </c>
      <c r="Y597" s="56" t="str">
        <f aca="false">IF(F597&gt;0,RANK(F597,$F$2:$F$1780)+COUNTIF($F$2:F597,F597)-1,"")</f>
        <v/>
      </c>
      <c r="Z597" s="56" t="str">
        <f aca="false">IF(H597&gt;0,RANK(H597,$H$2:$H$1780)+COUNTIF($H$2:H597,H597)-1,"")</f>
        <v/>
      </c>
      <c r="AA597" s="56" t="str">
        <f aca="false">IF(AC597="","",RANK(AC597,$AC$2:$AC$1780)+COUNTIF($AC$2:AC597,AC597)-1)</f>
        <v/>
      </c>
      <c r="AB597" s="56" t="str">
        <f aca="false">IF(AD597="","",RANK(AD597,$AD$2:$AD$1780)+COUNTIF($AD$2:AD597,AD597)-1)</f>
        <v/>
      </c>
      <c r="AC597" s="56" t="str">
        <f aca="false">IF(AND(F597&gt;0,E597&gt;=Settings!$B$4),J597,"")</f>
        <v/>
      </c>
      <c r="AD597" s="56" t="str">
        <f aca="false">IF(X597="HIGH RATE",O597,"")</f>
        <v/>
      </c>
    </row>
    <row r="598" customFormat="false" ht="15" hidden="false" customHeight="false" outlineLevel="0" collapsed="false">
      <c r="A598" s="56" t="s">
        <v>1723</v>
      </c>
      <c r="B598" s="56" t="s">
        <v>1724</v>
      </c>
      <c r="C598" s="56" t="s">
        <v>51</v>
      </c>
      <c r="D598" s="56" t="str">
        <f aca="false">IFERROR(INDEX('Brand Map'!$B$4:$B$124,MATCH(C598,'Brand Map'!$A$4:$A$124,0)),"Other")</f>
        <v>AU</v>
      </c>
      <c r="E598" s="57" t="n">
        <v>1</v>
      </c>
      <c r="F598" s="57" t="n">
        <v>0</v>
      </c>
      <c r="G598" s="58" t="n">
        <v>34.95</v>
      </c>
      <c r="H598" s="58" t="n">
        <v>0</v>
      </c>
      <c r="I598" s="58" t="n">
        <v>34.95</v>
      </c>
      <c r="J598" s="32" t="n">
        <f aca="false">IF(E598&gt;0,F598/E598,0)</f>
        <v>0</v>
      </c>
      <c r="K598" s="32" t="n">
        <f aca="false">IF(G598&gt;0,H598/G598,0)</f>
        <v>-0</v>
      </c>
      <c r="L598" s="59" t="n">
        <f aca="false">H598/Settings!$B$16</f>
        <v>-0</v>
      </c>
      <c r="M598" s="59" t="n">
        <f aca="false">H598/Settings!$B$20</f>
        <v>-0</v>
      </c>
      <c r="N598" s="60" t="n">
        <f aca="false">E598*Settings!$B$3</f>
        <v>0.0309861510798204</v>
      </c>
      <c r="O598" s="60" t="n">
        <f aca="false">IF(E598&gt;0,(F598-N598)/SQRT(E598*Settings!$B$3*(1-Settings!$B$3)),0)</f>
        <v>-0.178821125934444</v>
      </c>
      <c r="P598" s="60" t="n">
        <f aca="false">MAX(0,F598-N598)</f>
        <v>0</v>
      </c>
      <c r="Q598" s="32" t="n">
        <f aca="false">(F598+Settings!$B$7*Settings!$B$3)/(E598+Settings!$B$7)</f>
        <v>0.0299865978191811</v>
      </c>
      <c r="R598" s="61" t="n">
        <f aca="false">PERCENTRANK($H$2:$H$1780,H598,6)</f>
        <v>0</v>
      </c>
      <c r="S598" s="61" t="n">
        <f aca="false">PERCENTRANK($Q$2:$Q$1780,Q598,6)</f>
        <v>0.486502</v>
      </c>
      <c r="T598" s="61" t="n">
        <f aca="false">PERCENTRANK($F$2:$F$1780,F598,6)</f>
        <v>0</v>
      </c>
      <c r="U598" s="62" t="n">
        <f aca="false">IF(F598&gt;0,(Settings!$B$8*T598+Settings!$B$9*R598+Settings!$B$10*S598)/SUM(Settings!$B$8:$B$10),0)</f>
        <v>0</v>
      </c>
      <c r="V598" s="56" t="str">
        <f aca="false">IF(U598&gt;0,RANK(U598,$U$2:$U$1780)+COUNTIF($U$2:U598,U598)-1,"")</f>
        <v/>
      </c>
      <c r="W598" s="56" t="str">
        <f aca="false">IF(V598="","",IF(V598&lt;=Settings!$B$11,"1 - Fix first",IF(V598&lt;=Settings!$B$12,"2 - Review","3 - Monitor")))</f>
        <v/>
      </c>
      <c r="X598" s="56" t="str">
        <f aca="false">IF(AND(E598&gt;=Settings!$B$4,F598&gt;=Settings!$B$5,O598&gt;=Settings!$B$6),"HIGH RATE","")</f>
        <v/>
      </c>
      <c r="Y598" s="56" t="str">
        <f aca="false">IF(F598&gt;0,RANK(F598,$F$2:$F$1780)+COUNTIF($F$2:F598,F598)-1,"")</f>
        <v/>
      </c>
      <c r="Z598" s="56" t="str">
        <f aca="false">IF(H598&gt;0,RANK(H598,$H$2:$H$1780)+COUNTIF($H$2:H598,H598)-1,"")</f>
        <v/>
      </c>
      <c r="AA598" s="56" t="str">
        <f aca="false">IF(AC598="","",RANK(AC598,$AC$2:$AC$1780)+COUNTIF($AC$2:AC598,AC598)-1)</f>
        <v/>
      </c>
      <c r="AB598" s="56" t="str">
        <f aca="false">IF(AD598="","",RANK(AD598,$AD$2:$AD$1780)+COUNTIF($AD$2:AD598,AD598)-1)</f>
        <v/>
      </c>
      <c r="AC598" s="56" t="str">
        <f aca="false">IF(AND(F598&gt;0,E598&gt;=Settings!$B$4),J598,"")</f>
        <v/>
      </c>
      <c r="AD598" s="56" t="str">
        <f aca="false">IF(X598="HIGH RATE",O598,"")</f>
        <v/>
      </c>
    </row>
    <row r="599" customFormat="false" ht="15" hidden="false" customHeight="false" outlineLevel="0" collapsed="false">
      <c r="A599" s="56" t="s">
        <v>1725</v>
      </c>
      <c r="B599" s="56" t="s">
        <v>1726</v>
      </c>
      <c r="C599" s="56" t="s">
        <v>51</v>
      </c>
      <c r="D599" s="56" t="str">
        <f aca="false">IFERROR(INDEX('Brand Map'!$B$4:$B$124,MATCH(C599,'Brand Map'!$A$4:$A$124,0)),"Other")</f>
        <v>AU</v>
      </c>
      <c r="E599" s="57" t="n">
        <v>2</v>
      </c>
      <c r="F599" s="57" t="n">
        <v>0</v>
      </c>
      <c r="G599" s="58" t="n">
        <v>109.9</v>
      </c>
      <c r="H599" s="58" t="n">
        <v>0</v>
      </c>
      <c r="I599" s="58" t="n">
        <v>109.9</v>
      </c>
      <c r="J599" s="32" t="n">
        <f aca="false">IF(E599&gt;0,F599/E599,0)</f>
        <v>0</v>
      </c>
      <c r="K599" s="32" t="n">
        <f aca="false">IF(G599&gt;0,H599/G599,0)</f>
        <v>-0</v>
      </c>
      <c r="L599" s="59" t="n">
        <f aca="false">H599/Settings!$B$16</f>
        <v>-0</v>
      </c>
      <c r="M599" s="59" t="n">
        <f aca="false">H599/Settings!$B$20</f>
        <v>-0</v>
      </c>
      <c r="N599" s="60" t="n">
        <f aca="false">E599*Settings!$B$3</f>
        <v>0.0619723021596408</v>
      </c>
      <c r="O599" s="60" t="n">
        <f aca="false">IF(E599&gt;0,(F599-N599)/SQRT(E599*Settings!$B$3*(1-Settings!$B$3)),0)</f>
        <v>-0.252891261535318</v>
      </c>
      <c r="P599" s="60" t="n">
        <f aca="false">MAX(0,F599-N599)</f>
        <v>0</v>
      </c>
      <c r="Q599" s="32" t="n">
        <f aca="false">(F599+Settings!$B$7*Settings!$B$3)/(E599+Settings!$B$7)</f>
        <v>0.0290495166373316</v>
      </c>
      <c r="R599" s="61" t="n">
        <f aca="false">PERCENTRANK($H$2:$H$1780,H599,6)</f>
        <v>0</v>
      </c>
      <c r="S599" s="61" t="n">
        <f aca="false">PERCENTRANK($Q$2:$Q$1780,Q599,6)</f>
        <v>0.365579</v>
      </c>
      <c r="T599" s="61" t="n">
        <f aca="false">PERCENTRANK($F$2:$F$1780,F599,6)</f>
        <v>0</v>
      </c>
      <c r="U599" s="62" t="n">
        <f aca="false">IF(F599&gt;0,(Settings!$B$8*T599+Settings!$B$9*R599+Settings!$B$10*S599)/SUM(Settings!$B$8:$B$10),0)</f>
        <v>0</v>
      </c>
      <c r="V599" s="56" t="str">
        <f aca="false">IF(U599&gt;0,RANK(U599,$U$2:$U$1780)+COUNTIF($U$2:U599,U599)-1,"")</f>
        <v/>
      </c>
      <c r="W599" s="56" t="str">
        <f aca="false">IF(V599="","",IF(V599&lt;=Settings!$B$11,"1 - Fix first",IF(V599&lt;=Settings!$B$12,"2 - Review","3 - Monitor")))</f>
        <v/>
      </c>
      <c r="X599" s="56" t="str">
        <f aca="false">IF(AND(E599&gt;=Settings!$B$4,F599&gt;=Settings!$B$5,O599&gt;=Settings!$B$6),"HIGH RATE","")</f>
        <v/>
      </c>
      <c r="Y599" s="56" t="str">
        <f aca="false">IF(F599&gt;0,RANK(F599,$F$2:$F$1780)+COUNTIF($F$2:F599,F599)-1,"")</f>
        <v/>
      </c>
      <c r="Z599" s="56" t="str">
        <f aca="false">IF(H599&gt;0,RANK(H599,$H$2:$H$1780)+COUNTIF($H$2:H599,H599)-1,"")</f>
        <v/>
      </c>
      <c r="AA599" s="56" t="str">
        <f aca="false">IF(AC599="","",RANK(AC599,$AC$2:$AC$1780)+COUNTIF($AC$2:AC599,AC599)-1)</f>
        <v/>
      </c>
      <c r="AB599" s="56" t="str">
        <f aca="false">IF(AD599="","",RANK(AD599,$AD$2:$AD$1780)+COUNTIF($AD$2:AD599,AD599)-1)</f>
        <v/>
      </c>
      <c r="AC599" s="56" t="str">
        <f aca="false">IF(AND(F599&gt;0,E599&gt;=Settings!$B$4),J599,"")</f>
        <v/>
      </c>
      <c r="AD599" s="56" t="str">
        <f aca="false">IF(X599="HIGH RATE",O599,"")</f>
        <v/>
      </c>
    </row>
    <row r="600" customFormat="false" ht="15" hidden="false" customHeight="false" outlineLevel="0" collapsed="false">
      <c r="A600" s="56" t="s">
        <v>1727</v>
      </c>
      <c r="B600" s="56" t="s">
        <v>1728</v>
      </c>
      <c r="C600" s="56" t="s">
        <v>51</v>
      </c>
      <c r="D600" s="56" t="str">
        <f aca="false">IFERROR(INDEX('Brand Map'!$B$4:$B$124,MATCH(C600,'Brand Map'!$A$4:$A$124,0)),"Other")</f>
        <v>AU</v>
      </c>
      <c r="E600" s="57" t="n">
        <v>8</v>
      </c>
      <c r="F600" s="57" t="n">
        <v>0</v>
      </c>
      <c r="G600" s="58" t="n">
        <v>156.9</v>
      </c>
      <c r="H600" s="58" t="n">
        <v>0</v>
      </c>
      <c r="I600" s="58" t="n">
        <v>156.9</v>
      </c>
      <c r="J600" s="32" t="n">
        <f aca="false">IF(E600&gt;0,F600/E600,0)</f>
        <v>0</v>
      </c>
      <c r="K600" s="32" t="n">
        <f aca="false">IF(G600&gt;0,H600/G600,0)</f>
        <v>-0</v>
      </c>
      <c r="L600" s="59" t="n">
        <f aca="false">H600/Settings!$B$16</f>
        <v>-0</v>
      </c>
      <c r="M600" s="59" t="n">
        <f aca="false">H600/Settings!$B$20</f>
        <v>-0</v>
      </c>
      <c r="N600" s="60" t="n">
        <f aca="false">E600*Settings!$B$3</f>
        <v>0.247889208638563</v>
      </c>
      <c r="O600" s="60" t="n">
        <f aca="false">IF(E600&gt;0,(F600-N600)/SQRT(E600*Settings!$B$3*(1-Settings!$B$3)),0)</f>
        <v>-0.505782523070636</v>
      </c>
      <c r="P600" s="60" t="n">
        <f aca="false">MAX(0,F600-N600)</f>
        <v>0</v>
      </c>
      <c r="Q600" s="32" t="n">
        <f aca="false">(F600+Settings!$B$7*Settings!$B$3)/(E600+Settings!$B$7)</f>
        <v>0.0244627508524898</v>
      </c>
      <c r="R600" s="61" t="n">
        <f aca="false">PERCENTRANK($H$2:$H$1780,H600,6)</f>
        <v>0</v>
      </c>
      <c r="S600" s="61" t="n">
        <f aca="false">PERCENTRANK($Q$2:$Q$1780,Q600,6)</f>
        <v>0.154668</v>
      </c>
      <c r="T600" s="61" t="n">
        <f aca="false">PERCENTRANK($F$2:$F$1780,F600,6)</f>
        <v>0</v>
      </c>
      <c r="U600" s="62" t="n">
        <f aca="false">IF(F600&gt;0,(Settings!$B$8*T600+Settings!$B$9*R600+Settings!$B$10*S600)/SUM(Settings!$B$8:$B$10),0)</f>
        <v>0</v>
      </c>
      <c r="V600" s="56" t="str">
        <f aca="false">IF(U600&gt;0,RANK(U600,$U$2:$U$1780)+COUNTIF($U$2:U600,U600)-1,"")</f>
        <v/>
      </c>
      <c r="W600" s="56" t="str">
        <f aca="false">IF(V600="","",IF(V600&lt;=Settings!$B$11,"1 - Fix first",IF(V600&lt;=Settings!$B$12,"2 - Review","3 - Monitor")))</f>
        <v/>
      </c>
      <c r="X600" s="56" t="str">
        <f aca="false">IF(AND(E600&gt;=Settings!$B$4,F600&gt;=Settings!$B$5,O600&gt;=Settings!$B$6),"HIGH RATE","")</f>
        <v/>
      </c>
      <c r="Y600" s="56" t="str">
        <f aca="false">IF(F600&gt;0,RANK(F600,$F$2:$F$1780)+COUNTIF($F$2:F600,F600)-1,"")</f>
        <v/>
      </c>
      <c r="Z600" s="56" t="str">
        <f aca="false">IF(H600&gt;0,RANK(H600,$H$2:$H$1780)+COUNTIF($H$2:H600,H600)-1,"")</f>
        <v/>
      </c>
      <c r="AA600" s="56" t="str">
        <f aca="false">IF(AC600="","",RANK(AC600,$AC$2:$AC$1780)+COUNTIF($AC$2:AC600,AC600)-1)</f>
        <v/>
      </c>
      <c r="AB600" s="56" t="str">
        <f aca="false">IF(AD600="","",RANK(AD600,$AD$2:$AD$1780)+COUNTIF($AD$2:AD600,AD600)-1)</f>
        <v/>
      </c>
      <c r="AC600" s="56" t="str">
        <f aca="false">IF(AND(F600&gt;0,E600&gt;=Settings!$B$4),J600,"")</f>
        <v/>
      </c>
      <c r="AD600" s="56" t="str">
        <f aca="false">IF(X600="HIGH RATE",O600,"")</f>
        <v/>
      </c>
    </row>
    <row r="601" customFormat="false" ht="15" hidden="false" customHeight="false" outlineLevel="0" collapsed="false">
      <c r="A601" s="56" t="s">
        <v>1729</v>
      </c>
      <c r="B601" s="56" t="s">
        <v>1730</v>
      </c>
      <c r="C601" s="56" t="s">
        <v>51</v>
      </c>
      <c r="D601" s="56" t="str">
        <f aca="false">IFERROR(INDEX('Brand Map'!$B$4:$B$124,MATCH(C601,'Brand Map'!$A$4:$A$124,0)),"Other")</f>
        <v>AU</v>
      </c>
      <c r="E601" s="57" t="n">
        <v>3</v>
      </c>
      <c r="F601" s="57" t="n">
        <v>0</v>
      </c>
      <c r="G601" s="58" t="n">
        <v>126.67</v>
      </c>
      <c r="H601" s="58" t="n">
        <v>0</v>
      </c>
      <c r="I601" s="58" t="n">
        <v>126.67</v>
      </c>
      <c r="J601" s="32" t="n">
        <f aca="false">IF(E601&gt;0,F601/E601,0)</f>
        <v>0</v>
      </c>
      <c r="K601" s="32" t="n">
        <f aca="false">IF(G601&gt;0,H601/G601,0)</f>
        <v>-0</v>
      </c>
      <c r="L601" s="59" t="n">
        <f aca="false">H601/Settings!$B$16</f>
        <v>-0</v>
      </c>
      <c r="M601" s="59" t="n">
        <f aca="false">H601/Settings!$B$20</f>
        <v>-0</v>
      </c>
      <c r="N601" s="60" t="n">
        <f aca="false">E601*Settings!$B$3</f>
        <v>0.0929584532394613</v>
      </c>
      <c r="O601" s="60" t="n">
        <f aca="false">IF(E601&gt;0,(F601-N601)/SQRT(E601*Settings!$B$3*(1-Settings!$B$3)),0)</f>
        <v>-0.30972727558513</v>
      </c>
      <c r="P601" s="60" t="n">
        <f aca="false">MAX(0,F601-N601)</f>
        <v>0</v>
      </c>
      <c r="Q601" s="32" t="n">
        <f aca="false">(F601+Settings!$B$7*Settings!$B$3)/(E601+Settings!$B$7)</f>
        <v>0.0281692282543822</v>
      </c>
      <c r="R601" s="61" t="n">
        <f aca="false">PERCENTRANK($H$2:$H$1780,H601,6)</f>
        <v>0</v>
      </c>
      <c r="S601" s="61" t="n">
        <f aca="false">PERCENTRANK($Q$2:$Q$1780,Q601,6)</f>
        <v>0.294151</v>
      </c>
      <c r="T601" s="61" t="n">
        <f aca="false">PERCENTRANK($F$2:$F$1780,F601,6)</f>
        <v>0</v>
      </c>
      <c r="U601" s="62" t="n">
        <f aca="false">IF(F601&gt;0,(Settings!$B$8*T601+Settings!$B$9*R601+Settings!$B$10*S601)/SUM(Settings!$B$8:$B$10),0)</f>
        <v>0</v>
      </c>
      <c r="V601" s="56" t="str">
        <f aca="false">IF(U601&gt;0,RANK(U601,$U$2:$U$1780)+COUNTIF($U$2:U601,U601)-1,"")</f>
        <v/>
      </c>
      <c r="W601" s="56" t="str">
        <f aca="false">IF(V601="","",IF(V601&lt;=Settings!$B$11,"1 - Fix first",IF(V601&lt;=Settings!$B$12,"2 - Review","3 - Monitor")))</f>
        <v/>
      </c>
      <c r="X601" s="56" t="str">
        <f aca="false">IF(AND(E601&gt;=Settings!$B$4,F601&gt;=Settings!$B$5,O601&gt;=Settings!$B$6),"HIGH RATE","")</f>
        <v/>
      </c>
      <c r="Y601" s="56" t="str">
        <f aca="false">IF(F601&gt;0,RANK(F601,$F$2:$F$1780)+COUNTIF($F$2:F601,F601)-1,"")</f>
        <v/>
      </c>
      <c r="Z601" s="56" t="str">
        <f aca="false">IF(H601&gt;0,RANK(H601,$H$2:$H$1780)+COUNTIF($H$2:H601,H601)-1,"")</f>
        <v/>
      </c>
      <c r="AA601" s="56" t="str">
        <f aca="false">IF(AC601="","",RANK(AC601,$AC$2:$AC$1780)+COUNTIF($AC$2:AC601,AC601)-1)</f>
        <v/>
      </c>
      <c r="AB601" s="56" t="str">
        <f aca="false">IF(AD601="","",RANK(AD601,$AD$2:$AD$1780)+COUNTIF($AD$2:AD601,AD601)-1)</f>
        <v/>
      </c>
      <c r="AC601" s="56" t="str">
        <f aca="false">IF(AND(F601&gt;0,E601&gt;=Settings!$B$4),J601,"")</f>
        <v/>
      </c>
      <c r="AD601" s="56" t="str">
        <f aca="false">IF(X601="HIGH RATE",O601,"")</f>
        <v/>
      </c>
    </row>
    <row r="602" customFormat="false" ht="15" hidden="false" customHeight="false" outlineLevel="0" collapsed="false">
      <c r="A602" s="56" t="s">
        <v>1731</v>
      </c>
      <c r="B602" s="56" t="s">
        <v>1732</v>
      </c>
      <c r="C602" s="56" t="s">
        <v>51</v>
      </c>
      <c r="D602" s="56" t="str">
        <f aca="false">IFERROR(INDEX('Brand Map'!$B$4:$B$124,MATCH(C602,'Brand Map'!$A$4:$A$124,0)),"Other")</f>
        <v>AU</v>
      </c>
      <c r="E602" s="57" t="n">
        <v>3</v>
      </c>
      <c r="F602" s="57" t="n">
        <v>0</v>
      </c>
      <c r="G602" s="58" t="n">
        <v>72.58</v>
      </c>
      <c r="H602" s="58" t="n">
        <v>0</v>
      </c>
      <c r="I602" s="58" t="n">
        <v>72.58</v>
      </c>
      <c r="J602" s="32" t="n">
        <f aca="false">IF(E602&gt;0,F602/E602,0)</f>
        <v>0</v>
      </c>
      <c r="K602" s="32" t="n">
        <f aca="false">IF(G602&gt;0,H602/G602,0)</f>
        <v>-0</v>
      </c>
      <c r="L602" s="59" t="n">
        <f aca="false">H602/Settings!$B$16</f>
        <v>-0</v>
      </c>
      <c r="M602" s="59" t="n">
        <f aca="false">H602/Settings!$B$20</f>
        <v>-0</v>
      </c>
      <c r="N602" s="60" t="n">
        <f aca="false">E602*Settings!$B$3</f>
        <v>0.0929584532394613</v>
      </c>
      <c r="O602" s="60" t="n">
        <f aca="false">IF(E602&gt;0,(F602-N602)/SQRT(E602*Settings!$B$3*(1-Settings!$B$3)),0)</f>
        <v>-0.30972727558513</v>
      </c>
      <c r="P602" s="60" t="n">
        <f aca="false">MAX(0,F602-N602)</f>
        <v>0</v>
      </c>
      <c r="Q602" s="32" t="n">
        <f aca="false">(F602+Settings!$B$7*Settings!$B$3)/(E602+Settings!$B$7)</f>
        <v>0.0281692282543822</v>
      </c>
      <c r="R602" s="61" t="n">
        <f aca="false">PERCENTRANK($H$2:$H$1780,H602,6)</f>
        <v>0</v>
      </c>
      <c r="S602" s="61" t="n">
        <f aca="false">PERCENTRANK($Q$2:$Q$1780,Q602,6)</f>
        <v>0.294151</v>
      </c>
      <c r="T602" s="61" t="n">
        <f aca="false">PERCENTRANK($F$2:$F$1780,F602,6)</f>
        <v>0</v>
      </c>
      <c r="U602" s="62" t="n">
        <f aca="false">IF(F602&gt;0,(Settings!$B$8*T602+Settings!$B$9*R602+Settings!$B$10*S602)/SUM(Settings!$B$8:$B$10),0)</f>
        <v>0</v>
      </c>
      <c r="V602" s="56" t="str">
        <f aca="false">IF(U602&gt;0,RANK(U602,$U$2:$U$1780)+COUNTIF($U$2:U602,U602)-1,"")</f>
        <v/>
      </c>
      <c r="W602" s="56" t="str">
        <f aca="false">IF(V602="","",IF(V602&lt;=Settings!$B$11,"1 - Fix first",IF(V602&lt;=Settings!$B$12,"2 - Review","3 - Monitor")))</f>
        <v/>
      </c>
      <c r="X602" s="56" t="str">
        <f aca="false">IF(AND(E602&gt;=Settings!$B$4,F602&gt;=Settings!$B$5,O602&gt;=Settings!$B$6),"HIGH RATE","")</f>
        <v/>
      </c>
      <c r="Y602" s="56" t="str">
        <f aca="false">IF(F602&gt;0,RANK(F602,$F$2:$F$1780)+COUNTIF($F$2:F602,F602)-1,"")</f>
        <v/>
      </c>
      <c r="Z602" s="56" t="str">
        <f aca="false">IF(H602&gt;0,RANK(H602,$H$2:$H$1780)+COUNTIF($H$2:H602,H602)-1,"")</f>
        <v/>
      </c>
      <c r="AA602" s="56" t="str">
        <f aca="false">IF(AC602="","",RANK(AC602,$AC$2:$AC$1780)+COUNTIF($AC$2:AC602,AC602)-1)</f>
        <v/>
      </c>
      <c r="AB602" s="56" t="str">
        <f aca="false">IF(AD602="","",RANK(AD602,$AD$2:$AD$1780)+COUNTIF($AD$2:AD602,AD602)-1)</f>
        <v/>
      </c>
      <c r="AC602" s="56" t="str">
        <f aca="false">IF(AND(F602&gt;0,E602&gt;=Settings!$B$4),J602,"")</f>
        <v/>
      </c>
      <c r="AD602" s="56" t="str">
        <f aca="false">IF(X602="HIGH RATE",O602,"")</f>
        <v/>
      </c>
    </row>
    <row r="603" customFormat="false" ht="15" hidden="false" customHeight="false" outlineLevel="0" collapsed="false">
      <c r="A603" s="56" t="s">
        <v>1733</v>
      </c>
      <c r="B603" s="56" t="s">
        <v>685</v>
      </c>
      <c r="C603" s="56" t="s">
        <v>51</v>
      </c>
      <c r="D603" s="56" t="str">
        <f aca="false">IFERROR(INDEX('Brand Map'!$B$4:$B$124,MATCH(C603,'Brand Map'!$A$4:$A$124,0)),"Other")</f>
        <v>AU</v>
      </c>
      <c r="E603" s="57" t="n">
        <v>1</v>
      </c>
      <c r="F603" s="57" t="n">
        <v>0</v>
      </c>
      <c r="G603" s="58" t="n">
        <v>9.04</v>
      </c>
      <c r="H603" s="58" t="n">
        <v>0</v>
      </c>
      <c r="I603" s="58" t="n">
        <v>7.69</v>
      </c>
      <c r="J603" s="32" t="n">
        <f aca="false">IF(E603&gt;0,F603/E603,0)</f>
        <v>0</v>
      </c>
      <c r="K603" s="32" t="n">
        <f aca="false">IF(G603&gt;0,H603/G603,0)</f>
        <v>-0</v>
      </c>
      <c r="L603" s="59" t="n">
        <f aca="false">H603/Settings!$B$16</f>
        <v>-0</v>
      </c>
      <c r="M603" s="59" t="n">
        <f aca="false">H603/Settings!$B$20</f>
        <v>-0</v>
      </c>
      <c r="N603" s="60" t="n">
        <f aca="false">E603*Settings!$B$3</f>
        <v>0.0309861510798204</v>
      </c>
      <c r="O603" s="60" t="n">
        <f aca="false">IF(E603&gt;0,(F603-N603)/SQRT(E603*Settings!$B$3*(1-Settings!$B$3)),0)</f>
        <v>-0.178821125934444</v>
      </c>
      <c r="P603" s="60" t="n">
        <f aca="false">MAX(0,F603-N603)</f>
        <v>0</v>
      </c>
      <c r="Q603" s="32" t="n">
        <f aca="false">(F603+Settings!$B$7*Settings!$B$3)/(E603+Settings!$B$7)</f>
        <v>0.0299865978191811</v>
      </c>
      <c r="R603" s="61" t="n">
        <f aca="false">PERCENTRANK($H$2:$H$1780,H603,6)</f>
        <v>0</v>
      </c>
      <c r="S603" s="61" t="n">
        <f aca="false">PERCENTRANK($Q$2:$Q$1780,Q603,6)</f>
        <v>0.486502</v>
      </c>
      <c r="T603" s="61" t="n">
        <f aca="false">PERCENTRANK($F$2:$F$1780,F603,6)</f>
        <v>0</v>
      </c>
      <c r="U603" s="62" t="n">
        <f aca="false">IF(F603&gt;0,(Settings!$B$8*T603+Settings!$B$9*R603+Settings!$B$10*S603)/SUM(Settings!$B$8:$B$10),0)</f>
        <v>0</v>
      </c>
      <c r="V603" s="56" t="str">
        <f aca="false">IF(U603&gt;0,RANK(U603,$U$2:$U$1780)+COUNTIF($U$2:U603,U603)-1,"")</f>
        <v/>
      </c>
      <c r="W603" s="56" t="str">
        <f aca="false">IF(V603="","",IF(V603&lt;=Settings!$B$11,"1 - Fix first",IF(V603&lt;=Settings!$B$12,"2 - Review","3 - Monitor")))</f>
        <v/>
      </c>
      <c r="X603" s="56" t="str">
        <f aca="false">IF(AND(E603&gt;=Settings!$B$4,F603&gt;=Settings!$B$5,O603&gt;=Settings!$B$6),"HIGH RATE","")</f>
        <v/>
      </c>
      <c r="Y603" s="56" t="str">
        <f aca="false">IF(F603&gt;0,RANK(F603,$F$2:$F$1780)+COUNTIF($F$2:F603,F603)-1,"")</f>
        <v/>
      </c>
      <c r="Z603" s="56" t="str">
        <f aca="false">IF(H603&gt;0,RANK(H603,$H$2:$H$1780)+COUNTIF($H$2:H603,H603)-1,"")</f>
        <v/>
      </c>
      <c r="AA603" s="56" t="str">
        <f aca="false">IF(AC603="","",RANK(AC603,$AC$2:$AC$1780)+COUNTIF($AC$2:AC603,AC603)-1)</f>
        <v/>
      </c>
      <c r="AB603" s="56" t="str">
        <f aca="false">IF(AD603="","",RANK(AD603,$AD$2:$AD$1780)+COUNTIF($AD$2:AD603,AD603)-1)</f>
        <v/>
      </c>
      <c r="AC603" s="56" t="str">
        <f aca="false">IF(AND(F603&gt;0,E603&gt;=Settings!$B$4),J603,"")</f>
        <v/>
      </c>
      <c r="AD603" s="56" t="str">
        <f aca="false">IF(X603="HIGH RATE",O603,"")</f>
        <v/>
      </c>
    </row>
    <row r="604" customFormat="false" ht="15" hidden="false" customHeight="false" outlineLevel="0" collapsed="false">
      <c r="A604" s="56" t="s">
        <v>1734</v>
      </c>
      <c r="B604" s="56" t="s">
        <v>591</v>
      </c>
      <c r="C604" s="56" t="s">
        <v>51</v>
      </c>
      <c r="D604" s="56" t="str">
        <f aca="false">IFERROR(INDEX('Brand Map'!$B$4:$B$124,MATCH(C604,'Brand Map'!$A$4:$A$124,0)),"Other")</f>
        <v>AU</v>
      </c>
      <c r="E604" s="57" t="n">
        <v>17</v>
      </c>
      <c r="F604" s="57" t="n">
        <v>0</v>
      </c>
      <c r="G604" s="58" t="n">
        <v>110.11</v>
      </c>
      <c r="H604" s="58" t="n">
        <v>0</v>
      </c>
      <c r="I604" s="58" t="n">
        <v>110.11</v>
      </c>
      <c r="J604" s="32" t="n">
        <f aca="false">IF(E604&gt;0,F604/E604,0)</f>
        <v>0</v>
      </c>
      <c r="K604" s="32" t="n">
        <f aca="false">IF(G604&gt;0,H604/G604,0)</f>
        <v>-0</v>
      </c>
      <c r="L604" s="59" t="n">
        <f aca="false">H604/Settings!$B$16</f>
        <v>-0</v>
      </c>
      <c r="M604" s="59" t="n">
        <f aca="false">H604/Settings!$B$20</f>
        <v>-0</v>
      </c>
      <c r="N604" s="60" t="n">
        <f aca="false">E604*Settings!$B$3</f>
        <v>0.526764568356947</v>
      </c>
      <c r="O604" s="60" t="n">
        <f aca="false">IF(E604&gt;0,(F604-N604)/SQRT(E604*Settings!$B$3*(1-Settings!$B$3)),0)</f>
        <v>-0.73729839031959</v>
      </c>
      <c r="P604" s="60" t="n">
        <f aca="false">MAX(0,F604-N604)</f>
        <v>0</v>
      </c>
      <c r="Q604" s="32" t="n">
        <f aca="false">(F604+Settings!$B$7*Settings!$B$3)/(E604+Settings!$B$7)</f>
        <v>0.0197783943062684</v>
      </c>
      <c r="R604" s="61" t="n">
        <f aca="false">PERCENTRANK($H$2:$H$1780,H604,6)</f>
        <v>0</v>
      </c>
      <c r="S604" s="61" t="n">
        <f aca="false">PERCENTRANK($Q$2:$Q$1780,Q604,6)</f>
        <v>0.0883015</v>
      </c>
      <c r="T604" s="61" t="n">
        <f aca="false">PERCENTRANK($F$2:$F$1780,F604,6)</f>
        <v>0</v>
      </c>
      <c r="U604" s="62" t="n">
        <f aca="false">IF(F604&gt;0,(Settings!$B$8*T604+Settings!$B$9*R604+Settings!$B$10*S604)/SUM(Settings!$B$8:$B$10),0)</f>
        <v>0</v>
      </c>
      <c r="V604" s="56" t="str">
        <f aca="false">IF(U604&gt;0,RANK(U604,$U$2:$U$1780)+COUNTIF($U$2:U604,U604)-1,"")</f>
        <v/>
      </c>
      <c r="W604" s="56" t="str">
        <f aca="false">IF(V604="","",IF(V604&lt;=Settings!$B$11,"1 - Fix first",IF(V604&lt;=Settings!$B$12,"2 - Review","3 - Monitor")))</f>
        <v/>
      </c>
      <c r="X604" s="56" t="str">
        <f aca="false">IF(AND(E604&gt;=Settings!$B$4,F604&gt;=Settings!$B$5,O604&gt;=Settings!$B$6),"HIGH RATE","")</f>
        <v/>
      </c>
      <c r="Y604" s="56" t="str">
        <f aca="false">IF(F604&gt;0,RANK(F604,$F$2:$F$1780)+COUNTIF($F$2:F604,F604)-1,"")</f>
        <v/>
      </c>
      <c r="Z604" s="56" t="str">
        <f aca="false">IF(H604&gt;0,RANK(H604,$H$2:$H$1780)+COUNTIF($H$2:H604,H604)-1,"")</f>
        <v/>
      </c>
      <c r="AA604" s="56" t="str">
        <f aca="false">IF(AC604="","",RANK(AC604,$AC$2:$AC$1780)+COUNTIF($AC$2:AC604,AC604)-1)</f>
        <v/>
      </c>
      <c r="AB604" s="56" t="str">
        <f aca="false">IF(AD604="","",RANK(AD604,$AD$2:$AD$1780)+COUNTIF($AD$2:AD604,AD604)-1)</f>
        <v/>
      </c>
      <c r="AC604" s="56" t="str">
        <f aca="false">IF(AND(F604&gt;0,E604&gt;=Settings!$B$4),J604,"")</f>
        <v/>
      </c>
      <c r="AD604" s="56" t="str">
        <f aca="false">IF(X604="HIGH RATE",O604,"")</f>
        <v/>
      </c>
    </row>
    <row r="605" customFormat="false" ht="15" hidden="false" customHeight="false" outlineLevel="0" collapsed="false">
      <c r="A605" s="56" t="s">
        <v>1735</v>
      </c>
      <c r="B605" s="56" t="s">
        <v>599</v>
      </c>
      <c r="C605" s="56" t="s">
        <v>51</v>
      </c>
      <c r="D605" s="56" t="str">
        <f aca="false">IFERROR(INDEX('Brand Map'!$B$4:$B$124,MATCH(C605,'Brand Map'!$A$4:$A$124,0)),"Other")</f>
        <v>AU</v>
      </c>
      <c r="E605" s="57" t="n">
        <v>8</v>
      </c>
      <c r="F605" s="57" t="n">
        <v>0</v>
      </c>
      <c r="G605" s="58" t="n">
        <v>45.08</v>
      </c>
      <c r="H605" s="58" t="n">
        <v>0</v>
      </c>
      <c r="I605" s="58" t="n">
        <v>45.08</v>
      </c>
      <c r="J605" s="32" t="n">
        <f aca="false">IF(E605&gt;0,F605/E605,0)</f>
        <v>0</v>
      </c>
      <c r="K605" s="32" t="n">
        <f aca="false">IF(G605&gt;0,H605/G605,0)</f>
        <v>-0</v>
      </c>
      <c r="L605" s="59" t="n">
        <f aca="false">H605/Settings!$B$16</f>
        <v>-0</v>
      </c>
      <c r="M605" s="59" t="n">
        <f aca="false">H605/Settings!$B$20</f>
        <v>-0</v>
      </c>
      <c r="N605" s="60" t="n">
        <f aca="false">E605*Settings!$B$3</f>
        <v>0.247889208638563</v>
      </c>
      <c r="O605" s="60" t="n">
        <f aca="false">IF(E605&gt;0,(F605-N605)/SQRT(E605*Settings!$B$3*(1-Settings!$B$3)),0)</f>
        <v>-0.505782523070636</v>
      </c>
      <c r="P605" s="60" t="n">
        <f aca="false">MAX(0,F605-N605)</f>
        <v>0</v>
      </c>
      <c r="Q605" s="32" t="n">
        <f aca="false">(F605+Settings!$B$7*Settings!$B$3)/(E605+Settings!$B$7)</f>
        <v>0.0244627508524898</v>
      </c>
      <c r="R605" s="61" t="n">
        <f aca="false">PERCENTRANK($H$2:$H$1780,H605,6)</f>
        <v>0</v>
      </c>
      <c r="S605" s="61" t="n">
        <f aca="false">PERCENTRANK($Q$2:$Q$1780,Q605,6)</f>
        <v>0.154668</v>
      </c>
      <c r="T605" s="61" t="n">
        <f aca="false">PERCENTRANK($F$2:$F$1780,F605,6)</f>
        <v>0</v>
      </c>
      <c r="U605" s="62" t="n">
        <f aca="false">IF(F605&gt;0,(Settings!$B$8*T605+Settings!$B$9*R605+Settings!$B$10*S605)/SUM(Settings!$B$8:$B$10),0)</f>
        <v>0</v>
      </c>
      <c r="V605" s="56" t="str">
        <f aca="false">IF(U605&gt;0,RANK(U605,$U$2:$U$1780)+COUNTIF($U$2:U605,U605)-1,"")</f>
        <v/>
      </c>
      <c r="W605" s="56" t="str">
        <f aca="false">IF(V605="","",IF(V605&lt;=Settings!$B$11,"1 - Fix first",IF(V605&lt;=Settings!$B$12,"2 - Review","3 - Monitor")))</f>
        <v/>
      </c>
      <c r="X605" s="56" t="str">
        <f aca="false">IF(AND(E605&gt;=Settings!$B$4,F605&gt;=Settings!$B$5,O605&gt;=Settings!$B$6),"HIGH RATE","")</f>
        <v/>
      </c>
      <c r="Y605" s="56" t="str">
        <f aca="false">IF(F605&gt;0,RANK(F605,$F$2:$F$1780)+COUNTIF($F$2:F605,F605)-1,"")</f>
        <v/>
      </c>
      <c r="Z605" s="56" t="str">
        <f aca="false">IF(H605&gt;0,RANK(H605,$H$2:$H$1780)+COUNTIF($H$2:H605,H605)-1,"")</f>
        <v/>
      </c>
      <c r="AA605" s="56" t="str">
        <f aca="false">IF(AC605="","",RANK(AC605,$AC$2:$AC$1780)+COUNTIF($AC$2:AC605,AC605)-1)</f>
        <v/>
      </c>
      <c r="AB605" s="56" t="str">
        <f aca="false">IF(AD605="","",RANK(AD605,$AD$2:$AD$1780)+COUNTIF($AD$2:AD605,AD605)-1)</f>
        <v/>
      </c>
      <c r="AC605" s="56" t="str">
        <f aca="false">IF(AND(F605&gt;0,E605&gt;=Settings!$B$4),J605,"")</f>
        <v/>
      </c>
      <c r="AD605" s="56" t="str">
        <f aca="false">IF(X605="HIGH RATE",O605,"")</f>
        <v/>
      </c>
    </row>
    <row r="606" customFormat="false" ht="15" hidden="false" customHeight="false" outlineLevel="0" collapsed="false">
      <c r="A606" s="56" t="s">
        <v>1736</v>
      </c>
      <c r="B606" s="56" t="s">
        <v>1064</v>
      </c>
      <c r="C606" s="56" t="s">
        <v>51</v>
      </c>
      <c r="D606" s="56" t="str">
        <f aca="false">IFERROR(INDEX('Brand Map'!$B$4:$B$124,MATCH(C606,'Brand Map'!$A$4:$A$124,0)),"Other")</f>
        <v>AU</v>
      </c>
      <c r="E606" s="57" t="n">
        <v>1</v>
      </c>
      <c r="F606" s="57" t="n">
        <v>0</v>
      </c>
      <c r="G606" s="58" t="n">
        <v>4.54</v>
      </c>
      <c r="H606" s="58" t="n">
        <v>0</v>
      </c>
      <c r="I606" s="58" t="n">
        <v>4.54</v>
      </c>
      <c r="J606" s="32" t="n">
        <f aca="false">IF(E606&gt;0,F606/E606,0)</f>
        <v>0</v>
      </c>
      <c r="K606" s="32" t="n">
        <f aca="false">IF(G606&gt;0,H606/G606,0)</f>
        <v>-0</v>
      </c>
      <c r="L606" s="59" t="n">
        <f aca="false">H606/Settings!$B$16</f>
        <v>-0</v>
      </c>
      <c r="M606" s="59" t="n">
        <f aca="false">H606/Settings!$B$20</f>
        <v>-0</v>
      </c>
      <c r="N606" s="60" t="n">
        <f aca="false">E606*Settings!$B$3</f>
        <v>0.0309861510798204</v>
      </c>
      <c r="O606" s="60" t="n">
        <f aca="false">IF(E606&gt;0,(F606-N606)/SQRT(E606*Settings!$B$3*(1-Settings!$B$3)),0)</f>
        <v>-0.178821125934444</v>
      </c>
      <c r="P606" s="60" t="n">
        <f aca="false">MAX(0,F606-N606)</f>
        <v>0</v>
      </c>
      <c r="Q606" s="32" t="n">
        <f aca="false">(F606+Settings!$B$7*Settings!$B$3)/(E606+Settings!$B$7)</f>
        <v>0.0299865978191811</v>
      </c>
      <c r="R606" s="61" t="n">
        <f aca="false">PERCENTRANK($H$2:$H$1780,H606,6)</f>
        <v>0</v>
      </c>
      <c r="S606" s="61" t="n">
        <f aca="false">PERCENTRANK($Q$2:$Q$1780,Q606,6)</f>
        <v>0.486502</v>
      </c>
      <c r="T606" s="61" t="n">
        <f aca="false">PERCENTRANK($F$2:$F$1780,F606,6)</f>
        <v>0</v>
      </c>
      <c r="U606" s="62" t="n">
        <f aca="false">IF(F606&gt;0,(Settings!$B$8*T606+Settings!$B$9*R606+Settings!$B$10*S606)/SUM(Settings!$B$8:$B$10),0)</f>
        <v>0</v>
      </c>
      <c r="V606" s="56" t="str">
        <f aca="false">IF(U606&gt;0,RANK(U606,$U$2:$U$1780)+COUNTIF($U$2:U606,U606)-1,"")</f>
        <v/>
      </c>
      <c r="W606" s="56" t="str">
        <f aca="false">IF(V606="","",IF(V606&lt;=Settings!$B$11,"1 - Fix first",IF(V606&lt;=Settings!$B$12,"2 - Review","3 - Monitor")))</f>
        <v/>
      </c>
      <c r="X606" s="56" t="str">
        <f aca="false">IF(AND(E606&gt;=Settings!$B$4,F606&gt;=Settings!$B$5,O606&gt;=Settings!$B$6),"HIGH RATE","")</f>
        <v/>
      </c>
      <c r="Y606" s="56" t="str">
        <f aca="false">IF(F606&gt;0,RANK(F606,$F$2:$F$1780)+COUNTIF($F$2:F606,F606)-1,"")</f>
        <v/>
      </c>
      <c r="Z606" s="56" t="str">
        <f aca="false">IF(H606&gt;0,RANK(H606,$H$2:$H$1780)+COUNTIF($H$2:H606,H606)-1,"")</f>
        <v/>
      </c>
      <c r="AA606" s="56" t="str">
        <f aca="false">IF(AC606="","",RANK(AC606,$AC$2:$AC$1780)+COUNTIF($AC$2:AC606,AC606)-1)</f>
        <v/>
      </c>
      <c r="AB606" s="56" t="str">
        <f aca="false">IF(AD606="","",RANK(AD606,$AD$2:$AD$1780)+COUNTIF($AD$2:AD606,AD606)-1)</f>
        <v/>
      </c>
      <c r="AC606" s="56" t="str">
        <f aca="false">IF(AND(F606&gt;0,E606&gt;=Settings!$B$4),J606,"")</f>
        <v/>
      </c>
      <c r="AD606" s="56" t="str">
        <f aca="false">IF(X606="HIGH RATE",O606,"")</f>
        <v/>
      </c>
    </row>
    <row r="607" customFormat="false" ht="15" hidden="false" customHeight="false" outlineLevel="0" collapsed="false">
      <c r="A607" s="56" t="s">
        <v>1737</v>
      </c>
      <c r="B607" s="56" t="s">
        <v>912</v>
      </c>
      <c r="C607" s="56" t="s">
        <v>51</v>
      </c>
      <c r="D607" s="56" t="str">
        <f aca="false">IFERROR(INDEX('Brand Map'!$B$4:$B$124,MATCH(C607,'Brand Map'!$A$4:$A$124,0)),"Other")</f>
        <v>AU</v>
      </c>
      <c r="E607" s="57" t="n">
        <v>2</v>
      </c>
      <c r="F607" s="57" t="n">
        <v>0</v>
      </c>
      <c r="G607" s="58" t="n">
        <v>21.72</v>
      </c>
      <c r="H607" s="58" t="n">
        <v>0</v>
      </c>
      <c r="I607" s="58" t="n">
        <v>20.09</v>
      </c>
      <c r="J607" s="32" t="n">
        <f aca="false">IF(E607&gt;0,F607/E607,0)</f>
        <v>0</v>
      </c>
      <c r="K607" s="32" t="n">
        <f aca="false">IF(G607&gt;0,H607/G607,0)</f>
        <v>-0</v>
      </c>
      <c r="L607" s="59" t="n">
        <f aca="false">H607/Settings!$B$16</f>
        <v>-0</v>
      </c>
      <c r="M607" s="59" t="n">
        <f aca="false">H607/Settings!$B$20</f>
        <v>-0</v>
      </c>
      <c r="N607" s="60" t="n">
        <f aca="false">E607*Settings!$B$3</f>
        <v>0.0619723021596408</v>
      </c>
      <c r="O607" s="60" t="n">
        <f aca="false">IF(E607&gt;0,(F607-N607)/SQRT(E607*Settings!$B$3*(1-Settings!$B$3)),0)</f>
        <v>-0.252891261535318</v>
      </c>
      <c r="P607" s="60" t="n">
        <f aca="false">MAX(0,F607-N607)</f>
        <v>0</v>
      </c>
      <c r="Q607" s="32" t="n">
        <f aca="false">(F607+Settings!$B$7*Settings!$B$3)/(E607+Settings!$B$7)</f>
        <v>0.0290495166373316</v>
      </c>
      <c r="R607" s="61" t="n">
        <f aca="false">PERCENTRANK($H$2:$H$1780,H607,6)</f>
        <v>0</v>
      </c>
      <c r="S607" s="61" t="n">
        <f aca="false">PERCENTRANK($Q$2:$Q$1780,Q607,6)</f>
        <v>0.365579</v>
      </c>
      <c r="T607" s="61" t="n">
        <f aca="false">PERCENTRANK($F$2:$F$1780,F607,6)</f>
        <v>0</v>
      </c>
      <c r="U607" s="62" t="n">
        <f aca="false">IF(F607&gt;0,(Settings!$B$8*T607+Settings!$B$9*R607+Settings!$B$10*S607)/SUM(Settings!$B$8:$B$10),0)</f>
        <v>0</v>
      </c>
      <c r="V607" s="56" t="str">
        <f aca="false">IF(U607&gt;0,RANK(U607,$U$2:$U$1780)+COUNTIF($U$2:U607,U607)-1,"")</f>
        <v/>
      </c>
      <c r="W607" s="56" t="str">
        <f aca="false">IF(V607="","",IF(V607&lt;=Settings!$B$11,"1 - Fix first",IF(V607&lt;=Settings!$B$12,"2 - Review","3 - Monitor")))</f>
        <v/>
      </c>
      <c r="X607" s="56" t="str">
        <f aca="false">IF(AND(E607&gt;=Settings!$B$4,F607&gt;=Settings!$B$5,O607&gt;=Settings!$B$6),"HIGH RATE","")</f>
        <v/>
      </c>
      <c r="Y607" s="56" t="str">
        <f aca="false">IF(F607&gt;0,RANK(F607,$F$2:$F$1780)+COUNTIF($F$2:F607,F607)-1,"")</f>
        <v/>
      </c>
      <c r="Z607" s="56" t="str">
        <f aca="false">IF(H607&gt;0,RANK(H607,$H$2:$H$1780)+COUNTIF($H$2:H607,H607)-1,"")</f>
        <v/>
      </c>
      <c r="AA607" s="56" t="str">
        <f aca="false">IF(AC607="","",RANK(AC607,$AC$2:$AC$1780)+COUNTIF($AC$2:AC607,AC607)-1)</f>
        <v/>
      </c>
      <c r="AB607" s="56" t="str">
        <f aca="false">IF(AD607="","",RANK(AD607,$AD$2:$AD$1780)+COUNTIF($AD$2:AD607,AD607)-1)</f>
        <v/>
      </c>
      <c r="AC607" s="56" t="str">
        <f aca="false">IF(AND(F607&gt;0,E607&gt;=Settings!$B$4),J607,"")</f>
        <v/>
      </c>
      <c r="AD607" s="56" t="str">
        <f aca="false">IF(X607="HIGH RATE",O607,"")</f>
        <v/>
      </c>
    </row>
    <row r="608" customFormat="false" ht="15" hidden="false" customHeight="false" outlineLevel="0" collapsed="false">
      <c r="A608" s="56" t="s">
        <v>1738</v>
      </c>
      <c r="B608" s="56" t="s">
        <v>925</v>
      </c>
      <c r="C608" s="56" t="s">
        <v>51</v>
      </c>
      <c r="D608" s="56" t="str">
        <f aca="false">IFERROR(INDEX('Brand Map'!$B$4:$B$124,MATCH(C608,'Brand Map'!$A$4:$A$124,0)),"Other")</f>
        <v>AU</v>
      </c>
      <c r="E608" s="57" t="n">
        <v>6</v>
      </c>
      <c r="F608" s="57" t="n">
        <v>0</v>
      </c>
      <c r="G608" s="58" t="n">
        <v>60.65</v>
      </c>
      <c r="H608" s="58" t="n">
        <v>0</v>
      </c>
      <c r="I608" s="58" t="n">
        <v>60.65</v>
      </c>
      <c r="J608" s="32" t="n">
        <f aca="false">IF(E608&gt;0,F608/E608,0)</f>
        <v>0</v>
      </c>
      <c r="K608" s="32" t="n">
        <f aca="false">IF(G608&gt;0,H608/G608,0)</f>
        <v>-0</v>
      </c>
      <c r="L608" s="59" t="n">
        <f aca="false">H608/Settings!$B$16</f>
        <v>-0</v>
      </c>
      <c r="M608" s="59" t="n">
        <f aca="false">H608/Settings!$B$20</f>
        <v>-0</v>
      </c>
      <c r="N608" s="60" t="n">
        <f aca="false">E608*Settings!$B$3</f>
        <v>0.185916906478923</v>
      </c>
      <c r="O608" s="60" t="n">
        <f aca="false">IF(E608&gt;0,(F608-N608)/SQRT(E608*Settings!$B$3*(1-Settings!$B$3)),0)</f>
        <v>-0.43802051376936</v>
      </c>
      <c r="P608" s="60" t="n">
        <f aca="false">MAX(0,F608-N608)</f>
        <v>0</v>
      </c>
      <c r="Q608" s="32" t="n">
        <f aca="false">(F608+Settings!$B$7*Settings!$B$3)/(E608+Settings!$B$7)</f>
        <v>0.025821792566517</v>
      </c>
      <c r="R608" s="61" t="n">
        <f aca="false">PERCENTRANK($H$2:$H$1780,H608,6)</f>
        <v>0</v>
      </c>
      <c r="S608" s="61" t="n">
        <f aca="false">PERCENTRANK($Q$2:$Q$1780,Q608,6)</f>
        <v>0.189539</v>
      </c>
      <c r="T608" s="61" t="n">
        <f aca="false">PERCENTRANK($F$2:$F$1780,F608,6)</f>
        <v>0</v>
      </c>
      <c r="U608" s="62" t="n">
        <f aca="false">IF(F608&gt;0,(Settings!$B$8*T608+Settings!$B$9*R608+Settings!$B$10*S608)/SUM(Settings!$B$8:$B$10),0)</f>
        <v>0</v>
      </c>
      <c r="V608" s="56" t="str">
        <f aca="false">IF(U608&gt;0,RANK(U608,$U$2:$U$1780)+COUNTIF($U$2:U608,U608)-1,"")</f>
        <v/>
      </c>
      <c r="W608" s="56" t="str">
        <f aca="false">IF(V608="","",IF(V608&lt;=Settings!$B$11,"1 - Fix first",IF(V608&lt;=Settings!$B$12,"2 - Review","3 - Monitor")))</f>
        <v/>
      </c>
      <c r="X608" s="56" t="str">
        <f aca="false">IF(AND(E608&gt;=Settings!$B$4,F608&gt;=Settings!$B$5,O608&gt;=Settings!$B$6),"HIGH RATE","")</f>
        <v/>
      </c>
      <c r="Y608" s="56" t="str">
        <f aca="false">IF(F608&gt;0,RANK(F608,$F$2:$F$1780)+COUNTIF($F$2:F608,F608)-1,"")</f>
        <v/>
      </c>
      <c r="Z608" s="56" t="str">
        <f aca="false">IF(H608&gt;0,RANK(H608,$H$2:$H$1780)+COUNTIF($H$2:H608,H608)-1,"")</f>
        <v/>
      </c>
      <c r="AA608" s="56" t="str">
        <f aca="false">IF(AC608="","",RANK(AC608,$AC$2:$AC$1780)+COUNTIF($AC$2:AC608,AC608)-1)</f>
        <v/>
      </c>
      <c r="AB608" s="56" t="str">
        <f aca="false">IF(AD608="","",RANK(AD608,$AD$2:$AD$1780)+COUNTIF($AD$2:AD608,AD608)-1)</f>
        <v/>
      </c>
      <c r="AC608" s="56" t="str">
        <f aca="false">IF(AND(F608&gt;0,E608&gt;=Settings!$B$4),J608,"")</f>
        <v/>
      </c>
      <c r="AD608" s="56" t="str">
        <f aca="false">IF(X608="HIGH RATE",O608,"")</f>
        <v/>
      </c>
    </row>
    <row r="609" customFormat="false" ht="15" hidden="false" customHeight="false" outlineLevel="0" collapsed="false">
      <c r="A609" s="56" t="s">
        <v>1739</v>
      </c>
      <c r="B609" s="56" t="s">
        <v>885</v>
      </c>
      <c r="C609" s="56" t="s">
        <v>51</v>
      </c>
      <c r="D609" s="56" t="str">
        <f aca="false">IFERROR(INDEX('Brand Map'!$B$4:$B$124,MATCH(C609,'Brand Map'!$A$4:$A$124,0)),"Other")</f>
        <v>AU</v>
      </c>
      <c r="E609" s="57" t="n">
        <v>3</v>
      </c>
      <c r="F609" s="57" t="n">
        <v>0</v>
      </c>
      <c r="G609" s="58" t="n">
        <v>27.14</v>
      </c>
      <c r="H609" s="58" t="n">
        <v>0</v>
      </c>
      <c r="I609" s="58" t="n">
        <v>25.78</v>
      </c>
      <c r="J609" s="32" t="n">
        <f aca="false">IF(E609&gt;0,F609/E609,0)</f>
        <v>0</v>
      </c>
      <c r="K609" s="32" t="n">
        <f aca="false">IF(G609&gt;0,H609/G609,0)</f>
        <v>-0</v>
      </c>
      <c r="L609" s="59" t="n">
        <f aca="false">H609/Settings!$B$16</f>
        <v>-0</v>
      </c>
      <c r="M609" s="59" t="n">
        <f aca="false">H609/Settings!$B$20</f>
        <v>-0</v>
      </c>
      <c r="N609" s="60" t="n">
        <f aca="false">E609*Settings!$B$3</f>
        <v>0.0929584532394613</v>
      </c>
      <c r="O609" s="60" t="n">
        <f aca="false">IF(E609&gt;0,(F609-N609)/SQRT(E609*Settings!$B$3*(1-Settings!$B$3)),0)</f>
        <v>-0.30972727558513</v>
      </c>
      <c r="P609" s="60" t="n">
        <f aca="false">MAX(0,F609-N609)</f>
        <v>0</v>
      </c>
      <c r="Q609" s="32" t="n">
        <f aca="false">(F609+Settings!$B$7*Settings!$B$3)/(E609+Settings!$B$7)</f>
        <v>0.0281692282543822</v>
      </c>
      <c r="R609" s="61" t="n">
        <f aca="false">PERCENTRANK($H$2:$H$1780,H609,6)</f>
        <v>0</v>
      </c>
      <c r="S609" s="61" t="n">
        <f aca="false">PERCENTRANK($Q$2:$Q$1780,Q609,6)</f>
        <v>0.294151</v>
      </c>
      <c r="T609" s="61" t="n">
        <f aca="false">PERCENTRANK($F$2:$F$1780,F609,6)</f>
        <v>0</v>
      </c>
      <c r="U609" s="62" t="n">
        <f aca="false">IF(F609&gt;0,(Settings!$B$8*T609+Settings!$B$9*R609+Settings!$B$10*S609)/SUM(Settings!$B$8:$B$10),0)</f>
        <v>0</v>
      </c>
      <c r="V609" s="56" t="str">
        <f aca="false">IF(U609&gt;0,RANK(U609,$U$2:$U$1780)+COUNTIF($U$2:U609,U609)-1,"")</f>
        <v/>
      </c>
      <c r="W609" s="56" t="str">
        <f aca="false">IF(V609="","",IF(V609&lt;=Settings!$B$11,"1 - Fix first",IF(V609&lt;=Settings!$B$12,"2 - Review","3 - Monitor")))</f>
        <v/>
      </c>
      <c r="X609" s="56" t="str">
        <f aca="false">IF(AND(E609&gt;=Settings!$B$4,F609&gt;=Settings!$B$5,O609&gt;=Settings!$B$6),"HIGH RATE","")</f>
        <v/>
      </c>
      <c r="Y609" s="56" t="str">
        <f aca="false">IF(F609&gt;0,RANK(F609,$F$2:$F$1780)+COUNTIF($F$2:F609,F609)-1,"")</f>
        <v/>
      </c>
      <c r="Z609" s="56" t="str">
        <f aca="false">IF(H609&gt;0,RANK(H609,$H$2:$H$1780)+COUNTIF($H$2:H609,H609)-1,"")</f>
        <v/>
      </c>
      <c r="AA609" s="56" t="str">
        <f aca="false">IF(AC609="","",RANK(AC609,$AC$2:$AC$1780)+COUNTIF($AC$2:AC609,AC609)-1)</f>
        <v/>
      </c>
      <c r="AB609" s="56" t="str">
        <f aca="false">IF(AD609="","",RANK(AD609,$AD$2:$AD$1780)+COUNTIF($AD$2:AD609,AD609)-1)</f>
        <v/>
      </c>
      <c r="AC609" s="56" t="str">
        <f aca="false">IF(AND(F609&gt;0,E609&gt;=Settings!$B$4),J609,"")</f>
        <v/>
      </c>
      <c r="AD609" s="56" t="str">
        <f aca="false">IF(X609="HIGH RATE",O609,"")</f>
        <v/>
      </c>
    </row>
    <row r="610" customFormat="false" ht="15" hidden="false" customHeight="false" outlineLevel="0" collapsed="false">
      <c r="A610" s="56" t="s">
        <v>1740</v>
      </c>
      <c r="B610" s="56" t="s">
        <v>973</v>
      </c>
      <c r="C610" s="56" t="s">
        <v>51</v>
      </c>
      <c r="D610" s="56" t="str">
        <f aca="false">IFERROR(INDEX('Brand Map'!$B$4:$B$124,MATCH(C610,'Brand Map'!$A$4:$A$124,0)),"Other")</f>
        <v>AU</v>
      </c>
      <c r="E610" s="57" t="n">
        <v>1</v>
      </c>
      <c r="F610" s="57" t="n">
        <v>0</v>
      </c>
      <c r="G610" s="58" t="n">
        <v>20.86</v>
      </c>
      <c r="H610" s="58" t="n">
        <v>0</v>
      </c>
      <c r="I610" s="58" t="n">
        <v>20.86</v>
      </c>
      <c r="J610" s="32" t="n">
        <f aca="false">IF(E610&gt;0,F610/E610,0)</f>
        <v>0</v>
      </c>
      <c r="K610" s="32" t="n">
        <f aca="false">IF(G610&gt;0,H610/G610,0)</f>
        <v>-0</v>
      </c>
      <c r="L610" s="59" t="n">
        <f aca="false">H610/Settings!$B$16</f>
        <v>-0</v>
      </c>
      <c r="M610" s="59" t="n">
        <f aca="false">H610/Settings!$B$20</f>
        <v>-0</v>
      </c>
      <c r="N610" s="60" t="n">
        <f aca="false">E610*Settings!$B$3</f>
        <v>0.0309861510798204</v>
      </c>
      <c r="O610" s="60" t="n">
        <f aca="false">IF(E610&gt;0,(F610-N610)/SQRT(E610*Settings!$B$3*(1-Settings!$B$3)),0)</f>
        <v>-0.178821125934444</v>
      </c>
      <c r="P610" s="60" t="n">
        <f aca="false">MAX(0,F610-N610)</f>
        <v>0</v>
      </c>
      <c r="Q610" s="32" t="n">
        <f aca="false">(F610+Settings!$B$7*Settings!$B$3)/(E610+Settings!$B$7)</f>
        <v>0.0299865978191811</v>
      </c>
      <c r="R610" s="61" t="n">
        <f aca="false">PERCENTRANK($H$2:$H$1780,H610,6)</f>
        <v>0</v>
      </c>
      <c r="S610" s="61" t="n">
        <f aca="false">PERCENTRANK($Q$2:$Q$1780,Q610,6)</f>
        <v>0.486502</v>
      </c>
      <c r="T610" s="61" t="n">
        <f aca="false">PERCENTRANK($F$2:$F$1780,F610,6)</f>
        <v>0</v>
      </c>
      <c r="U610" s="62" t="n">
        <f aca="false">IF(F610&gt;0,(Settings!$B$8*T610+Settings!$B$9*R610+Settings!$B$10*S610)/SUM(Settings!$B$8:$B$10),0)</f>
        <v>0</v>
      </c>
      <c r="V610" s="56" t="str">
        <f aca="false">IF(U610&gt;0,RANK(U610,$U$2:$U$1780)+COUNTIF($U$2:U610,U610)-1,"")</f>
        <v/>
      </c>
      <c r="W610" s="56" t="str">
        <f aca="false">IF(V610="","",IF(V610&lt;=Settings!$B$11,"1 - Fix first",IF(V610&lt;=Settings!$B$12,"2 - Review","3 - Monitor")))</f>
        <v/>
      </c>
      <c r="X610" s="56" t="str">
        <f aca="false">IF(AND(E610&gt;=Settings!$B$4,F610&gt;=Settings!$B$5,O610&gt;=Settings!$B$6),"HIGH RATE","")</f>
        <v/>
      </c>
      <c r="Y610" s="56" t="str">
        <f aca="false">IF(F610&gt;0,RANK(F610,$F$2:$F$1780)+COUNTIF($F$2:F610,F610)-1,"")</f>
        <v/>
      </c>
      <c r="Z610" s="56" t="str">
        <f aca="false">IF(H610&gt;0,RANK(H610,$H$2:$H$1780)+COUNTIF($H$2:H610,H610)-1,"")</f>
        <v/>
      </c>
      <c r="AA610" s="56" t="str">
        <f aca="false">IF(AC610="","",RANK(AC610,$AC$2:$AC$1780)+COUNTIF($AC$2:AC610,AC610)-1)</f>
        <v/>
      </c>
      <c r="AB610" s="56" t="str">
        <f aca="false">IF(AD610="","",RANK(AD610,$AD$2:$AD$1780)+COUNTIF($AD$2:AD610,AD610)-1)</f>
        <v/>
      </c>
      <c r="AC610" s="56" t="str">
        <f aca="false">IF(AND(F610&gt;0,E610&gt;=Settings!$B$4),J610,"")</f>
        <v/>
      </c>
      <c r="AD610" s="56" t="str">
        <f aca="false">IF(X610="HIGH RATE",O610,"")</f>
        <v/>
      </c>
    </row>
    <row r="611" customFormat="false" ht="15" hidden="false" customHeight="false" outlineLevel="0" collapsed="false">
      <c r="A611" s="56" t="s">
        <v>1741</v>
      </c>
      <c r="B611" s="56" t="s">
        <v>1742</v>
      </c>
      <c r="C611" s="56" t="s">
        <v>51</v>
      </c>
      <c r="D611" s="56" t="str">
        <f aca="false">IFERROR(INDEX('Brand Map'!$B$4:$B$124,MATCH(C611,'Brand Map'!$A$4:$A$124,0)),"Other")</f>
        <v>AU</v>
      </c>
      <c r="E611" s="57" t="n">
        <v>1</v>
      </c>
      <c r="F611" s="57" t="n">
        <v>0</v>
      </c>
      <c r="G611" s="58" t="n">
        <v>44.95</v>
      </c>
      <c r="H611" s="58" t="n">
        <v>0</v>
      </c>
      <c r="I611" s="58" t="n">
        <v>44.95</v>
      </c>
      <c r="J611" s="32" t="n">
        <f aca="false">IF(E611&gt;0,F611/E611,0)</f>
        <v>0</v>
      </c>
      <c r="K611" s="32" t="n">
        <f aca="false">IF(G611&gt;0,H611/G611,0)</f>
        <v>-0</v>
      </c>
      <c r="L611" s="59" t="n">
        <f aca="false">H611/Settings!$B$16</f>
        <v>-0</v>
      </c>
      <c r="M611" s="59" t="n">
        <f aca="false">H611/Settings!$B$20</f>
        <v>-0</v>
      </c>
      <c r="N611" s="60" t="n">
        <f aca="false">E611*Settings!$B$3</f>
        <v>0.0309861510798204</v>
      </c>
      <c r="O611" s="60" t="n">
        <f aca="false">IF(E611&gt;0,(F611-N611)/SQRT(E611*Settings!$B$3*(1-Settings!$B$3)),0)</f>
        <v>-0.178821125934444</v>
      </c>
      <c r="P611" s="60" t="n">
        <f aca="false">MAX(0,F611-N611)</f>
        <v>0</v>
      </c>
      <c r="Q611" s="32" t="n">
        <f aca="false">(F611+Settings!$B$7*Settings!$B$3)/(E611+Settings!$B$7)</f>
        <v>0.0299865978191811</v>
      </c>
      <c r="R611" s="61" t="n">
        <f aca="false">PERCENTRANK($H$2:$H$1780,H611,6)</f>
        <v>0</v>
      </c>
      <c r="S611" s="61" t="n">
        <f aca="false">PERCENTRANK($Q$2:$Q$1780,Q611,6)</f>
        <v>0.486502</v>
      </c>
      <c r="T611" s="61" t="n">
        <f aca="false">PERCENTRANK($F$2:$F$1780,F611,6)</f>
        <v>0</v>
      </c>
      <c r="U611" s="62" t="n">
        <f aca="false">IF(F611&gt;0,(Settings!$B$8*T611+Settings!$B$9*R611+Settings!$B$10*S611)/SUM(Settings!$B$8:$B$10),0)</f>
        <v>0</v>
      </c>
      <c r="V611" s="56" t="str">
        <f aca="false">IF(U611&gt;0,RANK(U611,$U$2:$U$1780)+COUNTIF($U$2:U611,U611)-1,"")</f>
        <v/>
      </c>
      <c r="W611" s="56" t="str">
        <f aca="false">IF(V611="","",IF(V611&lt;=Settings!$B$11,"1 - Fix first",IF(V611&lt;=Settings!$B$12,"2 - Review","3 - Monitor")))</f>
        <v/>
      </c>
      <c r="X611" s="56" t="str">
        <f aca="false">IF(AND(E611&gt;=Settings!$B$4,F611&gt;=Settings!$B$5,O611&gt;=Settings!$B$6),"HIGH RATE","")</f>
        <v/>
      </c>
      <c r="Y611" s="56" t="str">
        <f aca="false">IF(F611&gt;0,RANK(F611,$F$2:$F$1780)+COUNTIF($F$2:F611,F611)-1,"")</f>
        <v/>
      </c>
      <c r="Z611" s="56" t="str">
        <f aca="false">IF(H611&gt;0,RANK(H611,$H$2:$H$1780)+COUNTIF($H$2:H611,H611)-1,"")</f>
        <v/>
      </c>
      <c r="AA611" s="56" t="str">
        <f aca="false">IF(AC611="","",RANK(AC611,$AC$2:$AC$1780)+COUNTIF($AC$2:AC611,AC611)-1)</f>
        <v/>
      </c>
      <c r="AB611" s="56" t="str">
        <f aca="false">IF(AD611="","",RANK(AD611,$AD$2:$AD$1780)+COUNTIF($AD$2:AD611,AD611)-1)</f>
        <v/>
      </c>
      <c r="AC611" s="56" t="str">
        <f aca="false">IF(AND(F611&gt;0,E611&gt;=Settings!$B$4),J611,"")</f>
        <v/>
      </c>
      <c r="AD611" s="56" t="str">
        <f aca="false">IF(X611="HIGH RATE",O611,"")</f>
        <v/>
      </c>
    </row>
    <row r="612" customFormat="false" ht="15" hidden="false" customHeight="false" outlineLevel="0" collapsed="false">
      <c r="A612" s="56" t="s">
        <v>1743</v>
      </c>
      <c r="B612" s="56" t="s">
        <v>1744</v>
      </c>
      <c r="C612" s="56" t="s">
        <v>51</v>
      </c>
      <c r="D612" s="56" t="str">
        <f aca="false">IFERROR(INDEX('Brand Map'!$B$4:$B$124,MATCH(C612,'Brand Map'!$A$4:$A$124,0)),"Other")</f>
        <v>AU</v>
      </c>
      <c r="E612" s="57" t="n">
        <v>7</v>
      </c>
      <c r="F612" s="57" t="n">
        <v>0</v>
      </c>
      <c r="G612" s="58" t="n">
        <v>134.22</v>
      </c>
      <c r="H612" s="58" t="n">
        <v>0</v>
      </c>
      <c r="I612" s="58" t="n">
        <v>134.22</v>
      </c>
      <c r="J612" s="32" t="n">
        <f aca="false">IF(E612&gt;0,F612/E612,0)</f>
        <v>0</v>
      </c>
      <c r="K612" s="32" t="n">
        <f aca="false">IF(G612&gt;0,H612/G612,0)</f>
        <v>-0</v>
      </c>
      <c r="L612" s="59" t="n">
        <f aca="false">H612/Settings!$B$16</f>
        <v>-0</v>
      </c>
      <c r="M612" s="59" t="n">
        <f aca="false">H612/Settings!$B$20</f>
        <v>-0</v>
      </c>
      <c r="N612" s="60" t="n">
        <f aca="false">E612*Settings!$B$3</f>
        <v>0.216903057558743</v>
      </c>
      <c r="O612" s="60" t="n">
        <f aca="false">IF(E612&gt;0,(F612-N612)/SQRT(E612*Settings!$B$3*(1-Settings!$B$3)),0)</f>
        <v>-0.473116228387102</v>
      </c>
      <c r="P612" s="60" t="n">
        <f aca="false">MAX(0,F612-N612)</f>
        <v>0</v>
      </c>
      <c r="Q612" s="32" t="n">
        <f aca="false">(F612+Settings!$B$7*Settings!$B$3)/(E612+Settings!$B$7)</f>
        <v>0.0251239062809355</v>
      </c>
      <c r="R612" s="61" t="n">
        <f aca="false">PERCENTRANK($H$2:$H$1780,H612,6)</f>
        <v>0</v>
      </c>
      <c r="S612" s="61" t="n">
        <f aca="false">PERCENTRANK($Q$2:$Q$1780,Q612,6)</f>
        <v>0.168166</v>
      </c>
      <c r="T612" s="61" t="n">
        <f aca="false">PERCENTRANK($F$2:$F$1780,F612,6)</f>
        <v>0</v>
      </c>
      <c r="U612" s="62" t="n">
        <f aca="false">IF(F612&gt;0,(Settings!$B$8*T612+Settings!$B$9*R612+Settings!$B$10*S612)/SUM(Settings!$B$8:$B$10),0)</f>
        <v>0</v>
      </c>
      <c r="V612" s="56" t="str">
        <f aca="false">IF(U612&gt;0,RANK(U612,$U$2:$U$1780)+COUNTIF($U$2:U612,U612)-1,"")</f>
        <v/>
      </c>
      <c r="W612" s="56" t="str">
        <f aca="false">IF(V612="","",IF(V612&lt;=Settings!$B$11,"1 - Fix first",IF(V612&lt;=Settings!$B$12,"2 - Review","3 - Monitor")))</f>
        <v/>
      </c>
      <c r="X612" s="56" t="str">
        <f aca="false">IF(AND(E612&gt;=Settings!$B$4,F612&gt;=Settings!$B$5,O612&gt;=Settings!$B$6),"HIGH RATE","")</f>
        <v/>
      </c>
      <c r="Y612" s="56" t="str">
        <f aca="false">IF(F612&gt;0,RANK(F612,$F$2:$F$1780)+COUNTIF($F$2:F612,F612)-1,"")</f>
        <v/>
      </c>
      <c r="Z612" s="56" t="str">
        <f aca="false">IF(H612&gt;0,RANK(H612,$H$2:$H$1780)+COUNTIF($H$2:H612,H612)-1,"")</f>
        <v/>
      </c>
      <c r="AA612" s="56" t="str">
        <f aca="false">IF(AC612="","",RANK(AC612,$AC$2:$AC$1780)+COUNTIF($AC$2:AC612,AC612)-1)</f>
        <v/>
      </c>
      <c r="AB612" s="56" t="str">
        <f aca="false">IF(AD612="","",RANK(AD612,$AD$2:$AD$1780)+COUNTIF($AD$2:AD612,AD612)-1)</f>
        <v/>
      </c>
      <c r="AC612" s="56" t="str">
        <f aca="false">IF(AND(F612&gt;0,E612&gt;=Settings!$B$4),J612,"")</f>
        <v/>
      </c>
      <c r="AD612" s="56" t="str">
        <f aca="false">IF(X612="HIGH RATE",O612,"")</f>
        <v/>
      </c>
    </row>
    <row r="613" customFormat="false" ht="15" hidden="false" customHeight="false" outlineLevel="0" collapsed="false">
      <c r="A613" s="56" t="s">
        <v>1745</v>
      </c>
      <c r="B613" s="56" t="s">
        <v>1564</v>
      </c>
      <c r="C613" s="56" t="s">
        <v>51</v>
      </c>
      <c r="D613" s="56" t="str">
        <f aca="false">IFERROR(INDEX('Brand Map'!$B$4:$B$124,MATCH(C613,'Brand Map'!$A$4:$A$124,0)),"Other")</f>
        <v>AU</v>
      </c>
      <c r="E613" s="57" t="n">
        <v>2</v>
      </c>
      <c r="F613" s="57" t="n">
        <v>0</v>
      </c>
      <c r="G613" s="58" t="n">
        <v>30.82</v>
      </c>
      <c r="H613" s="58" t="n">
        <v>0</v>
      </c>
      <c r="I613" s="58" t="n">
        <v>30.82</v>
      </c>
      <c r="J613" s="32" t="n">
        <f aca="false">IF(E613&gt;0,F613/E613,0)</f>
        <v>0</v>
      </c>
      <c r="K613" s="32" t="n">
        <f aca="false">IF(G613&gt;0,H613/G613,0)</f>
        <v>-0</v>
      </c>
      <c r="L613" s="59" t="n">
        <f aca="false">H613/Settings!$B$16</f>
        <v>-0</v>
      </c>
      <c r="M613" s="59" t="n">
        <f aca="false">H613/Settings!$B$20</f>
        <v>-0</v>
      </c>
      <c r="N613" s="60" t="n">
        <f aca="false">E613*Settings!$B$3</f>
        <v>0.0619723021596408</v>
      </c>
      <c r="O613" s="60" t="n">
        <f aca="false">IF(E613&gt;0,(F613-N613)/SQRT(E613*Settings!$B$3*(1-Settings!$B$3)),0)</f>
        <v>-0.252891261535318</v>
      </c>
      <c r="P613" s="60" t="n">
        <f aca="false">MAX(0,F613-N613)</f>
        <v>0</v>
      </c>
      <c r="Q613" s="32" t="n">
        <f aca="false">(F613+Settings!$B$7*Settings!$B$3)/(E613+Settings!$B$7)</f>
        <v>0.0290495166373316</v>
      </c>
      <c r="R613" s="61" t="n">
        <f aca="false">PERCENTRANK($H$2:$H$1780,H613,6)</f>
        <v>0</v>
      </c>
      <c r="S613" s="61" t="n">
        <f aca="false">PERCENTRANK($Q$2:$Q$1780,Q613,6)</f>
        <v>0.365579</v>
      </c>
      <c r="T613" s="61" t="n">
        <f aca="false">PERCENTRANK($F$2:$F$1780,F613,6)</f>
        <v>0</v>
      </c>
      <c r="U613" s="62" t="n">
        <f aca="false">IF(F613&gt;0,(Settings!$B$8*T613+Settings!$B$9*R613+Settings!$B$10*S613)/SUM(Settings!$B$8:$B$10),0)</f>
        <v>0</v>
      </c>
      <c r="V613" s="56" t="str">
        <f aca="false">IF(U613&gt;0,RANK(U613,$U$2:$U$1780)+COUNTIF($U$2:U613,U613)-1,"")</f>
        <v/>
      </c>
      <c r="W613" s="56" t="str">
        <f aca="false">IF(V613="","",IF(V613&lt;=Settings!$B$11,"1 - Fix first",IF(V613&lt;=Settings!$B$12,"2 - Review","3 - Monitor")))</f>
        <v/>
      </c>
      <c r="X613" s="56" t="str">
        <f aca="false">IF(AND(E613&gt;=Settings!$B$4,F613&gt;=Settings!$B$5,O613&gt;=Settings!$B$6),"HIGH RATE","")</f>
        <v/>
      </c>
      <c r="Y613" s="56" t="str">
        <f aca="false">IF(F613&gt;0,RANK(F613,$F$2:$F$1780)+COUNTIF($F$2:F613,F613)-1,"")</f>
        <v/>
      </c>
      <c r="Z613" s="56" t="str">
        <f aca="false">IF(H613&gt;0,RANK(H613,$H$2:$H$1780)+COUNTIF($H$2:H613,H613)-1,"")</f>
        <v/>
      </c>
      <c r="AA613" s="56" t="str">
        <f aca="false">IF(AC613="","",RANK(AC613,$AC$2:$AC$1780)+COUNTIF($AC$2:AC613,AC613)-1)</f>
        <v/>
      </c>
      <c r="AB613" s="56" t="str">
        <f aca="false">IF(AD613="","",RANK(AD613,$AD$2:$AD$1780)+COUNTIF($AD$2:AD613,AD613)-1)</f>
        <v/>
      </c>
      <c r="AC613" s="56" t="str">
        <f aca="false">IF(AND(F613&gt;0,E613&gt;=Settings!$B$4),J613,"")</f>
        <v/>
      </c>
      <c r="AD613" s="56" t="str">
        <f aca="false">IF(X613="HIGH RATE",O613,"")</f>
        <v/>
      </c>
    </row>
    <row r="614" customFormat="false" ht="15" hidden="false" customHeight="false" outlineLevel="0" collapsed="false">
      <c r="A614" s="56" t="s">
        <v>1746</v>
      </c>
      <c r="B614" s="56" t="s">
        <v>1029</v>
      </c>
      <c r="C614" s="56" t="s">
        <v>51</v>
      </c>
      <c r="D614" s="56" t="str">
        <f aca="false">IFERROR(INDEX('Brand Map'!$B$4:$B$124,MATCH(C614,'Brand Map'!$A$4:$A$124,0)),"Other")</f>
        <v>AU</v>
      </c>
      <c r="E614" s="57" t="n">
        <v>1</v>
      </c>
      <c r="F614" s="57" t="n">
        <v>0</v>
      </c>
      <c r="G614" s="58" t="n">
        <v>15.41</v>
      </c>
      <c r="H614" s="58" t="n">
        <v>0</v>
      </c>
      <c r="I614" s="58" t="n">
        <v>15.41</v>
      </c>
      <c r="J614" s="32" t="n">
        <f aca="false">IF(E614&gt;0,F614/E614,0)</f>
        <v>0</v>
      </c>
      <c r="K614" s="32" t="n">
        <f aca="false">IF(G614&gt;0,H614/G614,0)</f>
        <v>-0</v>
      </c>
      <c r="L614" s="59" t="n">
        <f aca="false">H614/Settings!$B$16</f>
        <v>-0</v>
      </c>
      <c r="M614" s="59" t="n">
        <f aca="false">H614/Settings!$B$20</f>
        <v>-0</v>
      </c>
      <c r="N614" s="60" t="n">
        <f aca="false">E614*Settings!$B$3</f>
        <v>0.0309861510798204</v>
      </c>
      <c r="O614" s="60" t="n">
        <f aca="false">IF(E614&gt;0,(F614-N614)/SQRT(E614*Settings!$B$3*(1-Settings!$B$3)),0)</f>
        <v>-0.178821125934444</v>
      </c>
      <c r="P614" s="60" t="n">
        <f aca="false">MAX(0,F614-N614)</f>
        <v>0</v>
      </c>
      <c r="Q614" s="32" t="n">
        <f aca="false">(F614+Settings!$B$7*Settings!$B$3)/(E614+Settings!$B$7)</f>
        <v>0.0299865978191811</v>
      </c>
      <c r="R614" s="61" t="n">
        <f aca="false">PERCENTRANK($H$2:$H$1780,H614,6)</f>
        <v>0</v>
      </c>
      <c r="S614" s="61" t="n">
        <f aca="false">PERCENTRANK($Q$2:$Q$1780,Q614,6)</f>
        <v>0.486502</v>
      </c>
      <c r="T614" s="61" t="n">
        <f aca="false">PERCENTRANK($F$2:$F$1780,F614,6)</f>
        <v>0</v>
      </c>
      <c r="U614" s="62" t="n">
        <f aca="false">IF(F614&gt;0,(Settings!$B$8*T614+Settings!$B$9*R614+Settings!$B$10*S614)/SUM(Settings!$B$8:$B$10),0)</f>
        <v>0</v>
      </c>
      <c r="V614" s="56" t="str">
        <f aca="false">IF(U614&gt;0,RANK(U614,$U$2:$U$1780)+COUNTIF($U$2:U614,U614)-1,"")</f>
        <v/>
      </c>
      <c r="W614" s="56" t="str">
        <f aca="false">IF(V614="","",IF(V614&lt;=Settings!$B$11,"1 - Fix first",IF(V614&lt;=Settings!$B$12,"2 - Review","3 - Monitor")))</f>
        <v/>
      </c>
      <c r="X614" s="56" t="str">
        <f aca="false">IF(AND(E614&gt;=Settings!$B$4,F614&gt;=Settings!$B$5,O614&gt;=Settings!$B$6),"HIGH RATE","")</f>
        <v/>
      </c>
      <c r="Y614" s="56" t="str">
        <f aca="false">IF(F614&gt;0,RANK(F614,$F$2:$F$1780)+COUNTIF($F$2:F614,F614)-1,"")</f>
        <v/>
      </c>
      <c r="Z614" s="56" t="str">
        <f aca="false">IF(H614&gt;0,RANK(H614,$H$2:$H$1780)+COUNTIF($H$2:H614,H614)-1,"")</f>
        <v/>
      </c>
      <c r="AA614" s="56" t="str">
        <f aca="false">IF(AC614="","",RANK(AC614,$AC$2:$AC$1780)+COUNTIF($AC$2:AC614,AC614)-1)</f>
        <v/>
      </c>
      <c r="AB614" s="56" t="str">
        <f aca="false">IF(AD614="","",RANK(AD614,$AD$2:$AD$1780)+COUNTIF($AD$2:AD614,AD614)-1)</f>
        <v/>
      </c>
      <c r="AC614" s="56" t="str">
        <f aca="false">IF(AND(F614&gt;0,E614&gt;=Settings!$B$4),J614,"")</f>
        <v/>
      </c>
      <c r="AD614" s="56" t="str">
        <f aca="false">IF(X614="HIGH RATE",O614,"")</f>
        <v/>
      </c>
    </row>
    <row r="615" customFormat="false" ht="15" hidden="false" customHeight="false" outlineLevel="0" collapsed="false">
      <c r="A615" s="56" t="s">
        <v>1747</v>
      </c>
      <c r="B615" s="56" t="s">
        <v>1306</v>
      </c>
      <c r="C615" s="56" t="s">
        <v>51</v>
      </c>
      <c r="D615" s="56" t="str">
        <f aca="false">IFERROR(INDEX('Brand Map'!$B$4:$B$124,MATCH(C615,'Brand Map'!$A$4:$A$124,0)),"Other")</f>
        <v>AU</v>
      </c>
      <c r="E615" s="57" t="n">
        <v>2</v>
      </c>
      <c r="F615" s="57" t="n">
        <v>0</v>
      </c>
      <c r="G615" s="58" t="n">
        <v>54.46</v>
      </c>
      <c r="H615" s="58" t="n">
        <v>0</v>
      </c>
      <c r="I615" s="58" t="n">
        <v>54.46</v>
      </c>
      <c r="J615" s="32" t="n">
        <f aca="false">IF(E615&gt;0,F615/E615,0)</f>
        <v>0</v>
      </c>
      <c r="K615" s="32" t="n">
        <f aca="false">IF(G615&gt;0,H615/G615,0)</f>
        <v>-0</v>
      </c>
      <c r="L615" s="59" t="n">
        <f aca="false">H615/Settings!$B$16</f>
        <v>-0</v>
      </c>
      <c r="M615" s="59" t="n">
        <f aca="false">H615/Settings!$B$20</f>
        <v>-0</v>
      </c>
      <c r="N615" s="60" t="n">
        <f aca="false">E615*Settings!$B$3</f>
        <v>0.0619723021596408</v>
      </c>
      <c r="O615" s="60" t="n">
        <f aca="false">IF(E615&gt;0,(F615-N615)/SQRT(E615*Settings!$B$3*(1-Settings!$B$3)),0)</f>
        <v>-0.252891261535318</v>
      </c>
      <c r="P615" s="60" t="n">
        <f aca="false">MAX(0,F615-N615)</f>
        <v>0</v>
      </c>
      <c r="Q615" s="32" t="n">
        <f aca="false">(F615+Settings!$B$7*Settings!$B$3)/(E615+Settings!$B$7)</f>
        <v>0.0290495166373316</v>
      </c>
      <c r="R615" s="61" t="n">
        <f aca="false">PERCENTRANK($H$2:$H$1780,H615,6)</f>
        <v>0</v>
      </c>
      <c r="S615" s="61" t="n">
        <f aca="false">PERCENTRANK($Q$2:$Q$1780,Q615,6)</f>
        <v>0.365579</v>
      </c>
      <c r="T615" s="61" t="n">
        <f aca="false">PERCENTRANK($F$2:$F$1780,F615,6)</f>
        <v>0</v>
      </c>
      <c r="U615" s="62" t="n">
        <f aca="false">IF(F615&gt;0,(Settings!$B$8*T615+Settings!$B$9*R615+Settings!$B$10*S615)/SUM(Settings!$B$8:$B$10),0)</f>
        <v>0</v>
      </c>
      <c r="V615" s="56" t="str">
        <f aca="false">IF(U615&gt;0,RANK(U615,$U$2:$U$1780)+COUNTIF($U$2:U615,U615)-1,"")</f>
        <v/>
      </c>
      <c r="W615" s="56" t="str">
        <f aca="false">IF(V615="","",IF(V615&lt;=Settings!$B$11,"1 - Fix first",IF(V615&lt;=Settings!$B$12,"2 - Review","3 - Monitor")))</f>
        <v/>
      </c>
      <c r="X615" s="56" t="str">
        <f aca="false">IF(AND(E615&gt;=Settings!$B$4,F615&gt;=Settings!$B$5,O615&gt;=Settings!$B$6),"HIGH RATE","")</f>
        <v/>
      </c>
      <c r="Y615" s="56" t="str">
        <f aca="false">IF(F615&gt;0,RANK(F615,$F$2:$F$1780)+COUNTIF($F$2:F615,F615)-1,"")</f>
        <v/>
      </c>
      <c r="Z615" s="56" t="str">
        <f aca="false">IF(H615&gt;0,RANK(H615,$H$2:$H$1780)+COUNTIF($H$2:H615,H615)-1,"")</f>
        <v/>
      </c>
      <c r="AA615" s="56" t="str">
        <f aca="false">IF(AC615="","",RANK(AC615,$AC$2:$AC$1780)+COUNTIF($AC$2:AC615,AC615)-1)</f>
        <v/>
      </c>
      <c r="AB615" s="56" t="str">
        <f aca="false">IF(AD615="","",RANK(AD615,$AD$2:$AD$1780)+COUNTIF($AD$2:AD615,AD615)-1)</f>
        <v/>
      </c>
      <c r="AC615" s="56" t="str">
        <f aca="false">IF(AND(F615&gt;0,E615&gt;=Settings!$B$4),J615,"")</f>
        <v/>
      </c>
      <c r="AD615" s="56" t="str">
        <f aca="false">IF(X615="HIGH RATE",O615,"")</f>
        <v/>
      </c>
    </row>
    <row r="616" customFormat="false" ht="15" hidden="false" customHeight="false" outlineLevel="0" collapsed="false">
      <c r="A616" s="56" t="s">
        <v>1748</v>
      </c>
      <c r="B616" s="56" t="s">
        <v>996</v>
      </c>
      <c r="C616" s="56" t="s">
        <v>51</v>
      </c>
      <c r="D616" s="56" t="str">
        <f aca="false">IFERROR(INDEX('Brand Map'!$B$4:$B$124,MATCH(C616,'Brand Map'!$A$4:$A$124,0)),"Other")</f>
        <v>AU</v>
      </c>
      <c r="E616" s="57" t="n">
        <v>11</v>
      </c>
      <c r="F616" s="57" t="n">
        <v>0</v>
      </c>
      <c r="G616" s="58" t="n">
        <v>164.91</v>
      </c>
      <c r="H616" s="58" t="n">
        <v>0</v>
      </c>
      <c r="I616" s="58" t="n">
        <v>164.91</v>
      </c>
      <c r="J616" s="32" t="n">
        <f aca="false">IF(E616&gt;0,F616/E616,0)</f>
        <v>0</v>
      </c>
      <c r="K616" s="32" t="n">
        <f aca="false">IF(G616&gt;0,H616/G616,0)</f>
        <v>-0</v>
      </c>
      <c r="L616" s="59" t="n">
        <f aca="false">H616/Settings!$B$16</f>
        <v>-0</v>
      </c>
      <c r="M616" s="59" t="n">
        <f aca="false">H616/Settings!$B$20</f>
        <v>-0</v>
      </c>
      <c r="N616" s="60" t="n">
        <f aca="false">E616*Settings!$B$3</f>
        <v>0.340847661878025</v>
      </c>
      <c r="O616" s="60" t="n">
        <f aca="false">IF(E616&gt;0,(F616-N616)/SQRT(E616*Settings!$B$3*(1-Settings!$B$3)),0)</f>
        <v>-0.593082579313442</v>
      </c>
      <c r="P616" s="60" t="n">
        <f aca="false">MAX(0,F616-N616)</f>
        <v>0</v>
      </c>
      <c r="Q616" s="32" t="n">
        <f aca="false">(F616+Settings!$B$7*Settings!$B$3)/(E616+Settings!$B$7)</f>
        <v>0.0226727934730393</v>
      </c>
      <c r="R616" s="61" t="n">
        <f aca="false">PERCENTRANK($H$2:$H$1780,H616,6)</f>
        <v>0</v>
      </c>
      <c r="S616" s="61" t="n">
        <f aca="false">PERCENTRANK($Q$2:$Q$1780,Q616,6)</f>
        <v>0.117548</v>
      </c>
      <c r="T616" s="61" t="n">
        <f aca="false">PERCENTRANK($F$2:$F$1780,F616,6)</f>
        <v>0</v>
      </c>
      <c r="U616" s="62" t="n">
        <f aca="false">IF(F616&gt;0,(Settings!$B$8*T616+Settings!$B$9*R616+Settings!$B$10*S616)/SUM(Settings!$B$8:$B$10),0)</f>
        <v>0</v>
      </c>
      <c r="V616" s="56" t="str">
        <f aca="false">IF(U616&gt;0,RANK(U616,$U$2:$U$1780)+COUNTIF($U$2:U616,U616)-1,"")</f>
        <v/>
      </c>
      <c r="W616" s="56" t="str">
        <f aca="false">IF(V616="","",IF(V616&lt;=Settings!$B$11,"1 - Fix first",IF(V616&lt;=Settings!$B$12,"2 - Review","3 - Monitor")))</f>
        <v/>
      </c>
      <c r="X616" s="56" t="str">
        <f aca="false">IF(AND(E616&gt;=Settings!$B$4,F616&gt;=Settings!$B$5,O616&gt;=Settings!$B$6),"HIGH RATE","")</f>
        <v/>
      </c>
      <c r="Y616" s="56" t="str">
        <f aca="false">IF(F616&gt;0,RANK(F616,$F$2:$F$1780)+COUNTIF($F$2:F616,F616)-1,"")</f>
        <v/>
      </c>
      <c r="Z616" s="56" t="str">
        <f aca="false">IF(H616&gt;0,RANK(H616,$H$2:$H$1780)+COUNTIF($H$2:H616,H616)-1,"")</f>
        <v/>
      </c>
      <c r="AA616" s="56" t="str">
        <f aca="false">IF(AC616="","",RANK(AC616,$AC$2:$AC$1780)+COUNTIF($AC$2:AC616,AC616)-1)</f>
        <v/>
      </c>
      <c r="AB616" s="56" t="str">
        <f aca="false">IF(AD616="","",RANK(AD616,$AD$2:$AD$1780)+COUNTIF($AD$2:AD616,AD616)-1)</f>
        <v/>
      </c>
      <c r="AC616" s="56" t="str">
        <f aca="false">IF(AND(F616&gt;0,E616&gt;=Settings!$B$4),J616,"")</f>
        <v/>
      </c>
      <c r="AD616" s="56" t="str">
        <f aca="false">IF(X616="HIGH RATE",O616,"")</f>
        <v/>
      </c>
    </row>
    <row r="617" customFormat="false" ht="15" hidden="false" customHeight="false" outlineLevel="0" collapsed="false">
      <c r="A617" s="56" t="s">
        <v>1749</v>
      </c>
      <c r="B617" s="56" t="s">
        <v>1020</v>
      </c>
      <c r="C617" s="56" t="s">
        <v>51</v>
      </c>
      <c r="D617" s="56" t="str">
        <f aca="false">IFERROR(INDEX('Brand Map'!$B$4:$B$124,MATCH(C617,'Brand Map'!$A$4:$A$124,0)),"Other")</f>
        <v>AU</v>
      </c>
      <c r="E617" s="57" t="n">
        <v>2</v>
      </c>
      <c r="F617" s="57" t="n">
        <v>0</v>
      </c>
      <c r="G617" s="58" t="n">
        <v>29</v>
      </c>
      <c r="H617" s="58" t="n">
        <v>0</v>
      </c>
      <c r="I617" s="58" t="n">
        <v>29</v>
      </c>
      <c r="J617" s="32" t="n">
        <f aca="false">IF(E617&gt;0,F617/E617,0)</f>
        <v>0</v>
      </c>
      <c r="K617" s="32" t="n">
        <f aca="false">IF(G617&gt;0,H617/G617,0)</f>
        <v>-0</v>
      </c>
      <c r="L617" s="59" t="n">
        <f aca="false">H617/Settings!$B$16</f>
        <v>-0</v>
      </c>
      <c r="M617" s="59" t="n">
        <f aca="false">H617/Settings!$B$20</f>
        <v>-0</v>
      </c>
      <c r="N617" s="60" t="n">
        <f aca="false">E617*Settings!$B$3</f>
        <v>0.0619723021596408</v>
      </c>
      <c r="O617" s="60" t="n">
        <f aca="false">IF(E617&gt;0,(F617-N617)/SQRT(E617*Settings!$B$3*(1-Settings!$B$3)),0)</f>
        <v>-0.252891261535318</v>
      </c>
      <c r="P617" s="60" t="n">
        <f aca="false">MAX(0,F617-N617)</f>
        <v>0</v>
      </c>
      <c r="Q617" s="32" t="n">
        <f aca="false">(F617+Settings!$B$7*Settings!$B$3)/(E617+Settings!$B$7)</f>
        <v>0.0290495166373316</v>
      </c>
      <c r="R617" s="61" t="n">
        <f aca="false">PERCENTRANK($H$2:$H$1780,H617,6)</f>
        <v>0</v>
      </c>
      <c r="S617" s="61" t="n">
        <f aca="false">PERCENTRANK($Q$2:$Q$1780,Q617,6)</f>
        <v>0.365579</v>
      </c>
      <c r="T617" s="61" t="n">
        <f aca="false">PERCENTRANK($F$2:$F$1780,F617,6)</f>
        <v>0</v>
      </c>
      <c r="U617" s="62" t="n">
        <f aca="false">IF(F617&gt;0,(Settings!$B$8*T617+Settings!$B$9*R617+Settings!$B$10*S617)/SUM(Settings!$B$8:$B$10),0)</f>
        <v>0</v>
      </c>
      <c r="V617" s="56" t="str">
        <f aca="false">IF(U617&gt;0,RANK(U617,$U$2:$U$1780)+COUNTIF($U$2:U617,U617)-1,"")</f>
        <v/>
      </c>
      <c r="W617" s="56" t="str">
        <f aca="false">IF(V617="","",IF(V617&lt;=Settings!$B$11,"1 - Fix first",IF(V617&lt;=Settings!$B$12,"2 - Review","3 - Monitor")))</f>
        <v/>
      </c>
      <c r="X617" s="56" t="str">
        <f aca="false">IF(AND(E617&gt;=Settings!$B$4,F617&gt;=Settings!$B$5,O617&gt;=Settings!$B$6),"HIGH RATE","")</f>
        <v/>
      </c>
      <c r="Y617" s="56" t="str">
        <f aca="false">IF(F617&gt;0,RANK(F617,$F$2:$F$1780)+COUNTIF($F$2:F617,F617)-1,"")</f>
        <v/>
      </c>
      <c r="Z617" s="56" t="str">
        <f aca="false">IF(H617&gt;0,RANK(H617,$H$2:$H$1780)+COUNTIF($H$2:H617,H617)-1,"")</f>
        <v/>
      </c>
      <c r="AA617" s="56" t="str">
        <f aca="false">IF(AC617="","",RANK(AC617,$AC$2:$AC$1780)+COUNTIF($AC$2:AC617,AC617)-1)</f>
        <v/>
      </c>
      <c r="AB617" s="56" t="str">
        <f aca="false">IF(AD617="","",RANK(AD617,$AD$2:$AD$1780)+COUNTIF($AD$2:AD617,AD617)-1)</f>
        <v/>
      </c>
      <c r="AC617" s="56" t="str">
        <f aca="false">IF(AND(F617&gt;0,E617&gt;=Settings!$B$4),J617,"")</f>
        <v/>
      </c>
      <c r="AD617" s="56" t="str">
        <f aca="false">IF(X617="HIGH RATE",O617,"")</f>
        <v/>
      </c>
    </row>
    <row r="618" customFormat="false" ht="15" hidden="false" customHeight="false" outlineLevel="0" collapsed="false">
      <c r="A618" s="56" t="s">
        <v>1750</v>
      </c>
      <c r="B618" s="56" t="s">
        <v>1060</v>
      </c>
      <c r="C618" s="56" t="s">
        <v>51</v>
      </c>
      <c r="D618" s="56" t="str">
        <f aca="false">IFERROR(INDEX('Brand Map'!$B$4:$B$124,MATCH(C618,'Brand Map'!$A$4:$A$124,0)),"Other")</f>
        <v>AU</v>
      </c>
      <c r="E618" s="57" t="n">
        <v>1</v>
      </c>
      <c r="F618" s="57" t="n">
        <v>0</v>
      </c>
      <c r="G618" s="58" t="n">
        <v>17.23</v>
      </c>
      <c r="H618" s="58" t="n">
        <v>0</v>
      </c>
      <c r="I618" s="58" t="n">
        <v>17.23</v>
      </c>
      <c r="J618" s="32" t="n">
        <f aca="false">IF(E618&gt;0,F618/E618,0)</f>
        <v>0</v>
      </c>
      <c r="K618" s="32" t="n">
        <f aca="false">IF(G618&gt;0,H618/G618,0)</f>
        <v>-0</v>
      </c>
      <c r="L618" s="59" t="n">
        <f aca="false">H618/Settings!$B$16</f>
        <v>-0</v>
      </c>
      <c r="M618" s="59" t="n">
        <f aca="false">H618/Settings!$B$20</f>
        <v>-0</v>
      </c>
      <c r="N618" s="60" t="n">
        <f aca="false">E618*Settings!$B$3</f>
        <v>0.0309861510798204</v>
      </c>
      <c r="O618" s="60" t="n">
        <f aca="false">IF(E618&gt;0,(F618-N618)/SQRT(E618*Settings!$B$3*(1-Settings!$B$3)),0)</f>
        <v>-0.178821125934444</v>
      </c>
      <c r="P618" s="60" t="n">
        <f aca="false">MAX(0,F618-N618)</f>
        <v>0</v>
      </c>
      <c r="Q618" s="32" t="n">
        <f aca="false">(F618+Settings!$B$7*Settings!$B$3)/(E618+Settings!$B$7)</f>
        <v>0.0299865978191811</v>
      </c>
      <c r="R618" s="61" t="n">
        <f aca="false">PERCENTRANK($H$2:$H$1780,H618,6)</f>
        <v>0</v>
      </c>
      <c r="S618" s="61" t="n">
        <f aca="false">PERCENTRANK($Q$2:$Q$1780,Q618,6)</f>
        <v>0.486502</v>
      </c>
      <c r="T618" s="61" t="n">
        <f aca="false">PERCENTRANK($F$2:$F$1780,F618,6)</f>
        <v>0</v>
      </c>
      <c r="U618" s="62" t="n">
        <f aca="false">IF(F618&gt;0,(Settings!$B$8*T618+Settings!$B$9*R618+Settings!$B$10*S618)/SUM(Settings!$B$8:$B$10),0)</f>
        <v>0</v>
      </c>
      <c r="V618" s="56" t="str">
        <f aca="false">IF(U618&gt;0,RANK(U618,$U$2:$U$1780)+COUNTIF($U$2:U618,U618)-1,"")</f>
        <v/>
      </c>
      <c r="W618" s="56" t="str">
        <f aca="false">IF(V618="","",IF(V618&lt;=Settings!$B$11,"1 - Fix first",IF(V618&lt;=Settings!$B$12,"2 - Review","3 - Monitor")))</f>
        <v/>
      </c>
      <c r="X618" s="56" t="str">
        <f aca="false">IF(AND(E618&gt;=Settings!$B$4,F618&gt;=Settings!$B$5,O618&gt;=Settings!$B$6),"HIGH RATE","")</f>
        <v/>
      </c>
      <c r="Y618" s="56" t="str">
        <f aca="false">IF(F618&gt;0,RANK(F618,$F$2:$F$1780)+COUNTIF($F$2:F618,F618)-1,"")</f>
        <v/>
      </c>
      <c r="Z618" s="56" t="str">
        <f aca="false">IF(H618&gt;0,RANK(H618,$H$2:$H$1780)+COUNTIF($H$2:H618,H618)-1,"")</f>
        <v/>
      </c>
      <c r="AA618" s="56" t="str">
        <f aca="false">IF(AC618="","",RANK(AC618,$AC$2:$AC$1780)+COUNTIF($AC$2:AC618,AC618)-1)</f>
        <v/>
      </c>
      <c r="AB618" s="56" t="str">
        <f aca="false">IF(AD618="","",RANK(AD618,$AD$2:$AD$1780)+COUNTIF($AD$2:AD618,AD618)-1)</f>
        <v/>
      </c>
      <c r="AC618" s="56" t="str">
        <f aca="false">IF(AND(F618&gt;0,E618&gt;=Settings!$B$4),J618,"")</f>
        <v/>
      </c>
      <c r="AD618" s="56" t="str">
        <f aca="false">IF(X618="HIGH RATE",O618,"")</f>
        <v/>
      </c>
    </row>
    <row r="619" customFormat="false" ht="15" hidden="false" customHeight="false" outlineLevel="0" collapsed="false">
      <c r="A619" s="56" t="s">
        <v>1751</v>
      </c>
      <c r="B619" s="56" t="s">
        <v>1752</v>
      </c>
      <c r="C619" s="56" t="s">
        <v>51</v>
      </c>
      <c r="D619" s="56" t="str">
        <f aca="false">IFERROR(INDEX('Brand Map'!$B$4:$B$124,MATCH(C619,'Brand Map'!$A$4:$A$124,0)),"Other")</f>
        <v>AU</v>
      </c>
      <c r="E619" s="57" t="n">
        <v>6</v>
      </c>
      <c r="F619" s="57" t="n">
        <v>0</v>
      </c>
      <c r="G619" s="58" t="n">
        <v>269.7</v>
      </c>
      <c r="H619" s="58" t="n">
        <v>0</v>
      </c>
      <c r="I619" s="58" t="n">
        <v>269.7</v>
      </c>
      <c r="J619" s="32" t="n">
        <f aca="false">IF(E619&gt;0,F619/E619,0)</f>
        <v>0</v>
      </c>
      <c r="K619" s="32" t="n">
        <f aca="false">IF(G619&gt;0,H619/G619,0)</f>
        <v>-0</v>
      </c>
      <c r="L619" s="59" t="n">
        <f aca="false">H619/Settings!$B$16</f>
        <v>-0</v>
      </c>
      <c r="M619" s="59" t="n">
        <f aca="false">H619/Settings!$B$20</f>
        <v>-0</v>
      </c>
      <c r="N619" s="60" t="n">
        <f aca="false">E619*Settings!$B$3</f>
        <v>0.185916906478923</v>
      </c>
      <c r="O619" s="60" t="n">
        <f aca="false">IF(E619&gt;0,(F619-N619)/SQRT(E619*Settings!$B$3*(1-Settings!$B$3)),0)</f>
        <v>-0.43802051376936</v>
      </c>
      <c r="P619" s="60" t="n">
        <f aca="false">MAX(0,F619-N619)</f>
        <v>0</v>
      </c>
      <c r="Q619" s="32" t="n">
        <f aca="false">(F619+Settings!$B$7*Settings!$B$3)/(E619+Settings!$B$7)</f>
        <v>0.025821792566517</v>
      </c>
      <c r="R619" s="61" t="n">
        <f aca="false">PERCENTRANK($H$2:$H$1780,H619,6)</f>
        <v>0</v>
      </c>
      <c r="S619" s="61" t="n">
        <f aca="false">PERCENTRANK($Q$2:$Q$1780,Q619,6)</f>
        <v>0.189539</v>
      </c>
      <c r="T619" s="61" t="n">
        <f aca="false">PERCENTRANK($F$2:$F$1780,F619,6)</f>
        <v>0</v>
      </c>
      <c r="U619" s="62" t="n">
        <f aca="false">IF(F619&gt;0,(Settings!$B$8*T619+Settings!$B$9*R619+Settings!$B$10*S619)/SUM(Settings!$B$8:$B$10),0)</f>
        <v>0</v>
      </c>
      <c r="V619" s="56" t="str">
        <f aca="false">IF(U619&gt;0,RANK(U619,$U$2:$U$1780)+COUNTIF($U$2:U619,U619)-1,"")</f>
        <v/>
      </c>
      <c r="W619" s="56" t="str">
        <f aca="false">IF(V619="","",IF(V619&lt;=Settings!$B$11,"1 - Fix first",IF(V619&lt;=Settings!$B$12,"2 - Review","3 - Monitor")))</f>
        <v/>
      </c>
      <c r="X619" s="56" t="str">
        <f aca="false">IF(AND(E619&gt;=Settings!$B$4,F619&gt;=Settings!$B$5,O619&gt;=Settings!$B$6),"HIGH RATE","")</f>
        <v/>
      </c>
      <c r="Y619" s="56" t="str">
        <f aca="false">IF(F619&gt;0,RANK(F619,$F$2:$F$1780)+COUNTIF($F$2:F619,F619)-1,"")</f>
        <v/>
      </c>
      <c r="Z619" s="56" t="str">
        <f aca="false">IF(H619&gt;0,RANK(H619,$H$2:$H$1780)+COUNTIF($H$2:H619,H619)-1,"")</f>
        <v/>
      </c>
      <c r="AA619" s="56" t="str">
        <f aca="false">IF(AC619="","",RANK(AC619,$AC$2:$AC$1780)+COUNTIF($AC$2:AC619,AC619)-1)</f>
        <v/>
      </c>
      <c r="AB619" s="56" t="str">
        <f aca="false">IF(AD619="","",RANK(AD619,$AD$2:$AD$1780)+COUNTIF($AD$2:AD619,AD619)-1)</f>
        <v/>
      </c>
      <c r="AC619" s="56" t="str">
        <f aca="false">IF(AND(F619&gt;0,E619&gt;=Settings!$B$4),J619,"")</f>
        <v/>
      </c>
      <c r="AD619" s="56" t="str">
        <f aca="false">IF(X619="HIGH RATE",O619,"")</f>
        <v/>
      </c>
    </row>
    <row r="620" customFormat="false" ht="15" hidden="false" customHeight="false" outlineLevel="0" collapsed="false">
      <c r="A620" s="56" t="s">
        <v>1753</v>
      </c>
      <c r="B620" s="56" t="s">
        <v>1754</v>
      </c>
      <c r="C620" s="56" t="s">
        <v>51</v>
      </c>
      <c r="D620" s="56" t="str">
        <f aca="false">IFERROR(INDEX('Brand Map'!$B$4:$B$124,MATCH(C620,'Brand Map'!$A$4:$A$124,0)),"Other")</f>
        <v>AU</v>
      </c>
      <c r="E620" s="57" t="n">
        <v>4</v>
      </c>
      <c r="F620" s="57" t="n">
        <v>0</v>
      </c>
      <c r="G620" s="58" t="n">
        <v>162.53</v>
      </c>
      <c r="H620" s="58" t="n">
        <v>0</v>
      </c>
      <c r="I620" s="58" t="n">
        <v>162.53</v>
      </c>
      <c r="J620" s="32" t="n">
        <f aca="false">IF(E620&gt;0,F620/E620,0)</f>
        <v>0</v>
      </c>
      <c r="K620" s="32" t="n">
        <f aca="false">IF(G620&gt;0,H620/G620,0)</f>
        <v>-0</v>
      </c>
      <c r="L620" s="59" t="n">
        <f aca="false">H620/Settings!$B$16</f>
        <v>-0</v>
      </c>
      <c r="M620" s="59" t="n">
        <f aca="false">H620/Settings!$B$20</f>
        <v>-0</v>
      </c>
      <c r="N620" s="60" t="n">
        <f aca="false">E620*Settings!$B$3</f>
        <v>0.123944604319282</v>
      </c>
      <c r="O620" s="60" t="n">
        <f aca="false">IF(E620&gt;0,(F620-N620)/SQRT(E620*Settings!$B$3*(1-Settings!$B$3)),0)</f>
        <v>-0.357642251868888</v>
      </c>
      <c r="P620" s="60" t="n">
        <f aca="false">MAX(0,F620-N620)</f>
        <v>0</v>
      </c>
      <c r="Q620" s="32" t="n">
        <f aca="false">(F620+Settings!$B$7*Settings!$B$3)/(E620+Settings!$B$7)</f>
        <v>0.027340721541018</v>
      </c>
      <c r="R620" s="61" t="n">
        <f aca="false">PERCENTRANK($H$2:$H$1780,H620,6)</f>
        <v>0</v>
      </c>
      <c r="S620" s="61" t="n">
        <f aca="false">PERCENTRANK($Q$2:$Q$1780,Q620,6)</f>
        <v>0.253656</v>
      </c>
      <c r="T620" s="61" t="n">
        <f aca="false">PERCENTRANK($F$2:$F$1780,F620,6)</f>
        <v>0</v>
      </c>
      <c r="U620" s="62" t="n">
        <f aca="false">IF(F620&gt;0,(Settings!$B$8*T620+Settings!$B$9*R620+Settings!$B$10*S620)/SUM(Settings!$B$8:$B$10),0)</f>
        <v>0</v>
      </c>
      <c r="V620" s="56" t="str">
        <f aca="false">IF(U620&gt;0,RANK(U620,$U$2:$U$1780)+COUNTIF($U$2:U620,U620)-1,"")</f>
        <v/>
      </c>
      <c r="W620" s="56" t="str">
        <f aca="false">IF(V620="","",IF(V620&lt;=Settings!$B$11,"1 - Fix first",IF(V620&lt;=Settings!$B$12,"2 - Review","3 - Monitor")))</f>
        <v/>
      </c>
      <c r="X620" s="56" t="str">
        <f aca="false">IF(AND(E620&gt;=Settings!$B$4,F620&gt;=Settings!$B$5,O620&gt;=Settings!$B$6),"HIGH RATE","")</f>
        <v/>
      </c>
      <c r="Y620" s="56" t="str">
        <f aca="false">IF(F620&gt;0,RANK(F620,$F$2:$F$1780)+COUNTIF($F$2:F620,F620)-1,"")</f>
        <v/>
      </c>
      <c r="Z620" s="56" t="str">
        <f aca="false">IF(H620&gt;0,RANK(H620,$H$2:$H$1780)+COUNTIF($H$2:H620,H620)-1,"")</f>
        <v/>
      </c>
      <c r="AA620" s="56" t="str">
        <f aca="false">IF(AC620="","",RANK(AC620,$AC$2:$AC$1780)+COUNTIF($AC$2:AC620,AC620)-1)</f>
        <v/>
      </c>
      <c r="AB620" s="56" t="str">
        <f aca="false">IF(AD620="","",RANK(AD620,$AD$2:$AD$1780)+COUNTIF($AD$2:AD620,AD620)-1)</f>
        <v/>
      </c>
      <c r="AC620" s="56" t="str">
        <f aca="false">IF(AND(F620&gt;0,E620&gt;=Settings!$B$4),J620,"")</f>
        <v/>
      </c>
      <c r="AD620" s="56" t="str">
        <f aca="false">IF(X620="HIGH RATE",O620,"")</f>
        <v/>
      </c>
    </row>
    <row r="621" customFormat="false" ht="15" hidden="false" customHeight="false" outlineLevel="0" collapsed="false">
      <c r="A621" s="56" t="s">
        <v>1755</v>
      </c>
      <c r="B621" s="56" t="s">
        <v>1756</v>
      </c>
      <c r="C621" s="56" t="s">
        <v>51</v>
      </c>
      <c r="D621" s="56" t="str">
        <f aca="false">IFERROR(INDEX('Brand Map'!$B$4:$B$124,MATCH(C621,'Brand Map'!$A$4:$A$124,0)),"Other")</f>
        <v>AU</v>
      </c>
      <c r="E621" s="57" t="n">
        <v>3</v>
      </c>
      <c r="F621" s="57" t="n">
        <v>0</v>
      </c>
      <c r="G621" s="58" t="n">
        <v>117.58</v>
      </c>
      <c r="H621" s="58" t="n">
        <v>0</v>
      </c>
      <c r="I621" s="58" t="n">
        <v>117.58</v>
      </c>
      <c r="J621" s="32" t="n">
        <f aca="false">IF(E621&gt;0,F621/E621,0)</f>
        <v>0</v>
      </c>
      <c r="K621" s="32" t="n">
        <f aca="false">IF(G621&gt;0,H621/G621,0)</f>
        <v>-0</v>
      </c>
      <c r="L621" s="59" t="n">
        <f aca="false">H621/Settings!$B$16</f>
        <v>-0</v>
      </c>
      <c r="M621" s="59" t="n">
        <f aca="false">H621/Settings!$B$20</f>
        <v>-0</v>
      </c>
      <c r="N621" s="60" t="n">
        <f aca="false">E621*Settings!$B$3</f>
        <v>0.0929584532394613</v>
      </c>
      <c r="O621" s="60" t="n">
        <f aca="false">IF(E621&gt;0,(F621-N621)/SQRT(E621*Settings!$B$3*(1-Settings!$B$3)),0)</f>
        <v>-0.30972727558513</v>
      </c>
      <c r="P621" s="60" t="n">
        <f aca="false">MAX(0,F621-N621)</f>
        <v>0</v>
      </c>
      <c r="Q621" s="32" t="n">
        <f aca="false">(F621+Settings!$B$7*Settings!$B$3)/(E621+Settings!$B$7)</f>
        <v>0.0281692282543822</v>
      </c>
      <c r="R621" s="61" t="n">
        <f aca="false">PERCENTRANK($H$2:$H$1780,H621,6)</f>
        <v>0</v>
      </c>
      <c r="S621" s="61" t="n">
        <f aca="false">PERCENTRANK($Q$2:$Q$1780,Q621,6)</f>
        <v>0.294151</v>
      </c>
      <c r="T621" s="61" t="n">
        <f aca="false">PERCENTRANK($F$2:$F$1780,F621,6)</f>
        <v>0</v>
      </c>
      <c r="U621" s="62" t="n">
        <f aca="false">IF(F621&gt;0,(Settings!$B$8*T621+Settings!$B$9*R621+Settings!$B$10*S621)/SUM(Settings!$B$8:$B$10),0)</f>
        <v>0</v>
      </c>
      <c r="V621" s="56" t="str">
        <f aca="false">IF(U621&gt;0,RANK(U621,$U$2:$U$1780)+COUNTIF($U$2:U621,U621)-1,"")</f>
        <v/>
      </c>
      <c r="W621" s="56" t="str">
        <f aca="false">IF(V621="","",IF(V621&lt;=Settings!$B$11,"1 - Fix first",IF(V621&lt;=Settings!$B$12,"2 - Review","3 - Monitor")))</f>
        <v/>
      </c>
      <c r="X621" s="56" t="str">
        <f aca="false">IF(AND(E621&gt;=Settings!$B$4,F621&gt;=Settings!$B$5,O621&gt;=Settings!$B$6),"HIGH RATE","")</f>
        <v/>
      </c>
      <c r="Y621" s="56" t="str">
        <f aca="false">IF(F621&gt;0,RANK(F621,$F$2:$F$1780)+COUNTIF($F$2:F621,F621)-1,"")</f>
        <v/>
      </c>
      <c r="Z621" s="56" t="str">
        <f aca="false">IF(H621&gt;0,RANK(H621,$H$2:$H$1780)+COUNTIF($H$2:H621,H621)-1,"")</f>
        <v/>
      </c>
      <c r="AA621" s="56" t="str">
        <f aca="false">IF(AC621="","",RANK(AC621,$AC$2:$AC$1780)+COUNTIF($AC$2:AC621,AC621)-1)</f>
        <v/>
      </c>
      <c r="AB621" s="56" t="str">
        <f aca="false">IF(AD621="","",RANK(AD621,$AD$2:$AD$1780)+COUNTIF($AD$2:AD621,AD621)-1)</f>
        <v/>
      </c>
      <c r="AC621" s="56" t="str">
        <f aca="false">IF(AND(F621&gt;0,E621&gt;=Settings!$B$4),J621,"")</f>
        <v/>
      </c>
      <c r="AD621" s="56" t="str">
        <f aca="false">IF(X621="HIGH RATE",O621,"")</f>
        <v/>
      </c>
    </row>
    <row r="622" customFormat="false" ht="15" hidden="false" customHeight="false" outlineLevel="0" collapsed="false">
      <c r="A622" s="56" t="s">
        <v>1757</v>
      </c>
      <c r="B622" s="56" t="s">
        <v>1758</v>
      </c>
      <c r="C622" s="56" t="s">
        <v>51</v>
      </c>
      <c r="D622" s="56" t="str">
        <f aca="false">IFERROR(INDEX('Brand Map'!$B$4:$B$124,MATCH(C622,'Brand Map'!$A$4:$A$124,0)),"Other")</f>
        <v>AU</v>
      </c>
      <c r="E622" s="57" t="n">
        <v>7</v>
      </c>
      <c r="F622" s="57" t="n">
        <v>0</v>
      </c>
      <c r="G622" s="58" t="n">
        <v>284.2</v>
      </c>
      <c r="H622" s="58" t="n">
        <v>0</v>
      </c>
      <c r="I622" s="58" t="n">
        <v>284.2</v>
      </c>
      <c r="J622" s="32" t="n">
        <f aca="false">IF(E622&gt;0,F622/E622,0)</f>
        <v>0</v>
      </c>
      <c r="K622" s="32" t="n">
        <f aca="false">IF(G622&gt;0,H622/G622,0)</f>
        <v>-0</v>
      </c>
      <c r="L622" s="59" t="n">
        <f aca="false">H622/Settings!$B$16</f>
        <v>-0</v>
      </c>
      <c r="M622" s="59" t="n">
        <f aca="false">H622/Settings!$B$20</f>
        <v>-0</v>
      </c>
      <c r="N622" s="60" t="n">
        <f aca="false">E622*Settings!$B$3</f>
        <v>0.216903057558743</v>
      </c>
      <c r="O622" s="60" t="n">
        <f aca="false">IF(E622&gt;0,(F622-N622)/SQRT(E622*Settings!$B$3*(1-Settings!$B$3)),0)</f>
        <v>-0.473116228387102</v>
      </c>
      <c r="P622" s="60" t="n">
        <f aca="false">MAX(0,F622-N622)</f>
        <v>0</v>
      </c>
      <c r="Q622" s="32" t="n">
        <f aca="false">(F622+Settings!$B$7*Settings!$B$3)/(E622+Settings!$B$7)</f>
        <v>0.0251239062809355</v>
      </c>
      <c r="R622" s="61" t="n">
        <f aca="false">PERCENTRANK($H$2:$H$1780,H622,6)</f>
        <v>0</v>
      </c>
      <c r="S622" s="61" t="n">
        <f aca="false">PERCENTRANK($Q$2:$Q$1780,Q622,6)</f>
        <v>0.168166</v>
      </c>
      <c r="T622" s="61" t="n">
        <f aca="false">PERCENTRANK($F$2:$F$1780,F622,6)</f>
        <v>0</v>
      </c>
      <c r="U622" s="62" t="n">
        <f aca="false">IF(F622&gt;0,(Settings!$B$8*T622+Settings!$B$9*R622+Settings!$B$10*S622)/SUM(Settings!$B$8:$B$10),0)</f>
        <v>0</v>
      </c>
      <c r="V622" s="56" t="str">
        <f aca="false">IF(U622&gt;0,RANK(U622,$U$2:$U$1780)+COUNTIF($U$2:U622,U622)-1,"")</f>
        <v/>
      </c>
      <c r="W622" s="56" t="str">
        <f aca="false">IF(V622="","",IF(V622&lt;=Settings!$B$11,"1 - Fix first",IF(V622&lt;=Settings!$B$12,"2 - Review","3 - Monitor")))</f>
        <v/>
      </c>
      <c r="X622" s="56" t="str">
        <f aca="false">IF(AND(E622&gt;=Settings!$B$4,F622&gt;=Settings!$B$5,O622&gt;=Settings!$B$6),"HIGH RATE","")</f>
        <v/>
      </c>
      <c r="Y622" s="56" t="str">
        <f aca="false">IF(F622&gt;0,RANK(F622,$F$2:$F$1780)+COUNTIF($F$2:F622,F622)-1,"")</f>
        <v/>
      </c>
      <c r="Z622" s="56" t="str">
        <f aca="false">IF(H622&gt;0,RANK(H622,$H$2:$H$1780)+COUNTIF($H$2:H622,H622)-1,"")</f>
        <v/>
      </c>
      <c r="AA622" s="56" t="str">
        <f aca="false">IF(AC622="","",RANK(AC622,$AC$2:$AC$1780)+COUNTIF($AC$2:AC622,AC622)-1)</f>
        <v/>
      </c>
      <c r="AB622" s="56" t="str">
        <f aca="false">IF(AD622="","",RANK(AD622,$AD$2:$AD$1780)+COUNTIF($AD$2:AD622,AD622)-1)</f>
        <v/>
      </c>
      <c r="AC622" s="56" t="str">
        <f aca="false">IF(AND(F622&gt;0,E622&gt;=Settings!$B$4),J622,"")</f>
        <v/>
      </c>
      <c r="AD622" s="56" t="str">
        <f aca="false">IF(X622="HIGH RATE",O622,"")</f>
        <v/>
      </c>
    </row>
    <row r="623" customFormat="false" ht="15" hidden="false" customHeight="false" outlineLevel="0" collapsed="false">
      <c r="A623" s="56" t="s">
        <v>1759</v>
      </c>
      <c r="B623" s="56" t="s">
        <v>1760</v>
      </c>
      <c r="C623" s="56" t="s">
        <v>51</v>
      </c>
      <c r="D623" s="56" t="str">
        <f aca="false">IFERROR(INDEX('Brand Map'!$B$4:$B$124,MATCH(C623,'Brand Map'!$A$4:$A$124,0)),"Other")</f>
        <v>AU</v>
      </c>
      <c r="E623" s="57" t="n">
        <v>5</v>
      </c>
      <c r="F623" s="57" t="n">
        <v>0</v>
      </c>
      <c r="G623" s="58" t="n">
        <v>212.48</v>
      </c>
      <c r="H623" s="58" t="n">
        <v>0</v>
      </c>
      <c r="I623" s="58" t="n">
        <v>212.48</v>
      </c>
      <c r="J623" s="32" t="n">
        <f aca="false">IF(E623&gt;0,F623/E623,0)</f>
        <v>0</v>
      </c>
      <c r="K623" s="32" t="n">
        <f aca="false">IF(G623&gt;0,H623/G623,0)</f>
        <v>-0</v>
      </c>
      <c r="L623" s="59" t="n">
        <f aca="false">H623/Settings!$B$16</f>
        <v>-0</v>
      </c>
      <c r="M623" s="59" t="n">
        <f aca="false">H623/Settings!$B$20</f>
        <v>-0</v>
      </c>
      <c r="N623" s="60" t="n">
        <f aca="false">E623*Settings!$B$3</f>
        <v>0.154930755399102</v>
      </c>
      <c r="O623" s="60" t="n">
        <f aca="false">IF(E623&gt;0,(F623-N623)/SQRT(E623*Settings!$B$3*(1-Settings!$B$3)),0)</f>
        <v>-0.399856193402468</v>
      </c>
      <c r="P623" s="60" t="n">
        <f aca="false">MAX(0,F623-N623)</f>
        <v>0</v>
      </c>
      <c r="Q623" s="32" t="n">
        <f aca="false">(F623+Settings!$B$7*Settings!$B$3)/(E623+Settings!$B$7)</f>
        <v>0.0265595580684175</v>
      </c>
      <c r="R623" s="61" t="n">
        <f aca="false">PERCENTRANK($H$2:$H$1780,H623,6)</f>
        <v>0</v>
      </c>
      <c r="S623" s="61" t="n">
        <f aca="false">PERCENTRANK($Q$2:$Q$1780,Q623,6)</f>
        <v>0.220472</v>
      </c>
      <c r="T623" s="61" t="n">
        <f aca="false">PERCENTRANK($F$2:$F$1780,F623,6)</f>
        <v>0</v>
      </c>
      <c r="U623" s="62" t="n">
        <f aca="false">IF(F623&gt;0,(Settings!$B$8*T623+Settings!$B$9*R623+Settings!$B$10*S623)/SUM(Settings!$B$8:$B$10),0)</f>
        <v>0</v>
      </c>
      <c r="V623" s="56" t="str">
        <f aca="false">IF(U623&gt;0,RANK(U623,$U$2:$U$1780)+COUNTIF($U$2:U623,U623)-1,"")</f>
        <v/>
      </c>
      <c r="W623" s="56" t="str">
        <f aca="false">IF(V623="","",IF(V623&lt;=Settings!$B$11,"1 - Fix first",IF(V623&lt;=Settings!$B$12,"2 - Review","3 - Monitor")))</f>
        <v/>
      </c>
      <c r="X623" s="56" t="str">
        <f aca="false">IF(AND(E623&gt;=Settings!$B$4,F623&gt;=Settings!$B$5,O623&gt;=Settings!$B$6),"HIGH RATE","")</f>
        <v/>
      </c>
      <c r="Y623" s="56" t="str">
        <f aca="false">IF(F623&gt;0,RANK(F623,$F$2:$F$1780)+COUNTIF($F$2:F623,F623)-1,"")</f>
        <v/>
      </c>
      <c r="Z623" s="56" t="str">
        <f aca="false">IF(H623&gt;0,RANK(H623,$H$2:$H$1780)+COUNTIF($H$2:H623,H623)-1,"")</f>
        <v/>
      </c>
      <c r="AA623" s="56" t="str">
        <f aca="false">IF(AC623="","",RANK(AC623,$AC$2:$AC$1780)+COUNTIF($AC$2:AC623,AC623)-1)</f>
        <v/>
      </c>
      <c r="AB623" s="56" t="str">
        <f aca="false">IF(AD623="","",RANK(AD623,$AD$2:$AD$1780)+COUNTIF($AD$2:AD623,AD623)-1)</f>
        <v/>
      </c>
      <c r="AC623" s="56" t="str">
        <f aca="false">IF(AND(F623&gt;0,E623&gt;=Settings!$B$4),J623,"")</f>
        <v/>
      </c>
      <c r="AD623" s="56" t="str">
        <f aca="false">IF(X623="HIGH RATE",O623,"")</f>
        <v/>
      </c>
    </row>
    <row r="624" customFormat="false" ht="15" hidden="false" customHeight="false" outlineLevel="0" collapsed="false">
      <c r="A624" s="56" t="s">
        <v>1761</v>
      </c>
      <c r="B624" s="56" t="s">
        <v>1762</v>
      </c>
      <c r="C624" s="56" t="s">
        <v>51</v>
      </c>
      <c r="D624" s="56" t="str">
        <f aca="false">IFERROR(INDEX('Brand Map'!$B$4:$B$124,MATCH(C624,'Brand Map'!$A$4:$A$124,0)),"Other")</f>
        <v>AU</v>
      </c>
      <c r="E624" s="57" t="n">
        <v>1</v>
      </c>
      <c r="F624" s="57" t="n">
        <v>0</v>
      </c>
      <c r="G624" s="58" t="n">
        <v>31.77</v>
      </c>
      <c r="H624" s="58" t="n">
        <v>0</v>
      </c>
      <c r="I624" s="58" t="n">
        <v>31.77</v>
      </c>
      <c r="J624" s="32" t="n">
        <f aca="false">IF(E624&gt;0,F624/E624,0)</f>
        <v>0</v>
      </c>
      <c r="K624" s="32" t="n">
        <f aca="false">IF(G624&gt;0,H624/G624,0)</f>
        <v>-0</v>
      </c>
      <c r="L624" s="59" t="n">
        <f aca="false">H624/Settings!$B$16</f>
        <v>-0</v>
      </c>
      <c r="M624" s="59" t="n">
        <f aca="false">H624/Settings!$B$20</f>
        <v>-0</v>
      </c>
      <c r="N624" s="60" t="n">
        <f aca="false">E624*Settings!$B$3</f>
        <v>0.0309861510798204</v>
      </c>
      <c r="O624" s="60" t="n">
        <f aca="false">IF(E624&gt;0,(F624-N624)/SQRT(E624*Settings!$B$3*(1-Settings!$B$3)),0)</f>
        <v>-0.178821125934444</v>
      </c>
      <c r="P624" s="60" t="n">
        <f aca="false">MAX(0,F624-N624)</f>
        <v>0</v>
      </c>
      <c r="Q624" s="32" t="n">
        <f aca="false">(F624+Settings!$B$7*Settings!$B$3)/(E624+Settings!$B$7)</f>
        <v>0.0299865978191811</v>
      </c>
      <c r="R624" s="61" t="n">
        <f aca="false">PERCENTRANK($H$2:$H$1780,H624,6)</f>
        <v>0</v>
      </c>
      <c r="S624" s="61" t="n">
        <f aca="false">PERCENTRANK($Q$2:$Q$1780,Q624,6)</f>
        <v>0.486502</v>
      </c>
      <c r="T624" s="61" t="n">
        <f aca="false">PERCENTRANK($F$2:$F$1780,F624,6)</f>
        <v>0</v>
      </c>
      <c r="U624" s="62" t="n">
        <f aca="false">IF(F624&gt;0,(Settings!$B$8*T624+Settings!$B$9*R624+Settings!$B$10*S624)/SUM(Settings!$B$8:$B$10),0)</f>
        <v>0</v>
      </c>
      <c r="V624" s="56" t="str">
        <f aca="false">IF(U624&gt;0,RANK(U624,$U$2:$U$1780)+COUNTIF($U$2:U624,U624)-1,"")</f>
        <v/>
      </c>
      <c r="W624" s="56" t="str">
        <f aca="false">IF(V624="","",IF(V624&lt;=Settings!$B$11,"1 - Fix first",IF(V624&lt;=Settings!$B$12,"2 - Review","3 - Monitor")))</f>
        <v/>
      </c>
      <c r="X624" s="56" t="str">
        <f aca="false">IF(AND(E624&gt;=Settings!$B$4,F624&gt;=Settings!$B$5,O624&gt;=Settings!$B$6),"HIGH RATE","")</f>
        <v/>
      </c>
      <c r="Y624" s="56" t="str">
        <f aca="false">IF(F624&gt;0,RANK(F624,$F$2:$F$1780)+COUNTIF($F$2:F624,F624)-1,"")</f>
        <v/>
      </c>
      <c r="Z624" s="56" t="str">
        <f aca="false">IF(H624&gt;0,RANK(H624,$H$2:$H$1780)+COUNTIF($H$2:H624,H624)-1,"")</f>
        <v/>
      </c>
      <c r="AA624" s="56" t="str">
        <f aca="false">IF(AC624="","",RANK(AC624,$AC$2:$AC$1780)+COUNTIF($AC$2:AC624,AC624)-1)</f>
        <v/>
      </c>
      <c r="AB624" s="56" t="str">
        <f aca="false">IF(AD624="","",RANK(AD624,$AD$2:$AD$1780)+COUNTIF($AD$2:AD624,AD624)-1)</f>
        <v/>
      </c>
      <c r="AC624" s="56" t="str">
        <f aca="false">IF(AND(F624&gt;0,E624&gt;=Settings!$B$4),J624,"")</f>
        <v/>
      </c>
      <c r="AD624" s="56" t="str">
        <f aca="false">IF(X624="HIGH RATE",O624,"")</f>
        <v/>
      </c>
    </row>
    <row r="625" customFormat="false" ht="15" hidden="false" customHeight="false" outlineLevel="0" collapsed="false">
      <c r="A625" s="56" t="s">
        <v>1763</v>
      </c>
      <c r="B625" s="56" t="s">
        <v>1764</v>
      </c>
      <c r="C625" s="56" t="s">
        <v>51</v>
      </c>
      <c r="D625" s="56" t="str">
        <f aca="false">IFERROR(INDEX('Brand Map'!$B$4:$B$124,MATCH(C625,'Brand Map'!$A$4:$A$124,0)),"Other")</f>
        <v>AU</v>
      </c>
      <c r="E625" s="57" t="n">
        <v>6</v>
      </c>
      <c r="F625" s="57" t="n">
        <v>0</v>
      </c>
      <c r="G625" s="58" t="n">
        <v>244.25</v>
      </c>
      <c r="H625" s="58" t="n">
        <v>0</v>
      </c>
      <c r="I625" s="58" t="n">
        <v>244.25</v>
      </c>
      <c r="J625" s="32" t="n">
        <f aca="false">IF(E625&gt;0,F625/E625,0)</f>
        <v>0</v>
      </c>
      <c r="K625" s="32" t="n">
        <f aca="false">IF(G625&gt;0,H625/G625,0)</f>
        <v>-0</v>
      </c>
      <c r="L625" s="59" t="n">
        <f aca="false">H625/Settings!$B$16</f>
        <v>-0</v>
      </c>
      <c r="M625" s="59" t="n">
        <f aca="false">H625/Settings!$B$20</f>
        <v>-0</v>
      </c>
      <c r="N625" s="60" t="n">
        <f aca="false">E625*Settings!$B$3</f>
        <v>0.185916906478923</v>
      </c>
      <c r="O625" s="60" t="n">
        <f aca="false">IF(E625&gt;0,(F625-N625)/SQRT(E625*Settings!$B$3*(1-Settings!$B$3)),0)</f>
        <v>-0.43802051376936</v>
      </c>
      <c r="P625" s="60" t="n">
        <f aca="false">MAX(0,F625-N625)</f>
        <v>0</v>
      </c>
      <c r="Q625" s="32" t="n">
        <f aca="false">(F625+Settings!$B$7*Settings!$B$3)/(E625+Settings!$B$7)</f>
        <v>0.025821792566517</v>
      </c>
      <c r="R625" s="61" t="n">
        <f aca="false">PERCENTRANK($H$2:$H$1780,H625,6)</f>
        <v>0</v>
      </c>
      <c r="S625" s="61" t="n">
        <f aca="false">PERCENTRANK($Q$2:$Q$1780,Q625,6)</f>
        <v>0.189539</v>
      </c>
      <c r="T625" s="61" t="n">
        <f aca="false">PERCENTRANK($F$2:$F$1780,F625,6)</f>
        <v>0</v>
      </c>
      <c r="U625" s="62" t="n">
        <f aca="false">IF(F625&gt;0,(Settings!$B$8*T625+Settings!$B$9*R625+Settings!$B$10*S625)/SUM(Settings!$B$8:$B$10),0)</f>
        <v>0</v>
      </c>
      <c r="V625" s="56" t="str">
        <f aca="false">IF(U625&gt;0,RANK(U625,$U$2:$U$1780)+COUNTIF($U$2:U625,U625)-1,"")</f>
        <v/>
      </c>
      <c r="W625" s="56" t="str">
        <f aca="false">IF(V625="","",IF(V625&lt;=Settings!$B$11,"1 - Fix first",IF(V625&lt;=Settings!$B$12,"2 - Review","3 - Monitor")))</f>
        <v/>
      </c>
      <c r="X625" s="56" t="str">
        <f aca="false">IF(AND(E625&gt;=Settings!$B$4,F625&gt;=Settings!$B$5,O625&gt;=Settings!$B$6),"HIGH RATE","")</f>
        <v/>
      </c>
      <c r="Y625" s="56" t="str">
        <f aca="false">IF(F625&gt;0,RANK(F625,$F$2:$F$1780)+COUNTIF($F$2:F625,F625)-1,"")</f>
        <v/>
      </c>
      <c r="Z625" s="56" t="str">
        <f aca="false">IF(H625&gt;0,RANK(H625,$H$2:$H$1780)+COUNTIF($H$2:H625,H625)-1,"")</f>
        <v/>
      </c>
      <c r="AA625" s="56" t="str">
        <f aca="false">IF(AC625="","",RANK(AC625,$AC$2:$AC$1780)+COUNTIF($AC$2:AC625,AC625)-1)</f>
        <v/>
      </c>
      <c r="AB625" s="56" t="str">
        <f aca="false">IF(AD625="","",RANK(AD625,$AD$2:$AD$1780)+COUNTIF($AD$2:AD625,AD625)-1)</f>
        <v/>
      </c>
      <c r="AC625" s="56" t="str">
        <f aca="false">IF(AND(F625&gt;0,E625&gt;=Settings!$B$4),J625,"")</f>
        <v/>
      </c>
      <c r="AD625" s="56" t="str">
        <f aca="false">IF(X625="HIGH RATE",O625,"")</f>
        <v/>
      </c>
    </row>
    <row r="626" customFormat="false" ht="15" hidden="false" customHeight="false" outlineLevel="0" collapsed="false">
      <c r="A626" s="56" t="s">
        <v>1765</v>
      </c>
      <c r="B626" s="56" t="s">
        <v>1766</v>
      </c>
      <c r="C626" s="56" t="s">
        <v>51</v>
      </c>
      <c r="D626" s="56" t="str">
        <f aca="false">IFERROR(INDEX('Brand Map'!$B$4:$B$124,MATCH(C626,'Brand Map'!$A$4:$A$124,0)),"Other")</f>
        <v>AU</v>
      </c>
      <c r="E626" s="57" t="n">
        <v>8</v>
      </c>
      <c r="F626" s="57" t="n">
        <v>0</v>
      </c>
      <c r="G626" s="58" t="n">
        <v>311.88</v>
      </c>
      <c r="H626" s="58" t="n">
        <v>0</v>
      </c>
      <c r="I626" s="58" t="n">
        <v>307.12</v>
      </c>
      <c r="J626" s="32" t="n">
        <f aca="false">IF(E626&gt;0,F626/E626,0)</f>
        <v>0</v>
      </c>
      <c r="K626" s="32" t="n">
        <f aca="false">IF(G626&gt;0,H626/G626,0)</f>
        <v>-0</v>
      </c>
      <c r="L626" s="59" t="n">
        <f aca="false">H626/Settings!$B$16</f>
        <v>-0</v>
      </c>
      <c r="M626" s="59" t="n">
        <f aca="false">H626/Settings!$B$20</f>
        <v>-0</v>
      </c>
      <c r="N626" s="60" t="n">
        <f aca="false">E626*Settings!$B$3</f>
        <v>0.247889208638563</v>
      </c>
      <c r="O626" s="60" t="n">
        <f aca="false">IF(E626&gt;0,(F626-N626)/SQRT(E626*Settings!$B$3*(1-Settings!$B$3)),0)</f>
        <v>-0.505782523070636</v>
      </c>
      <c r="P626" s="60" t="n">
        <f aca="false">MAX(0,F626-N626)</f>
        <v>0</v>
      </c>
      <c r="Q626" s="32" t="n">
        <f aca="false">(F626+Settings!$B$7*Settings!$B$3)/(E626+Settings!$B$7)</f>
        <v>0.0244627508524898</v>
      </c>
      <c r="R626" s="61" t="n">
        <f aca="false">PERCENTRANK($H$2:$H$1780,H626,6)</f>
        <v>0</v>
      </c>
      <c r="S626" s="61" t="n">
        <f aca="false">PERCENTRANK($Q$2:$Q$1780,Q626,6)</f>
        <v>0.154668</v>
      </c>
      <c r="T626" s="61" t="n">
        <f aca="false">PERCENTRANK($F$2:$F$1780,F626,6)</f>
        <v>0</v>
      </c>
      <c r="U626" s="62" t="n">
        <f aca="false">IF(F626&gt;0,(Settings!$B$8*T626+Settings!$B$9*R626+Settings!$B$10*S626)/SUM(Settings!$B$8:$B$10),0)</f>
        <v>0</v>
      </c>
      <c r="V626" s="56" t="str">
        <f aca="false">IF(U626&gt;0,RANK(U626,$U$2:$U$1780)+COUNTIF($U$2:U626,U626)-1,"")</f>
        <v/>
      </c>
      <c r="W626" s="56" t="str">
        <f aca="false">IF(V626="","",IF(V626&lt;=Settings!$B$11,"1 - Fix first",IF(V626&lt;=Settings!$B$12,"2 - Review","3 - Monitor")))</f>
        <v/>
      </c>
      <c r="X626" s="56" t="str">
        <f aca="false">IF(AND(E626&gt;=Settings!$B$4,F626&gt;=Settings!$B$5,O626&gt;=Settings!$B$6),"HIGH RATE","")</f>
        <v/>
      </c>
      <c r="Y626" s="56" t="str">
        <f aca="false">IF(F626&gt;0,RANK(F626,$F$2:$F$1780)+COUNTIF($F$2:F626,F626)-1,"")</f>
        <v/>
      </c>
      <c r="Z626" s="56" t="str">
        <f aca="false">IF(H626&gt;0,RANK(H626,$H$2:$H$1780)+COUNTIF($H$2:H626,H626)-1,"")</f>
        <v/>
      </c>
      <c r="AA626" s="56" t="str">
        <f aca="false">IF(AC626="","",RANK(AC626,$AC$2:$AC$1780)+COUNTIF($AC$2:AC626,AC626)-1)</f>
        <v/>
      </c>
      <c r="AB626" s="56" t="str">
        <f aca="false">IF(AD626="","",RANK(AD626,$AD$2:$AD$1780)+COUNTIF($AD$2:AD626,AD626)-1)</f>
        <v/>
      </c>
      <c r="AC626" s="56" t="str">
        <f aca="false">IF(AND(F626&gt;0,E626&gt;=Settings!$B$4),J626,"")</f>
        <v/>
      </c>
      <c r="AD626" s="56" t="str">
        <f aca="false">IF(X626="HIGH RATE",O626,"")</f>
        <v/>
      </c>
    </row>
    <row r="627" customFormat="false" ht="15" hidden="false" customHeight="false" outlineLevel="0" collapsed="false">
      <c r="A627" s="56" t="s">
        <v>1767</v>
      </c>
      <c r="B627" s="56" t="s">
        <v>1768</v>
      </c>
      <c r="C627" s="56" t="s">
        <v>51</v>
      </c>
      <c r="D627" s="56" t="str">
        <f aca="false">IFERROR(INDEX('Brand Map'!$B$4:$B$124,MATCH(C627,'Brand Map'!$A$4:$A$124,0)),"Other")</f>
        <v>AU</v>
      </c>
      <c r="E627" s="57" t="n">
        <v>33</v>
      </c>
      <c r="F627" s="57" t="n">
        <v>0</v>
      </c>
      <c r="G627" s="58" t="n">
        <v>1258.84</v>
      </c>
      <c r="H627" s="58" t="n">
        <v>0</v>
      </c>
      <c r="I627" s="58" t="n">
        <v>1242.84</v>
      </c>
      <c r="J627" s="32" t="n">
        <f aca="false">IF(E627&gt;0,F627/E627,0)</f>
        <v>0</v>
      </c>
      <c r="K627" s="32" t="n">
        <f aca="false">IF(G627&gt;0,H627/G627,0)</f>
        <v>-0</v>
      </c>
      <c r="L627" s="59" t="n">
        <f aca="false">H627/Settings!$B$16</f>
        <v>-0</v>
      </c>
      <c r="M627" s="59" t="n">
        <f aca="false">H627/Settings!$B$20</f>
        <v>-0</v>
      </c>
      <c r="N627" s="60" t="n">
        <f aca="false">E627*Settings!$B$3</f>
        <v>1.02254298563407</v>
      </c>
      <c r="O627" s="60" t="n">
        <f aca="false">IF(E627&gt;0,(F627-N627)/SQRT(E627*Settings!$B$3*(1-Settings!$B$3)),0)</f>
        <v>-1.02724916045488</v>
      </c>
      <c r="P627" s="60" t="n">
        <f aca="false">MAX(0,F627-N627)</f>
        <v>0</v>
      </c>
      <c r="Q627" s="32" t="n">
        <f aca="false">(F627+Settings!$B$7*Settings!$B$3)/(E627+Settings!$B$7)</f>
        <v>0.0147553100380097</v>
      </c>
      <c r="R627" s="61" t="n">
        <f aca="false">PERCENTRANK($H$2:$H$1780,H627,6)</f>
        <v>0</v>
      </c>
      <c r="S627" s="61" t="n">
        <f aca="false">PERCENTRANK($Q$2:$Q$1780,Q627,6)</f>
        <v>0.0376828</v>
      </c>
      <c r="T627" s="61" t="n">
        <f aca="false">PERCENTRANK($F$2:$F$1780,F627,6)</f>
        <v>0</v>
      </c>
      <c r="U627" s="62" t="n">
        <f aca="false">IF(F627&gt;0,(Settings!$B$8*T627+Settings!$B$9*R627+Settings!$B$10*S627)/SUM(Settings!$B$8:$B$10),0)</f>
        <v>0</v>
      </c>
      <c r="V627" s="56" t="str">
        <f aca="false">IF(U627&gt;0,RANK(U627,$U$2:$U$1780)+COUNTIF($U$2:U627,U627)-1,"")</f>
        <v/>
      </c>
      <c r="W627" s="56" t="str">
        <f aca="false">IF(V627="","",IF(V627&lt;=Settings!$B$11,"1 - Fix first",IF(V627&lt;=Settings!$B$12,"2 - Review","3 - Monitor")))</f>
        <v/>
      </c>
      <c r="X627" s="56" t="str">
        <f aca="false">IF(AND(E627&gt;=Settings!$B$4,F627&gt;=Settings!$B$5,O627&gt;=Settings!$B$6),"HIGH RATE","")</f>
        <v/>
      </c>
      <c r="Y627" s="56" t="str">
        <f aca="false">IF(F627&gt;0,RANK(F627,$F$2:$F$1780)+COUNTIF($F$2:F627,F627)-1,"")</f>
        <v/>
      </c>
      <c r="Z627" s="56" t="str">
        <f aca="false">IF(H627&gt;0,RANK(H627,$H$2:$H$1780)+COUNTIF($H$2:H627,H627)-1,"")</f>
        <v/>
      </c>
      <c r="AA627" s="56" t="str">
        <f aca="false">IF(AC627="","",RANK(AC627,$AC$2:$AC$1780)+COUNTIF($AC$2:AC627,AC627)-1)</f>
        <v/>
      </c>
      <c r="AB627" s="56" t="str">
        <f aca="false">IF(AD627="","",RANK(AD627,$AD$2:$AD$1780)+COUNTIF($AD$2:AD627,AD627)-1)</f>
        <v/>
      </c>
      <c r="AC627" s="56" t="str">
        <f aca="false">IF(AND(F627&gt;0,E627&gt;=Settings!$B$4),J627,"")</f>
        <v/>
      </c>
      <c r="AD627" s="56" t="str">
        <f aca="false">IF(X627="HIGH RATE",O627,"")</f>
        <v/>
      </c>
    </row>
    <row r="628" customFormat="false" ht="15" hidden="false" customHeight="false" outlineLevel="0" collapsed="false">
      <c r="A628" s="56" t="s">
        <v>1769</v>
      </c>
      <c r="B628" s="56" t="s">
        <v>1770</v>
      </c>
      <c r="C628" s="56" t="s">
        <v>51</v>
      </c>
      <c r="D628" s="56" t="str">
        <f aca="false">IFERROR(INDEX('Brand Map'!$B$4:$B$124,MATCH(C628,'Brand Map'!$A$4:$A$124,0)),"Other")</f>
        <v>AU</v>
      </c>
      <c r="E628" s="57" t="n">
        <v>3</v>
      </c>
      <c r="F628" s="57" t="n">
        <v>0</v>
      </c>
      <c r="G628" s="58" t="n">
        <v>117.58</v>
      </c>
      <c r="H628" s="58" t="n">
        <v>0</v>
      </c>
      <c r="I628" s="58" t="n">
        <v>117.58</v>
      </c>
      <c r="J628" s="32" t="n">
        <f aca="false">IF(E628&gt;0,F628/E628,0)</f>
        <v>0</v>
      </c>
      <c r="K628" s="32" t="n">
        <f aca="false">IF(G628&gt;0,H628/G628,0)</f>
        <v>-0</v>
      </c>
      <c r="L628" s="59" t="n">
        <f aca="false">H628/Settings!$B$16</f>
        <v>-0</v>
      </c>
      <c r="M628" s="59" t="n">
        <f aca="false">H628/Settings!$B$20</f>
        <v>-0</v>
      </c>
      <c r="N628" s="60" t="n">
        <f aca="false">E628*Settings!$B$3</f>
        <v>0.0929584532394613</v>
      </c>
      <c r="O628" s="60" t="n">
        <f aca="false">IF(E628&gt;0,(F628-N628)/SQRT(E628*Settings!$B$3*(1-Settings!$B$3)),0)</f>
        <v>-0.30972727558513</v>
      </c>
      <c r="P628" s="60" t="n">
        <f aca="false">MAX(0,F628-N628)</f>
        <v>0</v>
      </c>
      <c r="Q628" s="32" t="n">
        <f aca="false">(F628+Settings!$B$7*Settings!$B$3)/(E628+Settings!$B$7)</f>
        <v>0.0281692282543822</v>
      </c>
      <c r="R628" s="61" t="n">
        <f aca="false">PERCENTRANK($H$2:$H$1780,H628,6)</f>
        <v>0</v>
      </c>
      <c r="S628" s="61" t="n">
        <f aca="false">PERCENTRANK($Q$2:$Q$1780,Q628,6)</f>
        <v>0.294151</v>
      </c>
      <c r="T628" s="61" t="n">
        <f aca="false">PERCENTRANK($F$2:$F$1780,F628,6)</f>
        <v>0</v>
      </c>
      <c r="U628" s="62" t="n">
        <f aca="false">IF(F628&gt;0,(Settings!$B$8*T628+Settings!$B$9*R628+Settings!$B$10*S628)/SUM(Settings!$B$8:$B$10),0)</f>
        <v>0</v>
      </c>
      <c r="V628" s="56" t="str">
        <f aca="false">IF(U628&gt;0,RANK(U628,$U$2:$U$1780)+COUNTIF($U$2:U628,U628)-1,"")</f>
        <v/>
      </c>
      <c r="W628" s="56" t="str">
        <f aca="false">IF(V628="","",IF(V628&lt;=Settings!$B$11,"1 - Fix first",IF(V628&lt;=Settings!$B$12,"2 - Review","3 - Monitor")))</f>
        <v/>
      </c>
      <c r="X628" s="56" t="str">
        <f aca="false">IF(AND(E628&gt;=Settings!$B$4,F628&gt;=Settings!$B$5,O628&gt;=Settings!$B$6),"HIGH RATE","")</f>
        <v/>
      </c>
      <c r="Y628" s="56" t="str">
        <f aca="false">IF(F628&gt;0,RANK(F628,$F$2:$F$1780)+COUNTIF($F$2:F628,F628)-1,"")</f>
        <v/>
      </c>
      <c r="Z628" s="56" t="str">
        <f aca="false">IF(H628&gt;0,RANK(H628,$H$2:$H$1780)+COUNTIF($H$2:H628,H628)-1,"")</f>
        <v/>
      </c>
      <c r="AA628" s="56" t="str">
        <f aca="false">IF(AC628="","",RANK(AC628,$AC$2:$AC$1780)+COUNTIF($AC$2:AC628,AC628)-1)</f>
        <v/>
      </c>
      <c r="AB628" s="56" t="str">
        <f aca="false">IF(AD628="","",RANK(AD628,$AD$2:$AD$1780)+COUNTIF($AD$2:AD628,AD628)-1)</f>
        <v/>
      </c>
      <c r="AC628" s="56" t="str">
        <f aca="false">IF(AND(F628&gt;0,E628&gt;=Settings!$B$4),J628,"")</f>
        <v/>
      </c>
      <c r="AD628" s="56" t="str">
        <f aca="false">IF(X628="HIGH RATE",O628,"")</f>
        <v/>
      </c>
    </row>
    <row r="629" customFormat="false" ht="15" hidden="false" customHeight="false" outlineLevel="0" collapsed="false">
      <c r="A629" s="56" t="s">
        <v>1771</v>
      </c>
      <c r="B629" s="56" t="s">
        <v>1772</v>
      </c>
      <c r="C629" s="56" t="s">
        <v>51</v>
      </c>
      <c r="D629" s="56" t="str">
        <f aca="false">IFERROR(INDEX('Brand Map'!$B$4:$B$124,MATCH(C629,'Brand Map'!$A$4:$A$124,0)),"Other")</f>
        <v>AU</v>
      </c>
      <c r="E629" s="57" t="n">
        <v>6</v>
      </c>
      <c r="F629" s="57" t="n">
        <v>0</v>
      </c>
      <c r="G629" s="58" t="n">
        <v>337.9</v>
      </c>
      <c r="H629" s="58" t="n">
        <v>0</v>
      </c>
      <c r="I629" s="58" t="n">
        <v>337.9</v>
      </c>
      <c r="J629" s="32" t="n">
        <f aca="false">IF(E629&gt;0,F629/E629,0)</f>
        <v>0</v>
      </c>
      <c r="K629" s="32" t="n">
        <f aca="false">IF(G629&gt;0,H629/G629,0)</f>
        <v>-0</v>
      </c>
      <c r="L629" s="59" t="n">
        <f aca="false">H629/Settings!$B$16</f>
        <v>-0</v>
      </c>
      <c r="M629" s="59" t="n">
        <f aca="false">H629/Settings!$B$20</f>
        <v>-0</v>
      </c>
      <c r="N629" s="60" t="n">
        <f aca="false">E629*Settings!$B$3</f>
        <v>0.185916906478923</v>
      </c>
      <c r="O629" s="60" t="n">
        <f aca="false">IF(E629&gt;0,(F629-N629)/SQRT(E629*Settings!$B$3*(1-Settings!$B$3)),0)</f>
        <v>-0.43802051376936</v>
      </c>
      <c r="P629" s="60" t="n">
        <f aca="false">MAX(0,F629-N629)</f>
        <v>0</v>
      </c>
      <c r="Q629" s="32" t="n">
        <f aca="false">(F629+Settings!$B$7*Settings!$B$3)/(E629+Settings!$B$7)</f>
        <v>0.025821792566517</v>
      </c>
      <c r="R629" s="61" t="n">
        <f aca="false">PERCENTRANK($H$2:$H$1780,H629,6)</f>
        <v>0</v>
      </c>
      <c r="S629" s="61" t="n">
        <f aca="false">PERCENTRANK($Q$2:$Q$1780,Q629,6)</f>
        <v>0.189539</v>
      </c>
      <c r="T629" s="61" t="n">
        <f aca="false">PERCENTRANK($F$2:$F$1780,F629,6)</f>
        <v>0</v>
      </c>
      <c r="U629" s="62" t="n">
        <f aca="false">IF(F629&gt;0,(Settings!$B$8*T629+Settings!$B$9*R629+Settings!$B$10*S629)/SUM(Settings!$B$8:$B$10),0)</f>
        <v>0</v>
      </c>
      <c r="V629" s="56" t="str">
        <f aca="false">IF(U629&gt;0,RANK(U629,$U$2:$U$1780)+COUNTIF($U$2:U629,U629)-1,"")</f>
        <v/>
      </c>
      <c r="W629" s="56" t="str">
        <f aca="false">IF(V629="","",IF(V629&lt;=Settings!$B$11,"1 - Fix first",IF(V629&lt;=Settings!$B$12,"2 - Review","3 - Monitor")))</f>
        <v/>
      </c>
      <c r="X629" s="56" t="str">
        <f aca="false">IF(AND(E629&gt;=Settings!$B$4,F629&gt;=Settings!$B$5,O629&gt;=Settings!$B$6),"HIGH RATE","")</f>
        <v/>
      </c>
      <c r="Y629" s="56" t="str">
        <f aca="false">IF(F629&gt;0,RANK(F629,$F$2:$F$1780)+COUNTIF($F$2:F629,F629)-1,"")</f>
        <v/>
      </c>
      <c r="Z629" s="56" t="str">
        <f aca="false">IF(H629&gt;0,RANK(H629,$H$2:$H$1780)+COUNTIF($H$2:H629,H629)-1,"")</f>
        <v/>
      </c>
      <c r="AA629" s="56" t="str">
        <f aca="false">IF(AC629="","",RANK(AC629,$AC$2:$AC$1780)+COUNTIF($AC$2:AC629,AC629)-1)</f>
        <v/>
      </c>
      <c r="AB629" s="56" t="str">
        <f aca="false">IF(AD629="","",RANK(AD629,$AD$2:$AD$1780)+COUNTIF($AD$2:AD629,AD629)-1)</f>
        <v/>
      </c>
      <c r="AC629" s="56" t="str">
        <f aca="false">IF(AND(F629&gt;0,E629&gt;=Settings!$B$4),J629,"")</f>
        <v/>
      </c>
      <c r="AD629" s="56" t="str">
        <f aca="false">IF(X629="HIGH RATE",O629,"")</f>
        <v/>
      </c>
    </row>
    <row r="630" customFormat="false" ht="15" hidden="false" customHeight="false" outlineLevel="0" collapsed="false">
      <c r="A630" s="56" t="s">
        <v>1773</v>
      </c>
      <c r="B630" s="56" t="s">
        <v>1774</v>
      </c>
      <c r="C630" s="56" t="s">
        <v>51</v>
      </c>
      <c r="D630" s="56" t="str">
        <f aca="false">IFERROR(INDEX('Brand Map'!$B$4:$B$124,MATCH(C630,'Brand Map'!$A$4:$A$124,0)),"Other")</f>
        <v>AU</v>
      </c>
      <c r="E630" s="57" t="n">
        <v>1</v>
      </c>
      <c r="F630" s="57" t="n">
        <v>0</v>
      </c>
      <c r="G630" s="58" t="n">
        <v>59.95</v>
      </c>
      <c r="H630" s="58" t="n">
        <v>0</v>
      </c>
      <c r="I630" s="58" t="n">
        <v>59.95</v>
      </c>
      <c r="J630" s="32" t="n">
        <f aca="false">IF(E630&gt;0,F630/E630,0)</f>
        <v>0</v>
      </c>
      <c r="K630" s="32" t="n">
        <f aca="false">IF(G630&gt;0,H630/G630,0)</f>
        <v>-0</v>
      </c>
      <c r="L630" s="59" t="n">
        <f aca="false">H630/Settings!$B$16</f>
        <v>-0</v>
      </c>
      <c r="M630" s="59" t="n">
        <f aca="false">H630/Settings!$B$20</f>
        <v>-0</v>
      </c>
      <c r="N630" s="60" t="n">
        <f aca="false">E630*Settings!$B$3</f>
        <v>0.0309861510798204</v>
      </c>
      <c r="O630" s="60" t="n">
        <f aca="false">IF(E630&gt;0,(F630-N630)/SQRT(E630*Settings!$B$3*(1-Settings!$B$3)),0)</f>
        <v>-0.178821125934444</v>
      </c>
      <c r="P630" s="60" t="n">
        <f aca="false">MAX(0,F630-N630)</f>
        <v>0</v>
      </c>
      <c r="Q630" s="32" t="n">
        <f aca="false">(F630+Settings!$B$7*Settings!$B$3)/(E630+Settings!$B$7)</f>
        <v>0.0299865978191811</v>
      </c>
      <c r="R630" s="61" t="n">
        <f aca="false">PERCENTRANK($H$2:$H$1780,H630,6)</f>
        <v>0</v>
      </c>
      <c r="S630" s="61" t="n">
        <f aca="false">PERCENTRANK($Q$2:$Q$1780,Q630,6)</f>
        <v>0.486502</v>
      </c>
      <c r="T630" s="61" t="n">
        <f aca="false">PERCENTRANK($F$2:$F$1780,F630,6)</f>
        <v>0</v>
      </c>
      <c r="U630" s="62" t="n">
        <f aca="false">IF(F630&gt;0,(Settings!$B$8*T630+Settings!$B$9*R630+Settings!$B$10*S630)/SUM(Settings!$B$8:$B$10),0)</f>
        <v>0</v>
      </c>
      <c r="V630" s="56" t="str">
        <f aca="false">IF(U630&gt;0,RANK(U630,$U$2:$U$1780)+COUNTIF($U$2:U630,U630)-1,"")</f>
        <v/>
      </c>
      <c r="W630" s="56" t="str">
        <f aca="false">IF(V630="","",IF(V630&lt;=Settings!$B$11,"1 - Fix first",IF(V630&lt;=Settings!$B$12,"2 - Review","3 - Monitor")))</f>
        <v/>
      </c>
      <c r="X630" s="56" t="str">
        <f aca="false">IF(AND(E630&gt;=Settings!$B$4,F630&gt;=Settings!$B$5,O630&gt;=Settings!$B$6),"HIGH RATE","")</f>
        <v/>
      </c>
      <c r="Y630" s="56" t="str">
        <f aca="false">IF(F630&gt;0,RANK(F630,$F$2:$F$1780)+COUNTIF($F$2:F630,F630)-1,"")</f>
        <v/>
      </c>
      <c r="Z630" s="56" t="str">
        <f aca="false">IF(H630&gt;0,RANK(H630,$H$2:$H$1780)+COUNTIF($H$2:H630,H630)-1,"")</f>
        <v/>
      </c>
      <c r="AA630" s="56" t="str">
        <f aca="false">IF(AC630="","",RANK(AC630,$AC$2:$AC$1780)+COUNTIF($AC$2:AC630,AC630)-1)</f>
        <v/>
      </c>
      <c r="AB630" s="56" t="str">
        <f aca="false">IF(AD630="","",RANK(AD630,$AD$2:$AD$1780)+COUNTIF($AD$2:AD630,AD630)-1)</f>
        <v/>
      </c>
      <c r="AC630" s="56" t="str">
        <f aca="false">IF(AND(F630&gt;0,E630&gt;=Settings!$B$4),J630,"")</f>
        <v/>
      </c>
      <c r="AD630" s="56" t="str">
        <f aca="false">IF(X630="HIGH RATE",O630,"")</f>
        <v/>
      </c>
    </row>
    <row r="631" customFormat="false" ht="15" hidden="false" customHeight="false" outlineLevel="0" collapsed="false">
      <c r="A631" s="56" t="s">
        <v>1775</v>
      </c>
      <c r="B631" s="56" t="s">
        <v>1776</v>
      </c>
      <c r="C631" s="56" t="s">
        <v>51</v>
      </c>
      <c r="D631" s="56" t="str">
        <f aca="false">IFERROR(INDEX('Brand Map'!$B$4:$B$124,MATCH(C631,'Brand Map'!$A$4:$A$124,0)),"Other")</f>
        <v>AU</v>
      </c>
      <c r="E631" s="57" t="n">
        <v>2</v>
      </c>
      <c r="F631" s="57" t="n">
        <v>0</v>
      </c>
      <c r="G631" s="58" t="n">
        <v>95.36</v>
      </c>
      <c r="H631" s="58" t="n">
        <v>0</v>
      </c>
      <c r="I631" s="58" t="n">
        <v>95.36</v>
      </c>
      <c r="J631" s="32" t="n">
        <f aca="false">IF(E631&gt;0,F631/E631,0)</f>
        <v>0</v>
      </c>
      <c r="K631" s="32" t="n">
        <f aca="false">IF(G631&gt;0,H631/G631,0)</f>
        <v>-0</v>
      </c>
      <c r="L631" s="59" t="n">
        <f aca="false">H631/Settings!$B$16</f>
        <v>-0</v>
      </c>
      <c r="M631" s="59" t="n">
        <f aca="false">H631/Settings!$B$20</f>
        <v>-0</v>
      </c>
      <c r="N631" s="60" t="n">
        <f aca="false">E631*Settings!$B$3</f>
        <v>0.0619723021596408</v>
      </c>
      <c r="O631" s="60" t="n">
        <f aca="false">IF(E631&gt;0,(F631-N631)/SQRT(E631*Settings!$B$3*(1-Settings!$B$3)),0)</f>
        <v>-0.252891261535318</v>
      </c>
      <c r="P631" s="60" t="n">
        <f aca="false">MAX(0,F631-N631)</f>
        <v>0</v>
      </c>
      <c r="Q631" s="32" t="n">
        <f aca="false">(F631+Settings!$B$7*Settings!$B$3)/(E631+Settings!$B$7)</f>
        <v>0.0290495166373316</v>
      </c>
      <c r="R631" s="61" t="n">
        <f aca="false">PERCENTRANK($H$2:$H$1780,H631,6)</f>
        <v>0</v>
      </c>
      <c r="S631" s="61" t="n">
        <f aca="false">PERCENTRANK($Q$2:$Q$1780,Q631,6)</f>
        <v>0.365579</v>
      </c>
      <c r="T631" s="61" t="n">
        <f aca="false">PERCENTRANK($F$2:$F$1780,F631,6)</f>
        <v>0</v>
      </c>
      <c r="U631" s="62" t="n">
        <f aca="false">IF(F631&gt;0,(Settings!$B$8*T631+Settings!$B$9*R631+Settings!$B$10*S631)/SUM(Settings!$B$8:$B$10),0)</f>
        <v>0</v>
      </c>
      <c r="V631" s="56" t="str">
        <f aca="false">IF(U631&gt;0,RANK(U631,$U$2:$U$1780)+COUNTIF($U$2:U631,U631)-1,"")</f>
        <v/>
      </c>
      <c r="W631" s="56" t="str">
        <f aca="false">IF(V631="","",IF(V631&lt;=Settings!$B$11,"1 - Fix first",IF(V631&lt;=Settings!$B$12,"2 - Review","3 - Monitor")))</f>
        <v/>
      </c>
      <c r="X631" s="56" t="str">
        <f aca="false">IF(AND(E631&gt;=Settings!$B$4,F631&gt;=Settings!$B$5,O631&gt;=Settings!$B$6),"HIGH RATE","")</f>
        <v/>
      </c>
      <c r="Y631" s="56" t="str">
        <f aca="false">IF(F631&gt;0,RANK(F631,$F$2:$F$1780)+COUNTIF($F$2:F631,F631)-1,"")</f>
        <v/>
      </c>
      <c r="Z631" s="56" t="str">
        <f aca="false">IF(H631&gt;0,RANK(H631,$H$2:$H$1780)+COUNTIF($H$2:H631,H631)-1,"")</f>
        <v/>
      </c>
      <c r="AA631" s="56" t="str">
        <f aca="false">IF(AC631="","",RANK(AC631,$AC$2:$AC$1780)+COUNTIF($AC$2:AC631,AC631)-1)</f>
        <v/>
      </c>
      <c r="AB631" s="56" t="str">
        <f aca="false">IF(AD631="","",RANK(AD631,$AD$2:$AD$1780)+COUNTIF($AD$2:AD631,AD631)-1)</f>
        <v/>
      </c>
      <c r="AC631" s="56" t="str">
        <f aca="false">IF(AND(F631&gt;0,E631&gt;=Settings!$B$4),J631,"")</f>
        <v/>
      </c>
      <c r="AD631" s="56" t="str">
        <f aca="false">IF(X631="HIGH RATE",O631,"")</f>
        <v/>
      </c>
    </row>
    <row r="632" customFormat="false" ht="15" hidden="false" customHeight="false" outlineLevel="0" collapsed="false">
      <c r="A632" s="56" t="s">
        <v>1777</v>
      </c>
      <c r="B632" s="56" t="s">
        <v>1778</v>
      </c>
      <c r="C632" s="56" t="s">
        <v>51</v>
      </c>
      <c r="D632" s="56" t="str">
        <f aca="false">IFERROR(INDEX('Brand Map'!$B$4:$B$124,MATCH(C632,'Brand Map'!$A$4:$A$124,0)),"Other")</f>
        <v>AU</v>
      </c>
      <c r="E632" s="57" t="n">
        <v>12</v>
      </c>
      <c r="F632" s="57" t="n">
        <v>0</v>
      </c>
      <c r="G632" s="58" t="n">
        <v>629.42</v>
      </c>
      <c r="H632" s="58" t="n">
        <v>0</v>
      </c>
      <c r="I632" s="58" t="n">
        <v>615.81</v>
      </c>
      <c r="J632" s="32" t="n">
        <f aca="false">IF(E632&gt;0,F632/E632,0)</f>
        <v>0</v>
      </c>
      <c r="K632" s="32" t="n">
        <f aca="false">IF(G632&gt;0,H632/G632,0)</f>
        <v>-0</v>
      </c>
      <c r="L632" s="59" t="n">
        <f aca="false">H632/Settings!$B$16</f>
        <v>-0</v>
      </c>
      <c r="M632" s="59" t="n">
        <f aca="false">H632/Settings!$B$20</f>
        <v>-0</v>
      </c>
      <c r="N632" s="60" t="n">
        <f aca="false">E632*Settings!$B$3</f>
        <v>0.371833812957845</v>
      </c>
      <c r="O632" s="60" t="n">
        <f aca="false">IF(E632&gt;0,(F632-N632)/SQRT(E632*Settings!$B$3*(1-Settings!$B$3)),0)</f>
        <v>-0.61945455117026</v>
      </c>
      <c r="P632" s="60" t="n">
        <f aca="false">MAX(0,F632-N632)</f>
        <v>0</v>
      </c>
      <c r="Q632" s="32" t="n">
        <f aca="false">(F632+Settings!$B$7*Settings!$B$3)/(E632+Settings!$B$7)</f>
        <v>0.0221329650570146</v>
      </c>
      <c r="R632" s="61" t="n">
        <f aca="false">PERCENTRANK($H$2:$H$1780,H632,6)</f>
        <v>0</v>
      </c>
      <c r="S632" s="61" t="n">
        <f aca="false">PERCENTRANK($Q$2:$Q$1780,Q632,6)</f>
        <v>0.109674</v>
      </c>
      <c r="T632" s="61" t="n">
        <f aca="false">PERCENTRANK($F$2:$F$1780,F632,6)</f>
        <v>0</v>
      </c>
      <c r="U632" s="62" t="n">
        <f aca="false">IF(F632&gt;0,(Settings!$B$8*T632+Settings!$B$9*R632+Settings!$B$10*S632)/SUM(Settings!$B$8:$B$10),0)</f>
        <v>0</v>
      </c>
      <c r="V632" s="56" t="str">
        <f aca="false">IF(U632&gt;0,RANK(U632,$U$2:$U$1780)+COUNTIF($U$2:U632,U632)-1,"")</f>
        <v/>
      </c>
      <c r="W632" s="56" t="str">
        <f aca="false">IF(V632="","",IF(V632&lt;=Settings!$B$11,"1 - Fix first",IF(V632&lt;=Settings!$B$12,"2 - Review","3 - Monitor")))</f>
        <v/>
      </c>
      <c r="X632" s="56" t="str">
        <f aca="false">IF(AND(E632&gt;=Settings!$B$4,F632&gt;=Settings!$B$5,O632&gt;=Settings!$B$6),"HIGH RATE","")</f>
        <v/>
      </c>
      <c r="Y632" s="56" t="str">
        <f aca="false">IF(F632&gt;0,RANK(F632,$F$2:$F$1780)+COUNTIF($F$2:F632,F632)-1,"")</f>
        <v/>
      </c>
      <c r="Z632" s="56" t="str">
        <f aca="false">IF(H632&gt;0,RANK(H632,$H$2:$H$1780)+COUNTIF($H$2:H632,H632)-1,"")</f>
        <v/>
      </c>
      <c r="AA632" s="56" t="str">
        <f aca="false">IF(AC632="","",RANK(AC632,$AC$2:$AC$1780)+COUNTIF($AC$2:AC632,AC632)-1)</f>
        <v/>
      </c>
      <c r="AB632" s="56" t="str">
        <f aca="false">IF(AD632="","",RANK(AD632,$AD$2:$AD$1780)+COUNTIF($AD$2:AD632,AD632)-1)</f>
        <v/>
      </c>
      <c r="AC632" s="56" t="str">
        <f aca="false">IF(AND(F632&gt;0,E632&gt;=Settings!$B$4),J632,"")</f>
        <v/>
      </c>
      <c r="AD632" s="56" t="str">
        <f aca="false">IF(X632="HIGH RATE",O632,"")</f>
        <v/>
      </c>
    </row>
    <row r="633" customFormat="false" ht="15" hidden="false" customHeight="false" outlineLevel="0" collapsed="false">
      <c r="A633" s="56" t="s">
        <v>1779</v>
      </c>
      <c r="B633" s="56" t="s">
        <v>1780</v>
      </c>
      <c r="C633" s="56" t="s">
        <v>51</v>
      </c>
      <c r="D633" s="56" t="str">
        <f aca="false">IFERROR(INDEX('Brand Map'!$B$4:$B$124,MATCH(C633,'Brand Map'!$A$4:$A$124,0)),"Other")</f>
        <v>AU</v>
      </c>
      <c r="E633" s="57" t="n">
        <v>5</v>
      </c>
      <c r="F633" s="57" t="n">
        <v>0</v>
      </c>
      <c r="G633" s="58" t="n">
        <v>277.95</v>
      </c>
      <c r="H633" s="58" t="n">
        <v>0</v>
      </c>
      <c r="I633" s="58" t="n">
        <v>277.95</v>
      </c>
      <c r="J633" s="32" t="n">
        <f aca="false">IF(E633&gt;0,F633/E633,0)</f>
        <v>0</v>
      </c>
      <c r="K633" s="32" t="n">
        <f aca="false">IF(G633&gt;0,H633/G633,0)</f>
        <v>-0</v>
      </c>
      <c r="L633" s="59" t="n">
        <f aca="false">H633/Settings!$B$16</f>
        <v>-0</v>
      </c>
      <c r="M633" s="59" t="n">
        <f aca="false">H633/Settings!$B$20</f>
        <v>-0</v>
      </c>
      <c r="N633" s="60" t="n">
        <f aca="false">E633*Settings!$B$3</f>
        <v>0.154930755399102</v>
      </c>
      <c r="O633" s="60" t="n">
        <f aca="false">IF(E633&gt;0,(F633-N633)/SQRT(E633*Settings!$B$3*(1-Settings!$B$3)),0)</f>
        <v>-0.399856193402468</v>
      </c>
      <c r="P633" s="60" t="n">
        <f aca="false">MAX(0,F633-N633)</f>
        <v>0</v>
      </c>
      <c r="Q633" s="32" t="n">
        <f aca="false">(F633+Settings!$B$7*Settings!$B$3)/(E633+Settings!$B$7)</f>
        <v>0.0265595580684175</v>
      </c>
      <c r="R633" s="61" t="n">
        <f aca="false">PERCENTRANK($H$2:$H$1780,H633,6)</f>
        <v>0</v>
      </c>
      <c r="S633" s="61" t="n">
        <f aca="false">PERCENTRANK($Q$2:$Q$1780,Q633,6)</f>
        <v>0.220472</v>
      </c>
      <c r="T633" s="61" t="n">
        <f aca="false">PERCENTRANK($F$2:$F$1780,F633,6)</f>
        <v>0</v>
      </c>
      <c r="U633" s="62" t="n">
        <f aca="false">IF(F633&gt;0,(Settings!$B$8*T633+Settings!$B$9*R633+Settings!$B$10*S633)/SUM(Settings!$B$8:$B$10),0)</f>
        <v>0</v>
      </c>
      <c r="V633" s="56" t="str">
        <f aca="false">IF(U633&gt;0,RANK(U633,$U$2:$U$1780)+COUNTIF($U$2:U633,U633)-1,"")</f>
        <v/>
      </c>
      <c r="W633" s="56" t="str">
        <f aca="false">IF(V633="","",IF(V633&lt;=Settings!$B$11,"1 - Fix first",IF(V633&lt;=Settings!$B$12,"2 - Review","3 - Monitor")))</f>
        <v/>
      </c>
      <c r="X633" s="56" t="str">
        <f aca="false">IF(AND(E633&gt;=Settings!$B$4,F633&gt;=Settings!$B$5,O633&gt;=Settings!$B$6),"HIGH RATE","")</f>
        <v/>
      </c>
      <c r="Y633" s="56" t="str">
        <f aca="false">IF(F633&gt;0,RANK(F633,$F$2:$F$1780)+COUNTIF($F$2:F633,F633)-1,"")</f>
        <v/>
      </c>
      <c r="Z633" s="56" t="str">
        <f aca="false">IF(H633&gt;0,RANK(H633,$H$2:$H$1780)+COUNTIF($H$2:H633,H633)-1,"")</f>
        <v/>
      </c>
      <c r="AA633" s="56" t="str">
        <f aca="false">IF(AC633="","",RANK(AC633,$AC$2:$AC$1780)+COUNTIF($AC$2:AC633,AC633)-1)</f>
        <v/>
      </c>
      <c r="AB633" s="56" t="str">
        <f aca="false">IF(AD633="","",RANK(AD633,$AD$2:$AD$1780)+COUNTIF($AD$2:AD633,AD633)-1)</f>
        <v/>
      </c>
      <c r="AC633" s="56" t="str">
        <f aca="false">IF(AND(F633&gt;0,E633&gt;=Settings!$B$4),J633,"")</f>
        <v/>
      </c>
      <c r="AD633" s="56" t="str">
        <f aca="false">IF(X633="HIGH RATE",O633,"")</f>
        <v/>
      </c>
    </row>
    <row r="634" customFormat="false" ht="15" hidden="false" customHeight="false" outlineLevel="0" collapsed="false">
      <c r="A634" s="56" t="s">
        <v>1781</v>
      </c>
      <c r="B634" s="56" t="s">
        <v>1782</v>
      </c>
      <c r="C634" s="56" t="s">
        <v>51</v>
      </c>
      <c r="D634" s="56" t="str">
        <f aca="false">IFERROR(INDEX('Brand Map'!$B$4:$B$124,MATCH(C634,'Brand Map'!$A$4:$A$124,0)),"Other")</f>
        <v>AU</v>
      </c>
      <c r="E634" s="57" t="n">
        <v>6</v>
      </c>
      <c r="F634" s="57" t="n">
        <v>0</v>
      </c>
      <c r="G634" s="58" t="n">
        <v>337.89</v>
      </c>
      <c r="H634" s="58" t="n">
        <v>0</v>
      </c>
      <c r="I634" s="58" t="n">
        <v>324.28</v>
      </c>
      <c r="J634" s="32" t="n">
        <f aca="false">IF(E634&gt;0,F634/E634,0)</f>
        <v>0</v>
      </c>
      <c r="K634" s="32" t="n">
        <f aca="false">IF(G634&gt;0,H634/G634,0)</f>
        <v>-0</v>
      </c>
      <c r="L634" s="59" t="n">
        <f aca="false">H634/Settings!$B$16</f>
        <v>-0</v>
      </c>
      <c r="M634" s="59" t="n">
        <f aca="false">H634/Settings!$B$20</f>
        <v>-0</v>
      </c>
      <c r="N634" s="60" t="n">
        <f aca="false">E634*Settings!$B$3</f>
        <v>0.185916906478923</v>
      </c>
      <c r="O634" s="60" t="n">
        <f aca="false">IF(E634&gt;0,(F634-N634)/SQRT(E634*Settings!$B$3*(1-Settings!$B$3)),0)</f>
        <v>-0.43802051376936</v>
      </c>
      <c r="P634" s="60" t="n">
        <f aca="false">MAX(0,F634-N634)</f>
        <v>0</v>
      </c>
      <c r="Q634" s="32" t="n">
        <f aca="false">(F634+Settings!$B$7*Settings!$B$3)/(E634+Settings!$B$7)</f>
        <v>0.025821792566517</v>
      </c>
      <c r="R634" s="61" t="n">
        <f aca="false">PERCENTRANK($H$2:$H$1780,H634,6)</f>
        <v>0</v>
      </c>
      <c r="S634" s="61" t="n">
        <f aca="false">PERCENTRANK($Q$2:$Q$1780,Q634,6)</f>
        <v>0.189539</v>
      </c>
      <c r="T634" s="61" t="n">
        <f aca="false">PERCENTRANK($F$2:$F$1780,F634,6)</f>
        <v>0</v>
      </c>
      <c r="U634" s="62" t="n">
        <f aca="false">IF(F634&gt;0,(Settings!$B$8*T634+Settings!$B$9*R634+Settings!$B$10*S634)/SUM(Settings!$B$8:$B$10),0)</f>
        <v>0</v>
      </c>
      <c r="V634" s="56" t="str">
        <f aca="false">IF(U634&gt;0,RANK(U634,$U$2:$U$1780)+COUNTIF($U$2:U634,U634)-1,"")</f>
        <v/>
      </c>
      <c r="W634" s="56" t="str">
        <f aca="false">IF(V634="","",IF(V634&lt;=Settings!$B$11,"1 - Fix first",IF(V634&lt;=Settings!$B$12,"2 - Review","3 - Monitor")))</f>
        <v/>
      </c>
      <c r="X634" s="56" t="str">
        <f aca="false">IF(AND(E634&gt;=Settings!$B$4,F634&gt;=Settings!$B$5,O634&gt;=Settings!$B$6),"HIGH RATE","")</f>
        <v/>
      </c>
      <c r="Y634" s="56" t="str">
        <f aca="false">IF(F634&gt;0,RANK(F634,$F$2:$F$1780)+COUNTIF($F$2:F634,F634)-1,"")</f>
        <v/>
      </c>
      <c r="Z634" s="56" t="str">
        <f aca="false">IF(H634&gt;0,RANK(H634,$H$2:$H$1780)+COUNTIF($H$2:H634,H634)-1,"")</f>
        <v/>
      </c>
      <c r="AA634" s="56" t="str">
        <f aca="false">IF(AC634="","",RANK(AC634,$AC$2:$AC$1780)+COUNTIF($AC$2:AC634,AC634)-1)</f>
        <v/>
      </c>
      <c r="AB634" s="56" t="str">
        <f aca="false">IF(AD634="","",RANK(AD634,$AD$2:$AD$1780)+COUNTIF($AD$2:AD634,AD634)-1)</f>
        <v/>
      </c>
      <c r="AC634" s="56" t="str">
        <f aca="false">IF(AND(F634&gt;0,E634&gt;=Settings!$B$4),J634,"")</f>
        <v/>
      </c>
      <c r="AD634" s="56" t="str">
        <f aca="false">IF(X634="HIGH RATE",O634,"")</f>
        <v/>
      </c>
    </row>
    <row r="635" customFormat="false" ht="15" hidden="false" customHeight="false" outlineLevel="0" collapsed="false">
      <c r="A635" s="56" t="s">
        <v>1783</v>
      </c>
      <c r="B635" s="56" t="s">
        <v>1784</v>
      </c>
      <c r="C635" s="56" t="s">
        <v>51</v>
      </c>
      <c r="D635" s="56" t="str">
        <f aca="false">IFERROR(INDEX('Brand Map'!$B$4:$B$124,MATCH(C635,'Brand Map'!$A$4:$A$124,0)),"Other")</f>
        <v>AU</v>
      </c>
      <c r="E635" s="57" t="n">
        <v>6</v>
      </c>
      <c r="F635" s="57" t="n">
        <v>0</v>
      </c>
      <c r="G635" s="58" t="n">
        <v>324.26</v>
      </c>
      <c r="H635" s="58" t="n">
        <v>0</v>
      </c>
      <c r="I635" s="58" t="n">
        <v>324.26</v>
      </c>
      <c r="J635" s="32" t="n">
        <f aca="false">IF(E635&gt;0,F635/E635,0)</f>
        <v>0</v>
      </c>
      <c r="K635" s="32" t="n">
        <f aca="false">IF(G635&gt;0,H635/G635,0)</f>
        <v>-0</v>
      </c>
      <c r="L635" s="59" t="n">
        <f aca="false">H635/Settings!$B$16</f>
        <v>-0</v>
      </c>
      <c r="M635" s="59" t="n">
        <f aca="false">H635/Settings!$B$20</f>
        <v>-0</v>
      </c>
      <c r="N635" s="60" t="n">
        <f aca="false">E635*Settings!$B$3</f>
        <v>0.185916906478923</v>
      </c>
      <c r="O635" s="60" t="n">
        <f aca="false">IF(E635&gt;0,(F635-N635)/SQRT(E635*Settings!$B$3*(1-Settings!$B$3)),0)</f>
        <v>-0.43802051376936</v>
      </c>
      <c r="P635" s="60" t="n">
        <f aca="false">MAX(0,F635-N635)</f>
        <v>0</v>
      </c>
      <c r="Q635" s="32" t="n">
        <f aca="false">(F635+Settings!$B$7*Settings!$B$3)/(E635+Settings!$B$7)</f>
        <v>0.025821792566517</v>
      </c>
      <c r="R635" s="61" t="n">
        <f aca="false">PERCENTRANK($H$2:$H$1780,H635,6)</f>
        <v>0</v>
      </c>
      <c r="S635" s="61" t="n">
        <f aca="false">PERCENTRANK($Q$2:$Q$1780,Q635,6)</f>
        <v>0.189539</v>
      </c>
      <c r="T635" s="61" t="n">
        <f aca="false">PERCENTRANK($F$2:$F$1780,F635,6)</f>
        <v>0</v>
      </c>
      <c r="U635" s="62" t="n">
        <f aca="false">IF(F635&gt;0,(Settings!$B$8*T635+Settings!$B$9*R635+Settings!$B$10*S635)/SUM(Settings!$B$8:$B$10),0)</f>
        <v>0</v>
      </c>
      <c r="V635" s="56" t="str">
        <f aca="false">IF(U635&gt;0,RANK(U635,$U$2:$U$1780)+COUNTIF($U$2:U635,U635)-1,"")</f>
        <v/>
      </c>
      <c r="W635" s="56" t="str">
        <f aca="false">IF(V635="","",IF(V635&lt;=Settings!$B$11,"1 - Fix first",IF(V635&lt;=Settings!$B$12,"2 - Review","3 - Monitor")))</f>
        <v/>
      </c>
      <c r="X635" s="56" t="str">
        <f aca="false">IF(AND(E635&gt;=Settings!$B$4,F635&gt;=Settings!$B$5,O635&gt;=Settings!$B$6),"HIGH RATE","")</f>
        <v/>
      </c>
      <c r="Y635" s="56" t="str">
        <f aca="false">IF(F635&gt;0,RANK(F635,$F$2:$F$1780)+COUNTIF($F$2:F635,F635)-1,"")</f>
        <v/>
      </c>
      <c r="Z635" s="56" t="str">
        <f aca="false">IF(H635&gt;0,RANK(H635,$H$2:$H$1780)+COUNTIF($H$2:H635,H635)-1,"")</f>
        <v/>
      </c>
      <c r="AA635" s="56" t="str">
        <f aca="false">IF(AC635="","",RANK(AC635,$AC$2:$AC$1780)+COUNTIF($AC$2:AC635,AC635)-1)</f>
        <v/>
      </c>
      <c r="AB635" s="56" t="str">
        <f aca="false">IF(AD635="","",RANK(AD635,$AD$2:$AD$1780)+COUNTIF($AD$2:AD635,AD635)-1)</f>
        <v/>
      </c>
      <c r="AC635" s="56" t="str">
        <f aca="false">IF(AND(F635&gt;0,E635&gt;=Settings!$B$4),J635,"")</f>
        <v/>
      </c>
      <c r="AD635" s="56" t="str">
        <f aca="false">IF(X635="HIGH RATE",O635,"")</f>
        <v/>
      </c>
    </row>
    <row r="636" customFormat="false" ht="15" hidden="false" customHeight="false" outlineLevel="0" collapsed="false">
      <c r="A636" s="56" t="s">
        <v>1785</v>
      </c>
      <c r="B636" s="56" t="s">
        <v>1786</v>
      </c>
      <c r="C636" s="56" t="s">
        <v>51</v>
      </c>
      <c r="D636" s="56" t="str">
        <f aca="false">IFERROR(INDEX('Brand Map'!$B$4:$B$124,MATCH(C636,'Brand Map'!$A$4:$A$124,0)),"Other")</f>
        <v>AU</v>
      </c>
      <c r="E636" s="57" t="n">
        <v>5</v>
      </c>
      <c r="F636" s="57" t="n">
        <v>0</v>
      </c>
      <c r="G636" s="58" t="n">
        <v>269.76</v>
      </c>
      <c r="H636" s="58" t="n">
        <v>0</v>
      </c>
      <c r="I636" s="58" t="n">
        <v>269.76</v>
      </c>
      <c r="J636" s="32" t="n">
        <f aca="false">IF(E636&gt;0,F636/E636,0)</f>
        <v>0</v>
      </c>
      <c r="K636" s="32" t="n">
        <f aca="false">IF(G636&gt;0,H636/G636,0)</f>
        <v>-0</v>
      </c>
      <c r="L636" s="59" t="n">
        <f aca="false">H636/Settings!$B$16</f>
        <v>-0</v>
      </c>
      <c r="M636" s="59" t="n">
        <f aca="false">H636/Settings!$B$20</f>
        <v>-0</v>
      </c>
      <c r="N636" s="60" t="n">
        <f aca="false">E636*Settings!$B$3</f>
        <v>0.154930755399102</v>
      </c>
      <c r="O636" s="60" t="n">
        <f aca="false">IF(E636&gt;0,(F636-N636)/SQRT(E636*Settings!$B$3*(1-Settings!$B$3)),0)</f>
        <v>-0.399856193402468</v>
      </c>
      <c r="P636" s="60" t="n">
        <f aca="false">MAX(0,F636-N636)</f>
        <v>0</v>
      </c>
      <c r="Q636" s="32" t="n">
        <f aca="false">(F636+Settings!$B$7*Settings!$B$3)/(E636+Settings!$B$7)</f>
        <v>0.0265595580684175</v>
      </c>
      <c r="R636" s="61" t="n">
        <f aca="false">PERCENTRANK($H$2:$H$1780,H636,6)</f>
        <v>0</v>
      </c>
      <c r="S636" s="61" t="n">
        <f aca="false">PERCENTRANK($Q$2:$Q$1780,Q636,6)</f>
        <v>0.220472</v>
      </c>
      <c r="T636" s="61" t="n">
        <f aca="false">PERCENTRANK($F$2:$F$1780,F636,6)</f>
        <v>0</v>
      </c>
      <c r="U636" s="62" t="n">
        <f aca="false">IF(F636&gt;0,(Settings!$B$8*T636+Settings!$B$9*R636+Settings!$B$10*S636)/SUM(Settings!$B$8:$B$10),0)</f>
        <v>0</v>
      </c>
      <c r="V636" s="56" t="str">
        <f aca="false">IF(U636&gt;0,RANK(U636,$U$2:$U$1780)+COUNTIF($U$2:U636,U636)-1,"")</f>
        <v/>
      </c>
      <c r="W636" s="56" t="str">
        <f aca="false">IF(V636="","",IF(V636&lt;=Settings!$B$11,"1 - Fix first",IF(V636&lt;=Settings!$B$12,"2 - Review","3 - Monitor")))</f>
        <v/>
      </c>
      <c r="X636" s="56" t="str">
        <f aca="false">IF(AND(E636&gt;=Settings!$B$4,F636&gt;=Settings!$B$5,O636&gt;=Settings!$B$6),"HIGH RATE","")</f>
        <v/>
      </c>
      <c r="Y636" s="56" t="str">
        <f aca="false">IF(F636&gt;0,RANK(F636,$F$2:$F$1780)+COUNTIF($F$2:F636,F636)-1,"")</f>
        <v/>
      </c>
      <c r="Z636" s="56" t="str">
        <f aca="false">IF(H636&gt;0,RANK(H636,$H$2:$H$1780)+COUNTIF($H$2:H636,H636)-1,"")</f>
        <v/>
      </c>
      <c r="AA636" s="56" t="str">
        <f aca="false">IF(AC636="","",RANK(AC636,$AC$2:$AC$1780)+COUNTIF($AC$2:AC636,AC636)-1)</f>
        <v/>
      </c>
      <c r="AB636" s="56" t="str">
        <f aca="false">IF(AD636="","",RANK(AD636,$AD$2:$AD$1780)+COUNTIF($AD$2:AD636,AD636)-1)</f>
        <v/>
      </c>
      <c r="AC636" s="56" t="str">
        <f aca="false">IF(AND(F636&gt;0,E636&gt;=Settings!$B$4),J636,"")</f>
        <v/>
      </c>
      <c r="AD636" s="56" t="str">
        <f aca="false">IF(X636="HIGH RATE",O636,"")</f>
        <v/>
      </c>
    </row>
    <row r="637" customFormat="false" ht="15" hidden="false" customHeight="false" outlineLevel="0" collapsed="false">
      <c r="A637" s="56" t="s">
        <v>1787</v>
      </c>
      <c r="B637" s="56" t="s">
        <v>1788</v>
      </c>
      <c r="C637" s="56" t="s">
        <v>51</v>
      </c>
      <c r="D637" s="56" t="str">
        <f aca="false">IFERROR(INDEX('Brand Map'!$B$4:$B$124,MATCH(C637,'Brand Map'!$A$4:$A$124,0)),"Other")</f>
        <v>AU</v>
      </c>
      <c r="E637" s="57" t="n">
        <v>4</v>
      </c>
      <c r="F637" s="57" t="n">
        <v>0</v>
      </c>
      <c r="G637" s="58" t="n">
        <v>220.71</v>
      </c>
      <c r="H637" s="58" t="n">
        <v>0</v>
      </c>
      <c r="I637" s="58" t="n">
        <v>220.71</v>
      </c>
      <c r="J637" s="32" t="n">
        <f aca="false">IF(E637&gt;0,F637/E637,0)</f>
        <v>0</v>
      </c>
      <c r="K637" s="32" t="n">
        <f aca="false">IF(G637&gt;0,H637/G637,0)</f>
        <v>-0</v>
      </c>
      <c r="L637" s="59" t="n">
        <f aca="false">H637/Settings!$B$16</f>
        <v>-0</v>
      </c>
      <c r="M637" s="59" t="n">
        <f aca="false">H637/Settings!$B$20</f>
        <v>-0</v>
      </c>
      <c r="N637" s="60" t="n">
        <f aca="false">E637*Settings!$B$3</f>
        <v>0.123944604319282</v>
      </c>
      <c r="O637" s="60" t="n">
        <f aca="false">IF(E637&gt;0,(F637-N637)/SQRT(E637*Settings!$B$3*(1-Settings!$B$3)),0)</f>
        <v>-0.357642251868888</v>
      </c>
      <c r="P637" s="60" t="n">
        <f aca="false">MAX(0,F637-N637)</f>
        <v>0</v>
      </c>
      <c r="Q637" s="32" t="n">
        <f aca="false">(F637+Settings!$B$7*Settings!$B$3)/(E637+Settings!$B$7)</f>
        <v>0.027340721541018</v>
      </c>
      <c r="R637" s="61" t="n">
        <f aca="false">PERCENTRANK($H$2:$H$1780,H637,6)</f>
        <v>0</v>
      </c>
      <c r="S637" s="61" t="n">
        <f aca="false">PERCENTRANK($Q$2:$Q$1780,Q637,6)</f>
        <v>0.253656</v>
      </c>
      <c r="T637" s="61" t="n">
        <f aca="false">PERCENTRANK($F$2:$F$1780,F637,6)</f>
        <v>0</v>
      </c>
      <c r="U637" s="62" t="n">
        <f aca="false">IF(F637&gt;0,(Settings!$B$8*T637+Settings!$B$9*R637+Settings!$B$10*S637)/SUM(Settings!$B$8:$B$10),0)</f>
        <v>0</v>
      </c>
      <c r="V637" s="56" t="str">
        <f aca="false">IF(U637&gt;0,RANK(U637,$U$2:$U$1780)+COUNTIF($U$2:U637,U637)-1,"")</f>
        <v/>
      </c>
      <c r="W637" s="56" t="str">
        <f aca="false">IF(V637="","",IF(V637&lt;=Settings!$B$11,"1 - Fix first",IF(V637&lt;=Settings!$B$12,"2 - Review","3 - Monitor")))</f>
        <v/>
      </c>
      <c r="X637" s="56" t="str">
        <f aca="false">IF(AND(E637&gt;=Settings!$B$4,F637&gt;=Settings!$B$5,O637&gt;=Settings!$B$6),"HIGH RATE","")</f>
        <v/>
      </c>
      <c r="Y637" s="56" t="str">
        <f aca="false">IF(F637&gt;0,RANK(F637,$F$2:$F$1780)+COUNTIF($F$2:F637,F637)-1,"")</f>
        <v/>
      </c>
      <c r="Z637" s="56" t="str">
        <f aca="false">IF(H637&gt;0,RANK(H637,$H$2:$H$1780)+COUNTIF($H$2:H637,H637)-1,"")</f>
        <v/>
      </c>
      <c r="AA637" s="56" t="str">
        <f aca="false">IF(AC637="","",RANK(AC637,$AC$2:$AC$1780)+COUNTIF($AC$2:AC637,AC637)-1)</f>
        <v/>
      </c>
      <c r="AB637" s="56" t="str">
        <f aca="false">IF(AD637="","",RANK(AD637,$AD$2:$AD$1780)+COUNTIF($AD$2:AD637,AD637)-1)</f>
        <v/>
      </c>
      <c r="AC637" s="56" t="str">
        <f aca="false">IF(AND(F637&gt;0,E637&gt;=Settings!$B$4),J637,"")</f>
        <v/>
      </c>
      <c r="AD637" s="56" t="str">
        <f aca="false">IF(X637="HIGH RATE",O637,"")</f>
        <v/>
      </c>
    </row>
    <row r="638" customFormat="false" ht="15" hidden="false" customHeight="false" outlineLevel="0" collapsed="false">
      <c r="A638" s="56" t="s">
        <v>1789</v>
      </c>
      <c r="B638" s="56" t="s">
        <v>1790</v>
      </c>
      <c r="C638" s="56" t="s">
        <v>51</v>
      </c>
      <c r="D638" s="56" t="str">
        <f aca="false">IFERROR(INDEX('Brand Map'!$B$4:$B$124,MATCH(C638,'Brand Map'!$A$4:$A$124,0)),"Other")</f>
        <v>AU</v>
      </c>
      <c r="E638" s="57" t="n">
        <v>33</v>
      </c>
      <c r="F638" s="57" t="n">
        <v>0</v>
      </c>
      <c r="G638" s="58" t="n">
        <v>1811.17</v>
      </c>
      <c r="H638" s="58" t="n">
        <v>0</v>
      </c>
      <c r="I638" s="58" t="n">
        <v>1802.09</v>
      </c>
      <c r="J638" s="32" t="n">
        <f aca="false">IF(E638&gt;0,F638/E638,0)</f>
        <v>0</v>
      </c>
      <c r="K638" s="32" t="n">
        <f aca="false">IF(G638&gt;0,H638/G638,0)</f>
        <v>-0</v>
      </c>
      <c r="L638" s="59" t="n">
        <f aca="false">H638/Settings!$B$16</f>
        <v>-0</v>
      </c>
      <c r="M638" s="59" t="n">
        <f aca="false">H638/Settings!$B$20</f>
        <v>-0</v>
      </c>
      <c r="N638" s="60" t="n">
        <f aca="false">E638*Settings!$B$3</f>
        <v>1.02254298563407</v>
      </c>
      <c r="O638" s="60" t="n">
        <f aca="false">IF(E638&gt;0,(F638-N638)/SQRT(E638*Settings!$B$3*(1-Settings!$B$3)),0)</f>
        <v>-1.02724916045488</v>
      </c>
      <c r="P638" s="60" t="n">
        <f aca="false">MAX(0,F638-N638)</f>
        <v>0</v>
      </c>
      <c r="Q638" s="32" t="n">
        <f aca="false">(F638+Settings!$B$7*Settings!$B$3)/(E638+Settings!$B$7)</f>
        <v>0.0147553100380097</v>
      </c>
      <c r="R638" s="61" t="n">
        <f aca="false">PERCENTRANK($H$2:$H$1780,H638,6)</f>
        <v>0</v>
      </c>
      <c r="S638" s="61" t="n">
        <f aca="false">PERCENTRANK($Q$2:$Q$1780,Q638,6)</f>
        <v>0.0376828</v>
      </c>
      <c r="T638" s="61" t="n">
        <f aca="false">PERCENTRANK($F$2:$F$1780,F638,6)</f>
        <v>0</v>
      </c>
      <c r="U638" s="62" t="n">
        <f aca="false">IF(F638&gt;0,(Settings!$B$8*T638+Settings!$B$9*R638+Settings!$B$10*S638)/SUM(Settings!$B$8:$B$10),0)</f>
        <v>0</v>
      </c>
      <c r="V638" s="56" t="str">
        <f aca="false">IF(U638&gt;0,RANK(U638,$U$2:$U$1780)+COUNTIF($U$2:U638,U638)-1,"")</f>
        <v/>
      </c>
      <c r="W638" s="56" t="str">
        <f aca="false">IF(V638="","",IF(V638&lt;=Settings!$B$11,"1 - Fix first",IF(V638&lt;=Settings!$B$12,"2 - Review","3 - Monitor")))</f>
        <v/>
      </c>
      <c r="X638" s="56" t="str">
        <f aca="false">IF(AND(E638&gt;=Settings!$B$4,F638&gt;=Settings!$B$5,O638&gt;=Settings!$B$6),"HIGH RATE","")</f>
        <v/>
      </c>
      <c r="Y638" s="56" t="str">
        <f aca="false">IF(F638&gt;0,RANK(F638,$F$2:$F$1780)+COUNTIF($F$2:F638,F638)-1,"")</f>
        <v/>
      </c>
      <c r="Z638" s="56" t="str">
        <f aca="false">IF(H638&gt;0,RANK(H638,$H$2:$H$1780)+COUNTIF($H$2:H638,H638)-1,"")</f>
        <v/>
      </c>
      <c r="AA638" s="56" t="str">
        <f aca="false">IF(AC638="","",RANK(AC638,$AC$2:$AC$1780)+COUNTIF($AC$2:AC638,AC638)-1)</f>
        <v/>
      </c>
      <c r="AB638" s="56" t="str">
        <f aca="false">IF(AD638="","",RANK(AD638,$AD$2:$AD$1780)+COUNTIF($AD$2:AD638,AD638)-1)</f>
        <v/>
      </c>
      <c r="AC638" s="56" t="str">
        <f aca="false">IF(AND(F638&gt;0,E638&gt;=Settings!$B$4),J638,"")</f>
        <v/>
      </c>
      <c r="AD638" s="56" t="str">
        <f aca="false">IF(X638="HIGH RATE",O638,"")</f>
        <v/>
      </c>
    </row>
    <row r="639" customFormat="false" ht="15" hidden="false" customHeight="false" outlineLevel="0" collapsed="false">
      <c r="A639" s="56" t="s">
        <v>1791</v>
      </c>
      <c r="B639" s="56" t="s">
        <v>1792</v>
      </c>
      <c r="C639" s="56" t="s">
        <v>51</v>
      </c>
      <c r="D639" s="56" t="str">
        <f aca="false">IFERROR(INDEX('Brand Map'!$B$4:$B$124,MATCH(C639,'Brand Map'!$A$4:$A$124,0)),"Other")</f>
        <v>AU</v>
      </c>
      <c r="E639" s="57" t="n">
        <v>6</v>
      </c>
      <c r="F639" s="57" t="n">
        <v>0</v>
      </c>
      <c r="G639" s="58" t="n">
        <v>268.34</v>
      </c>
      <c r="H639" s="58" t="n">
        <v>0</v>
      </c>
      <c r="I639" s="58" t="n">
        <v>268.34</v>
      </c>
      <c r="J639" s="32" t="n">
        <f aca="false">IF(E639&gt;0,F639/E639,0)</f>
        <v>0</v>
      </c>
      <c r="K639" s="32" t="n">
        <f aca="false">IF(G639&gt;0,H639/G639,0)</f>
        <v>-0</v>
      </c>
      <c r="L639" s="59" t="n">
        <f aca="false">H639/Settings!$B$16</f>
        <v>-0</v>
      </c>
      <c r="M639" s="59" t="n">
        <f aca="false">H639/Settings!$B$20</f>
        <v>-0</v>
      </c>
      <c r="N639" s="60" t="n">
        <f aca="false">E639*Settings!$B$3</f>
        <v>0.185916906478923</v>
      </c>
      <c r="O639" s="60" t="n">
        <f aca="false">IF(E639&gt;0,(F639-N639)/SQRT(E639*Settings!$B$3*(1-Settings!$B$3)),0)</f>
        <v>-0.43802051376936</v>
      </c>
      <c r="P639" s="60" t="n">
        <f aca="false">MAX(0,F639-N639)</f>
        <v>0</v>
      </c>
      <c r="Q639" s="32" t="n">
        <f aca="false">(F639+Settings!$B$7*Settings!$B$3)/(E639+Settings!$B$7)</f>
        <v>0.025821792566517</v>
      </c>
      <c r="R639" s="61" t="n">
        <f aca="false">PERCENTRANK($H$2:$H$1780,H639,6)</f>
        <v>0</v>
      </c>
      <c r="S639" s="61" t="n">
        <f aca="false">PERCENTRANK($Q$2:$Q$1780,Q639,6)</f>
        <v>0.189539</v>
      </c>
      <c r="T639" s="61" t="n">
        <f aca="false">PERCENTRANK($F$2:$F$1780,F639,6)</f>
        <v>0</v>
      </c>
      <c r="U639" s="62" t="n">
        <f aca="false">IF(F639&gt;0,(Settings!$B$8*T639+Settings!$B$9*R639+Settings!$B$10*S639)/SUM(Settings!$B$8:$B$10),0)</f>
        <v>0</v>
      </c>
      <c r="V639" s="56" t="str">
        <f aca="false">IF(U639&gt;0,RANK(U639,$U$2:$U$1780)+COUNTIF($U$2:U639,U639)-1,"")</f>
        <v/>
      </c>
      <c r="W639" s="56" t="str">
        <f aca="false">IF(V639="","",IF(V639&lt;=Settings!$B$11,"1 - Fix first",IF(V639&lt;=Settings!$B$12,"2 - Review","3 - Monitor")))</f>
        <v/>
      </c>
      <c r="X639" s="56" t="str">
        <f aca="false">IF(AND(E639&gt;=Settings!$B$4,F639&gt;=Settings!$B$5,O639&gt;=Settings!$B$6),"HIGH RATE","")</f>
        <v/>
      </c>
      <c r="Y639" s="56" t="str">
        <f aca="false">IF(F639&gt;0,RANK(F639,$F$2:$F$1780)+COUNTIF($F$2:F639,F639)-1,"")</f>
        <v/>
      </c>
      <c r="Z639" s="56" t="str">
        <f aca="false">IF(H639&gt;0,RANK(H639,$H$2:$H$1780)+COUNTIF($H$2:H639,H639)-1,"")</f>
        <v/>
      </c>
      <c r="AA639" s="56" t="str">
        <f aca="false">IF(AC639="","",RANK(AC639,$AC$2:$AC$1780)+COUNTIF($AC$2:AC639,AC639)-1)</f>
        <v/>
      </c>
      <c r="AB639" s="56" t="str">
        <f aca="false">IF(AD639="","",RANK(AD639,$AD$2:$AD$1780)+COUNTIF($AD$2:AD639,AD639)-1)</f>
        <v/>
      </c>
      <c r="AC639" s="56" t="str">
        <f aca="false">IF(AND(F639&gt;0,E639&gt;=Settings!$B$4),J639,"")</f>
        <v/>
      </c>
      <c r="AD639" s="56" t="str">
        <f aca="false">IF(X639="HIGH RATE",O639,"")</f>
        <v/>
      </c>
    </row>
    <row r="640" customFormat="false" ht="15" hidden="false" customHeight="false" outlineLevel="0" collapsed="false">
      <c r="A640" s="56" t="s">
        <v>1793</v>
      </c>
      <c r="B640" s="56" t="s">
        <v>1794</v>
      </c>
      <c r="C640" s="56" t="s">
        <v>51</v>
      </c>
      <c r="D640" s="56" t="str">
        <f aca="false">IFERROR(INDEX('Brand Map'!$B$4:$B$124,MATCH(C640,'Brand Map'!$A$4:$A$124,0)),"Other")</f>
        <v>AU</v>
      </c>
      <c r="E640" s="57" t="n">
        <v>2</v>
      </c>
      <c r="F640" s="57" t="n">
        <v>0</v>
      </c>
      <c r="G640" s="58" t="n">
        <v>159.9</v>
      </c>
      <c r="H640" s="58" t="n">
        <v>0</v>
      </c>
      <c r="I640" s="58" t="n">
        <v>151.9</v>
      </c>
      <c r="J640" s="32" t="n">
        <f aca="false">IF(E640&gt;0,F640/E640,0)</f>
        <v>0</v>
      </c>
      <c r="K640" s="32" t="n">
        <f aca="false">IF(G640&gt;0,H640/G640,0)</f>
        <v>-0</v>
      </c>
      <c r="L640" s="59" t="n">
        <f aca="false">H640/Settings!$B$16</f>
        <v>-0</v>
      </c>
      <c r="M640" s="59" t="n">
        <f aca="false">H640/Settings!$B$20</f>
        <v>-0</v>
      </c>
      <c r="N640" s="60" t="n">
        <f aca="false">E640*Settings!$B$3</f>
        <v>0.0619723021596408</v>
      </c>
      <c r="O640" s="60" t="n">
        <f aca="false">IF(E640&gt;0,(F640-N640)/SQRT(E640*Settings!$B$3*(1-Settings!$B$3)),0)</f>
        <v>-0.252891261535318</v>
      </c>
      <c r="P640" s="60" t="n">
        <f aca="false">MAX(0,F640-N640)</f>
        <v>0</v>
      </c>
      <c r="Q640" s="32" t="n">
        <f aca="false">(F640+Settings!$B$7*Settings!$B$3)/(E640+Settings!$B$7)</f>
        <v>0.0290495166373316</v>
      </c>
      <c r="R640" s="61" t="n">
        <f aca="false">PERCENTRANK($H$2:$H$1780,H640,6)</f>
        <v>0</v>
      </c>
      <c r="S640" s="61" t="n">
        <f aca="false">PERCENTRANK($Q$2:$Q$1780,Q640,6)</f>
        <v>0.365579</v>
      </c>
      <c r="T640" s="61" t="n">
        <f aca="false">PERCENTRANK($F$2:$F$1780,F640,6)</f>
        <v>0</v>
      </c>
      <c r="U640" s="62" t="n">
        <f aca="false">IF(F640&gt;0,(Settings!$B$8*T640+Settings!$B$9*R640+Settings!$B$10*S640)/SUM(Settings!$B$8:$B$10),0)</f>
        <v>0</v>
      </c>
      <c r="V640" s="56" t="str">
        <f aca="false">IF(U640&gt;0,RANK(U640,$U$2:$U$1780)+COUNTIF($U$2:U640,U640)-1,"")</f>
        <v/>
      </c>
      <c r="W640" s="56" t="str">
        <f aca="false">IF(V640="","",IF(V640&lt;=Settings!$B$11,"1 - Fix first",IF(V640&lt;=Settings!$B$12,"2 - Review","3 - Monitor")))</f>
        <v/>
      </c>
      <c r="X640" s="56" t="str">
        <f aca="false">IF(AND(E640&gt;=Settings!$B$4,F640&gt;=Settings!$B$5,O640&gt;=Settings!$B$6),"HIGH RATE","")</f>
        <v/>
      </c>
      <c r="Y640" s="56" t="str">
        <f aca="false">IF(F640&gt;0,RANK(F640,$F$2:$F$1780)+COUNTIF($F$2:F640,F640)-1,"")</f>
        <v/>
      </c>
      <c r="Z640" s="56" t="str">
        <f aca="false">IF(H640&gt;0,RANK(H640,$H$2:$H$1780)+COUNTIF($H$2:H640,H640)-1,"")</f>
        <v/>
      </c>
      <c r="AA640" s="56" t="str">
        <f aca="false">IF(AC640="","",RANK(AC640,$AC$2:$AC$1780)+COUNTIF($AC$2:AC640,AC640)-1)</f>
        <v/>
      </c>
      <c r="AB640" s="56" t="str">
        <f aca="false">IF(AD640="","",RANK(AD640,$AD$2:$AD$1780)+COUNTIF($AD$2:AD640,AD640)-1)</f>
        <v/>
      </c>
      <c r="AC640" s="56" t="str">
        <f aca="false">IF(AND(F640&gt;0,E640&gt;=Settings!$B$4),J640,"")</f>
        <v/>
      </c>
      <c r="AD640" s="56" t="str">
        <f aca="false">IF(X640="HIGH RATE",O640,"")</f>
        <v/>
      </c>
    </row>
    <row r="641" customFormat="false" ht="15" hidden="false" customHeight="false" outlineLevel="0" collapsed="false">
      <c r="A641" s="56" t="s">
        <v>1795</v>
      </c>
      <c r="B641" s="56" t="s">
        <v>1796</v>
      </c>
      <c r="C641" s="56" t="s">
        <v>51</v>
      </c>
      <c r="D641" s="56" t="str">
        <f aca="false">IFERROR(INDEX('Brand Map'!$B$4:$B$124,MATCH(C641,'Brand Map'!$A$4:$A$124,0)),"Other")</f>
        <v>AU</v>
      </c>
      <c r="E641" s="57" t="n">
        <v>5</v>
      </c>
      <c r="F641" s="57" t="n">
        <v>0</v>
      </c>
      <c r="G641" s="58" t="n">
        <v>385.21</v>
      </c>
      <c r="H641" s="58" t="n">
        <v>0</v>
      </c>
      <c r="I641" s="58" t="n">
        <v>385.21</v>
      </c>
      <c r="J641" s="32" t="n">
        <f aca="false">IF(E641&gt;0,F641/E641,0)</f>
        <v>0</v>
      </c>
      <c r="K641" s="32" t="n">
        <f aca="false">IF(G641&gt;0,H641/G641,0)</f>
        <v>-0</v>
      </c>
      <c r="L641" s="59" t="n">
        <f aca="false">H641/Settings!$B$16</f>
        <v>-0</v>
      </c>
      <c r="M641" s="59" t="n">
        <f aca="false">H641/Settings!$B$20</f>
        <v>-0</v>
      </c>
      <c r="N641" s="60" t="n">
        <f aca="false">E641*Settings!$B$3</f>
        <v>0.154930755399102</v>
      </c>
      <c r="O641" s="60" t="n">
        <f aca="false">IF(E641&gt;0,(F641-N641)/SQRT(E641*Settings!$B$3*(1-Settings!$B$3)),0)</f>
        <v>-0.399856193402468</v>
      </c>
      <c r="P641" s="60" t="n">
        <f aca="false">MAX(0,F641-N641)</f>
        <v>0</v>
      </c>
      <c r="Q641" s="32" t="n">
        <f aca="false">(F641+Settings!$B$7*Settings!$B$3)/(E641+Settings!$B$7)</f>
        <v>0.0265595580684175</v>
      </c>
      <c r="R641" s="61" t="n">
        <f aca="false">PERCENTRANK($H$2:$H$1780,H641,6)</f>
        <v>0</v>
      </c>
      <c r="S641" s="61" t="n">
        <f aca="false">PERCENTRANK($Q$2:$Q$1780,Q641,6)</f>
        <v>0.220472</v>
      </c>
      <c r="T641" s="61" t="n">
        <f aca="false">PERCENTRANK($F$2:$F$1780,F641,6)</f>
        <v>0</v>
      </c>
      <c r="U641" s="62" t="n">
        <f aca="false">IF(F641&gt;0,(Settings!$B$8*T641+Settings!$B$9*R641+Settings!$B$10*S641)/SUM(Settings!$B$8:$B$10),0)</f>
        <v>0</v>
      </c>
      <c r="V641" s="56" t="str">
        <f aca="false">IF(U641&gt;0,RANK(U641,$U$2:$U$1780)+COUNTIF($U$2:U641,U641)-1,"")</f>
        <v/>
      </c>
      <c r="W641" s="56" t="str">
        <f aca="false">IF(V641="","",IF(V641&lt;=Settings!$B$11,"1 - Fix first",IF(V641&lt;=Settings!$B$12,"2 - Review","3 - Monitor")))</f>
        <v/>
      </c>
      <c r="X641" s="56" t="str">
        <f aca="false">IF(AND(E641&gt;=Settings!$B$4,F641&gt;=Settings!$B$5,O641&gt;=Settings!$B$6),"HIGH RATE","")</f>
        <v/>
      </c>
      <c r="Y641" s="56" t="str">
        <f aca="false">IF(F641&gt;0,RANK(F641,$F$2:$F$1780)+COUNTIF($F$2:F641,F641)-1,"")</f>
        <v/>
      </c>
      <c r="Z641" s="56" t="str">
        <f aca="false">IF(H641&gt;0,RANK(H641,$H$2:$H$1780)+COUNTIF($H$2:H641,H641)-1,"")</f>
        <v/>
      </c>
      <c r="AA641" s="56" t="str">
        <f aca="false">IF(AC641="","",RANK(AC641,$AC$2:$AC$1780)+COUNTIF($AC$2:AC641,AC641)-1)</f>
        <v/>
      </c>
      <c r="AB641" s="56" t="str">
        <f aca="false">IF(AD641="","",RANK(AD641,$AD$2:$AD$1780)+COUNTIF($AD$2:AD641,AD641)-1)</f>
        <v/>
      </c>
      <c r="AC641" s="56" t="str">
        <f aca="false">IF(AND(F641&gt;0,E641&gt;=Settings!$B$4),J641,"")</f>
        <v/>
      </c>
      <c r="AD641" s="56" t="str">
        <f aca="false">IF(X641="HIGH RATE",O641,"")</f>
        <v/>
      </c>
    </row>
    <row r="642" customFormat="false" ht="15" hidden="false" customHeight="false" outlineLevel="0" collapsed="false">
      <c r="A642" s="56" t="s">
        <v>1797</v>
      </c>
      <c r="B642" s="56" t="s">
        <v>1798</v>
      </c>
      <c r="C642" s="56" t="s">
        <v>51</v>
      </c>
      <c r="D642" s="56" t="str">
        <f aca="false">IFERROR(INDEX('Brand Map'!$B$4:$B$124,MATCH(C642,'Brand Map'!$A$4:$A$124,0)),"Other")</f>
        <v>AU</v>
      </c>
      <c r="E642" s="57" t="n">
        <v>9</v>
      </c>
      <c r="F642" s="57" t="n">
        <v>0</v>
      </c>
      <c r="G642" s="58" t="n">
        <v>634.11</v>
      </c>
      <c r="H642" s="58" t="n">
        <v>0</v>
      </c>
      <c r="I642" s="58" t="n">
        <v>624.58</v>
      </c>
      <c r="J642" s="32" t="n">
        <f aca="false">IF(E642&gt;0,F642/E642,0)</f>
        <v>0</v>
      </c>
      <c r="K642" s="32" t="n">
        <f aca="false">IF(G642&gt;0,H642/G642,0)</f>
        <v>-0</v>
      </c>
      <c r="L642" s="59" t="n">
        <f aca="false">H642/Settings!$B$16</f>
        <v>-0</v>
      </c>
      <c r="M642" s="59" t="n">
        <f aca="false">H642/Settings!$B$20</f>
        <v>-0</v>
      </c>
      <c r="N642" s="60" t="n">
        <f aca="false">E642*Settings!$B$3</f>
        <v>0.278875359718384</v>
      </c>
      <c r="O642" s="60" t="n">
        <f aca="false">IF(E642&gt;0,(F642-N642)/SQRT(E642*Settings!$B$3*(1-Settings!$B$3)),0)</f>
        <v>-0.536463377803332</v>
      </c>
      <c r="P642" s="60" t="n">
        <f aca="false">MAX(0,F642-N642)</f>
        <v>0</v>
      </c>
      <c r="Q642" s="32" t="n">
        <f aca="false">(F642+Settings!$B$7*Settings!$B$3)/(E642+Settings!$B$7)</f>
        <v>0.0238355008306311</v>
      </c>
      <c r="R642" s="61" t="n">
        <f aca="false">PERCENTRANK($H$2:$H$1780,H642,6)</f>
        <v>0</v>
      </c>
      <c r="S642" s="61" t="n">
        <f aca="false">PERCENTRANK($Q$2:$Q$1780,Q642,6)</f>
        <v>0.142857</v>
      </c>
      <c r="T642" s="61" t="n">
        <f aca="false">PERCENTRANK($F$2:$F$1780,F642,6)</f>
        <v>0</v>
      </c>
      <c r="U642" s="62" t="n">
        <f aca="false">IF(F642&gt;0,(Settings!$B$8*T642+Settings!$B$9*R642+Settings!$B$10*S642)/SUM(Settings!$B$8:$B$10),0)</f>
        <v>0</v>
      </c>
      <c r="V642" s="56" t="str">
        <f aca="false">IF(U642&gt;0,RANK(U642,$U$2:$U$1780)+COUNTIF($U$2:U642,U642)-1,"")</f>
        <v/>
      </c>
      <c r="W642" s="56" t="str">
        <f aca="false">IF(V642="","",IF(V642&lt;=Settings!$B$11,"1 - Fix first",IF(V642&lt;=Settings!$B$12,"2 - Review","3 - Monitor")))</f>
        <v/>
      </c>
      <c r="X642" s="56" t="str">
        <f aca="false">IF(AND(E642&gt;=Settings!$B$4,F642&gt;=Settings!$B$5,O642&gt;=Settings!$B$6),"HIGH RATE","")</f>
        <v/>
      </c>
      <c r="Y642" s="56" t="str">
        <f aca="false">IF(F642&gt;0,RANK(F642,$F$2:$F$1780)+COUNTIF($F$2:F642,F642)-1,"")</f>
        <v/>
      </c>
      <c r="Z642" s="56" t="str">
        <f aca="false">IF(H642&gt;0,RANK(H642,$H$2:$H$1780)+COUNTIF($H$2:H642,H642)-1,"")</f>
        <v/>
      </c>
      <c r="AA642" s="56" t="str">
        <f aca="false">IF(AC642="","",RANK(AC642,$AC$2:$AC$1780)+COUNTIF($AC$2:AC642,AC642)-1)</f>
        <v/>
      </c>
      <c r="AB642" s="56" t="str">
        <f aca="false">IF(AD642="","",RANK(AD642,$AD$2:$AD$1780)+COUNTIF($AD$2:AD642,AD642)-1)</f>
        <v/>
      </c>
      <c r="AC642" s="56" t="str">
        <f aca="false">IF(AND(F642&gt;0,E642&gt;=Settings!$B$4),J642,"")</f>
        <v/>
      </c>
      <c r="AD642" s="56" t="str">
        <f aca="false">IF(X642="HIGH RATE",O642,"")</f>
        <v/>
      </c>
    </row>
    <row r="643" customFormat="false" ht="15" hidden="false" customHeight="false" outlineLevel="0" collapsed="false">
      <c r="A643" s="56" t="s">
        <v>1799</v>
      </c>
      <c r="B643" s="56" t="s">
        <v>1800</v>
      </c>
      <c r="C643" s="56" t="s">
        <v>51</v>
      </c>
      <c r="D643" s="56" t="str">
        <f aca="false">IFERROR(INDEX('Brand Map'!$B$4:$B$124,MATCH(C643,'Brand Map'!$A$4:$A$124,0)),"Other")</f>
        <v>AU</v>
      </c>
      <c r="E643" s="57" t="n">
        <v>12</v>
      </c>
      <c r="F643" s="57" t="n">
        <v>0</v>
      </c>
      <c r="G643" s="58" t="n">
        <v>901.23</v>
      </c>
      <c r="H643" s="58" t="n">
        <v>0</v>
      </c>
      <c r="I643" s="58" t="n">
        <v>890.34</v>
      </c>
      <c r="J643" s="32" t="n">
        <f aca="false">IF(E643&gt;0,F643/E643,0)</f>
        <v>0</v>
      </c>
      <c r="K643" s="32" t="n">
        <f aca="false">IF(G643&gt;0,H643/G643,0)</f>
        <v>-0</v>
      </c>
      <c r="L643" s="59" t="n">
        <f aca="false">H643/Settings!$B$16</f>
        <v>-0</v>
      </c>
      <c r="M643" s="59" t="n">
        <f aca="false">H643/Settings!$B$20</f>
        <v>-0</v>
      </c>
      <c r="N643" s="60" t="n">
        <f aca="false">E643*Settings!$B$3</f>
        <v>0.371833812957845</v>
      </c>
      <c r="O643" s="60" t="n">
        <f aca="false">IF(E643&gt;0,(F643-N643)/SQRT(E643*Settings!$B$3*(1-Settings!$B$3)),0)</f>
        <v>-0.61945455117026</v>
      </c>
      <c r="P643" s="60" t="n">
        <f aca="false">MAX(0,F643-N643)</f>
        <v>0</v>
      </c>
      <c r="Q643" s="32" t="n">
        <f aca="false">(F643+Settings!$B$7*Settings!$B$3)/(E643+Settings!$B$7)</f>
        <v>0.0221329650570146</v>
      </c>
      <c r="R643" s="61" t="n">
        <f aca="false">PERCENTRANK($H$2:$H$1780,H643,6)</f>
        <v>0</v>
      </c>
      <c r="S643" s="61" t="n">
        <f aca="false">PERCENTRANK($Q$2:$Q$1780,Q643,6)</f>
        <v>0.109674</v>
      </c>
      <c r="T643" s="61" t="n">
        <f aca="false">PERCENTRANK($F$2:$F$1780,F643,6)</f>
        <v>0</v>
      </c>
      <c r="U643" s="62" t="n">
        <f aca="false">IF(F643&gt;0,(Settings!$B$8*T643+Settings!$B$9*R643+Settings!$B$10*S643)/SUM(Settings!$B$8:$B$10),0)</f>
        <v>0</v>
      </c>
      <c r="V643" s="56" t="str">
        <f aca="false">IF(U643&gt;0,RANK(U643,$U$2:$U$1780)+COUNTIF($U$2:U643,U643)-1,"")</f>
        <v/>
      </c>
      <c r="W643" s="56" t="str">
        <f aca="false">IF(V643="","",IF(V643&lt;=Settings!$B$11,"1 - Fix first",IF(V643&lt;=Settings!$B$12,"2 - Review","3 - Monitor")))</f>
        <v/>
      </c>
      <c r="X643" s="56" t="str">
        <f aca="false">IF(AND(E643&gt;=Settings!$B$4,F643&gt;=Settings!$B$5,O643&gt;=Settings!$B$6),"HIGH RATE","")</f>
        <v/>
      </c>
      <c r="Y643" s="56" t="str">
        <f aca="false">IF(F643&gt;0,RANK(F643,$F$2:$F$1780)+COUNTIF($F$2:F643,F643)-1,"")</f>
        <v/>
      </c>
      <c r="Z643" s="56" t="str">
        <f aca="false">IF(H643&gt;0,RANK(H643,$H$2:$H$1780)+COUNTIF($H$2:H643,H643)-1,"")</f>
        <v/>
      </c>
      <c r="AA643" s="56" t="str">
        <f aca="false">IF(AC643="","",RANK(AC643,$AC$2:$AC$1780)+COUNTIF($AC$2:AC643,AC643)-1)</f>
        <v/>
      </c>
      <c r="AB643" s="56" t="str">
        <f aca="false">IF(AD643="","",RANK(AD643,$AD$2:$AD$1780)+COUNTIF($AD$2:AD643,AD643)-1)</f>
        <v/>
      </c>
      <c r="AC643" s="56" t="str">
        <f aca="false">IF(AND(F643&gt;0,E643&gt;=Settings!$B$4),J643,"")</f>
        <v/>
      </c>
      <c r="AD643" s="56" t="str">
        <f aca="false">IF(X643="HIGH RATE",O643,"")</f>
        <v/>
      </c>
    </row>
    <row r="644" customFormat="false" ht="15" hidden="false" customHeight="false" outlineLevel="0" collapsed="false">
      <c r="A644" s="56" t="s">
        <v>1801</v>
      </c>
      <c r="B644" s="56" t="s">
        <v>1802</v>
      </c>
      <c r="C644" s="56" t="s">
        <v>51</v>
      </c>
      <c r="D644" s="56" t="str">
        <f aca="false">IFERROR(INDEX('Brand Map'!$B$4:$B$124,MATCH(C644,'Brand Map'!$A$4:$A$124,0)),"Other")</f>
        <v>AU</v>
      </c>
      <c r="E644" s="57" t="n">
        <v>37</v>
      </c>
      <c r="F644" s="57" t="n">
        <v>0</v>
      </c>
      <c r="G644" s="58" t="n">
        <v>2876.05</v>
      </c>
      <c r="H644" s="58" t="n">
        <v>0</v>
      </c>
      <c r="I644" s="58" t="n">
        <v>2868.34</v>
      </c>
      <c r="J644" s="32" t="n">
        <f aca="false">IF(E644&gt;0,F644/E644,0)</f>
        <v>0</v>
      </c>
      <c r="K644" s="32" t="n">
        <f aca="false">IF(G644&gt;0,H644/G644,0)</f>
        <v>-0</v>
      </c>
      <c r="L644" s="59" t="n">
        <f aca="false">H644/Settings!$B$16</f>
        <v>-0</v>
      </c>
      <c r="M644" s="59" t="n">
        <f aca="false">H644/Settings!$B$20</f>
        <v>-0</v>
      </c>
      <c r="N644" s="60" t="n">
        <f aca="false">E644*Settings!$B$3</f>
        <v>1.14648758995336</v>
      </c>
      <c r="O644" s="60" t="n">
        <f aca="false">IF(E644&gt;0,(F644-N644)/SQRT(E644*Settings!$B$3*(1-Settings!$B$3)),0)</f>
        <v>-1.08772644445978</v>
      </c>
      <c r="P644" s="60" t="n">
        <f aca="false">MAX(0,F644-N644)</f>
        <v>0</v>
      </c>
      <c r="Q644" s="32" t="n">
        <f aca="false">(F644+Settings!$B$7*Settings!$B$3)/(E644+Settings!$B$7)</f>
        <v>0.0138743960058897</v>
      </c>
      <c r="R644" s="61" t="n">
        <f aca="false">PERCENTRANK($H$2:$H$1780,H644,6)</f>
        <v>0</v>
      </c>
      <c r="S644" s="61" t="n">
        <f aca="false">PERCENTRANK($Q$2:$Q$1780,Q644,6)</f>
        <v>0.0326209</v>
      </c>
      <c r="T644" s="61" t="n">
        <f aca="false">PERCENTRANK($F$2:$F$1780,F644,6)</f>
        <v>0</v>
      </c>
      <c r="U644" s="62" t="n">
        <f aca="false">IF(F644&gt;0,(Settings!$B$8*T644+Settings!$B$9*R644+Settings!$B$10*S644)/SUM(Settings!$B$8:$B$10),0)</f>
        <v>0</v>
      </c>
      <c r="V644" s="56" t="str">
        <f aca="false">IF(U644&gt;0,RANK(U644,$U$2:$U$1780)+COUNTIF($U$2:U644,U644)-1,"")</f>
        <v/>
      </c>
      <c r="W644" s="56" t="str">
        <f aca="false">IF(V644="","",IF(V644&lt;=Settings!$B$11,"1 - Fix first",IF(V644&lt;=Settings!$B$12,"2 - Review","3 - Monitor")))</f>
        <v/>
      </c>
      <c r="X644" s="56" t="str">
        <f aca="false">IF(AND(E644&gt;=Settings!$B$4,F644&gt;=Settings!$B$5,O644&gt;=Settings!$B$6),"HIGH RATE","")</f>
        <v/>
      </c>
      <c r="Y644" s="56" t="str">
        <f aca="false">IF(F644&gt;0,RANK(F644,$F$2:$F$1780)+COUNTIF($F$2:F644,F644)-1,"")</f>
        <v/>
      </c>
      <c r="Z644" s="56" t="str">
        <f aca="false">IF(H644&gt;0,RANK(H644,$H$2:$H$1780)+COUNTIF($H$2:H644,H644)-1,"")</f>
        <v/>
      </c>
      <c r="AA644" s="56" t="str">
        <f aca="false">IF(AC644="","",RANK(AC644,$AC$2:$AC$1780)+COUNTIF($AC$2:AC644,AC644)-1)</f>
        <v/>
      </c>
      <c r="AB644" s="56" t="str">
        <f aca="false">IF(AD644="","",RANK(AD644,$AD$2:$AD$1780)+COUNTIF($AD$2:AD644,AD644)-1)</f>
        <v/>
      </c>
      <c r="AC644" s="56" t="str">
        <f aca="false">IF(AND(F644&gt;0,E644&gt;=Settings!$B$4),J644,"")</f>
        <v/>
      </c>
      <c r="AD644" s="56" t="str">
        <f aca="false">IF(X644="HIGH RATE",O644,"")</f>
        <v/>
      </c>
    </row>
    <row r="645" customFormat="false" ht="15" hidden="false" customHeight="false" outlineLevel="0" collapsed="false">
      <c r="A645" s="56" t="s">
        <v>1803</v>
      </c>
      <c r="B645" s="56" t="s">
        <v>1804</v>
      </c>
      <c r="C645" s="56" t="s">
        <v>51</v>
      </c>
      <c r="D645" s="56" t="str">
        <f aca="false">IFERROR(INDEX('Brand Map'!$B$4:$B$124,MATCH(C645,'Brand Map'!$A$4:$A$124,0)),"Other")</f>
        <v>AU</v>
      </c>
      <c r="E645" s="57" t="n">
        <v>20</v>
      </c>
      <c r="F645" s="57" t="n">
        <v>0</v>
      </c>
      <c r="G645" s="58" t="n">
        <v>1371.84</v>
      </c>
      <c r="H645" s="58" t="n">
        <v>0</v>
      </c>
      <c r="I645" s="58" t="n">
        <v>1371.84</v>
      </c>
      <c r="J645" s="32" t="n">
        <f aca="false">IF(E645&gt;0,F645/E645,0)</f>
        <v>0</v>
      </c>
      <c r="K645" s="32" t="n">
        <f aca="false">IF(G645&gt;0,H645/G645,0)</f>
        <v>-0</v>
      </c>
      <c r="L645" s="59" t="n">
        <f aca="false">H645/Settings!$B$16</f>
        <v>-0</v>
      </c>
      <c r="M645" s="59" t="n">
        <f aca="false">H645/Settings!$B$20</f>
        <v>-0</v>
      </c>
      <c r="N645" s="60" t="n">
        <f aca="false">E645*Settings!$B$3</f>
        <v>0.619723021596408</v>
      </c>
      <c r="O645" s="60" t="n">
        <f aca="false">IF(E645&gt;0,(F645-N645)/SQRT(E645*Settings!$B$3*(1-Settings!$B$3)),0)</f>
        <v>-0.799712386804935</v>
      </c>
      <c r="P645" s="60" t="n">
        <f aca="false">MAX(0,F645-N645)</f>
        <v>0</v>
      </c>
      <c r="Q645" s="32" t="n">
        <f aca="false">(F645+Settings!$B$7*Settings!$B$3)/(E645+Settings!$B$7)</f>
        <v>0.0185916906478923</v>
      </c>
      <c r="R645" s="61" t="n">
        <f aca="false">PERCENTRANK($H$2:$H$1780,H645,6)</f>
        <v>0</v>
      </c>
      <c r="S645" s="61" t="n">
        <f aca="false">PERCENTRANK($Q$2:$Q$1780,Q645,6)</f>
        <v>0.0748031</v>
      </c>
      <c r="T645" s="61" t="n">
        <f aca="false">PERCENTRANK($F$2:$F$1780,F645,6)</f>
        <v>0</v>
      </c>
      <c r="U645" s="62" t="n">
        <f aca="false">IF(F645&gt;0,(Settings!$B$8*T645+Settings!$B$9*R645+Settings!$B$10*S645)/SUM(Settings!$B$8:$B$10),0)</f>
        <v>0</v>
      </c>
      <c r="V645" s="56" t="str">
        <f aca="false">IF(U645&gt;0,RANK(U645,$U$2:$U$1780)+COUNTIF($U$2:U645,U645)-1,"")</f>
        <v/>
      </c>
      <c r="W645" s="56" t="str">
        <f aca="false">IF(V645="","",IF(V645&lt;=Settings!$B$11,"1 - Fix first",IF(V645&lt;=Settings!$B$12,"2 - Review","3 - Monitor")))</f>
        <v/>
      </c>
      <c r="X645" s="56" t="str">
        <f aca="false">IF(AND(E645&gt;=Settings!$B$4,F645&gt;=Settings!$B$5,O645&gt;=Settings!$B$6),"HIGH RATE","")</f>
        <v/>
      </c>
      <c r="Y645" s="56" t="str">
        <f aca="false">IF(F645&gt;0,RANK(F645,$F$2:$F$1780)+COUNTIF($F$2:F645,F645)-1,"")</f>
        <v/>
      </c>
      <c r="Z645" s="56" t="str">
        <f aca="false">IF(H645&gt;0,RANK(H645,$H$2:$H$1780)+COUNTIF($H$2:H645,H645)-1,"")</f>
        <v/>
      </c>
      <c r="AA645" s="56" t="str">
        <f aca="false">IF(AC645="","",RANK(AC645,$AC$2:$AC$1780)+COUNTIF($AC$2:AC645,AC645)-1)</f>
        <v/>
      </c>
      <c r="AB645" s="56" t="str">
        <f aca="false">IF(AD645="","",RANK(AD645,$AD$2:$AD$1780)+COUNTIF($AD$2:AD645,AD645)-1)</f>
        <v/>
      </c>
      <c r="AC645" s="56" t="str">
        <f aca="false">IF(AND(F645&gt;0,E645&gt;=Settings!$B$4),J645,"")</f>
        <v/>
      </c>
      <c r="AD645" s="56" t="str">
        <f aca="false">IF(X645="HIGH RATE",O645,"")</f>
        <v/>
      </c>
    </row>
    <row r="646" customFormat="false" ht="15" hidden="false" customHeight="false" outlineLevel="0" collapsed="false">
      <c r="A646" s="56" t="s">
        <v>1805</v>
      </c>
      <c r="B646" s="56" t="s">
        <v>1806</v>
      </c>
      <c r="C646" s="56" t="s">
        <v>51</v>
      </c>
      <c r="D646" s="56" t="str">
        <f aca="false">IFERROR(INDEX('Brand Map'!$B$4:$B$124,MATCH(C646,'Brand Map'!$A$4:$A$124,0)),"Other")</f>
        <v>AU</v>
      </c>
      <c r="E646" s="57" t="n">
        <v>12</v>
      </c>
      <c r="F646" s="57" t="n">
        <v>0</v>
      </c>
      <c r="G646" s="58" t="n">
        <v>842.63</v>
      </c>
      <c r="H646" s="58" t="n">
        <v>0</v>
      </c>
      <c r="I646" s="58" t="n">
        <v>842.63</v>
      </c>
      <c r="J646" s="32" t="n">
        <f aca="false">IF(E646&gt;0,F646/E646,0)</f>
        <v>0</v>
      </c>
      <c r="K646" s="32" t="n">
        <f aca="false">IF(G646&gt;0,H646/G646,0)</f>
        <v>-0</v>
      </c>
      <c r="L646" s="59" t="n">
        <f aca="false">H646/Settings!$B$16</f>
        <v>-0</v>
      </c>
      <c r="M646" s="59" t="n">
        <f aca="false">H646/Settings!$B$20</f>
        <v>-0</v>
      </c>
      <c r="N646" s="60" t="n">
        <f aca="false">E646*Settings!$B$3</f>
        <v>0.371833812957845</v>
      </c>
      <c r="O646" s="60" t="n">
        <f aca="false">IF(E646&gt;0,(F646-N646)/SQRT(E646*Settings!$B$3*(1-Settings!$B$3)),0)</f>
        <v>-0.61945455117026</v>
      </c>
      <c r="P646" s="60" t="n">
        <f aca="false">MAX(0,F646-N646)</f>
        <v>0</v>
      </c>
      <c r="Q646" s="32" t="n">
        <f aca="false">(F646+Settings!$B$7*Settings!$B$3)/(E646+Settings!$B$7)</f>
        <v>0.0221329650570146</v>
      </c>
      <c r="R646" s="61" t="n">
        <f aca="false">PERCENTRANK($H$2:$H$1780,H646,6)</f>
        <v>0</v>
      </c>
      <c r="S646" s="61" t="n">
        <f aca="false">PERCENTRANK($Q$2:$Q$1780,Q646,6)</f>
        <v>0.109674</v>
      </c>
      <c r="T646" s="61" t="n">
        <f aca="false">PERCENTRANK($F$2:$F$1780,F646,6)</f>
        <v>0</v>
      </c>
      <c r="U646" s="62" t="n">
        <f aca="false">IF(F646&gt;0,(Settings!$B$8*T646+Settings!$B$9*R646+Settings!$B$10*S646)/SUM(Settings!$B$8:$B$10),0)</f>
        <v>0</v>
      </c>
      <c r="V646" s="56" t="str">
        <f aca="false">IF(U646&gt;0,RANK(U646,$U$2:$U$1780)+COUNTIF($U$2:U646,U646)-1,"")</f>
        <v/>
      </c>
      <c r="W646" s="56" t="str">
        <f aca="false">IF(V646="","",IF(V646&lt;=Settings!$B$11,"1 - Fix first",IF(V646&lt;=Settings!$B$12,"2 - Review","3 - Monitor")))</f>
        <v/>
      </c>
      <c r="X646" s="56" t="str">
        <f aca="false">IF(AND(E646&gt;=Settings!$B$4,F646&gt;=Settings!$B$5,O646&gt;=Settings!$B$6),"HIGH RATE","")</f>
        <v/>
      </c>
      <c r="Y646" s="56" t="str">
        <f aca="false">IF(F646&gt;0,RANK(F646,$F$2:$F$1780)+COUNTIF($F$2:F646,F646)-1,"")</f>
        <v/>
      </c>
      <c r="Z646" s="56" t="str">
        <f aca="false">IF(H646&gt;0,RANK(H646,$H$2:$H$1780)+COUNTIF($H$2:H646,H646)-1,"")</f>
        <v/>
      </c>
      <c r="AA646" s="56" t="str">
        <f aca="false">IF(AC646="","",RANK(AC646,$AC$2:$AC$1780)+COUNTIF($AC$2:AC646,AC646)-1)</f>
        <v/>
      </c>
      <c r="AB646" s="56" t="str">
        <f aca="false">IF(AD646="","",RANK(AD646,$AD$2:$AD$1780)+COUNTIF($AD$2:AD646,AD646)-1)</f>
        <v/>
      </c>
      <c r="AC646" s="56" t="str">
        <f aca="false">IF(AND(F646&gt;0,E646&gt;=Settings!$B$4),J646,"")</f>
        <v/>
      </c>
      <c r="AD646" s="56" t="str">
        <f aca="false">IF(X646="HIGH RATE",O646,"")</f>
        <v/>
      </c>
    </row>
    <row r="647" customFormat="false" ht="15" hidden="false" customHeight="false" outlineLevel="0" collapsed="false">
      <c r="A647" s="56" t="s">
        <v>1807</v>
      </c>
      <c r="B647" s="56" t="s">
        <v>1808</v>
      </c>
      <c r="C647" s="56" t="s">
        <v>51</v>
      </c>
      <c r="D647" s="56" t="str">
        <f aca="false">IFERROR(INDEX('Brand Map'!$B$4:$B$124,MATCH(C647,'Brand Map'!$A$4:$A$124,0)),"Other")</f>
        <v>AU</v>
      </c>
      <c r="E647" s="57" t="n">
        <v>6</v>
      </c>
      <c r="F647" s="57" t="n">
        <v>0</v>
      </c>
      <c r="G647" s="58" t="n">
        <v>742.44</v>
      </c>
      <c r="H647" s="58" t="n">
        <v>0</v>
      </c>
      <c r="I647" s="58" t="n">
        <v>742.44</v>
      </c>
      <c r="J647" s="32" t="n">
        <f aca="false">IF(E647&gt;0,F647/E647,0)</f>
        <v>0</v>
      </c>
      <c r="K647" s="32" t="n">
        <f aca="false">IF(G647&gt;0,H647/G647,0)</f>
        <v>-0</v>
      </c>
      <c r="L647" s="59" t="n">
        <f aca="false">H647/Settings!$B$16</f>
        <v>-0</v>
      </c>
      <c r="M647" s="59" t="n">
        <f aca="false">H647/Settings!$B$20</f>
        <v>-0</v>
      </c>
      <c r="N647" s="60" t="n">
        <f aca="false">E647*Settings!$B$3</f>
        <v>0.185916906478923</v>
      </c>
      <c r="O647" s="60" t="n">
        <f aca="false">IF(E647&gt;0,(F647-N647)/SQRT(E647*Settings!$B$3*(1-Settings!$B$3)),0)</f>
        <v>-0.43802051376936</v>
      </c>
      <c r="P647" s="60" t="n">
        <f aca="false">MAX(0,F647-N647)</f>
        <v>0</v>
      </c>
      <c r="Q647" s="32" t="n">
        <f aca="false">(F647+Settings!$B$7*Settings!$B$3)/(E647+Settings!$B$7)</f>
        <v>0.025821792566517</v>
      </c>
      <c r="R647" s="61" t="n">
        <f aca="false">PERCENTRANK($H$2:$H$1780,H647,6)</f>
        <v>0</v>
      </c>
      <c r="S647" s="61" t="n">
        <f aca="false">PERCENTRANK($Q$2:$Q$1780,Q647,6)</f>
        <v>0.189539</v>
      </c>
      <c r="T647" s="61" t="n">
        <f aca="false">PERCENTRANK($F$2:$F$1780,F647,6)</f>
        <v>0</v>
      </c>
      <c r="U647" s="62" t="n">
        <f aca="false">IF(F647&gt;0,(Settings!$B$8*T647+Settings!$B$9*R647+Settings!$B$10*S647)/SUM(Settings!$B$8:$B$10),0)</f>
        <v>0</v>
      </c>
      <c r="V647" s="56" t="str">
        <f aca="false">IF(U647&gt;0,RANK(U647,$U$2:$U$1780)+COUNTIF($U$2:U647,U647)-1,"")</f>
        <v/>
      </c>
      <c r="W647" s="56" t="str">
        <f aca="false">IF(V647="","",IF(V647&lt;=Settings!$B$11,"1 - Fix first",IF(V647&lt;=Settings!$B$12,"2 - Review","3 - Monitor")))</f>
        <v/>
      </c>
      <c r="X647" s="56" t="str">
        <f aca="false">IF(AND(E647&gt;=Settings!$B$4,F647&gt;=Settings!$B$5,O647&gt;=Settings!$B$6),"HIGH RATE","")</f>
        <v/>
      </c>
      <c r="Y647" s="56" t="str">
        <f aca="false">IF(F647&gt;0,RANK(F647,$F$2:$F$1780)+COUNTIF($F$2:F647,F647)-1,"")</f>
        <v/>
      </c>
      <c r="Z647" s="56" t="str">
        <f aca="false">IF(H647&gt;0,RANK(H647,$H$2:$H$1780)+COUNTIF($H$2:H647,H647)-1,"")</f>
        <v/>
      </c>
      <c r="AA647" s="56" t="str">
        <f aca="false">IF(AC647="","",RANK(AC647,$AC$2:$AC$1780)+COUNTIF($AC$2:AC647,AC647)-1)</f>
        <v/>
      </c>
      <c r="AB647" s="56" t="str">
        <f aca="false">IF(AD647="","",RANK(AD647,$AD$2:$AD$1780)+COUNTIF($AD$2:AD647,AD647)-1)</f>
        <v/>
      </c>
      <c r="AC647" s="56" t="str">
        <f aca="false">IF(AND(F647&gt;0,E647&gt;=Settings!$B$4),J647,"")</f>
        <v/>
      </c>
      <c r="AD647" s="56" t="str">
        <f aca="false">IF(X647="HIGH RATE",O647,"")</f>
        <v/>
      </c>
    </row>
    <row r="648" customFormat="false" ht="15" hidden="false" customHeight="false" outlineLevel="0" collapsed="false">
      <c r="A648" s="56" t="s">
        <v>1809</v>
      </c>
      <c r="B648" s="56" t="s">
        <v>1810</v>
      </c>
      <c r="C648" s="56" t="s">
        <v>51</v>
      </c>
      <c r="D648" s="56" t="str">
        <f aca="false">IFERROR(INDEX('Brand Map'!$B$4:$B$124,MATCH(C648,'Brand Map'!$A$4:$A$124,0)),"Other")</f>
        <v>AU</v>
      </c>
      <c r="E648" s="57" t="n">
        <v>6</v>
      </c>
      <c r="F648" s="57" t="n">
        <v>0</v>
      </c>
      <c r="G648" s="58" t="n">
        <v>716.99</v>
      </c>
      <c r="H648" s="58" t="n">
        <v>0</v>
      </c>
      <c r="I648" s="58" t="n">
        <v>716.99</v>
      </c>
      <c r="J648" s="32" t="n">
        <f aca="false">IF(E648&gt;0,F648/E648,0)</f>
        <v>0</v>
      </c>
      <c r="K648" s="32" t="n">
        <f aca="false">IF(G648&gt;0,H648/G648,0)</f>
        <v>-0</v>
      </c>
      <c r="L648" s="59" t="n">
        <f aca="false">H648/Settings!$B$16</f>
        <v>-0</v>
      </c>
      <c r="M648" s="59" t="n">
        <f aca="false">H648/Settings!$B$20</f>
        <v>-0</v>
      </c>
      <c r="N648" s="60" t="n">
        <f aca="false">E648*Settings!$B$3</f>
        <v>0.185916906478923</v>
      </c>
      <c r="O648" s="60" t="n">
        <f aca="false">IF(E648&gt;0,(F648-N648)/SQRT(E648*Settings!$B$3*(1-Settings!$B$3)),0)</f>
        <v>-0.43802051376936</v>
      </c>
      <c r="P648" s="60" t="n">
        <f aca="false">MAX(0,F648-N648)</f>
        <v>0</v>
      </c>
      <c r="Q648" s="32" t="n">
        <f aca="false">(F648+Settings!$B$7*Settings!$B$3)/(E648+Settings!$B$7)</f>
        <v>0.025821792566517</v>
      </c>
      <c r="R648" s="61" t="n">
        <f aca="false">PERCENTRANK($H$2:$H$1780,H648,6)</f>
        <v>0</v>
      </c>
      <c r="S648" s="61" t="n">
        <f aca="false">PERCENTRANK($Q$2:$Q$1780,Q648,6)</f>
        <v>0.189539</v>
      </c>
      <c r="T648" s="61" t="n">
        <f aca="false">PERCENTRANK($F$2:$F$1780,F648,6)</f>
        <v>0</v>
      </c>
      <c r="U648" s="62" t="n">
        <f aca="false">IF(F648&gt;0,(Settings!$B$8*T648+Settings!$B$9*R648+Settings!$B$10*S648)/SUM(Settings!$B$8:$B$10),0)</f>
        <v>0</v>
      </c>
      <c r="V648" s="56" t="str">
        <f aca="false">IF(U648&gt;0,RANK(U648,$U$2:$U$1780)+COUNTIF($U$2:U648,U648)-1,"")</f>
        <v/>
      </c>
      <c r="W648" s="56" t="str">
        <f aca="false">IF(V648="","",IF(V648&lt;=Settings!$B$11,"1 - Fix first",IF(V648&lt;=Settings!$B$12,"2 - Review","3 - Monitor")))</f>
        <v/>
      </c>
      <c r="X648" s="56" t="str">
        <f aca="false">IF(AND(E648&gt;=Settings!$B$4,F648&gt;=Settings!$B$5,O648&gt;=Settings!$B$6),"HIGH RATE","")</f>
        <v/>
      </c>
      <c r="Y648" s="56" t="str">
        <f aca="false">IF(F648&gt;0,RANK(F648,$F$2:$F$1780)+COUNTIF($F$2:F648,F648)-1,"")</f>
        <v/>
      </c>
      <c r="Z648" s="56" t="str">
        <f aca="false">IF(H648&gt;0,RANK(H648,$H$2:$H$1780)+COUNTIF($H$2:H648,H648)-1,"")</f>
        <v/>
      </c>
      <c r="AA648" s="56" t="str">
        <f aca="false">IF(AC648="","",RANK(AC648,$AC$2:$AC$1780)+COUNTIF($AC$2:AC648,AC648)-1)</f>
        <v/>
      </c>
      <c r="AB648" s="56" t="str">
        <f aca="false">IF(AD648="","",RANK(AD648,$AD$2:$AD$1780)+COUNTIF($AD$2:AD648,AD648)-1)</f>
        <v/>
      </c>
      <c r="AC648" s="56" t="str">
        <f aca="false">IF(AND(F648&gt;0,E648&gt;=Settings!$B$4),J648,"")</f>
        <v/>
      </c>
      <c r="AD648" s="56" t="str">
        <f aca="false">IF(X648="HIGH RATE",O648,"")</f>
        <v/>
      </c>
    </row>
    <row r="649" customFormat="false" ht="15" hidden="false" customHeight="false" outlineLevel="0" collapsed="false">
      <c r="A649" s="56" t="s">
        <v>1811</v>
      </c>
      <c r="B649" s="56" t="s">
        <v>1812</v>
      </c>
      <c r="C649" s="56" t="s">
        <v>51</v>
      </c>
      <c r="D649" s="56" t="str">
        <f aca="false">IFERROR(INDEX('Brand Map'!$B$4:$B$124,MATCH(C649,'Brand Map'!$A$4:$A$124,0)),"Other")</f>
        <v>AU</v>
      </c>
      <c r="E649" s="57" t="n">
        <v>38</v>
      </c>
      <c r="F649" s="57" t="n">
        <v>0</v>
      </c>
      <c r="G649" s="58" t="n">
        <v>4404.61</v>
      </c>
      <c r="H649" s="58" t="n">
        <v>0</v>
      </c>
      <c r="I649" s="58" t="n">
        <v>4321.69</v>
      </c>
      <c r="J649" s="32" t="n">
        <f aca="false">IF(E649&gt;0,F649/E649,0)</f>
        <v>0</v>
      </c>
      <c r="K649" s="32" t="n">
        <f aca="false">IF(G649&gt;0,H649/G649,0)</f>
        <v>-0</v>
      </c>
      <c r="L649" s="59" t="n">
        <f aca="false">H649/Settings!$B$16</f>
        <v>-0</v>
      </c>
      <c r="M649" s="59" t="n">
        <f aca="false">H649/Settings!$B$20</f>
        <v>-0</v>
      </c>
      <c r="N649" s="60" t="n">
        <f aca="false">E649*Settings!$B$3</f>
        <v>1.17747374103318</v>
      </c>
      <c r="O649" s="60" t="n">
        <f aca="false">IF(E649&gt;0,(F649-N649)/SQRT(E649*Settings!$B$3*(1-Settings!$B$3)),0)</f>
        <v>-1.10232745273697</v>
      </c>
      <c r="P649" s="60" t="n">
        <f aca="false">MAX(0,F649-N649)</f>
        <v>0</v>
      </c>
      <c r="Q649" s="32" t="n">
        <f aca="false">(F649+Settings!$B$7*Settings!$B$3)/(E649+Settings!$B$7)</f>
        <v>0.013670360770509</v>
      </c>
      <c r="R649" s="61" t="n">
        <f aca="false">PERCENTRANK($H$2:$H$1780,H649,6)</f>
        <v>0</v>
      </c>
      <c r="S649" s="61" t="n">
        <f aca="false">PERCENTRANK($Q$2:$Q$1780,Q649,6)</f>
        <v>0.0320585</v>
      </c>
      <c r="T649" s="61" t="n">
        <f aca="false">PERCENTRANK($F$2:$F$1780,F649,6)</f>
        <v>0</v>
      </c>
      <c r="U649" s="62" t="n">
        <f aca="false">IF(F649&gt;0,(Settings!$B$8*T649+Settings!$B$9*R649+Settings!$B$10*S649)/SUM(Settings!$B$8:$B$10),0)</f>
        <v>0</v>
      </c>
      <c r="V649" s="56" t="str">
        <f aca="false">IF(U649&gt;0,RANK(U649,$U$2:$U$1780)+COUNTIF($U$2:U649,U649)-1,"")</f>
        <v/>
      </c>
      <c r="W649" s="56" t="str">
        <f aca="false">IF(V649="","",IF(V649&lt;=Settings!$B$11,"1 - Fix first",IF(V649&lt;=Settings!$B$12,"2 - Review","3 - Monitor")))</f>
        <v/>
      </c>
      <c r="X649" s="56" t="str">
        <f aca="false">IF(AND(E649&gt;=Settings!$B$4,F649&gt;=Settings!$B$5,O649&gt;=Settings!$B$6),"HIGH RATE","")</f>
        <v/>
      </c>
      <c r="Y649" s="56" t="str">
        <f aca="false">IF(F649&gt;0,RANK(F649,$F$2:$F$1780)+COUNTIF($F$2:F649,F649)-1,"")</f>
        <v/>
      </c>
      <c r="Z649" s="56" t="str">
        <f aca="false">IF(H649&gt;0,RANK(H649,$H$2:$H$1780)+COUNTIF($H$2:H649,H649)-1,"")</f>
        <v/>
      </c>
      <c r="AA649" s="56" t="str">
        <f aca="false">IF(AC649="","",RANK(AC649,$AC$2:$AC$1780)+COUNTIF($AC$2:AC649,AC649)-1)</f>
        <v/>
      </c>
      <c r="AB649" s="56" t="str">
        <f aca="false">IF(AD649="","",RANK(AD649,$AD$2:$AD$1780)+COUNTIF($AD$2:AD649,AD649)-1)</f>
        <v/>
      </c>
      <c r="AC649" s="56" t="str">
        <f aca="false">IF(AND(F649&gt;0,E649&gt;=Settings!$B$4),J649,"")</f>
        <v/>
      </c>
      <c r="AD649" s="56" t="str">
        <f aca="false">IF(X649="HIGH RATE",O649,"")</f>
        <v/>
      </c>
    </row>
    <row r="650" customFormat="false" ht="15" hidden="false" customHeight="false" outlineLevel="0" collapsed="false">
      <c r="A650" s="56" t="s">
        <v>1813</v>
      </c>
      <c r="B650" s="56" t="s">
        <v>1814</v>
      </c>
      <c r="C650" s="56" t="s">
        <v>51</v>
      </c>
      <c r="D650" s="56" t="str">
        <f aca="false">IFERROR(INDEX('Brand Map'!$B$4:$B$124,MATCH(C650,'Brand Map'!$A$4:$A$124,0)),"Other")</f>
        <v>AU</v>
      </c>
      <c r="E650" s="57" t="n">
        <v>15</v>
      </c>
      <c r="F650" s="57" t="n">
        <v>0</v>
      </c>
      <c r="G650" s="58" t="n">
        <v>1827.5</v>
      </c>
      <c r="H650" s="58" t="n">
        <v>0</v>
      </c>
      <c r="I650" s="58" t="n">
        <v>1827.5</v>
      </c>
      <c r="J650" s="32" t="n">
        <f aca="false">IF(E650&gt;0,F650/E650,0)</f>
        <v>0</v>
      </c>
      <c r="K650" s="32" t="n">
        <f aca="false">IF(G650&gt;0,H650/G650,0)</f>
        <v>-0</v>
      </c>
      <c r="L650" s="59" t="n">
        <f aca="false">H650/Settings!$B$16</f>
        <v>-0</v>
      </c>
      <c r="M650" s="59" t="n">
        <f aca="false">H650/Settings!$B$20</f>
        <v>-0</v>
      </c>
      <c r="N650" s="60" t="n">
        <f aca="false">E650*Settings!$B$3</f>
        <v>0.464792266197306</v>
      </c>
      <c r="O650" s="60" t="n">
        <f aca="false">IF(E650&gt;0,(F650-N650)/SQRT(E650*Settings!$B$3*(1-Settings!$B$3)),0)</f>
        <v>-0.692571242694161</v>
      </c>
      <c r="P650" s="60" t="n">
        <f aca="false">MAX(0,F650-N650)</f>
        <v>0</v>
      </c>
      <c r="Q650" s="32" t="n">
        <f aca="false">(F650+Settings!$B$7*Settings!$B$3)/(E650+Settings!$B$7)</f>
        <v>0.0206574340532136</v>
      </c>
      <c r="R650" s="61" t="n">
        <f aca="false">PERCENTRANK($H$2:$H$1780,H650,6)</f>
        <v>0</v>
      </c>
      <c r="S650" s="61" t="n">
        <f aca="false">PERCENTRANK($Q$2:$Q$1780,Q650,6)</f>
        <v>0.0928009</v>
      </c>
      <c r="T650" s="61" t="n">
        <f aca="false">PERCENTRANK($F$2:$F$1780,F650,6)</f>
        <v>0</v>
      </c>
      <c r="U650" s="62" t="n">
        <f aca="false">IF(F650&gt;0,(Settings!$B$8*T650+Settings!$B$9*R650+Settings!$B$10*S650)/SUM(Settings!$B$8:$B$10),0)</f>
        <v>0</v>
      </c>
      <c r="V650" s="56" t="str">
        <f aca="false">IF(U650&gt;0,RANK(U650,$U$2:$U$1780)+COUNTIF($U$2:U650,U650)-1,"")</f>
        <v/>
      </c>
      <c r="W650" s="56" t="str">
        <f aca="false">IF(V650="","",IF(V650&lt;=Settings!$B$11,"1 - Fix first",IF(V650&lt;=Settings!$B$12,"2 - Review","3 - Monitor")))</f>
        <v/>
      </c>
      <c r="X650" s="56" t="str">
        <f aca="false">IF(AND(E650&gt;=Settings!$B$4,F650&gt;=Settings!$B$5,O650&gt;=Settings!$B$6),"HIGH RATE","")</f>
        <v/>
      </c>
      <c r="Y650" s="56" t="str">
        <f aca="false">IF(F650&gt;0,RANK(F650,$F$2:$F$1780)+COUNTIF($F$2:F650,F650)-1,"")</f>
        <v/>
      </c>
      <c r="Z650" s="56" t="str">
        <f aca="false">IF(H650&gt;0,RANK(H650,$H$2:$H$1780)+COUNTIF($H$2:H650,H650)-1,"")</f>
        <v/>
      </c>
      <c r="AA650" s="56" t="str">
        <f aca="false">IF(AC650="","",RANK(AC650,$AC$2:$AC$1780)+COUNTIF($AC$2:AC650,AC650)-1)</f>
        <v/>
      </c>
      <c r="AB650" s="56" t="str">
        <f aca="false">IF(AD650="","",RANK(AD650,$AD$2:$AD$1780)+COUNTIF($AD$2:AD650,AD650)-1)</f>
        <v/>
      </c>
      <c r="AC650" s="56" t="str">
        <f aca="false">IF(AND(F650&gt;0,E650&gt;=Settings!$B$4),J650,"")</f>
        <v/>
      </c>
      <c r="AD650" s="56" t="str">
        <f aca="false">IF(X650="HIGH RATE",O650,"")</f>
        <v/>
      </c>
    </row>
    <row r="651" customFormat="false" ht="15" hidden="false" customHeight="false" outlineLevel="0" collapsed="false">
      <c r="A651" s="56" t="s">
        <v>1815</v>
      </c>
      <c r="B651" s="56" t="s">
        <v>1816</v>
      </c>
      <c r="C651" s="56" t="s">
        <v>51</v>
      </c>
      <c r="D651" s="56" t="str">
        <f aca="false">IFERROR(INDEX('Brand Map'!$B$4:$B$124,MATCH(C651,'Brand Map'!$A$4:$A$124,0)),"Other")</f>
        <v>AU</v>
      </c>
      <c r="E651" s="57" t="n">
        <v>18</v>
      </c>
      <c r="F651" s="57" t="n">
        <v>0</v>
      </c>
      <c r="G651" s="58" t="n">
        <v>2181.91</v>
      </c>
      <c r="H651" s="58" t="n">
        <v>0</v>
      </c>
      <c r="I651" s="58" t="n">
        <v>2151.21</v>
      </c>
      <c r="J651" s="32" t="n">
        <f aca="false">IF(E651&gt;0,F651/E651,0)</f>
        <v>0</v>
      </c>
      <c r="K651" s="32" t="n">
        <f aca="false">IF(G651&gt;0,H651/G651,0)</f>
        <v>-0</v>
      </c>
      <c r="L651" s="59" t="n">
        <f aca="false">H651/Settings!$B$16</f>
        <v>-0</v>
      </c>
      <c r="M651" s="59" t="n">
        <f aca="false">H651/Settings!$B$20</f>
        <v>-0</v>
      </c>
      <c r="N651" s="60" t="n">
        <f aca="false">E651*Settings!$B$3</f>
        <v>0.557750719436768</v>
      </c>
      <c r="O651" s="60" t="n">
        <f aca="false">IF(E651&gt;0,(F651-N651)/SQRT(E651*Settings!$B$3*(1-Settings!$B$3)),0)</f>
        <v>-0.758673784605954</v>
      </c>
      <c r="P651" s="60" t="n">
        <f aca="false">MAX(0,F651-N651)</f>
        <v>0</v>
      </c>
      <c r="Q651" s="32" t="n">
        <f aca="false">(F651+Settings!$B$7*Settings!$B$3)/(E651+Settings!$B$7)</f>
        <v>0.0193663444248878</v>
      </c>
      <c r="R651" s="61" t="n">
        <f aca="false">PERCENTRANK($H$2:$H$1780,H651,6)</f>
        <v>0</v>
      </c>
      <c r="S651" s="61" t="n">
        <f aca="false">PERCENTRANK($Q$2:$Q$1780,Q651,6)</f>
        <v>0.083802</v>
      </c>
      <c r="T651" s="61" t="n">
        <f aca="false">PERCENTRANK($F$2:$F$1780,F651,6)</f>
        <v>0</v>
      </c>
      <c r="U651" s="62" t="n">
        <f aca="false">IF(F651&gt;0,(Settings!$B$8*T651+Settings!$B$9*R651+Settings!$B$10*S651)/SUM(Settings!$B$8:$B$10),0)</f>
        <v>0</v>
      </c>
      <c r="V651" s="56" t="str">
        <f aca="false">IF(U651&gt;0,RANK(U651,$U$2:$U$1780)+COUNTIF($U$2:U651,U651)-1,"")</f>
        <v/>
      </c>
      <c r="W651" s="56" t="str">
        <f aca="false">IF(V651="","",IF(V651&lt;=Settings!$B$11,"1 - Fix first",IF(V651&lt;=Settings!$B$12,"2 - Review","3 - Monitor")))</f>
        <v/>
      </c>
      <c r="X651" s="56" t="str">
        <f aca="false">IF(AND(E651&gt;=Settings!$B$4,F651&gt;=Settings!$B$5,O651&gt;=Settings!$B$6),"HIGH RATE","")</f>
        <v/>
      </c>
      <c r="Y651" s="56" t="str">
        <f aca="false">IF(F651&gt;0,RANK(F651,$F$2:$F$1780)+COUNTIF($F$2:F651,F651)-1,"")</f>
        <v/>
      </c>
      <c r="Z651" s="56" t="str">
        <f aca="false">IF(H651&gt;0,RANK(H651,$H$2:$H$1780)+COUNTIF($H$2:H651,H651)-1,"")</f>
        <v/>
      </c>
      <c r="AA651" s="56" t="str">
        <f aca="false">IF(AC651="","",RANK(AC651,$AC$2:$AC$1780)+COUNTIF($AC$2:AC651,AC651)-1)</f>
        <v/>
      </c>
      <c r="AB651" s="56" t="str">
        <f aca="false">IF(AD651="","",RANK(AD651,$AD$2:$AD$1780)+COUNTIF($AD$2:AD651,AD651)-1)</f>
        <v/>
      </c>
      <c r="AC651" s="56" t="str">
        <f aca="false">IF(AND(F651&gt;0,E651&gt;=Settings!$B$4),J651,"")</f>
        <v/>
      </c>
      <c r="AD651" s="56" t="str">
        <f aca="false">IF(X651="HIGH RATE",O651,"")</f>
        <v/>
      </c>
    </row>
    <row r="652" customFormat="false" ht="15" hidden="false" customHeight="false" outlineLevel="0" collapsed="false">
      <c r="A652" s="56" t="s">
        <v>1817</v>
      </c>
      <c r="B652" s="56" t="s">
        <v>1818</v>
      </c>
      <c r="C652" s="56" t="s">
        <v>51</v>
      </c>
      <c r="D652" s="56" t="str">
        <f aca="false">IFERROR(INDEX('Brand Map'!$B$4:$B$124,MATCH(C652,'Brand Map'!$A$4:$A$124,0)),"Other")</f>
        <v>AU</v>
      </c>
      <c r="E652" s="57" t="n">
        <v>16</v>
      </c>
      <c r="F652" s="57" t="n">
        <v>0</v>
      </c>
      <c r="G652" s="58" t="n">
        <v>1802.9</v>
      </c>
      <c r="H652" s="58" t="n">
        <v>0</v>
      </c>
      <c r="I652" s="58" t="n">
        <v>1785.19</v>
      </c>
      <c r="J652" s="32" t="n">
        <f aca="false">IF(E652&gt;0,F652/E652,0)</f>
        <v>0</v>
      </c>
      <c r="K652" s="32" t="n">
        <f aca="false">IF(G652&gt;0,H652/G652,0)</f>
        <v>-0</v>
      </c>
      <c r="L652" s="59" t="n">
        <f aca="false">H652/Settings!$B$16</f>
        <v>-0</v>
      </c>
      <c r="M652" s="59" t="n">
        <f aca="false">H652/Settings!$B$20</f>
        <v>-0</v>
      </c>
      <c r="N652" s="60" t="n">
        <f aca="false">E652*Settings!$B$3</f>
        <v>0.495778417277127</v>
      </c>
      <c r="O652" s="60" t="n">
        <f aca="false">IF(E652&gt;0,(F652-N652)/SQRT(E652*Settings!$B$3*(1-Settings!$B$3)),0)</f>
        <v>-0.715284503737776</v>
      </c>
      <c r="P652" s="60" t="n">
        <f aca="false">MAX(0,F652-N652)</f>
        <v>0</v>
      </c>
      <c r="Q652" s="32" t="n">
        <f aca="false">(F652+Settings!$B$7*Settings!$B$3)/(E652+Settings!$B$7)</f>
        <v>0.0202083593998829</v>
      </c>
      <c r="R652" s="61" t="n">
        <f aca="false">PERCENTRANK($H$2:$H$1780,H652,6)</f>
        <v>0</v>
      </c>
      <c r="S652" s="61" t="n">
        <f aca="false">PERCENTRANK($Q$2:$Q$1780,Q652,6)</f>
        <v>0.0899888</v>
      </c>
      <c r="T652" s="61" t="n">
        <f aca="false">PERCENTRANK($F$2:$F$1780,F652,6)</f>
        <v>0</v>
      </c>
      <c r="U652" s="62" t="n">
        <f aca="false">IF(F652&gt;0,(Settings!$B$8*T652+Settings!$B$9*R652+Settings!$B$10*S652)/SUM(Settings!$B$8:$B$10),0)</f>
        <v>0</v>
      </c>
      <c r="V652" s="56" t="str">
        <f aca="false">IF(U652&gt;0,RANK(U652,$U$2:$U$1780)+COUNTIF($U$2:U652,U652)-1,"")</f>
        <v/>
      </c>
      <c r="W652" s="56" t="str">
        <f aca="false">IF(V652="","",IF(V652&lt;=Settings!$B$11,"1 - Fix first",IF(V652&lt;=Settings!$B$12,"2 - Review","3 - Monitor")))</f>
        <v/>
      </c>
      <c r="X652" s="56" t="str">
        <f aca="false">IF(AND(E652&gt;=Settings!$B$4,F652&gt;=Settings!$B$5,O652&gt;=Settings!$B$6),"HIGH RATE","")</f>
        <v/>
      </c>
      <c r="Y652" s="56" t="str">
        <f aca="false">IF(F652&gt;0,RANK(F652,$F$2:$F$1780)+COUNTIF($F$2:F652,F652)-1,"")</f>
        <v/>
      </c>
      <c r="Z652" s="56" t="str">
        <f aca="false">IF(H652&gt;0,RANK(H652,$H$2:$H$1780)+COUNTIF($H$2:H652,H652)-1,"")</f>
        <v/>
      </c>
      <c r="AA652" s="56" t="str">
        <f aca="false">IF(AC652="","",RANK(AC652,$AC$2:$AC$1780)+COUNTIF($AC$2:AC652,AC652)-1)</f>
        <v/>
      </c>
      <c r="AB652" s="56" t="str">
        <f aca="false">IF(AD652="","",RANK(AD652,$AD$2:$AD$1780)+COUNTIF($AD$2:AD652,AD652)-1)</f>
        <v/>
      </c>
      <c r="AC652" s="56" t="str">
        <f aca="false">IF(AND(F652&gt;0,E652&gt;=Settings!$B$4),J652,"")</f>
        <v/>
      </c>
      <c r="AD652" s="56" t="str">
        <f aca="false">IF(X652="HIGH RATE",O652,"")</f>
        <v/>
      </c>
    </row>
    <row r="653" customFormat="false" ht="15" hidden="false" customHeight="false" outlineLevel="0" collapsed="false">
      <c r="A653" s="56" t="s">
        <v>1819</v>
      </c>
      <c r="B653" s="56" t="s">
        <v>1820</v>
      </c>
      <c r="C653" s="56" t="s">
        <v>51</v>
      </c>
      <c r="D653" s="56" t="str">
        <f aca="false">IFERROR(INDEX('Brand Map'!$B$4:$B$124,MATCH(C653,'Brand Map'!$A$4:$A$124,0)),"Other")</f>
        <v>AU</v>
      </c>
      <c r="E653" s="57" t="n">
        <v>8</v>
      </c>
      <c r="F653" s="57" t="n">
        <v>0</v>
      </c>
      <c r="G653" s="58" t="n">
        <v>966.91</v>
      </c>
      <c r="H653" s="58" t="n">
        <v>0</v>
      </c>
      <c r="I653" s="58" t="n">
        <v>966.91</v>
      </c>
      <c r="J653" s="32" t="n">
        <f aca="false">IF(E653&gt;0,F653/E653,0)</f>
        <v>0</v>
      </c>
      <c r="K653" s="32" t="n">
        <f aca="false">IF(G653&gt;0,H653/G653,0)</f>
        <v>-0</v>
      </c>
      <c r="L653" s="59" t="n">
        <f aca="false">H653/Settings!$B$16</f>
        <v>-0</v>
      </c>
      <c r="M653" s="59" t="n">
        <f aca="false">H653/Settings!$B$20</f>
        <v>-0</v>
      </c>
      <c r="N653" s="60" t="n">
        <f aca="false">E653*Settings!$B$3</f>
        <v>0.247889208638563</v>
      </c>
      <c r="O653" s="60" t="n">
        <f aca="false">IF(E653&gt;0,(F653-N653)/SQRT(E653*Settings!$B$3*(1-Settings!$B$3)),0)</f>
        <v>-0.505782523070636</v>
      </c>
      <c r="P653" s="60" t="n">
        <f aca="false">MAX(0,F653-N653)</f>
        <v>0</v>
      </c>
      <c r="Q653" s="32" t="n">
        <f aca="false">(F653+Settings!$B$7*Settings!$B$3)/(E653+Settings!$B$7)</f>
        <v>0.0244627508524898</v>
      </c>
      <c r="R653" s="61" t="n">
        <f aca="false">PERCENTRANK($H$2:$H$1780,H653,6)</f>
        <v>0</v>
      </c>
      <c r="S653" s="61" t="n">
        <f aca="false">PERCENTRANK($Q$2:$Q$1780,Q653,6)</f>
        <v>0.154668</v>
      </c>
      <c r="T653" s="61" t="n">
        <f aca="false">PERCENTRANK($F$2:$F$1780,F653,6)</f>
        <v>0</v>
      </c>
      <c r="U653" s="62" t="n">
        <f aca="false">IF(F653&gt;0,(Settings!$B$8*T653+Settings!$B$9*R653+Settings!$B$10*S653)/SUM(Settings!$B$8:$B$10),0)</f>
        <v>0</v>
      </c>
      <c r="V653" s="56" t="str">
        <f aca="false">IF(U653&gt;0,RANK(U653,$U$2:$U$1780)+COUNTIF($U$2:U653,U653)-1,"")</f>
        <v/>
      </c>
      <c r="W653" s="56" t="str">
        <f aca="false">IF(V653="","",IF(V653&lt;=Settings!$B$11,"1 - Fix first",IF(V653&lt;=Settings!$B$12,"2 - Review","3 - Monitor")))</f>
        <v/>
      </c>
      <c r="X653" s="56" t="str">
        <f aca="false">IF(AND(E653&gt;=Settings!$B$4,F653&gt;=Settings!$B$5,O653&gt;=Settings!$B$6),"HIGH RATE","")</f>
        <v/>
      </c>
      <c r="Y653" s="56" t="str">
        <f aca="false">IF(F653&gt;0,RANK(F653,$F$2:$F$1780)+COUNTIF($F$2:F653,F653)-1,"")</f>
        <v/>
      </c>
      <c r="Z653" s="56" t="str">
        <f aca="false">IF(H653&gt;0,RANK(H653,$H$2:$H$1780)+COUNTIF($H$2:H653,H653)-1,"")</f>
        <v/>
      </c>
      <c r="AA653" s="56" t="str">
        <f aca="false">IF(AC653="","",RANK(AC653,$AC$2:$AC$1780)+COUNTIF($AC$2:AC653,AC653)-1)</f>
        <v/>
      </c>
      <c r="AB653" s="56" t="str">
        <f aca="false">IF(AD653="","",RANK(AD653,$AD$2:$AD$1780)+COUNTIF($AD$2:AD653,AD653)-1)</f>
        <v/>
      </c>
      <c r="AC653" s="56" t="str">
        <f aca="false">IF(AND(F653&gt;0,E653&gt;=Settings!$B$4),J653,"")</f>
        <v/>
      </c>
      <c r="AD653" s="56" t="str">
        <f aca="false">IF(X653="HIGH RATE",O653,"")</f>
        <v/>
      </c>
    </row>
    <row r="654" customFormat="false" ht="15" hidden="false" customHeight="false" outlineLevel="0" collapsed="false">
      <c r="A654" s="56" t="s">
        <v>1821</v>
      </c>
      <c r="B654" s="56" t="s">
        <v>1822</v>
      </c>
      <c r="C654" s="56" t="s">
        <v>51</v>
      </c>
      <c r="D654" s="56" t="str">
        <f aca="false">IFERROR(INDEX('Brand Map'!$B$4:$B$124,MATCH(C654,'Brand Map'!$A$4:$A$124,0)),"Other")</f>
        <v>AU</v>
      </c>
      <c r="E654" s="57" t="n">
        <v>25</v>
      </c>
      <c r="F654" s="57" t="n">
        <v>0</v>
      </c>
      <c r="G654" s="58" t="n">
        <v>2947</v>
      </c>
      <c r="H654" s="58" t="n">
        <v>0</v>
      </c>
      <c r="I654" s="58" t="n">
        <v>2922.21</v>
      </c>
      <c r="J654" s="32" t="n">
        <f aca="false">IF(E654&gt;0,F654/E654,0)</f>
        <v>0</v>
      </c>
      <c r="K654" s="32" t="n">
        <f aca="false">IF(G654&gt;0,H654/G654,0)</f>
        <v>-0</v>
      </c>
      <c r="L654" s="59" t="n">
        <f aca="false">H654/Settings!$B$16</f>
        <v>-0</v>
      </c>
      <c r="M654" s="59" t="n">
        <f aca="false">H654/Settings!$B$20</f>
        <v>-0</v>
      </c>
      <c r="N654" s="60" t="n">
        <f aca="false">E654*Settings!$B$3</f>
        <v>0.77465377699551</v>
      </c>
      <c r="O654" s="60" t="n">
        <f aca="false">IF(E654&gt;0,(F654-N654)/SQRT(E654*Settings!$B$3*(1-Settings!$B$3)),0)</f>
        <v>-0.89410562967222</v>
      </c>
      <c r="P654" s="60" t="n">
        <f aca="false">MAX(0,F654-N654)</f>
        <v>0</v>
      </c>
      <c r="Q654" s="32" t="n">
        <f aca="false">(F654+Settings!$B$7*Settings!$B$3)/(E654+Settings!$B$7)</f>
        <v>0.0169015369526293</v>
      </c>
      <c r="R654" s="61" t="n">
        <f aca="false">PERCENTRANK($H$2:$H$1780,H654,6)</f>
        <v>0</v>
      </c>
      <c r="S654" s="61" t="n">
        <f aca="false">PERCENTRANK($Q$2:$Q$1780,Q654,6)</f>
        <v>0.0539933</v>
      </c>
      <c r="T654" s="61" t="n">
        <f aca="false">PERCENTRANK($F$2:$F$1780,F654,6)</f>
        <v>0</v>
      </c>
      <c r="U654" s="62" t="n">
        <f aca="false">IF(F654&gt;0,(Settings!$B$8*T654+Settings!$B$9*R654+Settings!$B$10*S654)/SUM(Settings!$B$8:$B$10),0)</f>
        <v>0</v>
      </c>
      <c r="V654" s="56" t="str">
        <f aca="false">IF(U654&gt;0,RANK(U654,$U$2:$U$1780)+COUNTIF($U$2:U654,U654)-1,"")</f>
        <v/>
      </c>
      <c r="W654" s="56" t="str">
        <f aca="false">IF(V654="","",IF(V654&lt;=Settings!$B$11,"1 - Fix first",IF(V654&lt;=Settings!$B$12,"2 - Review","3 - Monitor")))</f>
        <v/>
      </c>
      <c r="X654" s="56" t="str">
        <f aca="false">IF(AND(E654&gt;=Settings!$B$4,F654&gt;=Settings!$B$5,O654&gt;=Settings!$B$6),"HIGH RATE","")</f>
        <v/>
      </c>
      <c r="Y654" s="56" t="str">
        <f aca="false">IF(F654&gt;0,RANK(F654,$F$2:$F$1780)+COUNTIF($F$2:F654,F654)-1,"")</f>
        <v/>
      </c>
      <c r="Z654" s="56" t="str">
        <f aca="false">IF(H654&gt;0,RANK(H654,$H$2:$H$1780)+COUNTIF($H$2:H654,H654)-1,"")</f>
        <v/>
      </c>
      <c r="AA654" s="56" t="str">
        <f aca="false">IF(AC654="","",RANK(AC654,$AC$2:$AC$1780)+COUNTIF($AC$2:AC654,AC654)-1)</f>
        <v/>
      </c>
      <c r="AB654" s="56" t="str">
        <f aca="false">IF(AD654="","",RANK(AD654,$AD$2:$AD$1780)+COUNTIF($AD$2:AD654,AD654)-1)</f>
        <v/>
      </c>
      <c r="AC654" s="56" t="str">
        <f aca="false">IF(AND(F654&gt;0,E654&gt;=Settings!$B$4),J654,"")</f>
        <v/>
      </c>
      <c r="AD654" s="56" t="str">
        <f aca="false">IF(X654="HIGH RATE",O654,"")</f>
        <v/>
      </c>
    </row>
    <row r="655" customFormat="false" ht="15" hidden="false" customHeight="false" outlineLevel="0" collapsed="false">
      <c r="A655" s="56" t="s">
        <v>1823</v>
      </c>
      <c r="B655" s="56" t="s">
        <v>1824</v>
      </c>
      <c r="C655" s="56" t="s">
        <v>51</v>
      </c>
      <c r="D655" s="56" t="str">
        <f aca="false">IFERROR(INDEX('Brand Map'!$B$4:$B$124,MATCH(C655,'Brand Map'!$A$4:$A$124,0)),"Other")</f>
        <v>AU</v>
      </c>
      <c r="E655" s="57" t="n">
        <v>23</v>
      </c>
      <c r="F655" s="57" t="n">
        <v>0</v>
      </c>
      <c r="G655" s="58" t="n">
        <v>2596.19</v>
      </c>
      <c r="H655" s="58" t="n">
        <v>0</v>
      </c>
      <c r="I655" s="58" t="n">
        <v>2556.95</v>
      </c>
      <c r="J655" s="32" t="n">
        <f aca="false">IF(E655&gt;0,F655/E655,0)</f>
        <v>0</v>
      </c>
      <c r="K655" s="32" t="n">
        <f aca="false">IF(G655&gt;0,H655/G655,0)</f>
        <v>-0</v>
      </c>
      <c r="L655" s="59" t="n">
        <f aca="false">H655/Settings!$B$16</f>
        <v>-0</v>
      </c>
      <c r="M655" s="59" t="n">
        <f aca="false">H655/Settings!$B$20</f>
        <v>-0</v>
      </c>
      <c r="N655" s="60" t="n">
        <f aca="false">E655*Settings!$B$3</f>
        <v>0.71268147483587</v>
      </c>
      <c r="O655" s="60" t="n">
        <f aca="false">IF(E655&gt;0,(F655-N655)/SQRT(E655*Settings!$B$3*(1-Settings!$B$3)),0)</f>
        <v>-0.85759599279068</v>
      </c>
      <c r="P655" s="60" t="n">
        <f aca="false">MAX(0,F655-N655)</f>
        <v>0</v>
      </c>
      <c r="Q655" s="32" t="n">
        <f aca="false">(F655+Settings!$B$7*Settings!$B$3)/(E655+Settings!$B$7)</f>
        <v>0.0175393307998984</v>
      </c>
      <c r="R655" s="61" t="n">
        <f aca="false">PERCENTRANK($H$2:$H$1780,H655,6)</f>
        <v>0</v>
      </c>
      <c r="S655" s="61" t="n">
        <f aca="false">PERCENTRANK($Q$2:$Q$1780,Q655,6)</f>
        <v>0.0579303</v>
      </c>
      <c r="T655" s="61" t="n">
        <f aca="false">PERCENTRANK($F$2:$F$1780,F655,6)</f>
        <v>0</v>
      </c>
      <c r="U655" s="62" t="n">
        <f aca="false">IF(F655&gt;0,(Settings!$B$8*T655+Settings!$B$9*R655+Settings!$B$10*S655)/SUM(Settings!$B$8:$B$10),0)</f>
        <v>0</v>
      </c>
      <c r="V655" s="56" t="str">
        <f aca="false">IF(U655&gt;0,RANK(U655,$U$2:$U$1780)+COUNTIF($U$2:U655,U655)-1,"")</f>
        <v/>
      </c>
      <c r="W655" s="56" t="str">
        <f aca="false">IF(V655="","",IF(V655&lt;=Settings!$B$11,"1 - Fix first",IF(V655&lt;=Settings!$B$12,"2 - Review","3 - Monitor")))</f>
        <v/>
      </c>
      <c r="X655" s="56" t="str">
        <f aca="false">IF(AND(E655&gt;=Settings!$B$4,F655&gt;=Settings!$B$5,O655&gt;=Settings!$B$6),"HIGH RATE","")</f>
        <v/>
      </c>
      <c r="Y655" s="56" t="str">
        <f aca="false">IF(F655&gt;0,RANK(F655,$F$2:$F$1780)+COUNTIF($F$2:F655,F655)-1,"")</f>
        <v/>
      </c>
      <c r="Z655" s="56" t="str">
        <f aca="false">IF(H655&gt;0,RANK(H655,$H$2:$H$1780)+COUNTIF($H$2:H655,H655)-1,"")</f>
        <v/>
      </c>
      <c r="AA655" s="56" t="str">
        <f aca="false">IF(AC655="","",RANK(AC655,$AC$2:$AC$1780)+COUNTIF($AC$2:AC655,AC655)-1)</f>
        <v/>
      </c>
      <c r="AB655" s="56" t="str">
        <f aca="false">IF(AD655="","",RANK(AD655,$AD$2:$AD$1780)+COUNTIF($AD$2:AD655,AD655)-1)</f>
        <v/>
      </c>
      <c r="AC655" s="56" t="str">
        <f aca="false">IF(AND(F655&gt;0,E655&gt;=Settings!$B$4),J655,"")</f>
        <v/>
      </c>
      <c r="AD655" s="56" t="str">
        <f aca="false">IF(X655="HIGH RATE",O655,"")</f>
        <v/>
      </c>
    </row>
    <row r="656" customFormat="false" ht="15" hidden="false" customHeight="false" outlineLevel="0" collapsed="false">
      <c r="A656" s="56" t="s">
        <v>1825</v>
      </c>
      <c r="B656" s="56" t="s">
        <v>1826</v>
      </c>
      <c r="C656" s="56" t="s">
        <v>51</v>
      </c>
      <c r="D656" s="56" t="str">
        <f aca="false">IFERROR(INDEX('Brand Map'!$B$4:$B$124,MATCH(C656,'Brand Map'!$A$4:$A$124,0)),"Other")</f>
        <v>AU</v>
      </c>
      <c r="E656" s="57" t="n">
        <v>5</v>
      </c>
      <c r="F656" s="57" t="n">
        <v>0</v>
      </c>
      <c r="G656" s="58" t="n">
        <v>997.94</v>
      </c>
      <c r="H656" s="58" t="n">
        <v>0</v>
      </c>
      <c r="I656" s="58" t="n">
        <v>978.41</v>
      </c>
      <c r="J656" s="32" t="n">
        <f aca="false">IF(E656&gt;0,F656/E656,0)</f>
        <v>0</v>
      </c>
      <c r="K656" s="32" t="n">
        <f aca="false">IF(G656&gt;0,H656/G656,0)</f>
        <v>-0</v>
      </c>
      <c r="L656" s="59" t="n">
        <f aca="false">H656/Settings!$B$16</f>
        <v>-0</v>
      </c>
      <c r="M656" s="59" t="n">
        <f aca="false">H656/Settings!$B$20</f>
        <v>-0</v>
      </c>
      <c r="N656" s="60" t="n">
        <f aca="false">E656*Settings!$B$3</f>
        <v>0.154930755399102</v>
      </c>
      <c r="O656" s="60" t="n">
        <f aca="false">IF(E656&gt;0,(F656-N656)/SQRT(E656*Settings!$B$3*(1-Settings!$B$3)),0)</f>
        <v>-0.399856193402468</v>
      </c>
      <c r="P656" s="60" t="n">
        <f aca="false">MAX(0,F656-N656)</f>
        <v>0</v>
      </c>
      <c r="Q656" s="32" t="n">
        <f aca="false">(F656+Settings!$B$7*Settings!$B$3)/(E656+Settings!$B$7)</f>
        <v>0.0265595580684175</v>
      </c>
      <c r="R656" s="61" t="n">
        <f aca="false">PERCENTRANK($H$2:$H$1780,H656,6)</f>
        <v>0</v>
      </c>
      <c r="S656" s="61" t="n">
        <f aca="false">PERCENTRANK($Q$2:$Q$1780,Q656,6)</f>
        <v>0.220472</v>
      </c>
      <c r="T656" s="61" t="n">
        <f aca="false">PERCENTRANK($F$2:$F$1780,F656,6)</f>
        <v>0</v>
      </c>
      <c r="U656" s="62" t="n">
        <f aca="false">IF(F656&gt;0,(Settings!$B$8*T656+Settings!$B$9*R656+Settings!$B$10*S656)/SUM(Settings!$B$8:$B$10),0)</f>
        <v>0</v>
      </c>
      <c r="V656" s="56" t="str">
        <f aca="false">IF(U656&gt;0,RANK(U656,$U$2:$U$1780)+COUNTIF($U$2:U656,U656)-1,"")</f>
        <v/>
      </c>
      <c r="W656" s="56" t="str">
        <f aca="false">IF(V656="","",IF(V656&lt;=Settings!$B$11,"1 - Fix first",IF(V656&lt;=Settings!$B$12,"2 - Review","3 - Monitor")))</f>
        <v/>
      </c>
      <c r="X656" s="56" t="str">
        <f aca="false">IF(AND(E656&gt;=Settings!$B$4,F656&gt;=Settings!$B$5,O656&gt;=Settings!$B$6),"HIGH RATE","")</f>
        <v/>
      </c>
      <c r="Y656" s="56" t="str">
        <f aca="false">IF(F656&gt;0,RANK(F656,$F$2:$F$1780)+COUNTIF($F$2:F656,F656)-1,"")</f>
        <v/>
      </c>
      <c r="Z656" s="56" t="str">
        <f aca="false">IF(H656&gt;0,RANK(H656,$H$2:$H$1780)+COUNTIF($H$2:H656,H656)-1,"")</f>
        <v/>
      </c>
      <c r="AA656" s="56" t="str">
        <f aca="false">IF(AC656="","",RANK(AC656,$AC$2:$AC$1780)+COUNTIF($AC$2:AC656,AC656)-1)</f>
        <v/>
      </c>
      <c r="AB656" s="56" t="str">
        <f aca="false">IF(AD656="","",RANK(AD656,$AD$2:$AD$1780)+COUNTIF($AD$2:AD656,AD656)-1)</f>
        <v/>
      </c>
      <c r="AC656" s="56" t="str">
        <f aca="false">IF(AND(F656&gt;0,E656&gt;=Settings!$B$4),J656,"")</f>
        <v/>
      </c>
      <c r="AD656" s="56" t="str">
        <f aca="false">IF(X656="HIGH RATE",O656,"")</f>
        <v/>
      </c>
    </row>
    <row r="657" customFormat="false" ht="15" hidden="false" customHeight="false" outlineLevel="0" collapsed="false">
      <c r="A657" s="56" t="s">
        <v>1827</v>
      </c>
      <c r="B657" s="56" t="s">
        <v>1828</v>
      </c>
      <c r="C657" s="56" t="s">
        <v>51</v>
      </c>
      <c r="D657" s="56" t="str">
        <f aca="false">IFERROR(INDEX('Brand Map'!$B$4:$B$124,MATCH(C657,'Brand Map'!$A$4:$A$124,0)),"Other")</f>
        <v>AU</v>
      </c>
      <c r="E657" s="57" t="n">
        <v>2</v>
      </c>
      <c r="F657" s="57" t="n">
        <v>0</v>
      </c>
      <c r="G657" s="58" t="n">
        <v>410.36</v>
      </c>
      <c r="H657" s="58" t="n">
        <v>0</v>
      </c>
      <c r="I657" s="58" t="n">
        <v>410.36</v>
      </c>
      <c r="J657" s="32" t="n">
        <f aca="false">IF(E657&gt;0,F657/E657,0)</f>
        <v>0</v>
      </c>
      <c r="K657" s="32" t="n">
        <f aca="false">IF(G657&gt;0,H657/G657,0)</f>
        <v>-0</v>
      </c>
      <c r="L657" s="59" t="n">
        <f aca="false">H657/Settings!$B$16</f>
        <v>-0</v>
      </c>
      <c r="M657" s="59" t="n">
        <f aca="false">H657/Settings!$B$20</f>
        <v>-0</v>
      </c>
      <c r="N657" s="60" t="n">
        <f aca="false">E657*Settings!$B$3</f>
        <v>0.0619723021596408</v>
      </c>
      <c r="O657" s="60" t="n">
        <f aca="false">IF(E657&gt;0,(F657-N657)/SQRT(E657*Settings!$B$3*(1-Settings!$B$3)),0)</f>
        <v>-0.252891261535318</v>
      </c>
      <c r="P657" s="60" t="n">
        <f aca="false">MAX(0,F657-N657)</f>
        <v>0</v>
      </c>
      <c r="Q657" s="32" t="n">
        <f aca="false">(F657+Settings!$B$7*Settings!$B$3)/(E657+Settings!$B$7)</f>
        <v>0.0290495166373316</v>
      </c>
      <c r="R657" s="61" t="n">
        <f aca="false">PERCENTRANK($H$2:$H$1780,H657,6)</f>
        <v>0</v>
      </c>
      <c r="S657" s="61" t="n">
        <f aca="false">PERCENTRANK($Q$2:$Q$1780,Q657,6)</f>
        <v>0.365579</v>
      </c>
      <c r="T657" s="61" t="n">
        <f aca="false">PERCENTRANK($F$2:$F$1780,F657,6)</f>
        <v>0</v>
      </c>
      <c r="U657" s="62" t="n">
        <f aca="false">IF(F657&gt;0,(Settings!$B$8*T657+Settings!$B$9*R657+Settings!$B$10*S657)/SUM(Settings!$B$8:$B$10),0)</f>
        <v>0</v>
      </c>
      <c r="V657" s="56" t="str">
        <f aca="false">IF(U657&gt;0,RANK(U657,$U$2:$U$1780)+COUNTIF($U$2:U657,U657)-1,"")</f>
        <v/>
      </c>
      <c r="W657" s="56" t="str">
        <f aca="false">IF(V657="","",IF(V657&lt;=Settings!$B$11,"1 - Fix first",IF(V657&lt;=Settings!$B$12,"2 - Review","3 - Monitor")))</f>
        <v/>
      </c>
      <c r="X657" s="56" t="str">
        <f aca="false">IF(AND(E657&gt;=Settings!$B$4,F657&gt;=Settings!$B$5,O657&gt;=Settings!$B$6),"HIGH RATE","")</f>
        <v/>
      </c>
      <c r="Y657" s="56" t="str">
        <f aca="false">IF(F657&gt;0,RANK(F657,$F$2:$F$1780)+COUNTIF($F$2:F657,F657)-1,"")</f>
        <v/>
      </c>
      <c r="Z657" s="56" t="str">
        <f aca="false">IF(H657&gt;0,RANK(H657,$H$2:$H$1780)+COUNTIF($H$2:H657,H657)-1,"")</f>
        <v/>
      </c>
      <c r="AA657" s="56" t="str">
        <f aca="false">IF(AC657="","",RANK(AC657,$AC$2:$AC$1780)+COUNTIF($AC$2:AC657,AC657)-1)</f>
        <v/>
      </c>
      <c r="AB657" s="56" t="str">
        <f aca="false">IF(AD657="","",RANK(AD657,$AD$2:$AD$1780)+COUNTIF($AD$2:AD657,AD657)-1)</f>
        <v/>
      </c>
      <c r="AC657" s="56" t="str">
        <f aca="false">IF(AND(F657&gt;0,E657&gt;=Settings!$B$4),J657,"")</f>
        <v/>
      </c>
      <c r="AD657" s="56" t="str">
        <f aca="false">IF(X657="HIGH RATE",O657,"")</f>
        <v/>
      </c>
    </row>
    <row r="658" customFormat="false" ht="15" hidden="false" customHeight="false" outlineLevel="0" collapsed="false">
      <c r="A658" s="56" t="s">
        <v>1829</v>
      </c>
      <c r="B658" s="56" t="s">
        <v>1830</v>
      </c>
      <c r="C658" s="56" t="s">
        <v>51</v>
      </c>
      <c r="D658" s="56" t="str">
        <f aca="false">IFERROR(INDEX('Brand Map'!$B$4:$B$124,MATCH(C658,'Brand Map'!$A$4:$A$124,0)),"Other")</f>
        <v>AU</v>
      </c>
      <c r="E658" s="57" t="n">
        <v>6</v>
      </c>
      <c r="F658" s="57" t="n">
        <v>0</v>
      </c>
      <c r="G658" s="58" t="n">
        <v>1232.43</v>
      </c>
      <c r="H658" s="58" t="n">
        <v>0</v>
      </c>
      <c r="I658" s="58" t="n">
        <v>1203.13</v>
      </c>
      <c r="J658" s="32" t="n">
        <f aca="false">IF(E658&gt;0,F658/E658,0)</f>
        <v>0</v>
      </c>
      <c r="K658" s="32" t="n">
        <f aca="false">IF(G658&gt;0,H658/G658,0)</f>
        <v>-0</v>
      </c>
      <c r="L658" s="59" t="n">
        <f aca="false">H658/Settings!$B$16</f>
        <v>-0</v>
      </c>
      <c r="M658" s="59" t="n">
        <f aca="false">H658/Settings!$B$20</f>
        <v>-0</v>
      </c>
      <c r="N658" s="60" t="n">
        <f aca="false">E658*Settings!$B$3</f>
        <v>0.185916906478923</v>
      </c>
      <c r="O658" s="60" t="n">
        <f aca="false">IF(E658&gt;0,(F658-N658)/SQRT(E658*Settings!$B$3*(1-Settings!$B$3)),0)</f>
        <v>-0.43802051376936</v>
      </c>
      <c r="P658" s="60" t="n">
        <f aca="false">MAX(0,F658-N658)</f>
        <v>0</v>
      </c>
      <c r="Q658" s="32" t="n">
        <f aca="false">(F658+Settings!$B$7*Settings!$B$3)/(E658+Settings!$B$7)</f>
        <v>0.025821792566517</v>
      </c>
      <c r="R658" s="61" t="n">
        <f aca="false">PERCENTRANK($H$2:$H$1780,H658,6)</f>
        <v>0</v>
      </c>
      <c r="S658" s="61" t="n">
        <f aca="false">PERCENTRANK($Q$2:$Q$1780,Q658,6)</f>
        <v>0.189539</v>
      </c>
      <c r="T658" s="61" t="n">
        <f aca="false">PERCENTRANK($F$2:$F$1780,F658,6)</f>
        <v>0</v>
      </c>
      <c r="U658" s="62" t="n">
        <f aca="false">IF(F658&gt;0,(Settings!$B$8*T658+Settings!$B$9*R658+Settings!$B$10*S658)/SUM(Settings!$B$8:$B$10),0)</f>
        <v>0</v>
      </c>
      <c r="V658" s="56" t="str">
        <f aca="false">IF(U658&gt;0,RANK(U658,$U$2:$U$1780)+COUNTIF($U$2:U658,U658)-1,"")</f>
        <v/>
      </c>
      <c r="W658" s="56" t="str">
        <f aca="false">IF(V658="","",IF(V658&lt;=Settings!$B$11,"1 - Fix first",IF(V658&lt;=Settings!$B$12,"2 - Review","3 - Monitor")))</f>
        <v/>
      </c>
      <c r="X658" s="56" t="str">
        <f aca="false">IF(AND(E658&gt;=Settings!$B$4,F658&gt;=Settings!$B$5,O658&gt;=Settings!$B$6),"HIGH RATE","")</f>
        <v/>
      </c>
      <c r="Y658" s="56" t="str">
        <f aca="false">IF(F658&gt;0,RANK(F658,$F$2:$F$1780)+COUNTIF($F$2:F658,F658)-1,"")</f>
        <v/>
      </c>
      <c r="Z658" s="56" t="str">
        <f aca="false">IF(H658&gt;0,RANK(H658,$H$2:$H$1780)+COUNTIF($H$2:H658,H658)-1,"")</f>
        <v/>
      </c>
      <c r="AA658" s="56" t="str">
        <f aca="false">IF(AC658="","",RANK(AC658,$AC$2:$AC$1780)+COUNTIF($AC$2:AC658,AC658)-1)</f>
        <v/>
      </c>
      <c r="AB658" s="56" t="str">
        <f aca="false">IF(AD658="","",RANK(AD658,$AD$2:$AD$1780)+COUNTIF($AD$2:AD658,AD658)-1)</f>
        <v/>
      </c>
      <c r="AC658" s="56" t="str">
        <f aca="false">IF(AND(F658&gt;0,E658&gt;=Settings!$B$4),J658,"")</f>
        <v/>
      </c>
      <c r="AD658" s="56" t="str">
        <f aca="false">IF(X658="HIGH RATE",O658,"")</f>
        <v/>
      </c>
    </row>
    <row r="659" customFormat="false" ht="15" hidden="false" customHeight="false" outlineLevel="0" collapsed="false">
      <c r="A659" s="56" t="s">
        <v>1831</v>
      </c>
      <c r="B659" s="56" t="s">
        <v>1832</v>
      </c>
      <c r="C659" s="56" t="s">
        <v>51</v>
      </c>
      <c r="D659" s="56" t="str">
        <f aca="false">IFERROR(INDEX('Brand Map'!$B$4:$B$124,MATCH(C659,'Brand Map'!$A$4:$A$124,0)),"Other")</f>
        <v>AU</v>
      </c>
      <c r="E659" s="57" t="n">
        <v>1</v>
      </c>
      <c r="F659" s="57" t="n">
        <v>0</v>
      </c>
      <c r="G659" s="58" t="n">
        <v>219.95</v>
      </c>
      <c r="H659" s="58" t="n">
        <v>0</v>
      </c>
      <c r="I659" s="58" t="n">
        <v>219.95</v>
      </c>
      <c r="J659" s="32" t="n">
        <f aca="false">IF(E659&gt;0,F659/E659,0)</f>
        <v>0</v>
      </c>
      <c r="K659" s="32" t="n">
        <f aca="false">IF(G659&gt;0,H659/G659,0)</f>
        <v>-0</v>
      </c>
      <c r="L659" s="59" t="n">
        <f aca="false">H659/Settings!$B$16</f>
        <v>-0</v>
      </c>
      <c r="M659" s="59" t="n">
        <f aca="false">H659/Settings!$B$20</f>
        <v>-0</v>
      </c>
      <c r="N659" s="60" t="n">
        <f aca="false">E659*Settings!$B$3</f>
        <v>0.0309861510798204</v>
      </c>
      <c r="O659" s="60" t="n">
        <f aca="false">IF(E659&gt;0,(F659-N659)/SQRT(E659*Settings!$B$3*(1-Settings!$B$3)),0)</f>
        <v>-0.178821125934444</v>
      </c>
      <c r="P659" s="60" t="n">
        <f aca="false">MAX(0,F659-N659)</f>
        <v>0</v>
      </c>
      <c r="Q659" s="32" t="n">
        <f aca="false">(F659+Settings!$B$7*Settings!$B$3)/(E659+Settings!$B$7)</f>
        <v>0.0299865978191811</v>
      </c>
      <c r="R659" s="61" t="n">
        <f aca="false">PERCENTRANK($H$2:$H$1780,H659,6)</f>
        <v>0</v>
      </c>
      <c r="S659" s="61" t="n">
        <f aca="false">PERCENTRANK($Q$2:$Q$1780,Q659,6)</f>
        <v>0.486502</v>
      </c>
      <c r="T659" s="61" t="n">
        <f aca="false">PERCENTRANK($F$2:$F$1780,F659,6)</f>
        <v>0</v>
      </c>
      <c r="U659" s="62" t="n">
        <f aca="false">IF(F659&gt;0,(Settings!$B$8*T659+Settings!$B$9*R659+Settings!$B$10*S659)/SUM(Settings!$B$8:$B$10),0)</f>
        <v>0</v>
      </c>
      <c r="V659" s="56" t="str">
        <f aca="false">IF(U659&gt;0,RANK(U659,$U$2:$U$1780)+COUNTIF($U$2:U659,U659)-1,"")</f>
        <v/>
      </c>
      <c r="W659" s="56" t="str">
        <f aca="false">IF(V659="","",IF(V659&lt;=Settings!$B$11,"1 - Fix first",IF(V659&lt;=Settings!$B$12,"2 - Review","3 - Monitor")))</f>
        <v/>
      </c>
      <c r="X659" s="56" t="str">
        <f aca="false">IF(AND(E659&gt;=Settings!$B$4,F659&gt;=Settings!$B$5,O659&gt;=Settings!$B$6),"HIGH RATE","")</f>
        <v/>
      </c>
      <c r="Y659" s="56" t="str">
        <f aca="false">IF(F659&gt;0,RANK(F659,$F$2:$F$1780)+COUNTIF($F$2:F659,F659)-1,"")</f>
        <v/>
      </c>
      <c r="Z659" s="56" t="str">
        <f aca="false">IF(H659&gt;0,RANK(H659,$H$2:$H$1780)+COUNTIF($H$2:H659,H659)-1,"")</f>
        <v/>
      </c>
      <c r="AA659" s="56" t="str">
        <f aca="false">IF(AC659="","",RANK(AC659,$AC$2:$AC$1780)+COUNTIF($AC$2:AC659,AC659)-1)</f>
        <v/>
      </c>
      <c r="AB659" s="56" t="str">
        <f aca="false">IF(AD659="","",RANK(AD659,$AD$2:$AD$1780)+COUNTIF($AD$2:AD659,AD659)-1)</f>
        <v/>
      </c>
      <c r="AC659" s="56" t="str">
        <f aca="false">IF(AND(F659&gt;0,E659&gt;=Settings!$B$4),J659,"")</f>
        <v/>
      </c>
      <c r="AD659" s="56" t="str">
        <f aca="false">IF(X659="HIGH RATE",O659,"")</f>
        <v/>
      </c>
    </row>
    <row r="660" customFormat="false" ht="15" hidden="false" customHeight="false" outlineLevel="0" collapsed="false">
      <c r="A660" s="56" t="s">
        <v>1833</v>
      </c>
      <c r="B660" s="56" t="s">
        <v>1834</v>
      </c>
      <c r="C660" s="56" t="s">
        <v>51</v>
      </c>
      <c r="D660" s="56" t="str">
        <f aca="false">IFERROR(INDEX('Brand Map'!$B$4:$B$124,MATCH(C660,'Brand Map'!$A$4:$A$124,0)),"Other")</f>
        <v>AU</v>
      </c>
      <c r="E660" s="57" t="n">
        <v>3</v>
      </c>
      <c r="F660" s="57" t="n">
        <v>0</v>
      </c>
      <c r="G660" s="58" t="n">
        <v>606.22</v>
      </c>
      <c r="H660" s="58" t="n">
        <v>0</v>
      </c>
      <c r="I660" s="58" t="n">
        <v>606.22</v>
      </c>
      <c r="J660" s="32" t="n">
        <f aca="false">IF(E660&gt;0,F660/E660,0)</f>
        <v>0</v>
      </c>
      <c r="K660" s="32" t="n">
        <f aca="false">IF(G660&gt;0,H660/G660,0)</f>
        <v>-0</v>
      </c>
      <c r="L660" s="59" t="n">
        <f aca="false">H660/Settings!$B$16</f>
        <v>-0</v>
      </c>
      <c r="M660" s="59" t="n">
        <f aca="false">H660/Settings!$B$20</f>
        <v>-0</v>
      </c>
      <c r="N660" s="60" t="n">
        <f aca="false">E660*Settings!$B$3</f>
        <v>0.0929584532394613</v>
      </c>
      <c r="O660" s="60" t="n">
        <f aca="false">IF(E660&gt;0,(F660-N660)/SQRT(E660*Settings!$B$3*(1-Settings!$B$3)),0)</f>
        <v>-0.30972727558513</v>
      </c>
      <c r="P660" s="60" t="n">
        <f aca="false">MAX(0,F660-N660)</f>
        <v>0</v>
      </c>
      <c r="Q660" s="32" t="n">
        <f aca="false">(F660+Settings!$B$7*Settings!$B$3)/(E660+Settings!$B$7)</f>
        <v>0.0281692282543822</v>
      </c>
      <c r="R660" s="61" t="n">
        <f aca="false">PERCENTRANK($H$2:$H$1780,H660,6)</f>
        <v>0</v>
      </c>
      <c r="S660" s="61" t="n">
        <f aca="false">PERCENTRANK($Q$2:$Q$1780,Q660,6)</f>
        <v>0.294151</v>
      </c>
      <c r="T660" s="61" t="n">
        <f aca="false">PERCENTRANK($F$2:$F$1780,F660,6)</f>
        <v>0</v>
      </c>
      <c r="U660" s="62" t="n">
        <f aca="false">IF(F660&gt;0,(Settings!$B$8*T660+Settings!$B$9*R660+Settings!$B$10*S660)/SUM(Settings!$B$8:$B$10),0)</f>
        <v>0</v>
      </c>
      <c r="V660" s="56" t="str">
        <f aca="false">IF(U660&gt;0,RANK(U660,$U$2:$U$1780)+COUNTIF($U$2:U660,U660)-1,"")</f>
        <v/>
      </c>
      <c r="W660" s="56" t="str">
        <f aca="false">IF(V660="","",IF(V660&lt;=Settings!$B$11,"1 - Fix first",IF(V660&lt;=Settings!$B$12,"2 - Review","3 - Monitor")))</f>
        <v/>
      </c>
      <c r="X660" s="56" t="str">
        <f aca="false">IF(AND(E660&gt;=Settings!$B$4,F660&gt;=Settings!$B$5,O660&gt;=Settings!$B$6),"HIGH RATE","")</f>
        <v/>
      </c>
      <c r="Y660" s="56" t="str">
        <f aca="false">IF(F660&gt;0,RANK(F660,$F$2:$F$1780)+COUNTIF($F$2:F660,F660)-1,"")</f>
        <v/>
      </c>
      <c r="Z660" s="56" t="str">
        <f aca="false">IF(H660&gt;0,RANK(H660,$H$2:$H$1780)+COUNTIF($H$2:H660,H660)-1,"")</f>
        <v/>
      </c>
      <c r="AA660" s="56" t="str">
        <f aca="false">IF(AC660="","",RANK(AC660,$AC$2:$AC$1780)+COUNTIF($AC$2:AC660,AC660)-1)</f>
        <v/>
      </c>
      <c r="AB660" s="56" t="str">
        <f aca="false">IF(AD660="","",RANK(AD660,$AD$2:$AD$1780)+COUNTIF($AD$2:AD660,AD660)-1)</f>
        <v/>
      </c>
      <c r="AC660" s="56" t="str">
        <f aca="false">IF(AND(F660&gt;0,E660&gt;=Settings!$B$4),J660,"")</f>
        <v/>
      </c>
      <c r="AD660" s="56" t="str">
        <f aca="false">IF(X660="HIGH RATE",O660,"")</f>
        <v/>
      </c>
    </row>
    <row r="661" customFormat="false" ht="15" hidden="false" customHeight="false" outlineLevel="0" collapsed="false">
      <c r="A661" s="56" t="s">
        <v>1835</v>
      </c>
      <c r="B661" s="56" t="s">
        <v>1836</v>
      </c>
      <c r="C661" s="56" t="s">
        <v>51</v>
      </c>
      <c r="D661" s="56" t="str">
        <f aca="false">IFERROR(INDEX('Brand Map'!$B$4:$B$124,MATCH(C661,'Brand Map'!$A$4:$A$124,0)),"Other")</f>
        <v>AU</v>
      </c>
      <c r="E661" s="57" t="n">
        <v>2</v>
      </c>
      <c r="F661" s="57" t="n">
        <v>0</v>
      </c>
      <c r="G661" s="58" t="n">
        <v>354.46</v>
      </c>
      <c r="H661" s="58" t="n">
        <v>0</v>
      </c>
      <c r="I661" s="58" t="n">
        <v>354.46</v>
      </c>
      <c r="J661" s="32" t="n">
        <f aca="false">IF(E661&gt;0,F661/E661,0)</f>
        <v>0</v>
      </c>
      <c r="K661" s="32" t="n">
        <f aca="false">IF(G661&gt;0,H661/G661,0)</f>
        <v>-0</v>
      </c>
      <c r="L661" s="59" t="n">
        <f aca="false">H661/Settings!$B$16</f>
        <v>-0</v>
      </c>
      <c r="M661" s="59" t="n">
        <f aca="false">H661/Settings!$B$20</f>
        <v>-0</v>
      </c>
      <c r="N661" s="60" t="n">
        <f aca="false">E661*Settings!$B$3</f>
        <v>0.0619723021596408</v>
      </c>
      <c r="O661" s="60" t="n">
        <f aca="false">IF(E661&gt;0,(F661-N661)/SQRT(E661*Settings!$B$3*(1-Settings!$B$3)),0)</f>
        <v>-0.252891261535318</v>
      </c>
      <c r="P661" s="60" t="n">
        <f aca="false">MAX(0,F661-N661)</f>
        <v>0</v>
      </c>
      <c r="Q661" s="32" t="n">
        <f aca="false">(F661+Settings!$B$7*Settings!$B$3)/(E661+Settings!$B$7)</f>
        <v>0.0290495166373316</v>
      </c>
      <c r="R661" s="61" t="n">
        <f aca="false">PERCENTRANK($H$2:$H$1780,H661,6)</f>
        <v>0</v>
      </c>
      <c r="S661" s="61" t="n">
        <f aca="false">PERCENTRANK($Q$2:$Q$1780,Q661,6)</f>
        <v>0.365579</v>
      </c>
      <c r="T661" s="61" t="n">
        <f aca="false">PERCENTRANK($F$2:$F$1780,F661,6)</f>
        <v>0</v>
      </c>
      <c r="U661" s="62" t="n">
        <f aca="false">IF(F661&gt;0,(Settings!$B$8*T661+Settings!$B$9*R661+Settings!$B$10*S661)/SUM(Settings!$B$8:$B$10),0)</f>
        <v>0</v>
      </c>
      <c r="V661" s="56" t="str">
        <f aca="false">IF(U661&gt;0,RANK(U661,$U$2:$U$1780)+COUNTIF($U$2:U661,U661)-1,"")</f>
        <v/>
      </c>
      <c r="W661" s="56" t="str">
        <f aca="false">IF(V661="","",IF(V661&lt;=Settings!$B$11,"1 - Fix first",IF(V661&lt;=Settings!$B$12,"2 - Review","3 - Monitor")))</f>
        <v/>
      </c>
      <c r="X661" s="56" t="str">
        <f aca="false">IF(AND(E661&gt;=Settings!$B$4,F661&gt;=Settings!$B$5,O661&gt;=Settings!$B$6),"HIGH RATE","")</f>
        <v/>
      </c>
      <c r="Y661" s="56" t="str">
        <f aca="false">IF(F661&gt;0,RANK(F661,$F$2:$F$1780)+COUNTIF($F$2:F661,F661)-1,"")</f>
        <v/>
      </c>
      <c r="Z661" s="56" t="str">
        <f aca="false">IF(H661&gt;0,RANK(H661,$H$2:$H$1780)+COUNTIF($H$2:H661,H661)-1,"")</f>
        <v/>
      </c>
      <c r="AA661" s="56" t="str">
        <f aca="false">IF(AC661="","",RANK(AC661,$AC$2:$AC$1780)+COUNTIF($AC$2:AC661,AC661)-1)</f>
        <v/>
      </c>
      <c r="AB661" s="56" t="str">
        <f aca="false">IF(AD661="","",RANK(AD661,$AD$2:$AD$1780)+COUNTIF($AD$2:AD661,AD661)-1)</f>
        <v/>
      </c>
      <c r="AC661" s="56" t="str">
        <f aca="false">IF(AND(F661&gt;0,E661&gt;=Settings!$B$4),J661,"")</f>
        <v/>
      </c>
      <c r="AD661" s="56" t="str">
        <f aca="false">IF(X661="HIGH RATE",O661,"")</f>
        <v/>
      </c>
    </row>
    <row r="662" customFormat="false" ht="15" hidden="false" customHeight="false" outlineLevel="0" collapsed="false">
      <c r="A662" s="56" t="s">
        <v>1837</v>
      </c>
      <c r="B662" s="56" t="s">
        <v>1838</v>
      </c>
      <c r="C662" s="56" t="s">
        <v>51</v>
      </c>
      <c r="D662" s="56" t="str">
        <f aca="false">IFERROR(INDEX('Brand Map'!$B$4:$B$124,MATCH(C662,'Brand Map'!$A$4:$A$124,0)),"Other")</f>
        <v>AU</v>
      </c>
      <c r="E662" s="57" t="n">
        <v>5</v>
      </c>
      <c r="F662" s="57" t="n">
        <v>0</v>
      </c>
      <c r="G662" s="58" t="n">
        <v>922.51</v>
      </c>
      <c r="H662" s="58" t="n">
        <v>0</v>
      </c>
      <c r="I662" s="58" t="n">
        <v>922.51</v>
      </c>
      <c r="J662" s="32" t="n">
        <f aca="false">IF(E662&gt;0,F662/E662,0)</f>
        <v>0</v>
      </c>
      <c r="K662" s="32" t="n">
        <f aca="false">IF(G662&gt;0,H662/G662,0)</f>
        <v>-0</v>
      </c>
      <c r="L662" s="59" t="n">
        <f aca="false">H662/Settings!$B$16</f>
        <v>-0</v>
      </c>
      <c r="M662" s="59" t="n">
        <f aca="false">H662/Settings!$B$20</f>
        <v>-0</v>
      </c>
      <c r="N662" s="60" t="n">
        <f aca="false">E662*Settings!$B$3</f>
        <v>0.154930755399102</v>
      </c>
      <c r="O662" s="60" t="n">
        <f aca="false">IF(E662&gt;0,(F662-N662)/SQRT(E662*Settings!$B$3*(1-Settings!$B$3)),0)</f>
        <v>-0.399856193402468</v>
      </c>
      <c r="P662" s="60" t="n">
        <f aca="false">MAX(0,F662-N662)</f>
        <v>0</v>
      </c>
      <c r="Q662" s="32" t="n">
        <f aca="false">(F662+Settings!$B$7*Settings!$B$3)/(E662+Settings!$B$7)</f>
        <v>0.0265595580684175</v>
      </c>
      <c r="R662" s="61" t="n">
        <f aca="false">PERCENTRANK($H$2:$H$1780,H662,6)</f>
        <v>0</v>
      </c>
      <c r="S662" s="61" t="n">
        <f aca="false">PERCENTRANK($Q$2:$Q$1780,Q662,6)</f>
        <v>0.220472</v>
      </c>
      <c r="T662" s="61" t="n">
        <f aca="false">PERCENTRANK($F$2:$F$1780,F662,6)</f>
        <v>0</v>
      </c>
      <c r="U662" s="62" t="n">
        <f aca="false">IF(F662&gt;0,(Settings!$B$8*T662+Settings!$B$9*R662+Settings!$B$10*S662)/SUM(Settings!$B$8:$B$10),0)</f>
        <v>0</v>
      </c>
      <c r="V662" s="56" t="str">
        <f aca="false">IF(U662&gt;0,RANK(U662,$U$2:$U$1780)+COUNTIF($U$2:U662,U662)-1,"")</f>
        <v/>
      </c>
      <c r="W662" s="56" t="str">
        <f aca="false">IF(V662="","",IF(V662&lt;=Settings!$B$11,"1 - Fix first",IF(V662&lt;=Settings!$B$12,"2 - Review","3 - Monitor")))</f>
        <v/>
      </c>
      <c r="X662" s="56" t="str">
        <f aca="false">IF(AND(E662&gt;=Settings!$B$4,F662&gt;=Settings!$B$5,O662&gt;=Settings!$B$6),"HIGH RATE","")</f>
        <v/>
      </c>
      <c r="Y662" s="56" t="str">
        <f aca="false">IF(F662&gt;0,RANK(F662,$F$2:$F$1780)+COUNTIF($F$2:F662,F662)-1,"")</f>
        <v/>
      </c>
      <c r="Z662" s="56" t="str">
        <f aca="false">IF(H662&gt;0,RANK(H662,$H$2:$H$1780)+COUNTIF($H$2:H662,H662)-1,"")</f>
        <v/>
      </c>
      <c r="AA662" s="56" t="str">
        <f aca="false">IF(AC662="","",RANK(AC662,$AC$2:$AC$1780)+COUNTIF($AC$2:AC662,AC662)-1)</f>
        <v/>
      </c>
      <c r="AB662" s="56" t="str">
        <f aca="false">IF(AD662="","",RANK(AD662,$AD$2:$AD$1780)+COUNTIF($AD$2:AD662,AD662)-1)</f>
        <v/>
      </c>
      <c r="AC662" s="56" t="str">
        <f aca="false">IF(AND(F662&gt;0,E662&gt;=Settings!$B$4),J662,"")</f>
        <v/>
      </c>
      <c r="AD662" s="56" t="str">
        <f aca="false">IF(X662="HIGH RATE",O662,"")</f>
        <v/>
      </c>
    </row>
    <row r="663" customFormat="false" ht="15" hidden="false" customHeight="false" outlineLevel="0" collapsed="false">
      <c r="A663" s="56" t="s">
        <v>1839</v>
      </c>
      <c r="B663" s="56" t="s">
        <v>1840</v>
      </c>
      <c r="C663" s="56" t="s">
        <v>51</v>
      </c>
      <c r="D663" s="56" t="str">
        <f aca="false">IFERROR(INDEX('Brand Map'!$B$4:$B$124,MATCH(C663,'Brand Map'!$A$4:$A$124,0)),"Other")</f>
        <v>AU</v>
      </c>
      <c r="E663" s="57" t="n">
        <v>11</v>
      </c>
      <c r="F663" s="57" t="n">
        <v>0</v>
      </c>
      <c r="G663" s="58" t="n">
        <v>2055.84</v>
      </c>
      <c r="H663" s="58" t="n">
        <v>0</v>
      </c>
      <c r="I663" s="58" t="n">
        <v>2029.27</v>
      </c>
      <c r="J663" s="32" t="n">
        <f aca="false">IF(E663&gt;0,F663/E663,0)</f>
        <v>0</v>
      </c>
      <c r="K663" s="32" t="n">
        <f aca="false">IF(G663&gt;0,H663/G663,0)</f>
        <v>-0</v>
      </c>
      <c r="L663" s="59" t="n">
        <f aca="false">H663/Settings!$B$16</f>
        <v>-0</v>
      </c>
      <c r="M663" s="59" t="n">
        <f aca="false">H663/Settings!$B$20</f>
        <v>-0</v>
      </c>
      <c r="N663" s="60" t="n">
        <f aca="false">E663*Settings!$B$3</f>
        <v>0.340847661878025</v>
      </c>
      <c r="O663" s="60" t="n">
        <f aca="false">IF(E663&gt;0,(F663-N663)/SQRT(E663*Settings!$B$3*(1-Settings!$B$3)),0)</f>
        <v>-0.593082579313442</v>
      </c>
      <c r="P663" s="60" t="n">
        <f aca="false">MAX(0,F663-N663)</f>
        <v>0</v>
      </c>
      <c r="Q663" s="32" t="n">
        <f aca="false">(F663+Settings!$B$7*Settings!$B$3)/(E663+Settings!$B$7)</f>
        <v>0.0226727934730393</v>
      </c>
      <c r="R663" s="61" t="n">
        <f aca="false">PERCENTRANK($H$2:$H$1780,H663,6)</f>
        <v>0</v>
      </c>
      <c r="S663" s="61" t="n">
        <f aca="false">PERCENTRANK($Q$2:$Q$1780,Q663,6)</f>
        <v>0.117548</v>
      </c>
      <c r="T663" s="61" t="n">
        <f aca="false">PERCENTRANK($F$2:$F$1780,F663,6)</f>
        <v>0</v>
      </c>
      <c r="U663" s="62" t="n">
        <f aca="false">IF(F663&gt;0,(Settings!$B$8*T663+Settings!$B$9*R663+Settings!$B$10*S663)/SUM(Settings!$B$8:$B$10),0)</f>
        <v>0</v>
      </c>
      <c r="V663" s="56" t="str">
        <f aca="false">IF(U663&gt;0,RANK(U663,$U$2:$U$1780)+COUNTIF($U$2:U663,U663)-1,"")</f>
        <v/>
      </c>
      <c r="W663" s="56" t="str">
        <f aca="false">IF(V663="","",IF(V663&lt;=Settings!$B$11,"1 - Fix first",IF(V663&lt;=Settings!$B$12,"2 - Review","3 - Monitor")))</f>
        <v/>
      </c>
      <c r="X663" s="56" t="str">
        <f aca="false">IF(AND(E663&gt;=Settings!$B$4,F663&gt;=Settings!$B$5,O663&gt;=Settings!$B$6),"HIGH RATE","")</f>
        <v/>
      </c>
      <c r="Y663" s="56" t="str">
        <f aca="false">IF(F663&gt;0,RANK(F663,$F$2:$F$1780)+COUNTIF($F$2:F663,F663)-1,"")</f>
        <v/>
      </c>
      <c r="Z663" s="56" t="str">
        <f aca="false">IF(H663&gt;0,RANK(H663,$H$2:$H$1780)+COUNTIF($H$2:H663,H663)-1,"")</f>
        <v/>
      </c>
      <c r="AA663" s="56" t="str">
        <f aca="false">IF(AC663="","",RANK(AC663,$AC$2:$AC$1780)+COUNTIF($AC$2:AC663,AC663)-1)</f>
        <v/>
      </c>
      <c r="AB663" s="56" t="str">
        <f aca="false">IF(AD663="","",RANK(AD663,$AD$2:$AD$1780)+COUNTIF($AD$2:AD663,AD663)-1)</f>
        <v/>
      </c>
      <c r="AC663" s="56" t="str">
        <f aca="false">IF(AND(F663&gt;0,E663&gt;=Settings!$B$4),J663,"")</f>
        <v/>
      </c>
      <c r="AD663" s="56" t="str">
        <f aca="false">IF(X663="HIGH RATE",O663,"")</f>
        <v/>
      </c>
    </row>
    <row r="664" customFormat="false" ht="15" hidden="false" customHeight="false" outlineLevel="0" collapsed="false">
      <c r="A664" s="56" t="s">
        <v>1841</v>
      </c>
      <c r="B664" s="56" t="s">
        <v>1842</v>
      </c>
      <c r="C664" s="56" t="s">
        <v>51</v>
      </c>
      <c r="D664" s="56" t="str">
        <f aca="false">IFERROR(INDEX('Brand Map'!$B$4:$B$124,MATCH(C664,'Brand Map'!$A$4:$A$124,0)),"Other")</f>
        <v>AU</v>
      </c>
      <c r="E664" s="57" t="n">
        <v>2</v>
      </c>
      <c r="F664" s="57" t="n">
        <v>0</v>
      </c>
      <c r="G664" s="58" t="n">
        <v>389.9</v>
      </c>
      <c r="H664" s="58" t="n">
        <v>0</v>
      </c>
      <c r="I664" s="58" t="n">
        <v>389.9</v>
      </c>
      <c r="J664" s="32" t="n">
        <f aca="false">IF(E664&gt;0,F664/E664,0)</f>
        <v>0</v>
      </c>
      <c r="K664" s="32" t="n">
        <f aca="false">IF(G664&gt;0,H664/G664,0)</f>
        <v>-0</v>
      </c>
      <c r="L664" s="59" t="n">
        <f aca="false">H664/Settings!$B$16</f>
        <v>-0</v>
      </c>
      <c r="M664" s="59" t="n">
        <f aca="false">H664/Settings!$B$20</f>
        <v>-0</v>
      </c>
      <c r="N664" s="60" t="n">
        <f aca="false">E664*Settings!$B$3</f>
        <v>0.0619723021596408</v>
      </c>
      <c r="O664" s="60" t="n">
        <f aca="false">IF(E664&gt;0,(F664-N664)/SQRT(E664*Settings!$B$3*(1-Settings!$B$3)),0)</f>
        <v>-0.252891261535318</v>
      </c>
      <c r="P664" s="60" t="n">
        <f aca="false">MAX(0,F664-N664)</f>
        <v>0</v>
      </c>
      <c r="Q664" s="32" t="n">
        <f aca="false">(F664+Settings!$B$7*Settings!$B$3)/(E664+Settings!$B$7)</f>
        <v>0.0290495166373316</v>
      </c>
      <c r="R664" s="61" t="n">
        <f aca="false">PERCENTRANK($H$2:$H$1780,H664,6)</f>
        <v>0</v>
      </c>
      <c r="S664" s="61" t="n">
        <f aca="false">PERCENTRANK($Q$2:$Q$1780,Q664,6)</f>
        <v>0.365579</v>
      </c>
      <c r="T664" s="61" t="n">
        <f aca="false">PERCENTRANK($F$2:$F$1780,F664,6)</f>
        <v>0</v>
      </c>
      <c r="U664" s="62" t="n">
        <f aca="false">IF(F664&gt;0,(Settings!$B$8*T664+Settings!$B$9*R664+Settings!$B$10*S664)/SUM(Settings!$B$8:$B$10),0)</f>
        <v>0</v>
      </c>
      <c r="V664" s="56" t="str">
        <f aca="false">IF(U664&gt;0,RANK(U664,$U$2:$U$1780)+COUNTIF($U$2:U664,U664)-1,"")</f>
        <v/>
      </c>
      <c r="W664" s="56" t="str">
        <f aca="false">IF(V664="","",IF(V664&lt;=Settings!$B$11,"1 - Fix first",IF(V664&lt;=Settings!$B$12,"2 - Review","3 - Monitor")))</f>
        <v/>
      </c>
      <c r="X664" s="56" t="str">
        <f aca="false">IF(AND(E664&gt;=Settings!$B$4,F664&gt;=Settings!$B$5,O664&gt;=Settings!$B$6),"HIGH RATE","")</f>
        <v/>
      </c>
      <c r="Y664" s="56" t="str">
        <f aca="false">IF(F664&gt;0,RANK(F664,$F$2:$F$1780)+COUNTIF($F$2:F664,F664)-1,"")</f>
        <v/>
      </c>
      <c r="Z664" s="56" t="str">
        <f aca="false">IF(H664&gt;0,RANK(H664,$H$2:$H$1780)+COUNTIF($H$2:H664,H664)-1,"")</f>
        <v/>
      </c>
      <c r="AA664" s="56" t="str">
        <f aca="false">IF(AC664="","",RANK(AC664,$AC$2:$AC$1780)+COUNTIF($AC$2:AC664,AC664)-1)</f>
        <v/>
      </c>
      <c r="AB664" s="56" t="str">
        <f aca="false">IF(AD664="","",RANK(AD664,$AD$2:$AD$1780)+COUNTIF($AD$2:AD664,AD664)-1)</f>
        <v/>
      </c>
      <c r="AC664" s="56" t="str">
        <f aca="false">IF(AND(F664&gt;0,E664&gt;=Settings!$B$4),J664,"")</f>
        <v/>
      </c>
      <c r="AD664" s="56" t="str">
        <f aca="false">IF(X664="HIGH RATE",O664,"")</f>
        <v/>
      </c>
    </row>
    <row r="665" customFormat="false" ht="15" hidden="false" customHeight="false" outlineLevel="0" collapsed="false">
      <c r="A665" s="56" t="s">
        <v>1843</v>
      </c>
      <c r="B665" s="56" t="s">
        <v>1844</v>
      </c>
      <c r="C665" s="56" t="s">
        <v>51</v>
      </c>
      <c r="D665" s="56" t="str">
        <f aca="false">IFERROR(INDEX('Brand Map'!$B$4:$B$124,MATCH(C665,'Brand Map'!$A$4:$A$124,0)),"Other")</f>
        <v>AU</v>
      </c>
      <c r="E665" s="57" t="n">
        <v>2</v>
      </c>
      <c r="F665" s="57" t="n">
        <v>0</v>
      </c>
      <c r="G665" s="58" t="n">
        <v>589.9</v>
      </c>
      <c r="H665" s="58" t="n">
        <v>0</v>
      </c>
      <c r="I665" s="58" t="n">
        <v>560.41</v>
      </c>
      <c r="J665" s="32" t="n">
        <f aca="false">IF(E665&gt;0,F665/E665,0)</f>
        <v>0</v>
      </c>
      <c r="K665" s="32" t="n">
        <f aca="false">IF(G665&gt;0,H665/G665,0)</f>
        <v>-0</v>
      </c>
      <c r="L665" s="59" t="n">
        <f aca="false">H665/Settings!$B$16</f>
        <v>-0</v>
      </c>
      <c r="M665" s="59" t="n">
        <f aca="false">H665/Settings!$B$20</f>
        <v>-0</v>
      </c>
      <c r="N665" s="60" t="n">
        <f aca="false">E665*Settings!$B$3</f>
        <v>0.0619723021596408</v>
      </c>
      <c r="O665" s="60" t="n">
        <f aca="false">IF(E665&gt;0,(F665-N665)/SQRT(E665*Settings!$B$3*(1-Settings!$B$3)),0)</f>
        <v>-0.252891261535318</v>
      </c>
      <c r="P665" s="60" t="n">
        <f aca="false">MAX(0,F665-N665)</f>
        <v>0</v>
      </c>
      <c r="Q665" s="32" t="n">
        <f aca="false">(F665+Settings!$B$7*Settings!$B$3)/(E665+Settings!$B$7)</f>
        <v>0.0290495166373316</v>
      </c>
      <c r="R665" s="61" t="n">
        <f aca="false">PERCENTRANK($H$2:$H$1780,H665,6)</f>
        <v>0</v>
      </c>
      <c r="S665" s="61" t="n">
        <f aca="false">PERCENTRANK($Q$2:$Q$1780,Q665,6)</f>
        <v>0.365579</v>
      </c>
      <c r="T665" s="61" t="n">
        <f aca="false">PERCENTRANK($F$2:$F$1780,F665,6)</f>
        <v>0</v>
      </c>
      <c r="U665" s="62" t="n">
        <f aca="false">IF(F665&gt;0,(Settings!$B$8*T665+Settings!$B$9*R665+Settings!$B$10*S665)/SUM(Settings!$B$8:$B$10),0)</f>
        <v>0</v>
      </c>
      <c r="V665" s="56" t="str">
        <f aca="false">IF(U665&gt;0,RANK(U665,$U$2:$U$1780)+COUNTIF($U$2:U665,U665)-1,"")</f>
        <v/>
      </c>
      <c r="W665" s="56" t="str">
        <f aca="false">IF(V665="","",IF(V665&lt;=Settings!$B$11,"1 - Fix first",IF(V665&lt;=Settings!$B$12,"2 - Review","3 - Monitor")))</f>
        <v/>
      </c>
      <c r="X665" s="56" t="str">
        <f aca="false">IF(AND(E665&gt;=Settings!$B$4,F665&gt;=Settings!$B$5,O665&gt;=Settings!$B$6),"HIGH RATE","")</f>
        <v/>
      </c>
      <c r="Y665" s="56" t="str">
        <f aca="false">IF(F665&gt;0,RANK(F665,$F$2:$F$1780)+COUNTIF($F$2:F665,F665)-1,"")</f>
        <v/>
      </c>
      <c r="Z665" s="56" t="str">
        <f aca="false">IF(H665&gt;0,RANK(H665,$H$2:$H$1780)+COUNTIF($H$2:H665,H665)-1,"")</f>
        <v/>
      </c>
      <c r="AA665" s="56" t="str">
        <f aca="false">IF(AC665="","",RANK(AC665,$AC$2:$AC$1780)+COUNTIF($AC$2:AC665,AC665)-1)</f>
        <v/>
      </c>
      <c r="AB665" s="56" t="str">
        <f aca="false">IF(AD665="","",RANK(AD665,$AD$2:$AD$1780)+COUNTIF($AD$2:AD665,AD665)-1)</f>
        <v/>
      </c>
      <c r="AC665" s="56" t="str">
        <f aca="false">IF(AND(F665&gt;0,E665&gt;=Settings!$B$4),J665,"")</f>
        <v/>
      </c>
      <c r="AD665" s="56" t="str">
        <f aca="false">IF(X665="HIGH RATE",O665,"")</f>
        <v/>
      </c>
    </row>
    <row r="666" customFormat="false" ht="15" hidden="false" customHeight="false" outlineLevel="0" collapsed="false">
      <c r="A666" s="56" t="s">
        <v>1845</v>
      </c>
      <c r="B666" s="56" t="s">
        <v>1846</v>
      </c>
      <c r="C666" s="56" t="s">
        <v>51</v>
      </c>
      <c r="D666" s="56" t="str">
        <f aca="false">IFERROR(INDEX('Brand Map'!$B$4:$B$124,MATCH(C666,'Brand Map'!$A$4:$A$124,0)),"Other")</f>
        <v>AU</v>
      </c>
      <c r="E666" s="57" t="n">
        <v>1</v>
      </c>
      <c r="F666" s="57" t="n">
        <v>0</v>
      </c>
      <c r="G666" s="58" t="n">
        <v>294.95</v>
      </c>
      <c r="H666" s="58" t="n">
        <v>0</v>
      </c>
      <c r="I666" s="58" t="n">
        <v>294.95</v>
      </c>
      <c r="J666" s="32" t="n">
        <f aca="false">IF(E666&gt;0,F666/E666,0)</f>
        <v>0</v>
      </c>
      <c r="K666" s="32" t="n">
        <f aca="false">IF(G666&gt;0,H666/G666,0)</f>
        <v>-0</v>
      </c>
      <c r="L666" s="59" t="n">
        <f aca="false">H666/Settings!$B$16</f>
        <v>-0</v>
      </c>
      <c r="M666" s="59" t="n">
        <f aca="false">H666/Settings!$B$20</f>
        <v>-0</v>
      </c>
      <c r="N666" s="60" t="n">
        <f aca="false">E666*Settings!$B$3</f>
        <v>0.0309861510798204</v>
      </c>
      <c r="O666" s="60" t="n">
        <f aca="false">IF(E666&gt;0,(F666-N666)/SQRT(E666*Settings!$B$3*(1-Settings!$B$3)),0)</f>
        <v>-0.178821125934444</v>
      </c>
      <c r="P666" s="60" t="n">
        <f aca="false">MAX(0,F666-N666)</f>
        <v>0</v>
      </c>
      <c r="Q666" s="32" t="n">
        <f aca="false">(F666+Settings!$B$7*Settings!$B$3)/(E666+Settings!$B$7)</f>
        <v>0.0299865978191811</v>
      </c>
      <c r="R666" s="61" t="n">
        <f aca="false">PERCENTRANK($H$2:$H$1780,H666,6)</f>
        <v>0</v>
      </c>
      <c r="S666" s="61" t="n">
        <f aca="false">PERCENTRANK($Q$2:$Q$1780,Q666,6)</f>
        <v>0.486502</v>
      </c>
      <c r="T666" s="61" t="n">
        <f aca="false">PERCENTRANK($F$2:$F$1780,F666,6)</f>
        <v>0</v>
      </c>
      <c r="U666" s="62" t="n">
        <f aca="false">IF(F666&gt;0,(Settings!$B$8*T666+Settings!$B$9*R666+Settings!$B$10*S666)/SUM(Settings!$B$8:$B$10),0)</f>
        <v>0</v>
      </c>
      <c r="V666" s="56" t="str">
        <f aca="false">IF(U666&gt;0,RANK(U666,$U$2:$U$1780)+COUNTIF($U$2:U666,U666)-1,"")</f>
        <v/>
      </c>
      <c r="W666" s="56" t="str">
        <f aca="false">IF(V666="","",IF(V666&lt;=Settings!$B$11,"1 - Fix first",IF(V666&lt;=Settings!$B$12,"2 - Review","3 - Monitor")))</f>
        <v/>
      </c>
      <c r="X666" s="56" t="str">
        <f aca="false">IF(AND(E666&gt;=Settings!$B$4,F666&gt;=Settings!$B$5,O666&gt;=Settings!$B$6),"HIGH RATE","")</f>
        <v/>
      </c>
      <c r="Y666" s="56" t="str">
        <f aca="false">IF(F666&gt;0,RANK(F666,$F$2:$F$1780)+COUNTIF($F$2:F666,F666)-1,"")</f>
        <v/>
      </c>
      <c r="Z666" s="56" t="str">
        <f aca="false">IF(H666&gt;0,RANK(H666,$H$2:$H$1780)+COUNTIF($H$2:H666,H666)-1,"")</f>
        <v/>
      </c>
      <c r="AA666" s="56" t="str">
        <f aca="false">IF(AC666="","",RANK(AC666,$AC$2:$AC$1780)+COUNTIF($AC$2:AC666,AC666)-1)</f>
        <v/>
      </c>
      <c r="AB666" s="56" t="str">
        <f aca="false">IF(AD666="","",RANK(AD666,$AD$2:$AD$1780)+COUNTIF($AD$2:AD666,AD666)-1)</f>
        <v/>
      </c>
      <c r="AC666" s="56" t="str">
        <f aca="false">IF(AND(F666&gt;0,E666&gt;=Settings!$B$4),J666,"")</f>
        <v/>
      </c>
      <c r="AD666" s="56" t="str">
        <f aca="false">IF(X666="HIGH RATE",O666,"")</f>
        <v/>
      </c>
    </row>
    <row r="667" customFormat="false" ht="15" hidden="false" customHeight="false" outlineLevel="0" collapsed="false">
      <c r="A667" s="56" t="s">
        <v>1847</v>
      </c>
      <c r="B667" s="56" t="s">
        <v>1848</v>
      </c>
      <c r="C667" s="56" t="s">
        <v>51</v>
      </c>
      <c r="D667" s="56" t="str">
        <f aca="false">IFERROR(INDEX('Brand Map'!$B$4:$B$124,MATCH(C667,'Brand Map'!$A$4:$A$124,0)),"Other")</f>
        <v>AU</v>
      </c>
      <c r="E667" s="57" t="n">
        <v>6</v>
      </c>
      <c r="F667" s="57" t="n">
        <v>0</v>
      </c>
      <c r="G667" s="58" t="n">
        <v>1594.73</v>
      </c>
      <c r="H667" s="58" t="n">
        <v>0</v>
      </c>
      <c r="I667" s="58" t="n">
        <v>1543.83</v>
      </c>
      <c r="J667" s="32" t="n">
        <f aca="false">IF(E667&gt;0,F667/E667,0)</f>
        <v>0</v>
      </c>
      <c r="K667" s="32" t="n">
        <f aca="false">IF(G667&gt;0,H667/G667,0)</f>
        <v>-0</v>
      </c>
      <c r="L667" s="59" t="n">
        <f aca="false">H667/Settings!$B$16</f>
        <v>-0</v>
      </c>
      <c r="M667" s="59" t="n">
        <f aca="false">H667/Settings!$B$20</f>
        <v>-0</v>
      </c>
      <c r="N667" s="60" t="n">
        <f aca="false">E667*Settings!$B$3</f>
        <v>0.185916906478923</v>
      </c>
      <c r="O667" s="60" t="n">
        <f aca="false">IF(E667&gt;0,(F667-N667)/SQRT(E667*Settings!$B$3*(1-Settings!$B$3)),0)</f>
        <v>-0.43802051376936</v>
      </c>
      <c r="P667" s="60" t="n">
        <f aca="false">MAX(0,F667-N667)</f>
        <v>0</v>
      </c>
      <c r="Q667" s="32" t="n">
        <f aca="false">(F667+Settings!$B$7*Settings!$B$3)/(E667+Settings!$B$7)</f>
        <v>0.025821792566517</v>
      </c>
      <c r="R667" s="61" t="n">
        <f aca="false">PERCENTRANK($H$2:$H$1780,H667,6)</f>
        <v>0</v>
      </c>
      <c r="S667" s="61" t="n">
        <f aca="false">PERCENTRANK($Q$2:$Q$1780,Q667,6)</f>
        <v>0.189539</v>
      </c>
      <c r="T667" s="61" t="n">
        <f aca="false">PERCENTRANK($F$2:$F$1780,F667,6)</f>
        <v>0</v>
      </c>
      <c r="U667" s="62" t="n">
        <f aca="false">IF(F667&gt;0,(Settings!$B$8*T667+Settings!$B$9*R667+Settings!$B$10*S667)/SUM(Settings!$B$8:$B$10),0)</f>
        <v>0</v>
      </c>
      <c r="V667" s="56" t="str">
        <f aca="false">IF(U667&gt;0,RANK(U667,$U$2:$U$1780)+COUNTIF($U$2:U667,U667)-1,"")</f>
        <v/>
      </c>
      <c r="W667" s="56" t="str">
        <f aca="false">IF(V667="","",IF(V667&lt;=Settings!$B$11,"1 - Fix first",IF(V667&lt;=Settings!$B$12,"2 - Review","3 - Monitor")))</f>
        <v/>
      </c>
      <c r="X667" s="56" t="str">
        <f aca="false">IF(AND(E667&gt;=Settings!$B$4,F667&gt;=Settings!$B$5,O667&gt;=Settings!$B$6),"HIGH RATE","")</f>
        <v/>
      </c>
      <c r="Y667" s="56" t="str">
        <f aca="false">IF(F667&gt;0,RANK(F667,$F$2:$F$1780)+COUNTIF($F$2:F667,F667)-1,"")</f>
        <v/>
      </c>
      <c r="Z667" s="56" t="str">
        <f aca="false">IF(H667&gt;0,RANK(H667,$H$2:$H$1780)+COUNTIF($H$2:H667,H667)-1,"")</f>
        <v/>
      </c>
      <c r="AA667" s="56" t="str">
        <f aca="false">IF(AC667="","",RANK(AC667,$AC$2:$AC$1780)+COUNTIF($AC$2:AC667,AC667)-1)</f>
        <v/>
      </c>
      <c r="AB667" s="56" t="str">
        <f aca="false">IF(AD667="","",RANK(AD667,$AD$2:$AD$1780)+COUNTIF($AD$2:AD667,AD667)-1)</f>
        <v/>
      </c>
      <c r="AC667" s="56" t="str">
        <f aca="false">IF(AND(F667&gt;0,E667&gt;=Settings!$B$4),J667,"")</f>
        <v/>
      </c>
      <c r="AD667" s="56" t="str">
        <f aca="false">IF(X667="HIGH RATE",O667,"")</f>
        <v/>
      </c>
    </row>
    <row r="668" customFormat="false" ht="15" hidden="false" customHeight="false" outlineLevel="0" collapsed="false">
      <c r="A668" s="56" t="s">
        <v>1849</v>
      </c>
      <c r="B668" s="56" t="s">
        <v>1850</v>
      </c>
      <c r="C668" s="56" t="s">
        <v>51</v>
      </c>
      <c r="D668" s="56" t="str">
        <f aca="false">IFERROR(INDEX('Brand Map'!$B$4:$B$124,MATCH(C668,'Brand Map'!$A$4:$A$124,0)),"Other")</f>
        <v>AU</v>
      </c>
      <c r="E668" s="57" t="n">
        <v>2</v>
      </c>
      <c r="F668" s="57" t="n">
        <v>0</v>
      </c>
      <c r="G668" s="58" t="n">
        <v>568.09</v>
      </c>
      <c r="H668" s="58" t="n">
        <v>0</v>
      </c>
      <c r="I668" s="58" t="n">
        <v>568.09</v>
      </c>
      <c r="J668" s="32" t="n">
        <f aca="false">IF(E668&gt;0,F668/E668,0)</f>
        <v>0</v>
      </c>
      <c r="K668" s="32" t="n">
        <f aca="false">IF(G668&gt;0,H668/G668,0)</f>
        <v>-0</v>
      </c>
      <c r="L668" s="59" t="n">
        <f aca="false">H668/Settings!$B$16</f>
        <v>-0</v>
      </c>
      <c r="M668" s="59" t="n">
        <f aca="false">H668/Settings!$B$20</f>
        <v>-0</v>
      </c>
      <c r="N668" s="60" t="n">
        <f aca="false">E668*Settings!$B$3</f>
        <v>0.0619723021596408</v>
      </c>
      <c r="O668" s="60" t="n">
        <f aca="false">IF(E668&gt;0,(F668-N668)/SQRT(E668*Settings!$B$3*(1-Settings!$B$3)),0)</f>
        <v>-0.252891261535318</v>
      </c>
      <c r="P668" s="60" t="n">
        <f aca="false">MAX(0,F668-N668)</f>
        <v>0</v>
      </c>
      <c r="Q668" s="32" t="n">
        <f aca="false">(F668+Settings!$B$7*Settings!$B$3)/(E668+Settings!$B$7)</f>
        <v>0.0290495166373316</v>
      </c>
      <c r="R668" s="61" t="n">
        <f aca="false">PERCENTRANK($H$2:$H$1780,H668,6)</f>
        <v>0</v>
      </c>
      <c r="S668" s="61" t="n">
        <f aca="false">PERCENTRANK($Q$2:$Q$1780,Q668,6)</f>
        <v>0.365579</v>
      </c>
      <c r="T668" s="61" t="n">
        <f aca="false">PERCENTRANK($F$2:$F$1780,F668,6)</f>
        <v>0</v>
      </c>
      <c r="U668" s="62" t="n">
        <f aca="false">IF(F668&gt;0,(Settings!$B$8*T668+Settings!$B$9*R668+Settings!$B$10*S668)/SUM(Settings!$B$8:$B$10),0)</f>
        <v>0</v>
      </c>
      <c r="V668" s="56" t="str">
        <f aca="false">IF(U668&gt;0,RANK(U668,$U$2:$U$1780)+COUNTIF($U$2:U668,U668)-1,"")</f>
        <v/>
      </c>
      <c r="W668" s="56" t="str">
        <f aca="false">IF(V668="","",IF(V668&lt;=Settings!$B$11,"1 - Fix first",IF(V668&lt;=Settings!$B$12,"2 - Review","3 - Monitor")))</f>
        <v/>
      </c>
      <c r="X668" s="56" t="str">
        <f aca="false">IF(AND(E668&gt;=Settings!$B$4,F668&gt;=Settings!$B$5,O668&gt;=Settings!$B$6),"HIGH RATE","")</f>
        <v/>
      </c>
      <c r="Y668" s="56" t="str">
        <f aca="false">IF(F668&gt;0,RANK(F668,$F$2:$F$1780)+COUNTIF($F$2:F668,F668)-1,"")</f>
        <v/>
      </c>
      <c r="Z668" s="56" t="str">
        <f aca="false">IF(H668&gt;0,RANK(H668,$H$2:$H$1780)+COUNTIF($H$2:H668,H668)-1,"")</f>
        <v/>
      </c>
      <c r="AA668" s="56" t="str">
        <f aca="false">IF(AC668="","",RANK(AC668,$AC$2:$AC$1780)+COUNTIF($AC$2:AC668,AC668)-1)</f>
        <v/>
      </c>
      <c r="AB668" s="56" t="str">
        <f aca="false">IF(AD668="","",RANK(AD668,$AD$2:$AD$1780)+COUNTIF($AD$2:AD668,AD668)-1)</f>
        <v/>
      </c>
      <c r="AC668" s="56" t="str">
        <f aca="false">IF(AND(F668&gt;0,E668&gt;=Settings!$B$4),J668,"")</f>
        <v/>
      </c>
      <c r="AD668" s="56" t="str">
        <f aca="false">IF(X668="HIGH RATE",O668,"")</f>
        <v/>
      </c>
    </row>
    <row r="669" customFormat="false" ht="15" hidden="false" customHeight="false" outlineLevel="0" collapsed="false">
      <c r="A669" s="56" t="s">
        <v>1851</v>
      </c>
      <c r="B669" s="56" t="s">
        <v>1852</v>
      </c>
      <c r="C669" s="56" t="s">
        <v>51</v>
      </c>
      <c r="D669" s="56" t="str">
        <f aca="false">IFERROR(INDEX('Brand Map'!$B$4:$B$124,MATCH(C669,'Brand Map'!$A$4:$A$124,0)),"Other")</f>
        <v>AU</v>
      </c>
      <c r="E669" s="57" t="n">
        <v>3</v>
      </c>
      <c r="F669" s="57" t="n">
        <v>0</v>
      </c>
      <c r="G669" s="58" t="n">
        <v>840.76</v>
      </c>
      <c r="H669" s="58" t="n">
        <v>0</v>
      </c>
      <c r="I669" s="58" t="n">
        <v>800.55</v>
      </c>
      <c r="J669" s="32" t="n">
        <f aca="false">IF(E669&gt;0,F669/E669,0)</f>
        <v>0</v>
      </c>
      <c r="K669" s="32" t="n">
        <f aca="false">IF(G669&gt;0,H669/G669,0)</f>
        <v>-0</v>
      </c>
      <c r="L669" s="59" t="n">
        <f aca="false">H669/Settings!$B$16</f>
        <v>-0</v>
      </c>
      <c r="M669" s="59" t="n">
        <f aca="false">H669/Settings!$B$20</f>
        <v>-0</v>
      </c>
      <c r="N669" s="60" t="n">
        <f aca="false">E669*Settings!$B$3</f>
        <v>0.0929584532394613</v>
      </c>
      <c r="O669" s="60" t="n">
        <f aca="false">IF(E669&gt;0,(F669-N669)/SQRT(E669*Settings!$B$3*(1-Settings!$B$3)),0)</f>
        <v>-0.30972727558513</v>
      </c>
      <c r="P669" s="60" t="n">
        <f aca="false">MAX(0,F669-N669)</f>
        <v>0</v>
      </c>
      <c r="Q669" s="32" t="n">
        <f aca="false">(F669+Settings!$B$7*Settings!$B$3)/(E669+Settings!$B$7)</f>
        <v>0.0281692282543822</v>
      </c>
      <c r="R669" s="61" t="n">
        <f aca="false">PERCENTRANK($H$2:$H$1780,H669,6)</f>
        <v>0</v>
      </c>
      <c r="S669" s="61" t="n">
        <f aca="false">PERCENTRANK($Q$2:$Q$1780,Q669,6)</f>
        <v>0.294151</v>
      </c>
      <c r="T669" s="61" t="n">
        <f aca="false">PERCENTRANK($F$2:$F$1780,F669,6)</f>
        <v>0</v>
      </c>
      <c r="U669" s="62" t="n">
        <f aca="false">IF(F669&gt;0,(Settings!$B$8*T669+Settings!$B$9*R669+Settings!$B$10*S669)/SUM(Settings!$B$8:$B$10),0)</f>
        <v>0</v>
      </c>
      <c r="V669" s="56" t="str">
        <f aca="false">IF(U669&gt;0,RANK(U669,$U$2:$U$1780)+COUNTIF($U$2:U669,U669)-1,"")</f>
        <v/>
      </c>
      <c r="W669" s="56" t="str">
        <f aca="false">IF(V669="","",IF(V669&lt;=Settings!$B$11,"1 - Fix first",IF(V669&lt;=Settings!$B$12,"2 - Review","3 - Monitor")))</f>
        <v/>
      </c>
      <c r="X669" s="56" t="str">
        <f aca="false">IF(AND(E669&gt;=Settings!$B$4,F669&gt;=Settings!$B$5,O669&gt;=Settings!$B$6),"HIGH RATE","")</f>
        <v/>
      </c>
      <c r="Y669" s="56" t="str">
        <f aca="false">IF(F669&gt;0,RANK(F669,$F$2:$F$1780)+COUNTIF($F$2:F669,F669)-1,"")</f>
        <v/>
      </c>
      <c r="Z669" s="56" t="str">
        <f aca="false">IF(H669&gt;0,RANK(H669,$H$2:$H$1780)+COUNTIF($H$2:H669,H669)-1,"")</f>
        <v/>
      </c>
      <c r="AA669" s="56" t="str">
        <f aca="false">IF(AC669="","",RANK(AC669,$AC$2:$AC$1780)+COUNTIF($AC$2:AC669,AC669)-1)</f>
        <v/>
      </c>
      <c r="AB669" s="56" t="str">
        <f aca="false">IF(AD669="","",RANK(AD669,$AD$2:$AD$1780)+COUNTIF($AD$2:AD669,AD669)-1)</f>
        <v/>
      </c>
      <c r="AC669" s="56" t="str">
        <f aca="false">IF(AND(F669&gt;0,E669&gt;=Settings!$B$4),J669,"")</f>
        <v/>
      </c>
      <c r="AD669" s="56" t="str">
        <f aca="false">IF(X669="HIGH RATE",O669,"")</f>
        <v/>
      </c>
    </row>
    <row r="670" customFormat="false" ht="15" hidden="false" customHeight="false" outlineLevel="0" collapsed="false">
      <c r="A670" s="56" t="s">
        <v>1853</v>
      </c>
      <c r="B670" s="56" t="s">
        <v>1854</v>
      </c>
      <c r="C670" s="56" t="s">
        <v>51</v>
      </c>
      <c r="D670" s="56" t="str">
        <f aca="false">IFERROR(INDEX('Brand Map'!$B$4:$B$124,MATCH(C670,'Brand Map'!$A$4:$A$124,0)),"Other")</f>
        <v>AU</v>
      </c>
      <c r="E670" s="57" t="n">
        <v>1</v>
      </c>
      <c r="F670" s="57" t="n">
        <v>0</v>
      </c>
      <c r="G670" s="58" t="n">
        <v>268.14</v>
      </c>
      <c r="H670" s="58" t="n">
        <v>0</v>
      </c>
      <c r="I670" s="58" t="n">
        <v>268.14</v>
      </c>
      <c r="J670" s="32" t="n">
        <f aca="false">IF(E670&gt;0,F670/E670,0)</f>
        <v>0</v>
      </c>
      <c r="K670" s="32" t="n">
        <f aca="false">IF(G670&gt;0,H670/G670,0)</f>
        <v>-0</v>
      </c>
      <c r="L670" s="59" t="n">
        <f aca="false">H670/Settings!$B$16</f>
        <v>-0</v>
      </c>
      <c r="M670" s="59" t="n">
        <f aca="false">H670/Settings!$B$20</f>
        <v>-0</v>
      </c>
      <c r="N670" s="60" t="n">
        <f aca="false">E670*Settings!$B$3</f>
        <v>0.0309861510798204</v>
      </c>
      <c r="O670" s="60" t="n">
        <f aca="false">IF(E670&gt;0,(F670-N670)/SQRT(E670*Settings!$B$3*(1-Settings!$B$3)),0)</f>
        <v>-0.178821125934444</v>
      </c>
      <c r="P670" s="60" t="n">
        <f aca="false">MAX(0,F670-N670)</f>
        <v>0</v>
      </c>
      <c r="Q670" s="32" t="n">
        <f aca="false">(F670+Settings!$B$7*Settings!$B$3)/(E670+Settings!$B$7)</f>
        <v>0.0299865978191811</v>
      </c>
      <c r="R670" s="61" t="n">
        <f aca="false">PERCENTRANK($H$2:$H$1780,H670,6)</f>
        <v>0</v>
      </c>
      <c r="S670" s="61" t="n">
        <f aca="false">PERCENTRANK($Q$2:$Q$1780,Q670,6)</f>
        <v>0.486502</v>
      </c>
      <c r="T670" s="61" t="n">
        <f aca="false">PERCENTRANK($F$2:$F$1780,F670,6)</f>
        <v>0</v>
      </c>
      <c r="U670" s="62" t="n">
        <f aca="false">IF(F670&gt;0,(Settings!$B$8*T670+Settings!$B$9*R670+Settings!$B$10*S670)/SUM(Settings!$B$8:$B$10),0)</f>
        <v>0</v>
      </c>
      <c r="V670" s="56" t="str">
        <f aca="false">IF(U670&gt;0,RANK(U670,$U$2:$U$1780)+COUNTIF($U$2:U670,U670)-1,"")</f>
        <v/>
      </c>
      <c r="W670" s="56" t="str">
        <f aca="false">IF(V670="","",IF(V670&lt;=Settings!$B$11,"1 - Fix first",IF(V670&lt;=Settings!$B$12,"2 - Review","3 - Monitor")))</f>
        <v/>
      </c>
      <c r="X670" s="56" t="str">
        <f aca="false">IF(AND(E670&gt;=Settings!$B$4,F670&gt;=Settings!$B$5,O670&gt;=Settings!$B$6),"HIGH RATE","")</f>
        <v/>
      </c>
      <c r="Y670" s="56" t="str">
        <f aca="false">IF(F670&gt;0,RANK(F670,$F$2:$F$1780)+COUNTIF($F$2:F670,F670)-1,"")</f>
        <v/>
      </c>
      <c r="Z670" s="56" t="str">
        <f aca="false">IF(H670&gt;0,RANK(H670,$H$2:$H$1780)+COUNTIF($H$2:H670,H670)-1,"")</f>
        <v/>
      </c>
      <c r="AA670" s="56" t="str">
        <f aca="false">IF(AC670="","",RANK(AC670,$AC$2:$AC$1780)+COUNTIF($AC$2:AC670,AC670)-1)</f>
        <v/>
      </c>
      <c r="AB670" s="56" t="str">
        <f aca="false">IF(AD670="","",RANK(AD670,$AD$2:$AD$1780)+COUNTIF($AD$2:AD670,AD670)-1)</f>
        <v/>
      </c>
      <c r="AC670" s="56" t="str">
        <f aca="false">IF(AND(F670&gt;0,E670&gt;=Settings!$B$4),J670,"")</f>
        <v/>
      </c>
      <c r="AD670" s="56" t="str">
        <f aca="false">IF(X670="HIGH RATE",O670,"")</f>
        <v/>
      </c>
    </row>
    <row r="671" customFormat="false" ht="15" hidden="false" customHeight="false" outlineLevel="0" collapsed="false">
      <c r="A671" s="56" t="s">
        <v>1855</v>
      </c>
      <c r="B671" s="56" t="s">
        <v>1856</v>
      </c>
      <c r="C671" s="56" t="s">
        <v>51</v>
      </c>
      <c r="D671" s="56" t="str">
        <f aca="false">IFERROR(INDEX('Brand Map'!$B$4:$B$124,MATCH(C671,'Brand Map'!$A$4:$A$124,0)),"Other")</f>
        <v>AU</v>
      </c>
      <c r="E671" s="57" t="n">
        <v>5</v>
      </c>
      <c r="F671" s="57" t="n">
        <v>0</v>
      </c>
      <c r="G671" s="58" t="n">
        <v>1421.13</v>
      </c>
      <c r="H671" s="58" t="n">
        <v>0</v>
      </c>
      <c r="I671" s="58" t="n">
        <v>1421.13</v>
      </c>
      <c r="J671" s="32" t="n">
        <f aca="false">IF(E671&gt;0,F671/E671,0)</f>
        <v>0</v>
      </c>
      <c r="K671" s="32" t="n">
        <f aca="false">IF(G671&gt;0,H671/G671,0)</f>
        <v>-0</v>
      </c>
      <c r="L671" s="59" t="n">
        <f aca="false">H671/Settings!$B$16</f>
        <v>-0</v>
      </c>
      <c r="M671" s="59" t="n">
        <f aca="false">H671/Settings!$B$20</f>
        <v>-0</v>
      </c>
      <c r="N671" s="60" t="n">
        <f aca="false">E671*Settings!$B$3</f>
        <v>0.154930755399102</v>
      </c>
      <c r="O671" s="60" t="n">
        <f aca="false">IF(E671&gt;0,(F671-N671)/SQRT(E671*Settings!$B$3*(1-Settings!$B$3)),0)</f>
        <v>-0.399856193402468</v>
      </c>
      <c r="P671" s="60" t="n">
        <f aca="false">MAX(0,F671-N671)</f>
        <v>0</v>
      </c>
      <c r="Q671" s="32" t="n">
        <f aca="false">(F671+Settings!$B$7*Settings!$B$3)/(E671+Settings!$B$7)</f>
        <v>0.0265595580684175</v>
      </c>
      <c r="R671" s="61" t="n">
        <f aca="false">PERCENTRANK($H$2:$H$1780,H671,6)</f>
        <v>0</v>
      </c>
      <c r="S671" s="61" t="n">
        <f aca="false">PERCENTRANK($Q$2:$Q$1780,Q671,6)</f>
        <v>0.220472</v>
      </c>
      <c r="T671" s="61" t="n">
        <f aca="false">PERCENTRANK($F$2:$F$1780,F671,6)</f>
        <v>0</v>
      </c>
      <c r="U671" s="62" t="n">
        <f aca="false">IF(F671&gt;0,(Settings!$B$8*T671+Settings!$B$9*R671+Settings!$B$10*S671)/SUM(Settings!$B$8:$B$10),0)</f>
        <v>0</v>
      </c>
      <c r="V671" s="56" t="str">
        <f aca="false">IF(U671&gt;0,RANK(U671,$U$2:$U$1780)+COUNTIF($U$2:U671,U671)-1,"")</f>
        <v/>
      </c>
      <c r="W671" s="56" t="str">
        <f aca="false">IF(V671="","",IF(V671&lt;=Settings!$B$11,"1 - Fix first",IF(V671&lt;=Settings!$B$12,"2 - Review","3 - Monitor")))</f>
        <v/>
      </c>
      <c r="X671" s="56" t="str">
        <f aca="false">IF(AND(E671&gt;=Settings!$B$4,F671&gt;=Settings!$B$5,O671&gt;=Settings!$B$6),"HIGH RATE","")</f>
        <v/>
      </c>
      <c r="Y671" s="56" t="str">
        <f aca="false">IF(F671&gt;0,RANK(F671,$F$2:$F$1780)+COUNTIF($F$2:F671,F671)-1,"")</f>
        <v/>
      </c>
      <c r="Z671" s="56" t="str">
        <f aca="false">IF(H671&gt;0,RANK(H671,$H$2:$H$1780)+COUNTIF($H$2:H671,H671)-1,"")</f>
        <v/>
      </c>
      <c r="AA671" s="56" t="str">
        <f aca="false">IF(AC671="","",RANK(AC671,$AC$2:$AC$1780)+COUNTIF($AC$2:AC671,AC671)-1)</f>
        <v/>
      </c>
      <c r="AB671" s="56" t="str">
        <f aca="false">IF(AD671="","",RANK(AD671,$AD$2:$AD$1780)+COUNTIF($AD$2:AD671,AD671)-1)</f>
        <v/>
      </c>
      <c r="AC671" s="56" t="str">
        <f aca="false">IF(AND(F671&gt;0,E671&gt;=Settings!$B$4),J671,"")</f>
        <v/>
      </c>
      <c r="AD671" s="56" t="str">
        <f aca="false">IF(X671="HIGH RATE",O671,"")</f>
        <v/>
      </c>
    </row>
    <row r="672" customFormat="false" ht="15" hidden="false" customHeight="false" outlineLevel="0" collapsed="false">
      <c r="A672" s="56" t="s">
        <v>1857</v>
      </c>
      <c r="B672" s="56" t="s">
        <v>1858</v>
      </c>
      <c r="C672" s="56" t="s">
        <v>51</v>
      </c>
      <c r="D672" s="56" t="str">
        <f aca="false">IFERROR(INDEX('Brand Map'!$B$4:$B$124,MATCH(C672,'Brand Map'!$A$4:$A$124,0)),"Other")</f>
        <v>AU</v>
      </c>
      <c r="E672" s="57" t="n">
        <v>19</v>
      </c>
      <c r="F672" s="57" t="n">
        <v>0</v>
      </c>
      <c r="G672" s="58" t="n">
        <v>5525.48</v>
      </c>
      <c r="H672" s="58" t="n">
        <v>0</v>
      </c>
      <c r="I672" s="58" t="n">
        <v>5482.54</v>
      </c>
      <c r="J672" s="32" t="n">
        <f aca="false">IF(E672&gt;0,F672/E672,0)</f>
        <v>0</v>
      </c>
      <c r="K672" s="32" t="n">
        <f aca="false">IF(G672&gt;0,H672/G672,0)</f>
        <v>-0</v>
      </c>
      <c r="L672" s="59" t="n">
        <f aca="false">H672/Settings!$B$16</f>
        <v>-0</v>
      </c>
      <c r="M672" s="59" t="n">
        <f aca="false">H672/Settings!$B$20</f>
        <v>-0</v>
      </c>
      <c r="N672" s="60" t="n">
        <f aca="false">E672*Settings!$B$3</f>
        <v>0.588736870516588</v>
      </c>
      <c r="O672" s="60" t="n">
        <f aca="false">IF(E672&gt;0,(F672-N672)/SQRT(E672*Settings!$B$3*(1-Settings!$B$3)),0)</f>
        <v>-0.779463216918402</v>
      </c>
      <c r="P672" s="60" t="n">
        <f aca="false">MAX(0,F672-N672)</f>
        <v>0</v>
      </c>
      <c r="Q672" s="32" t="n">
        <f aca="false">(F672+Settings!$B$7*Settings!$B$3)/(E672+Settings!$B$7)</f>
        <v>0.0189711129060125</v>
      </c>
      <c r="R672" s="61" t="n">
        <f aca="false">PERCENTRANK($H$2:$H$1780,H672,6)</f>
        <v>0</v>
      </c>
      <c r="S672" s="61" t="n">
        <f aca="false">PERCENTRANK($Q$2:$Q$1780,Q672,6)</f>
        <v>0.0776153</v>
      </c>
      <c r="T672" s="61" t="n">
        <f aca="false">PERCENTRANK($F$2:$F$1780,F672,6)</f>
        <v>0</v>
      </c>
      <c r="U672" s="62" t="n">
        <f aca="false">IF(F672&gt;0,(Settings!$B$8*T672+Settings!$B$9*R672+Settings!$B$10*S672)/SUM(Settings!$B$8:$B$10),0)</f>
        <v>0</v>
      </c>
      <c r="V672" s="56" t="str">
        <f aca="false">IF(U672&gt;0,RANK(U672,$U$2:$U$1780)+COUNTIF($U$2:U672,U672)-1,"")</f>
        <v/>
      </c>
      <c r="W672" s="56" t="str">
        <f aca="false">IF(V672="","",IF(V672&lt;=Settings!$B$11,"1 - Fix first",IF(V672&lt;=Settings!$B$12,"2 - Review","3 - Monitor")))</f>
        <v/>
      </c>
      <c r="X672" s="56" t="str">
        <f aca="false">IF(AND(E672&gt;=Settings!$B$4,F672&gt;=Settings!$B$5,O672&gt;=Settings!$B$6),"HIGH RATE","")</f>
        <v/>
      </c>
      <c r="Y672" s="56" t="str">
        <f aca="false">IF(F672&gt;0,RANK(F672,$F$2:$F$1780)+COUNTIF($F$2:F672,F672)-1,"")</f>
        <v/>
      </c>
      <c r="Z672" s="56" t="str">
        <f aca="false">IF(H672&gt;0,RANK(H672,$H$2:$H$1780)+COUNTIF($H$2:H672,H672)-1,"")</f>
        <v/>
      </c>
      <c r="AA672" s="56" t="str">
        <f aca="false">IF(AC672="","",RANK(AC672,$AC$2:$AC$1780)+COUNTIF($AC$2:AC672,AC672)-1)</f>
        <v/>
      </c>
      <c r="AB672" s="56" t="str">
        <f aca="false">IF(AD672="","",RANK(AD672,$AD$2:$AD$1780)+COUNTIF($AD$2:AD672,AD672)-1)</f>
        <v/>
      </c>
      <c r="AC672" s="56" t="str">
        <f aca="false">IF(AND(F672&gt;0,E672&gt;=Settings!$B$4),J672,"")</f>
        <v/>
      </c>
      <c r="AD672" s="56" t="str">
        <f aca="false">IF(X672="HIGH RATE",O672,"")</f>
        <v/>
      </c>
    </row>
    <row r="673" customFormat="false" ht="15" hidden="false" customHeight="false" outlineLevel="0" collapsed="false">
      <c r="A673" s="56" t="s">
        <v>1859</v>
      </c>
      <c r="B673" s="56" t="s">
        <v>1860</v>
      </c>
      <c r="C673" s="56" t="s">
        <v>51</v>
      </c>
      <c r="D673" s="56" t="str">
        <f aca="false">IFERROR(INDEX('Brand Map'!$B$4:$B$124,MATCH(C673,'Brand Map'!$A$4:$A$124,0)),"Other")</f>
        <v>AU</v>
      </c>
      <c r="E673" s="57" t="n">
        <v>6</v>
      </c>
      <c r="F673" s="57" t="n">
        <v>0</v>
      </c>
      <c r="G673" s="58" t="n">
        <v>1555.17</v>
      </c>
      <c r="H673" s="58" t="n">
        <v>0</v>
      </c>
      <c r="I673" s="58" t="n">
        <v>1555.17</v>
      </c>
      <c r="J673" s="32" t="n">
        <f aca="false">IF(E673&gt;0,F673/E673,0)</f>
        <v>0</v>
      </c>
      <c r="K673" s="32" t="n">
        <f aca="false">IF(G673&gt;0,H673/G673,0)</f>
        <v>-0</v>
      </c>
      <c r="L673" s="59" t="n">
        <f aca="false">H673/Settings!$B$16</f>
        <v>-0</v>
      </c>
      <c r="M673" s="59" t="n">
        <f aca="false">H673/Settings!$B$20</f>
        <v>-0</v>
      </c>
      <c r="N673" s="60" t="n">
        <f aca="false">E673*Settings!$B$3</f>
        <v>0.185916906478923</v>
      </c>
      <c r="O673" s="60" t="n">
        <f aca="false">IF(E673&gt;0,(F673-N673)/SQRT(E673*Settings!$B$3*(1-Settings!$B$3)),0)</f>
        <v>-0.43802051376936</v>
      </c>
      <c r="P673" s="60" t="n">
        <f aca="false">MAX(0,F673-N673)</f>
        <v>0</v>
      </c>
      <c r="Q673" s="32" t="n">
        <f aca="false">(F673+Settings!$B$7*Settings!$B$3)/(E673+Settings!$B$7)</f>
        <v>0.025821792566517</v>
      </c>
      <c r="R673" s="61" t="n">
        <f aca="false">PERCENTRANK($H$2:$H$1780,H673,6)</f>
        <v>0</v>
      </c>
      <c r="S673" s="61" t="n">
        <f aca="false">PERCENTRANK($Q$2:$Q$1780,Q673,6)</f>
        <v>0.189539</v>
      </c>
      <c r="T673" s="61" t="n">
        <f aca="false">PERCENTRANK($F$2:$F$1780,F673,6)</f>
        <v>0</v>
      </c>
      <c r="U673" s="62" t="n">
        <f aca="false">IF(F673&gt;0,(Settings!$B$8*T673+Settings!$B$9*R673+Settings!$B$10*S673)/SUM(Settings!$B$8:$B$10),0)</f>
        <v>0</v>
      </c>
      <c r="V673" s="56" t="str">
        <f aca="false">IF(U673&gt;0,RANK(U673,$U$2:$U$1780)+COUNTIF($U$2:U673,U673)-1,"")</f>
        <v/>
      </c>
      <c r="W673" s="56" t="str">
        <f aca="false">IF(V673="","",IF(V673&lt;=Settings!$B$11,"1 - Fix first",IF(V673&lt;=Settings!$B$12,"2 - Review","3 - Monitor")))</f>
        <v/>
      </c>
      <c r="X673" s="56" t="str">
        <f aca="false">IF(AND(E673&gt;=Settings!$B$4,F673&gt;=Settings!$B$5,O673&gt;=Settings!$B$6),"HIGH RATE","")</f>
        <v/>
      </c>
      <c r="Y673" s="56" t="str">
        <f aca="false">IF(F673&gt;0,RANK(F673,$F$2:$F$1780)+COUNTIF($F$2:F673,F673)-1,"")</f>
        <v/>
      </c>
      <c r="Z673" s="56" t="str">
        <f aca="false">IF(H673&gt;0,RANK(H673,$H$2:$H$1780)+COUNTIF($H$2:H673,H673)-1,"")</f>
        <v/>
      </c>
      <c r="AA673" s="56" t="str">
        <f aca="false">IF(AC673="","",RANK(AC673,$AC$2:$AC$1780)+COUNTIF($AC$2:AC673,AC673)-1)</f>
        <v/>
      </c>
      <c r="AB673" s="56" t="str">
        <f aca="false">IF(AD673="","",RANK(AD673,$AD$2:$AD$1780)+COUNTIF($AD$2:AD673,AD673)-1)</f>
        <v/>
      </c>
      <c r="AC673" s="56" t="str">
        <f aca="false">IF(AND(F673&gt;0,E673&gt;=Settings!$B$4),J673,"")</f>
        <v/>
      </c>
      <c r="AD673" s="56" t="str">
        <f aca="false">IF(X673="HIGH RATE",O673,"")</f>
        <v/>
      </c>
    </row>
    <row r="674" customFormat="false" ht="15" hidden="false" customHeight="false" outlineLevel="0" collapsed="false">
      <c r="A674" s="56" t="s">
        <v>1861</v>
      </c>
      <c r="B674" s="56" t="s">
        <v>1862</v>
      </c>
      <c r="C674" s="56" t="s">
        <v>51</v>
      </c>
      <c r="D674" s="56" t="str">
        <f aca="false">IFERROR(INDEX('Brand Map'!$B$4:$B$124,MATCH(C674,'Brand Map'!$A$4:$A$124,0)),"Other")</f>
        <v>AU</v>
      </c>
      <c r="E674" s="57" t="n">
        <v>2</v>
      </c>
      <c r="F674" s="57" t="n">
        <v>0</v>
      </c>
      <c r="G674" s="58" t="n">
        <v>727.18</v>
      </c>
      <c r="H674" s="58" t="n">
        <v>0</v>
      </c>
      <c r="I674" s="58" t="n">
        <v>674.01</v>
      </c>
      <c r="J674" s="32" t="n">
        <f aca="false">IF(E674&gt;0,F674/E674,0)</f>
        <v>0</v>
      </c>
      <c r="K674" s="32" t="n">
        <f aca="false">IF(G674&gt;0,H674/G674,0)</f>
        <v>-0</v>
      </c>
      <c r="L674" s="59" t="n">
        <f aca="false">H674/Settings!$B$16</f>
        <v>-0</v>
      </c>
      <c r="M674" s="59" t="n">
        <f aca="false">H674/Settings!$B$20</f>
        <v>-0</v>
      </c>
      <c r="N674" s="60" t="n">
        <f aca="false">E674*Settings!$B$3</f>
        <v>0.0619723021596408</v>
      </c>
      <c r="O674" s="60" t="n">
        <f aca="false">IF(E674&gt;0,(F674-N674)/SQRT(E674*Settings!$B$3*(1-Settings!$B$3)),0)</f>
        <v>-0.252891261535318</v>
      </c>
      <c r="P674" s="60" t="n">
        <f aca="false">MAX(0,F674-N674)</f>
        <v>0</v>
      </c>
      <c r="Q674" s="32" t="n">
        <f aca="false">(F674+Settings!$B$7*Settings!$B$3)/(E674+Settings!$B$7)</f>
        <v>0.0290495166373316</v>
      </c>
      <c r="R674" s="61" t="n">
        <f aca="false">PERCENTRANK($H$2:$H$1780,H674,6)</f>
        <v>0</v>
      </c>
      <c r="S674" s="61" t="n">
        <f aca="false">PERCENTRANK($Q$2:$Q$1780,Q674,6)</f>
        <v>0.365579</v>
      </c>
      <c r="T674" s="61" t="n">
        <f aca="false">PERCENTRANK($F$2:$F$1780,F674,6)</f>
        <v>0</v>
      </c>
      <c r="U674" s="62" t="n">
        <f aca="false">IF(F674&gt;0,(Settings!$B$8*T674+Settings!$B$9*R674+Settings!$B$10*S674)/SUM(Settings!$B$8:$B$10),0)</f>
        <v>0</v>
      </c>
      <c r="V674" s="56" t="str">
        <f aca="false">IF(U674&gt;0,RANK(U674,$U$2:$U$1780)+COUNTIF($U$2:U674,U674)-1,"")</f>
        <v/>
      </c>
      <c r="W674" s="56" t="str">
        <f aca="false">IF(V674="","",IF(V674&lt;=Settings!$B$11,"1 - Fix first",IF(V674&lt;=Settings!$B$12,"2 - Review","3 - Monitor")))</f>
        <v/>
      </c>
      <c r="X674" s="56" t="str">
        <f aca="false">IF(AND(E674&gt;=Settings!$B$4,F674&gt;=Settings!$B$5,O674&gt;=Settings!$B$6),"HIGH RATE","")</f>
        <v/>
      </c>
      <c r="Y674" s="56" t="str">
        <f aca="false">IF(F674&gt;0,RANK(F674,$F$2:$F$1780)+COUNTIF($F$2:F674,F674)-1,"")</f>
        <v/>
      </c>
      <c r="Z674" s="56" t="str">
        <f aca="false">IF(H674&gt;0,RANK(H674,$H$2:$H$1780)+COUNTIF($H$2:H674,H674)-1,"")</f>
        <v/>
      </c>
      <c r="AA674" s="56" t="str">
        <f aca="false">IF(AC674="","",RANK(AC674,$AC$2:$AC$1780)+COUNTIF($AC$2:AC674,AC674)-1)</f>
        <v/>
      </c>
      <c r="AB674" s="56" t="str">
        <f aca="false">IF(AD674="","",RANK(AD674,$AD$2:$AD$1780)+COUNTIF($AD$2:AD674,AD674)-1)</f>
        <v/>
      </c>
      <c r="AC674" s="56" t="str">
        <f aca="false">IF(AND(F674&gt;0,E674&gt;=Settings!$B$4),J674,"")</f>
        <v/>
      </c>
      <c r="AD674" s="56" t="str">
        <f aca="false">IF(X674="HIGH RATE",O674,"")</f>
        <v/>
      </c>
    </row>
    <row r="675" customFormat="false" ht="15" hidden="false" customHeight="false" outlineLevel="0" collapsed="false">
      <c r="A675" s="56" t="s">
        <v>1863</v>
      </c>
      <c r="B675" s="56" t="s">
        <v>1864</v>
      </c>
      <c r="C675" s="56" t="s">
        <v>51</v>
      </c>
      <c r="D675" s="56" t="str">
        <f aca="false">IFERROR(INDEX('Brand Map'!$B$4:$B$124,MATCH(C675,'Brand Map'!$A$4:$A$124,0)),"Other")</f>
        <v>AU</v>
      </c>
      <c r="E675" s="57" t="n">
        <v>2</v>
      </c>
      <c r="F675" s="57" t="n">
        <v>0</v>
      </c>
      <c r="G675" s="58" t="n">
        <v>727.18</v>
      </c>
      <c r="H675" s="58" t="n">
        <v>0</v>
      </c>
      <c r="I675" s="58" t="n">
        <v>727.18</v>
      </c>
      <c r="J675" s="32" t="n">
        <f aca="false">IF(E675&gt;0,F675/E675,0)</f>
        <v>0</v>
      </c>
      <c r="K675" s="32" t="n">
        <f aca="false">IF(G675&gt;0,H675/G675,0)</f>
        <v>-0</v>
      </c>
      <c r="L675" s="59" t="n">
        <f aca="false">H675/Settings!$B$16</f>
        <v>-0</v>
      </c>
      <c r="M675" s="59" t="n">
        <f aca="false">H675/Settings!$B$20</f>
        <v>-0</v>
      </c>
      <c r="N675" s="60" t="n">
        <f aca="false">E675*Settings!$B$3</f>
        <v>0.0619723021596408</v>
      </c>
      <c r="O675" s="60" t="n">
        <f aca="false">IF(E675&gt;0,(F675-N675)/SQRT(E675*Settings!$B$3*(1-Settings!$B$3)),0)</f>
        <v>-0.252891261535318</v>
      </c>
      <c r="P675" s="60" t="n">
        <f aca="false">MAX(0,F675-N675)</f>
        <v>0</v>
      </c>
      <c r="Q675" s="32" t="n">
        <f aca="false">(F675+Settings!$B$7*Settings!$B$3)/(E675+Settings!$B$7)</f>
        <v>0.0290495166373316</v>
      </c>
      <c r="R675" s="61" t="n">
        <f aca="false">PERCENTRANK($H$2:$H$1780,H675,6)</f>
        <v>0</v>
      </c>
      <c r="S675" s="61" t="n">
        <f aca="false">PERCENTRANK($Q$2:$Q$1780,Q675,6)</f>
        <v>0.365579</v>
      </c>
      <c r="T675" s="61" t="n">
        <f aca="false">PERCENTRANK($F$2:$F$1780,F675,6)</f>
        <v>0</v>
      </c>
      <c r="U675" s="62" t="n">
        <f aca="false">IF(F675&gt;0,(Settings!$B$8*T675+Settings!$B$9*R675+Settings!$B$10*S675)/SUM(Settings!$B$8:$B$10),0)</f>
        <v>0</v>
      </c>
      <c r="V675" s="56" t="str">
        <f aca="false">IF(U675&gt;0,RANK(U675,$U$2:$U$1780)+COUNTIF($U$2:U675,U675)-1,"")</f>
        <v/>
      </c>
      <c r="W675" s="56" t="str">
        <f aca="false">IF(V675="","",IF(V675&lt;=Settings!$B$11,"1 - Fix first",IF(V675&lt;=Settings!$B$12,"2 - Review","3 - Monitor")))</f>
        <v/>
      </c>
      <c r="X675" s="56" t="str">
        <f aca="false">IF(AND(E675&gt;=Settings!$B$4,F675&gt;=Settings!$B$5,O675&gt;=Settings!$B$6),"HIGH RATE","")</f>
        <v/>
      </c>
      <c r="Y675" s="56" t="str">
        <f aca="false">IF(F675&gt;0,RANK(F675,$F$2:$F$1780)+COUNTIF($F$2:F675,F675)-1,"")</f>
        <v/>
      </c>
      <c r="Z675" s="56" t="str">
        <f aca="false">IF(H675&gt;0,RANK(H675,$H$2:$H$1780)+COUNTIF($H$2:H675,H675)-1,"")</f>
        <v/>
      </c>
      <c r="AA675" s="56" t="str">
        <f aca="false">IF(AC675="","",RANK(AC675,$AC$2:$AC$1780)+COUNTIF($AC$2:AC675,AC675)-1)</f>
        <v/>
      </c>
      <c r="AB675" s="56" t="str">
        <f aca="false">IF(AD675="","",RANK(AD675,$AD$2:$AD$1780)+COUNTIF($AD$2:AD675,AD675)-1)</f>
        <v/>
      </c>
      <c r="AC675" s="56" t="str">
        <f aca="false">IF(AND(F675&gt;0,E675&gt;=Settings!$B$4),J675,"")</f>
        <v/>
      </c>
      <c r="AD675" s="56" t="str">
        <f aca="false">IF(X675="HIGH RATE",O675,"")</f>
        <v/>
      </c>
    </row>
    <row r="676" customFormat="false" ht="15" hidden="false" customHeight="false" outlineLevel="0" collapsed="false">
      <c r="A676" s="56" t="s">
        <v>1865</v>
      </c>
      <c r="B676" s="56" t="s">
        <v>1866</v>
      </c>
      <c r="C676" s="56" t="s">
        <v>51</v>
      </c>
      <c r="D676" s="56" t="str">
        <f aca="false">IFERROR(INDEX('Brand Map'!$B$4:$B$124,MATCH(C676,'Brand Map'!$A$4:$A$124,0)),"Other")</f>
        <v>AU</v>
      </c>
      <c r="E676" s="57" t="n">
        <v>1</v>
      </c>
      <c r="F676" s="57" t="n">
        <v>0</v>
      </c>
      <c r="G676" s="58" t="n">
        <v>414.95</v>
      </c>
      <c r="H676" s="58" t="n">
        <v>0</v>
      </c>
      <c r="I676" s="58" t="n">
        <v>414.95</v>
      </c>
      <c r="J676" s="32" t="n">
        <f aca="false">IF(E676&gt;0,F676/E676,0)</f>
        <v>0</v>
      </c>
      <c r="K676" s="32" t="n">
        <f aca="false">IF(G676&gt;0,H676/G676,0)</f>
        <v>-0</v>
      </c>
      <c r="L676" s="59" t="n">
        <f aca="false">H676/Settings!$B$16</f>
        <v>-0</v>
      </c>
      <c r="M676" s="59" t="n">
        <f aca="false">H676/Settings!$B$20</f>
        <v>-0</v>
      </c>
      <c r="N676" s="60" t="n">
        <f aca="false">E676*Settings!$B$3</f>
        <v>0.0309861510798204</v>
      </c>
      <c r="O676" s="60" t="n">
        <f aca="false">IF(E676&gt;0,(F676-N676)/SQRT(E676*Settings!$B$3*(1-Settings!$B$3)),0)</f>
        <v>-0.178821125934444</v>
      </c>
      <c r="P676" s="60" t="n">
        <f aca="false">MAX(0,F676-N676)</f>
        <v>0</v>
      </c>
      <c r="Q676" s="32" t="n">
        <f aca="false">(F676+Settings!$B$7*Settings!$B$3)/(E676+Settings!$B$7)</f>
        <v>0.0299865978191811</v>
      </c>
      <c r="R676" s="61" t="n">
        <f aca="false">PERCENTRANK($H$2:$H$1780,H676,6)</f>
        <v>0</v>
      </c>
      <c r="S676" s="61" t="n">
        <f aca="false">PERCENTRANK($Q$2:$Q$1780,Q676,6)</f>
        <v>0.486502</v>
      </c>
      <c r="T676" s="61" t="n">
        <f aca="false">PERCENTRANK($F$2:$F$1780,F676,6)</f>
        <v>0</v>
      </c>
      <c r="U676" s="62" t="n">
        <f aca="false">IF(F676&gt;0,(Settings!$B$8*T676+Settings!$B$9*R676+Settings!$B$10*S676)/SUM(Settings!$B$8:$B$10),0)</f>
        <v>0</v>
      </c>
      <c r="V676" s="56" t="str">
        <f aca="false">IF(U676&gt;0,RANK(U676,$U$2:$U$1780)+COUNTIF($U$2:U676,U676)-1,"")</f>
        <v/>
      </c>
      <c r="W676" s="56" t="str">
        <f aca="false">IF(V676="","",IF(V676&lt;=Settings!$B$11,"1 - Fix first",IF(V676&lt;=Settings!$B$12,"2 - Review","3 - Monitor")))</f>
        <v/>
      </c>
      <c r="X676" s="56" t="str">
        <f aca="false">IF(AND(E676&gt;=Settings!$B$4,F676&gt;=Settings!$B$5,O676&gt;=Settings!$B$6),"HIGH RATE","")</f>
        <v/>
      </c>
      <c r="Y676" s="56" t="str">
        <f aca="false">IF(F676&gt;0,RANK(F676,$F$2:$F$1780)+COUNTIF($F$2:F676,F676)-1,"")</f>
        <v/>
      </c>
      <c r="Z676" s="56" t="str">
        <f aca="false">IF(H676&gt;0,RANK(H676,$H$2:$H$1780)+COUNTIF($H$2:H676,H676)-1,"")</f>
        <v/>
      </c>
      <c r="AA676" s="56" t="str">
        <f aca="false">IF(AC676="","",RANK(AC676,$AC$2:$AC$1780)+COUNTIF($AC$2:AC676,AC676)-1)</f>
        <v/>
      </c>
      <c r="AB676" s="56" t="str">
        <f aca="false">IF(AD676="","",RANK(AD676,$AD$2:$AD$1780)+COUNTIF($AD$2:AD676,AD676)-1)</f>
        <v/>
      </c>
      <c r="AC676" s="56" t="str">
        <f aca="false">IF(AND(F676&gt;0,E676&gt;=Settings!$B$4),J676,"")</f>
        <v/>
      </c>
      <c r="AD676" s="56" t="str">
        <f aca="false">IF(X676="HIGH RATE",O676,"")</f>
        <v/>
      </c>
    </row>
    <row r="677" customFormat="false" ht="15" hidden="false" customHeight="false" outlineLevel="0" collapsed="false">
      <c r="A677" s="56" t="s">
        <v>1867</v>
      </c>
      <c r="B677" s="56" t="s">
        <v>1868</v>
      </c>
      <c r="C677" s="56" t="s">
        <v>51</v>
      </c>
      <c r="D677" s="56" t="str">
        <f aca="false">IFERROR(INDEX('Brand Map'!$B$4:$B$124,MATCH(C677,'Brand Map'!$A$4:$A$124,0)),"Other")</f>
        <v>AU</v>
      </c>
      <c r="E677" s="57" t="n">
        <v>2</v>
      </c>
      <c r="F677" s="57" t="n">
        <v>0</v>
      </c>
      <c r="G677" s="58" t="n">
        <v>754.46</v>
      </c>
      <c r="H677" s="58" t="n">
        <v>0</v>
      </c>
      <c r="I677" s="58" t="n">
        <v>754.46</v>
      </c>
      <c r="J677" s="32" t="n">
        <f aca="false">IF(E677&gt;0,F677/E677,0)</f>
        <v>0</v>
      </c>
      <c r="K677" s="32" t="n">
        <f aca="false">IF(G677&gt;0,H677/G677,0)</f>
        <v>-0</v>
      </c>
      <c r="L677" s="59" t="n">
        <f aca="false">H677/Settings!$B$16</f>
        <v>-0</v>
      </c>
      <c r="M677" s="59" t="n">
        <f aca="false">H677/Settings!$B$20</f>
        <v>-0</v>
      </c>
      <c r="N677" s="60" t="n">
        <f aca="false">E677*Settings!$B$3</f>
        <v>0.0619723021596408</v>
      </c>
      <c r="O677" s="60" t="n">
        <f aca="false">IF(E677&gt;0,(F677-N677)/SQRT(E677*Settings!$B$3*(1-Settings!$B$3)),0)</f>
        <v>-0.252891261535318</v>
      </c>
      <c r="P677" s="60" t="n">
        <f aca="false">MAX(0,F677-N677)</f>
        <v>0</v>
      </c>
      <c r="Q677" s="32" t="n">
        <f aca="false">(F677+Settings!$B$7*Settings!$B$3)/(E677+Settings!$B$7)</f>
        <v>0.0290495166373316</v>
      </c>
      <c r="R677" s="61" t="n">
        <f aca="false">PERCENTRANK($H$2:$H$1780,H677,6)</f>
        <v>0</v>
      </c>
      <c r="S677" s="61" t="n">
        <f aca="false">PERCENTRANK($Q$2:$Q$1780,Q677,6)</f>
        <v>0.365579</v>
      </c>
      <c r="T677" s="61" t="n">
        <f aca="false">PERCENTRANK($F$2:$F$1780,F677,6)</f>
        <v>0</v>
      </c>
      <c r="U677" s="62" t="n">
        <f aca="false">IF(F677&gt;0,(Settings!$B$8*T677+Settings!$B$9*R677+Settings!$B$10*S677)/SUM(Settings!$B$8:$B$10),0)</f>
        <v>0</v>
      </c>
      <c r="V677" s="56" t="str">
        <f aca="false">IF(U677&gt;0,RANK(U677,$U$2:$U$1780)+COUNTIF($U$2:U677,U677)-1,"")</f>
        <v/>
      </c>
      <c r="W677" s="56" t="str">
        <f aca="false">IF(V677="","",IF(V677&lt;=Settings!$B$11,"1 - Fix first",IF(V677&lt;=Settings!$B$12,"2 - Review","3 - Monitor")))</f>
        <v/>
      </c>
      <c r="X677" s="56" t="str">
        <f aca="false">IF(AND(E677&gt;=Settings!$B$4,F677&gt;=Settings!$B$5,O677&gt;=Settings!$B$6),"HIGH RATE","")</f>
        <v/>
      </c>
      <c r="Y677" s="56" t="str">
        <f aca="false">IF(F677&gt;0,RANK(F677,$F$2:$F$1780)+COUNTIF($F$2:F677,F677)-1,"")</f>
        <v/>
      </c>
      <c r="Z677" s="56" t="str">
        <f aca="false">IF(H677&gt;0,RANK(H677,$H$2:$H$1780)+COUNTIF($H$2:H677,H677)-1,"")</f>
        <v/>
      </c>
      <c r="AA677" s="56" t="str">
        <f aca="false">IF(AC677="","",RANK(AC677,$AC$2:$AC$1780)+COUNTIF($AC$2:AC677,AC677)-1)</f>
        <v/>
      </c>
      <c r="AB677" s="56" t="str">
        <f aca="false">IF(AD677="","",RANK(AD677,$AD$2:$AD$1780)+COUNTIF($AD$2:AD677,AD677)-1)</f>
        <v/>
      </c>
      <c r="AC677" s="56" t="str">
        <f aca="false">IF(AND(F677&gt;0,E677&gt;=Settings!$B$4),J677,"")</f>
        <v/>
      </c>
      <c r="AD677" s="56" t="str">
        <f aca="false">IF(X677="HIGH RATE",O677,"")</f>
        <v/>
      </c>
    </row>
    <row r="678" customFormat="false" ht="15" hidden="false" customHeight="false" outlineLevel="0" collapsed="false">
      <c r="A678" s="56" t="s">
        <v>1869</v>
      </c>
      <c r="B678" s="56" t="s">
        <v>1870</v>
      </c>
      <c r="C678" s="56" t="s">
        <v>51</v>
      </c>
      <c r="D678" s="56" t="str">
        <f aca="false">IFERROR(INDEX('Brand Map'!$B$4:$B$124,MATCH(C678,'Brand Map'!$A$4:$A$124,0)),"Other")</f>
        <v>AU</v>
      </c>
      <c r="E678" s="57" t="n">
        <v>1</v>
      </c>
      <c r="F678" s="57" t="n">
        <v>0</v>
      </c>
      <c r="G678" s="58" t="n">
        <v>354.5</v>
      </c>
      <c r="H678" s="58" t="n">
        <v>0</v>
      </c>
      <c r="I678" s="58" t="n">
        <v>354.5</v>
      </c>
      <c r="J678" s="32" t="n">
        <f aca="false">IF(E678&gt;0,F678/E678,0)</f>
        <v>0</v>
      </c>
      <c r="K678" s="32" t="n">
        <f aca="false">IF(G678&gt;0,H678/G678,0)</f>
        <v>-0</v>
      </c>
      <c r="L678" s="59" t="n">
        <f aca="false">H678/Settings!$B$16</f>
        <v>-0</v>
      </c>
      <c r="M678" s="59" t="n">
        <f aca="false">H678/Settings!$B$20</f>
        <v>-0</v>
      </c>
      <c r="N678" s="60" t="n">
        <f aca="false">E678*Settings!$B$3</f>
        <v>0.0309861510798204</v>
      </c>
      <c r="O678" s="60" t="n">
        <f aca="false">IF(E678&gt;0,(F678-N678)/SQRT(E678*Settings!$B$3*(1-Settings!$B$3)),0)</f>
        <v>-0.178821125934444</v>
      </c>
      <c r="P678" s="60" t="n">
        <f aca="false">MAX(0,F678-N678)</f>
        <v>0</v>
      </c>
      <c r="Q678" s="32" t="n">
        <f aca="false">(F678+Settings!$B$7*Settings!$B$3)/(E678+Settings!$B$7)</f>
        <v>0.0299865978191811</v>
      </c>
      <c r="R678" s="61" t="n">
        <f aca="false">PERCENTRANK($H$2:$H$1780,H678,6)</f>
        <v>0</v>
      </c>
      <c r="S678" s="61" t="n">
        <f aca="false">PERCENTRANK($Q$2:$Q$1780,Q678,6)</f>
        <v>0.486502</v>
      </c>
      <c r="T678" s="61" t="n">
        <f aca="false">PERCENTRANK($F$2:$F$1780,F678,6)</f>
        <v>0</v>
      </c>
      <c r="U678" s="62" t="n">
        <f aca="false">IF(F678&gt;0,(Settings!$B$8*T678+Settings!$B$9*R678+Settings!$B$10*S678)/SUM(Settings!$B$8:$B$10),0)</f>
        <v>0</v>
      </c>
      <c r="V678" s="56" t="str">
        <f aca="false">IF(U678&gt;0,RANK(U678,$U$2:$U$1780)+COUNTIF($U$2:U678,U678)-1,"")</f>
        <v/>
      </c>
      <c r="W678" s="56" t="str">
        <f aca="false">IF(V678="","",IF(V678&lt;=Settings!$B$11,"1 - Fix first",IF(V678&lt;=Settings!$B$12,"2 - Review","3 - Monitor")))</f>
        <v/>
      </c>
      <c r="X678" s="56" t="str">
        <f aca="false">IF(AND(E678&gt;=Settings!$B$4,F678&gt;=Settings!$B$5,O678&gt;=Settings!$B$6),"HIGH RATE","")</f>
        <v/>
      </c>
      <c r="Y678" s="56" t="str">
        <f aca="false">IF(F678&gt;0,RANK(F678,$F$2:$F$1780)+COUNTIF($F$2:F678,F678)-1,"")</f>
        <v/>
      </c>
      <c r="Z678" s="56" t="str">
        <f aca="false">IF(H678&gt;0,RANK(H678,$H$2:$H$1780)+COUNTIF($H$2:H678,H678)-1,"")</f>
        <v/>
      </c>
      <c r="AA678" s="56" t="str">
        <f aca="false">IF(AC678="","",RANK(AC678,$AC$2:$AC$1780)+COUNTIF($AC$2:AC678,AC678)-1)</f>
        <v/>
      </c>
      <c r="AB678" s="56" t="str">
        <f aca="false">IF(AD678="","",RANK(AD678,$AD$2:$AD$1780)+COUNTIF($AD$2:AD678,AD678)-1)</f>
        <v/>
      </c>
      <c r="AC678" s="56" t="str">
        <f aca="false">IF(AND(F678&gt;0,E678&gt;=Settings!$B$4),J678,"")</f>
        <v/>
      </c>
      <c r="AD678" s="56" t="str">
        <f aca="false">IF(X678="HIGH RATE",O678,"")</f>
        <v/>
      </c>
    </row>
    <row r="679" customFormat="false" ht="15" hidden="false" customHeight="false" outlineLevel="0" collapsed="false">
      <c r="A679" s="56" t="s">
        <v>1871</v>
      </c>
      <c r="B679" s="56" t="s">
        <v>1872</v>
      </c>
      <c r="C679" s="56" t="s">
        <v>51</v>
      </c>
      <c r="D679" s="56" t="str">
        <f aca="false">IFERROR(INDEX('Brand Map'!$B$4:$B$124,MATCH(C679,'Brand Map'!$A$4:$A$124,0)),"Other")</f>
        <v>AU</v>
      </c>
      <c r="E679" s="57" t="n">
        <v>1</v>
      </c>
      <c r="F679" s="57" t="n">
        <v>0</v>
      </c>
      <c r="G679" s="58" t="n">
        <v>354.5</v>
      </c>
      <c r="H679" s="58" t="n">
        <v>0</v>
      </c>
      <c r="I679" s="58" t="n">
        <v>354.5</v>
      </c>
      <c r="J679" s="32" t="n">
        <f aca="false">IF(E679&gt;0,F679/E679,0)</f>
        <v>0</v>
      </c>
      <c r="K679" s="32" t="n">
        <f aca="false">IF(G679&gt;0,H679/G679,0)</f>
        <v>-0</v>
      </c>
      <c r="L679" s="59" t="n">
        <f aca="false">H679/Settings!$B$16</f>
        <v>-0</v>
      </c>
      <c r="M679" s="59" t="n">
        <f aca="false">H679/Settings!$B$20</f>
        <v>-0</v>
      </c>
      <c r="N679" s="60" t="n">
        <f aca="false">E679*Settings!$B$3</f>
        <v>0.0309861510798204</v>
      </c>
      <c r="O679" s="60" t="n">
        <f aca="false">IF(E679&gt;0,(F679-N679)/SQRT(E679*Settings!$B$3*(1-Settings!$B$3)),0)</f>
        <v>-0.178821125934444</v>
      </c>
      <c r="P679" s="60" t="n">
        <f aca="false">MAX(0,F679-N679)</f>
        <v>0</v>
      </c>
      <c r="Q679" s="32" t="n">
        <f aca="false">(F679+Settings!$B$7*Settings!$B$3)/(E679+Settings!$B$7)</f>
        <v>0.0299865978191811</v>
      </c>
      <c r="R679" s="61" t="n">
        <f aca="false">PERCENTRANK($H$2:$H$1780,H679,6)</f>
        <v>0</v>
      </c>
      <c r="S679" s="61" t="n">
        <f aca="false">PERCENTRANK($Q$2:$Q$1780,Q679,6)</f>
        <v>0.486502</v>
      </c>
      <c r="T679" s="61" t="n">
        <f aca="false">PERCENTRANK($F$2:$F$1780,F679,6)</f>
        <v>0</v>
      </c>
      <c r="U679" s="62" t="n">
        <f aca="false">IF(F679&gt;0,(Settings!$B$8*T679+Settings!$B$9*R679+Settings!$B$10*S679)/SUM(Settings!$B$8:$B$10),0)</f>
        <v>0</v>
      </c>
      <c r="V679" s="56" t="str">
        <f aca="false">IF(U679&gt;0,RANK(U679,$U$2:$U$1780)+COUNTIF($U$2:U679,U679)-1,"")</f>
        <v/>
      </c>
      <c r="W679" s="56" t="str">
        <f aca="false">IF(V679="","",IF(V679&lt;=Settings!$B$11,"1 - Fix first",IF(V679&lt;=Settings!$B$12,"2 - Review","3 - Monitor")))</f>
        <v/>
      </c>
      <c r="X679" s="56" t="str">
        <f aca="false">IF(AND(E679&gt;=Settings!$B$4,F679&gt;=Settings!$B$5,O679&gt;=Settings!$B$6),"HIGH RATE","")</f>
        <v/>
      </c>
      <c r="Y679" s="56" t="str">
        <f aca="false">IF(F679&gt;0,RANK(F679,$F$2:$F$1780)+COUNTIF($F$2:F679,F679)-1,"")</f>
        <v/>
      </c>
      <c r="Z679" s="56" t="str">
        <f aca="false">IF(H679&gt;0,RANK(H679,$H$2:$H$1780)+COUNTIF($H$2:H679,H679)-1,"")</f>
        <v/>
      </c>
      <c r="AA679" s="56" t="str">
        <f aca="false">IF(AC679="","",RANK(AC679,$AC$2:$AC$1780)+COUNTIF($AC$2:AC679,AC679)-1)</f>
        <v/>
      </c>
      <c r="AB679" s="56" t="str">
        <f aca="false">IF(AD679="","",RANK(AD679,$AD$2:$AD$1780)+COUNTIF($AD$2:AD679,AD679)-1)</f>
        <v/>
      </c>
      <c r="AC679" s="56" t="str">
        <f aca="false">IF(AND(F679&gt;0,E679&gt;=Settings!$B$4),J679,"")</f>
        <v/>
      </c>
      <c r="AD679" s="56" t="str">
        <f aca="false">IF(X679="HIGH RATE",O679,"")</f>
        <v/>
      </c>
    </row>
    <row r="680" customFormat="false" ht="15" hidden="false" customHeight="false" outlineLevel="0" collapsed="false">
      <c r="A680" s="56" t="s">
        <v>1873</v>
      </c>
      <c r="B680" s="56" t="s">
        <v>1874</v>
      </c>
      <c r="C680" s="56" t="s">
        <v>51</v>
      </c>
      <c r="D680" s="56" t="str">
        <f aca="false">IFERROR(INDEX('Brand Map'!$B$4:$B$124,MATCH(C680,'Brand Map'!$A$4:$A$124,0)),"Other")</f>
        <v>AU</v>
      </c>
      <c r="E680" s="57" t="n">
        <v>1</v>
      </c>
      <c r="F680" s="57" t="n">
        <v>0</v>
      </c>
      <c r="G680" s="58" t="n">
        <v>699.95</v>
      </c>
      <c r="H680" s="58" t="n">
        <v>0</v>
      </c>
      <c r="I680" s="58" t="n">
        <v>699.95</v>
      </c>
      <c r="J680" s="32" t="n">
        <f aca="false">IF(E680&gt;0,F680/E680,0)</f>
        <v>0</v>
      </c>
      <c r="K680" s="32" t="n">
        <f aca="false">IF(G680&gt;0,H680/G680,0)</f>
        <v>-0</v>
      </c>
      <c r="L680" s="59" t="n">
        <f aca="false">H680/Settings!$B$16</f>
        <v>-0</v>
      </c>
      <c r="M680" s="59" t="n">
        <f aca="false">H680/Settings!$B$20</f>
        <v>-0</v>
      </c>
      <c r="N680" s="60" t="n">
        <f aca="false">E680*Settings!$B$3</f>
        <v>0.0309861510798204</v>
      </c>
      <c r="O680" s="60" t="n">
        <f aca="false">IF(E680&gt;0,(F680-N680)/SQRT(E680*Settings!$B$3*(1-Settings!$B$3)),0)</f>
        <v>-0.178821125934444</v>
      </c>
      <c r="P680" s="60" t="n">
        <f aca="false">MAX(0,F680-N680)</f>
        <v>0</v>
      </c>
      <c r="Q680" s="32" t="n">
        <f aca="false">(F680+Settings!$B$7*Settings!$B$3)/(E680+Settings!$B$7)</f>
        <v>0.0299865978191811</v>
      </c>
      <c r="R680" s="61" t="n">
        <f aca="false">PERCENTRANK($H$2:$H$1780,H680,6)</f>
        <v>0</v>
      </c>
      <c r="S680" s="61" t="n">
        <f aca="false">PERCENTRANK($Q$2:$Q$1780,Q680,6)</f>
        <v>0.486502</v>
      </c>
      <c r="T680" s="61" t="n">
        <f aca="false">PERCENTRANK($F$2:$F$1780,F680,6)</f>
        <v>0</v>
      </c>
      <c r="U680" s="62" t="n">
        <f aca="false">IF(F680&gt;0,(Settings!$B$8*T680+Settings!$B$9*R680+Settings!$B$10*S680)/SUM(Settings!$B$8:$B$10),0)</f>
        <v>0</v>
      </c>
      <c r="V680" s="56" t="str">
        <f aca="false">IF(U680&gt;0,RANK(U680,$U$2:$U$1780)+COUNTIF($U$2:U680,U680)-1,"")</f>
        <v/>
      </c>
      <c r="W680" s="56" t="str">
        <f aca="false">IF(V680="","",IF(V680&lt;=Settings!$B$11,"1 - Fix first",IF(V680&lt;=Settings!$B$12,"2 - Review","3 - Monitor")))</f>
        <v/>
      </c>
      <c r="X680" s="56" t="str">
        <f aca="false">IF(AND(E680&gt;=Settings!$B$4,F680&gt;=Settings!$B$5,O680&gt;=Settings!$B$6),"HIGH RATE","")</f>
        <v/>
      </c>
      <c r="Y680" s="56" t="str">
        <f aca="false">IF(F680&gt;0,RANK(F680,$F$2:$F$1780)+COUNTIF($F$2:F680,F680)-1,"")</f>
        <v/>
      </c>
      <c r="Z680" s="56" t="str">
        <f aca="false">IF(H680&gt;0,RANK(H680,$H$2:$H$1780)+COUNTIF($H$2:H680,H680)-1,"")</f>
        <v/>
      </c>
      <c r="AA680" s="56" t="str">
        <f aca="false">IF(AC680="","",RANK(AC680,$AC$2:$AC$1780)+COUNTIF($AC$2:AC680,AC680)-1)</f>
        <v/>
      </c>
      <c r="AB680" s="56" t="str">
        <f aca="false">IF(AD680="","",RANK(AD680,$AD$2:$AD$1780)+COUNTIF($AD$2:AD680,AD680)-1)</f>
        <v/>
      </c>
      <c r="AC680" s="56" t="str">
        <f aca="false">IF(AND(F680&gt;0,E680&gt;=Settings!$B$4),J680,"")</f>
        <v/>
      </c>
      <c r="AD680" s="56" t="str">
        <f aca="false">IF(X680="HIGH RATE",O680,"")</f>
        <v/>
      </c>
    </row>
    <row r="681" customFormat="false" ht="15" hidden="false" customHeight="false" outlineLevel="0" collapsed="false">
      <c r="A681" s="56" t="s">
        <v>1875</v>
      </c>
      <c r="B681" s="56" t="s">
        <v>1876</v>
      </c>
      <c r="C681" s="56" t="s">
        <v>51</v>
      </c>
      <c r="D681" s="56" t="str">
        <f aca="false">IFERROR(INDEX('Brand Map'!$B$4:$B$124,MATCH(C681,'Brand Map'!$A$4:$A$124,0)),"Other")</f>
        <v>AU</v>
      </c>
      <c r="E681" s="57" t="n">
        <v>1</v>
      </c>
      <c r="F681" s="57" t="n">
        <v>0</v>
      </c>
      <c r="G681" s="58" t="n">
        <v>709.95</v>
      </c>
      <c r="H681" s="58" t="n">
        <v>0</v>
      </c>
      <c r="I681" s="58" t="n">
        <v>709.95</v>
      </c>
      <c r="J681" s="32" t="n">
        <f aca="false">IF(E681&gt;0,F681/E681,0)</f>
        <v>0</v>
      </c>
      <c r="K681" s="32" t="n">
        <f aca="false">IF(G681&gt;0,H681/G681,0)</f>
        <v>-0</v>
      </c>
      <c r="L681" s="59" t="n">
        <f aca="false">H681/Settings!$B$16</f>
        <v>-0</v>
      </c>
      <c r="M681" s="59" t="n">
        <f aca="false">H681/Settings!$B$20</f>
        <v>-0</v>
      </c>
      <c r="N681" s="60" t="n">
        <f aca="false">E681*Settings!$B$3</f>
        <v>0.0309861510798204</v>
      </c>
      <c r="O681" s="60" t="n">
        <f aca="false">IF(E681&gt;0,(F681-N681)/SQRT(E681*Settings!$B$3*(1-Settings!$B$3)),0)</f>
        <v>-0.178821125934444</v>
      </c>
      <c r="P681" s="60" t="n">
        <f aca="false">MAX(0,F681-N681)</f>
        <v>0</v>
      </c>
      <c r="Q681" s="32" t="n">
        <f aca="false">(F681+Settings!$B$7*Settings!$B$3)/(E681+Settings!$B$7)</f>
        <v>0.0299865978191811</v>
      </c>
      <c r="R681" s="61" t="n">
        <f aca="false">PERCENTRANK($H$2:$H$1780,H681,6)</f>
        <v>0</v>
      </c>
      <c r="S681" s="61" t="n">
        <f aca="false">PERCENTRANK($Q$2:$Q$1780,Q681,6)</f>
        <v>0.486502</v>
      </c>
      <c r="T681" s="61" t="n">
        <f aca="false">PERCENTRANK($F$2:$F$1780,F681,6)</f>
        <v>0</v>
      </c>
      <c r="U681" s="62" t="n">
        <f aca="false">IF(F681&gt;0,(Settings!$B$8*T681+Settings!$B$9*R681+Settings!$B$10*S681)/SUM(Settings!$B$8:$B$10),0)</f>
        <v>0</v>
      </c>
      <c r="V681" s="56" t="str">
        <f aca="false">IF(U681&gt;0,RANK(U681,$U$2:$U$1780)+COUNTIF($U$2:U681,U681)-1,"")</f>
        <v/>
      </c>
      <c r="W681" s="56" t="str">
        <f aca="false">IF(V681="","",IF(V681&lt;=Settings!$B$11,"1 - Fix first",IF(V681&lt;=Settings!$B$12,"2 - Review","3 - Monitor")))</f>
        <v/>
      </c>
      <c r="X681" s="56" t="str">
        <f aca="false">IF(AND(E681&gt;=Settings!$B$4,F681&gt;=Settings!$B$5,O681&gt;=Settings!$B$6),"HIGH RATE","")</f>
        <v/>
      </c>
      <c r="Y681" s="56" t="str">
        <f aca="false">IF(F681&gt;0,RANK(F681,$F$2:$F$1780)+COUNTIF($F$2:F681,F681)-1,"")</f>
        <v/>
      </c>
      <c r="Z681" s="56" t="str">
        <f aca="false">IF(H681&gt;0,RANK(H681,$H$2:$H$1780)+COUNTIF($H$2:H681,H681)-1,"")</f>
        <v/>
      </c>
      <c r="AA681" s="56" t="str">
        <f aca="false">IF(AC681="","",RANK(AC681,$AC$2:$AC$1780)+COUNTIF($AC$2:AC681,AC681)-1)</f>
        <v/>
      </c>
      <c r="AB681" s="56" t="str">
        <f aca="false">IF(AD681="","",RANK(AD681,$AD$2:$AD$1780)+COUNTIF($AD$2:AD681,AD681)-1)</f>
        <v/>
      </c>
      <c r="AC681" s="56" t="str">
        <f aca="false">IF(AND(F681&gt;0,E681&gt;=Settings!$B$4),J681,"")</f>
        <v/>
      </c>
      <c r="AD681" s="56" t="str">
        <f aca="false">IF(X681="HIGH RATE",O681,"")</f>
        <v/>
      </c>
    </row>
    <row r="682" customFormat="false" ht="15" hidden="false" customHeight="false" outlineLevel="0" collapsed="false">
      <c r="A682" s="56" t="s">
        <v>1877</v>
      </c>
      <c r="B682" s="56" t="s">
        <v>1878</v>
      </c>
      <c r="C682" s="56" t="s">
        <v>51</v>
      </c>
      <c r="D682" s="56" t="str">
        <f aca="false">IFERROR(INDEX('Brand Map'!$B$4:$B$124,MATCH(C682,'Brand Map'!$A$4:$A$124,0)),"Other")</f>
        <v>AU</v>
      </c>
      <c r="E682" s="57" t="n">
        <v>7</v>
      </c>
      <c r="F682" s="57" t="n">
        <v>0</v>
      </c>
      <c r="G682" s="58" t="n">
        <v>4422.41</v>
      </c>
      <c r="H682" s="58" t="n">
        <v>0</v>
      </c>
      <c r="I682" s="58" t="n">
        <v>4331.74</v>
      </c>
      <c r="J682" s="32" t="n">
        <f aca="false">IF(E682&gt;0,F682/E682,0)</f>
        <v>0</v>
      </c>
      <c r="K682" s="32" t="n">
        <f aca="false">IF(G682&gt;0,H682/G682,0)</f>
        <v>-0</v>
      </c>
      <c r="L682" s="59" t="n">
        <f aca="false">H682/Settings!$B$16</f>
        <v>-0</v>
      </c>
      <c r="M682" s="59" t="n">
        <f aca="false">H682/Settings!$B$20</f>
        <v>-0</v>
      </c>
      <c r="N682" s="60" t="n">
        <f aca="false">E682*Settings!$B$3</f>
        <v>0.216903057558743</v>
      </c>
      <c r="O682" s="60" t="n">
        <f aca="false">IF(E682&gt;0,(F682-N682)/SQRT(E682*Settings!$B$3*(1-Settings!$B$3)),0)</f>
        <v>-0.473116228387102</v>
      </c>
      <c r="P682" s="60" t="n">
        <f aca="false">MAX(0,F682-N682)</f>
        <v>0</v>
      </c>
      <c r="Q682" s="32" t="n">
        <f aca="false">(F682+Settings!$B$7*Settings!$B$3)/(E682+Settings!$B$7)</f>
        <v>0.0251239062809355</v>
      </c>
      <c r="R682" s="61" t="n">
        <f aca="false">PERCENTRANK($H$2:$H$1780,H682,6)</f>
        <v>0</v>
      </c>
      <c r="S682" s="61" t="n">
        <f aca="false">PERCENTRANK($Q$2:$Q$1780,Q682,6)</f>
        <v>0.168166</v>
      </c>
      <c r="T682" s="61" t="n">
        <f aca="false">PERCENTRANK($F$2:$F$1780,F682,6)</f>
        <v>0</v>
      </c>
      <c r="U682" s="62" t="n">
        <f aca="false">IF(F682&gt;0,(Settings!$B$8*T682+Settings!$B$9*R682+Settings!$B$10*S682)/SUM(Settings!$B$8:$B$10),0)</f>
        <v>0</v>
      </c>
      <c r="V682" s="56" t="str">
        <f aca="false">IF(U682&gt;0,RANK(U682,$U$2:$U$1780)+COUNTIF($U$2:U682,U682)-1,"")</f>
        <v/>
      </c>
      <c r="W682" s="56" t="str">
        <f aca="false">IF(V682="","",IF(V682&lt;=Settings!$B$11,"1 - Fix first",IF(V682&lt;=Settings!$B$12,"2 - Review","3 - Monitor")))</f>
        <v/>
      </c>
      <c r="X682" s="56" t="str">
        <f aca="false">IF(AND(E682&gt;=Settings!$B$4,F682&gt;=Settings!$B$5,O682&gt;=Settings!$B$6),"HIGH RATE","")</f>
        <v/>
      </c>
      <c r="Y682" s="56" t="str">
        <f aca="false">IF(F682&gt;0,RANK(F682,$F$2:$F$1780)+COUNTIF($F$2:F682,F682)-1,"")</f>
        <v/>
      </c>
      <c r="Z682" s="56" t="str">
        <f aca="false">IF(H682&gt;0,RANK(H682,$H$2:$H$1780)+COUNTIF($H$2:H682,H682)-1,"")</f>
        <v/>
      </c>
      <c r="AA682" s="56" t="str">
        <f aca="false">IF(AC682="","",RANK(AC682,$AC$2:$AC$1780)+COUNTIF($AC$2:AC682,AC682)-1)</f>
        <v/>
      </c>
      <c r="AB682" s="56" t="str">
        <f aca="false">IF(AD682="","",RANK(AD682,$AD$2:$AD$1780)+COUNTIF($AD$2:AD682,AD682)-1)</f>
        <v/>
      </c>
      <c r="AC682" s="56" t="str">
        <f aca="false">IF(AND(F682&gt;0,E682&gt;=Settings!$B$4),J682,"")</f>
        <v/>
      </c>
      <c r="AD682" s="56" t="str">
        <f aca="false">IF(X682="HIGH RATE",O682,"")</f>
        <v/>
      </c>
    </row>
    <row r="683" customFormat="false" ht="15" hidden="false" customHeight="false" outlineLevel="0" collapsed="false">
      <c r="A683" s="56" t="s">
        <v>1879</v>
      </c>
      <c r="B683" s="56" t="s">
        <v>1880</v>
      </c>
      <c r="C683" s="56" t="s">
        <v>51</v>
      </c>
      <c r="D683" s="56" t="str">
        <f aca="false">IFERROR(INDEX('Brand Map'!$B$4:$B$124,MATCH(C683,'Brand Map'!$A$4:$A$124,0)),"Other")</f>
        <v>AU</v>
      </c>
      <c r="E683" s="57" t="n">
        <v>1</v>
      </c>
      <c r="F683" s="57" t="n">
        <v>0</v>
      </c>
      <c r="G683" s="58" t="n">
        <v>636.32</v>
      </c>
      <c r="H683" s="58" t="n">
        <v>0</v>
      </c>
      <c r="I683" s="58" t="n">
        <v>636.32</v>
      </c>
      <c r="J683" s="32" t="n">
        <f aca="false">IF(E683&gt;0,F683/E683,0)</f>
        <v>0</v>
      </c>
      <c r="K683" s="32" t="n">
        <f aca="false">IF(G683&gt;0,H683/G683,0)</f>
        <v>-0</v>
      </c>
      <c r="L683" s="59" t="n">
        <f aca="false">H683/Settings!$B$16</f>
        <v>-0</v>
      </c>
      <c r="M683" s="59" t="n">
        <f aca="false">H683/Settings!$B$20</f>
        <v>-0</v>
      </c>
      <c r="N683" s="60" t="n">
        <f aca="false">E683*Settings!$B$3</f>
        <v>0.0309861510798204</v>
      </c>
      <c r="O683" s="60" t="n">
        <f aca="false">IF(E683&gt;0,(F683-N683)/SQRT(E683*Settings!$B$3*(1-Settings!$B$3)),0)</f>
        <v>-0.178821125934444</v>
      </c>
      <c r="P683" s="60" t="n">
        <f aca="false">MAX(0,F683-N683)</f>
        <v>0</v>
      </c>
      <c r="Q683" s="32" t="n">
        <f aca="false">(F683+Settings!$B$7*Settings!$B$3)/(E683+Settings!$B$7)</f>
        <v>0.0299865978191811</v>
      </c>
      <c r="R683" s="61" t="n">
        <f aca="false">PERCENTRANK($H$2:$H$1780,H683,6)</f>
        <v>0</v>
      </c>
      <c r="S683" s="61" t="n">
        <f aca="false">PERCENTRANK($Q$2:$Q$1780,Q683,6)</f>
        <v>0.486502</v>
      </c>
      <c r="T683" s="61" t="n">
        <f aca="false">PERCENTRANK($F$2:$F$1780,F683,6)</f>
        <v>0</v>
      </c>
      <c r="U683" s="62" t="n">
        <f aca="false">IF(F683&gt;0,(Settings!$B$8*T683+Settings!$B$9*R683+Settings!$B$10*S683)/SUM(Settings!$B$8:$B$10),0)</f>
        <v>0</v>
      </c>
      <c r="V683" s="56" t="str">
        <f aca="false">IF(U683&gt;0,RANK(U683,$U$2:$U$1780)+COUNTIF($U$2:U683,U683)-1,"")</f>
        <v/>
      </c>
      <c r="W683" s="56" t="str">
        <f aca="false">IF(V683="","",IF(V683&lt;=Settings!$B$11,"1 - Fix first",IF(V683&lt;=Settings!$B$12,"2 - Review","3 - Monitor")))</f>
        <v/>
      </c>
      <c r="X683" s="56" t="str">
        <f aca="false">IF(AND(E683&gt;=Settings!$B$4,F683&gt;=Settings!$B$5,O683&gt;=Settings!$B$6),"HIGH RATE","")</f>
        <v/>
      </c>
      <c r="Y683" s="56" t="str">
        <f aca="false">IF(F683&gt;0,RANK(F683,$F$2:$F$1780)+COUNTIF($F$2:F683,F683)-1,"")</f>
        <v/>
      </c>
      <c r="Z683" s="56" t="str">
        <f aca="false">IF(H683&gt;0,RANK(H683,$H$2:$H$1780)+COUNTIF($H$2:H683,H683)-1,"")</f>
        <v/>
      </c>
      <c r="AA683" s="56" t="str">
        <f aca="false">IF(AC683="","",RANK(AC683,$AC$2:$AC$1780)+COUNTIF($AC$2:AC683,AC683)-1)</f>
        <v/>
      </c>
      <c r="AB683" s="56" t="str">
        <f aca="false">IF(AD683="","",RANK(AD683,$AD$2:$AD$1780)+COUNTIF($AD$2:AD683,AD683)-1)</f>
        <v/>
      </c>
      <c r="AC683" s="56" t="str">
        <f aca="false">IF(AND(F683&gt;0,E683&gt;=Settings!$B$4),J683,"")</f>
        <v/>
      </c>
      <c r="AD683" s="56" t="str">
        <f aca="false">IF(X683="HIGH RATE",O683,"")</f>
        <v/>
      </c>
    </row>
    <row r="684" customFormat="false" ht="15" hidden="false" customHeight="false" outlineLevel="0" collapsed="false">
      <c r="A684" s="56" t="s">
        <v>1881</v>
      </c>
      <c r="B684" s="56" t="s">
        <v>1882</v>
      </c>
      <c r="C684" s="56" t="s">
        <v>51</v>
      </c>
      <c r="D684" s="56" t="str">
        <f aca="false">IFERROR(INDEX('Brand Map'!$B$4:$B$124,MATCH(C684,'Brand Map'!$A$4:$A$124,0)),"Other")</f>
        <v>AU</v>
      </c>
      <c r="E684" s="57" t="n">
        <v>11</v>
      </c>
      <c r="F684" s="57" t="n">
        <v>0</v>
      </c>
      <c r="G684" s="58" t="n">
        <v>7676.76</v>
      </c>
      <c r="H684" s="58" t="n">
        <v>0</v>
      </c>
      <c r="I684" s="58" t="n">
        <v>7361.8</v>
      </c>
      <c r="J684" s="32" t="n">
        <f aca="false">IF(E684&gt;0,F684/E684,0)</f>
        <v>0</v>
      </c>
      <c r="K684" s="32" t="n">
        <f aca="false">IF(G684&gt;0,H684/G684,0)</f>
        <v>-0</v>
      </c>
      <c r="L684" s="59" t="n">
        <f aca="false">H684/Settings!$B$16</f>
        <v>-0</v>
      </c>
      <c r="M684" s="59" t="n">
        <f aca="false">H684/Settings!$B$20</f>
        <v>-0</v>
      </c>
      <c r="N684" s="60" t="n">
        <f aca="false">E684*Settings!$B$3</f>
        <v>0.340847661878025</v>
      </c>
      <c r="O684" s="60" t="n">
        <f aca="false">IF(E684&gt;0,(F684-N684)/SQRT(E684*Settings!$B$3*(1-Settings!$B$3)),0)</f>
        <v>-0.593082579313442</v>
      </c>
      <c r="P684" s="60" t="n">
        <f aca="false">MAX(0,F684-N684)</f>
        <v>0</v>
      </c>
      <c r="Q684" s="32" t="n">
        <f aca="false">(F684+Settings!$B$7*Settings!$B$3)/(E684+Settings!$B$7)</f>
        <v>0.0226727934730393</v>
      </c>
      <c r="R684" s="61" t="n">
        <f aca="false">PERCENTRANK($H$2:$H$1780,H684,6)</f>
        <v>0</v>
      </c>
      <c r="S684" s="61" t="n">
        <f aca="false">PERCENTRANK($Q$2:$Q$1780,Q684,6)</f>
        <v>0.117548</v>
      </c>
      <c r="T684" s="61" t="n">
        <f aca="false">PERCENTRANK($F$2:$F$1780,F684,6)</f>
        <v>0</v>
      </c>
      <c r="U684" s="62" t="n">
        <f aca="false">IF(F684&gt;0,(Settings!$B$8*T684+Settings!$B$9*R684+Settings!$B$10*S684)/SUM(Settings!$B$8:$B$10),0)</f>
        <v>0</v>
      </c>
      <c r="V684" s="56" t="str">
        <f aca="false">IF(U684&gt;0,RANK(U684,$U$2:$U$1780)+COUNTIF($U$2:U684,U684)-1,"")</f>
        <v/>
      </c>
      <c r="W684" s="56" t="str">
        <f aca="false">IF(V684="","",IF(V684&lt;=Settings!$B$11,"1 - Fix first",IF(V684&lt;=Settings!$B$12,"2 - Review","3 - Monitor")))</f>
        <v/>
      </c>
      <c r="X684" s="56" t="str">
        <f aca="false">IF(AND(E684&gt;=Settings!$B$4,F684&gt;=Settings!$B$5,O684&gt;=Settings!$B$6),"HIGH RATE","")</f>
        <v/>
      </c>
      <c r="Y684" s="56" t="str">
        <f aca="false">IF(F684&gt;0,RANK(F684,$F$2:$F$1780)+COUNTIF($F$2:F684,F684)-1,"")</f>
        <v/>
      </c>
      <c r="Z684" s="56" t="str">
        <f aca="false">IF(H684&gt;0,RANK(H684,$H$2:$H$1780)+COUNTIF($H$2:H684,H684)-1,"")</f>
        <v/>
      </c>
      <c r="AA684" s="56" t="str">
        <f aca="false">IF(AC684="","",RANK(AC684,$AC$2:$AC$1780)+COUNTIF($AC$2:AC684,AC684)-1)</f>
        <v/>
      </c>
      <c r="AB684" s="56" t="str">
        <f aca="false">IF(AD684="","",RANK(AD684,$AD$2:$AD$1780)+COUNTIF($AD$2:AD684,AD684)-1)</f>
        <v/>
      </c>
      <c r="AC684" s="56" t="str">
        <f aca="false">IF(AND(F684&gt;0,E684&gt;=Settings!$B$4),J684,"")</f>
        <v/>
      </c>
      <c r="AD684" s="56" t="str">
        <f aca="false">IF(X684="HIGH RATE",O684,"")</f>
        <v/>
      </c>
    </row>
    <row r="685" customFormat="false" ht="15" hidden="false" customHeight="false" outlineLevel="0" collapsed="false">
      <c r="A685" s="56" t="s">
        <v>1883</v>
      </c>
      <c r="B685" s="56" t="s">
        <v>1884</v>
      </c>
      <c r="C685" s="56" t="s">
        <v>51</v>
      </c>
      <c r="D685" s="56" t="str">
        <f aca="false">IFERROR(INDEX('Brand Map'!$B$4:$B$124,MATCH(C685,'Brand Map'!$A$4:$A$124,0)),"Other")</f>
        <v>AU</v>
      </c>
      <c r="E685" s="57" t="n">
        <v>1</v>
      </c>
      <c r="F685" s="57" t="n">
        <v>0</v>
      </c>
      <c r="G685" s="58" t="n">
        <v>40.86</v>
      </c>
      <c r="H685" s="58" t="n">
        <v>0</v>
      </c>
      <c r="I685" s="58" t="n">
        <v>40.86</v>
      </c>
      <c r="J685" s="32" t="n">
        <f aca="false">IF(E685&gt;0,F685/E685,0)</f>
        <v>0</v>
      </c>
      <c r="K685" s="32" t="n">
        <f aca="false">IF(G685&gt;0,H685/G685,0)</f>
        <v>-0</v>
      </c>
      <c r="L685" s="59" t="n">
        <f aca="false">H685/Settings!$B$16</f>
        <v>-0</v>
      </c>
      <c r="M685" s="59" t="n">
        <f aca="false">H685/Settings!$B$20</f>
        <v>-0</v>
      </c>
      <c r="N685" s="60" t="n">
        <f aca="false">E685*Settings!$B$3</f>
        <v>0.0309861510798204</v>
      </c>
      <c r="O685" s="60" t="n">
        <f aca="false">IF(E685&gt;0,(F685-N685)/SQRT(E685*Settings!$B$3*(1-Settings!$B$3)),0)</f>
        <v>-0.178821125934444</v>
      </c>
      <c r="P685" s="60" t="n">
        <f aca="false">MAX(0,F685-N685)</f>
        <v>0</v>
      </c>
      <c r="Q685" s="32" t="n">
        <f aca="false">(F685+Settings!$B$7*Settings!$B$3)/(E685+Settings!$B$7)</f>
        <v>0.0299865978191811</v>
      </c>
      <c r="R685" s="61" t="n">
        <f aca="false">PERCENTRANK($H$2:$H$1780,H685,6)</f>
        <v>0</v>
      </c>
      <c r="S685" s="61" t="n">
        <f aca="false">PERCENTRANK($Q$2:$Q$1780,Q685,6)</f>
        <v>0.486502</v>
      </c>
      <c r="T685" s="61" t="n">
        <f aca="false">PERCENTRANK($F$2:$F$1780,F685,6)</f>
        <v>0</v>
      </c>
      <c r="U685" s="62" t="n">
        <f aca="false">IF(F685&gt;0,(Settings!$B$8*T685+Settings!$B$9*R685+Settings!$B$10*S685)/SUM(Settings!$B$8:$B$10),0)</f>
        <v>0</v>
      </c>
      <c r="V685" s="56" t="str">
        <f aca="false">IF(U685&gt;0,RANK(U685,$U$2:$U$1780)+COUNTIF($U$2:U685,U685)-1,"")</f>
        <v/>
      </c>
      <c r="W685" s="56" t="str">
        <f aca="false">IF(V685="","",IF(V685&lt;=Settings!$B$11,"1 - Fix first",IF(V685&lt;=Settings!$B$12,"2 - Review","3 - Monitor")))</f>
        <v/>
      </c>
      <c r="X685" s="56" t="str">
        <f aca="false">IF(AND(E685&gt;=Settings!$B$4,F685&gt;=Settings!$B$5,O685&gt;=Settings!$B$6),"HIGH RATE","")</f>
        <v/>
      </c>
      <c r="Y685" s="56" t="str">
        <f aca="false">IF(F685&gt;0,RANK(F685,$F$2:$F$1780)+COUNTIF($F$2:F685,F685)-1,"")</f>
        <v/>
      </c>
      <c r="Z685" s="56" t="str">
        <f aca="false">IF(H685&gt;0,RANK(H685,$H$2:$H$1780)+COUNTIF($H$2:H685,H685)-1,"")</f>
        <v/>
      </c>
      <c r="AA685" s="56" t="str">
        <f aca="false">IF(AC685="","",RANK(AC685,$AC$2:$AC$1780)+COUNTIF($AC$2:AC685,AC685)-1)</f>
        <v/>
      </c>
      <c r="AB685" s="56" t="str">
        <f aca="false">IF(AD685="","",RANK(AD685,$AD$2:$AD$1780)+COUNTIF($AD$2:AD685,AD685)-1)</f>
        <v/>
      </c>
      <c r="AC685" s="56" t="str">
        <f aca="false">IF(AND(F685&gt;0,E685&gt;=Settings!$B$4),J685,"")</f>
        <v/>
      </c>
      <c r="AD685" s="56" t="str">
        <f aca="false">IF(X685="HIGH RATE",O685,"")</f>
        <v/>
      </c>
    </row>
    <row r="686" customFormat="false" ht="15" hidden="false" customHeight="false" outlineLevel="0" collapsed="false">
      <c r="A686" s="56" t="s">
        <v>1885</v>
      </c>
      <c r="B686" s="56" t="s">
        <v>1886</v>
      </c>
      <c r="C686" s="56" t="s">
        <v>51</v>
      </c>
      <c r="D686" s="56" t="str">
        <f aca="false">IFERROR(INDEX('Brand Map'!$B$4:$B$124,MATCH(C686,'Brand Map'!$A$4:$A$124,0)),"Other")</f>
        <v>AU</v>
      </c>
      <c r="E686" s="57" t="n">
        <v>1</v>
      </c>
      <c r="F686" s="57" t="n">
        <v>0</v>
      </c>
      <c r="G686" s="58" t="n">
        <v>44.95</v>
      </c>
      <c r="H686" s="58" t="n">
        <v>0</v>
      </c>
      <c r="I686" s="58" t="n">
        <v>44.95</v>
      </c>
      <c r="J686" s="32" t="n">
        <f aca="false">IF(E686&gt;0,F686/E686,0)</f>
        <v>0</v>
      </c>
      <c r="K686" s="32" t="n">
        <f aca="false">IF(G686&gt;0,H686/G686,0)</f>
        <v>-0</v>
      </c>
      <c r="L686" s="59" t="n">
        <f aca="false">H686/Settings!$B$16</f>
        <v>-0</v>
      </c>
      <c r="M686" s="59" t="n">
        <f aca="false">H686/Settings!$B$20</f>
        <v>-0</v>
      </c>
      <c r="N686" s="60" t="n">
        <f aca="false">E686*Settings!$B$3</f>
        <v>0.0309861510798204</v>
      </c>
      <c r="O686" s="60" t="n">
        <f aca="false">IF(E686&gt;0,(F686-N686)/SQRT(E686*Settings!$B$3*(1-Settings!$B$3)),0)</f>
        <v>-0.178821125934444</v>
      </c>
      <c r="P686" s="60" t="n">
        <f aca="false">MAX(0,F686-N686)</f>
        <v>0</v>
      </c>
      <c r="Q686" s="32" t="n">
        <f aca="false">(F686+Settings!$B$7*Settings!$B$3)/(E686+Settings!$B$7)</f>
        <v>0.0299865978191811</v>
      </c>
      <c r="R686" s="61" t="n">
        <f aca="false">PERCENTRANK($H$2:$H$1780,H686,6)</f>
        <v>0</v>
      </c>
      <c r="S686" s="61" t="n">
        <f aca="false">PERCENTRANK($Q$2:$Q$1780,Q686,6)</f>
        <v>0.486502</v>
      </c>
      <c r="T686" s="61" t="n">
        <f aca="false">PERCENTRANK($F$2:$F$1780,F686,6)</f>
        <v>0</v>
      </c>
      <c r="U686" s="62" t="n">
        <f aca="false">IF(F686&gt;0,(Settings!$B$8*T686+Settings!$B$9*R686+Settings!$B$10*S686)/SUM(Settings!$B$8:$B$10),0)</f>
        <v>0</v>
      </c>
      <c r="V686" s="56" t="str">
        <f aca="false">IF(U686&gt;0,RANK(U686,$U$2:$U$1780)+COUNTIF($U$2:U686,U686)-1,"")</f>
        <v/>
      </c>
      <c r="W686" s="56" t="str">
        <f aca="false">IF(V686="","",IF(V686&lt;=Settings!$B$11,"1 - Fix first",IF(V686&lt;=Settings!$B$12,"2 - Review","3 - Monitor")))</f>
        <v/>
      </c>
      <c r="X686" s="56" t="str">
        <f aca="false">IF(AND(E686&gt;=Settings!$B$4,F686&gt;=Settings!$B$5,O686&gt;=Settings!$B$6),"HIGH RATE","")</f>
        <v/>
      </c>
      <c r="Y686" s="56" t="str">
        <f aca="false">IF(F686&gt;0,RANK(F686,$F$2:$F$1780)+COUNTIF($F$2:F686,F686)-1,"")</f>
        <v/>
      </c>
      <c r="Z686" s="56" t="str">
        <f aca="false">IF(H686&gt;0,RANK(H686,$H$2:$H$1780)+COUNTIF($H$2:H686,H686)-1,"")</f>
        <v/>
      </c>
      <c r="AA686" s="56" t="str">
        <f aca="false">IF(AC686="","",RANK(AC686,$AC$2:$AC$1780)+COUNTIF($AC$2:AC686,AC686)-1)</f>
        <v/>
      </c>
      <c r="AB686" s="56" t="str">
        <f aca="false">IF(AD686="","",RANK(AD686,$AD$2:$AD$1780)+COUNTIF($AD$2:AD686,AD686)-1)</f>
        <v/>
      </c>
      <c r="AC686" s="56" t="str">
        <f aca="false">IF(AND(F686&gt;0,E686&gt;=Settings!$B$4),J686,"")</f>
        <v/>
      </c>
      <c r="AD686" s="56" t="str">
        <f aca="false">IF(X686="HIGH RATE",O686,"")</f>
        <v/>
      </c>
    </row>
    <row r="687" customFormat="false" ht="15" hidden="false" customHeight="false" outlineLevel="0" collapsed="false">
      <c r="A687" s="56" t="s">
        <v>1887</v>
      </c>
      <c r="B687" s="56" t="s">
        <v>1888</v>
      </c>
      <c r="C687" s="56" t="s">
        <v>51</v>
      </c>
      <c r="D687" s="56" t="str">
        <f aca="false">IFERROR(INDEX('Brand Map'!$B$4:$B$124,MATCH(C687,'Brand Map'!$A$4:$A$124,0)),"Other")</f>
        <v>AU</v>
      </c>
      <c r="E687" s="57" t="n">
        <v>2</v>
      </c>
      <c r="F687" s="57" t="n">
        <v>0</v>
      </c>
      <c r="G687" s="58" t="n">
        <v>89.9</v>
      </c>
      <c r="H687" s="58" t="n">
        <v>0</v>
      </c>
      <c r="I687" s="58" t="n">
        <v>89.9</v>
      </c>
      <c r="J687" s="32" t="n">
        <f aca="false">IF(E687&gt;0,F687/E687,0)</f>
        <v>0</v>
      </c>
      <c r="K687" s="32" t="n">
        <f aca="false">IF(G687&gt;0,H687/G687,0)</f>
        <v>-0</v>
      </c>
      <c r="L687" s="59" t="n">
        <f aca="false">H687/Settings!$B$16</f>
        <v>-0</v>
      </c>
      <c r="M687" s="59" t="n">
        <f aca="false">H687/Settings!$B$20</f>
        <v>-0</v>
      </c>
      <c r="N687" s="60" t="n">
        <f aca="false">E687*Settings!$B$3</f>
        <v>0.0619723021596408</v>
      </c>
      <c r="O687" s="60" t="n">
        <f aca="false">IF(E687&gt;0,(F687-N687)/SQRT(E687*Settings!$B$3*(1-Settings!$B$3)),0)</f>
        <v>-0.252891261535318</v>
      </c>
      <c r="P687" s="60" t="n">
        <f aca="false">MAX(0,F687-N687)</f>
        <v>0</v>
      </c>
      <c r="Q687" s="32" t="n">
        <f aca="false">(F687+Settings!$B$7*Settings!$B$3)/(E687+Settings!$B$7)</f>
        <v>0.0290495166373316</v>
      </c>
      <c r="R687" s="61" t="n">
        <f aca="false">PERCENTRANK($H$2:$H$1780,H687,6)</f>
        <v>0</v>
      </c>
      <c r="S687" s="61" t="n">
        <f aca="false">PERCENTRANK($Q$2:$Q$1780,Q687,6)</f>
        <v>0.365579</v>
      </c>
      <c r="T687" s="61" t="n">
        <f aca="false">PERCENTRANK($F$2:$F$1780,F687,6)</f>
        <v>0</v>
      </c>
      <c r="U687" s="62" t="n">
        <f aca="false">IF(F687&gt;0,(Settings!$B$8*T687+Settings!$B$9*R687+Settings!$B$10*S687)/SUM(Settings!$B$8:$B$10),0)</f>
        <v>0</v>
      </c>
      <c r="V687" s="56" t="str">
        <f aca="false">IF(U687&gt;0,RANK(U687,$U$2:$U$1780)+COUNTIF($U$2:U687,U687)-1,"")</f>
        <v/>
      </c>
      <c r="W687" s="56" t="str">
        <f aca="false">IF(V687="","",IF(V687&lt;=Settings!$B$11,"1 - Fix first",IF(V687&lt;=Settings!$B$12,"2 - Review","3 - Monitor")))</f>
        <v/>
      </c>
      <c r="X687" s="56" t="str">
        <f aca="false">IF(AND(E687&gt;=Settings!$B$4,F687&gt;=Settings!$B$5,O687&gt;=Settings!$B$6),"HIGH RATE","")</f>
        <v/>
      </c>
      <c r="Y687" s="56" t="str">
        <f aca="false">IF(F687&gt;0,RANK(F687,$F$2:$F$1780)+COUNTIF($F$2:F687,F687)-1,"")</f>
        <v/>
      </c>
      <c r="Z687" s="56" t="str">
        <f aca="false">IF(H687&gt;0,RANK(H687,$H$2:$H$1780)+COUNTIF($H$2:H687,H687)-1,"")</f>
        <v/>
      </c>
      <c r="AA687" s="56" t="str">
        <f aca="false">IF(AC687="","",RANK(AC687,$AC$2:$AC$1780)+COUNTIF($AC$2:AC687,AC687)-1)</f>
        <v/>
      </c>
      <c r="AB687" s="56" t="str">
        <f aca="false">IF(AD687="","",RANK(AD687,$AD$2:$AD$1780)+COUNTIF($AD$2:AD687,AD687)-1)</f>
        <v/>
      </c>
      <c r="AC687" s="56" t="str">
        <f aca="false">IF(AND(F687&gt;0,E687&gt;=Settings!$B$4),J687,"")</f>
        <v/>
      </c>
      <c r="AD687" s="56" t="str">
        <f aca="false">IF(X687="HIGH RATE",O687,"")</f>
        <v/>
      </c>
    </row>
    <row r="688" customFormat="false" ht="15" hidden="false" customHeight="false" outlineLevel="0" collapsed="false">
      <c r="A688" s="56" t="s">
        <v>1889</v>
      </c>
      <c r="B688" s="56" t="s">
        <v>1890</v>
      </c>
      <c r="C688" s="56" t="s">
        <v>51</v>
      </c>
      <c r="D688" s="56" t="str">
        <f aca="false">IFERROR(INDEX('Brand Map'!$B$4:$B$124,MATCH(C688,'Brand Map'!$A$4:$A$124,0)),"Other")</f>
        <v>AU</v>
      </c>
      <c r="E688" s="57" t="n">
        <v>1</v>
      </c>
      <c r="F688" s="57" t="n">
        <v>0</v>
      </c>
      <c r="G688" s="58" t="n">
        <v>27.23</v>
      </c>
      <c r="H688" s="58" t="n">
        <v>0</v>
      </c>
      <c r="I688" s="58" t="n">
        <v>23.15</v>
      </c>
      <c r="J688" s="32" t="n">
        <f aca="false">IF(E688&gt;0,F688/E688,0)</f>
        <v>0</v>
      </c>
      <c r="K688" s="32" t="n">
        <f aca="false">IF(G688&gt;0,H688/G688,0)</f>
        <v>-0</v>
      </c>
      <c r="L688" s="59" t="n">
        <f aca="false">H688/Settings!$B$16</f>
        <v>-0</v>
      </c>
      <c r="M688" s="59" t="n">
        <f aca="false">H688/Settings!$B$20</f>
        <v>-0</v>
      </c>
      <c r="N688" s="60" t="n">
        <f aca="false">E688*Settings!$B$3</f>
        <v>0.0309861510798204</v>
      </c>
      <c r="O688" s="60" t="n">
        <f aca="false">IF(E688&gt;0,(F688-N688)/SQRT(E688*Settings!$B$3*(1-Settings!$B$3)),0)</f>
        <v>-0.178821125934444</v>
      </c>
      <c r="P688" s="60" t="n">
        <f aca="false">MAX(0,F688-N688)</f>
        <v>0</v>
      </c>
      <c r="Q688" s="32" t="n">
        <f aca="false">(F688+Settings!$B$7*Settings!$B$3)/(E688+Settings!$B$7)</f>
        <v>0.0299865978191811</v>
      </c>
      <c r="R688" s="61" t="n">
        <f aca="false">PERCENTRANK($H$2:$H$1780,H688,6)</f>
        <v>0</v>
      </c>
      <c r="S688" s="61" t="n">
        <f aca="false">PERCENTRANK($Q$2:$Q$1780,Q688,6)</f>
        <v>0.486502</v>
      </c>
      <c r="T688" s="61" t="n">
        <f aca="false">PERCENTRANK($F$2:$F$1780,F688,6)</f>
        <v>0</v>
      </c>
      <c r="U688" s="62" t="n">
        <f aca="false">IF(F688&gt;0,(Settings!$B$8*T688+Settings!$B$9*R688+Settings!$B$10*S688)/SUM(Settings!$B$8:$B$10),0)</f>
        <v>0</v>
      </c>
      <c r="V688" s="56" t="str">
        <f aca="false">IF(U688&gt;0,RANK(U688,$U$2:$U$1780)+COUNTIF($U$2:U688,U688)-1,"")</f>
        <v/>
      </c>
      <c r="W688" s="56" t="str">
        <f aca="false">IF(V688="","",IF(V688&lt;=Settings!$B$11,"1 - Fix first",IF(V688&lt;=Settings!$B$12,"2 - Review","3 - Monitor")))</f>
        <v/>
      </c>
      <c r="X688" s="56" t="str">
        <f aca="false">IF(AND(E688&gt;=Settings!$B$4,F688&gt;=Settings!$B$5,O688&gt;=Settings!$B$6),"HIGH RATE","")</f>
        <v/>
      </c>
      <c r="Y688" s="56" t="str">
        <f aca="false">IF(F688&gt;0,RANK(F688,$F$2:$F$1780)+COUNTIF($F$2:F688,F688)-1,"")</f>
        <v/>
      </c>
      <c r="Z688" s="56" t="str">
        <f aca="false">IF(H688&gt;0,RANK(H688,$H$2:$H$1780)+COUNTIF($H$2:H688,H688)-1,"")</f>
        <v/>
      </c>
      <c r="AA688" s="56" t="str">
        <f aca="false">IF(AC688="","",RANK(AC688,$AC$2:$AC$1780)+COUNTIF($AC$2:AC688,AC688)-1)</f>
        <v/>
      </c>
      <c r="AB688" s="56" t="str">
        <f aca="false">IF(AD688="","",RANK(AD688,$AD$2:$AD$1780)+COUNTIF($AD$2:AD688,AD688)-1)</f>
        <v/>
      </c>
      <c r="AC688" s="56" t="str">
        <f aca="false">IF(AND(F688&gt;0,E688&gt;=Settings!$B$4),J688,"")</f>
        <v/>
      </c>
      <c r="AD688" s="56" t="str">
        <f aca="false">IF(X688="HIGH RATE",O688,"")</f>
        <v/>
      </c>
    </row>
    <row r="689" customFormat="false" ht="15" hidden="false" customHeight="false" outlineLevel="0" collapsed="false">
      <c r="A689" s="56" t="s">
        <v>1891</v>
      </c>
      <c r="B689" s="56" t="s">
        <v>1892</v>
      </c>
      <c r="C689" s="56" t="s">
        <v>51</v>
      </c>
      <c r="D689" s="56" t="str">
        <f aca="false">IFERROR(INDEX('Brand Map'!$B$4:$B$124,MATCH(C689,'Brand Map'!$A$4:$A$124,0)),"Other")</f>
        <v>AU</v>
      </c>
      <c r="E689" s="57" t="n">
        <v>4</v>
      </c>
      <c r="F689" s="57" t="n">
        <v>0</v>
      </c>
      <c r="G689" s="58" t="n">
        <v>162.08</v>
      </c>
      <c r="H689" s="58" t="n">
        <v>0</v>
      </c>
      <c r="I689" s="58" t="n">
        <v>162.08</v>
      </c>
      <c r="J689" s="32" t="n">
        <f aca="false">IF(E689&gt;0,F689/E689,0)</f>
        <v>0</v>
      </c>
      <c r="K689" s="32" t="n">
        <f aca="false">IF(G689&gt;0,H689/G689,0)</f>
        <v>-0</v>
      </c>
      <c r="L689" s="59" t="n">
        <f aca="false">H689/Settings!$B$16</f>
        <v>-0</v>
      </c>
      <c r="M689" s="59" t="n">
        <f aca="false">H689/Settings!$B$20</f>
        <v>-0</v>
      </c>
      <c r="N689" s="60" t="n">
        <f aca="false">E689*Settings!$B$3</f>
        <v>0.123944604319282</v>
      </c>
      <c r="O689" s="60" t="n">
        <f aca="false">IF(E689&gt;0,(F689-N689)/SQRT(E689*Settings!$B$3*(1-Settings!$B$3)),0)</f>
        <v>-0.357642251868888</v>
      </c>
      <c r="P689" s="60" t="n">
        <f aca="false">MAX(0,F689-N689)</f>
        <v>0</v>
      </c>
      <c r="Q689" s="32" t="n">
        <f aca="false">(F689+Settings!$B$7*Settings!$B$3)/(E689+Settings!$B$7)</f>
        <v>0.027340721541018</v>
      </c>
      <c r="R689" s="61" t="n">
        <f aca="false">PERCENTRANK($H$2:$H$1780,H689,6)</f>
        <v>0</v>
      </c>
      <c r="S689" s="61" t="n">
        <f aca="false">PERCENTRANK($Q$2:$Q$1780,Q689,6)</f>
        <v>0.253656</v>
      </c>
      <c r="T689" s="61" t="n">
        <f aca="false">PERCENTRANK($F$2:$F$1780,F689,6)</f>
        <v>0</v>
      </c>
      <c r="U689" s="62" t="n">
        <f aca="false">IF(F689&gt;0,(Settings!$B$8*T689+Settings!$B$9*R689+Settings!$B$10*S689)/SUM(Settings!$B$8:$B$10),0)</f>
        <v>0</v>
      </c>
      <c r="V689" s="56" t="str">
        <f aca="false">IF(U689&gt;0,RANK(U689,$U$2:$U$1780)+COUNTIF($U$2:U689,U689)-1,"")</f>
        <v/>
      </c>
      <c r="W689" s="56" t="str">
        <f aca="false">IF(V689="","",IF(V689&lt;=Settings!$B$11,"1 - Fix first",IF(V689&lt;=Settings!$B$12,"2 - Review","3 - Monitor")))</f>
        <v/>
      </c>
      <c r="X689" s="56" t="str">
        <f aca="false">IF(AND(E689&gt;=Settings!$B$4,F689&gt;=Settings!$B$5,O689&gt;=Settings!$B$6),"HIGH RATE","")</f>
        <v/>
      </c>
      <c r="Y689" s="56" t="str">
        <f aca="false">IF(F689&gt;0,RANK(F689,$F$2:$F$1780)+COUNTIF($F$2:F689,F689)-1,"")</f>
        <v/>
      </c>
      <c r="Z689" s="56" t="str">
        <f aca="false">IF(H689&gt;0,RANK(H689,$H$2:$H$1780)+COUNTIF($H$2:H689,H689)-1,"")</f>
        <v/>
      </c>
      <c r="AA689" s="56" t="str">
        <f aca="false">IF(AC689="","",RANK(AC689,$AC$2:$AC$1780)+COUNTIF($AC$2:AC689,AC689)-1)</f>
        <v/>
      </c>
      <c r="AB689" s="56" t="str">
        <f aca="false">IF(AD689="","",RANK(AD689,$AD$2:$AD$1780)+COUNTIF($AD$2:AD689,AD689)-1)</f>
        <v/>
      </c>
      <c r="AC689" s="56" t="str">
        <f aca="false">IF(AND(F689&gt;0,E689&gt;=Settings!$B$4),J689,"")</f>
        <v/>
      </c>
      <c r="AD689" s="56" t="str">
        <f aca="false">IF(X689="HIGH RATE",O689,"")</f>
        <v/>
      </c>
    </row>
    <row r="690" customFormat="false" ht="15" hidden="false" customHeight="false" outlineLevel="0" collapsed="false">
      <c r="A690" s="56" t="s">
        <v>1893</v>
      </c>
      <c r="B690" s="56" t="s">
        <v>1894</v>
      </c>
      <c r="C690" s="56" t="s">
        <v>51</v>
      </c>
      <c r="D690" s="56" t="str">
        <f aca="false">IFERROR(INDEX('Brand Map'!$B$4:$B$124,MATCH(C690,'Brand Map'!$A$4:$A$124,0)),"Other")</f>
        <v>AU</v>
      </c>
      <c r="E690" s="57" t="n">
        <v>3</v>
      </c>
      <c r="F690" s="57" t="n">
        <v>0</v>
      </c>
      <c r="G690" s="58" t="n">
        <v>108.49</v>
      </c>
      <c r="H690" s="58" t="n">
        <v>0</v>
      </c>
      <c r="I690" s="58" t="n">
        <v>108.49</v>
      </c>
      <c r="J690" s="32" t="n">
        <f aca="false">IF(E690&gt;0,F690/E690,0)</f>
        <v>0</v>
      </c>
      <c r="K690" s="32" t="n">
        <f aca="false">IF(G690&gt;0,H690/G690,0)</f>
        <v>-0</v>
      </c>
      <c r="L690" s="59" t="n">
        <f aca="false">H690/Settings!$B$16</f>
        <v>-0</v>
      </c>
      <c r="M690" s="59" t="n">
        <f aca="false">H690/Settings!$B$20</f>
        <v>-0</v>
      </c>
      <c r="N690" s="60" t="n">
        <f aca="false">E690*Settings!$B$3</f>
        <v>0.0929584532394613</v>
      </c>
      <c r="O690" s="60" t="n">
        <f aca="false">IF(E690&gt;0,(F690-N690)/SQRT(E690*Settings!$B$3*(1-Settings!$B$3)),0)</f>
        <v>-0.30972727558513</v>
      </c>
      <c r="P690" s="60" t="n">
        <f aca="false">MAX(0,F690-N690)</f>
        <v>0</v>
      </c>
      <c r="Q690" s="32" t="n">
        <f aca="false">(F690+Settings!$B$7*Settings!$B$3)/(E690+Settings!$B$7)</f>
        <v>0.0281692282543822</v>
      </c>
      <c r="R690" s="61" t="n">
        <f aca="false">PERCENTRANK($H$2:$H$1780,H690,6)</f>
        <v>0</v>
      </c>
      <c r="S690" s="61" t="n">
        <f aca="false">PERCENTRANK($Q$2:$Q$1780,Q690,6)</f>
        <v>0.294151</v>
      </c>
      <c r="T690" s="61" t="n">
        <f aca="false">PERCENTRANK($F$2:$F$1780,F690,6)</f>
        <v>0</v>
      </c>
      <c r="U690" s="62" t="n">
        <f aca="false">IF(F690&gt;0,(Settings!$B$8*T690+Settings!$B$9*R690+Settings!$B$10*S690)/SUM(Settings!$B$8:$B$10),0)</f>
        <v>0</v>
      </c>
      <c r="V690" s="56" t="str">
        <f aca="false">IF(U690&gt;0,RANK(U690,$U$2:$U$1780)+COUNTIF($U$2:U690,U690)-1,"")</f>
        <v/>
      </c>
      <c r="W690" s="56" t="str">
        <f aca="false">IF(V690="","",IF(V690&lt;=Settings!$B$11,"1 - Fix first",IF(V690&lt;=Settings!$B$12,"2 - Review","3 - Monitor")))</f>
        <v/>
      </c>
      <c r="X690" s="56" t="str">
        <f aca="false">IF(AND(E690&gt;=Settings!$B$4,F690&gt;=Settings!$B$5,O690&gt;=Settings!$B$6),"HIGH RATE","")</f>
        <v/>
      </c>
      <c r="Y690" s="56" t="str">
        <f aca="false">IF(F690&gt;0,RANK(F690,$F$2:$F$1780)+COUNTIF($F$2:F690,F690)-1,"")</f>
        <v/>
      </c>
      <c r="Z690" s="56" t="str">
        <f aca="false">IF(H690&gt;0,RANK(H690,$H$2:$H$1780)+COUNTIF($H$2:H690,H690)-1,"")</f>
        <v/>
      </c>
      <c r="AA690" s="56" t="str">
        <f aca="false">IF(AC690="","",RANK(AC690,$AC$2:$AC$1780)+COUNTIF($AC$2:AC690,AC690)-1)</f>
        <v/>
      </c>
      <c r="AB690" s="56" t="str">
        <f aca="false">IF(AD690="","",RANK(AD690,$AD$2:$AD$1780)+COUNTIF($AD$2:AD690,AD690)-1)</f>
        <v/>
      </c>
      <c r="AC690" s="56" t="str">
        <f aca="false">IF(AND(F690&gt;0,E690&gt;=Settings!$B$4),J690,"")</f>
        <v/>
      </c>
      <c r="AD690" s="56" t="str">
        <f aca="false">IF(X690="HIGH RATE",O690,"")</f>
        <v/>
      </c>
    </row>
    <row r="691" customFormat="false" ht="15" hidden="false" customHeight="false" outlineLevel="0" collapsed="false">
      <c r="A691" s="56" t="s">
        <v>1895</v>
      </c>
      <c r="B691" s="56" t="s">
        <v>1896</v>
      </c>
      <c r="C691" s="56" t="s">
        <v>51</v>
      </c>
      <c r="D691" s="56" t="str">
        <f aca="false">IFERROR(INDEX('Brand Map'!$B$4:$B$124,MATCH(C691,'Brand Map'!$A$4:$A$124,0)),"Other")</f>
        <v>AU</v>
      </c>
      <c r="E691" s="57" t="n">
        <v>2</v>
      </c>
      <c r="F691" s="57" t="n">
        <v>0</v>
      </c>
      <c r="G691" s="58" t="n">
        <v>85.81</v>
      </c>
      <c r="H691" s="58" t="n">
        <v>0</v>
      </c>
      <c r="I691" s="58" t="n">
        <v>85.81</v>
      </c>
      <c r="J691" s="32" t="n">
        <f aca="false">IF(E691&gt;0,F691/E691,0)</f>
        <v>0</v>
      </c>
      <c r="K691" s="32" t="n">
        <f aca="false">IF(G691&gt;0,H691/G691,0)</f>
        <v>-0</v>
      </c>
      <c r="L691" s="59" t="n">
        <f aca="false">H691/Settings!$B$16</f>
        <v>-0</v>
      </c>
      <c r="M691" s="59" t="n">
        <f aca="false">H691/Settings!$B$20</f>
        <v>-0</v>
      </c>
      <c r="N691" s="60" t="n">
        <f aca="false">E691*Settings!$B$3</f>
        <v>0.0619723021596408</v>
      </c>
      <c r="O691" s="60" t="n">
        <f aca="false">IF(E691&gt;0,(F691-N691)/SQRT(E691*Settings!$B$3*(1-Settings!$B$3)),0)</f>
        <v>-0.252891261535318</v>
      </c>
      <c r="P691" s="60" t="n">
        <f aca="false">MAX(0,F691-N691)</f>
        <v>0</v>
      </c>
      <c r="Q691" s="32" t="n">
        <f aca="false">(F691+Settings!$B$7*Settings!$B$3)/(E691+Settings!$B$7)</f>
        <v>0.0290495166373316</v>
      </c>
      <c r="R691" s="61" t="n">
        <f aca="false">PERCENTRANK($H$2:$H$1780,H691,6)</f>
        <v>0</v>
      </c>
      <c r="S691" s="61" t="n">
        <f aca="false">PERCENTRANK($Q$2:$Q$1780,Q691,6)</f>
        <v>0.365579</v>
      </c>
      <c r="T691" s="61" t="n">
        <f aca="false">PERCENTRANK($F$2:$F$1780,F691,6)</f>
        <v>0</v>
      </c>
      <c r="U691" s="62" t="n">
        <f aca="false">IF(F691&gt;0,(Settings!$B$8*T691+Settings!$B$9*R691+Settings!$B$10*S691)/SUM(Settings!$B$8:$B$10),0)</f>
        <v>0</v>
      </c>
      <c r="V691" s="56" t="str">
        <f aca="false">IF(U691&gt;0,RANK(U691,$U$2:$U$1780)+COUNTIF($U$2:U691,U691)-1,"")</f>
        <v/>
      </c>
      <c r="W691" s="56" t="str">
        <f aca="false">IF(V691="","",IF(V691&lt;=Settings!$B$11,"1 - Fix first",IF(V691&lt;=Settings!$B$12,"2 - Review","3 - Monitor")))</f>
        <v/>
      </c>
      <c r="X691" s="56" t="str">
        <f aca="false">IF(AND(E691&gt;=Settings!$B$4,F691&gt;=Settings!$B$5,O691&gt;=Settings!$B$6),"HIGH RATE","")</f>
        <v/>
      </c>
      <c r="Y691" s="56" t="str">
        <f aca="false">IF(F691&gt;0,RANK(F691,$F$2:$F$1780)+COUNTIF($F$2:F691,F691)-1,"")</f>
        <v/>
      </c>
      <c r="Z691" s="56" t="str">
        <f aca="false">IF(H691&gt;0,RANK(H691,$H$2:$H$1780)+COUNTIF($H$2:H691,H691)-1,"")</f>
        <v/>
      </c>
      <c r="AA691" s="56" t="str">
        <f aca="false">IF(AC691="","",RANK(AC691,$AC$2:$AC$1780)+COUNTIF($AC$2:AC691,AC691)-1)</f>
        <v/>
      </c>
      <c r="AB691" s="56" t="str">
        <f aca="false">IF(AD691="","",RANK(AD691,$AD$2:$AD$1780)+COUNTIF($AD$2:AD691,AD691)-1)</f>
        <v/>
      </c>
      <c r="AC691" s="56" t="str">
        <f aca="false">IF(AND(F691&gt;0,E691&gt;=Settings!$B$4),J691,"")</f>
        <v/>
      </c>
      <c r="AD691" s="56" t="str">
        <f aca="false">IF(X691="HIGH RATE",O691,"")</f>
        <v/>
      </c>
    </row>
    <row r="692" customFormat="false" ht="15" hidden="false" customHeight="false" outlineLevel="0" collapsed="false">
      <c r="A692" s="56" t="s">
        <v>1897</v>
      </c>
      <c r="B692" s="56" t="s">
        <v>1898</v>
      </c>
      <c r="C692" s="56" t="s">
        <v>51</v>
      </c>
      <c r="D692" s="56" t="str">
        <f aca="false">IFERROR(INDEX('Brand Map'!$B$4:$B$124,MATCH(C692,'Brand Map'!$A$4:$A$124,0)),"Other")</f>
        <v>AU</v>
      </c>
      <c r="E692" s="57" t="n">
        <v>2</v>
      </c>
      <c r="F692" s="57" t="n">
        <v>0</v>
      </c>
      <c r="G692" s="58" t="n">
        <v>68.09</v>
      </c>
      <c r="H692" s="58" t="n">
        <v>0</v>
      </c>
      <c r="I692" s="58" t="n">
        <v>68.09</v>
      </c>
      <c r="J692" s="32" t="n">
        <f aca="false">IF(E692&gt;0,F692/E692,0)</f>
        <v>0</v>
      </c>
      <c r="K692" s="32" t="n">
        <f aca="false">IF(G692&gt;0,H692/G692,0)</f>
        <v>-0</v>
      </c>
      <c r="L692" s="59" t="n">
        <f aca="false">H692/Settings!$B$16</f>
        <v>-0</v>
      </c>
      <c r="M692" s="59" t="n">
        <f aca="false">H692/Settings!$B$20</f>
        <v>-0</v>
      </c>
      <c r="N692" s="60" t="n">
        <f aca="false">E692*Settings!$B$3</f>
        <v>0.0619723021596408</v>
      </c>
      <c r="O692" s="60" t="n">
        <f aca="false">IF(E692&gt;0,(F692-N692)/SQRT(E692*Settings!$B$3*(1-Settings!$B$3)),0)</f>
        <v>-0.252891261535318</v>
      </c>
      <c r="P692" s="60" t="n">
        <f aca="false">MAX(0,F692-N692)</f>
        <v>0</v>
      </c>
      <c r="Q692" s="32" t="n">
        <f aca="false">(F692+Settings!$B$7*Settings!$B$3)/(E692+Settings!$B$7)</f>
        <v>0.0290495166373316</v>
      </c>
      <c r="R692" s="61" t="n">
        <f aca="false">PERCENTRANK($H$2:$H$1780,H692,6)</f>
        <v>0</v>
      </c>
      <c r="S692" s="61" t="n">
        <f aca="false">PERCENTRANK($Q$2:$Q$1780,Q692,6)</f>
        <v>0.365579</v>
      </c>
      <c r="T692" s="61" t="n">
        <f aca="false">PERCENTRANK($F$2:$F$1780,F692,6)</f>
        <v>0</v>
      </c>
      <c r="U692" s="62" t="n">
        <f aca="false">IF(F692&gt;0,(Settings!$B$8*T692+Settings!$B$9*R692+Settings!$B$10*S692)/SUM(Settings!$B$8:$B$10),0)</f>
        <v>0</v>
      </c>
      <c r="V692" s="56" t="str">
        <f aca="false">IF(U692&gt;0,RANK(U692,$U$2:$U$1780)+COUNTIF($U$2:U692,U692)-1,"")</f>
        <v/>
      </c>
      <c r="W692" s="56" t="str">
        <f aca="false">IF(V692="","",IF(V692&lt;=Settings!$B$11,"1 - Fix first",IF(V692&lt;=Settings!$B$12,"2 - Review","3 - Monitor")))</f>
        <v/>
      </c>
      <c r="X692" s="56" t="str">
        <f aca="false">IF(AND(E692&gt;=Settings!$B$4,F692&gt;=Settings!$B$5,O692&gt;=Settings!$B$6),"HIGH RATE","")</f>
        <v/>
      </c>
      <c r="Y692" s="56" t="str">
        <f aca="false">IF(F692&gt;0,RANK(F692,$F$2:$F$1780)+COUNTIF($F$2:F692,F692)-1,"")</f>
        <v/>
      </c>
      <c r="Z692" s="56" t="str">
        <f aca="false">IF(H692&gt;0,RANK(H692,$H$2:$H$1780)+COUNTIF($H$2:H692,H692)-1,"")</f>
        <v/>
      </c>
      <c r="AA692" s="56" t="str">
        <f aca="false">IF(AC692="","",RANK(AC692,$AC$2:$AC$1780)+COUNTIF($AC$2:AC692,AC692)-1)</f>
        <v/>
      </c>
      <c r="AB692" s="56" t="str">
        <f aca="false">IF(AD692="","",RANK(AD692,$AD$2:$AD$1780)+COUNTIF($AD$2:AD692,AD692)-1)</f>
        <v/>
      </c>
      <c r="AC692" s="56" t="str">
        <f aca="false">IF(AND(F692&gt;0,E692&gt;=Settings!$B$4),J692,"")</f>
        <v/>
      </c>
      <c r="AD692" s="56" t="str">
        <f aca="false">IF(X692="HIGH RATE",O692,"")</f>
        <v/>
      </c>
    </row>
    <row r="693" customFormat="false" ht="15" hidden="false" customHeight="false" outlineLevel="0" collapsed="false">
      <c r="A693" s="56" t="s">
        <v>1899</v>
      </c>
      <c r="B693" s="56" t="s">
        <v>1900</v>
      </c>
      <c r="C693" s="56" t="s">
        <v>51</v>
      </c>
      <c r="D693" s="56" t="str">
        <f aca="false">IFERROR(INDEX('Brand Map'!$B$4:$B$124,MATCH(C693,'Brand Map'!$A$4:$A$124,0)),"Other")</f>
        <v>AU</v>
      </c>
      <c r="E693" s="57" t="n">
        <v>1</v>
      </c>
      <c r="F693" s="57" t="n">
        <v>0</v>
      </c>
      <c r="G693" s="58" t="n">
        <v>54.95</v>
      </c>
      <c r="H693" s="58" t="n">
        <v>0</v>
      </c>
      <c r="I693" s="58" t="n">
        <v>49.46</v>
      </c>
      <c r="J693" s="32" t="n">
        <f aca="false">IF(E693&gt;0,F693/E693,0)</f>
        <v>0</v>
      </c>
      <c r="K693" s="32" t="n">
        <f aca="false">IF(G693&gt;0,H693/G693,0)</f>
        <v>-0</v>
      </c>
      <c r="L693" s="59" t="n">
        <f aca="false">H693/Settings!$B$16</f>
        <v>-0</v>
      </c>
      <c r="M693" s="59" t="n">
        <f aca="false">H693/Settings!$B$20</f>
        <v>-0</v>
      </c>
      <c r="N693" s="60" t="n">
        <f aca="false">E693*Settings!$B$3</f>
        <v>0.0309861510798204</v>
      </c>
      <c r="O693" s="60" t="n">
        <f aca="false">IF(E693&gt;0,(F693-N693)/SQRT(E693*Settings!$B$3*(1-Settings!$B$3)),0)</f>
        <v>-0.178821125934444</v>
      </c>
      <c r="P693" s="60" t="n">
        <f aca="false">MAX(0,F693-N693)</f>
        <v>0</v>
      </c>
      <c r="Q693" s="32" t="n">
        <f aca="false">(F693+Settings!$B$7*Settings!$B$3)/(E693+Settings!$B$7)</f>
        <v>0.0299865978191811</v>
      </c>
      <c r="R693" s="61" t="n">
        <f aca="false">PERCENTRANK($H$2:$H$1780,H693,6)</f>
        <v>0</v>
      </c>
      <c r="S693" s="61" t="n">
        <f aca="false">PERCENTRANK($Q$2:$Q$1780,Q693,6)</f>
        <v>0.486502</v>
      </c>
      <c r="T693" s="61" t="n">
        <f aca="false">PERCENTRANK($F$2:$F$1780,F693,6)</f>
        <v>0</v>
      </c>
      <c r="U693" s="62" t="n">
        <f aca="false">IF(F693&gt;0,(Settings!$B$8*T693+Settings!$B$9*R693+Settings!$B$10*S693)/SUM(Settings!$B$8:$B$10),0)</f>
        <v>0</v>
      </c>
      <c r="V693" s="56" t="str">
        <f aca="false">IF(U693&gt;0,RANK(U693,$U$2:$U$1780)+COUNTIF($U$2:U693,U693)-1,"")</f>
        <v/>
      </c>
      <c r="W693" s="56" t="str">
        <f aca="false">IF(V693="","",IF(V693&lt;=Settings!$B$11,"1 - Fix first",IF(V693&lt;=Settings!$B$12,"2 - Review","3 - Monitor")))</f>
        <v/>
      </c>
      <c r="X693" s="56" t="str">
        <f aca="false">IF(AND(E693&gt;=Settings!$B$4,F693&gt;=Settings!$B$5,O693&gt;=Settings!$B$6),"HIGH RATE","")</f>
        <v/>
      </c>
      <c r="Y693" s="56" t="str">
        <f aca="false">IF(F693&gt;0,RANK(F693,$F$2:$F$1780)+COUNTIF($F$2:F693,F693)-1,"")</f>
        <v/>
      </c>
      <c r="Z693" s="56" t="str">
        <f aca="false">IF(H693&gt;0,RANK(H693,$H$2:$H$1780)+COUNTIF($H$2:H693,H693)-1,"")</f>
        <v/>
      </c>
      <c r="AA693" s="56" t="str">
        <f aca="false">IF(AC693="","",RANK(AC693,$AC$2:$AC$1780)+COUNTIF($AC$2:AC693,AC693)-1)</f>
        <v/>
      </c>
      <c r="AB693" s="56" t="str">
        <f aca="false">IF(AD693="","",RANK(AD693,$AD$2:$AD$1780)+COUNTIF($AD$2:AD693,AD693)-1)</f>
        <v/>
      </c>
      <c r="AC693" s="56" t="str">
        <f aca="false">IF(AND(F693&gt;0,E693&gt;=Settings!$B$4),J693,"")</f>
        <v/>
      </c>
      <c r="AD693" s="56" t="str">
        <f aca="false">IF(X693="HIGH RATE",O693,"")</f>
        <v/>
      </c>
    </row>
    <row r="694" customFormat="false" ht="15" hidden="false" customHeight="false" outlineLevel="0" collapsed="false">
      <c r="A694" s="56" t="s">
        <v>1901</v>
      </c>
      <c r="B694" s="56" t="s">
        <v>1902</v>
      </c>
      <c r="C694" s="56" t="s">
        <v>51</v>
      </c>
      <c r="D694" s="56" t="str">
        <f aca="false">IFERROR(INDEX('Brand Map'!$B$4:$B$124,MATCH(C694,'Brand Map'!$A$4:$A$124,0)),"Other")</f>
        <v>AU</v>
      </c>
      <c r="E694" s="57" t="n">
        <v>3</v>
      </c>
      <c r="F694" s="57" t="n">
        <v>0</v>
      </c>
      <c r="G694" s="58" t="n">
        <v>159.85</v>
      </c>
      <c r="H694" s="58" t="n">
        <v>0</v>
      </c>
      <c r="I694" s="58" t="n">
        <v>154.86</v>
      </c>
      <c r="J694" s="32" t="n">
        <f aca="false">IF(E694&gt;0,F694/E694,0)</f>
        <v>0</v>
      </c>
      <c r="K694" s="32" t="n">
        <f aca="false">IF(G694&gt;0,H694/G694,0)</f>
        <v>-0</v>
      </c>
      <c r="L694" s="59" t="n">
        <f aca="false">H694/Settings!$B$16</f>
        <v>-0</v>
      </c>
      <c r="M694" s="59" t="n">
        <f aca="false">H694/Settings!$B$20</f>
        <v>-0</v>
      </c>
      <c r="N694" s="60" t="n">
        <f aca="false">E694*Settings!$B$3</f>
        <v>0.0929584532394613</v>
      </c>
      <c r="O694" s="60" t="n">
        <f aca="false">IF(E694&gt;0,(F694-N694)/SQRT(E694*Settings!$B$3*(1-Settings!$B$3)),0)</f>
        <v>-0.30972727558513</v>
      </c>
      <c r="P694" s="60" t="n">
        <f aca="false">MAX(0,F694-N694)</f>
        <v>0</v>
      </c>
      <c r="Q694" s="32" t="n">
        <f aca="false">(F694+Settings!$B$7*Settings!$B$3)/(E694+Settings!$B$7)</f>
        <v>0.0281692282543822</v>
      </c>
      <c r="R694" s="61" t="n">
        <f aca="false">PERCENTRANK($H$2:$H$1780,H694,6)</f>
        <v>0</v>
      </c>
      <c r="S694" s="61" t="n">
        <f aca="false">PERCENTRANK($Q$2:$Q$1780,Q694,6)</f>
        <v>0.294151</v>
      </c>
      <c r="T694" s="61" t="n">
        <f aca="false">PERCENTRANK($F$2:$F$1780,F694,6)</f>
        <v>0</v>
      </c>
      <c r="U694" s="62" t="n">
        <f aca="false">IF(F694&gt;0,(Settings!$B$8*T694+Settings!$B$9*R694+Settings!$B$10*S694)/SUM(Settings!$B$8:$B$10),0)</f>
        <v>0</v>
      </c>
      <c r="V694" s="56" t="str">
        <f aca="false">IF(U694&gt;0,RANK(U694,$U$2:$U$1780)+COUNTIF($U$2:U694,U694)-1,"")</f>
        <v/>
      </c>
      <c r="W694" s="56" t="str">
        <f aca="false">IF(V694="","",IF(V694&lt;=Settings!$B$11,"1 - Fix first",IF(V694&lt;=Settings!$B$12,"2 - Review","3 - Monitor")))</f>
        <v/>
      </c>
      <c r="X694" s="56" t="str">
        <f aca="false">IF(AND(E694&gt;=Settings!$B$4,F694&gt;=Settings!$B$5,O694&gt;=Settings!$B$6),"HIGH RATE","")</f>
        <v/>
      </c>
      <c r="Y694" s="56" t="str">
        <f aca="false">IF(F694&gt;0,RANK(F694,$F$2:$F$1780)+COUNTIF($F$2:F694,F694)-1,"")</f>
        <v/>
      </c>
      <c r="Z694" s="56" t="str">
        <f aca="false">IF(H694&gt;0,RANK(H694,$H$2:$H$1780)+COUNTIF($H$2:H694,H694)-1,"")</f>
        <v/>
      </c>
      <c r="AA694" s="56" t="str">
        <f aca="false">IF(AC694="","",RANK(AC694,$AC$2:$AC$1780)+COUNTIF($AC$2:AC694,AC694)-1)</f>
        <v/>
      </c>
      <c r="AB694" s="56" t="str">
        <f aca="false">IF(AD694="","",RANK(AD694,$AD$2:$AD$1780)+COUNTIF($AD$2:AD694,AD694)-1)</f>
        <v/>
      </c>
      <c r="AC694" s="56" t="str">
        <f aca="false">IF(AND(F694&gt;0,E694&gt;=Settings!$B$4),J694,"")</f>
        <v/>
      </c>
      <c r="AD694" s="56" t="str">
        <f aca="false">IF(X694="HIGH RATE",O694,"")</f>
        <v/>
      </c>
    </row>
    <row r="695" customFormat="false" ht="15" hidden="false" customHeight="false" outlineLevel="0" collapsed="false">
      <c r="A695" s="56" t="s">
        <v>1903</v>
      </c>
      <c r="B695" s="56" t="s">
        <v>1904</v>
      </c>
      <c r="C695" s="56" t="s">
        <v>51</v>
      </c>
      <c r="D695" s="56" t="str">
        <f aca="false">IFERROR(INDEX('Brand Map'!$B$4:$B$124,MATCH(C695,'Brand Map'!$A$4:$A$124,0)),"Other")</f>
        <v>AU</v>
      </c>
      <c r="E695" s="57" t="n">
        <v>5</v>
      </c>
      <c r="F695" s="57" t="n">
        <v>0</v>
      </c>
      <c r="G695" s="58" t="n">
        <v>255.66</v>
      </c>
      <c r="H695" s="58" t="n">
        <v>0</v>
      </c>
      <c r="I695" s="58" t="n">
        <v>255.66</v>
      </c>
      <c r="J695" s="32" t="n">
        <f aca="false">IF(E695&gt;0,F695/E695,0)</f>
        <v>0</v>
      </c>
      <c r="K695" s="32" t="n">
        <f aca="false">IF(G695&gt;0,H695/G695,0)</f>
        <v>-0</v>
      </c>
      <c r="L695" s="59" t="n">
        <f aca="false">H695/Settings!$B$16</f>
        <v>-0</v>
      </c>
      <c r="M695" s="59" t="n">
        <f aca="false">H695/Settings!$B$20</f>
        <v>-0</v>
      </c>
      <c r="N695" s="60" t="n">
        <f aca="false">E695*Settings!$B$3</f>
        <v>0.154930755399102</v>
      </c>
      <c r="O695" s="60" t="n">
        <f aca="false">IF(E695&gt;0,(F695-N695)/SQRT(E695*Settings!$B$3*(1-Settings!$B$3)),0)</f>
        <v>-0.399856193402468</v>
      </c>
      <c r="P695" s="60" t="n">
        <f aca="false">MAX(0,F695-N695)</f>
        <v>0</v>
      </c>
      <c r="Q695" s="32" t="n">
        <f aca="false">(F695+Settings!$B$7*Settings!$B$3)/(E695+Settings!$B$7)</f>
        <v>0.0265595580684175</v>
      </c>
      <c r="R695" s="61" t="n">
        <f aca="false">PERCENTRANK($H$2:$H$1780,H695,6)</f>
        <v>0</v>
      </c>
      <c r="S695" s="61" t="n">
        <f aca="false">PERCENTRANK($Q$2:$Q$1780,Q695,6)</f>
        <v>0.220472</v>
      </c>
      <c r="T695" s="61" t="n">
        <f aca="false">PERCENTRANK($F$2:$F$1780,F695,6)</f>
        <v>0</v>
      </c>
      <c r="U695" s="62" t="n">
        <f aca="false">IF(F695&gt;0,(Settings!$B$8*T695+Settings!$B$9*R695+Settings!$B$10*S695)/SUM(Settings!$B$8:$B$10),0)</f>
        <v>0</v>
      </c>
      <c r="V695" s="56" t="str">
        <f aca="false">IF(U695&gt;0,RANK(U695,$U$2:$U$1780)+COUNTIF($U$2:U695,U695)-1,"")</f>
        <v/>
      </c>
      <c r="W695" s="56" t="str">
        <f aca="false">IF(V695="","",IF(V695&lt;=Settings!$B$11,"1 - Fix first",IF(V695&lt;=Settings!$B$12,"2 - Review","3 - Monitor")))</f>
        <v/>
      </c>
      <c r="X695" s="56" t="str">
        <f aca="false">IF(AND(E695&gt;=Settings!$B$4,F695&gt;=Settings!$B$5,O695&gt;=Settings!$B$6),"HIGH RATE","")</f>
        <v/>
      </c>
      <c r="Y695" s="56" t="str">
        <f aca="false">IF(F695&gt;0,RANK(F695,$F$2:$F$1780)+COUNTIF($F$2:F695,F695)-1,"")</f>
        <v/>
      </c>
      <c r="Z695" s="56" t="str">
        <f aca="false">IF(H695&gt;0,RANK(H695,$H$2:$H$1780)+COUNTIF($H$2:H695,H695)-1,"")</f>
        <v/>
      </c>
      <c r="AA695" s="56" t="str">
        <f aca="false">IF(AC695="","",RANK(AC695,$AC$2:$AC$1780)+COUNTIF($AC$2:AC695,AC695)-1)</f>
        <v/>
      </c>
      <c r="AB695" s="56" t="str">
        <f aca="false">IF(AD695="","",RANK(AD695,$AD$2:$AD$1780)+COUNTIF($AD$2:AD695,AD695)-1)</f>
        <v/>
      </c>
      <c r="AC695" s="56" t="str">
        <f aca="false">IF(AND(F695&gt;0,E695&gt;=Settings!$B$4),J695,"")</f>
        <v/>
      </c>
      <c r="AD695" s="56" t="str">
        <f aca="false">IF(X695="HIGH RATE",O695,"")</f>
        <v/>
      </c>
    </row>
    <row r="696" customFormat="false" ht="15" hidden="false" customHeight="false" outlineLevel="0" collapsed="false">
      <c r="A696" s="56" t="s">
        <v>1905</v>
      </c>
      <c r="B696" s="56" t="s">
        <v>1906</v>
      </c>
      <c r="C696" s="56" t="s">
        <v>51</v>
      </c>
      <c r="D696" s="56" t="str">
        <f aca="false">IFERROR(INDEX('Brand Map'!$B$4:$B$124,MATCH(C696,'Brand Map'!$A$4:$A$124,0)),"Other")</f>
        <v>AU</v>
      </c>
      <c r="E696" s="57" t="n">
        <v>2</v>
      </c>
      <c r="F696" s="57" t="n">
        <v>0</v>
      </c>
      <c r="G696" s="58" t="n">
        <v>104.9</v>
      </c>
      <c r="H696" s="58" t="n">
        <v>0</v>
      </c>
      <c r="I696" s="58" t="n">
        <v>104.9</v>
      </c>
      <c r="J696" s="32" t="n">
        <f aca="false">IF(E696&gt;0,F696/E696,0)</f>
        <v>0</v>
      </c>
      <c r="K696" s="32" t="n">
        <f aca="false">IF(G696&gt;0,H696/G696,0)</f>
        <v>-0</v>
      </c>
      <c r="L696" s="59" t="n">
        <f aca="false">H696/Settings!$B$16</f>
        <v>-0</v>
      </c>
      <c r="M696" s="59" t="n">
        <f aca="false">H696/Settings!$B$20</f>
        <v>-0</v>
      </c>
      <c r="N696" s="60" t="n">
        <f aca="false">E696*Settings!$B$3</f>
        <v>0.0619723021596408</v>
      </c>
      <c r="O696" s="60" t="n">
        <f aca="false">IF(E696&gt;0,(F696-N696)/SQRT(E696*Settings!$B$3*(1-Settings!$B$3)),0)</f>
        <v>-0.252891261535318</v>
      </c>
      <c r="P696" s="60" t="n">
        <f aca="false">MAX(0,F696-N696)</f>
        <v>0</v>
      </c>
      <c r="Q696" s="32" t="n">
        <f aca="false">(F696+Settings!$B$7*Settings!$B$3)/(E696+Settings!$B$7)</f>
        <v>0.0290495166373316</v>
      </c>
      <c r="R696" s="61" t="n">
        <f aca="false">PERCENTRANK($H$2:$H$1780,H696,6)</f>
        <v>0</v>
      </c>
      <c r="S696" s="61" t="n">
        <f aca="false">PERCENTRANK($Q$2:$Q$1780,Q696,6)</f>
        <v>0.365579</v>
      </c>
      <c r="T696" s="61" t="n">
        <f aca="false">PERCENTRANK($F$2:$F$1780,F696,6)</f>
        <v>0</v>
      </c>
      <c r="U696" s="62" t="n">
        <f aca="false">IF(F696&gt;0,(Settings!$B$8*T696+Settings!$B$9*R696+Settings!$B$10*S696)/SUM(Settings!$B$8:$B$10),0)</f>
        <v>0</v>
      </c>
      <c r="V696" s="56" t="str">
        <f aca="false">IF(U696&gt;0,RANK(U696,$U$2:$U$1780)+COUNTIF($U$2:U696,U696)-1,"")</f>
        <v/>
      </c>
      <c r="W696" s="56" t="str">
        <f aca="false">IF(V696="","",IF(V696&lt;=Settings!$B$11,"1 - Fix first",IF(V696&lt;=Settings!$B$12,"2 - Review","3 - Monitor")))</f>
        <v/>
      </c>
      <c r="X696" s="56" t="str">
        <f aca="false">IF(AND(E696&gt;=Settings!$B$4,F696&gt;=Settings!$B$5,O696&gt;=Settings!$B$6),"HIGH RATE","")</f>
        <v/>
      </c>
      <c r="Y696" s="56" t="str">
        <f aca="false">IF(F696&gt;0,RANK(F696,$F$2:$F$1780)+COUNTIF($F$2:F696,F696)-1,"")</f>
        <v/>
      </c>
      <c r="Z696" s="56" t="str">
        <f aca="false">IF(H696&gt;0,RANK(H696,$H$2:$H$1780)+COUNTIF($H$2:H696,H696)-1,"")</f>
        <v/>
      </c>
      <c r="AA696" s="56" t="str">
        <f aca="false">IF(AC696="","",RANK(AC696,$AC$2:$AC$1780)+COUNTIF($AC$2:AC696,AC696)-1)</f>
        <v/>
      </c>
      <c r="AB696" s="56" t="str">
        <f aca="false">IF(AD696="","",RANK(AD696,$AD$2:$AD$1780)+COUNTIF($AD$2:AD696,AD696)-1)</f>
        <v/>
      </c>
      <c r="AC696" s="56" t="str">
        <f aca="false">IF(AND(F696&gt;0,E696&gt;=Settings!$B$4),J696,"")</f>
        <v/>
      </c>
      <c r="AD696" s="56" t="str">
        <f aca="false">IF(X696="HIGH RATE",O696,"")</f>
        <v/>
      </c>
    </row>
    <row r="697" customFormat="false" ht="15" hidden="false" customHeight="false" outlineLevel="0" collapsed="false">
      <c r="A697" s="56" t="s">
        <v>1907</v>
      </c>
      <c r="B697" s="56" t="s">
        <v>1908</v>
      </c>
      <c r="C697" s="56" t="s">
        <v>51</v>
      </c>
      <c r="D697" s="56" t="str">
        <f aca="false">IFERROR(INDEX('Brand Map'!$B$4:$B$124,MATCH(C697,'Brand Map'!$A$4:$A$124,0)),"Other")</f>
        <v>AU</v>
      </c>
      <c r="E697" s="57" t="n">
        <v>3</v>
      </c>
      <c r="F697" s="57" t="n">
        <v>0</v>
      </c>
      <c r="G697" s="58" t="n">
        <v>164.85</v>
      </c>
      <c r="H697" s="58" t="n">
        <v>0</v>
      </c>
      <c r="I697" s="58" t="n">
        <v>164.85</v>
      </c>
      <c r="J697" s="32" t="n">
        <f aca="false">IF(E697&gt;0,F697/E697,0)</f>
        <v>0</v>
      </c>
      <c r="K697" s="32" t="n">
        <f aca="false">IF(G697&gt;0,H697/G697,0)</f>
        <v>-0</v>
      </c>
      <c r="L697" s="59" t="n">
        <f aca="false">H697/Settings!$B$16</f>
        <v>-0</v>
      </c>
      <c r="M697" s="59" t="n">
        <f aca="false">H697/Settings!$B$20</f>
        <v>-0</v>
      </c>
      <c r="N697" s="60" t="n">
        <f aca="false">E697*Settings!$B$3</f>
        <v>0.0929584532394613</v>
      </c>
      <c r="O697" s="60" t="n">
        <f aca="false">IF(E697&gt;0,(F697-N697)/SQRT(E697*Settings!$B$3*(1-Settings!$B$3)),0)</f>
        <v>-0.30972727558513</v>
      </c>
      <c r="P697" s="60" t="n">
        <f aca="false">MAX(0,F697-N697)</f>
        <v>0</v>
      </c>
      <c r="Q697" s="32" t="n">
        <f aca="false">(F697+Settings!$B$7*Settings!$B$3)/(E697+Settings!$B$7)</f>
        <v>0.0281692282543822</v>
      </c>
      <c r="R697" s="61" t="n">
        <f aca="false">PERCENTRANK($H$2:$H$1780,H697,6)</f>
        <v>0</v>
      </c>
      <c r="S697" s="61" t="n">
        <f aca="false">PERCENTRANK($Q$2:$Q$1780,Q697,6)</f>
        <v>0.294151</v>
      </c>
      <c r="T697" s="61" t="n">
        <f aca="false">PERCENTRANK($F$2:$F$1780,F697,6)</f>
        <v>0</v>
      </c>
      <c r="U697" s="62" t="n">
        <f aca="false">IF(F697&gt;0,(Settings!$B$8*T697+Settings!$B$9*R697+Settings!$B$10*S697)/SUM(Settings!$B$8:$B$10),0)</f>
        <v>0</v>
      </c>
      <c r="V697" s="56" t="str">
        <f aca="false">IF(U697&gt;0,RANK(U697,$U$2:$U$1780)+COUNTIF($U$2:U697,U697)-1,"")</f>
        <v/>
      </c>
      <c r="W697" s="56" t="str">
        <f aca="false">IF(V697="","",IF(V697&lt;=Settings!$B$11,"1 - Fix first",IF(V697&lt;=Settings!$B$12,"2 - Review","3 - Monitor")))</f>
        <v/>
      </c>
      <c r="X697" s="56" t="str">
        <f aca="false">IF(AND(E697&gt;=Settings!$B$4,F697&gt;=Settings!$B$5,O697&gt;=Settings!$B$6),"HIGH RATE","")</f>
        <v/>
      </c>
      <c r="Y697" s="56" t="str">
        <f aca="false">IF(F697&gt;0,RANK(F697,$F$2:$F$1780)+COUNTIF($F$2:F697,F697)-1,"")</f>
        <v/>
      </c>
      <c r="Z697" s="56" t="str">
        <f aca="false">IF(H697&gt;0,RANK(H697,$H$2:$H$1780)+COUNTIF($H$2:H697,H697)-1,"")</f>
        <v/>
      </c>
      <c r="AA697" s="56" t="str">
        <f aca="false">IF(AC697="","",RANK(AC697,$AC$2:$AC$1780)+COUNTIF($AC$2:AC697,AC697)-1)</f>
        <v/>
      </c>
      <c r="AB697" s="56" t="str">
        <f aca="false">IF(AD697="","",RANK(AD697,$AD$2:$AD$1780)+COUNTIF($AD$2:AD697,AD697)-1)</f>
        <v/>
      </c>
      <c r="AC697" s="56" t="str">
        <f aca="false">IF(AND(F697&gt;0,E697&gt;=Settings!$B$4),J697,"")</f>
        <v/>
      </c>
      <c r="AD697" s="56" t="str">
        <f aca="false">IF(X697="HIGH RATE",O697,"")</f>
        <v/>
      </c>
    </row>
    <row r="698" customFormat="false" ht="15" hidden="false" customHeight="false" outlineLevel="0" collapsed="false">
      <c r="A698" s="56" t="s">
        <v>1909</v>
      </c>
      <c r="B698" s="56" t="s">
        <v>1910</v>
      </c>
      <c r="C698" s="56" t="s">
        <v>51</v>
      </c>
      <c r="D698" s="56" t="str">
        <f aca="false">IFERROR(INDEX('Brand Map'!$B$4:$B$124,MATCH(C698,'Brand Map'!$A$4:$A$124,0)),"Other")</f>
        <v>AU</v>
      </c>
      <c r="E698" s="57" t="n">
        <v>3</v>
      </c>
      <c r="F698" s="57" t="n">
        <v>0</v>
      </c>
      <c r="G698" s="58" t="n">
        <v>154.85</v>
      </c>
      <c r="H698" s="58" t="n">
        <v>0</v>
      </c>
      <c r="I698" s="58" t="n">
        <v>149.86</v>
      </c>
      <c r="J698" s="32" t="n">
        <f aca="false">IF(E698&gt;0,F698/E698,0)</f>
        <v>0</v>
      </c>
      <c r="K698" s="32" t="n">
        <f aca="false">IF(G698&gt;0,H698/G698,0)</f>
        <v>-0</v>
      </c>
      <c r="L698" s="59" t="n">
        <f aca="false">H698/Settings!$B$16</f>
        <v>-0</v>
      </c>
      <c r="M698" s="59" t="n">
        <f aca="false">H698/Settings!$B$20</f>
        <v>-0</v>
      </c>
      <c r="N698" s="60" t="n">
        <f aca="false">E698*Settings!$B$3</f>
        <v>0.0929584532394613</v>
      </c>
      <c r="O698" s="60" t="n">
        <f aca="false">IF(E698&gt;0,(F698-N698)/SQRT(E698*Settings!$B$3*(1-Settings!$B$3)),0)</f>
        <v>-0.30972727558513</v>
      </c>
      <c r="P698" s="60" t="n">
        <f aca="false">MAX(0,F698-N698)</f>
        <v>0</v>
      </c>
      <c r="Q698" s="32" t="n">
        <f aca="false">(F698+Settings!$B$7*Settings!$B$3)/(E698+Settings!$B$7)</f>
        <v>0.0281692282543822</v>
      </c>
      <c r="R698" s="61" t="n">
        <f aca="false">PERCENTRANK($H$2:$H$1780,H698,6)</f>
        <v>0</v>
      </c>
      <c r="S698" s="61" t="n">
        <f aca="false">PERCENTRANK($Q$2:$Q$1780,Q698,6)</f>
        <v>0.294151</v>
      </c>
      <c r="T698" s="61" t="n">
        <f aca="false">PERCENTRANK($F$2:$F$1780,F698,6)</f>
        <v>0</v>
      </c>
      <c r="U698" s="62" t="n">
        <f aca="false">IF(F698&gt;0,(Settings!$B$8*T698+Settings!$B$9*R698+Settings!$B$10*S698)/SUM(Settings!$B$8:$B$10),0)</f>
        <v>0</v>
      </c>
      <c r="V698" s="56" t="str">
        <f aca="false">IF(U698&gt;0,RANK(U698,$U$2:$U$1780)+COUNTIF($U$2:U698,U698)-1,"")</f>
        <v/>
      </c>
      <c r="W698" s="56" t="str">
        <f aca="false">IF(V698="","",IF(V698&lt;=Settings!$B$11,"1 - Fix first",IF(V698&lt;=Settings!$B$12,"2 - Review","3 - Monitor")))</f>
        <v/>
      </c>
      <c r="X698" s="56" t="str">
        <f aca="false">IF(AND(E698&gt;=Settings!$B$4,F698&gt;=Settings!$B$5,O698&gt;=Settings!$B$6),"HIGH RATE","")</f>
        <v/>
      </c>
      <c r="Y698" s="56" t="str">
        <f aca="false">IF(F698&gt;0,RANK(F698,$F$2:$F$1780)+COUNTIF($F$2:F698,F698)-1,"")</f>
        <v/>
      </c>
      <c r="Z698" s="56" t="str">
        <f aca="false">IF(H698&gt;0,RANK(H698,$H$2:$H$1780)+COUNTIF($H$2:H698,H698)-1,"")</f>
        <v/>
      </c>
      <c r="AA698" s="56" t="str">
        <f aca="false">IF(AC698="","",RANK(AC698,$AC$2:$AC$1780)+COUNTIF($AC$2:AC698,AC698)-1)</f>
        <v/>
      </c>
      <c r="AB698" s="56" t="str">
        <f aca="false">IF(AD698="","",RANK(AD698,$AD$2:$AD$1780)+COUNTIF($AD$2:AD698,AD698)-1)</f>
        <v/>
      </c>
      <c r="AC698" s="56" t="str">
        <f aca="false">IF(AND(F698&gt;0,E698&gt;=Settings!$B$4),J698,"")</f>
        <v/>
      </c>
      <c r="AD698" s="56" t="str">
        <f aca="false">IF(X698="HIGH RATE",O698,"")</f>
        <v/>
      </c>
    </row>
    <row r="699" customFormat="false" ht="15" hidden="false" customHeight="false" outlineLevel="0" collapsed="false">
      <c r="A699" s="56" t="s">
        <v>1911</v>
      </c>
      <c r="B699" s="56" t="s">
        <v>1912</v>
      </c>
      <c r="C699" s="56" t="s">
        <v>51</v>
      </c>
      <c r="D699" s="56" t="str">
        <f aca="false">IFERROR(INDEX('Brand Map'!$B$4:$B$124,MATCH(C699,'Brand Map'!$A$4:$A$124,0)),"Other")</f>
        <v>AU</v>
      </c>
      <c r="E699" s="57" t="n">
        <v>5</v>
      </c>
      <c r="F699" s="57" t="n">
        <v>0</v>
      </c>
      <c r="G699" s="58" t="n">
        <v>269.75</v>
      </c>
      <c r="H699" s="58" t="n">
        <v>0</v>
      </c>
      <c r="I699" s="58" t="n">
        <v>264.76</v>
      </c>
      <c r="J699" s="32" t="n">
        <f aca="false">IF(E699&gt;0,F699/E699,0)</f>
        <v>0</v>
      </c>
      <c r="K699" s="32" t="n">
        <f aca="false">IF(G699&gt;0,H699/G699,0)</f>
        <v>-0</v>
      </c>
      <c r="L699" s="59" t="n">
        <f aca="false">H699/Settings!$B$16</f>
        <v>-0</v>
      </c>
      <c r="M699" s="59" t="n">
        <f aca="false">H699/Settings!$B$20</f>
        <v>-0</v>
      </c>
      <c r="N699" s="60" t="n">
        <f aca="false">E699*Settings!$B$3</f>
        <v>0.154930755399102</v>
      </c>
      <c r="O699" s="60" t="n">
        <f aca="false">IF(E699&gt;0,(F699-N699)/SQRT(E699*Settings!$B$3*(1-Settings!$B$3)),0)</f>
        <v>-0.399856193402468</v>
      </c>
      <c r="P699" s="60" t="n">
        <f aca="false">MAX(0,F699-N699)</f>
        <v>0</v>
      </c>
      <c r="Q699" s="32" t="n">
        <f aca="false">(F699+Settings!$B$7*Settings!$B$3)/(E699+Settings!$B$7)</f>
        <v>0.0265595580684175</v>
      </c>
      <c r="R699" s="61" t="n">
        <f aca="false">PERCENTRANK($H$2:$H$1780,H699,6)</f>
        <v>0</v>
      </c>
      <c r="S699" s="61" t="n">
        <f aca="false">PERCENTRANK($Q$2:$Q$1780,Q699,6)</f>
        <v>0.220472</v>
      </c>
      <c r="T699" s="61" t="n">
        <f aca="false">PERCENTRANK($F$2:$F$1780,F699,6)</f>
        <v>0</v>
      </c>
      <c r="U699" s="62" t="n">
        <f aca="false">IF(F699&gt;0,(Settings!$B$8*T699+Settings!$B$9*R699+Settings!$B$10*S699)/SUM(Settings!$B$8:$B$10),0)</f>
        <v>0</v>
      </c>
      <c r="V699" s="56" t="str">
        <f aca="false">IF(U699&gt;0,RANK(U699,$U$2:$U$1780)+COUNTIF($U$2:U699,U699)-1,"")</f>
        <v/>
      </c>
      <c r="W699" s="56" t="str">
        <f aca="false">IF(V699="","",IF(V699&lt;=Settings!$B$11,"1 - Fix first",IF(V699&lt;=Settings!$B$12,"2 - Review","3 - Monitor")))</f>
        <v/>
      </c>
      <c r="X699" s="56" t="str">
        <f aca="false">IF(AND(E699&gt;=Settings!$B$4,F699&gt;=Settings!$B$5,O699&gt;=Settings!$B$6),"HIGH RATE","")</f>
        <v/>
      </c>
      <c r="Y699" s="56" t="str">
        <f aca="false">IF(F699&gt;0,RANK(F699,$F$2:$F$1780)+COUNTIF($F$2:F699,F699)-1,"")</f>
        <v/>
      </c>
      <c r="Z699" s="56" t="str">
        <f aca="false">IF(H699&gt;0,RANK(H699,$H$2:$H$1780)+COUNTIF($H$2:H699,H699)-1,"")</f>
        <v/>
      </c>
      <c r="AA699" s="56" t="str">
        <f aca="false">IF(AC699="","",RANK(AC699,$AC$2:$AC$1780)+COUNTIF($AC$2:AC699,AC699)-1)</f>
        <v/>
      </c>
      <c r="AB699" s="56" t="str">
        <f aca="false">IF(AD699="","",RANK(AD699,$AD$2:$AD$1780)+COUNTIF($AD$2:AD699,AD699)-1)</f>
        <v/>
      </c>
      <c r="AC699" s="56" t="str">
        <f aca="false">IF(AND(F699&gt;0,E699&gt;=Settings!$B$4),J699,"")</f>
        <v/>
      </c>
      <c r="AD699" s="56" t="str">
        <f aca="false">IF(X699="HIGH RATE",O699,"")</f>
        <v/>
      </c>
    </row>
    <row r="700" customFormat="false" ht="15" hidden="false" customHeight="false" outlineLevel="0" collapsed="false">
      <c r="A700" s="56" t="s">
        <v>1913</v>
      </c>
      <c r="B700" s="56" t="s">
        <v>1914</v>
      </c>
      <c r="C700" s="56" t="s">
        <v>51</v>
      </c>
      <c r="D700" s="56" t="str">
        <f aca="false">IFERROR(INDEX('Brand Map'!$B$4:$B$124,MATCH(C700,'Brand Map'!$A$4:$A$124,0)),"Other")</f>
        <v>AU</v>
      </c>
      <c r="E700" s="57" t="n">
        <v>2</v>
      </c>
      <c r="F700" s="57" t="n">
        <v>0</v>
      </c>
      <c r="G700" s="58" t="n">
        <v>104.9</v>
      </c>
      <c r="H700" s="58" t="n">
        <v>0</v>
      </c>
      <c r="I700" s="58" t="n">
        <v>104.9</v>
      </c>
      <c r="J700" s="32" t="n">
        <f aca="false">IF(E700&gt;0,F700/E700,0)</f>
        <v>0</v>
      </c>
      <c r="K700" s="32" t="n">
        <f aca="false">IF(G700&gt;0,H700/G700,0)</f>
        <v>-0</v>
      </c>
      <c r="L700" s="59" t="n">
        <f aca="false">H700/Settings!$B$16</f>
        <v>-0</v>
      </c>
      <c r="M700" s="59" t="n">
        <f aca="false">H700/Settings!$B$20</f>
        <v>-0</v>
      </c>
      <c r="N700" s="60" t="n">
        <f aca="false">E700*Settings!$B$3</f>
        <v>0.0619723021596408</v>
      </c>
      <c r="O700" s="60" t="n">
        <f aca="false">IF(E700&gt;0,(F700-N700)/SQRT(E700*Settings!$B$3*(1-Settings!$B$3)),0)</f>
        <v>-0.252891261535318</v>
      </c>
      <c r="P700" s="60" t="n">
        <f aca="false">MAX(0,F700-N700)</f>
        <v>0</v>
      </c>
      <c r="Q700" s="32" t="n">
        <f aca="false">(F700+Settings!$B$7*Settings!$B$3)/(E700+Settings!$B$7)</f>
        <v>0.0290495166373316</v>
      </c>
      <c r="R700" s="61" t="n">
        <f aca="false">PERCENTRANK($H$2:$H$1780,H700,6)</f>
        <v>0</v>
      </c>
      <c r="S700" s="61" t="n">
        <f aca="false">PERCENTRANK($Q$2:$Q$1780,Q700,6)</f>
        <v>0.365579</v>
      </c>
      <c r="T700" s="61" t="n">
        <f aca="false">PERCENTRANK($F$2:$F$1780,F700,6)</f>
        <v>0</v>
      </c>
      <c r="U700" s="62" t="n">
        <f aca="false">IF(F700&gt;0,(Settings!$B$8*T700+Settings!$B$9*R700+Settings!$B$10*S700)/SUM(Settings!$B$8:$B$10),0)</f>
        <v>0</v>
      </c>
      <c r="V700" s="56" t="str">
        <f aca="false">IF(U700&gt;0,RANK(U700,$U$2:$U$1780)+COUNTIF($U$2:U700,U700)-1,"")</f>
        <v/>
      </c>
      <c r="W700" s="56" t="str">
        <f aca="false">IF(V700="","",IF(V700&lt;=Settings!$B$11,"1 - Fix first",IF(V700&lt;=Settings!$B$12,"2 - Review","3 - Monitor")))</f>
        <v/>
      </c>
      <c r="X700" s="56" t="str">
        <f aca="false">IF(AND(E700&gt;=Settings!$B$4,F700&gt;=Settings!$B$5,O700&gt;=Settings!$B$6),"HIGH RATE","")</f>
        <v/>
      </c>
      <c r="Y700" s="56" t="str">
        <f aca="false">IF(F700&gt;0,RANK(F700,$F$2:$F$1780)+COUNTIF($F$2:F700,F700)-1,"")</f>
        <v/>
      </c>
      <c r="Z700" s="56" t="str">
        <f aca="false">IF(H700&gt;0,RANK(H700,$H$2:$H$1780)+COUNTIF($H$2:H700,H700)-1,"")</f>
        <v/>
      </c>
      <c r="AA700" s="56" t="str">
        <f aca="false">IF(AC700="","",RANK(AC700,$AC$2:$AC$1780)+COUNTIF($AC$2:AC700,AC700)-1)</f>
        <v/>
      </c>
      <c r="AB700" s="56" t="str">
        <f aca="false">IF(AD700="","",RANK(AD700,$AD$2:$AD$1780)+COUNTIF($AD$2:AD700,AD700)-1)</f>
        <v/>
      </c>
      <c r="AC700" s="56" t="str">
        <f aca="false">IF(AND(F700&gt;0,E700&gt;=Settings!$B$4),J700,"")</f>
        <v/>
      </c>
      <c r="AD700" s="56" t="str">
        <f aca="false">IF(X700="HIGH RATE",O700,"")</f>
        <v/>
      </c>
    </row>
    <row r="701" customFormat="false" ht="15" hidden="false" customHeight="false" outlineLevel="0" collapsed="false">
      <c r="A701" s="56" t="s">
        <v>1915</v>
      </c>
      <c r="B701" s="56" t="s">
        <v>1916</v>
      </c>
      <c r="C701" s="56" t="s">
        <v>51</v>
      </c>
      <c r="D701" s="56" t="str">
        <f aca="false">IFERROR(INDEX('Brand Map'!$B$4:$B$124,MATCH(C701,'Brand Map'!$A$4:$A$124,0)),"Other")</f>
        <v>AU</v>
      </c>
      <c r="E701" s="57" t="n">
        <v>3</v>
      </c>
      <c r="F701" s="57" t="n">
        <v>0</v>
      </c>
      <c r="G701" s="58" t="n">
        <v>122.58</v>
      </c>
      <c r="H701" s="58" t="n">
        <v>0</v>
      </c>
      <c r="I701" s="58" t="n">
        <v>122.58</v>
      </c>
      <c r="J701" s="32" t="n">
        <f aca="false">IF(E701&gt;0,F701/E701,0)</f>
        <v>0</v>
      </c>
      <c r="K701" s="32" t="n">
        <f aca="false">IF(G701&gt;0,H701/G701,0)</f>
        <v>-0</v>
      </c>
      <c r="L701" s="59" t="n">
        <f aca="false">H701/Settings!$B$16</f>
        <v>-0</v>
      </c>
      <c r="M701" s="59" t="n">
        <f aca="false">H701/Settings!$B$20</f>
        <v>-0</v>
      </c>
      <c r="N701" s="60" t="n">
        <f aca="false">E701*Settings!$B$3</f>
        <v>0.0929584532394613</v>
      </c>
      <c r="O701" s="60" t="n">
        <f aca="false">IF(E701&gt;0,(F701-N701)/SQRT(E701*Settings!$B$3*(1-Settings!$B$3)),0)</f>
        <v>-0.30972727558513</v>
      </c>
      <c r="P701" s="60" t="n">
        <f aca="false">MAX(0,F701-N701)</f>
        <v>0</v>
      </c>
      <c r="Q701" s="32" t="n">
        <f aca="false">(F701+Settings!$B$7*Settings!$B$3)/(E701+Settings!$B$7)</f>
        <v>0.0281692282543822</v>
      </c>
      <c r="R701" s="61" t="n">
        <f aca="false">PERCENTRANK($H$2:$H$1780,H701,6)</f>
        <v>0</v>
      </c>
      <c r="S701" s="61" t="n">
        <f aca="false">PERCENTRANK($Q$2:$Q$1780,Q701,6)</f>
        <v>0.294151</v>
      </c>
      <c r="T701" s="61" t="n">
        <f aca="false">PERCENTRANK($F$2:$F$1780,F701,6)</f>
        <v>0</v>
      </c>
      <c r="U701" s="62" t="n">
        <f aca="false">IF(F701&gt;0,(Settings!$B$8*T701+Settings!$B$9*R701+Settings!$B$10*S701)/SUM(Settings!$B$8:$B$10),0)</f>
        <v>0</v>
      </c>
      <c r="V701" s="56" t="str">
        <f aca="false">IF(U701&gt;0,RANK(U701,$U$2:$U$1780)+COUNTIF($U$2:U701,U701)-1,"")</f>
        <v/>
      </c>
      <c r="W701" s="56" t="str">
        <f aca="false">IF(V701="","",IF(V701&lt;=Settings!$B$11,"1 - Fix first",IF(V701&lt;=Settings!$B$12,"2 - Review","3 - Monitor")))</f>
        <v/>
      </c>
      <c r="X701" s="56" t="str">
        <f aca="false">IF(AND(E701&gt;=Settings!$B$4,F701&gt;=Settings!$B$5,O701&gt;=Settings!$B$6),"HIGH RATE","")</f>
        <v/>
      </c>
      <c r="Y701" s="56" t="str">
        <f aca="false">IF(F701&gt;0,RANK(F701,$F$2:$F$1780)+COUNTIF($F$2:F701,F701)-1,"")</f>
        <v/>
      </c>
      <c r="Z701" s="56" t="str">
        <f aca="false">IF(H701&gt;0,RANK(H701,$H$2:$H$1780)+COUNTIF($H$2:H701,H701)-1,"")</f>
        <v/>
      </c>
      <c r="AA701" s="56" t="str">
        <f aca="false">IF(AC701="","",RANK(AC701,$AC$2:$AC$1780)+COUNTIF($AC$2:AC701,AC701)-1)</f>
        <v/>
      </c>
      <c r="AB701" s="56" t="str">
        <f aca="false">IF(AD701="","",RANK(AD701,$AD$2:$AD$1780)+COUNTIF($AD$2:AD701,AD701)-1)</f>
        <v/>
      </c>
      <c r="AC701" s="56" t="str">
        <f aca="false">IF(AND(F701&gt;0,E701&gt;=Settings!$B$4),J701,"")</f>
        <v/>
      </c>
      <c r="AD701" s="56" t="str">
        <f aca="false">IF(X701="HIGH RATE",O701,"")</f>
        <v/>
      </c>
    </row>
    <row r="702" customFormat="false" ht="15" hidden="false" customHeight="false" outlineLevel="0" collapsed="false">
      <c r="A702" s="56" t="s">
        <v>1917</v>
      </c>
      <c r="B702" s="56" t="s">
        <v>1918</v>
      </c>
      <c r="C702" s="56" t="s">
        <v>51</v>
      </c>
      <c r="D702" s="56" t="str">
        <f aca="false">IFERROR(INDEX('Brand Map'!$B$4:$B$124,MATCH(C702,'Brand Map'!$A$4:$A$124,0)),"Other")</f>
        <v>AU</v>
      </c>
      <c r="E702" s="57" t="n">
        <v>2</v>
      </c>
      <c r="F702" s="57" t="n">
        <v>0</v>
      </c>
      <c r="G702" s="58" t="n">
        <v>152.63</v>
      </c>
      <c r="H702" s="58" t="n">
        <v>0</v>
      </c>
      <c r="I702" s="58" t="n">
        <v>152.63</v>
      </c>
      <c r="J702" s="32" t="n">
        <f aca="false">IF(E702&gt;0,F702/E702,0)</f>
        <v>0</v>
      </c>
      <c r="K702" s="32" t="n">
        <f aca="false">IF(G702&gt;0,H702/G702,0)</f>
        <v>-0</v>
      </c>
      <c r="L702" s="59" t="n">
        <f aca="false">H702/Settings!$B$16</f>
        <v>-0</v>
      </c>
      <c r="M702" s="59" t="n">
        <f aca="false">H702/Settings!$B$20</f>
        <v>-0</v>
      </c>
      <c r="N702" s="60" t="n">
        <f aca="false">E702*Settings!$B$3</f>
        <v>0.0619723021596408</v>
      </c>
      <c r="O702" s="60" t="n">
        <f aca="false">IF(E702&gt;0,(F702-N702)/SQRT(E702*Settings!$B$3*(1-Settings!$B$3)),0)</f>
        <v>-0.252891261535318</v>
      </c>
      <c r="P702" s="60" t="n">
        <f aca="false">MAX(0,F702-N702)</f>
        <v>0</v>
      </c>
      <c r="Q702" s="32" t="n">
        <f aca="false">(F702+Settings!$B$7*Settings!$B$3)/(E702+Settings!$B$7)</f>
        <v>0.0290495166373316</v>
      </c>
      <c r="R702" s="61" t="n">
        <f aca="false">PERCENTRANK($H$2:$H$1780,H702,6)</f>
        <v>0</v>
      </c>
      <c r="S702" s="61" t="n">
        <f aca="false">PERCENTRANK($Q$2:$Q$1780,Q702,6)</f>
        <v>0.365579</v>
      </c>
      <c r="T702" s="61" t="n">
        <f aca="false">PERCENTRANK($F$2:$F$1780,F702,6)</f>
        <v>0</v>
      </c>
      <c r="U702" s="62" t="n">
        <f aca="false">IF(F702&gt;0,(Settings!$B$8*T702+Settings!$B$9*R702+Settings!$B$10*S702)/SUM(Settings!$B$8:$B$10),0)</f>
        <v>0</v>
      </c>
      <c r="V702" s="56" t="str">
        <f aca="false">IF(U702&gt;0,RANK(U702,$U$2:$U$1780)+COUNTIF($U$2:U702,U702)-1,"")</f>
        <v/>
      </c>
      <c r="W702" s="56" t="str">
        <f aca="false">IF(V702="","",IF(V702&lt;=Settings!$B$11,"1 - Fix first",IF(V702&lt;=Settings!$B$12,"2 - Review","3 - Monitor")))</f>
        <v/>
      </c>
      <c r="X702" s="56" t="str">
        <f aca="false">IF(AND(E702&gt;=Settings!$B$4,F702&gt;=Settings!$B$5,O702&gt;=Settings!$B$6),"HIGH RATE","")</f>
        <v/>
      </c>
      <c r="Y702" s="56" t="str">
        <f aca="false">IF(F702&gt;0,RANK(F702,$F$2:$F$1780)+COUNTIF($F$2:F702,F702)-1,"")</f>
        <v/>
      </c>
      <c r="Z702" s="56" t="str">
        <f aca="false">IF(H702&gt;0,RANK(H702,$H$2:$H$1780)+COUNTIF($H$2:H702,H702)-1,"")</f>
        <v/>
      </c>
      <c r="AA702" s="56" t="str">
        <f aca="false">IF(AC702="","",RANK(AC702,$AC$2:$AC$1780)+COUNTIF($AC$2:AC702,AC702)-1)</f>
        <v/>
      </c>
      <c r="AB702" s="56" t="str">
        <f aca="false">IF(AD702="","",RANK(AD702,$AD$2:$AD$1780)+COUNTIF($AD$2:AD702,AD702)-1)</f>
        <v/>
      </c>
      <c r="AC702" s="56" t="str">
        <f aca="false">IF(AND(F702&gt;0,E702&gt;=Settings!$B$4),J702,"")</f>
        <v/>
      </c>
      <c r="AD702" s="56" t="str">
        <f aca="false">IF(X702="HIGH RATE",O702,"")</f>
        <v/>
      </c>
    </row>
    <row r="703" customFormat="false" ht="15" hidden="false" customHeight="false" outlineLevel="0" collapsed="false">
      <c r="A703" s="56" t="s">
        <v>1919</v>
      </c>
      <c r="B703" s="56" t="s">
        <v>1920</v>
      </c>
      <c r="C703" s="56" t="s">
        <v>51</v>
      </c>
      <c r="D703" s="56" t="str">
        <f aca="false">IFERROR(INDEX('Brand Map'!$B$4:$B$124,MATCH(C703,'Brand Map'!$A$4:$A$124,0)),"Other")</f>
        <v>AU</v>
      </c>
      <c r="E703" s="57" t="n">
        <v>1</v>
      </c>
      <c r="F703" s="57" t="n">
        <v>0</v>
      </c>
      <c r="G703" s="58" t="n">
        <v>72.68</v>
      </c>
      <c r="H703" s="58" t="n">
        <v>0</v>
      </c>
      <c r="I703" s="58" t="n">
        <v>72.68</v>
      </c>
      <c r="J703" s="32" t="n">
        <f aca="false">IF(E703&gt;0,F703/E703,0)</f>
        <v>0</v>
      </c>
      <c r="K703" s="32" t="n">
        <f aca="false">IF(G703&gt;0,H703/G703,0)</f>
        <v>-0</v>
      </c>
      <c r="L703" s="59" t="n">
        <f aca="false">H703/Settings!$B$16</f>
        <v>-0</v>
      </c>
      <c r="M703" s="59" t="n">
        <f aca="false">H703/Settings!$B$20</f>
        <v>-0</v>
      </c>
      <c r="N703" s="60" t="n">
        <f aca="false">E703*Settings!$B$3</f>
        <v>0.0309861510798204</v>
      </c>
      <c r="O703" s="60" t="n">
        <f aca="false">IF(E703&gt;0,(F703-N703)/SQRT(E703*Settings!$B$3*(1-Settings!$B$3)),0)</f>
        <v>-0.178821125934444</v>
      </c>
      <c r="P703" s="60" t="n">
        <f aca="false">MAX(0,F703-N703)</f>
        <v>0</v>
      </c>
      <c r="Q703" s="32" t="n">
        <f aca="false">(F703+Settings!$B$7*Settings!$B$3)/(E703+Settings!$B$7)</f>
        <v>0.0299865978191811</v>
      </c>
      <c r="R703" s="61" t="n">
        <f aca="false">PERCENTRANK($H$2:$H$1780,H703,6)</f>
        <v>0</v>
      </c>
      <c r="S703" s="61" t="n">
        <f aca="false">PERCENTRANK($Q$2:$Q$1780,Q703,6)</f>
        <v>0.486502</v>
      </c>
      <c r="T703" s="61" t="n">
        <f aca="false">PERCENTRANK($F$2:$F$1780,F703,6)</f>
        <v>0</v>
      </c>
      <c r="U703" s="62" t="n">
        <f aca="false">IF(F703&gt;0,(Settings!$B$8*T703+Settings!$B$9*R703+Settings!$B$10*S703)/SUM(Settings!$B$8:$B$10),0)</f>
        <v>0</v>
      </c>
      <c r="V703" s="56" t="str">
        <f aca="false">IF(U703&gt;0,RANK(U703,$U$2:$U$1780)+COUNTIF($U$2:U703,U703)-1,"")</f>
        <v/>
      </c>
      <c r="W703" s="56" t="str">
        <f aca="false">IF(V703="","",IF(V703&lt;=Settings!$B$11,"1 - Fix first",IF(V703&lt;=Settings!$B$12,"2 - Review","3 - Monitor")))</f>
        <v/>
      </c>
      <c r="X703" s="56" t="str">
        <f aca="false">IF(AND(E703&gt;=Settings!$B$4,F703&gt;=Settings!$B$5,O703&gt;=Settings!$B$6),"HIGH RATE","")</f>
        <v/>
      </c>
      <c r="Y703" s="56" t="str">
        <f aca="false">IF(F703&gt;0,RANK(F703,$F$2:$F$1780)+COUNTIF($F$2:F703,F703)-1,"")</f>
        <v/>
      </c>
      <c r="Z703" s="56" t="str">
        <f aca="false">IF(H703&gt;0,RANK(H703,$H$2:$H$1780)+COUNTIF($H$2:H703,H703)-1,"")</f>
        <v/>
      </c>
      <c r="AA703" s="56" t="str">
        <f aca="false">IF(AC703="","",RANK(AC703,$AC$2:$AC$1780)+COUNTIF($AC$2:AC703,AC703)-1)</f>
        <v/>
      </c>
      <c r="AB703" s="56" t="str">
        <f aca="false">IF(AD703="","",RANK(AD703,$AD$2:$AD$1780)+COUNTIF($AD$2:AD703,AD703)-1)</f>
        <v/>
      </c>
      <c r="AC703" s="56" t="str">
        <f aca="false">IF(AND(F703&gt;0,E703&gt;=Settings!$B$4),J703,"")</f>
        <v/>
      </c>
      <c r="AD703" s="56" t="str">
        <f aca="false">IF(X703="HIGH RATE",O703,"")</f>
        <v/>
      </c>
    </row>
    <row r="704" customFormat="false" ht="15" hidden="false" customHeight="false" outlineLevel="0" collapsed="false">
      <c r="A704" s="56" t="s">
        <v>1921</v>
      </c>
      <c r="B704" s="56" t="s">
        <v>1922</v>
      </c>
      <c r="C704" s="56" t="s">
        <v>51</v>
      </c>
      <c r="D704" s="56" t="str">
        <f aca="false">IFERROR(INDEX('Brand Map'!$B$4:$B$124,MATCH(C704,'Brand Map'!$A$4:$A$124,0)),"Other")</f>
        <v>AU</v>
      </c>
      <c r="E704" s="57" t="n">
        <v>2</v>
      </c>
      <c r="F704" s="57" t="n">
        <v>0</v>
      </c>
      <c r="G704" s="58" t="n">
        <v>152.63</v>
      </c>
      <c r="H704" s="58" t="n">
        <v>0</v>
      </c>
      <c r="I704" s="58" t="n">
        <v>145.37</v>
      </c>
      <c r="J704" s="32" t="n">
        <f aca="false">IF(E704&gt;0,F704/E704,0)</f>
        <v>0</v>
      </c>
      <c r="K704" s="32" t="n">
        <f aca="false">IF(G704&gt;0,H704/G704,0)</f>
        <v>-0</v>
      </c>
      <c r="L704" s="59" t="n">
        <f aca="false">H704/Settings!$B$16</f>
        <v>-0</v>
      </c>
      <c r="M704" s="59" t="n">
        <f aca="false">H704/Settings!$B$20</f>
        <v>-0</v>
      </c>
      <c r="N704" s="60" t="n">
        <f aca="false">E704*Settings!$B$3</f>
        <v>0.0619723021596408</v>
      </c>
      <c r="O704" s="60" t="n">
        <f aca="false">IF(E704&gt;0,(F704-N704)/SQRT(E704*Settings!$B$3*(1-Settings!$B$3)),0)</f>
        <v>-0.252891261535318</v>
      </c>
      <c r="P704" s="60" t="n">
        <f aca="false">MAX(0,F704-N704)</f>
        <v>0</v>
      </c>
      <c r="Q704" s="32" t="n">
        <f aca="false">(F704+Settings!$B$7*Settings!$B$3)/(E704+Settings!$B$7)</f>
        <v>0.0290495166373316</v>
      </c>
      <c r="R704" s="61" t="n">
        <f aca="false">PERCENTRANK($H$2:$H$1780,H704,6)</f>
        <v>0</v>
      </c>
      <c r="S704" s="61" t="n">
        <f aca="false">PERCENTRANK($Q$2:$Q$1780,Q704,6)</f>
        <v>0.365579</v>
      </c>
      <c r="T704" s="61" t="n">
        <f aca="false">PERCENTRANK($F$2:$F$1780,F704,6)</f>
        <v>0</v>
      </c>
      <c r="U704" s="62" t="n">
        <f aca="false">IF(F704&gt;0,(Settings!$B$8*T704+Settings!$B$9*R704+Settings!$B$10*S704)/SUM(Settings!$B$8:$B$10),0)</f>
        <v>0</v>
      </c>
      <c r="V704" s="56" t="str">
        <f aca="false">IF(U704&gt;0,RANK(U704,$U$2:$U$1780)+COUNTIF($U$2:U704,U704)-1,"")</f>
        <v/>
      </c>
      <c r="W704" s="56" t="str">
        <f aca="false">IF(V704="","",IF(V704&lt;=Settings!$B$11,"1 - Fix first",IF(V704&lt;=Settings!$B$12,"2 - Review","3 - Monitor")))</f>
        <v/>
      </c>
      <c r="X704" s="56" t="str">
        <f aca="false">IF(AND(E704&gt;=Settings!$B$4,F704&gt;=Settings!$B$5,O704&gt;=Settings!$B$6),"HIGH RATE","")</f>
        <v/>
      </c>
      <c r="Y704" s="56" t="str">
        <f aca="false">IF(F704&gt;0,RANK(F704,$F$2:$F$1780)+COUNTIF($F$2:F704,F704)-1,"")</f>
        <v/>
      </c>
      <c r="Z704" s="56" t="str">
        <f aca="false">IF(H704&gt;0,RANK(H704,$H$2:$H$1780)+COUNTIF($H$2:H704,H704)-1,"")</f>
        <v/>
      </c>
      <c r="AA704" s="56" t="str">
        <f aca="false">IF(AC704="","",RANK(AC704,$AC$2:$AC$1780)+COUNTIF($AC$2:AC704,AC704)-1)</f>
        <v/>
      </c>
      <c r="AB704" s="56" t="str">
        <f aca="false">IF(AD704="","",RANK(AD704,$AD$2:$AD$1780)+COUNTIF($AD$2:AD704,AD704)-1)</f>
        <v/>
      </c>
      <c r="AC704" s="56" t="str">
        <f aca="false">IF(AND(F704&gt;0,E704&gt;=Settings!$B$4),J704,"")</f>
        <v/>
      </c>
      <c r="AD704" s="56" t="str">
        <f aca="false">IF(X704="HIGH RATE",O704,"")</f>
        <v/>
      </c>
    </row>
    <row r="705" customFormat="false" ht="15" hidden="false" customHeight="false" outlineLevel="0" collapsed="false">
      <c r="A705" s="56" t="s">
        <v>1923</v>
      </c>
      <c r="B705" s="56" t="s">
        <v>1924</v>
      </c>
      <c r="C705" s="56" t="s">
        <v>51</v>
      </c>
      <c r="D705" s="56" t="str">
        <f aca="false">IFERROR(INDEX('Brand Map'!$B$4:$B$124,MATCH(C705,'Brand Map'!$A$4:$A$124,0)),"Other")</f>
        <v>AU</v>
      </c>
      <c r="E705" s="57" t="n">
        <v>5</v>
      </c>
      <c r="F705" s="57" t="n">
        <v>0</v>
      </c>
      <c r="G705" s="58" t="n">
        <v>385.21</v>
      </c>
      <c r="H705" s="58" t="n">
        <v>0</v>
      </c>
      <c r="I705" s="58" t="n">
        <v>385.21</v>
      </c>
      <c r="J705" s="32" t="n">
        <f aca="false">IF(E705&gt;0,F705/E705,0)</f>
        <v>0</v>
      </c>
      <c r="K705" s="32" t="n">
        <f aca="false">IF(G705&gt;0,H705/G705,0)</f>
        <v>-0</v>
      </c>
      <c r="L705" s="59" t="n">
        <f aca="false">H705/Settings!$B$16</f>
        <v>-0</v>
      </c>
      <c r="M705" s="59" t="n">
        <f aca="false">H705/Settings!$B$20</f>
        <v>-0</v>
      </c>
      <c r="N705" s="60" t="n">
        <f aca="false">E705*Settings!$B$3</f>
        <v>0.154930755399102</v>
      </c>
      <c r="O705" s="60" t="n">
        <f aca="false">IF(E705&gt;0,(F705-N705)/SQRT(E705*Settings!$B$3*(1-Settings!$B$3)),0)</f>
        <v>-0.399856193402468</v>
      </c>
      <c r="P705" s="60" t="n">
        <f aca="false">MAX(0,F705-N705)</f>
        <v>0</v>
      </c>
      <c r="Q705" s="32" t="n">
        <f aca="false">(F705+Settings!$B$7*Settings!$B$3)/(E705+Settings!$B$7)</f>
        <v>0.0265595580684175</v>
      </c>
      <c r="R705" s="61" t="n">
        <f aca="false">PERCENTRANK($H$2:$H$1780,H705,6)</f>
        <v>0</v>
      </c>
      <c r="S705" s="61" t="n">
        <f aca="false">PERCENTRANK($Q$2:$Q$1780,Q705,6)</f>
        <v>0.220472</v>
      </c>
      <c r="T705" s="61" t="n">
        <f aca="false">PERCENTRANK($F$2:$F$1780,F705,6)</f>
        <v>0</v>
      </c>
      <c r="U705" s="62" t="n">
        <f aca="false">IF(F705&gt;0,(Settings!$B$8*T705+Settings!$B$9*R705+Settings!$B$10*S705)/SUM(Settings!$B$8:$B$10),0)</f>
        <v>0</v>
      </c>
      <c r="V705" s="56" t="str">
        <f aca="false">IF(U705&gt;0,RANK(U705,$U$2:$U$1780)+COUNTIF($U$2:U705,U705)-1,"")</f>
        <v/>
      </c>
      <c r="W705" s="56" t="str">
        <f aca="false">IF(V705="","",IF(V705&lt;=Settings!$B$11,"1 - Fix first",IF(V705&lt;=Settings!$B$12,"2 - Review","3 - Monitor")))</f>
        <v/>
      </c>
      <c r="X705" s="56" t="str">
        <f aca="false">IF(AND(E705&gt;=Settings!$B$4,F705&gt;=Settings!$B$5,O705&gt;=Settings!$B$6),"HIGH RATE","")</f>
        <v/>
      </c>
      <c r="Y705" s="56" t="str">
        <f aca="false">IF(F705&gt;0,RANK(F705,$F$2:$F$1780)+COUNTIF($F$2:F705,F705)-1,"")</f>
        <v/>
      </c>
      <c r="Z705" s="56" t="str">
        <f aca="false">IF(H705&gt;0,RANK(H705,$H$2:$H$1780)+COUNTIF($H$2:H705,H705)-1,"")</f>
        <v/>
      </c>
      <c r="AA705" s="56" t="str">
        <f aca="false">IF(AC705="","",RANK(AC705,$AC$2:$AC$1780)+COUNTIF($AC$2:AC705,AC705)-1)</f>
        <v/>
      </c>
      <c r="AB705" s="56" t="str">
        <f aca="false">IF(AD705="","",RANK(AD705,$AD$2:$AD$1780)+COUNTIF($AD$2:AD705,AD705)-1)</f>
        <v/>
      </c>
      <c r="AC705" s="56" t="str">
        <f aca="false">IF(AND(F705&gt;0,E705&gt;=Settings!$B$4),J705,"")</f>
        <v/>
      </c>
      <c r="AD705" s="56" t="str">
        <f aca="false">IF(X705="HIGH RATE",O705,"")</f>
        <v/>
      </c>
    </row>
    <row r="706" customFormat="false" ht="15" hidden="false" customHeight="false" outlineLevel="0" collapsed="false">
      <c r="A706" s="56" t="s">
        <v>1925</v>
      </c>
      <c r="B706" s="56" t="s">
        <v>1926</v>
      </c>
      <c r="C706" s="56" t="s">
        <v>51</v>
      </c>
      <c r="D706" s="56" t="str">
        <f aca="false">IFERROR(INDEX('Brand Map'!$B$4:$B$124,MATCH(C706,'Brand Map'!$A$4:$A$124,0)),"Other")</f>
        <v>AU</v>
      </c>
      <c r="E706" s="57" t="n">
        <v>3</v>
      </c>
      <c r="F706" s="57" t="n">
        <v>0</v>
      </c>
      <c r="G706" s="58" t="n">
        <v>239.85</v>
      </c>
      <c r="H706" s="58" t="n">
        <v>0</v>
      </c>
      <c r="I706" s="58" t="n">
        <v>239.85</v>
      </c>
      <c r="J706" s="32" t="n">
        <f aca="false">IF(E706&gt;0,F706/E706,0)</f>
        <v>0</v>
      </c>
      <c r="K706" s="32" t="n">
        <f aca="false">IF(G706&gt;0,H706/G706,0)</f>
        <v>-0</v>
      </c>
      <c r="L706" s="59" t="n">
        <f aca="false">H706/Settings!$B$16</f>
        <v>-0</v>
      </c>
      <c r="M706" s="59" t="n">
        <f aca="false">H706/Settings!$B$20</f>
        <v>-0</v>
      </c>
      <c r="N706" s="60" t="n">
        <f aca="false">E706*Settings!$B$3</f>
        <v>0.0929584532394613</v>
      </c>
      <c r="O706" s="60" t="n">
        <f aca="false">IF(E706&gt;0,(F706-N706)/SQRT(E706*Settings!$B$3*(1-Settings!$B$3)),0)</f>
        <v>-0.30972727558513</v>
      </c>
      <c r="P706" s="60" t="n">
        <f aca="false">MAX(0,F706-N706)</f>
        <v>0</v>
      </c>
      <c r="Q706" s="32" t="n">
        <f aca="false">(F706+Settings!$B$7*Settings!$B$3)/(E706+Settings!$B$7)</f>
        <v>0.0281692282543822</v>
      </c>
      <c r="R706" s="61" t="n">
        <f aca="false">PERCENTRANK($H$2:$H$1780,H706,6)</f>
        <v>0</v>
      </c>
      <c r="S706" s="61" t="n">
        <f aca="false">PERCENTRANK($Q$2:$Q$1780,Q706,6)</f>
        <v>0.294151</v>
      </c>
      <c r="T706" s="61" t="n">
        <f aca="false">PERCENTRANK($F$2:$F$1780,F706,6)</f>
        <v>0</v>
      </c>
      <c r="U706" s="62" t="n">
        <f aca="false">IF(F706&gt;0,(Settings!$B$8*T706+Settings!$B$9*R706+Settings!$B$10*S706)/SUM(Settings!$B$8:$B$10),0)</f>
        <v>0</v>
      </c>
      <c r="V706" s="56" t="str">
        <f aca="false">IF(U706&gt;0,RANK(U706,$U$2:$U$1780)+COUNTIF($U$2:U706,U706)-1,"")</f>
        <v/>
      </c>
      <c r="W706" s="56" t="str">
        <f aca="false">IF(V706="","",IF(V706&lt;=Settings!$B$11,"1 - Fix first",IF(V706&lt;=Settings!$B$12,"2 - Review","3 - Monitor")))</f>
        <v/>
      </c>
      <c r="X706" s="56" t="str">
        <f aca="false">IF(AND(E706&gt;=Settings!$B$4,F706&gt;=Settings!$B$5,O706&gt;=Settings!$B$6),"HIGH RATE","")</f>
        <v/>
      </c>
      <c r="Y706" s="56" t="str">
        <f aca="false">IF(F706&gt;0,RANK(F706,$F$2:$F$1780)+COUNTIF($F$2:F706,F706)-1,"")</f>
        <v/>
      </c>
      <c r="Z706" s="56" t="str">
        <f aca="false">IF(H706&gt;0,RANK(H706,$H$2:$H$1780)+COUNTIF($H$2:H706,H706)-1,"")</f>
        <v/>
      </c>
      <c r="AA706" s="56" t="str">
        <f aca="false">IF(AC706="","",RANK(AC706,$AC$2:$AC$1780)+COUNTIF($AC$2:AC706,AC706)-1)</f>
        <v/>
      </c>
      <c r="AB706" s="56" t="str">
        <f aca="false">IF(AD706="","",RANK(AD706,$AD$2:$AD$1780)+COUNTIF($AD$2:AD706,AD706)-1)</f>
        <v/>
      </c>
      <c r="AC706" s="56" t="str">
        <f aca="false">IF(AND(F706&gt;0,E706&gt;=Settings!$B$4),J706,"")</f>
        <v/>
      </c>
      <c r="AD706" s="56" t="str">
        <f aca="false">IF(X706="HIGH RATE",O706,"")</f>
        <v/>
      </c>
    </row>
    <row r="707" customFormat="false" ht="15" hidden="false" customHeight="false" outlineLevel="0" collapsed="false">
      <c r="A707" s="56" t="s">
        <v>1927</v>
      </c>
      <c r="B707" s="56" t="s">
        <v>1928</v>
      </c>
      <c r="C707" s="56" t="s">
        <v>51</v>
      </c>
      <c r="D707" s="56" t="str">
        <f aca="false">IFERROR(INDEX('Brand Map'!$B$4:$B$124,MATCH(C707,'Brand Map'!$A$4:$A$124,0)),"Other")</f>
        <v>AU</v>
      </c>
      <c r="E707" s="57" t="n">
        <v>4</v>
      </c>
      <c r="F707" s="57" t="n">
        <v>0</v>
      </c>
      <c r="G707" s="58" t="n">
        <v>291.63</v>
      </c>
      <c r="H707" s="58" t="n">
        <v>0</v>
      </c>
      <c r="I707" s="58" t="n">
        <v>291.63</v>
      </c>
      <c r="J707" s="32" t="n">
        <f aca="false">IF(E707&gt;0,F707/E707,0)</f>
        <v>0</v>
      </c>
      <c r="K707" s="32" t="n">
        <f aca="false">IF(G707&gt;0,H707/G707,0)</f>
        <v>-0</v>
      </c>
      <c r="L707" s="59" t="n">
        <f aca="false">H707/Settings!$B$16</f>
        <v>-0</v>
      </c>
      <c r="M707" s="59" t="n">
        <f aca="false">H707/Settings!$B$20</f>
        <v>-0</v>
      </c>
      <c r="N707" s="60" t="n">
        <f aca="false">E707*Settings!$B$3</f>
        <v>0.123944604319282</v>
      </c>
      <c r="O707" s="60" t="n">
        <f aca="false">IF(E707&gt;0,(F707-N707)/SQRT(E707*Settings!$B$3*(1-Settings!$B$3)),0)</f>
        <v>-0.357642251868888</v>
      </c>
      <c r="P707" s="60" t="n">
        <f aca="false">MAX(0,F707-N707)</f>
        <v>0</v>
      </c>
      <c r="Q707" s="32" t="n">
        <f aca="false">(F707+Settings!$B$7*Settings!$B$3)/(E707+Settings!$B$7)</f>
        <v>0.027340721541018</v>
      </c>
      <c r="R707" s="61" t="n">
        <f aca="false">PERCENTRANK($H$2:$H$1780,H707,6)</f>
        <v>0</v>
      </c>
      <c r="S707" s="61" t="n">
        <f aca="false">PERCENTRANK($Q$2:$Q$1780,Q707,6)</f>
        <v>0.253656</v>
      </c>
      <c r="T707" s="61" t="n">
        <f aca="false">PERCENTRANK($F$2:$F$1780,F707,6)</f>
        <v>0</v>
      </c>
      <c r="U707" s="62" t="n">
        <f aca="false">IF(F707&gt;0,(Settings!$B$8*T707+Settings!$B$9*R707+Settings!$B$10*S707)/SUM(Settings!$B$8:$B$10),0)</f>
        <v>0</v>
      </c>
      <c r="V707" s="56" t="str">
        <f aca="false">IF(U707&gt;0,RANK(U707,$U$2:$U$1780)+COUNTIF($U$2:U707,U707)-1,"")</f>
        <v/>
      </c>
      <c r="W707" s="56" t="str">
        <f aca="false">IF(V707="","",IF(V707&lt;=Settings!$B$11,"1 - Fix first",IF(V707&lt;=Settings!$B$12,"2 - Review","3 - Monitor")))</f>
        <v/>
      </c>
      <c r="X707" s="56" t="str">
        <f aca="false">IF(AND(E707&gt;=Settings!$B$4,F707&gt;=Settings!$B$5,O707&gt;=Settings!$B$6),"HIGH RATE","")</f>
        <v/>
      </c>
      <c r="Y707" s="56" t="str">
        <f aca="false">IF(F707&gt;0,RANK(F707,$F$2:$F$1780)+COUNTIF($F$2:F707,F707)-1,"")</f>
        <v/>
      </c>
      <c r="Z707" s="56" t="str">
        <f aca="false">IF(H707&gt;0,RANK(H707,$H$2:$H$1780)+COUNTIF($H$2:H707,H707)-1,"")</f>
        <v/>
      </c>
      <c r="AA707" s="56" t="str">
        <f aca="false">IF(AC707="","",RANK(AC707,$AC$2:$AC$1780)+COUNTIF($AC$2:AC707,AC707)-1)</f>
        <v/>
      </c>
      <c r="AB707" s="56" t="str">
        <f aca="false">IF(AD707="","",RANK(AD707,$AD$2:$AD$1780)+COUNTIF($AD$2:AD707,AD707)-1)</f>
        <v/>
      </c>
      <c r="AC707" s="56" t="str">
        <f aca="false">IF(AND(F707&gt;0,E707&gt;=Settings!$B$4),J707,"")</f>
        <v/>
      </c>
      <c r="AD707" s="56" t="str">
        <f aca="false">IF(X707="HIGH RATE",O707,"")</f>
        <v/>
      </c>
    </row>
    <row r="708" customFormat="false" ht="15" hidden="false" customHeight="false" outlineLevel="0" collapsed="false">
      <c r="A708" s="56" t="s">
        <v>1929</v>
      </c>
      <c r="B708" s="56" t="s">
        <v>1930</v>
      </c>
      <c r="C708" s="56" t="s">
        <v>51</v>
      </c>
      <c r="D708" s="56" t="str">
        <f aca="false">IFERROR(INDEX('Brand Map'!$B$4:$B$124,MATCH(C708,'Brand Map'!$A$4:$A$124,0)),"Other")</f>
        <v>AU</v>
      </c>
      <c r="E708" s="57" t="n">
        <v>2</v>
      </c>
      <c r="F708" s="57" t="n">
        <v>0</v>
      </c>
      <c r="G708" s="58" t="n">
        <v>159.9</v>
      </c>
      <c r="H708" s="58" t="n">
        <v>0</v>
      </c>
      <c r="I708" s="58" t="n">
        <v>159.9</v>
      </c>
      <c r="J708" s="32" t="n">
        <f aca="false">IF(E708&gt;0,F708/E708,0)</f>
        <v>0</v>
      </c>
      <c r="K708" s="32" t="n">
        <f aca="false">IF(G708&gt;0,H708/G708,0)</f>
        <v>-0</v>
      </c>
      <c r="L708" s="59" t="n">
        <f aca="false">H708/Settings!$B$16</f>
        <v>-0</v>
      </c>
      <c r="M708" s="59" t="n">
        <f aca="false">H708/Settings!$B$20</f>
        <v>-0</v>
      </c>
      <c r="N708" s="60" t="n">
        <f aca="false">E708*Settings!$B$3</f>
        <v>0.0619723021596408</v>
      </c>
      <c r="O708" s="60" t="n">
        <f aca="false">IF(E708&gt;0,(F708-N708)/SQRT(E708*Settings!$B$3*(1-Settings!$B$3)),0)</f>
        <v>-0.252891261535318</v>
      </c>
      <c r="P708" s="60" t="n">
        <f aca="false">MAX(0,F708-N708)</f>
        <v>0</v>
      </c>
      <c r="Q708" s="32" t="n">
        <f aca="false">(F708+Settings!$B$7*Settings!$B$3)/(E708+Settings!$B$7)</f>
        <v>0.0290495166373316</v>
      </c>
      <c r="R708" s="61" t="n">
        <f aca="false">PERCENTRANK($H$2:$H$1780,H708,6)</f>
        <v>0</v>
      </c>
      <c r="S708" s="61" t="n">
        <f aca="false">PERCENTRANK($Q$2:$Q$1780,Q708,6)</f>
        <v>0.365579</v>
      </c>
      <c r="T708" s="61" t="n">
        <f aca="false">PERCENTRANK($F$2:$F$1780,F708,6)</f>
        <v>0</v>
      </c>
      <c r="U708" s="62" t="n">
        <f aca="false">IF(F708&gt;0,(Settings!$B$8*T708+Settings!$B$9*R708+Settings!$B$10*S708)/SUM(Settings!$B$8:$B$10),0)</f>
        <v>0</v>
      </c>
      <c r="V708" s="56" t="str">
        <f aca="false">IF(U708&gt;0,RANK(U708,$U$2:$U$1780)+COUNTIF($U$2:U708,U708)-1,"")</f>
        <v/>
      </c>
      <c r="W708" s="56" t="str">
        <f aca="false">IF(V708="","",IF(V708&lt;=Settings!$B$11,"1 - Fix first",IF(V708&lt;=Settings!$B$12,"2 - Review","3 - Monitor")))</f>
        <v/>
      </c>
      <c r="X708" s="56" t="str">
        <f aca="false">IF(AND(E708&gt;=Settings!$B$4,F708&gt;=Settings!$B$5,O708&gt;=Settings!$B$6),"HIGH RATE","")</f>
        <v/>
      </c>
      <c r="Y708" s="56" t="str">
        <f aca="false">IF(F708&gt;0,RANK(F708,$F$2:$F$1780)+COUNTIF($F$2:F708,F708)-1,"")</f>
        <v/>
      </c>
      <c r="Z708" s="56" t="str">
        <f aca="false">IF(H708&gt;0,RANK(H708,$H$2:$H$1780)+COUNTIF($H$2:H708,H708)-1,"")</f>
        <v/>
      </c>
      <c r="AA708" s="56" t="str">
        <f aca="false">IF(AC708="","",RANK(AC708,$AC$2:$AC$1780)+COUNTIF($AC$2:AC708,AC708)-1)</f>
        <v/>
      </c>
      <c r="AB708" s="56" t="str">
        <f aca="false">IF(AD708="","",RANK(AD708,$AD$2:$AD$1780)+COUNTIF($AD$2:AD708,AD708)-1)</f>
        <v/>
      </c>
      <c r="AC708" s="56" t="str">
        <f aca="false">IF(AND(F708&gt;0,E708&gt;=Settings!$B$4),J708,"")</f>
        <v/>
      </c>
      <c r="AD708" s="56" t="str">
        <f aca="false">IF(X708="HIGH RATE",O708,"")</f>
        <v/>
      </c>
    </row>
    <row r="709" customFormat="false" ht="15" hidden="false" customHeight="false" outlineLevel="0" collapsed="false">
      <c r="A709" s="56" t="s">
        <v>1931</v>
      </c>
      <c r="B709" s="56" t="s">
        <v>1932</v>
      </c>
      <c r="C709" s="56" t="s">
        <v>51</v>
      </c>
      <c r="D709" s="56" t="str">
        <f aca="false">IFERROR(INDEX('Brand Map'!$B$4:$B$124,MATCH(C709,'Brand Map'!$A$4:$A$124,0)),"Other")</f>
        <v>AU</v>
      </c>
      <c r="E709" s="57" t="n">
        <v>3</v>
      </c>
      <c r="F709" s="57" t="n">
        <v>0</v>
      </c>
      <c r="G709" s="58" t="n">
        <v>239.85</v>
      </c>
      <c r="H709" s="58" t="n">
        <v>0</v>
      </c>
      <c r="I709" s="58" t="n">
        <v>239.85</v>
      </c>
      <c r="J709" s="32" t="n">
        <f aca="false">IF(E709&gt;0,F709/E709,0)</f>
        <v>0</v>
      </c>
      <c r="K709" s="32" t="n">
        <f aca="false">IF(G709&gt;0,H709/G709,0)</f>
        <v>-0</v>
      </c>
      <c r="L709" s="59" t="n">
        <f aca="false">H709/Settings!$B$16</f>
        <v>-0</v>
      </c>
      <c r="M709" s="59" t="n">
        <f aca="false">H709/Settings!$B$20</f>
        <v>-0</v>
      </c>
      <c r="N709" s="60" t="n">
        <f aca="false">E709*Settings!$B$3</f>
        <v>0.0929584532394613</v>
      </c>
      <c r="O709" s="60" t="n">
        <f aca="false">IF(E709&gt;0,(F709-N709)/SQRT(E709*Settings!$B$3*(1-Settings!$B$3)),0)</f>
        <v>-0.30972727558513</v>
      </c>
      <c r="P709" s="60" t="n">
        <f aca="false">MAX(0,F709-N709)</f>
        <v>0</v>
      </c>
      <c r="Q709" s="32" t="n">
        <f aca="false">(F709+Settings!$B$7*Settings!$B$3)/(E709+Settings!$B$7)</f>
        <v>0.0281692282543822</v>
      </c>
      <c r="R709" s="61" t="n">
        <f aca="false">PERCENTRANK($H$2:$H$1780,H709,6)</f>
        <v>0</v>
      </c>
      <c r="S709" s="61" t="n">
        <f aca="false">PERCENTRANK($Q$2:$Q$1780,Q709,6)</f>
        <v>0.294151</v>
      </c>
      <c r="T709" s="61" t="n">
        <f aca="false">PERCENTRANK($F$2:$F$1780,F709,6)</f>
        <v>0</v>
      </c>
      <c r="U709" s="62" t="n">
        <f aca="false">IF(F709&gt;0,(Settings!$B$8*T709+Settings!$B$9*R709+Settings!$B$10*S709)/SUM(Settings!$B$8:$B$10),0)</f>
        <v>0</v>
      </c>
      <c r="V709" s="56" t="str">
        <f aca="false">IF(U709&gt;0,RANK(U709,$U$2:$U$1780)+COUNTIF($U$2:U709,U709)-1,"")</f>
        <v/>
      </c>
      <c r="W709" s="56" t="str">
        <f aca="false">IF(V709="","",IF(V709&lt;=Settings!$B$11,"1 - Fix first",IF(V709&lt;=Settings!$B$12,"2 - Review","3 - Monitor")))</f>
        <v/>
      </c>
      <c r="X709" s="56" t="str">
        <f aca="false">IF(AND(E709&gt;=Settings!$B$4,F709&gt;=Settings!$B$5,O709&gt;=Settings!$B$6),"HIGH RATE","")</f>
        <v/>
      </c>
      <c r="Y709" s="56" t="str">
        <f aca="false">IF(F709&gt;0,RANK(F709,$F$2:$F$1780)+COUNTIF($F$2:F709,F709)-1,"")</f>
        <v/>
      </c>
      <c r="Z709" s="56" t="str">
        <f aca="false">IF(H709&gt;0,RANK(H709,$H$2:$H$1780)+COUNTIF($H$2:H709,H709)-1,"")</f>
        <v/>
      </c>
      <c r="AA709" s="56" t="str">
        <f aca="false">IF(AC709="","",RANK(AC709,$AC$2:$AC$1780)+COUNTIF($AC$2:AC709,AC709)-1)</f>
        <v/>
      </c>
      <c r="AB709" s="56" t="str">
        <f aca="false">IF(AD709="","",RANK(AD709,$AD$2:$AD$1780)+COUNTIF($AD$2:AD709,AD709)-1)</f>
        <v/>
      </c>
      <c r="AC709" s="56" t="str">
        <f aca="false">IF(AND(F709&gt;0,E709&gt;=Settings!$B$4),J709,"")</f>
        <v/>
      </c>
      <c r="AD709" s="56" t="str">
        <f aca="false">IF(X709="HIGH RATE",O709,"")</f>
        <v/>
      </c>
    </row>
    <row r="710" customFormat="false" ht="15" hidden="false" customHeight="false" outlineLevel="0" collapsed="false">
      <c r="A710" s="56" t="s">
        <v>1933</v>
      </c>
      <c r="B710" s="56" t="s">
        <v>1934</v>
      </c>
      <c r="C710" s="56" t="s">
        <v>51</v>
      </c>
      <c r="D710" s="56" t="str">
        <f aca="false">IFERROR(INDEX('Brand Map'!$B$4:$B$124,MATCH(C710,'Brand Map'!$A$4:$A$124,0)),"Other")</f>
        <v>AU</v>
      </c>
      <c r="E710" s="57" t="n">
        <v>2</v>
      </c>
      <c r="F710" s="57" t="n">
        <v>0</v>
      </c>
      <c r="G710" s="58" t="n">
        <v>143.54</v>
      </c>
      <c r="H710" s="58" t="n">
        <v>0</v>
      </c>
      <c r="I710" s="58" t="n">
        <v>143.54</v>
      </c>
      <c r="J710" s="32" t="n">
        <f aca="false">IF(E710&gt;0,F710/E710,0)</f>
        <v>0</v>
      </c>
      <c r="K710" s="32" t="n">
        <f aca="false">IF(G710&gt;0,H710/G710,0)</f>
        <v>-0</v>
      </c>
      <c r="L710" s="59" t="n">
        <f aca="false">H710/Settings!$B$16</f>
        <v>-0</v>
      </c>
      <c r="M710" s="59" t="n">
        <f aca="false">H710/Settings!$B$20</f>
        <v>-0</v>
      </c>
      <c r="N710" s="60" t="n">
        <f aca="false">E710*Settings!$B$3</f>
        <v>0.0619723021596408</v>
      </c>
      <c r="O710" s="60" t="n">
        <f aca="false">IF(E710&gt;0,(F710-N710)/SQRT(E710*Settings!$B$3*(1-Settings!$B$3)),0)</f>
        <v>-0.252891261535318</v>
      </c>
      <c r="P710" s="60" t="n">
        <f aca="false">MAX(0,F710-N710)</f>
        <v>0</v>
      </c>
      <c r="Q710" s="32" t="n">
        <f aca="false">(F710+Settings!$B$7*Settings!$B$3)/(E710+Settings!$B$7)</f>
        <v>0.0290495166373316</v>
      </c>
      <c r="R710" s="61" t="n">
        <f aca="false">PERCENTRANK($H$2:$H$1780,H710,6)</f>
        <v>0</v>
      </c>
      <c r="S710" s="61" t="n">
        <f aca="false">PERCENTRANK($Q$2:$Q$1780,Q710,6)</f>
        <v>0.365579</v>
      </c>
      <c r="T710" s="61" t="n">
        <f aca="false">PERCENTRANK($F$2:$F$1780,F710,6)</f>
        <v>0</v>
      </c>
      <c r="U710" s="62" t="n">
        <f aca="false">IF(F710&gt;0,(Settings!$B$8*T710+Settings!$B$9*R710+Settings!$B$10*S710)/SUM(Settings!$B$8:$B$10),0)</f>
        <v>0</v>
      </c>
      <c r="V710" s="56" t="str">
        <f aca="false">IF(U710&gt;0,RANK(U710,$U$2:$U$1780)+COUNTIF($U$2:U710,U710)-1,"")</f>
        <v/>
      </c>
      <c r="W710" s="56" t="str">
        <f aca="false">IF(V710="","",IF(V710&lt;=Settings!$B$11,"1 - Fix first",IF(V710&lt;=Settings!$B$12,"2 - Review","3 - Monitor")))</f>
        <v/>
      </c>
      <c r="X710" s="56" t="str">
        <f aca="false">IF(AND(E710&gt;=Settings!$B$4,F710&gt;=Settings!$B$5,O710&gt;=Settings!$B$6),"HIGH RATE","")</f>
        <v/>
      </c>
      <c r="Y710" s="56" t="str">
        <f aca="false">IF(F710&gt;0,RANK(F710,$F$2:$F$1780)+COUNTIF($F$2:F710,F710)-1,"")</f>
        <v/>
      </c>
      <c r="Z710" s="56" t="str">
        <f aca="false">IF(H710&gt;0,RANK(H710,$H$2:$H$1780)+COUNTIF($H$2:H710,H710)-1,"")</f>
        <v/>
      </c>
      <c r="AA710" s="56" t="str">
        <f aca="false">IF(AC710="","",RANK(AC710,$AC$2:$AC$1780)+COUNTIF($AC$2:AC710,AC710)-1)</f>
        <v/>
      </c>
      <c r="AB710" s="56" t="str">
        <f aca="false">IF(AD710="","",RANK(AD710,$AD$2:$AD$1780)+COUNTIF($AD$2:AD710,AD710)-1)</f>
        <v/>
      </c>
      <c r="AC710" s="56" t="str">
        <f aca="false">IF(AND(F710&gt;0,E710&gt;=Settings!$B$4),J710,"")</f>
        <v/>
      </c>
      <c r="AD710" s="56" t="str">
        <f aca="false">IF(X710="HIGH RATE",O710,"")</f>
        <v/>
      </c>
    </row>
    <row r="711" customFormat="false" ht="15" hidden="false" customHeight="false" outlineLevel="0" collapsed="false">
      <c r="A711" s="56" t="s">
        <v>1935</v>
      </c>
      <c r="B711" s="56" t="s">
        <v>1936</v>
      </c>
      <c r="C711" s="56" t="s">
        <v>51</v>
      </c>
      <c r="D711" s="56" t="str">
        <f aca="false">IFERROR(INDEX('Brand Map'!$B$4:$B$124,MATCH(C711,'Brand Map'!$A$4:$A$124,0)),"Other")</f>
        <v>AU</v>
      </c>
      <c r="E711" s="57" t="n">
        <v>6</v>
      </c>
      <c r="F711" s="57" t="n">
        <v>0</v>
      </c>
      <c r="G711" s="58" t="n">
        <v>426.99</v>
      </c>
      <c r="H711" s="58" t="n">
        <v>0</v>
      </c>
      <c r="I711" s="58" t="n">
        <v>426.99</v>
      </c>
      <c r="J711" s="32" t="n">
        <f aca="false">IF(E711&gt;0,F711/E711,0)</f>
        <v>0</v>
      </c>
      <c r="K711" s="32" t="n">
        <f aca="false">IF(G711&gt;0,H711/G711,0)</f>
        <v>-0</v>
      </c>
      <c r="L711" s="59" t="n">
        <f aca="false">H711/Settings!$B$16</f>
        <v>-0</v>
      </c>
      <c r="M711" s="59" t="n">
        <f aca="false">H711/Settings!$B$20</f>
        <v>-0</v>
      </c>
      <c r="N711" s="60" t="n">
        <f aca="false">E711*Settings!$B$3</f>
        <v>0.185916906478923</v>
      </c>
      <c r="O711" s="60" t="n">
        <f aca="false">IF(E711&gt;0,(F711-N711)/SQRT(E711*Settings!$B$3*(1-Settings!$B$3)),0)</f>
        <v>-0.43802051376936</v>
      </c>
      <c r="P711" s="60" t="n">
        <f aca="false">MAX(0,F711-N711)</f>
        <v>0</v>
      </c>
      <c r="Q711" s="32" t="n">
        <f aca="false">(F711+Settings!$B$7*Settings!$B$3)/(E711+Settings!$B$7)</f>
        <v>0.025821792566517</v>
      </c>
      <c r="R711" s="61" t="n">
        <f aca="false">PERCENTRANK($H$2:$H$1780,H711,6)</f>
        <v>0</v>
      </c>
      <c r="S711" s="61" t="n">
        <f aca="false">PERCENTRANK($Q$2:$Q$1780,Q711,6)</f>
        <v>0.189539</v>
      </c>
      <c r="T711" s="61" t="n">
        <f aca="false">PERCENTRANK($F$2:$F$1780,F711,6)</f>
        <v>0</v>
      </c>
      <c r="U711" s="62" t="n">
        <f aca="false">IF(F711&gt;0,(Settings!$B$8*T711+Settings!$B$9*R711+Settings!$B$10*S711)/SUM(Settings!$B$8:$B$10),0)</f>
        <v>0</v>
      </c>
      <c r="V711" s="56" t="str">
        <f aca="false">IF(U711&gt;0,RANK(U711,$U$2:$U$1780)+COUNTIF($U$2:U711,U711)-1,"")</f>
        <v/>
      </c>
      <c r="W711" s="56" t="str">
        <f aca="false">IF(V711="","",IF(V711&lt;=Settings!$B$11,"1 - Fix first",IF(V711&lt;=Settings!$B$12,"2 - Review","3 - Monitor")))</f>
        <v/>
      </c>
      <c r="X711" s="56" t="str">
        <f aca="false">IF(AND(E711&gt;=Settings!$B$4,F711&gt;=Settings!$B$5,O711&gt;=Settings!$B$6),"HIGH RATE","")</f>
        <v/>
      </c>
      <c r="Y711" s="56" t="str">
        <f aca="false">IF(F711&gt;0,RANK(F711,$F$2:$F$1780)+COUNTIF($F$2:F711,F711)-1,"")</f>
        <v/>
      </c>
      <c r="Z711" s="56" t="str">
        <f aca="false">IF(H711&gt;0,RANK(H711,$H$2:$H$1780)+COUNTIF($H$2:H711,H711)-1,"")</f>
        <v/>
      </c>
      <c r="AA711" s="56" t="str">
        <f aca="false">IF(AC711="","",RANK(AC711,$AC$2:$AC$1780)+COUNTIF($AC$2:AC711,AC711)-1)</f>
        <v/>
      </c>
      <c r="AB711" s="56" t="str">
        <f aca="false">IF(AD711="","",RANK(AD711,$AD$2:$AD$1780)+COUNTIF($AD$2:AD711,AD711)-1)</f>
        <v/>
      </c>
      <c r="AC711" s="56" t="str">
        <f aca="false">IF(AND(F711&gt;0,E711&gt;=Settings!$B$4),J711,"")</f>
        <v/>
      </c>
      <c r="AD711" s="56" t="str">
        <f aca="false">IF(X711="HIGH RATE",O711,"")</f>
        <v/>
      </c>
    </row>
    <row r="712" customFormat="false" ht="15" hidden="false" customHeight="false" outlineLevel="0" collapsed="false">
      <c r="A712" s="56" t="s">
        <v>1937</v>
      </c>
      <c r="B712" s="56" t="s">
        <v>1938</v>
      </c>
      <c r="C712" s="56" t="s">
        <v>51</v>
      </c>
      <c r="D712" s="56" t="str">
        <f aca="false">IFERROR(INDEX('Brand Map'!$B$4:$B$124,MATCH(C712,'Brand Map'!$A$4:$A$124,0)),"Other")</f>
        <v>AU</v>
      </c>
      <c r="E712" s="57" t="n">
        <v>3</v>
      </c>
      <c r="F712" s="57" t="n">
        <v>0</v>
      </c>
      <c r="G712" s="58" t="n">
        <v>211.23</v>
      </c>
      <c r="H712" s="58" t="n">
        <v>0</v>
      </c>
      <c r="I712" s="58" t="n">
        <v>211.23</v>
      </c>
      <c r="J712" s="32" t="n">
        <f aca="false">IF(E712&gt;0,F712/E712,0)</f>
        <v>0</v>
      </c>
      <c r="K712" s="32" t="n">
        <f aca="false">IF(G712&gt;0,H712/G712,0)</f>
        <v>-0</v>
      </c>
      <c r="L712" s="59" t="n">
        <f aca="false">H712/Settings!$B$16</f>
        <v>-0</v>
      </c>
      <c r="M712" s="59" t="n">
        <f aca="false">H712/Settings!$B$20</f>
        <v>-0</v>
      </c>
      <c r="N712" s="60" t="n">
        <f aca="false">E712*Settings!$B$3</f>
        <v>0.0929584532394613</v>
      </c>
      <c r="O712" s="60" t="n">
        <f aca="false">IF(E712&gt;0,(F712-N712)/SQRT(E712*Settings!$B$3*(1-Settings!$B$3)),0)</f>
        <v>-0.30972727558513</v>
      </c>
      <c r="P712" s="60" t="n">
        <f aca="false">MAX(0,F712-N712)</f>
        <v>0</v>
      </c>
      <c r="Q712" s="32" t="n">
        <f aca="false">(F712+Settings!$B$7*Settings!$B$3)/(E712+Settings!$B$7)</f>
        <v>0.0281692282543822</v>
      </c>
      <c r="R712" s="61" t="n">
        <f aca="false">PERCENTRANK($H$2:$H$1780,H712,6)</f>
        <v>0</v>
      </c>
      <c r="S712" s="61" t="n">
        <f aca="false">PERCENTRANK($Q$2:$Q$1780,Q712,6)</f>
        <v>0.294151</v>
      </c>
      <c r="T712" s="61" t="n">
        <f aca="false">PERCENTRANK($F$2:$F$1780,F712,6)</f>
        <v>0</v>
      </c>
      <c r="U712" s="62" t="n">
        <f aca="false">IF(F712&gt;0,(Settings!$B$8*T712+Settings!$B$9*R712+Settings!$B$10*S712)/SUM(Settings!$B$8:$B$10),0)</f>
        <v>0</v>
      </c>
      <c r="V712" s="56" t="str">
        <f aca="false">IF(U712&gt;0,RANK(U712,$U$2:$U$1780)+COUNTIF($U$2:U712,U712)-1,"")</f>
        <v/>
      </c>
      <c r="W712" s="56" t="str">
        <f aca="false">IF(V712="","",IF(V712&lt;=Settings!$B$11,"1 - Fix first",IF(V712&lt;=Settings!$B$12,"2 - Review","3 - Monitor")))</f>
        <v/>
      </c>
      <c r="X712" s="56" t="str">
        <f aca="false">IF(AND(E712&gt;=Settings!$B$4,F712&gt;=Settings!$B$5,O712&gt;=Settings!$B$6),"HIGH RATE","")</f>
        <v/>
      </c>
      <c r="Y712" s="56" t="str">
        <f aca="false">IF(F712&gt;0,RANK(F712,$F$2:$F$1780)+COUNTIF($F$2:F712,F712)-1,"")</f>
        <v/>
      </c>
      <c r="Z712" s="56" t="str">
        <f aca="false">IF(H712&gt;0,RANK(H712,$H$2:$H$1780)+COUNTIF($H$2:H712,H712)-1,"")</f>
        <v/>
      </c>
      <c r="AA712" s="56" t="str">
        <f aca="false">IF(AC712="","",RANK(AC712,$AC$2:$AC$1780)+COUNTIF($AC$2:AC712,AC712)-1)</f>
        <v/>
      </c>
      <c r="AB712" s="56" t="str">
        <f aca="false">IF(AD712="","",RANK(AD712,$AD$2:$AD$1780)+COUNTIF($AD$2:AD712,AD712)-1)</f>
        <v/>
      </c>
      <c r="AC712" s="56" t="str">
        <f aca="false">IF(AND(F712&gt;0,E712&gt;=Settings!$B$4),J712,"")</f>
        <v/>
      </c>
      <c r="AD712" s="56" t="str">
        <f aca="false">IF(X712="HIGH RATE",O712,"")</f>
        <v/>
      </c>
    </row>
    <row r="713" customFormat="false" ht="15" hidden="false" customHeight="false" outlineLevel="0" collapsed="false">
      <c r="A713" s="56" t="s">
        <v>1939</v>
      </c>
      <c r="B713" s="56" t="s">
        <v>1940</v>
      </c>
      <c r="C713" s="56" t="s">
        <v>51</v>
      </c>
      <c r="D713" s="56" t="str">
        <f aca="false">IFERROR(INDEX('Brand Map'!$B$4:$B$124,MATCH(C713,'Brand Map'!$A$4:$A$124,0)),"Other")</f>
        <v>AU</v>
      </c>
      <c r="E713" s="57" t="n">
        <v>2</v>
      </c>
      <c r="F713" s="57" t="n">
        <v>0</v>
      </c>
      <c r="G713" s="58" t="n">
        <v>238.54</v>
      </c>
      <c r="H713" s="58" t="n">
        <v>0</v>
      </c>
      <c r="I713" s="58" t="n">
        <v>238.54</v>
      </c>
      <c r="J713" s="32" t="n">
        <f aca="false">IF(E713&gt;0,F713/E713,0)</f>
        <v>0</v>
      </c>
      <c r="K713" s="32" t="n">
        <f aca="false">IF(G713&gt;0,H713/G713,0)</f>
        <v>-0</v>
      </c>
      <c r="L713" s="59" t="n">
        <f aca="false">H713/Settings!$B$16</f>
        <v>-0</v>
      </c>
      <c r="M713" s="59" t="n">
        <f aca="false">H713/Settings!$B$20</f>
        <v>-0</v>
      </c>
      <c r="N713" s="60" t="n">
        <f aca="false">E713*Settings!$B$3</f>
        <v>0.0619723021596408</v>
      </c>
      <c r="O713" s="60" t="n">
        <f aca="false">IF(E713&gt;0,(F713-N713)/SQRT(E713*Settings!$B$3*(1-Settings!$B$3)),0)</f>
        <v>-0.252891261535318</v>
      </c>
      <c r="P713" s="60" t="n">
        <f aca="false">MAX(0,F713-N713)</f>
        <v>0</v>
      </c>
      <c r="Q713" s="32" t="n">
        <f aca="false">(F713+Settings!$B$7*Settings!$B$3)/(E713+Settings!$B$7)</f>
        <v>0.0290495166373316</v>
      </c>
      <c r="R713" s="61" t="n">
        <f aca="false">PERCENTRANK($H$2:$H$1780,H713,6)</f>
        <v>0</v>
      </c>
      <c r="S713" s="61" t="n">
        <f aca="false">PERCENTRANK($Q$2:$Q$1780,Q713,6)</f>
        <v>0.365579</v>
      </c>
      <c r="T713" s="61" t="n">
        <f aca="false">PERCENTRANK($F$2:$F$1780,F713,6)</f>
        <v>0</v>
      </c>
      <c r="U713" s="62" t="n">
        <f aca="false">IF(F713&gt;0,(Settings!$B$8*T713+Settings!$B$9*R713+Settings!$B$10*S713)/SUM(Settings!$B$8:$B$10),0)</f>
        <v>0</v>
      </c>
      <c r="V713" s="56" t="str">
        <f aca="false">IF(U713&gt;0,RANK(U713,$U$2:$U$1780)+COUNTIF($U$2:U713,U713)-1,"")</f>
        <v/>
      </c>
      <c r="W713" s="56" t="str">
        <f aca="false">IF(V713="","",IF(V713&lt;=Settings!$B$11,"1 - Fix first",IF(V713&lt;=Settings!$B$12,"2 - Review","3 - Monitor")))</f>
        <v/>
      </c>
      <c r="X713" s="56" t="str">
        <f aca="false">IF(AND(E713&gt;=Settings!$B$4,F713&gt;=Settings!$B$5,O713&gt;=Settings!$B$6),"HIGH RATE","")</f>
        <v/>
      </c>
      <c r="Y713" s="56" t="str">
        <f aca="false">IF(F713&gt;0,RANK(F713,$F$2:$F$1780)+COUNTIF($F$2:F713,F713)-1,"")</f>
        <v/>
      </c>
      <c r="Z713" s="56" t="str">
        <f aca="false">IF(H713&gt;0,RANK(H713,$H$2:$H$1780)+COUNTIF($H$2:H713,H713)-1,"")</f>
        <v/>
      </c>
      <c r="AA713" s="56" t="str">
        <f aca="false">IF(AC713="","",RANK(AC713,$AC$2:$AC$1780)+COUNTIF($AC$2:AC713,AC713)-1)</f>
        <v/>
      </c>
      <c r="AB713" s="56" t="str">
        <f aca="false">IF(AD713="","",RANK(AD713,$AD$2:$AD$1780)+COUNTIF($AD$2:AD713,AD713)-1)</f>
        <v/>
      </c>
      <c r="AC713" s="56" t="str">
        <f aca="false">IF(AND(F713&gt;0,E713&gt;=Settings!$B$4),J713,"")</f>
        <v/>
      </c>
      <c r="AD713" s="56" t="str">
        <f aca="false">IF(X713="HIGH RATE",O713,"")</f>
        <v/>
      </c>
    </row>
    <row r="714" customFormat="false" ht="15" hidden="false" customHeight="false" outlineLevel="0" collapsed="false">
      <c r="A714" s="56" t="s">
        <v>1941</v>
      </c>
      <c r="B714" s="56" t="s">
        <v>1942</v>
      </c>
      <c r="C714" s="56" t="s">
        <v>51</v>
      </c>
      <c r="D714" s="56" t="str">
        <f aca="false">IFERROR(INDEX('Brand Map'!$B$4:$B$124,MATCH(C714,'Brand Map'!$A$4:$A$124,0)),"Other")</f>
        <v>AU</v>
      </c>
      <c r="E714" s="57" t="n">
        <v>7</v>
      </c>
      <c r="F714" s="57" t="n">
        <v>0</v>
      </c>
      <c r="G714" s="58" t="n">
        <v>801.93</v>
      </c>
      <c r="H714" s="58" t="n">
        <v>0</v>
      </c>
      <c r="I714" s="58" t="n">
        <v>790.58</v>
      </c>
      <c r="J714" s="32" t="n">
        <f aca="false">IF(E714&gt;0,F714/E714,0)</f>
        <v>0</v>
      </c>
      <c r="K714" s="32" t="n">
        <f aca="false">IF(G714&gt;0,H714/G714,0)</f>
        <v>-0</v>
      </c>
      <c r="L714" s="59" t="n">
        <f aca="false">H714/Settings!$B$16</f>
        <v>-0</v>
      </c>
      <c r="M714" s="59" t="n">
        <f aca="false">H714/Settings!$B$20</f>
        <v>-0</v>
      </c>
      <c r="N714" s="60" t="n">
        <f aca="false">E714*Settings!$B$3</f>
        <v>0.216903057558743</v>
      </c>
      <c r="O714" s="60" t="n">
        <f aca="false">IF(E714&gt;0,(F714-N714)/SQRT(E714*Settings!$B$3*(1-Settings!$B$3)),0)</f>
        <v>-0.473116228387102</v>
      </c>
      <c r="P714" s="60" t="n">
        <f aca="false">MAX(0,F714-N714)</f>
        <v>0</v>
      </c>
      <c r="Q714" s="32" t="n">
        <f aca="false">(F714+Settings!$B$7*Settings!$B$3)/(E714+Settings!$B$7)</f>
        <v>0.0251239062809355</v>
      </c>
      <c r="R714" s="61" t="n">
        <f aca="false">PERCENTRANK($H$2:$H$1780,H714,6)</f>
        <v>0</v>
      </c>
      <c r="S714" s="61" t="n">
        <f aca="false">PERCENTRANK($Q$2:$Q$1780,Q714,6)</f>
        <v>0.168166</v>
      </c>
      <c r="T714" s="61" t="n">
        <f aca="false">PERCENTRANK($F$2:$F$1780,F714,6)</f>
        <v>0</v>
      </c>
      <c r="U714" s="62" t="n">
        <f aca="false">IF(F714&gt;0,(Settings!$B$8*T714+Settings!$B$9*R714+Settings!$B$10*S714)/SUM(Settings!$B$8:$B$10),0)</f>
        <v>0</v>
      </c>
      <c r="V714" s="56" t="str">
        <f aca="false">IF(U714&gt;0,RANK(U714,$U$2:$U$1780)+COUNTIF($U$2:U714,U714)-1,"")</f>
        <v/>
      </c>
      <c r="W714" s="56" t="str">
        <f aca="false">IF(V714="","",IF(V714&lt;=Settings!$B$11,"1 - Fix first",IF(V714&lt;=Settings!$B$12,"2 - Review","3 - Monitor")))</f>
        <v/>
      </c>
      <c r="X714" s="56" t="str">
        <f aca="false">IF(AND(E714&gt;=Settings!$B$4,F714&gt;=Settings!$B$5,O714&gt;=Settings!$B$6),"HIGH RATE","")</f>
        <v/>
      </c>
      <c r="Y714" s="56" t="str">
        <f aca="false">IF(F714&gt;0,RANK(F714,$F$2:$F$1780)+COUNTIF($F$2:F714,F714)-1,"")</f>
        <v/>
      </c>
      <c r="Z714" s="56" t="str">
        <f aca="false">IF(H714&gt;0,RANK(H714,$H$2:$H$1780)+COUNTIF($H$2:H714,H714)-1,"")</f>
        <v/>
      </c>
      <c r="AA714" s="56" t="str">
        <f aca="false">IF(AC714="","",RANK(AC714,$AC$2:$AC$1780)+COUNTIF($AC$2:AC714,AC714)-1)</f>
        <v/>
      </c>
      <c r="AB714" s="56" t="str">
        <f aca="false">IF(AD714="","",RANK(AD714,$AD$2:$AD$1780)+COUNTIF($AD$2:AD714,AD714)-1)</f>
        <v/>
      </c>
      <c r="AC714" s="56" t="str">
        <f aca="false">IF(AND(F714&gt;0,E714&gt;=Settings!$B$4),J714,"")</f>
        <v/>
      </c>
      <c r="AD714" s="56" t="str">
        <f aca="false">IF(X714="HIGH RATE",O714,"")</f>
        <v/>
      </c>
    </row>
    <row r="715" customFormat="false" ht="15" hidden="false" customHeight="false" outlineLevel="0" collapsed="false">
      <c r="A715" s="56" t="s">
        <v>1943</v>
      </c>
      <c r="B715" s="56" t="s">
        <v>1944</v>
      </c>
      <c r="C715" s="56" t="s">
        <v>51</v>
      </c>
      <c r="D715" s="56" t="str">
        <f aca="false">IFERROR(INDEX('Brand Map'!$B$4:$B$124,MATCH(C715,'Brand Map'!$A$4:$A$124,0)),"Other")</f>
        <v>AU</v>
      </c>
      <c r="E715" s="57" t="n">
        <v>6</v>
      </c>
      <c r="F715" s="57" t="n">
        <v>0</v>
      </c>
      <c r="G715" s="58" t="n">
        <v>688.34</v>
      </c>
      <c r="H715" s="58" t="n">
        <v>0</v>
      </c>
      <c r="I715" s="58" t="n">
        <v>688.34</v>
      </c>
      <c r="J715" s="32" t="n">
        <f aca="false">IF(E715&gt;0,F715/E715,0)</f>
        <v>0</v>
      </c>
      <c r="K715" s="32" t="n">
        <f aca="false">IF(G715&gt;0,H715/G715,0)</f>
        <v>-0</v>
      </c>
      <c r="L715" s="59" t="n">
        <f aca="false">H715/Settings!$B$16</f>
        <v>-0</v>
      </c>
      <c r="M715" s="59" t="n">
        <f aca="false">H715/Settings!$B$20</f>
        <v>-0</v>
      </c>
      <c r="N715" s="60" t="n">
        <f aca="false">E715*Settings!$B$3</f>
        <v>0.185916906478923</v>
      </c>
      <c r="O715" s="60" t="n">
        <f aca="false">IF(E715&gt;0,(F715-N715)/SQRT(E715*Settings!$B$3*(1-Settings!$B$3)),0)</f>
        <v>-0.43802051376936</v>
      </c>
      <c r="P715" s="60" t="n">
        <f aca="false">MAX(0,F715-N715)</f>
        <v>0</v>
      </c>
      <c r="Q715" s="32" t="n">
        <f aca="false">(F715+Settings!$B$7*Settings!$B$3)/(E715+Settings!$B$7)</f>
        <v>0.025821792566517</v>
      </c>
      <c r="R715" s="61" t="n">
        <f aca="false">PERCENTRANK($H$2:$H$1780,H715,6)</f>
        <v>0</v>
      </c>
      <c r="S715" s="61" t="n">
        <f aca="false">PERCENTRANK($Q$2:$Q$1780,Q715,6)</f>
        <v>0.189539</v>
      </c>
      <c r="T715" s="61" t="n">
        <f aca="false">PERCENTRANK($F$2:$F$1780,F715,6)</f>
        <v>0</v>
      </c>
      <c r="U715" s="62" t="n">
        <f aca="false">IF(F715&gt;0,(Settings!$B$8*T715+Settings!$B$9*R715+Settings!$B$10*S715)/SUM(Settings!$B$8:$B$10),0)</f>
        <v>0</v>
      </c>
      <c r="V715" s="56" t="str">
        <f aca="false">IF(U715&gt;0,RANK(U715,$U$2:$U$1780)+COUNTIF($U$2:U715,U715)-1,"")</f>
        <v/>
      </c>
      <c r="W715" s="56" t="str">
        <f aca="false">IF(V715="","",IF(V715&lt;=Settings!$B$11,"1 - Fix first",IF(V715&lt;=Settings!$B$12,"2 - Review","3 - Monitor")))</f>
        <v/>
      </c>
      <c r="X715" s="56" t="str">
        <f aca="false">IF(AND(E715&gt;=Settings!$B$4,F715&gt;=Settings!$B$5,O715&gt;=Settings!$B$6),"HIGH RATE","")</f>
        <v/>
      </c>
      <c r="Y715" s="56" t="str">
        <f aca="false">IF(F715&gt;0,RANK(F715,$F$2:$F$1780)+COUNTIF($F$2:F715,F715)-1,"")</f>
        <v/>
      </c>
      <c r="Z715" s="56" t="str">
        <f aca="false">IF(H715&gt;0,RANK(H715,$H$2:$H$1780)+COUNTIF($H$2:H715,H715)-1,"")</f>
        <v/>
      </c>
      <c r="AA715" s="56" t="str">
        <f aca="false">IF(AC715="","",RANK(AC715,$AC$2:$AC$1780)+COUNTIF($AC$2:AC715,AC715)-1)</f>
        <v/>
      </c>
      <c r="AB715" s="56" t="str">
        <f aca="false">IF(AD715="","",RANK(AD715,$AD$2:$AD$1780)+COUNTIF($AD$2:AD715,AD715)-1)</f>
        <v/>
      </c>
      <c r="AC715" s="56" t="str">
        <f aca="false">IF(AND(F715&gt;0,E715&gt;=Settings!$B$4),J715,"")</f>
        <v/>
      </c>
      <c r="AD715" s="56" t="str">
        <f aca="false">IF(X715="HIGH RATE",O715,"")</f>
        <v/>
      </c>
    </row>
    <row r="716" customFormat="false" ht="15" hidden="false" customHeight="false" outlineLevel="0" collapsed="false">
      <c r="A716" s="56" t="s">
        <v>1945</v>
      </c>
      <c r="B716" s="56" t="s">
        <v>1946</v>
      </c>
      <c r="C716" s="56" t="s">
        <v>51</v>
      </c>
      <c r="D716" s="56" t="str">
        <f aca="false">IFERROR(INDEX('Brand Map'!$B$4:$B$124,MATCH(C716,'Brand Map'!$A$4:$A$124,0)),"Other")</f>
        <v>AU</v>
      </c>
      <c r="E716" s="57" t="n">
        <v>7</v>
      </c>
      <c r="F716" s="57" t="n">
        <v>0</v>
      </c>
      <c r="G716" s="58" t="n">
        <v>820.13</v>
      </c>
      <c r="H716" s="58" t="n">
        <v>0</v>
      </c>
      <c r="I716" s="58" t="n">
        <v>808.78</v>
      </c>
      <c r="J716" s="32" t="n">
        <f aca="false">IF(E716&gt;0,F716/E716,0)</f>
        <v>0</v>
      </c>
      <c r="K716" s="32" t="n">
        <f aca="false">IF(G716&gt;0,H716/G716,0)</f>
        <v>-0</v>
      </c>
      <c r="L716" s="59" t="n">
        <f aca="false">H716/Settings!$B$16</f>
        <v>-0</v>
      </c>
      <c r="M716" s="59" t="n">
        <f aca="false">H716/Settings!$B$20</f>
        <v>-0</v>
      </c>
      <c r="N716" s="60" t="n">
        <f aca="false">E716*Settings!$B$3</f>
        <v>0.216903057558743</v>
      </c>
      <c r="O716" s="60" t="n">
        <f aca="false">IF(E716&gt;0,(F716-N716)/SQRT(E716*Settings!$B$3*(1-Settings!$B$3)),0)</f>
        <v>-0.473116228387102</v>
      </c>
      <c r="P716" s="60" t="n">
        <f aca="false">MAX(0,F716-N716)</f>
        <v>0</v>
      </c>
      <c r="Q716" s="32" t="n">
        <f aca="false">(F716+Settings!$B$7*Settings!$B$3)/(E716+Settings!$B$7)</f>
        <v>0.0251239062809355</v>
      </c>
      <c r="R716" s="61" t="n">
        <f aca="false">PERCENTRANK($H$2:$H$1780,H716,6)</f>
        <v>0</v>
      </c>
      <c r="S716" s="61" t="n">
        <f aca="false">PERCENTRANK($Q$2:$Q$1780,Q716,6)</f>
        <v>0.168166</v>
      </c>
      <c r="T716" s="61" t="n">
        <f aca="false">PERCENTRANK($F$2:$F$1780,F716,6)</f>
        <v>0</v>
      </c>
      <c r="U716" s="62" t="n">
        <f aca="false">IF(F716&gt;0,(Settings!$B$8*T716+Settings!$B$9*R716+Settings!$B$10*S716)/SUM(Settings!$B$8:$B$10),0)</f>
        <v>0</v>
      </c>
      <c r="V716" s="56" t="str">
        <f aca="false">IF(U716&gt;0,RANK(U716,$U$2:$U$1780)+COUNTIF($U$2:U716,U716)-1,"")</f>
        <v/>
      </c>
      <c r="W716" s="56" t="str">
        <f aca="false">IF(V716="","",IF(V716&lt;=Settings!$B$11,"1 - Fix first",IF(V716&lt;=Settings!$B$12,"2 - Review","3 - Monitor")))</f>
        <v/>
      </c>
      <c r="X716" s="56" t="str">
        <f aca="false">IF(AND(E716&gt;=Settings!$B$4,F716&gt;=Settings!$B$5,O716&gt;=Settings!$B$6),"HIGH RATE","")</f>
        <v/>
      </c>
      <c r="Y716" s="56" t="str">
        <f aca="false">IF(F716&gt;0,RANK(F716,$F$2:$F$1780)+COUNTIF($F$2:F716,F716)-1,"")</f>
        <v/>
      </c>
      <c r="Z716" s="56" t="str">
        <f aca="false">IF(H716&gt;0,RANK(H716,$H$2:$H$1780)+COUNTIF($H$2:H716,H716)-1,"")</f>
        <v/>
      </c>
      <c r="AA716" s="56" t="str">
        <f aca="false">IF(AC716="","",RANK(AC716,$AC$2:$AC$1780)+COUNTIF($AC$2:AC716,AC716)-1)</f>
        <v/>
      </c>
      <c r="AB716" s="56" t="str">
        <f aca="false">IF(AD716="","",RANK(AD716,$AD$2:$AD$1780)+COUNTIF($AD$2:AD716,AD716)-1)</f>
        <v/>
      </c>
      <c r="AC716" s="56" t="str">
        <f aca="false">IF(AND(F716&gt;0,E716&gt;=Settings!$B$4),J716,"")</f>
        <v/>
      </c>
      <c r="AD716" s="56" t="str">
        <f aca="false">IF(X716="HIGH RATE",O716,"")</f>
        <v/>
      </c>
    </row>
    <row r="717" customFormat="false" ht="15" hidden="false" customHeight="false" outlineLevel="0" collapsed="false">
      <c r="A717" s="56" t="s">
        <v>1947</v>
      </c>
      <c r="B717" s="56" t="s">
        <v>1948</v>
      </c>
      <c r="C717" s="56" t="s">
        <v>51</v>
      </c>
      <c r="D717" s="56" t="str">
        <f aca="false">IFERROR(INDEX('Brand Map'!$B$4:$B$124,MATCH(C717,'Brand Map'!$A$4:$A$124,0)),"Other")</f>
        <v>AU</v>
      </c>
      <c r="E717" s="57" t="n">
        <v>1</v>
      </c>
      <c r="F717" s="57" t="n">
        <v>0</v>
      </c>
      <c r="G717" s="58" t="n">
        <v>124.95</v>
      </c>
      <c r="H717" s="58" t="n">
        <v>0</v>
      </c>
      <c r="I717" s="58" t="n">
        <v>124.95</v>
      </c>
      <c r="J717" s="32" t="n">
        <f aca="false">IF(E717&gt;0,F717/E717,0)</f>
        <v>0</v>
      </c>
      <c r="K717" s="32" t="n">
        <f aca="false">IF(G717&gt;0,H717/G717,0)</f>
        <v>-0</v>
      </c>
      <c r="L717" s="59" t="n">
        <f aca="false">H717/Settings!$B$16</f>
        <v>-0</v>
      </c>
      <c r="M717" s="59" t="n">
        <f aca="false">H717/Settings!$B$20</f>
        <v>-0</v>
      </c>
      <c r="N717" s="60" t="n">
        <f aca="false">E717*Settings!$B$3</f>
        <v>0.0309861510798204</v>
      </c>
      <c r="O717" s="60" t="n">
        <f aca="false">IF(E717&gt;0,(F717-N717)/SQRT(E717*Settings!$B$3*(1-Settings!$B$3)),0)</f>
        <v>-0.178821125934444</v>
      </c>
      <c r="P717" s="60" t="n">
        <f aca="false">MAX(0,F717-N717)</f>
        <v>0</v>
      </c>
      <c r="Q717" s="32" t="n">
        <f aca="false">(F717+Settings!$B$7*Settings!$B$3)/(E717+Settings!$B$7)</f>
        <v>0.0299865978191811</v>
      </c>
      <c r="R717" s="61" t="n">
        <f aca="false">PERCENTRANK($H$2:$H$1780,H717,6)</f>
        <v>0</v>
      </c>
      <c r="S717" s="61" t="n">
        <f aca="false">PERCENTRANK($Q$2:$Q$1780,Q717,6)</f>
        <v>0.486502</v>
      </c>
      <c r="T717" s="61" t="n">
        <f aca="false">PERCENTRANK($F$2:$F$1780,F717,6)</f>
        <v>0</v>
      </c>
      <c r="U717" s="62" t="n">
        <f aca="false">IF(F717&gt;0,(Settings!$B$8*T717+Settings!$B$9*R717+Settings!$B$10*S717)/SUM(Settings!$B$8:$B$10),0)</f>
        <v>0</v>
      </c>
      <c r="V717" s="56" t="str">
        <f aca="false">IF(U717&gt;0,RANK(U717,$U$2:$U$1780)+COUNTIF($U$2:U717,U717)-1,"")</f>
        <v/>
      </c>
      <c r="W717" s="56" t="str">
        <f aca="false">IF(V717="","",IF(V717&lt;=Settings!$B$11,"1 - Fix first",IF(V717&lt;=Settings!$B$12,"2 - Review","3 - Monitor")))</f>
        <v/>
      </c>
      <c r="X717" s="56" t="str">
        <f aca="false">IF(AND(E717&gt;=Settings!$B$4,F717&gt;=Settings!$B$5,O717&gt;=Settings!$B$6),"HIGH RATE","")</f>
        <v/>
      </c>
      <c r="Y717" s="56" t="str">
        <f aca="false">IF(F717&gt;0,RANK(F717,$F$2:$F$1780)+COUNTIF($F$2:F717,F717)-1,"")</f>
        <v/>
      </c>
      <c r="Z717" s="56" t="str">
        <f aca="false">IF(H717&gt;0,RANK(H717,$H$2:$H$1780)+COUNTIF($H$2:H717,H717)-1,"")</f>
        <v/>
      </c>
      <c r="AA717" s="56" t="str">
        <f aca="false">IF(AC717="","",RANK(AC717,$AC$2:$AC$1780)+COUNTIF($AC$2:AC717,AC717)-1)</f>
        <v/>
      </c>
      <c r="AB717" s="56" t="str">
        <f aca="false">IF(AD717="","",RANK(AD717,$AD$2:$AD$1780)+COUNTIF($AD$2:AD717,AD717)-1)</f>
        <v/>
      </c>
      <c r="AC717" s="56" t="str">
        <f aca="false">IF(AND(F717&gt;0,E717&gt;=Settings!$B$4),J717,"")</f>
        <v/>
      </c>
      <c r="AD717" s="56" t="str">
        <f aca="false">IF(X717="HIGH RATE",O717,"")</f>
        <v/>
      </c>
    </row>
    <row r="718" customFormat="false" ht="15" hidden="false" customHeight="false" outlineLevel="0" collapsed="false">
      <c r="A718" s="56" t="s">
        <v>1949</v>
      </c>
      <c r="B718" s="56" t="s">
        <v>1950</v>
      </c>
      <c r="C718" s="56" t="s">
        <v>51</v>
      </c>
      <c r="D718" s="56" t="str">
        <f aca="false">IFERROR(INDEX('Brand Map'!$B$4:$B$124,MATCH(C718,'Brand Map'!$A$4:$A$124,0)),"Other")</f>
        <v>AU</v>
      </c>
      <c r="E718" s="57" t="n">
        <v>1</v>
      </c>
      <c r="F718" s="57" t="n">
        <v>0</v>
      </c>
      <c r="G718" s="58" t="n">
        <v>99.95</v>
      </c>
      <c r="H718" s="58" t="n">
        <v>0</v>
      </c>
      <c r="I718" s="58" t="n">
        <v>99.95</v>
      </c>
      <c r="J718" s="32" t="n">
        <f aca="false">IF(E718&gt;0,F718/E718,0)</f>
        <v>0</v>
      </c>
      <c r="K718" s="32" t="n">
        <f aca="false">IF(G718&gt;0,H718/G718,0)</f>
        <v>-0</v>
      </c>
      <c r="L718" s="59" t="n">
        <f aca="false">H718/Settings!$B$16</f>
        <v>-0</v>
      </c>
      <c r="M718" s="59" t="n">
        <f aca="false">H718/Settings!$B$20</f>
        <v>-0</v>
      </c>
      <c r="N718" s="60" t="n">
        <f aca="false">E718*Settings!$B$3</f>
        <v>0.0309861510798204</v>
      </c>
      <c r="O718" s="60" t="n">
        <f aca="false">IF(E718&gt;0,(F718-N718)/SQRT(E718*Settings!$B$3*(1-Settings!$B$3)),0)</f>
        <v>-0.178821125934444</v>
      </c>
      <c r="P718" s="60" t="n">
        <f aca="false">MAX(0,F718-N718)</f>
        <v>0</v>
      </c>
      <c r="Q718" s="32" t="n">
        <f aca="false">(F718+Settings!$B$7*Settings!$B$3)/(E718+Settings!$B$7)</f>
        <v>0.0299865978191811</v>
      </c>
      <c r="R718" s="61" t="n">
        <f aca="false">PERCENTRANK($H$2:$H$1780,H718,6)</f>
        <v>0</v>
      </c>
      <c r="S718" s="61" t="n">
        <f aca="false">PERCENTRANK($Q$2:$Q$1780,Q718,6)</f>
        <v>0.486502</v>
      </c>
      <c r="T718" s="61" t="n">
        <f aca="false">PERCENTRANK($F$2:$F$1780,F718,6)</f>
        <v>0</v>
      </c>
      <c r="U718" s="62" t="n">
        <f aca="false">IF(F718&gt;0,(Settings!$B$8*T718+Settings!$B$9*R718+Settings!$B$10*S718)/SUM(Settings!$B$8:$B$10),0)</f>
        <v>0</v>
      </c>
      <c r="V718" s="56" t="str">
        <f aca="false">IF(U718&gt;0,RANK(U718,$U$2:$U$1780)+COUNTIF($U$2:U718,U718)-1,"")</f>
        <v/>
      </c>
      <c r="W718" s="56" t="str">
        <f aca="false">IF(V718="","",IF(V718&lt;=Settings!$B$11,"1 - Fix first",IF(V718&lt;=Settings!$B$12,"2 - Review","3 - Monitor")))</f>
        <v/>
      </c>
      <c r="X718" s="56" t="str">
        <f aca="false">IF(AND(E718&gt;=Settings!$B$4,F718&gt;=Settings!$B$5,O718&gt;=Settings!$B$6),"HIGH RATE","")</f>
        <v/>
      </c>
      <c r="Y718" s="56" t="str">
        <f aca="false">IF(F718&gt;0,RANK(F718,$F$2:$F$1780)+COUNTIF($F$2:F718,F718)-1,"")</f>
        <v/>
      </c>
      <c r="Z718" s="56" t="str">
        <f aca="false">IF(H718&gt;0,RANK(H718,$H$2:$H$1780)+COUNTIF($H$2:H718,H718)-1,"")</f>
        <v/>
      </c>
      <c r="AA718" s="56" t="str">
        <f aca="false">IF(AC718="","",RANK(AC718,$AC$2:$AC$1780)+COUNTIF($AC$2:AC718,AC718)-1)</f>
        <v/>
      </c>
      <c r="AB718" s="56" t="str">
        <f aca="false">IF(AD718="","",RANK(AD718,$AD$2:$AD$1780)+COUNTIF($AD$2:AD718,AD718)-1)</f>
        <v/>
      </c>
      <c r="AC718" s="56" t="str">
        <f aca="false">IF(AND(F718&gt;0,E718&gt;=Settings!$B$4),J718,"")</f>
        <v/>
      </c>
      <c r="AD718" s="56" t="str">
        <f aca="false">IF(X718="HIGH RATE",O718,"")</f>
        <v/>
      </c>
    </row>
    <row r="719" customFormat="false" ht="15" hidden="false" customHeight="false" outlineLevel="0" collapsed="false">
      <c r="A719" s="56" t="s">
        <v>1951</v>
      </c>
      <c r="B719" s="56" t="s">
        <v>1952</v>
      </c>
      <c r="C719" s="56" t="s">
        <v>51</v>
      </c>
      <c r="D719" s="56" t="str">
        <f aca="false">IFERROR(INDEX('Brand Map'!$B$4:$B$124,MATCH(C719,'Brand Map'!$A$4:$A$124,0)),"Other")</f>
        <v>AU</v>
      </c>
      <c r="E719" s="57" t="n">
        <v>2</v>
      </c>
      <c r="F719" s="57" t="n">
        <v>0</v>
      </c>
      <c r="G719" s="58" t="n">
        <v>213.54</v>
      </c>
      <c r="H719" s="58" t="n">
        <v>0</v>
      </c>
      <c r="I719" s="58" t="n">
        <v>213.54</v>
      </c>
      <c r="J719" s="32" t="n">
        <f aca="false">IF(E719&gt;0,F719/E719,0)</f>
        <v>0</v>
      </c>
      <c r="K719" s="32" t="n">
        <f aca="false">IF(G719&gt;0,H719/G719,0)</f>
        <v>-0</v>
      </c>
      <c r="L719" s="59" t="n">
        <f aca="false">H719/Settings!$B$16</f>
        <v>-0</v>
      </c>
      <c r="M719" s="59" t="n">
        <f aca="false">H719/Settings!$B$20</f>
        <v>-0</v>
      </c>
      <c r="N719" s="60" t="n">
        <f aca="false">E719*Settings!$B$3</f>
        <v>0.0619723021596408</v>
      </c>
      <c r="O719" s="60" t="n">
        <f aca="false">IF(E719&gt;0,(F719-N719)/SQRT(E719*Settings!$B$3*(1-Settings!$B$3)),0)</f>
        <v>-0.252891261535318</v>
      </c>
      <c r="P719" s="60" t="n">
        <f aca="false">MAX(0,F719-N719)</f>
        <v>0</v>
      </c>
      <c r="Q719" s="32" t="n">
        <f aca="false">(F719+Settings!$B$7*Settings!$B$3)/(E719+Settings!$B$7)</f>
        <v>0.0290495166373316</v>
      </c>
      <c r="R719" s="61" t="n">
        <f aca="false">PERCENTRANK($H$2:$H$1780,H719,6)</f>
        <v>0</v>
      </c>
      <c r="S719" s="61" t="n">
        <f aca="false">PERCENTRANK($Q$2:$Q$1780,Q719,6)</f>
        <v>0.365579</v>
      </c>
      <c r="T719" s="61" t="n">
        <f aca="false">PERCENTRANK($F$2:$F$1780,F719,6)</f>
        <v>0</v>
      </c>
      <c r="U719" s="62" t="n">
        <f aca="false">IF(F719&gt;0,(Settings!$B$8*T719+Settings!$B$9*R719+Settings!$B$10*S719)/SUM(Settings!$B$8:$B$10),0)</f>
        <v>0</v>
      </c>
      <c r="V719" s="56" t="str">
        <f aca="false">IF(U719&gt;0,RANK(U719,$U$2:$U$1780)+COUNTIF($U$2:U719,U719)-1,"")</f>
        <v/>
      </c>
      <c r="W719" s="56" t="str">
        <f aca="false">IF(V719="","",IF(V719&lt;=Settings!$B$11,"1 - Fix first",IF(V719&lt;=Settings!$B$12,"2 - Review","3 - Monitor")))</f>
        <v/>
      </c>
      <c r="X719" s="56" t="str">
        <f aca="false">IF(AND(E719&gt;=Settings!$B$4,F719&gt;=Settings!$B$5,O719&gt;=Settings!$B$6),"HIGH RATE","")</f>
        <v/>
      </c>
      <c r="Y719" s="56" t="str">
        <f aca="false">IF(F719&gt;0,RANK(F719,$F$2:$F$1780)+COUNTIF($F$2:F719,F719)-1,"")</f>
        <v/>
      </c>
      <c r="Z719" s="56" t="str">
        <f aca="false">IF(H719&gt;0,RANK(H719,$H$2:$H$1780)+COUNTIF($H$2:H719,H719)-1,"")</f>
        <v/>
      </c>
      <c r="AA719" s="56" t="str">
        <f aca="false">IF(AC719="","",RANK(AC719,$AC$2:$AC$1780)+COUNTIF($AC$2:AC719,AC719)-1)</f>
        <v/>
      </c>
      <c r="AB719" s="56" t="str">
        <f aca="false">IF(AD719="","",RANK(AD719,$AD$2:$AD$1780)+COUNTIF($AD$2:AD719,AD719)-1)</f>
        <v/>
      </c>
      <c r="AC719" s="56" t="str">
        <f aca="false">IF(AND(F719&gt;0,E719&gt;=Settings!$B$4),J719,"")</f>
        <v/>
      </c>
      <c r="AD719" s="56" t="str">
        <f aca="false">IF(X719="HIGH RATE",O719,"")</f>
        <v/>
      </c>
    </row>
    <row r="720" customFormat="false" ht="15" hidden="false" customHeight="false" outlineLevel="0" collapsed="false">
      <c r="A720" s="56" t="s">
        <v>1953</v>
      </c>
      <c r="B720" s="56" t="s">
        <v>1954</v>
      </c>
      <c r="C720" s="56" t="s">
        <v>51</v>
      </c>
      <c r="D720" s="56" t="str">
        <f aca="false">IFERROR(INDEX('Brand Map'!$B$4:$B$124,MATCH(C720,'Brand Map'!$A$4:$A$124,0)),"Other")</f>
        <v>AU</v>
      </c>
      <c r="E720" s="57" t="n">
        <v>4</v>
      </c>
      <c r="F720" s="57" t="n">
        <v>0</v>
      </c>
      <c r="G720" s="58" t="n">
        <v>474.8</v>
      </c>
      <c r="H720" s="58" t="n">
        <v>0</v>
      </c>
      <c r="I720" s="58" t="n">
        <v>474.8</v>
      </c>
      <c r="J720" s="32" t="n">
        <f aca="false">IF(E720&gt;0,F720/E720,0)</f>
        <v>0</v>
      </c>
      <c r="K720" s="32" t="n">
        <f aca="false">IF(G720&gt;0,H720/G720,0)</f>
        <v>-0</v>
      </c>
      <c r="L720" s="59" t="n">
        <f aca="false">H720/Settings!$B$16</f>
        <v>-0</v>
      </c>
      <c r="M720" s="59" t="n">
        <f aca="false">H720/Settings!$B$20</f>
        <v>-0</v>
      </c>
      <c r="N720" s="60" t="n">
        <f aca="false">E720*Settings!$B$3</f>
        <v>0.123944604319282</v>
      </c>
      <c r="O720" s="60" t="n">
        <f aca="false">IF(E720&gt;0,(F720-N720)/SQRT(E720*Settings!$B$3*(1-Settings!$B$3)),0)</f>
        <v>-0.357642251868888</v>
      </c>
      <c r="P720" s="60" t="n">
        <f aca="false">MAX(0,F720-N720)</f>
        <v>0</v>
      </c>
      <c r="Q720" s="32" t="n">
        <f aca="false">(F720+Settings!$B$7*Settings!$B$3)/(E720+Settings!$B$7)</f>
        <v>0.027340721541018</v>
      </c>
      <c r="R720" s="61" t="n">
        <f aca="false">PERCENTRANK($H$2:$H$1780,H720,6)</f>
        <v>0</v>
      </c>
      <c r="S720" s="61" t="n">
        <f aca="false">PERCENTRANK($Q$2:$Q$1780,Q720,6)</f>
        <v>0.253656</v>
      </c>
      <c r="T720" s="61" t="n">
        <f aca="false">PERCENTRANK($F$2:$F$1780,F720,6)</f>
        <v>0</v>
      </c>
      <c r="U720" s="62" t="n">
        <f aca="false">IF(F720&gt;0,(Settings!$B$8*T720+Settings!$B$9*R720+Settings!$B$10*S720)/SUM(Settings!$B$8:$B$10),0)</f>
        <v>0</v>
      </c>
      <c r="V720" s="56" t="str">
        <f aca="false">IF(U720&gt;0,RANK(U720,$U$2:$U$1780)+COUNTIF($U$2:U720,U720)-1,"")</f>
        <v/>
      </c>
      <c r="W720" s="56" t="str">
        <f aca="false">IF(V720="","",IF(V720&lt;=Settings!$B$11,"1 - Fix first",IF(V720&lt;=Settings!$B$12,"2 - Review","3 - Monitor")))</f>
        <v/>
      </c>
      <c r="X720" s="56" t="str">
        <f aca="false">IF(AND(E720&gt;=Settings!$B$4,F720&gt;=Settings!$B$5,O720&gt;=Settings!$B$6),"HIGH RATE","")</f>
        <v/>
      </c>
      <c r="Y720" s="56" t="str">
        <f aca="false">IF(F720&gt;0,RANK(F720,$F$2:$F$1780)+COUNTIF($F$2:F720,F720)-1,"")</f>
        <v/>
      </c>
      <c r="Z720" s="56" t="str">
        <f aca="false">IF(H720&gt;0,RANK(H720,$H$2:$H$1780)+COUNTIF($H$2:H720,H720)-1,"")</f>
        <v/>
      </c>
      <c r="AA720" s="56" t="str">
        <f aca="false">IF(AC720="","",RANK(AC720,$AC$2:$AC$1780)+COUNTIF($AC$2:AC720,AC720)-1)</f>
        <v/>
      </c>
      <c r="AB720" s="56" t="str">
        <f aca="false">IF(AD720="","",RANK(AD720,$AD$2:$AD$1780)+COUNTIF($AD$2:AD720,AD720)-1)</f>
        <v/>
      </c>
      <c r="AC720" s="56" t="str">
        <f aca="false">IF(AND(F720&gt;0,E720&gt;=Settings!$B$4),J720,"")</f>
        <v/>
      </c>
      <c r="AD720" s="56" t="str">
        <f aca="false">IF(X720="HIGH RATE",O720,"")</f>
        <v/>
      </c>
    </row>
    <row r="721" customFormat="false" ht="15" hidden="false" customHeight="false" outlineLevel="0" collapsed="false">
      <c r="A721" s="56" t="s">
        <v>1955</v>
      </c>
      <c r="B721" s="56" t="s">
        <v>1956</v>
      </c>
      <c r="C721" s="56" t="s">
        <v>51</v>
      </c>
      <c r="D721" s="56" t="str">
        <f aca="false">IFERROR(INDEX('Brand Map'!$B$4:$B$124,MATCH(C721,'Brand Map'!$A$4:$A$124,0)),"Other")</f>
        <v>AU</v>
      </c>
      <c r="E721" s="57" t="n">
        <v>8</v>
      </c>
      <c r="F721" s="57" t="n">
        <v>0</v>
      </c>
      <c r="G721" s="58" t="n">
        <v>894.15</v>
      </c>
      <c r="H721" s="58" t="n">
        <v>0</v>
      </c>
      <c r="I721" s="58" t="n">
        <v>894.15</v>
      </c>
      <c r="J721" s="32" t="n">
        <f aca="false">IF(E721&gt;0,F721/E721,0)</f>
        <v>0</v>
      </c>
      <c r="K721" s="32" t="n">
        <f aca="false">IF(G721&gt;0,H721/G721,0)</f>
        <v>-0</v>
      </c>
      <c r="L721" s="59" t="n">
        <f aca="false">H721/Settings!$B$16</f>
        <v>-0</v>
      </c>
      <c r="M721" s="59" t="n">
        <f aca="false">H721/Settings!$B$20</f>
        <v>-0</v>
      </c>
      <c r="N721" s="60" t="n">
        <f aca="false">E721*Settings!$B$3</f>
        <v>0.247889208638563</v>
      </c>
      <c r="O721" s="60" t="n">
        <f aca="false">IF(E721&gt;0,(F721-N721)/SQRT(E721*Settings!$B$3*(1-Settings!$B$3)),0)</f>
        <v>-0.505782523070636</v>
      </c>
      <c r="P721" s="60" t="n">
        <f aca="false">MAX(0,F721-N721)</f>
        <v>0</v>
      </c>
      <c r="Q721" s="32" t="n">
        <f aca="false">(F721+Settings!$B$7*Settings!$B$3)/(E721+Settings!$B$7)</f>
        <v>0.0244627508524898</v>
      </c>
      <c r="R721" s="61" t="n">
        <f aca="false">PERCENTRANK($H$2:$H$1780,H721,6)</f>
        <v>0</v>
      </c>
      <c r="S721" s="61" t="n">
        <f aca="false">PERCENTRANK($Q$2:$Q$1780,Q721,6)</f>
        <v>0.154668</v>
      </c>
      <c r="T721" s="61" t="n">
        <f aca="false">PERCENTRANK($F$2:$F$1780,F721,6)</f>
        <v>0</v>
      </c>
      <c r="U721" s="62" t="n">
        <f aca="false">IF(F721&gt;0,(Settings!$B$8*T721+Settings!$B$9*R721+Settings!$B$10*S721)/SUM(Settings!$B$8:$B$10),0)</f>
        <v>0</v>
      </c>
      <c r="V721" s="56" t="str">
        <f aca="false">IF(U721&gt;0,RANK(U721,$U$2:$U$1780)+COUNTIF($U$2:U721,U721)-1,"")</f>
        <v/>
      </c>
      <c r="W721" s="56" t="str">
        <f aca="false">IF(V721="","",IF(V721&lt;=Settings!$B$11,"1 - Fix first",IF(V721&lt;=Settings!$B$12,"2 - Review","3 - Monitor")))</f>
        <v/>
      </c>
      <c r="X721" s="56" t="str">
        <f aca="false">IF(AND(E721&gt;=Settings!$B$4,F721&gt;=Settings!$B$5,O721&gt;=Settings!$B$6),"HIGH RATE","")</f>
        <v/>
      </c>
      <c r="Y721" s="56" t="str">
        <f aca="false">IF(F721&gt;0,RANK(F721,$F$2:$F$1780)+COUNTIF($F$2:F721,F721)-1,"")</f>
        <v/>
      </c>
      <c r="Z721" s="56" t="str">
        <f aca="false">IF(H721&gt;0,RANK(H721,$H$2:$H$1780)+COUNTIF($H$2:H721,H721)-1,"")</f>
        <v/>
      </c>
      <c r="AA721" s="56" t="str">
        <f aca="false">IF(AC721="","",RANK(AC721,$AC$2:$AC$1780)+COUNTIF($AC$2:AC721,AC721)-1)</f>
        <v/>
      </c>
      <c r="AB721" s="56" t="str">
        <f aca="false">IF(AD721="","",RANK(AD721,$AD$2:$AD$1780)+COUNTIF($AD$2:AD721,AD721)-1)</f>
        <v/>
      </c>
      <c r="AC721" s="56" t="str">
        <f aca="false">IF(AND(F721&gt;0,E721&gt;=Settings!$B$4),J721,"")</f>
        <v/>
      </c>
      <c r="AD721" s="56" t="str">
        <f aca="false">IF(X721="HIGH RATE",O721,"")</f>
        <v/>
      </c>
    </row>
    <row r="722" customFormat="false" ht="15" hidden="false" customHeight="false" outlineLevel="0" collapsed="false">
      <c r="A722" s="56" t="s">
        <v>1957</v>
      </c>
      <c r="B722" s="56" t="s">
        <v>1958</v>
      </c>
      <c r="C722" s="56" t="s">
        <v>51</v>
      </c>
      <c r="D722" s="56" t="str">
        <f aca="false">IFERROR(INDEX('Brand Map'!$B$4:$B$124,MATCH(C722,'Brand Map'!$A$4:$A$124,0)),"Other")</f>
        <v>AU</v>
      </c>
      <c r="E722" s="57" t="n">
        <v>10</v>
      </c>
      <c r="F722" s="57" t="n">
        <v>0</v>
      </c>
      <c r="G722" s="58" t="n">
        <v>1124.05</v>
      </c>
      <c r="H722" s="58" t="n">
        <v>0</v>
      </c>
      <c r="I722" s="58" t="n">
        <v>1106.81</v>
      </c>
      <c r="J722" s="32" t="n">
        <f aca="false">IF(E722&gt;0,F722/E722,0)</f>
        <v>0</v>
      </c>
      <c r="K722" s="32" t="n">
        <f aca="false">IF(G722&gt;0,H722/G722,0)</f>
        <v>-0</v>
      </c>
      <c r="L722" s="59" t="n">
        <f aca="false">H722/Settings!$B$16</f>
        <v>-0</v>
      </c>
      <c r="M722" s="59" t="n">
        <f aca="false">H722/Settings!$B$20</f>
        <v>-0</v>
      </c>
      <c r="N722" s="60" t="n">
        <f aca="false">E722*Settings!$B$3</f>
        <v>0.309861510798204</v>
      </c>
      <c r="O722" s="60" t="n">
        <f aca="false">IF(E722&gt;0,(F722-N722)/SQRT(E722*Settings!$B$3*(1-Settings!$B$3)),0)</f>
        <v>-0.565482051708649</v>
      </c>
      <c r="P722" s="60" t="n">
        <f aca="false">MAX(0,F722-N722)</f>
        <v>0</v>
      </c>
      <c r="Q722" s="32" t="n">
        <f aca="false">(F722+Settings!$B$7*Settings!$B$3)/(E722+Settings!$B$7)</f>
        <v>0.0232396133098653</v>
      </c>
      <c r="R722" s="61" t="n">
        <f aca="false">PERCENTRANK($H$2:$H$1780,H722,6)</f>
        <v>0</v>
      </c>
      <c r="S722" s="61" t="n">
        <f aca="false">PERCENTRANK($Q$2:$Q$1780,Q722,6)</f>
        <v>0.131046</v>
      </c>
      <c r="T722" s="61" t="n">
        <f aca="false">PERCENTRANK($F$2:$F$1780,F722,6)</f>
        <v>0</v>
      </c>
      <c r="U722" s="62" t="n">
        <f aca="false">IF(F722&gt;0,(Settings!$B$8*T722+Settings!$B$9*R722+Settings!$B$10*S722)/SUM(Settings!$B$8:$B$10),0)</f>
        <v>0</v>
      </c>
      <c r="V722" s="56" t="str">
        <f aca="false">IF(U722&gt;0,RANK(U722,$U$2:$U$1780)+COUNTIF($U$2:U722,U722)-1,"")</f>
        <v/>
      </c>
      <c r="W722" s="56" t="str">
        <f aca="false">IF(V722="","",IF(V722&lt;=Settings!$B$11,"1 - Fix first",IF(V722&lt;=Settings!$B$12,"2 - Review","3 - Monitor")))</f>
        <v/>
      </c>
      <c r="X722" s="56" t="str">
        <f aca="false">IF(AND(E722&gt;=Settings!$B$4,F722&gt;=Settings!$B$5,O722&gt;=Settings!$B$6),"HIGH RATE","")</f>
        <v/>
      </c>
      <c r="Y722" s="56" t="str">
        <f aca="false">IF(F722&gt;0,RANK(F722,$F$2:$F$1780)+COUNTIF($F$2:F722,F722)-1,"")</f>
        <v/>
      </c>
      <c r="Z722" s="56" t="str">
        <f aca="false">IF(H722&gt;0,RANK(H722,$H$2:$H$1780)+COUNTIF($H$2:H722,H722)-1,"")</f>
        <v/>
      </c>
      <c r="AA722" s="56" t="str">
        <f aca="false">IF(AC722="","",RANK(AC722,$AC$2:$AC$1780)+COUNTIF($AC$2:AC722,AC722)-1)</f>
        <v/>
      </c>
      <c r="AB722" s="56" t="str">
        <f aca="false">IF(AD722="","",RANK(AD722,$AD$2:$AD$1780)+COUNTIF($AD$2:AD722,AD722)-1)</f>
        <v/>
      </c>
      <c r="AC722" s="56" t="str">
        <f aca="false">IF(AND(F722&gt;0,E722&gt;=Settings!$B$4),J722,"")</f>
        <v/>
      </c>
      <c r="AD722" s="56" t="str">
        <f aca="false">IF(X722="HIGH RATE",O722,"")</f>
        <v/>
      </c>
    </row>
    <row r="723" customFormat="false" ht="15" hidden="false" customHeight="false" outlineLevel="0" collapsed="false">
      <c r="A723" s="56" t="s">
        <v>1959</v>
      </c>
      <c r="B723" s="56" t="s">
        <v>1960</v>
      </c>
      <c r="C723" s="56" t="s">
        <v>51</v>
      </c>
      <c r="D723" s="56" t="str">
        <f aca="false">IFERROR(INDEX('Brand Map'!$B$4:$B$124,MATCH(C723,'Brand Map'!$A$4:$A$124,0)),"Other")</f>
        <v>AU</v>
      </c>
      <c r="E723" s="57" t="n">
        <v>1</v>
      </c>
      <c r="F723" s="57" t="n">
        <v>0</v>
      </c>
      <c r="G723" s="58" t="n">
        <v>98.95</v>
      </c>
      <c r="H723" s="58" t="n">
        <v>0</v>
      </c>
      <c r="I723" s="58" t="n">
        <v>98.95</v>
      </c>
      <c r="J723" s="32" t="n">
        <f aca="false">IF(E723&gt;0,F723/E723,0)</f>
        <v>0</v>
      </c>
      <c r="K723" s="32" t="n">
        <f aca="false">IF(G723&gt;0,H723/G723,0)</f>
        <v>-0</v>
      </c>
      <c r="L723" s="59" t="n">
        <f aca="false">H723/Settings!$B$16</f>
        <v>-0</v>
      </c>
      <c r="M723" s="59" t="n">
        <f aca="false">H723/Settings!$B$20</f>
        <v>-0</v>
      </c>
      <c r="N723" s="60" t="n">
        <f aca="false">E723*Settings!$B$3</f>
        <v>0.0309861510798204</v>
      </c>
      <c r="O723" s="60" t="n">
        <f aca="false">IF(E723&gt;0,(F723-N723)/SQRT(E723*Settings!$B$3*(1-Settings!$B$3)),0)</f>
        <v>-0.178821125934444</v>
      </c>
      <c r="P723" s="60" t="n">
        <f aca="false">MAX(0,F723-N723)</f>
        <v>0</v>
      </c>
      <c r="Q723" s="32" t="n">
        <f aca="false">(F723+Settings!$B$7*Settings!$B$3)/(E723+Settings!$B$7)</f>
        <v>0.0299865978191811</v>
      </c>
      <c r="R723" s="61" t="n">
        <f aca="false">PERCENTRANK($H$2:$H$1780,H723,6)</f>
        <v>0</v>
      </c>
      <c r="S723" s="61" t="n">
        <f aca="false">PERCENTRANK($Q$2:$Q$1780,Q723,6)</f>
        <v>0.486502</v>
      </c>
      <c r="T723" s="61" t="n">
        <f aca="false">PERCENTRANK($F$2:$F$1780,F723,6)</f>
        <v>0</v>
      </c>
      <c r="U723" s="62" t="n">
        <f aca="false">IF(F723&gt;0,(Settings!$B$8*T723+Settings!$B$9*R723+Settings!$B$10*S723)/SUM(Settings!$B$8:$B$10),0)</f>
        <v>0</v>
      </c>
      <c r="V723" s="56" t="str">
        <f aca="false">IF(U723&gt;0,RANK(U723,$U$2:$U$1780)+COUNTIF($U$2:U723,U723)-1,"")</f>
        <v/>
      </c>
      <c r="W723" s="56" t="str">
        <f aca="false">IF(V723="","",IF(V723&lt;=Settings!$B$11,"1 - Fix first",IF(V723&lt;=Settings!$B$12,"2 - Review","3 - Monitor")))</f>
        <v/>
      </c>
      <c r="X723" s="56" t="str">
        <f aca="false">IF(AND(E723&gt;=Settings!$B$4,F723&gt;=Settings!$B$5,O723&gt;=Settings!$B$6),"HIGH RATE","")</f>
        <v/>
      </c>
      <c r="Y723" s="56" t="str">
        <f aca="false">IF(F723&gt;0,RANK(F723,$F$2:$F$1780)+COUNTIF($F$2:F723,F723)-1,"")</f>
        <v/>
      </c>
      <c r="Z723" s="56" t="str">
        <f aca="false">IF(H723&gt;0,RANK(H723,$H$2:$H$1780)+COUNTIF($H$2:H723,H723)-1,"")</f>
        <v/>
      </c>
      <c r="AA723" s="56" t="str">
        <f aca="false">IF(AC723="","",RANK(AC723,$AC$2:$AC$1780)+COUNTIF($AC$2:AC723,AC723)-1)</f>
        <v/>
      </c>
      <c r="AB723" s="56" t="str">
        <f aca="false">IF(AD723="","",RANK(AD723,$AD$2:$AD$1780)+COUNTIF($AD$2:AD723,AD723)-1)</f>
        <v/>
      </c>
      <c r="AC723" s="56" t="str">
        <f aca="false">IF(AND(F723&gt;0,E723&gt;=Settings!$B$4),J723,"")</f>
        <v/>
      </c>
      <c r="AD723" s="56" t="str">
        <f aca="false">IF(X723="HIGH RATE",O723,"")</f>
        <v/>
      </c>
    </row>
    <row r="724" customFormat="false" ht="15" hidden="false" customHeight="false" outlineLevel="0" collapsed="false">
      <c r="A724" s="56" t="s">
        <v>1961</v>
      </c>
      <c r="B724" s="56" t="s">
        <v>1297</v>
      </c>
      <c r="C724" s="56" t="s">
        <v>51</v>
      </c>
      <c r="D724" s="56" t="str">
        <f aca="false">IFERROR(INDEX('Brand Map'!$B$4:$B$124,MATCH(C724,'Brand Map'!$A$4:$A$124,0)),"Other")</f>
        <v>AU</v>
      </c>
      <c r="E724" s="57" t="n">
        <v>2</v>
      </c>
      <c r="F724" s="57" t="n">
        <v>0</v>
      </c>
      <c r="G724" s="58" t="n">
        <v>293.9</v>
      </c>
      <c r="H724" s="58" t="n">
        <v>0</v>
      </c>
      <c r="I724" s="58" t="n">
        <v>293.9</v>
      </c>
      <c r="J724" s="32" t="n">
        <f aca="false">IF(E724&gt;0,F724/E724,0)</f>
        <v>0</v>
      </c>
      <c r="K724" s="32" t="n">
        <f aca="false">IF(G724&gt;0,H724/G724,0)</f>
        <v>-0</v>
      </c>
      <c r="L724" s="59" t="n">
        <f aca="false">H724/Settings!$B$16</f>
        <v>-0</v>
      </c>
      <c r="M724" s="59" t="n">
        <f aca="false">H724/Settings!$B$20</f>
        <v>-0</v>
      </c>
      <c r="N724" s="60" t="n">
        <f aca="false">E724*Settings!$B$3</f>
        <v>0.0619723021596408</v>
      </c>
      <c r="O724" s="60" t="n">
        <f aca="false">IF(E724&gt;0,(F724-N724)/SQRT(E724*Settings!$B$3*(1-Settings!$B$3)),0)</f>
        <v>-0.252891261535318</v>
      </c>
      <c r="P724" s="60" t="n">
        <f aca="false">MAX(0,F724-N724)</f>
        <v>0</v>
      </c>
      <c r="Q724" s="32" t="n">
        <f aca="false">(F724+Settings!$B$7*Settings!$B$3)/(E724+Settings!$B$7)</f>
        <v>0.0290495166373316</v>
      </c>
      <c r="R724" s="61" t="n">
        <f aca="false">PERCENTRANK($H$2:$H$1780,H724,6)</f>
        <v>0</v>
      </c>
      <c r="S724" s="61" t="n">
        <f aca="false">PERCENTRANK($Q$2:$Q$1780,Q724,6)</f>
        <v>0.365579</v>
      </c>
      <c r="T724" s="61" t="n">
        <f aca="false">PERCENTRANK($F$2:$F$1780,F724,6)</f>
        <v>0</v>
      </c>
      <c r="U724" s="62" t="n">
        <f aca="false">IF(F724&gt;0,(Settings!$B$8*T724+Settings!$B$9*R724+Settings!$B$10*S724)/SUM(Settings!$B$8:$B$10),0)</f>
        <v>0</v>
      </c>
      <c r="V724" s="56" t="str">
        <f aca="false">IF(U724&gt;0,RANK(U724,$U$2:$U$1780)+COUNTIF($U$2:U724,U724)-1,"")</f>
        <v/>
      </c>
      <c r="W724" s="56" t="str">
        <f aca="false">IF(V724="","",IF(V724&lt;=Settings!$B$11,"1 - Fix first",IF(V724&lt;=Settings!$B$12,"2 - Review","3 - Monitor")))</f>
        <v/>
      </c>
      <c r="X724" s="56" t="str">
        <f aca="false">IF(AND(E724&gt;=Settings!$B$4,F724&gt;=Settings!$B$5,O724&gt;=Settings!$B$6),"HIGH RATE","")</f>
        <v/>
      </c>
      <c r="Y724" s="56" t="str">
        <f aca="false">IF(F724&gt;0,RANK(F724,$F$2:$F$1780)+COUNTIF($F$2:F724,F724)-1,"")</f>
        <v/>
      </c>
      <c r="Z724" s="56" t="str">
        <f aca="false">IF(H724&gt;0,RANK(H724,$H$2:$H$1780)+COUNTIF($H$2:H724,H724)-1,"")</f>
        <v/>
      </c>
      <c r="AA724" s="56" t="str">
        <f aca="false">IF(AC724="","",RANK(AC724,$AC$2:$AC$1780)+COUNTIF($AC$2:AC724,AC724)-1)</f>
        <v/>
      </c>
      <c r="AB724" s="56" t="str">
        <f aca="false">IF(AD724="","",RANK(AD724,$AD$2:$AD$1780)+COUNTIF($AD$2:AD724,AD724)-1)</f>
        <v/>
      </c>
      <c r="AC724" s="56" t="str">
        <f aca="false">IF(AND(F724&gt;0,E724&gt;=Settings!$B$4),J724,"")</f>
        <v/>
      </c>
      <c r="AD724" s="56" t="str">
        <f aca="false">IF(X724="HIGH RATE",O724,"")</f>
        <v/>
      </c>
    </row>
    <row r="725" customFormat="false" ht="15" hidden="false" customHeight="false" outlineLevel="0" collapsed="false">
      <c r="A725" s="56" t="s">
        <v>1962</v>
      </c>
      <c r="B725" s="56" t="s">
        <v>1963</v>
      </c>
      <c r="C725" s="56" t="s">
        <v>51</v>
      </c>
      <c r="D725" s="56" t="str">
        <f aca="false">IFERROR(INDEX('Brand Map'!$B$4:$B$124,MATCH(C725,'Brand Map'!$A$4:$A$124,0)),"Other")</f>
        <v>AU</v>
      </c>
      <c r="E725" s="57" t="n">
        <v>1</v>
      </c>
      <c r="F725" s="57" t="n">
        <v>0</v>
      </c>
      <c r="G725" s="58" t="n">
        <v>149.95</v>
      </c>
      <c r="H725" s="58" t="n">
        <v>0</v>
      </c>
      <c r="I725" s="58" t="n">
        <v>149.95</v>
      </c>
      <c r="J725" s="32" t="n">
        <f aca="false">IF(E725&gt;0,F725/E725,0)</f>
        <v>0</v>
      </c>
      <c r="K725" s="32" t="n">
        <f aca="false">IF(G725&gt;0,H725/G725,0)</f>
        <v>-0</v>
      </c>
      <c r="L725" s="59" t="n">
        <f aca="false">H725/Settings!$B$16</f>
        <v>-0</v>
      </c>
      <c r="M725" s="59" t="n">
        <f aca="false">H725/Settings!$B$20</f>
        <v>-0</v>
      </c>
      <c r="N725" s="60" t="n">
        <f aca="false">E725*Settings!$B$3</f>
        <v>0.0309861510798204</v>
      </c>
      <c r="O725" s="60" t="n">
        <f aca="false">IF(E725&gt;0,(F725-N725)/SQRT(E725*Settings!$B$3*(1-Settings!$B$3)),0)</f>
        <v>-0.178821125934444</v>
      </c>
      <c r="P725" s="60" t="n">
        <f aca="false">MAX(0,F725-N725)</f>
        <v>0</v>
      </c>
      <c r="Q725" s="32" t="n">
        <f aca="false">(F725+Settings!$B$7*Settings!$B$3)/(E725+Settings!$B$7)</f>
        <v>0.0299865978191811</v>
      </c>
      <c r="R725" s="61" t="n">
        <f aca="false">PERCENTRANK($H$2:$H$1780,H725,6)</f>
        <v>0</v>
      </c>
      <c r="S725" s="61" t="n">
        <f aca="false">PERCENTRANK($Q$2:$Q$1780,Q725,6)</f>
        <v>0.486502</v>
      </c>
      <c r="T725" s="61" t="n">
        <f aca="false">PERCENTRANK($F$2:$F$1780,F725,6)</f>
        <v>0</v>
      </c>
      <c r="U725" s="62" t="n">
        <f aca="false">IF(F725&gt;0,(Settings!$B$8*T725+Settings!$B$9*R725+Settings!$B$10*S725)/SUM(Settings!$B$8:$B$10),0)</f>
        <v>0</v>
      </c>
      <c r="V725" s="56" t="str">
        <f aca="false">IF(U725&gt;0,RANK(U725,$U$2:$U$1780)+COUNTIF($U$2:U725,U725)-1,"")</f>
        <v/>
      </c>
      <c r="W725" s="56" t="str">
        <f aca="false">IF(V725="","",IF(V725&lt;=Settings!$B$11,"1 - Fix first",IF(V725&lt;=Settings!$B$12,"2 - Review","3 - Monitor")))</f>
        <v/>
      </c>
      <c r="X725" s="56" t="str">
        <f aca="false">IF(AND(E725&gt;=Settings!$B$4,F725&gt;=Settings!$B$5,O725&gt;=Settings!$B$6),"HIGH RATE","")</f>
        <v/>
      </c>
      <c r="Y725" s="56" t="str">
        <f aca="false">IF(F725&gt;0,RANK(F725,$F$2:$F$1780)+COUNTIF($F$2:F725,F725)-1,"")</f>
        <v/>
      </c>
      <c r="Z725" s="56" t="str">
        <f aca="false">IF(H725&gt;0,RANK(H725,$H$2:$H$1780)+COUNTIF($H$2:H725,H725)-1,"")</f>
        <v/>
      </c>
      <c r="AA725" s="56" t="str">
        <f aca="false">IF(AC725="","",RANK(AC725,$AC$2:$AC$1780)+COUNTIF($AC$2:AC725,AC725)-1)</f>
        <v/>
      </c>
      <c r="AB725" s="56" t="str">
        <f aca="false">IF(AD725="","",RANK(AD725,$AD$2:$AD$1780)+COUNTIF($AD$2:AD725,AD725)-1)</f>
        <v/>
      </c>
      <c r="AC725" s="56" t="str">
        <f aca="false">IF(AND(F725&gt;0,E725&gt;=Settings!$B$4),J725,"")</f>
        <v/>
      </c>
      <c r="AD725" s="56" t="str">
        <f aca="false">IF(X725="HIGH RATE",O725,"")</f>
        <v/>
      </c>
    </row>
    <row r="726" customFormat="false" ht="15" hidden="false" customHeight="false" outlineLevel="0" collapsed="false">
      <c r="A726" s="56" t="s">
        <v>1964</v>
      </c>
      <c r="B726" s="56" t="s">
        <v>1963</v>
      </c>
      <c r="C726" s="56" t="s">
        <v>51</v>
      </c>
      <c r="D726" s="56" t="str">
        <f aca="false">IFERROR(INDEX('Brand Map'!$B$4:$B$124,MATCH(C726,'Brand Map'!$A$4:$A$124,0)),"Other")</f>
        <v>AU</v>
      </c>
      <c r="E726" s="57" t="n">
        <v>2</v>
      </c>
      <c r="F726" s="57" t="n">
        <v>0</v>
      </c>
      <c r="G726" s="58" t="n">
        <v>209.9</v>
      </c>
      <c r="H726" s="58" t="n">
        <v>0</v>
      </c>
      <c r="I726" s="58" t="n">
        <v>209.9</v>
      </c>
      <c r="J726" s="32" t="n">
        <f aca="false">IF(E726&gt;0,F726/E726,0)</f>
        <v>0</v>
      </c>
      <c r="K726" s="32" t="n">
        <f aca="false">IF(G726&gt;0,H726/G726,0)</f>
        <v>-0</v>
      </c>
      <c r="L726" s="59" t="n">
        <f aca="false">H726/Settings!$B$16</f>
        <v>-0</v>
      </c>
      <c r="M726" s="59" t="n">
        <f aca="false">H726/Settings!$B$20</f>
        <v>-0</v>
      </c>
      <c r="N726" s="60" t="n">
        <f aca="false">E726*Settings!$B$3</f>
        <v>0.0619723021596408</v>
      </c>
      <c r="O726" s="60" t="n">
        <f aca="false">IF(E726&gt;0,(F726-N726)/SQRT(E726*Settings!$B$3*(1-Settings!$B$3)),0)</f>
        <v>-0.252891261535318</v>
      </c>
      <c r="P726" s="60" t="n">
        <f aca="false">MAX(0,F726-N726)</f>
        <v>0</v>
      </c>
      <c r="Q726" s="32" t="n">
        <f aca="false">(F726+Settings!$B$7*Settings!$B$3)/(E726+Settings!$B$7)</f>
        <v>0.0290495166373316</v>
      </c>
      <c r="R726" s="61" t="n">
        <f aca="false">PERCENTRANK($H$2:$H$1780,H726,6)</f>
        <v>0</v>
      </c>
      <c r="S726" s="61" t="n">
        <f aca="false">PERCENTRANK($Q$2:$Q$1780,Q726,6)</f>
        <v>0.365579</v>
      </c>
      <c r="T726" s="61" t="n">
        <f aca="false">PERCENTRANK($F$2:$F$1780,F726,6)</f>
        <v>0</v>
      </c>
      <c r="U726" s="62" t="n">
        <f aca="false">IF(F726&gt;0,(Settings!$B$8*T726+Settings!$B$9*R726+Settings!$B$10*S726)/SUM(Settings!$B$8:$B$10),0)</f>
        <v>0</v>
      </c>
      <c r="V726" s="56" t="str">
        <f aca="false">IF(U726&gt;0,RANK(U726,$U$2:$U$1780)+COUNTIF($U$2:U726,U726)-1,"")</f>
        <v/>
      </c>
      <c r="W726" s="56" t="str">
        <f aca="false">IF(V726="","",IF(V726&lt;=Settings!$B$11,"1 - Fix first",IF(V726&lt;=Settings!$B$12,"2 - Review","3 - Monitor")))</f>
        <v/>
      </c>
      <c r="X726" s="56" t="str">
        <f aca="false">IF(AND(E726&gt;=Settings!$B$4,F726&gt;=Settings!$B$5,O726&gt;=Settings!$B$6),"HIGH RATE","")</f>
        <v/>
      </c>
      <c r="Y726" s="56" t="str">
        <f aca="false">IF(F726&gt;0,RANK(F726,$F$2:$F$1780)+COUNTIF($F$2:F726,F726)-1,"")</f>
        <v/>
      </c>
      <c r="Z726" s="56" t="str">
        <f aca="false">IF(H726&gt;0,RANK(H726,$H$2:$H$1780)+COUNTIF($H$2:H726,H726)-1,"")</f>
        <v/>
      </c>
      <c r="AA726" s="56" t="str">
        <f aca="false">IF(AC726="","",RANK(AC726,$AC$2:$AC$1780)+COUNTIF($AC$2:AC726,AC726)-1)</f>
        <v/>
      </c>
      <c r="AB726" s="56" t="str">
        <f aca="false">IF(AD726="","",RANK(AD726,$AD$2:$AD$1780)+COUNTIF($AD$2:AD726,AD726)-1)</f>
        <v/>
      </c>
      <c r="AC726" s="56" t="str">
        <f aca="false">IF(AND(F726&gt;0,E726&gt;=Settings!$B$4),J726,"")</f>
        <v/>
      </c>
      <c r="AD726" s="56" t="str">
        <f aca="false">IF(X726="HIGH RATE",O726,"")</f>
        <v/>
      </c>
    </row>
    <row r="727" customFormat="false" ht="15" hidden="false" customHeight="false" outlineLevel="0" collapsed="false">
      <c r="A727" s="56" t="s">
        <v>1965</v>
      </c>
      <c r="B727" s="56" t="s">
        <v>1966</v>
      </c>
      <c r="C727" s="56" t="s">
        <v>51</v>
      </c>
      <c r="D727" s="56" t="str">
        <f aca="false">IFERROR(INDEX('Brand Map'!$B$4:$B$124,MATCH(C727,'Brand Map'!$A$4:$A$124,0)),"Other")</f>
        <v>AU</v>
      </c>
      <c r="E727" s="57" t="n">
        <v>3</v>
      </c>
      <c r="F727" s="57" t="n">
        <v>0</v>
      </c>
      <c r="G727" s="58" t="n">
        <v>584.85</v>
      </c>
      <c r="H727" s="58" t="n">
        <v>0</v>
      </c>
      <c r="I727" s="58" t="n">
        <v>584.85</v>
      </c>
      <c r="J727" s="32" t="n">
        <f aca="false">IF(E727&gt;0,F727/E727,0)</f>
        <v>0</v>
      </c>
      <c r="K727" s="32" t="n">
        <f aca="false">IF(G727&gt;0,H727/G727,0)</f>
        <v>-0</v>
      </c>
      <c r="L727" s="59" t="n">
        <f aca="false">H727/Settings!$B$16</f>
        <v>-0</v>
      </c>
      <c r="M727" s="59" t="n">
        <f aca="false">H727/Settings!$B$20</f>
        <v>-0</v>
      </c>
      <c r="N727" s="60" t="n">
        <f aca="false">E727*Settings!$B$3</f>
        <v>0.0929584532394613</v>
      </c>
      <c r="O727" s="60" t="n">
        <f aca="false">IF(E727&gt;0,(F727-N727)/SQRT(E727*Settings!$B$3*(1-Settings!$B$3)),0)</f>
        <v>-0.30972727558513</v>
      </c>
      <c r="P727" s="60" t="n">
        <f aca="false">MAX(0,F727-N727)</f>
        <v>0</v>
      </c>
      <c r="Q727" s="32" t="n">
        <f aca="false">(F727+Settings!$B$7*Settings!$B$3)/(E727+Settings!$B$7)</f>
        <v>0.0281692282543822</v>
      </c>
      <c r="R727" s="61" t="n">
        <f aca="false">PERCENTRANK($H$2:$H$1780,H727,6)</f>
        <v>0</v>
      </c>
      <c r="S727" s="61" t="n">
        <f aca="false">PERCENTRANK($Q$2:$Q$1780,Q727,6)</f>
        <v>0.294151</v>
      </c>
      <c r="T727" s="61" t="n">
        <f aca="false">PERCENTRANK($F$2:$F$1780,F727,6)</f>
        <v>0</v>
      </c>
      <c r="U727" s="62" t="n">
        <f aca="false">IF(F727&gt;0,(Settings!$B$8*T727+Settings!$B$9*R727+Settings!$B$10*S727)/SUM(Settings!$B$8:$B$10),0)</f>
        <v>0</v>
      </c>
      <c r="V727" s="56" t="str">
        <f aca="false">IF(U727&gt;0,RANK(U727,$U$2:$U$1780)+COUNTIF($U$2:U727,U727)-1,"")</f>
        <v/>
      </c>
      <c r="W727" s="56" t="str">
        <f aca="false">IF(V727="","",IF(V727&lt;=Settings!$B$11,"1 - Fix first",IF(V727&lt;=Settings!$B$12,"2 - Review","3 - Monitor")))</f>
        <v/>
      </c>
      <c r="X727" s="56" t="str">
        <f aca="false">IF(AND(E727&gt;=Settings!$B$4,F727&gt;=Settings!$B$5,O727&gt;=Settings!$B$6),"HIGH RATE","")</f>
        <v/>
      </c>
      <c r="Y727" s="56" t="str">
        <f aca="false">IF(F727&gt;0,RANK(F727,$F$2:$F$1780)+COUNTIF($F$2:F727,F727)-1,"")</f>
        <v/>
      </c>
      <c r="Z727" s="56" t="str">
        <f aca="false">IF(H727&gt;0,RANK(H727,$H$2:$H$1780)+COUNTIF($H$2:H727,H727)-1,"")</f>
        <v/>
      </c>
      <c r="AA727" s="56" t="str">
        <f aca="false">IF(AC727="","",RANK(AC727,$AC$2:$AC$1780)+COUNTIF($AC$2:AC727,AC727)-1)</f>
        <v/>
      </c>
      <c r="AB727" s="56" t="str">
        <f aca="false">IF(AD727="","",RANK(AD727,$AD$2:$AD$1780)+COUNTIF($AD$2:AD727,AD727)-1)</f>
        <v/>
      </c>
      <c r="AC727" s="56" t="str">
        <f aca="false">IF(AND(F727&gt;0,E727&gt;=Settings!$B$4),J727,"")</f>
        <v/>
      </c>
      <c r="AD727" s="56" t="str">
        <f aca="false">IF(X727="HIGH RATE",O727,"")</f>
        <v/>
      </c>
    </row>
    <row r="728" customFormat="false" ht="15" hidden="false" customHeight="false" outlineLevel="0" collapsed="false">
      <c r="A728" s="56" t="s">
        <v>1967</v>
      </c>
      <c r="B728" s="56" t="s">
        <v>1966</v>
      </c>
      <c r="C728" s="56" t="s">
        <v>51</v>
      </c>
      <c r="D728" s="56" t="str">
        <f aca="false">IFERROR(INDEX('Brand Map'!$B$4:$B$124,MATCH(C728,'Brand Map'!$A$4:$A$124,0)),"Other")</f>
        <v>AU</v>
      </c>
      <c r="E728" s="57" t="n">
        <v>3</v>
      </c>
      <c r="F728" s="57" t="n">
        <v>0</v>
      </c>
      <c r="G728" s="58" t="n">
        <v>569.85</v>
      </c>
      <c r="H728" s="58" t="n">
        <v>0</v>
      </c>
      <c r="I728" s="58" t="n">
        <v>569.85</v>
      </c>
      <c r="J728" s="32" t="n">
        <f aca="false">IF(E728&gt;0,F728/E728,0)</f>
        <v>0</v>
      </c>
      <c r="K728" s="32" t="n">
        <f aca="false">IF(G728&gt;0,H728/G728,0)</f>
        <v>-0</v>
      </c>
      <c r="L728" s="59" t="n">
        <f aca="false">H728/Settings!$B$16</f>
        <v>-0</v>
      </c>
      <c r="M728" s="59" t="n">
        <f aca="false">H728/Settings!$B$20</f>
        <v>-0</v>
      </c>
      <c r="N728" s="60" t="n">
        <f aca="false">E728*Settings!$B$3</f>
        <v>0.0929584532394613</v>
      </c>
      <c r="O728" s="60" t="n">
        <f aca="false">IF(E728&gt;0,(F728-N728)/SQRT(E728*Settings!$B$3*(1-Settings!$B$3)),0)</f>
        <v>-0.30972727558513</v>
      </c>
      <c r="P728" s="60" t="n">
        <f aca="false">MAX(0,F728-N728)</f>
        <v>0</v>
      </c>
      <c r="Q728" s="32" t="n">
        <f aca="false">(F728+Settings!$B$7*Settings!$B$3)/(E728+Settings!$B$7)</f>
        <v>0.0281692282543822</v>
      </c>
      <c r="R728" s="61" t="n">
        <f aca="false">PERCENTRANK($H$2:$H$1780,H728,6)</f>
        <v>0</v>
      </c>
      <c r="S728" s="61" t="n">
        <f aca="false">PERCENTRANK($Q$2:$Q$1780,Q728,6)</f>
        <v>0.294151</v>
      </c>
      <c r="T728" s="61" t="n">
        <f aca="false">PERCENTRANK($F$2:$F$1780,F728,6)</f>
        <v>0</v>
      </c>
      <c r="U728" s="62" t="n">
        <f aca="false">IF(F728&gt;0,(Settings!$B$8*T728+Settings!$B$9*R728+Settings!$B$10*S728)/SUM(Settings!$B$8:$B$10),0)</f>
        <v>0</v>
      </c>
      <c r="V728" s="56" t="str">
        <f aca="false">IF(U728&gt;0,RANK(U728,$U$2:$U$1780)+COUNTIF($U$2:U728,U728)-1,"")</f>
        <v/>
      </c>
      <c r="W728" s="56" t="str">
        <f aca="false">IF(V728="","",IF(V728&lt;=Settings!$B$11,"1 - Fix first",IF(V728&lt;=Settings!$B$12,"2 - Review","3 - Monitor")))</f>
        <v/>
      </c>
      <c r="X728" s="56" t="str">
        <f aca="false">IF(AND(E728&gt;=Settings!$B$4,F728&gt;=Settings!$B$5,O728&gt;=Settings!$B$6),"HIGH RATE","")</f>
        <v/>
      </c>
      <c r="Y728" s="56" t="str">
        <f aca="false">IF(F728&gt;0,RANK(F728,$F$2:$F$1780)+COUNTIF($F$2:F728,F728)-1,"")</f>
        <v/>
      </c>
      <c r="Z728" s="56" t="str">
        <f aca="false">IF(H728&gt;0,RANK(H728,$H$2:$H$1780)+COUNTIF($H$2:H728,H728)-1,"")</f>
        <v/>
      </c>
      <c r="AA728" s="56" t="str">
        <f aca="false">IF(AC728="","",RANK(AC728,$AC$2:$AC$1780)+COUNTIF($AC$2:AC728,AC728)-1)</f>
        <v/>
      </c>
      <c r="AB728" s="56" t="str">
        <f aca="false">IF(AD728="","",RANK(AD728,$AD$2:$AD$1780)+COUNTIF($AD$2:AD728,AD728)-1)</f>
        <v/>
      </c>
      <c r="AC728" s="56" t="str">
        <f aca="false">IF(AND(F728&gt;0,E728&gt;=Settings!$B$4),J728,"")</f>
        <v/>
      </c>
      <c r="AD728" s="56" t="str">
        <f aca="false">IF(X728="HIGH RATE",O728,"")</f>
        <v/>
      </c>
    </row>
    <row r="729" customFormat="false" ht="15" hidden="false" customHeight="false" outlineLevel="0" collapsed="false">
      <c r="A729" s="56" t="s">
        <v>1968</v>
      </c>
      <c r="B729" s="56" t="s">
        <v>1966</v>
      </c>
      <c r="C729" s="56" t="s">
        <v>51</v>
      </c>
      <c r="D729" s="56" t="str">
        <f aca="false">IFERROR(INDEX('Brand Map'!$B$4:$B$124,MATCH(C729,'Brand Map'!$A$4:$A$124,0)),"Other")</f>
        <v>AU</v>
      </c>
      <c r="E729" s="57" t="n">
        <v>1</v>
      </c>
      <c r="F729" s="57" t="n">
        <v>0</v>
      </c>
      <c r="G729" s="58" t="n">
        <v>219.95</v>
      </c>
      <c r="H729" s="58" t="n">
        <v>0</v>
      </c>
      <c r="I729" s="58" t="n">
        <v>219.95</v>
      </c>
      <c r="J729" s="32" t="n">
        <f aca="false">IF(E729&gt;0,F729/E729,0)</f>
        <v>0</v>
      </c>
      <c r="K729" s="32" t="n">
        <f aca="false">IF(G729&gt;0,H729/G729,0)</f>
        <v>-0</v>
      </c>
      <c r="L729" s="59" t="n">
        <f aca="false">H729/Settings!$B$16</f>
        <v>-0</v>
      </c>
      <c r="M729" s="59" t="n">
        <f aca="false">H729/Settings!$B$20</f>
        <v>-0</v>
      </c>
      <c r="N729" s="60" t="n">
        <f aca="false">E729*Settings!$B$3</f>
        <v>0.0309861510798204</v>
      </c>
      <c r="O729" s="60" t="n">
        <f aca="false">IF(E729&gt;0,(F729-N729)/SQRT(E729*Settings!$B$3*(1-Settings!$B$3)),0)</f>
        <v>-0.178821125934444</v>
      </c>
      <c r="P729" s="60" t="n">
        <f aca="false">MAX(0,F729-N729)</f>
        <v>0</v>
      </c>
      <c r="Q729" s="32" t="n">
        <f aca="false">(F729+Settings!$B$7*Settings!$B$3)/(E729+Settings!$B$7)</f>
        <v>0.0299865978191811</v>
      </c>
      <c r="R729" s="61" t="n">
        <f aca="false">PERCENTRANK($H$2:$H$1780,H729,6)</f>
        <v>0</v>
      </c>
      <c r="S729" s="61" t="n">
        <f aca="false">PERCENTRANK($Q$2:$Q$1780,Q729,6)</f>
        <v>0.486502</v>
      </c>
      <c r="T729" s="61" t="n">
        <f aca="false">PERCENTRANK($F$2:$F$1780,F729,6)</f>
        <v>0</v>
      </c>
      <c r="U729" s="62" t="n">
        <f aca="false">IF(F729&gt;0,(Settings!$B$8*T729+Settings!$B$9*R729+Settings!$B$10*S729)/SUM(Settings!$B$8:$B$10),0)</f>
        <v>0</v>
      </c>
      <c r="V729" s="56" t="str">
        <f aca="false">IF(U729&gt;0,RANK(U729,$U$2:$U$1780)+COUNTIF($U$2:U729,U729)-1,"")</f>
        <v/>
      </c>
      <c r="W729" s="56" t="str">
        <f aca="false">IF(V729="","",IF(V729&lt;=Settings!$B$11,"1 - Fix first",IF(V729&lt;=Settings!$B$12,"2 - Review","3 - Monitor")))</f>
        <v/>
      </c>
      <c r="X729" s="56" t="str">
        <f aca="false">IF(AND(E729&gt;=Settings!$B$4,F729&gt;=Settings!$B$5,O729&gt;=Settings!$B$6),"HIGH RATE","")</f>
        <v/>
      </c>
      <c r="Y729" s="56" t="str">
        <f aca="false">IF(F729&gt;0,RANK(F729,$F$2:$F$1780)+COUNTIF($F$2:F729,F729)-1,"")</f>
        <v/>
      </c>
      <c r="Z729" s="56" t="str">
        <f aca="false">IF(H729&gt;0,RANK(H729,$H$2:$H$1780)+COUNTIF($H$2:H729,H729)-1,"")</f>
        <v/>
      </c>
      <c r="AA729" s="56" t="str">
        <f aca="false">IF(AC729="","",RANK(AC729,$AC$2:$AC$1780)+COUNTIF($AC$2:AC729,AC729)-1)</f>
        <v/>
      </c>
      <c r="AB729" s="56" t="str">
        <f aca="false">IF(AD729="","",RANK(AD729,$AD$2:$AD$1780)+COUNTIF($AD$2:AD729,AD729)-1)</f>
        <v/>
      </c>
      <c r="AC729" s="56" t="str">
        <f aca="false">IF(AND(F729&gt;0,E729&gt;=Settings!$B$4),J729,"")</f>
        <v/>
      </c>
      <c r="AD729" s="56" t="str">
        <f aca="false">IF(X729="HIGH RATE",O729,"")</f>
        <v/>
      </c>
    </row>
    <row r="730" customFormat="false" ht="15" hidden="false" customHeight="false" outlineLevel="0" collapsed="false">
      <c r="A730" s="56" t="s">
        <v>1969</v>
      </c>
      <c r="B730" s="56" t="s">
        <v>1966</v>
      </c>
      <c r="C730" s="56" t="s">
        <v>51</v>
      </c>
      <c r="D730" s="56" t="str">
        <f aca="false">IFERROR(INDEX('Brand Map'!$B$4:$B$124,MATCH(C730,'Brand Map'!$A$4:$A$124,0)),"Other")</f>
        <v>AU</v>
      </c>
      <c r="E730" s="57" t="n">
        <v>1</v>
      </c>
      <c r="F730" s="57" t="n">
        <v>0</v>
      </c>
      <c r="G730" s="58" t="n">
        <v>174.95</v>
      </c>
      <c r="H730" s="58" t="n">
        <v>0</v>
      </c>
      <c r="I730" s="58" t="n">
        <v>174.95</v>
      </c>
      <c r="J730" s="32" t="n">
        <f aca="false">IF(E730&gt;0,F730/E730,0)</f>
        <v>0</v>
      </c>
      <c r="K730" s="32" t="n">
        <f aca="false">IF(G730&gt;0,H730/G730,0)</f>
        <v>-0</v>
      </c>
      <c r="L730" s="59" t="n">
        <f aca="false">H730/Settings!$B$16</f>
        <v>-0</v>
      </c>
      <c r="M730" s="59" t="n">
        <f aca="false">H730/Settings!$B$20</f>
        <v>-0</v>
      </c>
      <c r="N730" s="60" t="n">
        <f aca="false">E730*Settings!$B$3</f>
        <v>0.0309861510798204</v>
      </c>
      <c r="O730" s="60" t="n">
        <f aca="false">IF(E730&gt;0,(F730-N730)/SQRT(E730*Settings!$B$3*(1-Settings!$B$3)),0)</f>
        <v>-0.178821125934444</v>
      </c>
      <c r="P730" s="60" t="n">
        <f aca="false">MAX(0,F730-N730)</f>
        <v>0</v>
      </c>
      <c r="Q730" s="32" t="n">
        <f aca="false">(F730+Settings!$B$7*Settings!$B$3)/(E730+Settings!$B$7)</f>
        <v>0.0299865978191811</v>
      </c>
      <c r="R730" s="61" t="n">
        <f aca="false">PERCENTRANK($H$2:$H$1780,H730,6)</f>
        <v>0</v>
      </c>
      <c r="S730" s="61" t="n">
        <f aca="false">PERCENTRANK($Q$2:$Q$1780,Q730,6)</f>
        <v>0.486502</v>
      </c>
      <c r="T730" s="61" t="n">
        <f aca="false">PERCENTRANK($F$2:$F$1780,F730,6)</f>
        <v>0</v>
      </c>
      <c r="U730" s="62" t="n">
        <f aca="false">IF(F730&gt;0,(Settings!$B$8*T730+Settings!$B$9*R730+Settings!$B$10*S730)/SUM(Settings!$B$8:$B$10),0)</f>
        <v>0</v>
      </c>
      <c r="V730" s="56" t="str">
        <f aca="false">IF(U730&gt;0,RANK(U730,$U$2:$U$1780)+COUNTIF($U$2:U730,U730)-1,"")</f>
        <v/>
      </c>
      <c r="W730" s="56" t="str">
        <f aca="false">IF(V730="","",IF(V730&lt;=Settings!$B$11,"1 - Fix first",IF(V730&lt;=Settings!$B$12,"2 - Review","3 - Monitor")))</f>
        <v/>
      </c>
      <c r="X730" s="56" t="str">
        <f aca="false">IF(AND(E730&gt;=Settings!$B$4,F730&gt;=Settings!$B$5,O730&gt;=Settings!$B$6),"HIGH RATE","")</f>
        <v/>
      </c>
      <c r="Y730" s="56" t="str">
        <f aca="false">IF(F730&gt;0,RANK(F730,$F$2:$F$1780)+COUNTIF($F$2:F730,F730)-1,"")</f>
        <v/>
      </c>
      <c r="Z730" s="56" t="str">
        <f aca="false">IF(H730&gt;0,RANK(H730,$H$2:$H$1780)+COUNTIF($H$2:H730,H730)-1,"")</f>
        <v/>
      </c>
      <c r="AA730" s="56" t="str">
        <f aca="false">IF(AC730="","",RANK(AC730,$AC$2:$AC$1780)+COUNTIF($AC$2:AC730,AC730)-1)</f>
        <v/>
      </c>
      <c r="AB730" s="56" t="str">
        <f aca="false">IF(AD730="","",RANK(AD730,$AD$2:$AD$1780)+COUNTIF($AD$2:AD730,AD730)-1)</f>
        <v/>
      </c>
      <c r="AC730" s="56" t="str">
        <f aca="false">IF(AND(F730&gt;0,E730&gt;=Settings!$B$4),J730,"")</f>
        <v/>
      </c>
      <c r="AD730" s="56" t="str">
        <f aca="false">IF(X730="HIGH RATE",O730,"")</f>
        <v/>
      </c>
    </row>
    <row r="731" customFormat="false" ht="15" hidden="false" customHeight="false" outlineLevel="0" collapsed="false">
      <c r="A731" s="56" t="s">
        <v>1970</v>
      </c>
      <c r="B731" s="56" t="s">
        <v>1971</v>
      </c>
      <c r="C731" s="56" t="s">
        <v>51</v>
      </c>
      <c r="D731" s="56" t="str">
        <f aca="false">IFERROR(INDEX('Brand Map'!$B$4:$B$124,MATCH(C731,'Brand Map'!$A$4:$A$124,0)),"Other")</f>
        <v>AU</v>
      </c>
      <c r="E731" s="57" t="n">
        <v>8</v>
      </c>
      <c r="F731" s="57" t="n">
        <v>0</v>
      </c>
      <c r="G731" s="58" t="n">
        <v>123.12</v>
      </c>
      <c r="H731" s="58" t="n">
        <v>0</v>
      </c>
      <c r="I731" s="58" t="n">
        <v>123.12</v>
      </c>
      <c r="J731" s="32" t="n">
        <f aca="false">IF(E731&gt;0,F731/E731,0)</f>
        <v>0</v>
      </c>
      <c r="K731" s="32" t="n">
        <f aca="false">IF(G731&gt;0,H731/G731,0)</f>
        <v>-0</v>
      </c>
      <c r="L731" s="59" t="n">
        <f aca="false">H731/Settings!$B$16</f>
        <v>-0</v>
      </c>
      <c r="M731" s="59" t="n">
        <f aca="false">H731/Settings!$B$20</f>
        <v>-0</v>
      </c>
      <c r="N731" s="60" t="n">
        <f aca="false">E731*Settings!$B$3</f>
        <v>0.247889208638563</v>
      </c>
      <c r="O731" s="60" t="n">
        <f aca="false">IF(E731&gt;0,(F731-N731)/SQRT(E731*Settings!$B$3*(1-Settings!$B$3)),0)</f>
        <v>-0.505782523070636</v>
      </c>
      <c r="P731" s="60" t="n">
        <f aca="false">MAX(0,F731-N731)</f>
        <v>0</v>
      </c>
      <c r="Q731" s="32" t="n">
        <f aca="false">(F731+Settings!$B$7*Settings!$B$3)/(E731+Settings!$B$7)</f>
        <v>0.0244627508524898</v>
      </c>
      <c r="R731" s="61" t="n">
        <f aca="false">PERCENTRANK($H$2:$H$1780,H731,6)</f>
        <v>0</v>
      </c>
      <c r="S731" s="61" t="n">
        <f aca="false">PERCENTRANK($Q$2:$Q$1780,Q731,6)</f>
        <v>0.154668</v>
      </c>
      <c r="T731" s="61" t="n">
        <f aca="false">PERCENTRANK($F$2:$F$1780,F731,6)</f>
        <v>0</v>
      </c>
      <c r="U731" s="62" t="n">
        <f aca="false">IF(F731&gt;0,(Settings!$B$8*T731+Settings!$B$9*R731+Settings!$B$10*S731)/SUM(Settings!$B$8:$B$10),0)</f>
        <v>0</v>
      </c>
      <c r="V731" s="56" t="str">
        <f aca="false">IF(U731&gt;0,RANK(U731,$U$2:$U$1780)+COUNTIF($U$2:U731,U731)-1,"")</f>
        <v/>
      </c>
      <c r="W731" s="56" t="str">
        <f aca="false">IF(V731="","",IF(V731&lt;=Settings!$B$11,"1 - Fix first",IF(V731&lt;=Settings!$B$12,"2 - Review","3 - Monitor")))</f>
        <v/>
      </c>
      <c r="X731" s="56" t="str">
        <f aca="false">IF(AND(E731&gt;=Settings!$B$4,F731&gt;=Settings!$B$5,O731&gt;=Settings!$B$6),"HIGH RATE","")</f>
        <v/>
      </c>
      <c r="Y731" s="56" t="str">
        <f aca="false">IF(F731&gt;0,RANK(F731,$F$2:$F$1780)+COUNTIF($F$2:F731,F731)-1,"")</f>
        <v/>
      </c>
      <c r="Z731" s="56" t="str">
        <f aca="false">IF(H731&gt;0,RANK(H731,$H$2:$H$1780)+COUNTIF($H$2:H731,H731)-1,"")</f>
        <v/>
      </c>
      <c r="AA731" s="56" t="str">
        <f aca="false">IF(AC731="","",RANK(AC731,$AC$2:$AC$1780)+COUNTIF($AC$2:AC731,AC731)-1)</f>
        <v/>
      </c>
      <c r="AB731" s="56" t="str">
        <f aca="false">IF(AD731="","",RANK(AD731,$AD$2:$AD$1780)+COUNTIF($AD$2:AD731,AD731)-1)</f>
        <v/>
      </c>
      <c r="AC731" s="56" t="str">
        <f aca="false">IF(AND(F731&gt;0,E731&gt;=Settings!$B$4),J731,"")</f>
        <v/>
      </c>
      <c r="AD731" s="56" t="str">
        <f aca="false">IF(X731="HIGH RATE",O731,"")</f>
        <v/>
      </c>
    </row>
    <row r="732" customFormat="false" ht="15" hidden="false" customHeight="false" outlineLevel="0" collapsed="false">
      <c r="A732" s="56" t="s">
        <v>1972</v>
      </c>
      <c r="B732" s="56" t="s">
        <v>1973</v>
      </c>
      <c r="C732" s="56" t="s">
        <v>51</v>
      </c>
      <c r="D732" s="56" t="str">
        <f aca="false">IFERROR(INDEX('Brand Map'!$B$4:$B$124,MATCH(C732,'Brand Map'!$A$4:$A$124,0)),"Other")</f>
        <v>AU</v>
      </c>
      <c r="E732" s="57" t="n">
        <v>1</v>
      </c>
      <c r="F732" s="57" t="n">
        <v>0</v>
      </c>
      <c r="G732" s="58" t="n">
        <v>10.99</v>
      </c>
      <c r="H732" s="58" t="n">
        <v>0</v>
      </c>
      <c r="I732" s="58" t="n">
        <v>10.99</v>
      </c>
      <c r="J732" s="32" t="n">
        <f aca="false">IF(E732&gt;0,F732/E732,0)</f>
        <v>0</v>
      </c>
      <c r="K732" s="32" t="n">
        <f aca="false">IF(G732&gt;0,H732/G732,0)</f>
        <v>-0</v>
      </c>
      <c r="L732" s="59" t="n">
        <f aca="false">H732/Settings!$B$16</f>
        <v>-0</v>
      </c>
      <c r="M732" s="59" t="n">
        <f aca="false">H732/Settings!$B$20</f>
        <v>-0</v>
      </c>
      <c r="N732" s="60" t="n">
        <f aca="false">E732*Settings!$B$3</f>
        <v>0.0309861510798204</v>
      </c>
      <c r="O732" s="60" t="n">
        <f aca="false">IF(E732&gt;0,(F732-N732)/SQRT(E732*Settings!$B$3*(1-Settings!$B$3)),0)</f>
        <v>-0.178821125934444</v>
      </c>
      <c r="P732" s="60" t="n">
        <f aca="false">MAX(0,F732-N732)</f>
        <v>0</v>
      </c>
      <c r="Q732" s="32" t="n">
        <f aca="false">(F732+Settings!$B$7*Settings!$B$3)/(E732+Settings!$B$7)</f>
        <v>0.0299865978191811</v>
      </c>
      <c r="R732" s="61" t="n">
        <f aca="false">PERCENTRANK($H$2:$H$1780,H732,6)</f>
        <v>0</v>
      </c>
      <c r="S732" s="61" t="n">
        <f aca="false">PERCENTRANK($Q$2:$Q$1780,Q732,6)</f>
        <v>0.486502</v>
      </c>
      <c r="T732" s="61" t="n">
        <f aca="false">PERCENTRANK($F$2:$F$1780,F732,6)</f>
        <v>0</v>
      </c>
      <c r="U732" s="62" t="n">
        <f aca="false">IF(F732&gt;0,(Settings!$B$8*T732+Settings!$B$9*R732+Settings!$B$10*S732)/SUM(Settings!$B$8:$B$10),0)</f>
        <v>0</v>
      </c>
      <c r="V732" s="56" t="str">
        <f aca="false">IF(U732&gt;0,RANK(U732,$U$2:$U$1780)+COUNTIF($U$2:U732,U732)-1,"")</f>
        <v/>
      </c>
      <c r="W732" s="56" t="str">
        <f aca="false">IF(V732="","",IF(V732&lt;=Settings!$B$11,"1 - Fix first",IF(V732&lt;=Settings!$B$12,"2 - Review","3 - Monitor")))</f>
        <v/>
      </c>
      <c r="X732" s="56" t="str">
        <f aca="false">IF(AND(E732&gt;=Settings!$B$4,F732&gt;=Settings!$B$5,O732&gt;=Settings!$B$6),"HIGH RATE","")</f>
        <v/>
      </c>
      <c r="Y732" s="56" t="str">
        <f aca="false">IF(F732&gt;0,RANK(F732,$F$2:$F$1780)+COUNTIF($F$2:F732,F732)-1,"")</f>
        <v/>
      </c>
      <c r="Z732" s="56" t="str">
        <f aca="false">IF(H732&gt;0,RANK(H732,$H$2:$H$1780)+COUNTIF($H$2:H732,H732)-1,"")</f>
        <v/>
      </c>
      <c r="AA732" s="56" t="str">
        <f aca="false">IF(AC732="","",RANK(AC732,$AC$2:$AC$1780)+COUNTIF($AC$2:AC732,AC732)-1)</f>
        <v/>
      </c>
      <c r="AB732" s="56" t="str">
        <f aca="false">IF(AD732="","",RANK(AD732,$AD$2:$AD$1780)+COUNTIF($AD$2:AD732,AD732)-1)</f>
        <v/>
      </c>
      <c r="AC732" s="56" t="str">
        <f aca="false">IF(AND(F732&gt;0,E732&gt;=Settings!$B$4),J732,"")</f>
        <v/>
      </c>
      <c r="AD732" s="56" t="str">
        <f aca="false">IF(X732="HIGH RATE",O732,"")</f>
        <v/>
      </c>
    </row>
    <row r="733" customFormat="false" ht="15" hidden="false" customHeight="false" outlineLevel="0" collapsed="false">
      <c r="A733" s="56" t="s">
        <v>1974</v>
      </c>
      <c r="B733" s="56" t="s">
        <v>1975</v>
      </c>
      <c r="C733" s="56" t="s">
        <v>51</v>
      </c>
      <c r="D733" s="56" t="str">
        <f aca="false">IFERROR(INDEX('Brand Map'!$B$4:$B$124,MATCH(C733,'Brand Map'!$A$4:$A$124,0)),"Other")</f>
        <v>AU</v>
      </c>
      <c r="E733" s="57" t="n">
        <v>2</v>
      </c>
      <c r="F733" s="57" t="n">
        <v>0</v>
      </c>
      <c r="G733" s="58" t="n">
        <v>129.9</v>
      </c>
      <c r="H733" s="58" t="n">
        <v>0</v>
      </c>
      <c r="I733" s="58" t="n">
        <v>129.9</v>
      </c>
      <c r="J733" s="32" t="n">
        <f aca="false">IF(E733&gt;0,F733/E733,0)</f>
        <v>0</v>
      </c>
      <c r="K733" s="32" t="n">
        <f aca="false">IF(G733&gt;0,H733/G733,0)</f>
        <v>-0</v>
      </c>
      <c r="L733" s="59" t="n">
        <f aca="false">H733/Settings!$B$16</f>
        <v>-0</v>
      </c>
      <c r="M733" s="59" t="n">
        <f aca="false">H733/Settings!$B$20</f>
        <v>-0</v>
      </c>
      <c r="N733" s="60" t="n">
        <f aca="false">E733*Settings!$B$3</f>
        <v>0.0619723021596408</v>
      </c>
      <c r="O733" s="60" t="n">
        <f aca="false">IF(E733&gt;0,(F733-N733)/SQRT(E733*Settings!$B$3*(1-Settings!$B$3)),0)</f>
        <v>-0.252891261535318</v>
      </c>
      <c r="P733" s="60" t="n">
        <f aca="false">MAX(0,F733-N733)</f>
        <v>0</v>
      </c>
      <c r="Q733" s="32" t="n">
        <f aca="false">(F733+Settings!$B$7*Settings!$B$3)/(E733+Settings!$B$7)</f>
        <v>0.0290495166373316</v>
      </c>
      <c r="R733" s="61" t="n">
        <f aca="false">PERCENTRANK($H$2:$H$1780,H733,6)</f>
        <v>0</v>
      </c>
      <c r="S733" s="61" t="n">
        <f aca="false">PERCENTRANK($Q$2:$Q$1780,Q733,6)</f>
        <v>0.365579</v>
      </c>
      <c r="T733" s="61" t="n">
        <f aca="false">PERCENTRANK($F$2:$F$1780,F733,6)</f>
        <v>0</v>
      </c>
      <c r="U733" s="62" t="n">
        <f aca="false">IF(F733&gt;0,(Settings!$B$8*T733+Settings!$B$9*R733+Settings!$B$10*S733)/SUM(Settings!$B$8:$B$10),0)</f>
        <v>0</v>
      </c>
      <c r="V733" s="56" t="str">
        <f aca="false">IF(U733&gt;0,RANK(U733,$U$2:$U$1780)+COUNTIF($U$2:U733,U733)-1,"")</f>
        <v/>
      </c>
      <c r="W733" s="56" t="str">
        <f aca="false">IF(V733="","",IF(V733&lt;=Settings!$B$11,"1 - Fix first",IF(V733&lt;=Settings!$B$12,"2 - Review","3 - Monitor")))</f>
        <v/>
      </c>
      <c r="X733" s="56" t="str">
        <f aca="false">IF(AND(E733&gt;=Settings!$B$4,F733&gt;=Settings!$B$5,O733&gt;=Settings!$B$6),"HIGH RATE","")</f>
        <v/>
      </c>
      <c r="Y733" s="56" t="str">
        <f aca="false">IF(F733&gt;0,RANK(F733,$F$2:$F$1780)+COUNTIF($F$2:F733,F733)-1,"")</f>
        <v/>
      </c>
      <c r="Z733" s="56" t="str">
        <f aca="false">IF(H733&gt;0,RANK(H733,$H$2:$H$1780)+COUNTIF($H$2:H733,H733)-1,"")</f>
        <v/>
      </c>
      <c r="AA733" s="56" t="str">
        <f aca="false">IF(AC733="","",RANK(AC733,$AC$2:$AC$1780)+COUNTIF($AC$2:AC733,AC733)-1)</f>
        <v/>
      </c>
      <c r="AB733" s="56" t="str">
        <f aca="false">IF(AD733="","",RANK(AD733,$AD$2:$AD$1780)+COUNTIF($AD$2:AD733,AD733)-1)</f>
        <v/>
      </c>
      <c r="AC733" s="56" t="str">
        <f aca="false">IF(AND(F733&gt;0,E733&gt;=Settings!$B$4),J733,"")</f>
        <v/>
      </c>
      <c r="AD733" s="56" t="str">
        <f aca="false">IF(X733="HIGH RATE",O733,"")</f>
        <v/>
      </c>
    </row>
    <row r="734" customFormat="false" ht="15" hidden="false" customHeight="false" outlineLevel="0" collapsed="false">
      <c r="A734" s="56" t="s">
        <v>1976</v>
      </c>
      <c r="B734" s="56" t="s">
        <v>1975</v>
      </c>
      <c r="C734" s="56" t="s">
        <v>51</v>
      </c>
      <c r="D734" s="56" t="str">
        <f aca="false">IFERROR(INDEX('Brand Map'!$B$4:$B$124,MATCH(C734,'Brand Map'!$A$4:$A$124,0)),"Other")</f>
        <v>AU</v>
      </c>
      <c r="E734" s="57" t="n">
        <v>10</v>
      </c>
      <c r="F734" s="57" t="n">
        <v>0</v>
      </c>
      <c r="G734" s="58" t="n">
        <v>499.5</v>
      </c>
      <c r="H734" s="58" t="n">
        <v>0</v>
      </c>
      <c r="I734" s="58" t="n">
        <v>499.5</v>
      </c>
      <c r="J734" s="32" t="n">
        <f aca="false">IF(E734&gt;0,F734/E734,0)</f>
        <v>0</v>
      </c>
      <c r="K734" s="32" t="n">
        <f aca="false">IF(G734&gt;0,H734/G734,0)</f>
        <v>-0</v>
      </c>
      <c r="L734" s="59" t="n">
        <f aca="false">H734/Settings!$B$16</f>
        <v>-0</v>
      </c>
      <c r="M734" s="59" t="n">
        <f aca="false">H734/Settings!$B$20</f>
        <v>-0</v>
      </c>
      <c r="N734" s="60" t="n">
        <f aca="false">E734*Settings!$B$3</f>
        <v>0.309861510798204</v>
      </c>
      <c r="O734" s="60" t="n">
        <f aca="false">IF(E734&gt;0,(F734-N734)/SQRT(E734*Settings!$B$3*(1-Settings!$B$3)),0)</f>
        <v>-0.565482051708649</v>
      </c>
      <c r="P734" s="60" t="n">
        <f aca="false">MAX(0,F734-N734)</f>
        <v>0</v>
      </c>
      <c r="Q734" s="32" t="n">
        <f aca="false">(F734+Settings!$B$7*Settings!$B$3)/(E734+Settings!$B$7)</f>
        <v>0.0232396133098653</v>
      </c>
      <c r="R734" s="61" t="n">
        <f aca="false">PERCENTRANK($H$2:$H$1780,H734,6)</f>
        <v>0</v>
      </c>
      <c r="S734" s="61" t="n">
        <f aca="false">PERCENTRANK($Q$2:$Q$1780,Q734,6)</f>
        <v>0.131046</v>
      </c>
      <c r="T734" s="61" t="n">
        <f aca="false">PERCENTRANK($F$2:$F$1780,F734,6)</f>
        <v>0</v>
      </c>
      <c r="U734" s="62" t="n">
        <f aca="false">IF(F734&gt;0,(Settings!$B$8*T734+Settings!$B$9*R734+Settings!$B$10*S734)/SUM(Settings!$B$8:$B$10),0)</f>
        <v>0</v>
      </c>
      <c r="V734" s="56" t="str">
        <f aca="false">IF(U734&gt;0,RANK(U734,$U$2:$U$1780)+COUNTIF($U$2:U734,U734)-1,"")</f>
        <v/>
      </c>
      <c r="W734" s="56" t="str">
        <f aca="false">IF(V734="","",IF(V734&lt;=Settings!$B$11,"1 - Fix first",IF(V734&lt;=Settings!$B$12,"2 - Review","3 - Monitor")))</f>
        <v/>
      </c>
      <c r="X734" s="56" t="str">
        <f aca="false">IF(AND(E734&gt;=Settings!$B$4,F734&gt;=Settings!$B$5,O734&gt;=Settings!$B$6),"HIGH RATE","")</f>
        <v/>
      </c>
      <c r="Y734" s="56" t="str">
        <f aca="false">IF(F734&gt;0,RANK(F734,$F$2:$F$1780)+COUNTIF($F$2:F734,F734)-1,"")</f>
        <v/>
      </c>
      <c r="Z734" s="56" t="str">
        <f aca="false">IF(H734&gt;0,RANK(H734,$H$2:$H$1780)+COUNTIF($H$2:H734,H734)-1,"")</f>
        <v/>
      </c>
      <c r="AA734" s="56" t="str">
        <f aca="false">IF(AC734="","",RANK(AC734,$AC$2:$AC$1780)+COUNTIF($AC$2:AC734,AC734)-1)</f>
        <v/>
      </c>
      <c r="AB734" s="56" t="str">
        <f aca="false">IF(AD734="","",RANK(AD734,$AD$2:$AD$1780)+COUNTIF($AD$2:AD734,AD734)-1)</f>
        <v/>
      </c>
      <c r="AC734" s="56" t="str">
        <f aca="false">IF(AND(F734&gt;0,E734&gt;=Settings!$B$4),J734,"")</f>
        <v/>
      </c>
      <c r="AD734" s="56" t="str">
        <f aca="false">IF(X734="HIGH RATE",O734,"")</f>
        <v/>
      </c>
    </row>
    <row r="735" customFormat="false" ht="15" hidden="false" customHeight="false" outlineLevel="0" collapsed="false">
      <c r="A735" s="56" t="s">
        <v>1977</v>
      </c>
      <c r="B735" s="56" t="s">
        <v>1978</v>
      </c>
      <c r="C735" s="56" t="s">
        <v>51</v>
      </c>
      <c r="D735" s="56" t="str">
        <f aca="false">IFERROR(INDEX('Brand Map'!$B$4:$B$124,MATCH(C735,'Brand Map'!$A$4:$A$124,0)),"Other")</f>
        <v>AU</v>
      </c>
      <c r="E735" s="57" t="n">
        <v>5</v>
      </c>
      <c r="F735" s="57" t="n">
        <v>0</v>
      </c>
      <c r="G735" s="58" t="n">
        <v>349.75</v>
      </c>
      <c r="H735" s="58" t="n">
        <v>0</v>
      </c>
      <c r="I735" s="58" t="n">
        <v>349.75</v>
      </c>
      <c r="J735" s="32" t="n">
        <f aca="false">IF(E735&gt;0,F735/E735,0)</f>
        <v>0</v>
      </c>
      <c r="K735" s="32" t="n">
        <f aca="false">IF(G735&gt;0,H735/G735,0)</f>
        <v>-0</v>
      </c>
      <c r="L735" s="59" t="n">
        <f aca="false">H735/Settings!$B$16</f>
        <v>-0</v>
      </c>
      <c r="M735" s="59" t="n">
        <f aca="false">H735/Settings!$B$20</f>
        <v>-0</v>
      </c>
      <c r="N735" s="60" t="n">
        <f aca="false">E735*Settings!$B$3</f>
        <v>0.154930755399102</v>
      </c>
      <c r="O735" s="60" t="n">
        <f aca="false">IF(E735&gt;0,(F735-N735)/SQRT(E735*Settings!$B$3*(1-Settings!$B$3)),0)</f>
        <v>-0.399856193402468</v>
      </c>
      <c r="P735" s="60" t="n">
        <f aca="false">MAX(0,F735-N735)</f>
        <v>0</v>
      </c>
      <c r="Q735" s="32" t="n">
        <f aca="false">(F735+Settings!$B$7*Settings!$B$3)/(E735+Settings!$B$7)</f>
        <v>0.0265595580684175</v>
      </c>
      <c r="R735" s="61" t="n">
        <f aca="false">PERCENTRANK($H$2:$H$1780,H735,6)</f>
        <v>0</v>
      </c>
      <c r="S735" s="61" t="n">
        <f aca="false">PERCENTRANK($Q$2:$Q$1780,Q735,6)</f>
        <v>0.220472</v>
      </c>
      <c r="T735" s="61" t="n">
        <f aca="false">PERCENTRANK($F$2:$F$1780,F735,6)</f>
        <v>0</v>
      </c>
      <c r="U735" s="62" t="n">
        <f aca="false">IF(F735&gt;0,(Settings!$B$8*T735+Settings!$B$9*R735+Settings!$B$10*S735)/SUM(Settings!$B$8:$B$10),0)</f>
        <v>0</v>
      </c>
      <c r="V735" s="56" t="str">
        <f aca="false">IF(U735&gt;0,RANK(U735,$U$2:$U$1780)+COUNTIF($U$2:U735,U735)-1,"")</f>
        <v/>
      </c>
      <c r="W735" s="56" t="str">
        <f aca="false">IF(V735="","",IF(V735&lt;=Settings!$B$11,"1 - Fix first",IF(V735&lt;=Settings!$B$12,"2 - Review","3 - Monitor")))</f>
        <v/>
      </c>
      <c r="X735" s="56" t="str">
        <f aca="false">IF(AND(E735&gt;=Settings!$B$4,F735&gt;=Settings!$B$5,O735&gt;=Settings!$B$6),"HIGH RATE","")</f>
        <v/>
      </c>
      <c r="Y735" s="56" t="str">
        <f aca="false">IF(F735&gt;0,RANK(F735,$F$2:$F$1780)+COUNTIF($F$2:F735,F735)-1,"")</f>
        <v/>
      </c>
      <c r="Z735" s="56" t="str">
        <f aca="false">IF(H735&gt;0,RANK(H735,$H$2:$H$1780)+COUNTIF($H$2:H735,H735)-1,"")</f>
        <v/>
      </c>
      <c r="AA735" s="56" t="str">
        <f aca="false">IF(AC735="","",RANK(AC735,$AC$2:$AC$1780)+COUNTIF($AC$2:AC735,AC735)-1)</f>
        <v/>
      </c>
      <c r="AB735" s="56" t="str">
        <f aca="false">IF(AD735="","",RANK(AD735,$AD$2:$AD$1780)+COUNTIF($AD$2:AD735,AD735)-1)</f>
        <v/>
      </c>
      <c r="AC735" s="56" t="str">
        <f aca="false">IF(AND(F735&gt;0,E735&gt;=Settings!$B$4),J735,"")</f>
        <v/>
      </c>
      <c r="AD735" s="56" t="str">
        <f aca="false">IF(X735="HIGH RATE",O735,"")</f>
        <v/>
      </c>
    </row>
    <row r="736" customFormat="false" ht="15" hidden="false" customHeight="false" outlineLevel="0" collapsed="false">
      <c r="A736" s="56" t="s">
        <v>1979</v>
      </c>
      <c r="B736" s="56" t="s">
        <v>1978</v>
      </c>
      <c r="C736" s="56" t="s">
        <v>51</v>
      </c>
      <c r="D736" s="56" t="str">
        <f aca="false">IFERROR(INDEX('Brand Map'!$B$4:$B$124,MATCH(C736,'Brand Map'!$A$4:$A$124,0)),"Other")</f>
        <v>AU</v>
      </c>
      <c r="E736" s="57" t="n">
        <v>1</v>
      </c>
      <c r="F736" s="57" t="n">
        <v>0</v>
      </c>
      <c r="G736" s="58" t="n">
        <v>84.95</v>
      </c>
      <c r="H736" s="58" t="n">
        <v>0</v>
      </c>
      <c r="I736" s="58" t="n">
        <v>84.95</v>
      </c>
      <c r="J736" s="32" t="n">
        <f aca="false">IF(E736&gt;0,F736/E736,0)</f>
        <v>0</v>
      </c>
      <c r="K736" s="32" t="n">
        <f aca="false">IF(G736&gt;0,H736/G736,0)</f>
        <v>-0</v>
      </c>
      <c r="L736" s="59" t="n">
        <f aca="false">H736/Settings!$B$16</f>
        <v>-0</v>
      </c>
      <c r="M736" s="59" t="n">
        <f aca="false">H736/Settings!$B$20</f>
        <v>-0</v>
      </c>
      <c r="N736" s="60" t="n">
        <f aca="false">E736*Settings!$B$3</f>
        <v>0.0309861510798204</v>
      </c>
      <c r="O736" s="60" t="n">
        <f aca="false">IF(E736&gt;0,(F736-N736)/SQRT(E736*Settings!$B$3*(1-Settings!$B$3)),0)</f>
        <v>-0.178821125934444</v>
      </c>
      <c r="P736" s="60" t="n">
        <f aca="false">MAX(0,F736-N736)</f>
        <v>0</v>
      </c>
      <c r="Q736" s="32" t="n">
        <f aca="false">(F736+Settings!$B$7*Settings!$B$3)/(E736+Settings!$B$7)</f>
        <v>0.0299865978191811</v>
      </c>
      <c r="R736" s="61" t="n">
        <f aca="false">PERCENTRANK($H$2:$H$1780,H736,6)</f>
        <v>0</v>
      </c>
      <c r="S736" s="61" t="n">
        <f aca="false">PERCENTRANK($Q$2:$Q$1780,Q736,6)</f>
        <v>0.486502</v>
      </c>
      <c r="T736" s="61" t="n">
        <f aca="false">PERCENTRANK($F$2:$F$1780,F736,6)</f>
        <v>0</v>
      </c>
      <c r="U736" s="62" t="n">
        <f aca="false">IF(F736&gt;0,(Settings!$B$8*T736+Settings!$B$9*R736+Settings!$B$10*S736)/SUM(Settings!$B$8:$B$10),0)</f>
        <v>0</v>
      </c>
      <c r="V736" s="56" t="str">
        <f aca="false">IF(U736&gt;0,RANK(U736,$U$2:$U$1780)+COUNTIF($U$2:U736,U736)-1,"")</f>
        <v/>
      </c>
      <c r="W736" s="56" t="str">
        <f aca="false">IF(V736="","",IF(V736&lt;=Settings!$B$11,"1 - Fix first",IF(V736&lt;=Settings!$B$12,"2 - Review","3 - Monitor")))</f>
        <v/>
      </c>
      <c r="X736" s="56" t="str">
        <f aca="false">IF(AND(E736&gt;=Settings!$B$4,F736&gt;=Settings!$B$5,O736&gt;=Settings!$B$6),"HIGH RATE","")</f>
        <v/>
      </c>
      <c r="Y736" s="56" t="str">
        <f aca="false">IF(F736&gt;0,RANK(F736,$F$2:$F$1780)+COUNTIF($F$2:F736,F736)-1,"")</f>
        <v/>
      </c>
      <c r="Z736" s="56" t="str">
        <f aca="false">IF(H736&gt;0,RANK(H736,$H$2:$H$1780)+COUNTIF($H$2:H736,H736)-1,"")</f>
        <v/>
      </c>
      <c r="AA736" s="56" t="str">
        <f aca="false">IF(AC736="","",RANK(AC736,$AC$2:$AC$1780)+COUNTIF($AC$2:AC736,AC736)-1)</f>
        <v/>
      </c>
      <c r="AB736" s="56" t="str">
        <f aca="false">IF(AD736="","",RANK(AD736,$AD$2:$AD$1780)+COUNTIF($AD$2:AD736,AD736)-1)</f>
        <v/>
      </c>
      <c r="AC736" s="56" t="str">
        <f aca="false">IF(AND(F736&gt;0,E736&gt;=Settings!$B$4),J736,"")</f>
        <v/>
      </c>
      <c r="AD736" s="56" t="str">
        <f aca="false">IF(X736="HIGH RATE",O736,"")</f>
        <v/>
      </c>
    </row>
    <row r="737" customFormat="false" ht="15" hidden="false" customHeight="false" outlineLevel="0" collapsed="false">
      <c r="A737" s="56" t="s">
        <v>1980</v>
      </c>
      <c r="B737" s="56" t="s">
        <v>1978</v>
      </c>
      <c r="C737" s="56" t="s">
        <v>51</v>
      </c>
      <c r="D737" s="56" t="str">
        <f aca="false">IFERROR(INDEX('Brand Map'!$B$4:$B$124,MATCH(C737,'Brand Map'!$A$4:$A$124,0)),"Other")</f>
        <v>AU</v>
      </c>
      <c r="E737" s="57" t="n">
        <v>5</v>
      </c>
      <c r="F737" s="57" t="n">
        <v>0</v>
      </c>
      <c r="G737" s="58" t="n">
        <v>274.75</v>
      </c>
      <c r="H737" s="58" t="n">
        <v>0</v>
      </c>
      <c r="I737" s="58" t="n">
        <v>274.75</v>
      </c>
      <c r="J737" s="32" t="n">
        <f aca="false">IF(E737&gt;0,F737/E737,0)</f>
        <v>0</v>
      </c>
      <c r="K737" s="32" t="n">
        <f aca="false">IF(G737&gt;0,H737/G737,0)</f>
        <v>-0</v>
      </c>
      <c r="L737" s="59" t="n">
        <f aca="false">H737/Settings!$B$16</f>
        <v>-0</v>
      </c>
      <c r="M737" s="59" t="n">
        <f aca="false">H737/Settings!$B$20</f>
        <v>-0</v>
      </c>
      <c r="N737" s="60" t="n">
        <f aca="false">E737*Settings!$B$3</f>
        <v>0.154930755399102</v>
      </c>
      <c r="O737" s="60" t="n">
        <f aca="false">IF(E737&gt;0,(F737-N737)/SQRT(E737*Settings!$B$3*(1-Settings!$B$3)),0)</f>
        <v>-0.399856193402468</v>
      </c>
      <c r="P737" s="60" t="n">
        <f aca="false">MAX(0,F737-N737)</f>
        <v>0</v>
      </c>
      <c r="Q737" s="32" t="n">
        <f aca="false">(F737+Settings!$B$7*Settings!$B$3)/(E737+Settings!$B$7)</f>
        <v>0.0265595580684175</v>
      </c>
      <c r="R737" s="61" t="n">
        <f aca="false">PERCENTRANK($H$2:$H$1780,H737,6)</f>
        <v>0</v>
      </c>
      <c r="S737" s="61" t="n">
        <f aca="false">PERCENTRANK($Q$2:$Q$1780,Q737,6)</f>
        <v>0.220472</v>
      </c>
      <c r="T737" s="61" t="n">
        <f aca="false">PERCENTRANK($F$2:$F$1780,F737,6)</f>
        <v>0</v>
      </c>
      <c r="U737" s="62" t="n">
        <f aca="false">IF(F737&gt;0,(Settings!$B$8*T737+Settings!$B$9*R737+Settings!$B$10*S737)/SUM(Settings!$B$8:$B$10),0)</f>
        <v>0</v>
      </c>
      <c r="V737" s="56" t="str">
        <f aca="false">IF(U737&gt;0,RANK(U737,$U$2:$U$1780)+COUNTIF($U$2:U737,U737)-1,"")</f>
        <v/>
      </c>
      <c r="W737" s="56" t="str">
        <f aca="false">IF(V737="","",IF(V737&lt;=Settings!$B$11,"1 - Fix first",IF(V737&lt;=Settings!$B$12,"2 - Review","3 - Monitor")))</f>
        <v/>
      </c>
      <c r="X737" s="56" t="str">
        <f aca="false">IF(AND(E737&gt;=Settings!$B$4,F737&gt;=Settings!$B$5,O737&gt;=Settings!$B$6),"HIGH RATE","")</f>
        <v/>
      </c>
      <c r="Y737" s="56" t="str">
        <f aca="false">IF(F737&gt;0,RANK(F737,$F$2:$F$1780)+COUNTIF($F$2:F737,F737)-1,"")</f>
        <v/>
      </c>
      <c r="Z737" s="56" t="str">
        <f aca="false">IF(H737&gt;0,RANK(H737,$H$2:$H$1780)+COUNTIF($H$2:H737,H737)-1,"")</f>
        <v/>
      </c>
      <c r="AA737" s="56" t="str">
        <f aca="false">IF(AC737="","",RANK(AC737,$AC$2:$AC$1780)+COUNTIF($AC$2:AC737,AC737)-1)</f>
        <v/>
      </c>
      <c r="AB737" s="56" t="str">
        <f aca="false">IF(AD737="","",RANK(AD737,$AD$2:$AD$1780)+COUNTIF($AD$2:AD737,AD737)-1)</f>
        <v/>
      </c>
      <c r="AC737" s="56" t="str">
        <f aca="false">IF(AND(F737&gt;0,E737&gt;=Settings!$B$4),J737,"")</f>
        <v/>
      </c>
      <c r="AD737" s="56" t="str">
        <f aca="false">IF(X737="HIGH RATE",O737,"")</f>
        <v/>
      </c>
    </row>
    <row r="738" customFormat="false" ht="15" hidden="false" customHeight="false" outlineLevel="0" collapsed="false">
      <c r="A738" s="56" t="s">
        <v>1981</v>
      </c>
      <c r="B738" s="56" t="s">
        <v>1080</v>
      </c>
      <c r="C738" s="56" t="s">
        <v>51</v>
      </c>
      <c r="D738" s="56" t="str">
        <f aca="false">IFERROR(INDEX('Brand Map'!$B$4:$B$124,MATCH(C738,'Brand Map'!$A$4:$A$124,0)),"Other")</f>
        <v>AU</v>
      </c>
      <c r="E738" s="57" t="n">
        <v>3</v>
      </c>
      <c r="F738" s="57" t="n">
        <v>0</v>
      </c>
      <c r="G738" s="58" t="n">
        <v>611.24</v>
      </c>
      <c r="H738" s="58" t="n">
        <v>0</v>
      </c>
      <c r="I738" s="58" t="n">
        <v>611.24</v>
      </c>
      <c r="J738" s="32" t="n">
        <f aca="false">IF(E738&gt;0,F738/E738,0)</f>
        <v>0</v>
      </c>
      <c r="K738" s="32" t="n">
        <f aca="false">IF(G738&gt;0,H738/G738,0)</f>
        <v>-0</v>
      </c>
      <c r="L738" s="59" t="n">
        <f aca="false">H738/Settings!$B$16</f>
        <v>-0</v>
      </c>
      <c r="M738" s="59" t="n">
        <f aca="false">H738/Settings!$B$20</f>
        <v>-0</v>
      </c>
      <c r="N738" s="60" t="n">
        <f aca="false">E738*Settings!$B$3</f>
        <v>0.0929584532394613</v>
      </c>
      <c r="O738" s="60" t="n">
        <f aca="false">IF(E738&gt;0,(F738-N738)/SQRT(E738*Settings!$B$3*(1-Settings!$B$3)),0)</f>
        <v>-0.30972727558513</v>
      </c>
      <c r="P738" s="60" t="n">
        <f aca="false">MAX(0,F738-N738)</f>
        <v>0</v>
      </c>
      <c r="Q738" s="32" t="n">
        <f aca="false">(F738+Settings!$B$7*Settings!$B$3)/(E738+Settings!$B$7)</f>
        <v>0.0281692282543822</v>
      </c>
      <c r="R738" s="61" t="n">
        <f aca="false">PERCENTRANK($H$2:$H$1780,H738,6)</f>
        <v>0</v>
      </c>
      <c r="S738" s="61" t="n">
        <f aca="false">PERCENTRANK($Q$2:$Q$1780,Q738,6)</f>
        <v>0.294151</v>
      </c>
      <c r="T738" s="61" t="n">
        <f aca="false">PERCENTRANK($F$2:$F$1780,F738,6)</f>
        <v>0</v>
      </c>
      <c r="U738" s="62" t="n">
        <f aca="false">IF(F738&gt;0,(Settings!$B$8*T738+Settings!$B$9*R738+Settings!$B$10*S738)/SUM(Settings!$B$8:$B$10),0)</f>
        <v>0</v>
      </c>
      <c r="V738" s="56" t="str">
        <f aca="false">IF(U738&gt;0,RANK(U738,$U$2:$U$1780)+COUNTIF($U$2:U738,U738)-1,"")</f>
        <v/>
      </c>
      <c r="W738" s="56" t="str">
        <f aca="false">IF(V738="","",IF(V738&lt;=Settings!$B$11,"1 - Fix first",IF(V738&lt;=Settings!$B$12,"2 - Review","3 - Monitor")))</f>
        <v/>
      </c>
      <c r="X738" s="56" t="str">
        <f aca="false">IF(AND(E738&gt;=Settings!$B$4,F738&gt;=Settings!$B$5,O738&gt;=Settings!$B$6),"HIGH RATE","")</f>
        <v/>
      </c>
      <c r="Y738" s="56" t="str">
        <f aca="false">IF(F738&gt;0,RANK(F738,$F$2:$F$1780)+COUNTIF($F$2:F738,F738)-1,"")</f>
        <v/>
      </c>
      <c r="Z738" s="56" t="str">
        <f aca="false">IF(H738&gt;0,RANK(H738,$H$2:$H$1780)+COUNTIF($H$2:H738,H738)-1,"")</f>
        <v/>
      </c>
      <c r="AA738" s="56" t="str">
        <f aca="false">IF(AC738="","",RANK(AC738,$AC$2:$AC$1780)+COUNTIF($AC$2:AC738,AC738)-1)</f>
        <v/>
      </c>
      <c r="AB738" s="56" t="str">
        <f aca="false">IF(AD738="","",RANK(AD738,$AD$2:$AD$1780)+COUNTIF($AD$2:AD738,AD738)-1)</f>
        <v/>
      </c>
      <c r="AC738" s="56" t="str">
        <f aca="false">IF(AND(F738&gt;0,E738&gt;=Settings!$B$4),J738,"")</f>
        <v/>
      </c>
      <c r="AD738" s="56" t="str">
        <f aca="false">IF(X738="HIGH RATE",O738,"")</f>
        <v/>
      </c>
    </row>
    <row r="739" customFormat="false" ht="15" hidden="false" customHeight="false" outlineLevel="0" collapsed="false">
      <c r="A739" s="56" t="s">
        <v>1982</v>
      </c>
      <c r="B739" s="56" t="s">
        <v>1983</v>
      </c>
      <c r="C739" s="56" t="s">
        <v>51</v>
      </c>
      <c r="D739" s="56" t="str">
        <f aca="false">IFERROR(INDEX('Brand Map'!$B$4:$B$124,MATCH(C739,'Brand Map'!$A$4:$A$124,0)),"Other")</f>
        <v>AU</v>
      </c>
      <c r="E739" s="57" t="n">
        <v>1</v>
      </c>
      <c r="F739" s="57" t="n">
        <v>0</v>
      </c>
      <c r="G739" s="58" t="n">
        <v>99.95</v>
      </c>
      <c r="H739" s="58" t="n">
        <v>0</v>
      </c>
      <c r="I739" s="58" t="n">
        <v>99.95</v>
      </c>
      <c r="J739" s="32" t="n">
        <f aca="false">IF(E739&gt;0,F739/E739,0)</f>
        <v>0</v>
      </c>
      <c r="K739" s="32" t="n">
        <f aca="false">IF(G739&gt;0,H739/G739,0)</f>
        <v>-0</v>
      </c>
      <c r="L739" s="59" t="n">
        <f aca="false">H739/Settings!$B$16</f>
        <v>-0</v>
      </c>
      <c r="M739" s="59" t="n">
        <f aca="false">H739/Settings!$B$20</f>
        <v>-0</v>
      </c>
      <c r="N739" s="60" t="n">
        <f aca="false">E739*Settings!$B$3</f>
        <v>0.0309861510798204</v>
      </c>
      <c r="O739" s="60" t="n">
        <f aca="false">IF(E739&gt;0,(F739-N739)/SQRT(E739*Settings!$B$3*(1-Settings!$B$3)),0)</f>
        <v>-0.178821125934444</v>
      </c>
      <c r="P739" s="60" t="n">
        <f aca="false">MAX(0,F739-N739)</f>
        <v>0</v>
      </c>
      <c r="Q739" s="32" t="n">
        <f aca="false">(F739+Settings!$B$7*Settings!$B$3)/(E739+Settings!$B$7)</f>
        <v>0.0299865978191811</v>
      </c>
      <c r="R739" s="61" t="n">
        <f aca="false">PERCENTRANK($H$2:$H$1780,H739,6)</f>
        <v>0</v>
      </c>
      <c r="S739" s="61" t="n">
        <f aca="false">PERCENTRANK($Q$2:$Q$1780,Q739,6)</f>
        <v>0.486502</v>
      </c>
      <c r="T739" s="61" t="n">
        <f aca="false">PERCENTRANK($F$2:$F$1780,F739,6)</f>
        <v>0</v>
      </c>
      <c r="U739" s="62" t="n">
        <f aca="false">IF(F739&gt;0,(Settings!$B$8*T739+Settings!$B$9*R739+Settings!$B$10*S739)/SUM(Settings!$B$8:$B$10),0)</f>
        <v>0</v>
      </c>
      <c r="V739" s="56" t="str">
        <f aca="false">IF(U739&gt;0,RANK(U739,$U$2:$U$1780)+COUNTIF($U$2:U739,U739)-1,"")</f>
        <v/>
      </c>
      <c r="W739" s="56" t="str">
        <f aca="false">IF(V739="","",IF(V739&lt;=Settings!$B$11,"1 - Fix first",IF(V739&lt;=Settings!$B$12,"2 - Review","3 - Monitor")))</f>
        <v/>
      </c>
      <c r="X739" s="56" t="str">
        <f aca="false">IF(AND(E739&gt;=Settings!$B$4,F739&gt;=Settings!$B$5,O739&gt;=Settings!$B$6),"HIGH RATE","")</f>
        <v/>
      </c>
      <c r="Y739" s="56" t="str">
        <f aca="false">IF(F739&gt;0,RANK(F739,$F$2:$F$1780)+COUNTIF($F$2:F739,F739)-1,"")</f>
        <v/>
      </c>
      <c r="Z739" s="56" t="str">
        <f aca="false">IF(H739&gt;0,RANK(H739,$H$2:$H$1780)+COUNTIF($H$2:H739,H739)-1,"")</f>
        <v/>
      </c>
      <c r="AA739" s="56" t="str">
        <f aca="false">IF(AC739="","",RANK(AC739,$AC$2:$AC$1780)+COUNTIF($AC$2:AC739,AC739)-1)</f>
        <v/>
      </c>
      <c r="AB739" s="56" t="str">
        <f aca="false">IF(AD739="","",RANK(AD739,$AD$2:$AD$1780)+COUNTIF($AD$2:AD739,AD739)-1)</f>
        <v/>
      </c>
      <c r="AC739" s="56" t="str">
        <f aca="false">IF(AND(F739&gt;0,E739&gt;=Settings!$B$4),J739,"")</f>
        <v/>
      </c>
      <c r="AD739" s="56" t="str">
        <f aca="false">IF(X739="HIGH RATE",O739,"")</f>
        <v/>
      </c>
    </row>
    <row r="740" customFormat="false" ht="15" hidden="false" customHeight="false" outlineLevel="0" collapsed="false">
      <c r="A740" s="56" t="s">
        <v>1984</v>
      </c>
      <c r="B740" s="56" t="s">
        <v>1175</v>
      </c>
      <c r="C740" s="56" t="s">
        <v>51</v>
      </c>
      <c r="D740" s="56" t="str">
        <f aca="false">IFERROR(INDEX('Brand Map'!$B$4:$B$124,MATCH(C740,'Brand Map'!$A$4:$A$124,0)),"Other")</f>
        <v>AU</v>
      </c>
      <c r="E740" s="57" t="n">
        <v>2</v>
      </c>
      <c r="F740" s="57" t="n">
        <v>0</v>
      </c>
      <c r="G740" s="58" t="n">
        <v>289.9</v>
      </c>
      <c r="H740" s="58" t="n">
        <v>0</v>
      </c>
      <c r="I740" s="58" t="n">
        <v>289.9</v>
      </c>
      <c r="J740" s="32" t="n">
        <f aca="false">IF(E740&gt;0,F740/E740,0)</f>
        <v>0</v>
      </c>
      <c r="K740" s="32" t="n">
        <f aca="false">IF(G740&gt;0,H740/G740,0)</f>
        <v>-0</v>
      </c>
      <c r="L740" s="59" t="n">
        <f aca="false">H740/Settings!$B$16</f>
        <v>-0</v>
      </c>
      <c r="M740" s="59" t="n">
        <f aca="false">H740/Settings!$B$20</f>
        <v>-0</v>
      </c>
      <c r="N740" s="60" t="n">
        <f aca="false">E740*Settings!$B$3</f>
        <v>0.0619723021596408</v>
      </c>
      <c r="O740" s="60" t="n">
        <f aca="false">IF(E740&gt;0,(F740-N740)/SQRT(E740*Settings!$B$3*(1-Settings!$B$3)),0)</f>
        <v>-0.252891261535318</v>
      </c>
      <c r="P740" s="60" t="n">
        <f aca="false">MAX(0,F740-N740)</f>
        <v>0</v>
      </c>
      <c r="Q740" s="32" t="n">
        <f aca="false">(F740+Settings!$B$7*Settings!$B$3)/(E740+Settings!$B$7)</f>
        <v>0.0290495166373316</v>
      </c>
      <c r="R740" s="61" t="n">
        <f aca="false">PERCENTRANK($H$2:$H$1780,H740,6)</f>
        <v>0</v>
      </c>
      <c r="S740" s="61" t="n">
        <f aca="false">PERCENTRANK($Q$2:$Q$1780,Q740,6)</f>
        <v>0.365579</v>
      </c>
      <c r="T740" s="61" t="n">
        <f aca="false">PERCENTRANK($F$2:$F$1780,F740,6)</f>
        <v>0</v>
      </c>
      <c r="U740" s="62" t="n">
        <f aca="false">IF(F740&gt;0,(Settings!$B$8*T740+Settings!$B$9*R740+Settings!$B$10*S740)/SUM(Settings!$B$8:$B$10),0)</f>
        <v>0</v>
      </c>
      <c r="V740" s="56" t="str">
        <f aca="false">IF(U740&gt;0,RANK(U740,$U$2:$U$1780)+COUNTIF($U$2:U740,U740)-1,"")</f>
        <v/>
      </c>
      <c r="W740" s="56" t="str">
        <f aca="false">IF(V740="","",IF(V740&lt;=Settings!$B$11,"1 - Fix first",IF(V740&lt;=Settings!$B$12,"2 - Review","3 - Monitor")))</f>
        <v/>
      </c>
      <c r="X740" s="56" t="str">
        <f aca="false">IF(AND(E740&gt;=Settings!$B$4,F740&gt;=Settings!$B$5,O740&gt;=Settings!$B$6),"HIGH RATE","")</f>
        <v/>
      </c>
      <c r="Y740" s="56" t="str">
        <f aca="false">IF(F740&gt;0,RANK(F740,$F$2:$F$1780)+COUNTIF($F$2:F740,F740)-1,"")</f>
        <v/>
      </c>
      <c r="Z740" s="56" t="str">
        <f aca="false">IF(H740&gt;0,RANK(H740,$H$2:$H$1780)+COUNTIF($H$2:H740,H740)-1,"")</f>
        <v/>
      </c>
      <c r="AA740" s="56" t="str">
        <f aca="false">IF(AC740="","",RANK(AC740,$AC$2:$AC$1780)+COUNTIF($AC$2:AC740,AC740)-1)</f>
        <v/>
      </c>
      <c r="AB740" s="56" t="str">
        <f aca="false">IF(AD740="","",RANK(AD740,$AD$2:$AD$1780)+COUNTIF($AD$2:AD740,AD740)-1)</f>
        <v/>
      </c>
      <c r="AC740" s="56" t="str">
        <f aca="false">IF(AND(F740&gt;0,E740&gt;=Settings!$B$4),J740,"")</f>
        <v/>
      </c>
      <c r="AD740" s="56" t="str">
        <f aca="false">IF(X740="HIGH RATE",O740,"")</f>
        <v/>
      </c>
    </row>
    <row r="741" customFormat="false" ht="15" hidden="false" customHeight="false" outlineLevel="0" collapsed="false">
      <c r="A741" s="56" t="s">
        <v>1985</v>
      </c>
      <c r="B741" s="56" t="s">
        <v>1986</v>
      </c>
      <c r="C741" s="56" t="s">
        <v>51</v>
      </c>
      <c r="D741" s="56" t="str">
        <f aca="false">IFERROR(INDEX('Brand Map'!$B$4:$B$124,MATCH(C741,'Brand Map'!$A$4:$A$124,0)),"Other")</f>
        <v>AU</v>
      </c>
      <c r="E741" s="57" t="n">
        <v>1</v>
      </c>
      <c r="F741" s="57" t="n">
        <v>0</v>
      </c>
      <c r="G741" s="58" t="n">
        <v>94.95</v>
      </c>
      <c r="H741" s="58" t="n">
        <v>0</v>
      </c>
      <c r="I741" s="58" t="n">
        <v>94.95</v>
      </c>
      <c r="J741" s="32" t="n">
        <f aca="false">IF(E741&gt;0,F741/E741,0)</f>
        <v>0</v>
      </c>
      <c r="K741" s="32" t="n">
        <f aca="false">IF(G741&gt;0,H741/G741,0)</f>
        <v>-0</v>
      </c>
      <c r="L741" s="59" t="n">
        <f aca="false">H741/Settings!$B$16</f>
        <v>-0</v>
      </c>
      <c r="M741" s="59" t="n">
        <f aca="false">H741/Settings!$B$20</f>
        <v>-0</v>
      </c>
      <c r="N741" s="60" t="n">
        <f aca="false">E741*Settings!$B$3</f>
        <v>0.0309861510798204</v>
      </c>
      <c r="O741" s="60" t="n">
        <f aca="false">IF(E741&gt;0,(F741-N741)/SQRT(E741*Settings!$B$3*(1-Settings!$B$3)),0)</f>
        <v>-0.178821125934444</v>
      </c>
      <c r="P741" s="60" t="n">
        <f aca="false">MAX(0,F741-N741)</f>
        <v>0</v>
      </c>
      <c r="Q741" s="32" t="n">
        <f aca="false">(F741+Settings!$B$7*Settings!$B$3)/(E741+Settings!$B$7)</f>
        <v>0.0299865978191811</v>
      </c>
      <c r="R741" s="61" t="n">
        <f aca="false">PERCENTRANK($H$2:$H$1780,H741,6)</f>
        <v>0</v>
      </c>
      <c r="S741" s="61" t="n">
        <f aca="false">PERCENTRANK($Q$2:$Q$1780,Q741,6)</f>
        <v>0.486502</v>
      </c>
      <c r="T741" s="61" t="n">
        <f aca="false">PERCENTRANK($F$2:$F$1780,F741,6)</f>
        <v>0</v>
      </c>
      <c r="U741" s="62" t="n">
        <f aca="false">IF(F741&gt;0,(Settings!$B$8*T741+Settings!$B$9*R741+Settings!$B$10*S741)/SUM(Settings!$B$8:$B$10),0)</f>
        <v>0</v>
      </c>
      <c r="V741" s="56" t="str">
        <f aca="false">IF(U741&gt;0,RANK(U741,$U$2:$U$1780)+COUNTIF($U$2:U741,U741)-1,"")</f>
        <v/>
      </c>
      <c r="W741" s="56" t="str">
        <f aca="false">IF(V741="","",IF(V741&lt;=Settings!$B$11,"1 - Fix first",IF(V741&lt;=Settings!$B$12,"2 - Review","3 - Monitor")))</f>
        <v/>
      </c>
      <c r="X741" s="56" t="str">
        <f aca="false">IF(AND(E741&gt;=Settings!$B$4,F741&gt;=Settings!$B$5,O741&gt;=Settings!$B$6),"HIGH RATE","")</f>
        <v/>
      </c>
      <c r="Y741" s="56" t="str">
        <f aca="false">IF(F741&gt;0,RANK(F741,$F$2:$F$1780)+COUNTIF($F$2:F741,F741)-1,"")</f>
        <v/>
      </c>
      <c r="Z741" s="56" t="str">
        <f aca="false">IF(H741&gt;0,RANK(H741,$H$2:$H$1780)+COUNTIF($H$2:H741,H741)-1,"")</f>
        <v/>
      </c>
      <c r="AA741" s="56" t="str">
        <f aca="false">IF(AC741="","",RANK(AC741,$AC$2:$AC$1780)+COUNTIF($AC$2:AC741,AC741)-1)</f>
        <v/>
      </c>
      <c r="AB741" s="56" t="str">
        <f aca="false">IF(AD741="","",RANK(AD741,$AD$2:$AD$1780)+COUNTIF($AD$2:AD741,AD741)-1)</f>
        <v/>
      </c>
      <c r="AC741" s="56" t="str">
        <f aca="false">IF(AND(F741&gt;0,E741&gt;=Settings!$B$4),J741,"")</f>
        <v/>
      </c>
      <c r="AD741" s="56" t="str">
        <f aca="false">IF(X741="HIGH RATE",O741,"")</f>
        <v/>
      </c>
    </row>
    <row r="742" customFormat="false" ht="15" hidden="false" customHeight="false" outlineLevel="0" collapsed="false">
      <c r="A742" s="56" t="s">
        <v>1987</v>
      </c>
      <c r="B742" s="56" t="s">
        <v>1310</v>
      </c>
      <c r="C742" s="56" t="s">
        <v>51</v>
      </c>
      <c r="D742" s="56" t="str">
        <f aca="false">IFERROR(INDEX('Brand Map'!$B$4:$B$124,MATCH(C742,'Brand Map'!$A$4:$A$124,0)),"Other")</f>
        <v>AU</v>
      </c>
      <c r="E742" s="57" t="n">
        <v>45</v>
      </c>
      <c r="F742" s="57" t="n">
        <v>0</v>
      </c>
      <c r="G742" s="58" t="n">
        <v>4775.52</v>
      </c>
      <c r="H742" s="58" t="n">
        <v>0</v>
      </c>
      <c r="I742" s="58" t="n">
        <v>4630.76</v>
      </c>
      <c r="J742" s="32" t="n">
        <f aca="false">IF(E742&gt;0,F742/E742,0)</f>
        <v>0</v>
      </c>
      <c r="K742" s="32" t="n">
        <f aca="false">IF(G742&gt;0,H742/G742,0)</f>
        <v>-0</v>
      </c>
      <c r="L742" s="59" t="n">
        <f aca="false">H742/Settings!$B$16</f>
        <v>-0</v>
      </c>
      <c r="M742" s="59" t="n">
        <f aca="false">H742/Settings!$B$20</f>
        <v>-0</v>
      </c>
      <c r="N742" s="60" t="n">
        <f aca="false">E742*Settings!$B$3</f>
        <v>1.39437679859192</v>
      </c>
      <c r="O742" s="60" t="n">
        <f aca="false">IF(E742&gt;0,(F742-N742)/SQRT(E742*Settings!$B$3*(1-Settings!$B$3)),0)</f>
        <v>-1.1995685802074</v>
      </c>
      <c r="P742" s="60" t="n">
        <f aca="false">MAX(0,F742-N742)</f>
        <v>0</v>
      </c>
      <c r="Q742" s="32" t="n">
        <f aca="false">(F742+Settings!$B$7*Settings!$B$3)/(E742+Settings!$B$7)</f>
        <v>0.0123944604319282</v>
      </c>
      <c r="R742" s="61" t="n">
        <f aca="false">PERCENTRANK($H$2:$H$1780,H742,6)</f>
        <v>0</v>
      </c>
      <c r="S742" s="61" t="n">
        <f aca="false">PERCENTRANK($Q$2:$Q$1780,Q742,6)</f>
        <v>0.023622</v>
      </c>
      <c r="T742" s="61" t="n">
        <f aca="false">PERCENTRANK($F$2:$F$1780,F742,6)</f>
        <v>0</v>
      </c>
      <c r="U742" s="62" t="n">
        <f aca="false">IF(F742&gt;0,(Settings!$B$8*T742+Settings!$B$9*R742+Settings!$B$10*S742)/SUM(Settings!$B$8:$B$10),0)</f>
        <v>0</v>
      </c>
      <c r="V742" s="56" t="str">
        <f aca="false">IF(U742&gt;0,RANK(U742,$U$2:$U$1780)+COUNTIF($U$2:U742,U742)-1,"")</f>
        <v/>
      </c>
      <c r="W742" s="56" t="str">
        <f aca="false">IF(V742="","",IF(V742&lt;=Settings!$B$11,"1 - Fix first",IF(V742&lt;=Settings!$B$12,"2 - Review","3 - Monitor")))</f>
        <v/>
      </c>
      <c r="X742" s="56" t="str">
        <f aca="false">IF(AND(E742&gt;=Settings!$B$4,F742&gt;=Settings!$B$5,O742&gt;=Settings!$B$6),"HIGH RATE","")</f>
        <v/>
      </c>
      <c r="Y742" s="56" t="str">
        <f aca="false">IF(F742&gt;0,RANK(F742,$F$2:$F$1780)+COUNTIF($F$2:F742,F742)-1,"")</f>
        <v/>
      </c>
      <c r="Z742" s="56" t="str">
        <f aca="false">IF(H742&gt;0,RANK(H742,$H$2:$H$1780)+COUNTIF($H$2:H742,H742)-1,"")</f>
        <v/>
      </c>
      <c r="AA742" s="56" t="str">
        <f aca="false">IF(AC742="","",RANK(AC742,$AC$2:$AC$1780)+COUNTIF($AC$2:AC742,AC742)-1)</f>
        <v/>
      </c>
      <c r="AB742" s="56" t="str">
        <f aca="false">IF(AD742="","",RANK(AD742,$AD$2:$AD$1780)+COUNTIF($AD$2:AD742,AD742)-1)</f>
        <v/>
      </c>
      <c r="AC742" s="56" t="str">
        <f aca="false">IF(AND(F742&gt;0,E742&gt;=Settings!$B$4),J742,"")</f>
        <v/>
      </c>
      <c r="AD742" s="56" t="str">
        <f aca="false">IF(X742="HIGH RATE",O742,"")</f>
        <v/>
      </c>
    </row>
    <row r="743" customFormat="false" ht="15" hidden="false" customHeight="false" outlineLevel="0" collapsed="false">
      <c r="A743" s="56" t="s">
        <v>1988</v>
      </c>
      <c r="B743" s="56" t="s">
        <v>1574</v>
      </c>
      <c r="C743" s="56" t="s">
        <v>51</v>
      </c>
      <c r="D743" s="56" t="str">
        <f aca="false">IFERROR(INDEX('Brand Map'!$B$4:$B$124,MATCH(C743,'Brand Map'!$A$4:$A$124,0)),"Other")</f>
        <v>AU</v>
      </c>
      <c r="E743" s="57" t="n">
        <v>1</v>
      </c>
      <c r="F743" s="57" t="n">
        <v>0</v>
      </c>
      <c r="G743" s="58" t="n">
        <v>132.95</v>
      </c>
      <c r="H743" s="58" t="n">
        <v>0</v>
      </c>
      <c r="I743" s="58" t="n">
        <v>132.95</v>
      </c>
      <c r="J743" s="32" t="n">
        <f aca="false">IF(E743&gt;0,F743/E743,0)</f>
        <v>0</v>
      </c>
      <c r="K743" s="32" t="n">
        <f aca="false">IF(G743&gt;0,H743/G743,0)</f>
        <v>-0</v>
      </c>
      <c r="L743" s="59" t="n">
        <f aca="false">H743/Settings!$B$16</f>
        <v>-0</v>
      </c>
      <c r="M743" s="59" t="n">
        <f aca="false">H743/Settings!$B$20</f>
        <v>-0</v>
      </c>
      <c r="N743" s="60" t="n">
        <f aca="false">E743*Settings!$B$3</f>
        <v>0.0309861510798204</v>
      </c>
      <c r="O743" s="60" t="n">
        <f aca="false">IF(E743&gt;0,(F743-N743)/SQRT(E743*Settings!$B$3*(1-Settings!$B$3)),0)</f>
        <v>-0.178821125934444</v>
      </c>
      <c r="P743" s="60" t="n">
        <f aca="false">MAX(0,F743-N743)</f>
        <v>0</v>
      </c>
      <c r="Q743" s="32" t="n">
        <f aca="false">(F743+Settings!$B$7*Settings!$B$3)/(E743+Settings!$B$7)</f>
        <v>0.0299865978191811</v>
      </c>
      <c r="R743" s="61" t="n">
        <f aca="false">PERCENTRANK($H$2:$H$1780,H743,6)</f>
        <v>0</v>
      </c>
      <c r="S743" s="61" t="n">
        <f aca="false">PERCENTRANK($Q$2:$Q$1780,Q743,6)</f>
        <v>0.486502</v>
      </c>
      <c r="T743" s="61" t="n">
        <f aca="false">PERCENTRANK($F$2:$F$1780,F743,6)</f>
        <v>0</v>
      </c>
      <c r="U743" s="62" t="n">
        <f aca="false">IF(F743&gt;0,(Settings!$B$8*T743+Settings!$B$9*R743+Settings!$B$10*S743)/SUM(Settings!$B$8:$B$10),0)</f>
        <v>0</v>
      </c>
      <c r="V743" s="56" t="str">
        <f aca="false">IF(U743&gt;0,RANK(U743,$U$2:$U$1780)+COUNTIF($U$2:U743,U743)-1,"")</f>
        <v/>
      </c>
      <c r="W743" s="56" t="str">
        <f aca="false">IF(V743="","",IF(V743&lt;=Settings!$B$11,"1 - Fix first",IF(V743&lt;=Settings!$B$12,"2 - Review","3 - Monitor")))</f>
        <v/>
      </c>
      <c r="X743" s="56" t="str">
        <f aca="false">IF(AND(E743&gt;=Settings!$B$4,F743&gt;=Settings!$B$5,O743&gt;=Settings!$B$6),"HIGH RATE","")</f>
        <v/>
      </c>
      <c r="Y743" s="56" t="str">
        <f aca="false">IF(F743&gt;0,RANK(F743,$F$2:$F$1780)+COUNTIF($F$2:F743,F743)-1,"")</f>
        <v/>
      </c>
      <c r="Z743" s="56" t="str">
        <f aca="false">IF(H743&gt;0,RANK(H743,$H$2:$H$1780)+COUNTIF($H$2:H743,H743)-1,"")</f>
        <v/>
      </c>
      <c r="AA743" s="56" t="str">
        <f aca="false">IF(AC743="","",RANK(AC743,$AC$2:$AC$1780)+COUNTIF($AC$2:AC743,AC743)-1)</f>
        <v/>
      </c>
      <c r="AB743" s="56" t="str">
        <f aca="false">IF(AD743="","",RANK(AD743,$AD$2:$AD$1780)+COUNTIF($AD$2:AD743,AD743)-1)</f>
        <v/>
      </c>
      <c r="AC743" s="56" t="str">
        <f aca="false">IF(AND(F743&gt;0,E743&gt;=Settings!$B$4),J743,"")</f>
        <v/>
      </c>
      <c r="AD743" s="56" t="str">
        <f aca="false">IF(X743="HIGH RATE",O743,"")</f>
        <v/>
      </c>
    </row>
    <row r="744" customFormat="false" ht="15" hidden="false" customHeight="false" outlineLevel="0" collapsed="false">
      <c r="A744" s="56" t="s">
        <v>1989</v>
      </c>
      <c r="B744" s="56" t="s">
        <v>1284</v>
      </c>
      <c r="C744" s="56" t="s">
        <v>51</v>
      </c>
      <c r="D744" s="56" t="str">
        <f aca="false">IFERROR(INDEX('Brand Map'!$B$4:$B$124,MATCH(C744,'Brand Map'!$A$4:$A$124,0)),"Other")</f>
        <v>AU</v>
      </c>
      <c r="E744" s="57" t="n">
        <v>1</v>
      </c>
      <c r="F744" s="57" t="n">
        <v>0</v>
      </c>
      <c r="G744" s="58" t="n">
        <v>119.95</v>
      </c>
      <c r="H744" s="58" t="n">
        <v>0</v>
      </c>
      <c r="I744" s="58" t="n">
        <v>119.95</v>
      </c>
      <c r="J744" s="32" t="n">
        <f aca="false">IF(E744&gt;0,F744/E744,0)</f>
        <v>0</v>
      </c>
      <c r="K744" s="32" t="n">
        <f aca="false">IF(G744&gt;0,H744/G744,0)</f>
        <v>-0</v>
      </c>
      <c r="L744" s="59" t="n">
        <f aca="false">H744/Settings!$B$16</f>
        <v>-0</v>
      </c>
      <c r="M744" s="59" t="n">
        <f aca="false">H744/Settings!$B$20</f>
        <v>-0</v>
      </c>
      <c r="N744" s="60" t="n">
        <f aca="false">E744*Settings!$B$3</f>
        <v>0.0309861510798204</v>
      </c>
      <c r="O744" s="60" t="n">
        <f aca="false">IF(E744&gt;0,(F744-N744)/SQRT(E744*Settings!$B$3*(1-Settings!$B$3)),0)</f>
        <v>-0.178821125934444</v>
      </c>
      <c r="P744" s="60" t="n">
        <f aca="false">MAX(0,F744-N744)</f>
        <v>0</v>
      </c>
      <c r="Q744" s="32" t="n">
        <f aca="false">(F744+Settings!$B$7*Settings!$B$3)/(E744+Settings!$B$7)</f>
        <v>0.0299865978191811</v>
      </c>
      <c r="R744" s="61" t="n">
        <f aca="false">PERCENTRANK($H$2:$H$1780,H744,6)</f>
        <v>0</v>
      </c>
      <c r="S744" s="61" t="n">
        <f aca="false">PERCENTRANK($Q$2:$Q$1780,Q744,6)</f>
        <v>0.486502</v>
      </c>
      <c r="T744" s="61" t="n">
        <f aca="false">PERCENTRANK($F$2:$F$1780,F744,6)</f>
        <v>0</v>
      </c>
      <c r="U744" s="62" t="n">
        <f aca="false">IF(F744&gt;0,(Settings!$B$8*T744+Settings!$B$9*R744+Settings!$B$10*S744)/SUM(Settings!$B$8:$B$10),0)</f>
        <v>0</v>
      </c>
      <c r="V744" s="56" t="str">
        <f aca="false">IF(U744&gt;0,RANK(U744,$U$2:$U$1780)+COUNTIF($U$2:U744,U744)-1,"")</f>
        <v/>
      </c>
      <c r="W744" s="56" t="str">
        <f aca="false">IF(V744="","",IF(V744&lt;=Settings!$B$11,"1 - Fix first",IF(V744&lt;=Settings!$B$12,"2 - Review","3 - Monitor")))</f>
        <v/>
      </c>
      <c r="X744" s="56" t="str">
        <f aca="false">IF(AND(E744&gt;=Settings!$B$4,F744&gt;=Settings!$B$5,O744&gt;=Settings!$B$6),"HIGH RATE","")</f>
        <v/>
      </c>
      <c r="Y744" s="56" t="str">
        <f aca="false">IF(F744&gt;0,RANK(F744,$F$2:$F$1780)+COUNTIF($F$2:F744,F744)-1,"")</f>
        <v/>
      </c>
      <c r="Z744" s="56" t="str">
        <f aca="false">IF(H744&gt;0,RANK(H744,$H$2:$H$1780)+COUNTIF($H$2:H744,H744)-1,"")</f>
        <v/>
      </c>
      <c r="AA744" s="56" t="str">
        <f aca="false">IF(AC744="","",RANK(AC744,$AC$2:$AC$1780)+COUNTIF($AC$2:AC744,AC744)-1)</f>
        <v/>
      </c>
      <c r="AB744" s="56" t="str">
        <f aca="false">IF(AD744="","",RANK(AD744,$AD$2:$AD$1780)+COUNTIF($AD$2:AD744,AD744)-1)</f>
        <v/>
      </c>
      <c r="AC744" s="56" t="str">
        <f aca="false">IF(AND(F744&gt;0,E744&gt;=Settings!$B$4),J744,"")</f>
        <v/>
      </c>
      <c r="AD744" s="56" t="str">
        <f aca="false">IF(X744="HIGH RATE",O744,"")</f>
        <v/>
      </c>
    </row>
    <row r="745" customFormat="false" ht="15" hidden="false" customHeight="false" outlineLevel="0" collapsed="false">
      <c r="A745" s="56" t="s">
        <v>1990</v>
      </c>
      <c r="B745" s="56" t="s">
        <v>1991</v>
      </c>
      <c r="C745" s="56" t="s">
        <v>51</v>
      </c>
      <c r="D745" s="56" t="str">
        <f aca="false">IFERROR(INDEX('Brand Map'!$B$4:$B$124,MATCH(C745,'Brand Map'!$A$4:$A$124,0)),"Other")</f>
        <v>AU</v>
      </c>
      <c r="E745" s="57" t="n">
        <v>1</v>
      </c>
      <c r="F745" s="57" t="n">
        <v>0</v>
      </c>
      <c r="G745" s="58" t="n">
        <v>104.95</v>
      </c>
      <c r="H745" s="58" t="n">
        <v>0</v>
      </c>
      <c r="I745" s="58" t="n">
        <v>104.95</v>
      </c>
      <c r="J745" s="32" t="n">
        <f aca="false">IF(E745&gt;0,F745/E745,0)</f>
        <v>0</v>
      </c>
      <c r="K745" s="32" t="n">
        <f aca="false">IF(G745&gt;0,H745/G745,0)</f>
        <v>-0</v>
      </c>
      <c r="L745" s="59" t="n">
        <f aca="false">H745/Settings!$B$16</f>
        <v>-0</v>
      </c>
      <c r="M745" s="59" t="n">
        <f aca="false">H745/Settings!$B$20</f>
        <v>-0</v>
      </c>
      <c r="N745" s="60" t="n">
        <f aca="false">E745*Settings!$B$3</f>
        <v>0.0309861510798204</v>
      </c>
      <c r="O745" s="60" t="n">
        <f aca="false">IF(E745&gt;0,(F745-N745)/SQRT(E745*Settings!$B$3*(1-Settings!$B$3)),0)</f>
        <v>-0.178821125934444</v>
      </c>
      <c r="P745" s="60" t="n">
        <f aca="false">MAX(0,F745-N745)</f>
        <v>0</v>
      </c>
      <c r="Q745" s="32" t="n">
        <f aca="false">(F745+Settings!$B$7*Settings!$B$3)/(E745+Settings!$B$7)</f>
        <v>0.0299865978191811</v>
      </c>
      <c r="R745" s="61" t="n">
        <f aca="false">PERCENTRANK($H$2:$H$1780,H745,6)</f>
        <v>0</v>
      </c>
      <c r="S745" s="61" t="n">
        <f aca="false">PERCENTRANK($Q$2:$Q$1780,Q745,6)</f>
        <v>0.486502</v>
      </c>
      <c r="T745" s="61" t="n">
        <f aca="false">PERCENTRANK($F$2:$F$1780,F745,6)</f>
        <v>0</v>
      </c>
      <c r="U745" s="62" t="n">
        <f aca="false">IF(F745&gt;0,(Settings!$B$8*T745+Settings!$B$9*R745+Settings!$B$10*S745)/SUM(Settings!$B$8:$B$10),0)</f>
        <v>0</v>
      </c>
      <c r="V745" s="56" t="str">
        <f aca="false">IF(U745&gt;0,RANK(U745,$U$2:$U$1780)+COUNTIF($U$2:U745,U745)-1,"")</f>
        <v/>
      </c>
      <c r="W745" s="56" t="str">
        <f aca="false">IF(V745="","",IF(V745&lt;=Settings!$B$11,"1 - Fix first",IF(V745&lt;=Settings!$B$12,"2 - Review","3 - Monitor")))</f>
        <v/>
      </c>
      <c r="X745" s="56" t="str">
        <f aca="false">IF(AND(E745&gt;=Settings!$B$4,F745&gt;=Settings!$B$5,O745&gt;=Settings!$B$6),"HIGH RATE","")</f>
        <v/>
      </c>
      <c r="Y745" s="56" t="str">
        <f aca="false">IF(F745&gt;0,RANK(F745,$F$2:$F$1780)+COUNTIF($F$2:F745,F745)-1,"")</f>
        <v/>
      </c>
      <c r="Z745" s="56" t="str">
        <f aca="false">IF(H745&gt;0,RANK(H745,$H$2:$H$1780)+COUNTIF($H$2:H745,H745)-1,"")</f>
        <v/>
      </c>
      <c r="AA745" s="56" t="str">
        <f aca="false">IF(AC745="","",RANK(AC745,$AC$2:$AC$1780)+COUNTIF($AC$2:AC745,AC745)-1)</f>
        <v/>
      </c>
      <c r="AB745" s="56" t="str">
        <f aca="false">IF(AD745="","",RANK(AD745,$AD$2:$AD$1780)+COUNTIF($AD$2:AD745,AD745)-1)</f>
        <v/>
      </c>
      <c r="AC745" s="56" t="str">
        <f aca="false">IF(AND(F745&gt;0,E745&gt;=Settings!$B$4),J745,"")</f>
        <v/>
      </c>
      <c r="AD745" s="56" t="str">
        <f aca="false">IF(X745="HIGH RATE",O745,"")</f>
        <v/>
      </c>
    </row>
    <row r="746" customFormat="false" ht="15" hidden="false" customHeight="false" outlineLevel="0" collapsed="false">
      <c r="A746" s="56" t="s">
        <v>1992</v>
      </c>
      <c r="B746" s="56" t="s">
        <v>1991</v>
      </c>
      <c r="C746" s="56" t="s">
        <v>51</v>
      </c>
      <c r="D746" s="56" t="str">
        <f aca="false">IFERROR(INDEX('Brand Map'!$B$4:$B$124,MATCH(C746,'Brand Map'!$A$4:$A$124,0)),"Other")</f>
        <v>AU</v>
      </c>
      <c r="E746" s="57" t="n">
        <v>2</v>
      </c>
      <c r="F746" s="57" t="n">
        <v>0</v>
      </c>
      <c r="G746" s="58" t="n">
        <v>179.9</v>
      </c>
      <c r="H746" s="58" t="n">
        <v>0</v>
      </c>
      <c r="I746" s="58" t="n">
        <v>179.9</v>
      </c>
      <c r="J746" s="32" t="n">
        <f aca="false">IF(E746&gt;0,F746/E746,0)</f>
        <v>0</v>
      </c>
      <c r="K746" s="32" t="n">
        <f aca="false">IF(G746&gt;0,H746/G746,0)</f>
        <v>-0</v>
      </c>
      <c r="L746" s="59" t="n">
        <f aca="false">H746/Settings!$B$16</f>
        <v>-0</v>
      </c>
      <c r="M746" s="59" t="n">
        <f aca="false">H746/Settings!$B$20</f>
        <v>-0</v>
      </c>
      <c r="N746" s="60" t="n">
        <f aca="false">E746*Settings!$B$3</f>
        <v>0.0619723021596408</v>
      </c>
      <c r="O746" s="60" t="n">
        <f aca="false">IF(E746&gt;0,(F746-N746)/SQRT(E746*Settings!$B$3*(1-Settings!$B$3)),0)</f>
        <v>-0.252891261535318</v>
      </c>
      <c r="P746" s="60" t="n">
        <f aca="false">MAX(0,F746-N746)</f>
        <v>0</v>
      </c>
      <c r="Q746" s="32" t="n">
        <f aca="false">(F746+Settings!$B$7*Settings!$B$3)/(E746+Settings!$B$7)</f>
        <v>0.0290495166373316</v>
      </c>
      <c r="R746" s="61" t="n">
        <f aca="false">PERCENTRANK($H$2:$H$1780,H746,6)</f>
        <v>0</v>
      </c>
      <c r="S746" s="61" t="n">
        <f aca="false">PERCENTRANK($Q$2:$Q$1780,Q746,6)</f>
        <v>0.365579</v>
      </c>
      <c r="T746" s="61" t="n">
        <f aca="false">PERCENTRANK($F$2:$F$1780,F746,6)</f>
        <v>0</v>
      </c>
      <c r="U746" s="62" t="n">
        <f aca="false">IF(F746&gt;0,(Settings!$B$8*T746+Settings!$B$9*R746+Settings!$B$10*S746)/SUM(Settings!$B$8:$B$10),0)</f>
        <v>0</v>
      </c>
      <c r="V746" s="56" t="str">
        <f aca="false">IF(U746&gt;0,RANK(U746,$U$2:$U$1780)+COUNTIF($U$2:U746,U746)-1,"")</f>
        <v/>
      </c>
      <c r="W746" s="56" t="str">
        <f aca="false">IF(V746="","",IF(V746&lt;=Settings!$B$11,"1 - Fix first",IF(V746&lt;=Settings!$B$12,"2 - Review","3 - Monitor")))</f>
        <v/>
      </c>
      <c r="X746" s="56" t="str">
        <f aca="false">IF(AND(E746&gt;=Settings!$B$4,F746&gt;=Settings!$B$5,O746&gt;=Settings!$B$6),"HIGH RATE","")</f>
        <v/>
      </c>
      <c r="Y746" s="56" t="str">
        <f aca="false">IF(F746&gt;0,RANK(F746,$F$2:$F$1780)+COUNTIF($F$2:F746,F746)-1,"")</f>
        <v/>
      </c>
      <c r="Z746" s="56" t="str">
        <f aca="false">IF(H746&gt;0,RANK(H746,$H$2:$H$1780)+COUNTIF($H$2:H746,H746)-1,"")</f>
        <v/>
      </c>
      <c r="AA746" s="56" t="str">
        <f aca="false">IF(AC746="","",RANK(AC746,$AC$2:$AC$1780)+COUNTIF($AC$2:AC746,AC746)-1)</f>
        <v/>
      </c>
      <c r="AB746" s="56" t="str">
        <f aca="false">IF(AD746="","",RANK(AD746,$AD$2:$AD$1780)+COUNTIF($AD$2:AD746,AD746)-1)</f>
        <v/>
      </c>
      <c r="AC746" s="56" t="str">
        <f aca="false">IF(AND(F746&gt;0,E746&gt;=Settings!$B$4),J746,"")</f>
        <v/>
      </c>
      <c r="AD746" s="56" t="str">
        <f aca="false">IF(X746="HIGH RATE",O746,"")</f>
        <v/>
      </c>
    </row>
    <row r="747" customFormat="false" ht="15" hidden="false" customHeight="false" outlineLevel="0" collapsed="false">
      <c r="A747" s="56" t="s">
        <v>1993</v>
      </c>
      <c r="B747" s="56" t="s">
        <v>1994</v>
      </c>
      <c r="C747" s="56" t="s">
        <v>51</v>
      </c>
      <c r="D747" s="56" t="str">
        <f aca="false">IFERROR(INDEX('Brand Map'!$B$4:$B$124,MATCH(C747,'Brand Map'!$A$4:$A$124,0)),"Other")</f>
        <v>AU</v>
      </c>
      <c r="E747" s="57" t="n">
        <v>2</v>
      </c>
      <c r="F747" s="57" t="n">
        <v>0</v>
      </c>
      <c r="G747" s="58" t="n">
        <v>209.9</v>
      </c>
      <c r="H747" s="58" t="n">
        <v>0</v>
      </c>
      <c r="I747" s="58" t="n">
        <v>209.9</v>
      </c>
      <c r="J747" s="32" t="n">
        <f aca="false">IF(E747&gt;0,F747/E747,0)</f>
        <v>0</v>
      </c>
      <c r="K747" s="32" t="n">
        <f aca="false">IF(G747&gt;0,H747/G747,0)</f>
        <v>-0</v>
      </c>
      <c r="L747" s="59" t="n">
        <f aca="false">H747/Settings!$B$16</f>
        <v>-0</v>
      </c>
      <c r="M747" s="59" t="n">
        <f aca="false">H747/Settings!$B$20</f>
        <v>-0</v>
      </c>
      <c r="N747" s="60" t="n">
        <f aca="false">E747*Settings!$B$3</f>
        <v>0.0619723021596408</v>
      </c>
      <c r="O747" s="60" t="n">
        <f aca="false">IF(E747&gt;0,(F747-N747)/SQRT(E747*Settings!$B$3*(1-Settings!$B$3)),0)</f>
        <v>-0.252891261535318</v>
      </c>
      <c r="P747" s="60" t="n">
        <f aca="false">MAX(0,F747-N747)</f>
        <v>0</v>
      </c>
      <c r="Q747" s="32" t="n">
        <f aca="false">(F747+Settings!$B$7*Settings!$B$3)/(E747+Settings!$B$7)</f>
        <v>0.0290495166373316</v>
      </c>
      <c r="R747" s="61" t="n">
        <f aca="false">PERCENTRANK($H$2:$H$1780,H747,6)</f>
        <v>0</v>
      </c>
      <c r="S747" s="61" t="n">
        <f aca="false">PERCENTRANK($Q$2:$Q$1780,Q747,6)</f>
        <v>0.365579</v>
      </c>
      <c r="T747" s="61" t="n">
        <f aca="false">PERCENTRANK($F$2:$F$1780,F747,6)</f>
        <v>0</v>
      </c>
      <c r="U747" s="62" t="n">
        <f aca="false">IF(F747&gt;0,(Settings!$B$8*T747+Settings!$B$9*R747+Settings!$B$10*S747)/SUM(Settings!$B$8:$B$10),0)</f>
        <v>0</v>
      </c>
      <c r="V747" s="56" t="str">
        <f aca="false">IF(U747&gt;0,RANK(U747,$U$2:$U$1780)+COUNTIF($U$2:U747,U747)-1,"")</f>
        <v/>
      </c>
      <c r="W747" s="56" t="str">
        <f aca="false">IF(V747="","",IF(V747&lt;=Settings!$B$11,"1 - Fix first",IF(V747&lt;=Settings!$B$12,"2 - Review","3 - Monitor")))</f>
        <v/>
      </c>
      <c r="X747" s="56" t="str">
        <f aca="false">IF(AND(E747&gt;=Settings!$B$4,F747&gt;=Settings!$B$5,O747&gt;=Settings!$B$6),"HIGH RATE","")</f>
        <v/>
      </c>
      <c r="Y747" s="56" t="str">
        <f aca="false">IF(F747&gt;0,RANK(F747,$F$2:$F$1780)+COUNTIF($F$2:F747,F747)-1,"")</f>
        <v/>
      </c>
      <c r="Z747" s="56" t="str">
        <f aca="false">IF(H747&gt;0,RANK(H747,$H$2:$H$1780)+COUNTIF($H$2:H747,H747)-1,"")</f>
        <v/>
      </c>
      <c r="AA747" s="56" t="str">
        <f aca="false">IF(AC747="","",RANK(AC747,$AC$2:$AC$1780)+COUNTIF($AC$2:AC747,AC747)-1)</f>
        <v/>
      </c>
      <c r="AB747" s="56" t="str">
        <f aca="false">IF(AD747="","",RANK(AD747,$AD$2:$AD$1780)+COUNTIF($AD$2:AD747,AD747)-1)</f>
        <v/>
      </c>
      <c r="AC747" s="56" t="str">
        <f aca="false">IF(AND(F747&gt;0,E747&gt;=Settings!$B$4),J747,"")</f>
        <v/>
      </c>
      <c r="AD747" s="56" t="str">
        <f aca="false">IF(X747="HIGH RATE",O747,"")</f>
        <v/>
      </c>
    </row>
    <row r="748" customFormat="false" ht="15" hidden="false" customHeight="false" outlineLevel="0" collapsed="false">
      <c r="A748" s="56" t="s">
        <v>1995</v>
      </c>
      <c r="B748" s="56" t="s">
        <v>1994</v>
      </c>
      <c r="C748" s="56" t="s">
        <v>51</v>
      </c>
      <c r="D748" s="56" t="str">
        <f aca="false">IFERROR(INDEX('Brand Map'!$B$4:$B$124,MATCH(C748,'Brand Map'!$A$4:$A$124,0)),"Other")</f>
        <v>AU</v>
      </c>
      <c r="E748" s="57" t="n">
        <v>4</v>
      </c>
      <c r="F748" s="57" t="n">
        <v>0</v>
      </c>
      <c r="G748" s="58" t="n">
        <v>359.8</v>
      </c>
      <c r="H748" s="58" t="n">
        <v>0</v>
      </c>
      <c r="I748" s="58" t="n">
        <v>359.8</v>
      </c>
      <c r="J748" s="32" t="n">
        <f aca="false">IF(E748&gt;0,F748/E748,0)</f>
        <v>0</v>
      </c>
      <c r="K748" s="32" t="n">
        <f aca="false">IF(G748&gt;0,H748/G748,0)</f>
        <v>-0</v>
      </c>
      <c r="L748" s="59" t="n">
        <f aca="false">H748/Settings!$B$16</f>
        <v>-0</v>
      </c>
      <c r="M748" s="59" t="n">
        <f aca="false">H748/Settings!$B$20</f>
        <v>-0</v>
      </c>
      <c r="N748" s="60" t="n">
        <f aca="false">E748*Settings!$B$3</f>
        <v>0.123944604319282</v>
      </c>
      <c r="O748" s="60" t="n">
        <f aca="false">IF(E748&gt;0,(F748-N748)/SQRT(E748*Settings!$B$3*(1-Settings!$B$3)),0)</f>
        <v>-0.357642251868888</v>
      </c>
      <c r="P748" s="60" t="n">
        <f aca="false">MAX(0,F748-N748)</f>
        <v>0</v>
      </c>
      <c r="Q748" s="32" t="n">
        <f aca="false">(F748+Settings!$B$7*Settings!$B$3)/(E748+Settings!$B$7)</f>
        <v>0.027340721541018</v>
      </c>
      <c r="R748" s="61" t="n">
        <f aca="false">PERCENTRANK($H$2:$H$1780,H748,6)</f>
        <v>0</v>
      </c>
      <c r="S748" s="61" t="n">
        <f aca="false">PERCENTRANK($Q$2:$Q$1780,Q748,6)</f>
        <v>0.253656</v>
      </c>
      <c r="T748" s="61" t="n">
        <f aca="false">PERCENTRANK($F$2:$F$1780,F748,6)</f>
        <v>0</v>
      </c>
      <c r="U748" s="62" t="n">
        <f aca="false">IF(F748&gt;0,(Settings!$B$8*T748+Settings!$B$9*R748+Settings!$B$10*S748)/SUM(Settings!$B$8:$B$10),0)</f>
        <v>0</v>
      </c>
      <c r="V748" s="56" t="str">
        <f aca="false">IF(U748&gt;0,RANK(U748,$U$2:$U$1780)+COUNTIF($U$2:U748,U748)-1,"")</f>
        <v/>
      </c>
      <c r="W748" s="56" t="str">
        <f aca="false">IF(V748="","",IF(V748&lt;=Settings!$B$11,"1 - Fix first",IF(V748&lt;=Settings!$B$12,"2 - Review","3 - Monitor")))</f>
        <v/>
      </c>
      <c r="X748" s="56" t="str">
        <f aca="false">IF(AND(E748&gt;=Settings!$B$4,F748&gt;=Settings!$B$5,O748&gt;=Settings!$B$6),"HIGH RATE","")</f>
        <v/>
      </c>
      <c r="Y748" s="56" t="str">
        <f aca="false">IF(F748&gt;0,RANK(F748,$F$2:$F$1780)+COUNTIF($F$2:F748,F748)-1,"")</f>
        <v/>
      </c>
      <c r="Z748" s="56" t="str">
        <f aca="false">IF(H748&gt;0,RANK(H748,$H$2:$H$1780)+COUNTIF($H$2:H748,H748)-1,"")</f>
        <v/>
      </c>
      <c r="AA748" s="56" t="str">
        <f aca="false">IF(AC748="","",RANK(AC748,$AC$2:$AC$1780)+COUNTIF($AC$2:AC748,AC748)-1)</f>
        <v/>
      </c>
      <c r="AB748" s="56" t="str">
        <f aca="false">IF(AD748="","",RANK(AD748,$AD$2:$AD$1780)+COUNTIF($AD$2:AD748,AD748)-1)</f>
        <v/>
      </c>
      <c r="AC748" s="56" t="str">
        <f aca="false">IF(AND(F748&gt;0,E748&gt;=Settings!$B$4),J748,"")</f>
        <v/>
      </c>
      <c r="AD748" s="56" t="str">
        <f aca="false">IF(X748="HIGH RATE",O748,"")</f>
        <v/>
      </c>
    </row>
    <row r="749" customFormat="false" ht="15" hidden="false" customHeight="false" outlineLevel="0" collapsed="false">
      <c r="A749" s="56" t="s">
        <v>1996</v>
      </c>
      <c r="B749" s="56" t="s">
        <v>1619</v>
      </c>
      <c r="C749" s="56" t="s">
        <v>51</v>
      </c>
      <c r="D749" s="56" t="str">
        <f aca="false">IFERROR(INDEX('Brand Map'!$B$4:$B$124,MATCH(C749,'Brand Map'!$A$4:$A$124,0)),"Other")</f>
        <v>AU</v>
      </c>
      <c r="E749" s="57" t="n">
        <v>1</v>
      </c>
      <c r="F749" s="57" t="n">
        <v>0</v>
      </c>
      <c r="G749" s="58" t="n">
        <v>259.95</v>
      </c>
      <c r="H749" s="58" t="n">
        <v>0</v>
      </c>
      <c r="I749" s="58" t="n">
        <v>259.95</v>
      </c>
      <c r="J749" s="32" t="n">
        <f aca="false">IF(E749&gt;0,F749/E749,0)</f>
        <v>0</v>
      </c>
      <c r="K749" s="32" t="n">
        <f aca="false">IF(G749&gt;0,H749/G749,0)</f>
        <v>-0</v>
      </c>
      <c r="L749" s="59" t="n">
        <f aca="false">H749/Settings!$B$16</f>
        <v>-0</v>
      </c>
      <c r="M749" s="59" t="n">
        <f aca="false">H749/Settings!$B$20</f>
        <v>-0</v>
      </c>
      <c r="N749" s="60" t="n">
        <f aca="false">E749*Settings!$B$3</f>
        <v>0.0309861510798204</v>
      </c>
      <c r="O749" s="60" t="n">
        <f aca="false">IF(E749&gt;0,(F749-N749)/SQRT(E749*Settings!$B$3*(1-Settings!$B$3)),0)</f>
        <v>-0.178821125934444</v>
      </c>
      <c r="P749" s="60" t="n">
        <f aca="false">MAX(0,F749-N749)</f>
        <v>0</v>
      </c>
      <c r="Q749" s="32" t="n">
        <f aca="false">(F749+Settings!$B$7*Settings!$B$3)/(E749+Settings!$B$7)</f>
        <v>0.0299865978191811</v>
      </c>
      <c r="R749" s="61" t="n">
        <f aca="false">PERCENTRANK($H$2:$H$1780,H749,6)</f>
        <v>0</v>
      </c>
      <c r="S749" s="61" t="n">
        <f aca="false">PERCENTRANK($Q$2:$Q$1780,Q749,6)</f>
        <v>0.486502</v>
      </c>
      <c r="T749" s="61" t="n">
        <f aca="false">PERCENTRANK($F$2:$F$1780,F749,6)</f>
        <v>0</v>
      </c>
      <c r="U749" s="62" t="n">
        <f aca="false">IF(F749&gt;0,(Settings!$B$8*T749+Settings!$B$9*R749+Settings!$B$10*S749)/SUM(Settings!$B$8:$B$10),0)</f>
        <v>0</v>
      </c>
      <c r="V749" s="56" t="str">
        <f aca="false">IF(U749&gt;0,RANK(U749,$U$2:$U$1780)+COUNTIF($U$2:U749,U749)-1,"")</f>
        <v/>
      </c>
      <c r="W749" s="56" t="str">
        <f aca="false">IF(V749="","",IF(V749&lt;=Settings!$B$11,"1 - Fix first",IF(V749&lt;=Settings!$B$12,"2 - Review","3 - Monitor")))</f>
        <v/>
      </c>
      <c r="X749" s="56" t="str">
        <f aca="false">IF(AND(E749&gt;=Settings!$B$4,F749&gt;=Settings!$B$5,O749&gt;=Settings!$B$6),"HIGH RATE","")</f>
        <v/>
      </c>
      <c r="Y749" s="56" t="str">
        <f aca="false">IF(F749&gt;0,RANK(F749,$F$2:$F$1780)+COUNTIF($F$2:F749,F749)-1,"")</f>
        <v/>
      </c>
      <c r="Z749" s="56" t="str">
        <f aca="false">IF(H749&gt;0,RANK(H749,$H$2:$H$1780)+COUNTIF($H$2:H749,H749)-1,"")</f>
        <v/>
      </c>
      <c r="AA749" s="56" t="str">
        <f aca="false">IF(AC749="","",RANK(AC749,$AC$2:$AC$1780)+COUNTIF($AC$2:AC749,AC749)-1)</f>
        <v/>
      </c>
      <c r="AB749" s="56" t="str">
        <f aca="false">IF(AD749="","",RANK(AD749,$AD$2:$AD$1780)+COUNTIF($AD$2:AD749,AD749)-1)</f>
        <v/>
      </c>
      <c r="AC749" s="56" t="str">
        <f aca="false">IF(AND(F749&gt;0,E749&gt;=Settings!$B$4),J749,"")</f>
        <v/>
      </c>
      <c r="AD749" s="56" t="str">
        <f aca="false">IF(X749="HIGH RATE",O749,"")</f>
        <v/>
      </c>
    </row>
    <row r="750" customFormat="false" ht="15" hidden="false" customHeight="false" outlineLevel="0" collapsed="false">
      <c r="A750" s="56" t="s">
        <v>1997</v>
      </c>
      <c r="B750" s="56" t="s">
        <v>1998</v>
      </c>
      <c r="C750" s="56" t="s">
        <v>51</v>
      </c>
      <c r="D750" s="56" t="str">
        <f aca="false">IFERROR(INDEX('Brand Map'!$B$4:$B$124,MATCH(C750,'Brand Map'!$A$4:$A$124,0)),"Other")</f>
        <v>AU</v>
      </c>
      <c r="E750" s="57" t="n">
        <v>3</v>
      </c>
      <c r="F750" s="57" t="n">
        <v>0</v>
      </c>
      <c r="G750" s="58" t="n">
        <v>164.85</v>
      </c>
      <c r="H750" s="58" t="n">
        <v>0</v>
      </c>
      <c r="I750" s="58" t="n">
        <v>164.85</v>
      </c>
      <c r="J750" s="32" t="n">
        <f aca="false">IF(E750&gt;0,F750/E750,0)</f>
        <v>0</v>
      </c>
      <c r="K750" s="32" t="n">
        <f aca="false">IF(G750&gt;0,H750/G750,0)</f>
        <v>-0</v>
      </c>
      <c r="L750" s="59" t="n">
        <f aca="false">H750/Settings!$B$16</f>
        <v>-0</v>
      </c>
      <c r="M750" s="59" t="n">
        <f aca="false">H750/Settings!$B$20</f>
        <v>-0</v>
      </c>
      <c r="N750" s="60" t="n">
        <f aca="false">E750*Settings!$B$3</f>
        <v>0.0929584532394613</v>
      </c>
      <c r="O750" s="60" t="n">
        <f aca="false">IF(E750&gt;0,(F750-N750)/SQRT(E750*Settings!$B$3*(1-Settings!$B$3)),0)</f>
        <v>-0.30972727558513</v>
      </c>
      <c r="P750" s="60" t="n">
        <f aca="false">MAX(0,F750-N750)</f>
        <v>0</v>
      </c>
      <c r="Q750" s="32" t="n">
        <f aca="false">(F750+Settings!$B$7*Settings!$B$3)/(E750+Settings!$B$7)</f>
        <v>0.0281692282543822</v>
      </c>
      <c r="R750" s="61" t="n">
        <f aca="false">PERCENTRANK($H$2:$H$1780,H750,6)</f>
        <v>0</v>
      </c>
      <c r="S750" s="61" t="n">
        <f aca="false">PERCENTRANK($Q$2:$Q$1780,Q750,6)</f>
        <v>0.294151</v>
      </c>
      <c r="T750" s="61" t="n">
        <f aca="false">PERCENTRANK($F$2:$F$1780,F750,6)</f>
        <v>0</v>
      </c>
      <c r="U750" s="62" t="n">
        <f aca="false">IF(F750&gt;0,(Settings!$B$8*T750+Settings!$B$9*R750+Settings!$B$10*S750)/SUM(Settings!$B$8:$B$10),0)</f>
        <v>0</v>
      </c>
      <c r="V750" s="56" t="str">
        <f aca="false">IF(U750&gt;0,RANK(U750,$U$2:$U$1780)+COUNTIF($U$2:U750,U750)-1,"")</f>
        <v/>
      </c>
      <c r="W750" s="56" t="str">
        <f aca="false">IF(V750="","",IF(V750&lt;=Settings!$B$11,"1 - Fix first",IF(V750&lt;=Settings!$B$12,"2 - Review","3 - Monitor")))</f>
        <v/>
      </c>
      <c r="X750" s="56" t="str">
        <f aca="false">IF(AND(E750&gt;=Settings!$B$4,F750&gt;=Settings!$B$5,O750&gt;=Settings!$B$6),"HIGH RATE","")</f>
        <v/>
      </c>
      <c r="Y750" s="56" t="str">
        <f aca="false">IF(F750&gt;0,RANK(F750,$F$2:$F$1780)+COUNTIF($F$2:F750,F750)-1,"")</f>
        <v/>
      </c>
      <c r="Z750" s="56" t="str">
        <f aca="false">IF(H750&gt;0,RANK(H750,$H$2:$H$1780)+COUNTIF($H$2:H750,H750)-1,"")</f>
        <v/>
      </c>
      <c r="AA750" s="56" t="str">
        <f aca="false">IF(AC750="","",RANK(AC750,$AC$2:$AC$1780)+COUNTIF($AC$2:AC750,AC750)-1)</f>
        <v/>
      </c>
      <c r="AB750" s="56" t="str">
        <f aca="false">IF(AD750="","",RANK(AD750,$AD$2:$AD$1780)+COUNTIF($AD$2:AD750,AD750)-1)</f>
        <v/>
      </c>
      <c r="AC750" s="56" t="str">
        <f aca="false">IF(AND(F750&gt;0,E750&gt;=Settings!$B$4),J750,"")</f>
        <v/>
      </c>
      <c r="AD750" s="56" t="str">
        <f aca="false">IF(X750="HIGH RATE",O750,"")</f>
        <v/>
      </c>
    </row>
    <row r="751" customFormat="false" ht="15" hidden="false" customHeight="false" outlineLevel="0" collapsed="false">
      <c r="A751" s="56" t="s">
        <v>1999</v>
      </c>
      <c r="B751" s="56" t="s">
        <v>2000</v>
      </c>
      <c r="C751" s="56" t="s">
        <v>51</v>
      </c>
      <c r="D751" s="56" t="str">
        <f aca="false">IFERROR(INDEX('Brand Map'!$B$4:$B$124,MATCH(C751,'Brand Map'!$A$4:$A$124,0)),"Other")</f>
        <v>AU</v>
      </c>
      <c r="E751" s="57" t="n">
        <v>2</v>
      </c>
      <c r="F751" s="57" t="n">
        <v>0</v>
      </c>
      <c r="G751" s="58" t="n">
        <v>169.9</v>
      </c>
      <c r="H751" s="58" t="n">
        <v>0</v>
      </c>
      <c r="I751" s="58" t="n">
        <v>169.9</v>
      </c>
      <c r="J751" s="32" t="n">
        <f aca="false">IF(E751&gt;0,F751/E751,0)</f>
        <v>0</v>
      </c>
      <c r="K751" s="32" t="n">
        <f aca="false">IF(G751&gt;0,H751/G751,0)</f>
        <v>-0</v>
      </c>
      <c r="L751" s="59" t="n">
        <f aca="false">H751/Settings!$B$16</f>
        <v>-0</v>
      </c>
      <c r="M751" s="59" t="n">
        <f aca="false">H751/Settings!$B$20</f>
        <v>-0</v>
      </c>
      <c r="N751" s="60" t="n">
        <f aca="false">E751*Settings!$B$3</f>
        <v>0.0619723021596408</v>
      </c>
      <c r="O751" s="60" t="n">
        <f aca="false">IF(E751&gt;0,(F751-N751)/SQRT(E751*Settings!$B$3*(1-Settings!$B$3)),0)</f>
        <v>-0.252891261535318</v>
      </c>
      <c r="P751" s="60" t="n">
        <f aca="false">MAX(0,F751-N751)</f>
        <v>0</v>
      </c>
      <c r="Q751" s="32" t="n">
        <f aca="false">(F751+Settings!$B$7*Settings!$B$3)/(E751+Settings!$B$7)</f>
        <v>0.0290495166373316</v>
      </c>
      <c r="R751" s="61" t="n">
        <f aca="false">PERCENTRANK($H$2:$H$1780,H751,6)</f>
        <v>0</v>
      </c>
      <c r="S751" s="61" t="n">
        <f aca="false">PERCENTRANK($Q$2:$Q$1780,Q751,6)</f>
        <v>0.365579</v>
      </c>
      <c r="T751" s="61" t="n">
        <f aca="false">PERCENTRANK($F$2:$F$1780,F751,6)</f>
        <v>0</v>
      </c>
      <c r="U751" s="62" t="n">
        <f aca="false">IF(F751&gt;0,(Settings!$B$8*T751+Settings!$B$9*R751+Settings!$B$10*S751)/SUM(Settings!$B$8:$B$10),0)</f>
        <v>0</v>
      </c>
      <c r="V751" s="56" t="str">
        <f aca="false">IF(U751&gt;0,RANK(U751,$U$2:$U$1780)+COUNTIF($U$2:U751,U751)-1,"")</f>
        <v/>
      </c>
      <c r="W751" s="56" t="str">
        <f aca="false">IF(V751="","",IF(V751&lt;=Settings!$B$11,"1 - Fix first",IF(V751&lt;=Settings!$B$12,"2 - Review","3 - Monitor")))</f>
        <v/>
      </c>
      <c r="X751" s="56" t="str">
        <f aca="false">IF(AND(E751&gt;=Settings!$B$4,F751&gt;=Settings!$B$5,O751&gt;=Settings!$B$6),"HIGH RATE","")</f>
        <v/>
      </c>
      <c r="Y751" s="56" t="str">
        <f aca="false">IF(F751&gt;0,RANK(F751,$F$2:$F$1780)+COUNTIF($F$2:F751,F751)-1,"")</f>
        <v/>
      </c>
      <c r="Z751" s="56" t="str">
        <f aca="false">IF(H751&gt;0,RANK(H751,$H$2:$H$1780)+COUNTIF($H$2:H751,H751)-1,"")</f>
        <v/>
      </c>
      <c r="AA751" s="56" t="str">
        <f aca="false">IF(AC751="","",RANK(AC751,$AC$2:$AC$1780)+COUNTIF($AC$2:AC751,AC751)-1)</f>
        <v/>
      </c>
      <c r="AB751" s="56" t="str">
        <f aca="false">IF(AD751="","",RANK(AD751,$AD$2:$AD$1780)+COUNTIF($AD$2:AD751,AD751)-1)</f>
        <v/>
      </c>
      <c r="AC751" s="56" t="str">
        <f aca="false">IF(AND(F751&gt;0,E751&gt;=Settings!$B$4),J751,"")</f>
        <v/>
      </c>
      <c r="AD751" s="56" t="str">
        <f aca="false">IF(X751="HIGH RATE",O751,"")</f>
        <v/>
      </c>
    </row>
    <row r="752" customFormat="false" ht="15" hidden="false" customHeight="false" outlineLevel="0" collapsed="false">
      <c r="A752" s="56" t="s">
        <v>2001</v>
      </c>
      <c r="B752" s="56" t="s">
        <v>2000</v>
      </c>
      <c r="C752" s="56" t="s">
        <v>51</v>
      </c>
      <c r="D752" s="56" t="str">
        <f aca="false">IFERROR(INDEX('Brand Map'!$B$4:$B$124,MATCH(C752,'Brand Map'!$A$4:$A$124,0)),"Other")</f>
        <v>AU</v>
      </c>
      <c r="E752" s="57" t="n">
        <v>1</v>
      </c>
      <c r="F752" s="57" t="n">
        <v>0</v>
      </c>
      <c r="G752" s="58" t="n">
        <v>99.95</v>
      </c>
      <c r="H752" s="58" t="n">
        <v>0</v>
      </c>
      <c r="I752" s="58" t="n">
        <v>99.95</v>
      </c>
      <c r="J752" s="32" t="n">
        <f aca="false">IF(E752&gt;0,F752/E752,0)</f>
        <v>0</v>
      </c>
      <c r="K752" s="32" t="n">
        <f aca="false">IF(G752&gt;0,H752/G752,0)</f>
        <v>-0</v>
      </c>
      <c r="L752" s="59" t="n">
        <f aca="false">H752/Settings!$B$16</f>
        <v>-0</v>
      </c>
      <c r="M752" s="59" t="n">
        <f aca="false">H752/Settings!$B$20</f>
        <v>-0</v>
      </c>
      <c r="N752" s="60" t="n">
        <f aca="false">E752*Settings!$B$3</f>
        <v>0.0309861510798204</v>
      </c>
      <c r="O752" s="60" t="n">
        <f aca="false">IF(E752&gt;0,(F752-N752)/SQRT(E752*Settings!$B$3*(1-Settings!$B$3)),0)</f>
        <v>-0.178821125934444</v>
      </c>
      <c r="P752" s="60" t="n">
        <f aca="false">MAX(0,F752-N752)</f>
        <v>0</v>
      </c>
      <c r="Q752" s="32" t="n">
        <f aca="false">(F752+Settings!$B$7*Settings!$B$3)/(E752+Settings!$B$7)</f>
        <v>0.0299865978191811</v>
      </c>
      <c r="R752" s="61" t="n">
        <f aca="false">PERCENTRANK($H$2:$H$1780,H752,6)</f>
        <v>0</v>
      </c>
      <c r="S752" s="61" t="n">
        <f aca="false">PERCENTRANK($Q$2:$Q$1780,Q752,6)</f>
        <v>0.486502</v>
      </c>
      <c r="T752" s="61" t="n">
        <f aca="false">PERCENTRANK($F$2:$F$1780,F752,6)</f>
        <v>0</v>
      </c>
      <c r="U752" s="62" t="n">
        <f aca="false">IF(F752&gt;0,(Settings!$B$8*T752+Settings!$B$9*R752+Settings!$B$10*S752)/SUM(Settings!$B$8:$B$10),0)</f>
        <v>0</v>
      </c>
      <c r="V752" s="56" t="str">
        <f aca="false">IF(U752&gt;0,RANK(U752,$U$2:$U$1780)+COUNTIF($U$2:U752,U752)-1,"")</f>
        <v/>
      </c>
      <c r="W752" s="56" t="str">
        <f aca="false">IF(V752="","",IF(V752&lt;=Settings!$B$11,"1 - Fix first",IF(V752&lt;=Settings!$B$12,"2 - Review","3 - Monitor")))</f>
        <v/>
      </c>
      <c r="X752" s="56" t="str">
        <f aca="false">IF(AND(E752&gt;=Settings!$B$4,F752&gt;=Settings!$B$5,O752&gt;=Settings!$B$6),"HIGH RATE","")</f>
        <v/>
      </c>
      <c r="Y752" s="56" t="str">
        <f aca="false">IF(F752&gt;0,RANK(F752,$F$2:$F$1780)+COUNTIF($F$2:F752,F752)-1,"")</f>
        <v/>
      </c>
      <c r="Z752" s="56" t="str">
        <f aca="false">IF(H752&gt;0,RANK(H752,$H$2:$H$1780)+COUNTIF($H$2:H752,H752)-1,"")</f>
        <v/>
      </c>
      <c r="AA752" s="56" t="str">
        <f aca="false">IF(AC752="","",RANK(AC752,$AC$2:$AC$1780)+COUNTIF($AC$2:AC752,AC752)-1)</f>
        <v/>
      </c>
      <c r="AB752" s="56" t="str">
        <f aca="false">IF(AD752="","",RANK(AD752,$AD$2:$AD$1780)+COUNTIF($AD$2:AD752,AD752)-1)</f>
        <v/>
      </c>
      <c r="AC752" s="56" t="str">
        <f aca="false">IF(AND(F752&gt;0,E752&gt;=Settings!$B$4),J752,"")</f>
        <v/>
      </c>
      <c r="AD752" s="56" t="str">
        <f aca="false">IF(X752="HIGH RATE",O752,"")</f>
        <v/>
      </c>
    </row>
    <row r="753" customFormat="false" ht="15" hidden="false" customHeight="false" outlineLevel="0" collapsed="false">
      <c r="A753" s="56" t="s">
        <v>2002</v>
      </c>
      <c r="B753" s="56" t="s">
        <v>2000</v>
      </c>
      <c r="C753" s="56" t="s">
        <v>51</v>
      </c>
      <c r="D753" s="56" t="str">
        <f aca="false">IFERROR(INDEX('Brand Map'!$B$4:$B$124,MATCH(C753,'Brand Map'!$A$4:$A$124,0)),"Other")</f>
        <v>AU</v>
      </c>
      <c r="E753" s="57" t="n">
        <v>1</v>
      </c>
      <c r="F753" s="57" t="n">
        <v>0</v>
      </c>
      <c r="G753" s="58" t="n">
        <v>114.95</v>
      </c>
      <c r="H753" s="58" t="n">
        <v>0</v>
      </c>
      <c r="I753" s="58" t="n">
        <v>114.95</v>
      </c>
      <c r="J753" s="32" t="n">
        <f aca="false">IF(E753&gt;0,F753/E753,0)</f>
        <v>0</v>
      </c>
      <c r="K753" s="32" t="n">
        <f aca="false">IF(G753&gt;0,H753/G753,0)</f>
        <v>-0</v>
      </c>
      <c r="L753" s="59" t="n">
        <f aca="false">H753/Settings!$B$16</f>
        <v>-0</v>
      </c>
      <c r="M753" s="59" t="n">
        <f aca="false">H753/Settings!$B$20</f>
        <v>-0</v>
      </c>
      <c r="N753" s="60" t="n">
        <f aca="false">E753*Settings!$B$3</f>
        <v>0.0309861510798204</v>
      </c>
      <c r="O753" s="60" t="n">
        <f aca="false">IF(E753&gt;0,(F753-N753)/SQRT(E753*Settings!$B$3*(1-Settings!$B$3)),0)</f>
        <v>-0.178821125934444</v>
      </c>
      <c r="P753" s="60" t="n">
        <f aca="false">MAX(0,F753-N753)</f>
        <v>0</v>
      </c>
      <c r="Q753" s="32" t="n">
        <f aca="false">(F753+Settings!$B$7*Settings!$B$3)/(E753+Settings!$B$7)</f>
        <v>0.0299865978191811</v>
      </c>
      <c r="R753" s="61" t="n">
        <f aca="false">PERCENTRANK($H$2:$H$1780,H753,6)</f>
        <v>0</v>
      </c>
      <c r="S753" s="61" t="n">
        <f aca="false">PERCENTRANK($Q$2:$Q$1780,Q753,6)</f>
        <v>0.486502</v>
      </c>
      <c r="T753" s="61" t="n">
        <f aca="false">PERCENTRANK($F$2:$F$1780,F753,6)</f>
        <v>0</v>
      </c>
      <c r="U753" s="62" t="n">
        <f aca="false">IF(F753&gt;0,(Settings!$B$8*T753+Settings!$B$9*R753+Settings!$B$10*S753)/SUM(Settings!$B$8:$B$10),0)</f>
        <v>0</v>
      </c>
      <c r="V753" s="56" t="str">
        <f aca="false">IF(U753&gt;0,RANK(U753,$U$2:$U$1780)+COUNTIF($U$2:U753,U753)-1,"")</f>
        <v/>
      </c>
      <c r="W753" s="56" t="str">
        <f aca="false">IF(V753="","",IF(V753&lt;=Settings!$B$11,"1 - Fix first",IF(V753&lt;=Settings!$B$12,"2 - Review","3 - Monitor")))</f>
        <v/>
      </c>
      <c r="X753" s="56" t="str">
        <f aca="false">IF(AND(E753&gt;=Settings!$B$4,F753&gt;=Settings!$B$5,O753&gt;=Settings!$B$6),"HIGH RATE","")</f>
        <v/>
      </c>
      <c r="Y753" s="56" t="str">
        <f aca="false">IF(F753&gt;0,RANK(F753,$F$2:$F$1780)+COUNTIF($F$2:F753,F753)-1,"")</f>
        <v/>
      </c>
      <c r="Z753" s="56" t="str">
        <f aca="false">IF(H753&gt;0,RANK(H753,$H$2:$H$1780)+COUNTIF($H$2:H753,H753)-1,"")</f>
        <v/>
      </c>
      <c r="AA753" s="56" t="str">
        <f aca="false">IF(AC753="","",RANK(AC753,$AC$2:$AC$1780)+COUNTIF($AC$2:AC753,AC753)-1)</f>
        <v/>
      </c>
      <c r="AB753" s="56" t="str">
        <f aca="false">IF(AD753="","",RANK(AD753,$AD$2:$AD$1780)+COUNTIF($AD$2:AD753,AD753)-1)</f>
        <v/>
      </c>
      <c r="AC753" s="56" t="str">
        <f aca="false">IF(AND(F753&gt;0,E753&gt;=Settings!$B$4),J753,"")</f>
        <v/>
      </c>
      <c r="AD753" s="56" t="str">
        <f aca="false">IF(X753="HIGH RATE",O753,"")</f>
        <v/>
      </c>
    </row>
    <row r="754" customFormat="false" ht="15" hidden="false" customHeight="false" outlineLevel="0" collapsed="false">
      <c r="A754" s="56" t="s">
        <v>2003</v>
      </c>
      <c r="B754" s="56" t="s">
        <v>2000</v>
      </c>
      <c r="C754" s="56" t="s">
        <v>51</v>
      </c>
      <c r="D754" s="56" t="str">
        <f aca="false">IFERROR(INDEX('Brand Map'!$B$4:$B$124,MATCH(C754,'Brand Map'!$A$4:$A$124,0)),"Other")</f>
        <v>AU</v>
      </c>
      <c r="E754" s="57" t="n">
        <v>2</v>
      </c>
      <c r="F754" s="57" t="n">
        <v>0</v>
      </c>
      <c r="G754" s="58" t="n">
        <v>139.9</v>
      </c>
      <c r="H754" s="58" t="n">
        <v>0</v>
      </c>
      <c r="I754" s="58" t="n">
        <v>139.9</v>
      </c>
      <c r="J754" s="32" t="n">
        <f aca="false">IF(E754&gt;0,F754/E754,0)</f>
        <v>0</v>
      </c>
      <c r="K754" s="32" t="n">
        <f aca="false">IF(G754&gt;0,H754/G754,0)</f>
        <v>-0</v>
      </c>
      <c r="L754" s="59" t="n">
        <f aca="false">H754/Settings!$B$16</f>
        <v>-0</v>
      </c>
      <c r="M754" s="59" t="n">
        <f aca="false">H754/Settings!$B$20</f>
        <v>-0</v>
      </c>
      <c r="N754" s="60" t="n">
        <f aca="false">E754*Settings!$B$3</f>
        <v>0.0619723021596408</v>
      </c>
      <c r="O754" s="60" t="n">
        <f aca="false">IF(E754&gt;0,(F754-N754)/SQRT(E754*Settings!$B$3*(1-Settings!$B$3)),0)</f>
        <v>-0.252891261535318</v>
      </c>
      <c r="P754" s="60" t="n">
        <f aca="false">MAX(0,F754-N754)</f>
        <v>0</v>
      </c>
      <c r="Q754" s="32" t="n">
        <f aca="false">(F754+Settings!$B$7*Settings!$B$3)/(E754+Settings!$B$7)</f>
        <v>0.0290495166373316</v>
      </c>
      <c r="R754" s="61" t="n">
        <f aca="false">PERCENTRANK($H$2:$H$1780,H754,6)</f>
        <v>0</v>
      </c>
      <c r="S754" s="61" t="n">
        <f aca="false">PERCENTRANK($Q$2:$Q$1780,Q754,6)</f>
        <v>0.365579</v>
      </c>
      <c r="T754" s="61" t="n">
        <f aca="false">PERCENTRANK($F$2:$F$1780,F754,6)</f>
        <v>0</v>
      </c>
      <c r="U754" s="62" t="n">
        <f aca="false">IF(F754&gt;0,(Settings!$B$8*T754+Settings!$B$9*R754+Settings!$B$10*S754)/SUM(Settings!$B$8:$B$10),0)</f>
        <v>0</v>
      </c>
      <c r="V754" s="56" t="str">
        <f aca="false">IF(U754&gt;0,RANK(U754,$U$2:$U$1780)+COUNTIF($U$2:U754,U754)-1,"")</f>
        <v/>
      </c>
      <c r="W754" s="56" t="str">
        <f aca="false">IF(V754="","",IF(V754&lt;=Settings!$B$11,"1 - Fix first",IF(V754&lt;=Settings!$B$12,"2 - Review","3 - Monitor")))</f>
        <v/>
      </c>
      <c r="X754" s="56" t="str">
        <f aca="false">IF(AND(E754&gt;=Settings!$B$4,F754&gt;=Settings!$B$5,O754&gt;=Settings!$B$6),"HIGH RATE","")</f>
        <v/>
      </c>
      <c r="Y754" s="56" t="str">
        <f aca="false">IF(F754&gt;0,RANK(F754,$F$2:$F$1780)+COUNTIF($F$2:F754,F754)-1,"")</f>
        <v/>
      </c>
      <c r="Z754" s="56" t="str">
        <f aca="false">IF(H754&gt;0,RANK(H754,$H$2:$H$1780)+COUNTIF($H$2:H754,H754)-1,"")</f>
        <v/>
      </c>
      <c r="AA754" s="56" t="str">
        <f aca="false">IF(AC754="","",RANK(AC754,$AC$2:$AC$1780)+COUNTIF($AC$2:AC754,AC754)-1)</f>
        <v/>
      </c>
      <c r="AB754" s="56" t="str">
        <f aca="false">IF(AD754="","",RANK(AD754,$AD$2:$AD$1780)+COUNTIF($AD$2:AD754,AD754)-1)</f>
        <v/>
      </c>
      <c r="AC754" s="56" t="str">
        <f aca="false">IF(AND(F754&gt;0,E754&gt;=Settings!$B$4),J754,"")</f>
        <v/>
      </c>
      <c r="AD754" s="56" t="str">
        <f aca="false">IF(X754="HIGH RATE",O754,"")</f>
        <v/>
      </c>
    </row>
    <row r="755" customFormat="false" ht="15" hidden="false" customHeight="false" outlineLevel="0" collapsed="false">
      <c r="A755" s="56" t="s">
        <v>2004</v>
      </c>
      <c r="B755" s="56" t="s">
        <v>1322</v>
      </c>
      <c r="C755" s="56" t="s">
        <v>51</v>
      </c>
      <c r="D755" s="56" t="str">
        <f aca="false">IFERROR(INDEX('Brand Map'!$B$4:$B$124,MATCH(C755,'Brand Map'!$A$4:$A$124,0)),"Other")</f>
        <v>AU</v>
      </c>
      <c r="E755" s="57" t="n">
        <v>1</v>
      </c>
      <c r="F755" s="57" t="n">
        <v>0</v>
      </c>
      <c r="G755" s="58" t="n">
        <v>144.95</v>
      </c>
      <c r="H755" s="58" t="n">
        <v>0</v>
      </c>
      <c r="I755" s="58" t="n">
        <v>144.95</v>
      </c>
      <c r="J755" s="32" t="n">
        <f aca="false">IF(E755&gt;0,F755/E755,0)</f>
        <v>0</v>
      </c>
      <c r="K755" s="32" t="n">
        <f aca="false">IF(G755&gt;0,H755/G755,0)</f>
        <v>-0</v>
      </c>
      <c r="L755" s="59" t="n">
        <f aca="false">H755/Settings!$B$16</f>
        <v>-0</v>
      </c>
      <c r="M755" s="59" t="n">
        <f aca="false">H755/Settings!$B$20</f>
        <v>-0</v>
      </c>
      <c r="N755" s="60" t="n">
        <f aca="false">E755*Settings!$B$3</f>
        <v>0.0309861510798204</v>
      </c>
      <c r="O755" s="60" t="n">
        <f aca="false">IF(E755&gt;0,(F755-N755)/SQRT(E755*Settings!$B$3*(1-Settings!$B$3)),0)</f>
        <v>-0.178821125934444</v>
      </c>
      <c r="P755" s="60" t="n">
        <f aca="false">MAX(0,F755-N755)</f>
        <v>0</v>
      </c>
      <c r="Q755" s="32" t="n">
        <f aca="false">(F755+Settings!$B$7*Settings!$B$3)/(E755+Settings!$B$7)</f>
        <v>0.0299865978191811</v>
      </c>
      <c r="R755" s="61" t="n">
        <f aca="false">PERCENTRANK($H$2:$H$1780,H755,6)</f>
        <v>0</v>
      </c>
      <c r="S755" s="61" t="n">
        <f aca="false">PERCENTRANK($Q$2:$Q$1780,Q755,6)</f>
        <v>0.486502</v>
      </c>
      <c r="T755" s="61" t="n">
        <f aca="false">PERCENTRANK($F$2:$F$1780,F755,6)</f>
        <v>0</v>
      </c>
      <c r="U755" s="62" t="n">
        <f aca="false">IF(F755&gt;0,(Settings!$B$8*T755+Settings!$B$9*R755+Settings!$B$10*S755)/SUM(Settings!$B$8:$B$10),0)</f>
        <v>0</v>
      </c>
      <c r="V755" s="56" t="str">
        <f aca="false">IF(U755&gt;0,RANK(U755,$U$2:$U$1780)+COUNTIF($U$2:U755,U755)-1,"")</f>
        <v/>
      </c>
      <c r="W755" s="56" t="str">
        <f aca="false">IF(V755="","",IF(V755&lt;=Settings!$B$11,"1 - Fix first",IF(V755&lt;=Settings!$B$12,"2 - Review","3 - Monitor")))</f>
        <v/>
      </c>
      <c r="X755" s="56" t="str">
        <f aca="false">IF(AND(E755&gt;=Settings!$B$4,F755&gt;=Settings!$B$5,O755&gt;=Settings!$B$6),"HIGH RATE","")</f>
        <v/>
      </c>
      <c r="Y755" s="56" t="str">
        <f aca="false">IF(F755&gt;0,RANK(F755,$F$2:$F$1780)+COUNTIF($F$2:F755,F755)-1,"")</f>
        <v/>
      </c>
      <c r="Z755" s="56" t="str">
        <f aca="false">IF(H755&gt;0,RANK(H755,$H$2:$H$1780)+COUNTIF($H$2:H755,H755)-1,"")</f>
        <v/>
      </c>
      <c r="AA755" s="56" t="str">
        <f aca="false">IF(AC755="","",RANK(AC755,$AC$2:$AC$1780)+COUNTIF($AC$2:AC755,AC755)-1)</f>
        <v/>
      </c>
      <c r="AB755" s="56" t="str">
        <f aca="false">IF(AD755="","",RANK(AD755,$AD$2:$AD$1780)+COUNTIF($AD$2:AD755,AD755)-1)</f>
        <v/>
      </c>
      <c r="AC755" s="56" t="str">
        <f aca="false">IF(AND(F755&gt;0,E755&gt;=Settings!$B$4),J755,"")</f>
        <v/>
      </c>
      <c r="AD755" s="56" t="str">
        <f aca="false">IF(X755="HIGH RATE",O755,"")</f>
        <v/>
      </c>
    </row>
    <row r="756" customFormat="false" ht="15" hidden="false" customHeight="false" outlineLevel="0" collapsed="false">
      <c r="A756" s="56" t="s">
        <v>2005</v>
      </c>
      <c r="B756" s="56" t="s">
        <v>1591</v>
      </c>
      <c r="C756" s="56" t="s">
        <v>51</v>
      </c>
      <c r="D756" s="56" t="str">
        <f aca="false">IFERROR(INDEX('Brand Map'!$B$4:$B$124,MATCH(C756,'Brand Map'!$A$4:$A$124,0)),"Other")</f>
        <v>AU</v>
      </c>
      <c r="E756" s="57" t="n">
        <v>11</v>
      </c>
      <c r="F756" s="57" t="n">
        <v>0</v>
      </c>
      <c r="G756" s="58" t="n">
        <v>914.7</v>
      </c>
      <c r="H756" s="58" t="n">
        <v>0</v>
      </c>
      <c r="I756" s="58" t="n">
        <v>914.7</v>
      </c>
      <c r="J756" s="32" t="n">
        <f aca="false">IF(E756&gt;0,F756/E756,0)</f>
        <v>0</v>
      </c>
      <c r="K756" s="32" t="n">
        <f aca="false">IF(G756&gt;0,H756/G756,0)</f>
        <v>-0</v>
      </c>
      <c r="L756" s="59" t="n">
        <f aca="false">H756/Settings!$B$16</f>
        <v>-0</v>
      </c>
      <c r="M756" s="59" t="n">
        <f aca="false">H756/Settings!$B$20</f>
        <v>-0</v>
      </c>
      <c r="N756" s="60" t="n">
        <f aca="false">E756*Settings!$B$3</f>
        <v>0.340847661878025</v>
      </c>
      <c r="O756" s="60" t="n">
        <f aca="false">IF(E756&gt;0,(F756-N756)/SQRT(E756*Settings!$B$3*(1-Settings!$B$3)),0)</f>
        <v>-0.593082579313442</v>
      </c>
      <c r="P756" s="60" t="n">
        <f aca="false">MAX(0,F756-N756)</f>
        <v>0</v>
      </c>
      <c r="Q756" s="32" t="n">
        <f aca="false">(F756+Settings!$B$7*Settings!$B$3)/(E756+Settings!$B$7)</f>
        <v>0.0226727934730393</v>
      </c>
      <c r="R756" s="61" t="n">
        <f aca="false">PERCENTRANK($H$2:$H$1780,H756,6)</f>
        <v>0</v>
      </c>
      <c r="S756" s="61" t="n">
        <f aca="false">PERCENTRANK($Q$2:$Q$1780,Q756,6)</f>
        <v>0.117548</v>
      </c>
      <c r="T756" s="61" t="n">
        <f aca="false">PERCENTRANK($F$2:$F$1780,F756,6)</f>
        <v>0</v>
      </c>
      <c r="U756" s="62" t="n">
        <f aca="false">IF(F756&gt;0,(Settings!$B$8*T756+Settings!$B$9*R756+Settings!$B$10*S756)/SUM(Settings!$B$8:$B$10),0)</f>
        <v>0</v>
      </c>
      <c r="V756" s="56" t="str">
        <f aca="false">IF(U756&gt;0,RANK(U756,$U$2:$U$1780)+COUNTIF($U$2:U756,U756)-1,"")</f>
        <v/>
      </c>
      <c r="W756" s="56" t="str">
        <f aca="false">IF(V756="","",IF(V756&lt;=Settings!$B$11,"1 - Fix first",IF(V756&lt;=Settings!$B$12,"2 - Review","3 - Monitor")))</f>
        <v/>
      </c>
      <c r="X756" s="56" t="str">
        <f aca="false">IF(AND(E756&gt;=Settings!$B$4,F756&gt;=Settings!$B$5,O756&gt;=Settings!$B$6),"HIGH RATE","")</f>
        <v/>
      </c>
      <c r="Y756" s="56" t="str">
        <f aca="false">IF(F756&gt;0,RANK(F756,$F$2:$F$1780)+COUNTIF($F$2:F756,F756)-1,"")</f>
        <v/>
      </c>
      <c r="Z756" s="56" t="str">
        <f aca="false">IF(H756&gt;0,RANK(H756,$H$2:$H$1780)+COUNTIF($H$2:H756,H756)-1,"")</f>
        <v/>
      </c>
      <c r="AA756" s="56" t="str">
        <f aca="false">IF(AC756="","",RANK(AC756,$AC$2:$AC$1780)+COUNTIF($AC$2:AC756,AC756)-1)</f>
        <v/>
      </c>
      <c r="AB756" s="56" t="str">
        <f aca="false">IF(AD756="","",RANK(AD756,$AD$2:$AD$1780)+COUNTIF($AD$2:AD756,AD756)-1)</f>
        <v/>
      </c>
      <c r="AC756" s="56" t="str">
        <f aca="false">IF(AND(F756&gt;0,E756&gt;=Settings!$B$4),J756,"")</f>
        <v/>
      </c>
      <c r="AD756" s="56" t="str">
        <f aca="false">IF(X756="HIGH RATE",O756,"")</f>
        <v/>
      </c>
    </row>
    <row r="757" customFormat="false" ht="15" hidden="false" customHeight="false" outlineLevel="0" collapsed="false">
      <c r="A757" s="56" t="s">
        <v>2006</v>
      </c>
      <c r="B757" s="56" t="s">
        <v>1591</v>
      </c>
      <c r="C757" s="56" t="s">
        <v>51</v>
      </c>
      <c r="D757" s="56" t="str">
        <f aca="false">IFERROR(INDEX('Brand Map'!$B$4:$B$124,MATCH(C757,'Brand Map'!$A$4:$A$124,0)),"Other")</f>
        <v>AU</v>
      </c>
      <c r="E757" s="57" t="n">
        <v>1</v>
      </c>
      <c r="F757" s="57" t="n">
        <v>0</v>
      </c>
      <c r="G757" s="58" t="n">
        <v>164.95</v>
      </c>
      <c r="H757" s="58" t="n">
        <v>0</v>
      </c>
      <c r="I757" s="58" t="n">
        <v>164.95</v>
      </c>
      <c r="J757" s="32" t="n">
        <f aca="false">IF(E757&gt;0,F757/E757,0)</f>
        <v>0</v>
      </c>
      <c r="K757" s="32" t="n">
        <f aca="false">IF(G757&gt;0,H757/G757,0)</f>
        <v>-0</v>
      </c>
      <c r="L757" s="59" t="n">
        <f aca="false">H757/Settings!$B$16</f>
        <v>-0</v>
      </c>
      <c r="M757" s="59" t="n">
        <f aca="false">H757/Settings!$B$20</f>
        <v>-0</v>
      </c>
      <c r="N757" s="60" t="n">
        <f aca="false">E757*Settings!$B$3</f>
        <v>0.0309861510798204</v>
      </c>
      <c r="O757" s="60" t="n">
        <f aca="false">IF(E757&gt;0,(F757-N757)/SQRT(E757*Settings!$B$3*(1-Settings!$B$3)),0)</f>
        <v>-0.178821125934444</v>
      </c>
      <c r="P757" s="60" t="n">
        <f aca="false">MAX(0,F757-N757)</f>
        <v>0</v>
      </c>
      <c r="Q757" s="32" t="n">
        <f aca="false">(F757+Settings!$B$7*Settings!$B$3)/(E757+Settings!$B$7)</f>
        <v>0.0299865978191811</v>
      </c>
      <c r="R757" s="61" t="n">
        <f aca="false">PERCENTRANK($H$2:$H$1780,H757,6)</f>
        <v>0</v>
      </c>
      <c r="S757" s="61" t="n">
        <f aca="false">PERCENTRANK($Q$2:$Q$1780,Q757,6)</f>
        <v>0.486502</v>
      </c>
      <c r="T757" s="61" t="n">
        <f aca="false">PERCENTRANK($F$2:$F$1780,F757,6)</f>
        <v>0</v>
      </c>
      <c r="U757" s="62" t="n">
        <f aca="false">IF(F757&gt;0,(Settings!$B$8*T757+Settings!$B$9*R757+Settings!$B$10*S757)/SUM(Settings!$B$8:$B$10),0)</f>
        <v>0</v>
      </c>
      <c r="V757" s="56" t="str">
        <f aca="false">IF(U757&gt;0,RANK(U757,$U$2:$U$1780)+COUNTIF($U$2:U757,U757)-1,"")</f>
        <v/>
      </c>
      <c r="W757" s="56" t="str">
        <f aca="false">IF(V757="","",IF(V757&lt;=Settings!$B$11,"1 - Fix first",IF(V757&lt;=Settings!$B$12,"2 - Review","3 - Monitor")))</f>
        <v/>
      </c>
      <c r="X757" s="56" t="str">
        <f aca="false">IF(AND(E757&gt;=Settings!$B$4,F757&gt;=Settings!$B$5,O757&gt;=Settings!$B$6),"HIGH RATE","")</f>
        <v/>
      </c>
      <c r="Y757" s="56" t="str">
        <f aca="false">IF(F757&gt;0,RANK(F757,$F$2:$F$1780)+COUNTIF($F$2:F757,F757)-1,"")</f>
        <v/>
      </c>
      <c r="Z757" s="56" t="str">
        <f aca="false">IF(H757&gt;0,RANK(H757,$H$2:$H$1780)+COUNTIF($H$2:H757,H757)-1,"")</f>
        <v/>
      </c>
      <c r="AA757" s="56" t="str">
        <f aca="false">IF(AC757="","",RANK(AC757,$AC$2:$AC$1780)+COUNTIF($AC$2:AC757,AC757)-1)</f>
        <v/>
      </c>
      <c r="AB757" s="56" t="str">
        <f aca="false">IF(AD757="","",RANK(AD757,$AD$2:$AD$1780)+COUNTIF($AD$2:AD757,AD757)-1)</f>
        <v/>
      </c>
      <c r="AC757" s="56" t="str">
        <f aca="false">IF(AND(F757&gt;0,E757&gt;=Settings!$B$4),J757,"")</f>
        <v/>
      </c>
      <c r="AD757" s="56" t="str">
        <f aca="false">IF(X757="HIGH RATE",O757,"")</f>
        <v/>
      </c>
    </row>
    <row r="758" customFormat="false" ht="15" hidden="false" customHeight="false" outlineLevel="0" collapsed="false">
      <c r="A758" s="56" t="s">
        <v>2007</v>
      </c>
      <c r="B758" s="56" t="s">
        <v>1160</v>
      </c>
      <c r="C758" s="56" t="s">
        <v>51</v>
      </c>
      <c r="D758" s="56" t="str">
        <f aca="false">IFERROR(INDEX('Brand Map'!$B$4:$B$124,MATCH(C758,'Brand Map'!$A$4:$A$124,0)),"Other")</f>
        <v>AU</v>
      </c>
      <c r="E758" s="57" t="n">
        <v>8</v>
      </c>
      <c r="F758" s="57" t="n">
        <v>0</v>
      </c>
      <c r="G758" s="58" t="n">
        <v>879.6</v>
      </c>
      <c r="H758" s="58" t="n">
        <v>0</v>
      </c>
      <c r="I758" s="58" t="n">
        <v>879.6</v>
      </c>
      <c r="J758" s="32" t="n">
        <f aca="false">IF(E758&gt;0,F758/E758,0)</f>
        <v>0</v>
      </c>
      <c r="K758" s="32" t="n">
        <f aca="false">IF(G758&gt;0,H758/G758,0)</f>
        <v>-0</v>
      </c>
      <c r="L758" s="59" t="n">
        <f aca="false">H758/Settings!$B$16</f>
        <v>-0</v>
      </c>
      <c r="M758" s="59" t="n">
        <f aca="false">H758/Settings!$B$20</f>
        <v>-0</v>
      </c>
      <c r="N758" s="60" t="n">
        <f aca="false">E758*Settings!$B$3</f>
        <v>0.247889208638563</v>
      </c>
      <c r="O758" s="60" t="n">
        <f aca="false">IF(E758&gt;0,(F758-N758)/SQRT(E758*Settings!$B$3*(1-Settings!$B$3)),0)</f>
        <v>-0.505782523070636</v>
      </c>
      <c r="P758" s="60" t="n">
        <f aca="false">MAX(0,F758-N758)</f>
        <v>0</v>
      </c>
      <c r="Q758" s="32" t="n">
        <f aca="false">(F758+Settings!$B$7*Settings!$B$3)/(E758+Settings!$B$7)</f>
        <v>0.0244627508524898</v>
      </c>
      <c r="R758" s="61" t="n">
        <f aca="false">PERCENTRANK($H$2:$H$1780,H758,6)</f>
        <v>0</v>
      </c>
      <c r="S758" s="61" t="n">
        <f aca="false">PERCENTRANK($Q$2:$Q$1780,Q758,6)</f>
        <v>0.154668</v>
      </c>
      <c r="T758" s="61" t="n">
        <f aca="false">PERCENTRANK($F$2:$F$1780,F758,6)</f>
        <v>0</v>
      </c>
      <c r="U758" s="62" t="n">
        <f aca="false">IF(F758&gt;0,(Settings!$B$8*T758+Settings!$B$9*R758+Settings!$B$10*S758)/SUM(Settings!$B$8:$B$10),0)</f>
        <v>0</v>
      </c>
      <c r="V758" s="56" t="str">
        <f aca="false">IF(U758&gt;0,RANK(U758,$U$2:$U$1780)+COUNTIF($U$2:U758,U758)-1,"")</f>
        <v/>
      </c>
      <c r="W758" s="56" t="str">
        <f aca="false">IF(V758="","",IF(V758&lt;=Settings!$B$11,"1 - Fix first",IF(V758&lt;=Settings!$B$12,"2 - Review","3 - Monitor")))</f>
        <v/>
      </c>
      <c r="X758" s="56" t="str">
        <f aca="false">IF(AND(E758&gt;=Settings!$B$4,F758&gt;=Settings!$B$5,O758&gt;=Settings!$B$6),"HIGH RATE","")</f>
        <v/>
      </c>
      <c r="Y758" s="56" t="str">
        <f aca="false">IF(F758&gt;0,RANK(F758,$F$2:$F$1780)+COUNTIF($F$2:F758,F758)-1,"")</f>
        <v/>
      </c>
      <c r="Z758" s="56" t="str">
        <f aca="false">IF(H758&gt;0,RANK(H758,$H$2:$H$1780)+COUNTIF($H$2:H758,H758)-1,"")</f>
        <v/>
      </c>
      <c r="AA758" s="56" t="str">
        <f aca="false">IF(AC758="","",RANK(AC758,$AC$2:$AC$1780)+COUNTIF($AC$2:AC758,AC758)-1)</f>
        <v/>
      </c>
      <c r="AB758" s="56" t="str">
        <f aca="false">IF(AD758="","",RANK(AD758,$AD$2:$AD$1780)+COUNTIF($AD$2:AD758,AD758)-1)</f>
        <v/>
      </c>
      <c r="AC758" s="56" t="str">
        <f aca="false">IF(AND(F758&gt;0,E758&gt;=Settings!$B$4),J758,"")</f>
        <v/>
      </c>
      <c r="AD758" s="56" t="str">
        <f aca="false">IF(X758="HIGH RATE",O758,"")</f>
        <v/>
      </c>
    </row>
    <row r="759" customFormat="false" ht="15" hidden="false" customHeight="false" outlineLevel="0" collapsed="false">
      <c r="A759" s="56" t="s">
        <v>2008</v>
      </c>
      <c r="B759" s="56" t="s">
        <v>1160</v>
      </c>
      <c r="C759" s="56" t="s">
        <v>51</v>
      </c>
      <c r="D759" s="56" t="str">
        <f aca="false">IFERROR(INDEX('Brand Map'!$B$4:$B$124,MATCH(C759,'Brand Map'!$A$4:$A$124,0)),"Other")</f>
        <v>AU</v>
      </c>
      <c r="E759" s="57" t="n">
        <v>1</v>
      </c>
      <c r="F759" s="57" t="n">
        <v>0</v>
      </c>
      <c r="G759" s="58" t="n">
        <v>124.95</v>
      </c>
      <c r="H759" s="58" t="n">
        <v>0</v>
      </c>
      <c r="I759" s="58" t="n">
        <v>124.95</v>
      </c>
      <c r="J759" s="32" t="n">
        <f aca="false">IF(E759&gt;0,F759/E759,0)</f>
        <v>0</v>
      </c>
      <c r="K759" s="32" t="n">
        <f aca="false">IF(G759&gt;0,H759/G759,0)</f>
        <v>-0</v>
      </c>
      <c r="L759" s="59" t="n">
        <f aca="false">H759/Settings!$B$16</f>
        <v>-0</v>
      </c>
      <c r="M759" s="59" t="n">
        <f aca="false">H759/Settings!$B$20</f>
        <v>-0</v>
      </c>
      <c r="N759" s="60" t="n">
        <f aca="false">E759*Settings!$B$3</f>
        <v>0.0309861510798204</v>
      </c>
      <c r="O759" s="60" t="n">
        <f aca="false">IF(E759&gt;0,(F759-N759)/SQRT(E759*Settings!$B$3*(1-Settings!$B$3)),0)</f>
        <v>-0.178821125934444</v>
      </c>
      <c r="P759" s="60" t="n">
        <f aca="false">MAX(0,F759-N759)</f>
        <v>0</v>
      </c>
      <c r="Q759" s="32" t="n">
        <f aca="false">(F759+Settings!$B$7*Settings!$B$3)/(E759+Settings!$B$7)</f>
        <v>0.0299865978191811</v>
      </c>
      <c r="R759" s="61" t="n">
        <f aca="false">PERCENTRANK($H$2:$H$1780,H759,6)</f>
        <v>0</v>
      </c>
      <c r="S759" s="61" t="n">
        <f aca="false">PERCENTRANK($Q$2:$Q$1780,Q759,6)</f>
        <v>0.486502</v>
      </c>
      <c r="T759" s="61" t="n">
        <f aca="false">PERCENTRANK($F$2:$F$1780,F759,6)</f>
        <v>0</v>
      </c>
      <c r="U759" s="62" t="n">
        <f aca="false">IF(F759&gt;0,(Settings!$B$8*T759+Settings!$B$9*R759+Settings!$B$10*S759)/SUM(Settings!$B$8:$B$10),0)</f>
        <v>0</v>
      </c>
      <c r="V759" s="56" t="str">
        <f aca="false">IF(U759&gt;0,RANK(U759,$U$2:$U$1780)+COUNTIF($U$2:U759,U759)-1,"")</f>
        <v/>
      </c>
      <c r="W759" s="56" t="str">
        <f aca="false">IF(V759="","",IF(V759&lt;=Settings!$B$11,"1 - Fix first",IF(V759&lt;=Settings!$B$12,"2 - Review","3 - Monitor")))</f>
        <v/>
      </c>
      <c r="X759" s="56" t="str">
        <f aca="false">IF(AND(E759&gt;=Settings!$B$4,F759&gt;=Settings!$B$5,O759&gt;=Settings!$B$6),"HIGH RATE","")</f>
        <v/>
      </c>
      <c r="Y759" s="56" t="str">
        <f aca="false">IF(F759&gt;0,RANK(F759,$F$2:$F$1780)+COUNTIF($F$2:F759,F759)-1,"")</f>
        <v/>
      </c>
      <c r="Z759" s="56" t="str">
        <f aca="false">IF(H759&gt;0,RANK(H759,$H$2:$H$1780)+COUNTIF($H$2:H759,H759)-1,"")</f>
        <v/>
      </c>
      <c r="AA759" s="56" t="str">
        <f aca="false">IF(AC759="","",RANK(AC759,$AC$2:$AC$1780)+COUNTIF($AC$2:AC759,AC759)-1)</f>
        <v/>
      </c>
      <c r="AB759" s="56" t="str">
        <f aca="false">IF(AD759="","",RANK(AD759,$AD$2:$AD$1780)+COUNTIF($AD$2:AD759,AD759)-1)</f>
        <v/>
      </c>
      <c r="AC759" s="56" t="str">
        <f aca="false">IF(AND(F759&gt;0,E759&gt;=Settings!$B$4),J759,"")</f>
        <v/>
      </c>
      <c r="AD759" s="56" t="str">
        <f aca="false">IF(X759="HIGH RATE",O759,"")</f>
        <v/>
      </c>
    </row>
    <row r="760" customFormat="false" ht="15" hidden="false" customHeight="false" outlineLevel="0" collapsed="false">
      <c r="A760" s="56" t="s">
        <v>2009</v>
      </c>
      <c r="B760" s="56" t="s">
        <v>1160</v>
      </c>
      <c r="C760" s="56" t="s">
        <v>51</v>
      </c>
      <c r="D760" s="56" t="str">
        <f aca="false">IFERROR(INDEX('Brand Map'!$B$4:$B$124,MATCH(C760,'Brand Map'!$A$4:$A$124,0)),"Other")</f>
        <v>AU</v>
      </c>
      <c r="E760" s="57" t="n">
        <v>3</v>
      </c>
      <c r="F760" s="57" t="n">
        <v>0</v>
      </c>
      <c r="G760" s="58" t="n">
        <v>419.85</v>
      </c>
      <c r="H760" s="58" t="n">
        <v>0</v>
      </c>
      <c r="I760" s="58" t="n">
        <v>419.85</v>
      </c>
      <c r="J760" s="32" t="n">
        <f aca="false">IF(E760&gt;0,F760/E760,0)</f>
        <v>0</v>
      </c>
      <c r="K760" s="32" t="n">
        <f aca="false">IF(G760&gt;0,H760/G760,0)</f>
        <v>-0</v>
      </c>
      <c r="L760" s="59" t="n">
        <f aca="false">H760/Settings!$B$16</f>
        <v>-0</v>
      </c>
      <c r="M760" s="59" t="n">
        <f aca="false">H760/Settings!$B$20</f>
        <v>-0</v>
      </c>
      <c r="N760" s="60" t="n">
        <f aca="false">E760*Settings!$B$3</f>
        <v>0.0929584532394613</v>
      </c>
      <c r="O760" s="60" t="n">
        <f aca="false">IF(E760&gt;0,(F760-N760)/SQRT(E760*Settings!$B$3*(1-Settings!$B$3)),0)</f>
        <v>-0.30972727558513</v>
      </c>
      <c r="P760" s="60" t="n">
        <f aca="false">MAX(0,F760-N760)</f>
        <v>0</v>
      </c>
      <c r="Q760" s="32" t="n">
        <f aca="false">(F760+Settings!$B$7*Settings!$B$3)/(E760+Settings!$B$7)</f>
        <v>0.0281692282543822</v>
      </c>
      <c r="R760" s="61" t="n">
        <f aca="false">PERCENTRANK($H$2:$H$1780,H760,6)</f>
        <v>0</v>
      </c>
      <c r="S760" s="61" t="n">
        <f aca="false">PERCENTRANK($Q$2:$Q$1780,Q760,6)</f>
        <v>0.294151</v>
      </c>
      <c r="T760" s="61" t="n">
        <f aca="false">PERCENTRANK($F$2:$F$1780,F760,6)</f>
        <v>0</v>
      </c>
      <c r="U760" s="62" t="n">
        <f aca="false">IF(F760&gt;0,(Settings!$B$8*T760+Settings!$B$9*R760+Settings!$B$10*S760)/SUM(Settings!$B$8:$B$10),0)</f>
        <v>0</v>
      </c>
      <c r="V760" s="56" t="str">
        <f aca="false">IF(U760&gt;0,RANK(U760,$U$2:$U$1780)+COUNTIF($U$2:U760,U760)-1,"")</f>
        <v/>
      </c>
      <c r="W760" s="56" t="str">
        <f aca="false">IF(V760="","",IF(V760&lt;=Settings!$B$11,"1 - Fix first",IF(V760&lt;=Settings!$B$12,"2 - Review","3 - Monitor")))</f>
        <v/>
      </c>
      <c r="X760" s="56" t="str">
        <f aca="false">IF(AND(E760&gt;=Settings!$B$4,F760&gt;=Settings!$B$5,O760&gt;=Settings!$B$6),"HIGH RATE","")</f>
        <v/>
      </c>
      <c r="Y760" s="56" t="str">
        <f aca="false">IF(F760&gt;0,RANK(F760,$F$2:$F$1780)+COUNTIF($F$2:F760,F760)-1,"")</f>
        <v/>
      </c>
      <c r="Z760" s="56" t="str">
        <f aca="false">IF(H760&gt;0,RANK(H760,$H$2:$H$1780)+COUNTIF($H$2:H760,H760)-1,"")</f>
        <v/>
      </c>
      <c r="AA760" s="56" t="str">
        <f aca="false">IF(AC760="","",RANK(AC760,$AC$2:$AC$1780)+COUNTIF($AC$2:AC760,AC760)-1)</f>
        <v/>
      </c>
      <c r="AB760" s="56" t="str">
        <f aca="false">IF(AD760="","",RANK(AD760,$AD$2:$AD$1780)+COUNTIF($AD$2:AD760,AD760)-1)</f>
        <v/>
      </c>
      <c r="AC760" s="56" t="str">
        <f aca="false">IF(AND(F760&gt;0,E760&gt;=Settings!$B$4),J760,"")</f>
        <v/>
      </c>
      <c r="AD760" s="56" t="str">
        <f aca="false">IF(X760="HIGH RATE",O760,"")</f>
        <v/>
      </c>
    </row>
    <row r="761" customFormat="false" ht="15" hidden="false" customHeight="false" outlineLevel="0" collapsed="false">
      <c r="A761" s="56" t="s">
        <v>2010</v>
      </c>
      <c r="B761" s="56" t="s">
        <v>1160</v>
      </c>
      <c r="C761" s="56" t="s">
        <v>51</v>
      </c>
      <c r="D761" s="56" t="str">
        <f aca="false">IFERROR(INDEX('Brand Map'!$B$4:$B$124,MATCH(C761,'Brand Map'!$A$4:$A$124,0)),"Other")</f>
        <v>AU</v>
      </c>
      <c r="E761" s="57" t="n">
        <v>9</v>
      </c>
      <c r="F761" s="57" t="n">
        <v>0</v>
      </c>
      <c r="G761" s="58" t="n">
        <v>854.55</v>
      </c>
      <c r="H761" s="58" t="n">
        <v>0</v>
      </c>
      <c r="I761" s="58" t="n">
        <v>854.55</v>
      </c>
      <c r="J761" s="32" t="n">
        <f aca="false">IF(E761&gt;0,F761/E761,0)</f>
        <v>0</v>
      </c>
      <c r="K761" s="32" t="n">
        <f aca="false">IF(G761&gt;0,H761/G761,0)</f>
        <v>-0</v>
      </c>
      <c r="L761" s="59" t="n">
        <f aca="false">H761/Settings!$B$16</f>
        <v>-0</v>
      </c>
      <c r="M761" s="59" t="n">
        <f aca="false">H761/Settings!$B$20</f>
        <v>-0</v>
      </c>
      <c r="N761" s="60" t="n">
        <f aca="false">E761*Settings!$B$3</f>
        <v>0.278875359718384</v>
      </c>
      <c r="O761" s="60" t="n">
        <f aca="false">IF(E761&gt;0,(F761-N761)/SQRT(E761*Settings!$B$3*(1-Settings!$B$3)),0)</f>
        <v>-0.536463377803332</v>
      </c>
      <c r="P761" s="60" t="n">
        <f aca="false">MAX(0,F761-N761)</f>
        <v>0</v>
      </c>
      <c r="Q761" s="32" t="n">
        <f aca="false">(F761+Settings!$B$7*Settings!$B$3)/(E761+Settings!$B$7)</f>
        <v>0.0238355008306311</v>
      </c>
      <c r="R761" s="61" t="n">
        <f aca="false">PERCENTRANK($H$2:$H$1780,H761,6)</f>
        <v>0</v>
      </c>
      <c r="S761" s="61" t="n">
        <f aca="false">PERCENTRANK($Q$2:$Q$1780,Q761,6)</f>
        <v>0.142857</v>
      </c>
      <c r="T761" s="61" t="n">
        <f aca="false">PERCENTRANK($F$2:$F$1780,F761,6)</f>
        <v>0</v>
      </c>
      <c r="U761" s="62" t="n">
        <f aca="false">IF(F761&gt;0,(Settings!$B$8*T761+Settings!$B$9*R761+Settings!$B$10*S761)/SUM(Settings!$B$8:$B$10),0)</f>
        <v>0</v>
      </c>
      <c r="V761" s="56" t="str">
        <f aca="false">IF(U761&gt;0,RANK(U761,$U$2:$U$1780)+COUNTIF($U$2:U761,U761)-1,"")</f>
        <v/>
      </c>
      <c r="W761" s="56" t="str">
        <f aca="false">IF(V761="","",IF(V761&lt;=Settings!$B$11,"1 - Fix first",IF(V761&lt;=Settings!$B$12,"2 - Review","3 - Monitor")))</f>
        <v/>
      </c>
      <c r="X761" s="56" t="str">
        <f aca="false">IF(AND(E761&gt;=Settings!$B$4,F761&gt;=Settings!$B$5,O761&gt;=Settings!$B$6),"HIGH RATE","")</f>
        <v/>
      </c>
      <c r="Y761" s="56" t="str">
        <f aca="false">IF(F761&gt;0,RANK(F761,$F$2:$F$1780)+COUNTIF($F$2:F761,F761)-1,"")</f>
        <v/>
      </c>
      <c r="Z761" s="56" t="str">
        <f aca="false">IF(H761&gt;0,RANK(H761,$H$2:$H$1780)+COUNTIF($H$2:H761,H761)-1,"")</f>
        <v/>
      </c>
      <c r="AA761" s="56" t="str">
        <f aca="false">IF(AC761="","",RANK(AC761,$AC$2:$AC$1780)+COUNTIF($AC$2:AC761,AC761)-1)</f>
        <v/>
      </c>
      <c r="AB761" s="56" t="str">
        <f aca="false">IF(AD761="","",RANK(AD761,$AD$2:$AD$1780)+COUNTIF($AD$2:AD761,AD761)-1)</f>
        <v/>
      </c>
      <c r="AC761" s="56" t="str">
        <f aca="false">IF(AND(F761&gt;0,E761&gt;=Settings!$B$4),J761,"")</f>
        <v/>
      </c>
      <c r="AD761" s="56" t="str">
        <f aca="false">IF(X761="HIGH RATE",O761,"")</f>
        <v/>
      </c>
    </row>
    <row r="762" customFormat="false" ht="15" hidden="false" customHeight="false" outlineLevel="0" collapsed="false">
      <c r="A762" s="56" t="s">
        <v>2011</v>
      </c>
      <c r="B762" s="56" t="s">
        <v>2012</v>
      </c>
      <c r="C762" s="56" t="s">
        <v>51</v>
      </c>
      <c r="D762" s="56" t="str">
        <f aca="false">IFERROR(INDEX('Brand Map'!$B$4:$B$124,MATCH(C762,'Brand Map'!$A$4:$A$124,0)),"Other")</f>
        <v>AU</v>
      </c>
      <c r="E762" s="57" t="n">
        <v>11</v>
      </c>
      <c r="F762" s="57" t="n">
        <v>0</v>
      </c>
      <c r="G762" s="58" t="n">
        <v>1242.64</v>
      </c>
      <c r="H762" s="58" t="n">
        <v>0</v>
      </c>
      <c r="I762" s="58" t="n">
        <v>1189.16</v>
      </c>
      <c r="J762" s="32" t="n">
        <f aca="false">IF(E762&gt;0,F762/E762,0)</f>
        <v>0</v>
      </c>
      <c r="K762" s="32" t="n">
        <f aca="false">IF(G762&gt;0,H762/G762,0)</f>
        <v>-0</v>
      </c>
      <c r="L762" s="59" t="n">
        <f aca="false">H762/Settings!$B$16</f>
        <v>-0</v>
      </c>
      <c r="M762" s="59" t="n">
        <f aca="false">H762/Settings!$B$20</f>
        <v>-0</v>
      </c>
      <c r="N762" s="60" t="n">
        <f aca="false">E762*Settings!$B$3</f>
        <v>0.340847661878025</v>
      </c>
      <c r="O762" s="60" t="n">
        <f aca="false">IF(E762&gt;0,(F762-N762)/SQRT(E762*Settings!$B$3*(1-Settings!$B$3)),0)</f>
        <v>-0.593082579313442</v>
      </c>
      <c r="P762" s="60" t="n">
        <f aca="false">MAX(0,F762-N762)</f>
        <v>0</v>
      </c>
      <c r="Q762" s="32" t="n">
        <f aca="false">(F762+Settings!$B$7*Settings!$B$3)/(E762+Settings!$B$7)</f>
        <v>0.0226727934730393</v>
      </c>
      <c r="R762" s="61" t="n">
        <f aca="false">PERCENTRANK($H$2:$H$1780,H762,6)</f>
        <v>0</v>
      </c>
      <c r="S762" s="61" t="n">
        <f aca="false">PERCENTRANK($Q$2:$Q$1780,Q762,6)</f>
        <v>0.117548</v>
      </c>
      <c r="T762" s="61" t="n">
        <f aca="false">PERCENTRANK($F$2:$F$1780,F762,6)</f>
        <v>0</v>
      </c>
      <c r="U762" s="62" t="n">
        <f aca="false">IF(F762&gt;0,(Settings!$B$8*T762+Settings!$B$9*R762+Settings!$B$10*S762)/SUM(Settings!$B$8:$B$10),0)</f>
        <v>0</v>
      </c>
      <c r="V762" s="56" t="str">
        <f aca="false">IF(U762&gt;0,RANK(U762,$U$2:$U$1780)+COUNTIF($U$2:U762,U762)-1,"")</f>
        <v/>
      </c>
      <c r="W762" s="56" t="str">
        <f aca="false">IF(V762="","",IF(V762&lt;=Settings!$B$11,"1 - Fix first",IF(V762&lt;=Settings!$B$12,"2 - Review","3 - Monitor")))</f>
        <v/>
      </c>
      <c r="X762" s="56" t="str">
        <f aca="false">IF(AND(E762&gt;=Settings!$B$4,F762&gt;=Settings!$B$5,O762&gt;=Settings!$B$6),"HIGH RATE","")</f>
        <v/>
      </c>
      <c r="Y762" s="56" t="str">
        <f aca="false">IF(F762&gt;0,RANK(F762,$F$2:$F$1780)+COUNTIF($F$2:F762,F762)-1,"")</f>
        <v/>
      </c>
      <c r="Z762" s="56" t="str">
        <f aca="false">IF(H762&gt;0,RANK(H762,$H$2:$H$1780)+COUNTIF($H$2:H762,H762)-1,"")</f>
        <v/>
      </c>
      <c r="AA762" s="56" t="str">
        <f aca="false">IF(AC762="","",RANK(AC762,$AC$2:$AC$1780)+COUNTIF($AC$2:AC762,AC762)-1)</f>
        <v/>
      </c>
      <c r="AB762" s="56" t="str">
        <f aca="false">IF(AD762="","",RANK(AD762,$AD$2:$AD$1780)+COUNTIF($AD$2:AD762,AD762)-1)</f>
        <v/>
      </c>
      <c r="AC762" s="56" t="str">
        <f aca="false">IF(AND(F762&gt;0,E762&gt;=Settings!$B$4),J762,"")</f>
        <v/>
      </c>
      <c r="AD762" s="56" t="str">
        <f aca="false">IF(X762="HIGH RATE",O762,"")</f>
        <v/>
      </c>
    </row>
    <row r="763" customFormat="false" ht="15" hidden="false" customHeight="false" outlineLevel="0" collapsed="false">
      <c r="A763" s="56" t="s">
        <v>2013</v>
      </c>
      <c r="B763" s="56" t="s">
        <v>2014</v>
      </c>
      <c r="C763" s="56" t="s">
        <v>51</v>
      </c>
      <c r="D763" s="56" t="str">
        <f aca="false">IFERROR(INDEX('Brand Map'!$B$4:$B$124,MATCH(C763,'Brand Map'!$A$4:$A$124,0)),"Other")</f>
        <v>AU</v>
      </c>
      <c r="E763" s="57" t="n">
        <v>2</v>
      </c>
      <c r="F763" s="57" t="n">
        <v>0</v>
      </c>
      <c r="G763" s="58" t="n">
        <v>1388.08</v>
      </c>
      <c r="H763" s="58" t="n">
        <v>0</v>
      </c>
      <c r="I763" s="58" t="n">
        <v>1295.37</v>
      </c>
      <c r="J763" s="32" t="n">
        <f aca="false">IF(E763&gt;0,F763/E763,0)</f>
        <v>0</v>
      </c>
      <c r="K763" s="32" t="n">
        <f aca="false">IF(G763&gt;0,H763/G763,0)</f>
        <v>-0</v>
      </c>
      <c r="L763" s="59" t="n">
        <f aca="false">H763/Settings!$B$16</f>
        <v>-0</v>
      </c>
      <c r="M763" s="59" t="n">
        <f aca="false">H763/Settings!$B$20</f>
        <v>-0</v>
      </c>
      <c r="N763" s="60" t="n">
        <f aca="false">E763*Settings!$B$3</f>
        <v>0.0619723021596408</v>
      </c>
      <c r="O763" s="60" t="n">
        <f aca="false">IF(E763&gt;0,(F763-N763)/SQRT(E763*Settings!$B$3*(1-Settings!$B$3)),0)</f>
        <v>-0.252891261535318</v>
      </c>
      <c r="P763" s="60" t="n">
        <f aca="false">MAX(0,F763-N763)</f>
        <v>0</v>
      </c>
      <c r="Q763" s="32" t="n">
        <f aca="false">(F763+Settings!$B$7*Settings!$B$3)/(E763+Settings!$B$7)</f>
        <v>0.0290495166373316</v>
      </c>
      <c r="R763" s="61" t="n">
        <f aca="false">PERCENTRANK($H$2:$H$1780,H763,6)</f>
        <v>0</v>
      </c>
      <c r="S763" s="61" t="n">
        <f aca="false">PERCENTRANK($Q$2:$Q$1780,Q763,6)</f>
        <v>0.365579</v>
      </c>
      <c r="T763" s="61" t="n">
        <f aca="false">PERCENTRANK($F$2:$F$1780,F763,6)</f>
        <v>0</v>
      </c>
      <c r="U763" s="62" t="n">
        <f aca="false">IF(F763&gt;0,(Settings!$B$8*T763+Settings!$B$9*R763+Settings!$B$10*S763)/SUM(Settings!$B$8:$B$10),0)</f>
        <v>0</v>
      </c>
      <c r="V763" s="56" t="str">
        <f aca="false">IF(U763&gt;0,RANK(U763,$U$2:$U$1780)+COUNTIF($U$2:U763,U763)-1,"")</f>
        <v/>
      </c>
      <c r="W763" s="56" t="str">
        <f aca="false">IF(V763="","",IF(V763&lt;=Settings!$B$11,"1 - Fix first",IF(V763&lt;=Settings!$B$12,"2 - Review","3 - Monitor")))</f>
        <v/>
      </c>
      <c r="X763" s="56" t="str">
        <f aca="false">IF(AND(E763&gt;=Settings!$B$4,F763&gt;=Settings!$B$5,O763&gt;=Settings!$B$6),"HIGH RATE","")</f>
        <v/>
      </c>
      <c r="Y763" s="56" t="str">
        <f aca="false">IF(F763&gt;0,RANK(F763,$F$2:$F$1780)+COUNTIF($F$2:F763,F763)-1,"")</f>
        <v/>
      </c>
      <c r="Z763" s="56" t="str">
        <f aca="false">IF(H763&gt;0,RANK(H763,$H$2:$H$1780)+COUNTIF($H$2:H763,H763)-1,"")</f>
        <v/>
      </c>
      <c r="AA763" s="56" t="str">
        <f aca="false">IF(AC763="","",RANK(AC763,$AC$2:$AC$1780)+COUNTIF($AC$2:AC763,AC763)-1)</f>
        <v/>
      </c>
      <c r="AB763" s="56" t="str">
        <f aca="false">IF(AD763="","",RANK(AD763,$AD$2:$AD$1780)+COUNTIF($AD$2:AD763,AD763)-1)</f>
        <v/>
      </c>
      <c r="AC763" s="56" t="str">
        <f aca="false">IF(AND(F763&gt;0,E763&gt;=Settings!$B$4),J763,"")</f>
        <v/>
      </c>
      <c r="AD763" s="56" t="str">
        <f aca="false">IF(X763="HIGH RATE",O763,"")</f>
        <v/>
      </c>
    </row>
    <row r="764" customFormat="false" ht="15" hidden="false" customHeight="false" outlineLevel="0" collapsed="false">
      <c r="A764" s="56" t="s">
        <v>2015</v>
      </c>
      <c r="B764" s="56" t="s">
        <v>900</v>
      </c>
      <c r="C764" s="56" t="s">
        <v>51</v>
      </c>
      <c r="D764" s="56" t="str">
        <f aca="false">IFERROR(INDEX('Brand Map'!$B$4:$B$124,MATCH(C764,'Brand Map'!$A$4:$A$124,0)),"Other")</f>
        <v>AU</v>
      </c>
      <c r="E764" s="57" t="n">
        <v>1</v>
      </c>
      <c r="F764" s="57" t="n">
        <v>0</v>
      </c>
      <c r="G764" s="58" t="n">
        <v>315.95</v>
      </c>
      <c r="H764" s="58" t="n">
        <v>0</v>
      </c>
      <c r="I764" s="58" t="n">
        <v>315.95</v>
      </c>
      <c r="J764" s="32" t="n">
        <f aca="false">IF(E764&gt;0,F764/E764,0)</f>
        <v>0</v>
      </c>
      <c r="K764" s="32" t="n">
        <f aca="false">IF(G764&gt;0,H764/G764,0)</f>
        <v>-0</v>
      </c>
      <c r="L764" s="59" t="n">
        <f aca="false">H764/Settings!$B$16</f>
        <v>-0</v>
      </c>
      <c r="M764" s="59" t="n">
        <f aca="false">H764/Settings!$B$20</f>
        <v>-0</v>
      </c>
      <c r="N764" s="60" t="n">
        <f aca="false">E764*Settings!$B$3</f>
        <v>0.0309861510798204</v>
      </c>
      <c r="O764" s="60" t="n">
        <f aca="false">IF(E764&gt;0,(F764-N764)/SQRT(E764*Settings!$B$3*(1-Settings!$B$3)),0)</f>
        <v>-0.178821125934444</v>
      </c>
      <c r="P764" s="60" t="n">
        <f aca="false">MAX(0,F764-N764)</f>
        <v>0</v>
      </c>
      <c r="Q764" s="32" t="n">
        <f aca="false">(F764+Settings!$B$7*Settings!$B$3)/(E764+Settings!$B$7)</f>
        <v>0.0299865978191811</v>
      </c>
      <c r="R764" s="61" t="n">
        <f aca="false">PERCENTRANK($H$2:$H$1780,H764,6)</f>
        <v>0</v>
      </c>
      <c r="S764" s="61" t="n">
        <f aca="false">PERCENTRANK($Q$2:$Q$1780,Q764,6)</f>
        <v>0.486502</v>
      </c>
      <c r="T764" s="61" t="n">
        <f aca="false">PERCENTRANK($F$2:$F$1780,F764,6)</f>
        <v>0</v>
      </c>
      <c r="U764" s="62" t="n">
        <f aca="false">IF(F764&gt;0,(Settings!$B$8*T764+Settings!$B$9*R764+Settings!$B$10*S764)/SUM(Settings!$B$8:$B$10),0)</f>
        <v>0</v>
      </c>
      <c r="V764" s="56" t="str">
        <f aca="false">IF(U764&gt;0,RANK(U764,$U$2:$U$1780)+COUNTIF($U$2:U764,U764)-1,"")</f>
        <v/>
      </c>
      <c r="W764" s="56" t="str">
        <f aca="false">IF(V764="","",IF(V764&lt;=Settings!$B$11,"1 - Fix first",IF(V764&lt;=Settings!$B$12,"2 - Review","3 - Monitor")))</f>
        <v/>
      </c>
      <c r="X764" s="56" t="str">
        <f aca="false">IF(AND(E764&gt;=Settings!$B$4,F764&gt;=Settings!$B$5,O764&gt;=Settings!$B$6),"HIGH RATE","")</f>
        <v/>
      </c>
      <c r="Y764" s="56" t="str">
        <f aca="false">IF(F764&gt;0,RANK(F764,$F$2:$F$1780)+COUNTIF($F$2:F764,F764)-1,"")</f>
        <v/>
      </c>
      <c r="Z764" s="56" t="str">
        <f aca="false">IF(H764&gt;0,RANK(H764,$H$2:$H$1780)+COUNTIF($H$2:H764,H764)-1,"")</f>
        <v/>
      </c>
      <c r="AA764" s="56" t="str">
        <f aca="false">IF(AC764="","",RANK(AC764,$AC$2:$AC$1780)+COUNTIF($AC$2:AC764,AC764)-1)</f>
        <v/>
      </c>
      <c r="AB764" s="56" t="str">
        <f aca="false">IF(AD764="","",RANK(AD764,$AD$2:$AD$1780)+COUNTIF($AD$2:AD764,AD764)-1)</f>
        <v/>
      </c>
      <c r="AC764" s="56" t="str">
        <f aca="false">IF(AND(F764&gt;0,E764&gt;=Settings!$B$4),J764,"")</f>
        <v/>
      </c>
      <c r="AD764" s="56" t="str">
        <f aca="false">IF(X764="HIGH RATE",O764,"")</f>
        <v/>
      </c>
    </row>
    <row r="765" customFormat="false" ht="15" hidden="false" customHeight="false" outlineLevel="0" collapsed="false">
      <c r="A765" s="56" t="s">
        <v>2016</v>
      </c>
      <c r="B765" s="56" t="s">
        <v>900</v>
      </c>
      <c r="C765" s="56" t="s">
        <v>51</v>
      </c>
      <c r="D765" s="56" t="str">
        <f aca="false">IFERROR(INDEX('Brand Map'!$B$4:$B$124,MATCH(C765,'Brand Map'!$A$4:$A$124,0)),"Other")</f>
        <v>AU</v>
      </c>
      <c r="E765" s="57" t="n">
        <v>1</v>
      </c>
      <c r="F765" s="57" t="n">
        <v>0</v>
      </c>
      <c r="G765" s="58" t="n">
        <v>380.95</v>
      </c>
      <c r="H765" s="58" t="n">
        <v>0</v>
      </c>
      <c r="I765" s="58" t="n">
        <v>380.95</v>
      </c>
      <c r="J765" s="32" t="n">
        <f aca="false">IF(E765&gt;0,F765/E765,0)</f>
        <v>0</v>
      </c>
      <c r="K765" s="32" t="n">
        <f aca="false">IF(G765&gt;0,H765/G765,0)</f>
        <v>-0</v>
      </c>
      <c r="L765" s="59" t="n">
        <f aca="false">H765/Settings!$B$16</f>
        <v>-0</v>
      </c>
      <c r="M765" s="59" t="n">
        <f aca="false">H765/Settings!$B$20</f>
        <v>-0</v>
      </c>
      <c r="N765" s="60" t="n">
        <f aca="false">E765*Settings!$B$3</f>
        <v>0.0309861510798204</v>
      </c>
      <c r="O765" s="60" t="n">
        <f aca="false">IF(E765&gt;0,(F765-N765)/SQRT(E765*Settings!$B$3*(1-Settings!$B$3)),0)</f>
        <v>-0.178821125934444</v>
      </c>
      <c r="P765" s="60" t="n">
        <f aca="false">MAX(0,F765-N765)</f>
        <v>0</v>
      </c>
      <c r="Q765" s="32" t="n">
        <f aca="false">(F765+Settings!$B$7*Settings!$B$3)/(E765+Settings!$B$7)</f>
        <v>0.0299865978191811</v>
      </c>
      <c r="R765" s="61" t="n">
        <f aca="false">PERCENTRANK($H$2:$H$1780,H765,6)</f>
        <v>0</v>
      </c>
      <c r="S765" s="61" t="n">
        <f aca="false">PERCENTRANK($Q$2:$Q$1780,Q765,6)</f>
        <v>0.486502</v>
      </c>
      <c r="T765" s="61" t="n">
        <f aca="false">PERCENTRANK($F$2:$F$1780,F765,6)</f>
        <v>0</v>
      </c>
      <c r="U765" s="62" t="n">
        <f aca="false">IF(F765&gt;0,(Settings!$B$8*T765+Settings!$B$9*R765+Settings!$B$10*S765)/SUM(Settings!$B$8:$B$10),0)</f>
        <v>0</v>
      </c>
      <c r="V765" s="56" t="str">
        <f aca="false">IF(U765&gt;0,RANK(U765,$U$2:$U$1780)+COUNTIF($U$2:U765,U765)-1,"")</f>
        <v/>
      </c>
      <c r="W765" s="56" t="str">
        <f aca="false">IF(V765="","",IF(V765&lt;=Settings!$B$11,"1 - Fix first",IF(V765&lt;=Settings!$B$12,"2 - Review","3 - Monitor")))</f>
        <v/>
      </c>
      <c r="X765" s="56" t="str">
        <f aca="false">IF(AND(E765&gt;=Settings!$B$4,F765&gt;=Settings!$B$5,O765&gt;=Settings!$B$6),"HIGH RATE","")</f>
        <v/>
      </c>
      <c r="Y765" s="56" t="str">
        <f aca="false">IF(F765&gt;0,RANK(F765,$F$2:$F$1780)+COUNTIF($F$2:F765,F765)-1,"")</f>
        <v/>
      </c>
      <c r="Z765" s="56" t="str">
        <f aca="false">IF(H765&gt;0,RANK(H765,$H$2:$H$1780)+COUNTIF($H$2:H765,H765)-1,"")</f>
        <v/>
      </c>
      <c r="AA765" s="56" t="str">
        <f aca="false">IF(AC765="","",RANK(AC765,$AC$2:$AC$1780)+COUNTIF($AC$2:AC765,AC765)-1)</f>
        <v/>
      </c>
      <c r="AB765" s="56" t="str">
        <f aca="false">IF(AD765="","",RANK(AD765,$AD$2:$AD$1780)+COUNTIF($AD$2:AD765,AD765)-1)</f>
        <v/>
      </c>
      <c r="AC765" s="56" t="str">
        <f aca="false">IF(AND(F765&gt;0,E765&gt;=Settings!$B$4),J765,"")</f>
        <v/>
      </c>
      <c r="AD765" s="56" t="str">
        <f aca="false">IF(X765="HIGH RATE",O765,"")</f>
        <v/>
      </c>
    </row>
    <row r="766" customFormat="false" ht="15" hidden="false" customHeight="false" outlineLevel="0" collapsed="false">
      <c r="A766" s="56" t="s">
        <v>2017</v>
      </c>
      <c r="B766" s="56" t="s">
        <v>2018</v>
      </c>
      <c r="C766" s="56" t="s">
        <v>51</v>
      </c>
      <c r="D766" s="56" t="str">
        <f aca="false">IFERROR(INDEX('Brand Map'!$B$4:$B$124,MATCH(C766,'Brand Map'!$A$4:$A$124,0)),"Other")</f>
        <v>AU</v>
      </c>
      <c r="E766" s="57" t="n">
        <v>1</v>
      </c>
      <c r="F766" s="57" t="n">
        <v>0</v>
      </c>
      <c r="G766" s="58" t="n">
        <v>114.95</v>
      </c>
      <c r="H766" s="58" t="n">
        <v>0</v>
      </c>
      <c r="I766" s="58" t="n">
        <v>114.95</v>
      </c>
      <c r="J766" s="32" t="n">
        <f aca="false">IF(E766&gt;0,F766/E766,0)</f>
        <v>0</v>
      </c>
      <c r="K766" s="32" t="n">
        <f aca="false">IF(G766&gt;0,H766/G766,0)</f>
        <v>-0</v>
      </c>
      <c r="L766" s="59" t="n">
        <f aca="false">H766/Settings!$B$16</f>
        <v>-0</v>
      </c>
      <c r="M766" s="59" t="n">
        <f aca="false">H766/Settings!$B$20</f>
        <v>-0</v>
      </c>
      <c r="N766" s="60" t="n">
        <f aca="false">E766*Settings!$B$3</f>
        <v>0.0309861510798204</v>
      </c>
      <c r="O766" s="60" t="n">
        <f aca="false">IF(E766&gt;0,(F766-N766)/SQRT(E766*Settings!$B$3*(1-Settings!$B$3)),0)</f>
        <v>-0.178821125934444</v>
      </c>
      <c r="P766" s="60" t="n">
        <f aca="false">MAX(0,F766-N766)</f>
        <v>0</v>
      </c>
      <c r="Q766" s="32" t="n">
        <f aca="false">(F766+Settings!$B$7*Settings!$B$3)/(E766+Settings!$B$7)</f>
        <v>0.0299865978191811</v>
      </c>
      <c r="R766" s="61" t="n">
        <f aca="false">PERCENTRANK($H$2:$H$1780,H766,6)</f>
        <v>0</v>
      </c>
      <c r="S766" s="61" t="n">
        <f aca="false">PERCENTRANK($Q$2:$Q$1780,Q766,6)</f>
        <v>0.486502</v>
      </c>
      <c r="T766" s="61" t="n">
        <f aca="false">PERCENTRANK($F$2:$F$1780,F766,6)</f>
        <v>0</v>
      </c>
      <c r="U766" s="62" t="n">
        <f aca="false">IF(F766&gt;0,(Settings!$B$8*T766+Settings!$B$9*R766+Settings!$B$10*S766)/SUM(Settings!$B$8:$B$10),0)</f>
        <v>0</v>
      </c>
      <c r="V766" s="56" t="str">
        <f aca="false">IF(U766&gt;0,RANK(U766,$U$2:$U$1780)+COUNTIF($U$2:U766,U766)-1,"")</f>
        <v/>
      </c>
      <c r="W766" s="56" t="str">
        <f aca="false">IF(V766="","",IF(V766&lt;=Settings!$B$11,"1 - Fix first",IF(V766&lt;=Settings!$B$12,"2 - Review","3 - Monitor")))</f>
        <v/>
      </c>
      <c r="X766" s="56" t="str">
        <f aca="false">IF(AND(E766&gt;=Settings!$B$4,F766&gt;=Settings!$B$5,O766&gt;=Settings!$B$6),"HIGH RATE","")</f>
        <v/>
      </c>
      <c r="Y766" s="56" t="str">
        <f aca="false">IF(F766&gt;0,RANK(F766,$F$2:$F$1780)+COUNTIF($F$2:F766,F766)-1,"")</f>
        <v/>
      </c>
      <c r="Z766" s="56" t="str">
        <f aca="false">IF(H766&gt;0,RANK(H766,$H$2:$H$1780)+COUNTIF($H$2:H766,H766)-1,"")</f>
        <v/>
      </c>
      <c r="AA766" s="56" t="str">
        <f aca="false">IF(AC766="","",RANK(AC766,$AC$2:$AC$1780)+COUNTIF($AC$2:AC766,AC766)-1)</f>
        <v/>
      </c>
      <c r="AB766" s="56" t="str">
        <f aca="false">IF(AD766="","",RANK(AD766,$AD$2:$AD$1780)+COUNTIF($AD$2:AD766,AD766)-1)</f>
        <v/>
      </c>
      <c r="AC766" s="56" t="str">
        <f aca="false">IF(AND(F766&gt;0,E766&gt;=Settings!$B$4),J766,"")</f>
        <v/>
      </c>
      <c r="AD766" s="56" t="str">
        <f aca="false">IF(X766="HIGH RATE",O766,"")</f>
        <v/>
      </c>
    </row>
    <row r="767" customFormat="false" ht="15" hidden="false" customHeight="false" outlineLevel="0" collapsed="false">
      <c r="A767" s="56" t="s">
        <v>2019</v>
      </c>
      <c r="B767" s="56" t="s">
        <v>2018</v>
      </c>
      <c r="C767" s="56" t="s">
        <v>51</v>
      </c>
      <c r="D767" s="56" t="str">
        <f aca="false">IFERROR(INDEX('Brand Map'!$B$4:$B$124,MATCH(C767,'Brand Map'!$A$4:$A$124,0)),"Other")</f>
        <v>AU</v>
      </c>
      <c r="E767" s="57" t="n">
        <v>1</v>
      </c>
      <c r="F767" s="57" t="n">
        <v>0</v>
      </c>
      <c r="G767" s="58" t="n">
        <v>144.95</v>
      </c>
      <c r="H767" s="58" t="n">
        <v>0</v>
      </c>
      <c r="I767" s="58" t="n">
        <v>144.95</v>
      </c>
      <c r="J767" s="32" t="n">
        <f aca="false">IF(E767&gt;0,F767/E767,0)</f>
        <v>0</v>
      </c>
      <c r="K767" s="32" t="n">
        <f aca="false">IF(G767&gt;0,H767/G767,0)</f>
        <v>-0</v>
      </c>
      <c r="L767" s="59" t="n">
        <f aca="false">H767/Settings!$B$16</f>
        <v>-0</v>
      </c>
      <c r="M767" s="59" t="n">
        <f aca="false">H767/Settings!$B$20</f>
        <v>-0</v>
      </c>
      <c r="N767" s="60" t="n">
        <f aca="false">E767*Settings!$B$3</f>
        <v>0.0309861510798204</v>
      </c>
      <c r="O767" s="60" t="n">
        <f aca="false">IF(E767&gt;0,(F767-N767)/SQRT(E767*Settings!$B$3*(1-Settings!$B$3)),0)</f>
        <v>-0.178821125934444</v>
      </c>
      <c r="P767" s="60" t="n">
        <f aca="false">MAX(0,F767-N767)</f>
        <v>0</v>
      </c>
      <c r="Q767" s="32" t="n">
        <f aca="false">(F767+Settings!$B$7*Settings!$B$3)/(E767+Settings!$B$7)</f>
        <v>0.0299865978191811</v>
      </c>
      <c r="R767" s="61" t="n">
        <f aca="false">PERCENTRANK($H$2:$H$1780,H767,6)</f>
        <v>0</v>
      </c>
      <c r="S767" s="61" t="n">
        <f aca="false">PERCENTRANK($Q$2:$Q$1780,Q767,6)</f>
        <v>0.486502</v>
      </c>
      <c r="T767" s="61" t="n">
        <f aca="false">PERCENTRANK($F$2:$F$1780,F767,6)</f>
        <v>0</v>
      </c>
      <c r="U767" s="62" t="n">
        <f aca="false">IF(F767&gt;0,(Settings!$B$8*T767+Settings!$B$9*R767+Settings!$B$10*S767)/SUM(Settings!$B$8:$B$10),0)</f>
        <v>0</v>
      </c>
      <c r="V767" s="56" t="str">
        <f aca="false">IF(U767&gt;0,RANK(U767,$U$2:$U$1780)+COUNTIF($U$2:U767,U767)-1,"")</f>
        <v/>
      </c>
      <c r="W767" s="56" t="str">
        <f aca="false">IF(V767="","",IF(V767&lt;=Settings!$B$11,"1 - Fix first",IF(V767&lt;=Settings!$B$12,"2 - Review","3 - Monitor")))</f>
        <v/>
      </c>
      <c r="X767" s="56" t="str">
        <f aca="false">IF(AND(E767&gt;=Settings!$B$4,F767&gt;=Settings!$B$5,O767&gt;=Settings!$B$6),"HIGH RATE","")</f>
        <v/>
      </c>
      <c r="Y767" s="56" t="str">
        <f aca="false">IF(F767&gt;0,RANK(F767,$F$2:$F$1780)+COUNTIF($F$2:F767,F767)-1,"")</f>
        <v/>
      </c>
      <c r="Z767" s="56" t="str">
        <f aca="false">IF(H767&gt;0,RANK(H767,$H$2:$H$1780)+COUNTIF($H$2:H767,H767)-1,"")</f>
        <v/>
      </c>
      <c r="AA767" s="56" t="str">
        <f aca="false">IF(AC767="","",RANK(AC767,$AC$2:$AC$1780)+COUNTIF($AC$2:AC767,AC767)-1)</f>
        <v/>
      </c>
      <c r="AB767" s="56" t="str">
        <f aca="false">IF(AD767="","",RANK(AD767,$AD$2:$AD$1780)+COUNTIF($AD$2:AD767,AD767)-1)</f>
        <v/>
      </c>
      <c r="AC767" s="56" t="str">
        <f aca="false">IF(AND(F767&gt;0,E767&gt;=Settings!$B$4),J767,"")</f>
        <v/>
      </c>
      <c r="AD767" s="56" t="str">
        <f aca="false">IF(X767="HIGH RATE",O767,"")</f>
        <v/>
      </c>
    </row>
    <row r="768" customFormat="false" ht="15" hidden="false" customHeight="false" outlineLevel="0" collapsed="false">
      <c r="A768" s="56" t="s">
        <v>2020</v>
      </c>
      <c r="B768" s="56" t="s">
        <v>2018</v>
      </c>
      <c r="C768" s="56" t="s">
        <v>51</v>
      </c>
      <c r="D768" s="56" t="str">
        <f aca="false">IFERROR(INDEX('Brand Map'!$B$4:$B$124,MATCH(C768,'Brand Map'!$A$4:$A$124,0)),"Other")</f>
        <v>AU</v>
      </c>
      <c r="E768" s="57" t="n">
        <v>2</v>
      </c>
      <c r="F768" s="57" t="n">
        <v>0</v>
      </c>
      <c r="G768" s="58" t="n">
        <v>199.9</v>
      </c>
      <c r="H768" s="58" t="n">
        <v>0</v>
      </c>
      <c r="I768" s="58" t="n">
        <v>199.9</v>
      </c>
      <c r="J768" s="32" t="n">
        <f aca="false">IF(E768&gt;0,F768/E768,0)</f>
        <v>0</v>
      </c>
      <c r="K768" s="32" t="n">
        <f aca="false">IF(G768&gt;0,H768/G768,0)</f>
        <v>-0</v>
      </c>
      <c r="L768" s="59" t="n">
        <f aca="false">H768/Settings!$B$16</f>
        <v>-0</v>
      </c>
      <c r="M768" s="59" t="n">
        <f aca="false">H768/Settings!$B$20</f>
        <v>-0</v>
      </c>
      <c r="N768" s="60" t="n">
        <f aca="false">E768*Settings!$B$3</f>
        <v>0.0619723021596408</v>
      </c>
      <c r="O768" s="60" t="n">
        <f aca="false">IF(E768&gt;0,(F768-N768)/SQRT(E768*Settings!$B$3*(1-Settings!$B$3)),0)</f>
        <v>-0.252891261535318</v>
      </c>
      <c r="P768" s="60" t="n">
        <f aca="false">MAX(0,F768-N768)</f>
        <v>0</v>
      </c>
      <c r="Q768" s="32" t="n">
        <f aca="false">(F768+Settings!$B$7*Settings!$B$3)/(E768+Settings!$B$7)</f>
        <v>0.0290495166373316</v>
      </c>
      <c r="R768" s="61" t="n">
        <f aca="false">PERCENTRANK($H$2:$H$1780,H768,6)</f>
        <v>0</v>
      </c>
      <c r="S768" s="61" t="n">
        <f aca="false">PERCENTRANK($Q$2:$Q$1780,Q768,6)</f>
        <v>0.365579</v>
      </c>
      <c r="T768" s="61" t="n">
        <f aca="false">PERCENTRANK($F$2:$F$1780,F768,6)</f>
        <v>0</v>
      </c>
      <c r="U768" s="62" t="n">
        <f aca="false">IF(F768&gt;0,(Settings!$B$8*T768+Settings!$B$9*R768+Settings!$B$10*S768)/SUM(Settings!$B$8:$B$10),0)</f>
        <v>0</v>
      </c>
      <c r="V768" s="56" t="str">
        <f aca="false">IF(U768&gt;0,RANK(U768,$U$2:$U$1780)+COUNTIF($U$2:U768,U768)-1,"")</f>
        <v/>
      </c>
      <c r="W768" s="56" t="str">
        <f aca="false">IF(V768="","",IF(V768&lt;=Settings!$B$11,"1 - Fix first",IF(V768&lt;=Settings!$B$12,"2 - Review","3 - Monitor")))</f>
        <v/>
      </c>
      <c r="X768" s="56" t="str">
        <f aca="false">IF(AND(E768&gt;=Settings!$B$4,F768&gt;=Settings!$B$5,O768&gt;=Settings!$B$6),"HIGH RATE","")</f>
        <v/>
      </c>
      <c r="Y768" s="56" t="str">
        <f aca="false">IF(F768&gt;0,RANK(F768,$F$2:$F$1780)+COUNTIF($F$2:F768,F768)-1,"")</f>
        <v/>
      </c>
      <c r="Z768" s="56" t="str">
        <f aca="false">IF(H768&gt;0,RANK(H768,$H$2:$H$1780)+COUNTIF($H$2:H768,H768)-1,"")</f>
        <v/>
      </c>
      <c r="AA768" s="56" t="str">
        <f aca="false">IF(AC768="","",RANK(AC768,$AC$2:$AC$1780)+COUNTIF($AC$2:AC768,AC768)-1)</f>
        <v/>
      </c>
      <c r="AB768" s="56" t="str">
        <f aca="false">IF(AD768="","",RANK(AD768,$AD$2:$AD$1780)+COUNTIF($AD$2:AD768,AD768)-1)</f>
        <v/>
      </c>
      <c r="AC768" s="56" t="str">
        <f aca="false">IF(AND(F768&gt;0,E768&gt;=Settings!$B$4),J768,"")</f>
        <v/>
      </c>
      <c r="AD768" s="56" t="str">
        <f aca="false">IF(X768="HIGH RATE",O768,"")</f>
        <v/>
      </c>
    </row>
    <row r="769" customFormat="false" ht="15" hidden="false" customHeight="false" outlineLevel="0" collapsed="false">
      <c r="A769" s="56" t="s">
        <v>2021</v>
      </c>
      <c r="B769" s="56" t="s">
        <v>2022</v>
      </c>
      <c r="C769" s="56" t="s">
        <v>51</v>
      </c>
      <c r="D769" s="56" t="str">
        <f aca="false">IFERROR(INDEX('Brand Map'!$B$4:$B$124,MATCH(C769,'Brand Map'!$A$4:$A$124,0)),"Other")</f>
        <v>AU</v>
      </c>
      <c r="E769" s="57" t="n">
        <v>1</v>
      </c>
      <c r="F769" s="57" t="n">
        <v>0</v>
      </c>
      <c r="G769" s="58" t="n">
        <v>129.95</v>
      </c>
      <c r="H769" s="58" t="n">
        <v>0</v>
      </c>
      <c r="I769" s="58" t="n">
        <v>129.95</v>
      </c>
      <c r="J769" s="32" t="n">
        <f aca="false">IF(E769&gt;0,F769/E769,0)</f>
        <v>0</v>
      </c>
      <c r="K769" s="32" t="n">
        <f aca="false">IF(G769&gt;0,H769/G769,0)</f>
        <v>-0</v>
      </c>
      <c r="L769" s="59" t="n">
        <f aca="false">H769/Settings!$B$16</f>
        <v>-0</v>
      </c>
      <c r="M769" s="59" t="n">
        <f aca="false">H769/Settings!$B$20</f>
        <v>-0</v>
      </c>
      <c r="N769" s="60" t="n">
        <f aca="false">E769*Settings!$B$3</f>
        <v>0.0309861510798204</v>
      </c>
      <c r="O769" s="60" t="n">
        <f aca="false">IF(E769&gt;0,(F769-N769)/SQRT(E769*Settings!$B$3*(1-Settings!$B$3)),0)</f>
        <v>-0.178821125934444</v>
      </c>
      <c r="P769" s="60" t="n">
        <f aca="false">MAX(0,F769-N769)</f>
        <v>0</v>
      </c>
      <c r="Q769" s="32" t="n">
        <f aca="false">(F769+Settings!$B$7*Settings!$B$3)/(E769+Settings!$B$7)</f>
        <v>0.0299865978191811</v>
      </c>
      <c r="R769" s="61" t="n">
        <f aca="false">PERCENTRANK($H$2:$H$1780,H769,6)</f>
        <v>0</v>
      </c>
      <c r="S769" s="61" t="n">
        <f aca="false">PERCENTRANK($Q$2:$Q$1780,Q769,6)</f>
        <v>0.486502</v>
      </c>
      <c r="T769" s="61" t="n">
        <f aca="false">PERCENTRANK($F$2:$F$1780,F769,6)</f>
        <v>0</v>
      </c>
      <c r="U769" s="62" t="n">
        <f aca="false">IF(F769&gt;0,(Settings!$B$8*T769+Settings!$B$9*R769+Settings!$B$10*S769)/SUM(Settings!$B$8:$B$10),0)</f>
        <v>0</v>
      </c>
      <c r="V769" s="56" t="str">
        <f aca="false">IF(U769&gt;0,RANK(U769,$U$2:$U$1780)+COUNTIF($U$2:U769,U769)-1,"")</f>
        <v/>
      </c>
      <c r="W769" s="56" t="str">
        <f aca="false">IF(V769="","",IF(V769&lt;=Settings!$B$11,"1 - Fix first",IF(V769&lt;=Settings!$B$12,"2 - Review","3 - Monitor")))</f>
        <v/>
      </c>
      <c r="X769" s="56" t="str">
        <f aca="false">IF(AND(E769&gt;=Settings!$B$4,F769&gt;=Settings!$B$5,O769&gt;=Settings!$B$6),"HIGH RATE","")</f>
        <v/>
      </c>
      <c r="Y769" s="56" t="str">
        <f aca="false">IF(F769&gt;0,RANK(F769,$F$2:$F$1780)+COUNTIF($F$2:F769,F769)-1,"")</f>
        <v/>
      </c>
      <c r="Z769" s="56" t="str">
        <f aca="false">IF(H769&gt;0,RANK(H769,$H$2:$H$1780)+COUNTIF($H$2:H769,H769)-1,"")</f>
        <v/>
      </c>
      <c r="AA769" s="56" t="str">
        <f aca="false">IF(AC769="","",RANK(AC769,$AC$2:$AC$1780)+COUNTIF($AC$2:AC769,AC769)-1)</f>
        <v/>
      </c>
      <c r="AB769" s="56" t="str">
        <f aca="false">IF(AD769="","",RANK(AD769,$AD$2:$AD$1780)+COUNTIF($AD$2:AD769,AD769)-1)</f>
        <v/>
      </c>
      <c r="AC769" s="56" t="str">
        <f aca="false">IF(AND(F769&gt;0,E769&gt;=Settings!$B$4),J769,"")</f>
        <v/>
      </c>
      <c r="AD769" s="56" t="str">
        <f aca="false">IF(X769="HIGH RATE",O769,"")</f>
        <v/>
      </c>
    </row>
    <row r="770" customFormat="false" ht="15" hidden="false" customHeight="false" outlineLevel="0" collapsed="false">
      <c r="A770" s="56" t="s">
        <v>2023</v>
      </c>
      <c r="B770" s="56" t="s">
        <v>1520</v>
      </c>
      <c r="C770" s="56" t="s">
        <v>51</v>
      </c>
      <c r="D770" s="56" t="str">
        <f aca="false">IFERROR(INDEX('Brand Map'!$B$4:$B$124,MATCH(C770,'Brand Map'!$A$4:$A$124,0)),"Other")</f>
        <v>AU</v>
      </c>
      <c r="E770" s="57" t="n">
        <v>1</v>
      </c>
      <c r="F770" s="57" t="n">
        <v>0</v>
      </c>
      <c r="G770" s="58" t="n">
        <v>109.95</v>
      </c>
      <c r="H770" s="58" t="n">
        <v>0</v>
      </c>
      <c r="I770" s="58" t="n">
        <v>109.95</v>
      </c>
      <c r="J770" s="32" t="n">
        <f aca="false">IF(E770&gt;0,F770/E770,0)</f>
        <v>0</v>
      </c>
      <c r="K770" s="32" t="n">
        <f aca="false">IF(G770&gt;0,H770/G770,0)</f>
        <v>-0</v>
      </c>
      <c r="L770" s="59" t="n">
        <f aca="false">H770/Settings!$B$16</f>
        <v>-0</v>
      </c>
      <c r="M770" s="59" t="n">
        <f aca="false">H770/Settings!$B$20</f>
        <v>-0</v>
      </c>
      <c r="N770" s="60" t="n">
        <f aca="false">E770*Settings!$B$3</f>
        <v>0.0309861510798204</v>
      </c>
      <c r="O770" s="60" t="n">
        <f aca="false">IF(E770&gt;0,(F770-N770)/SQRT(E770*Settings!$B$3*(1-Settings!$B$3)),0)</f>
        <v>-0.178821125934444</v>
      </c>
      <c r="P770" s="60" t="n">
        <f aca="false">MAX(0,F770-N770)</f>
        <v>0</v>
      </c>
      <c r="Q770" s="32" t="n">
        <f aca="false">(F770+Settings!$B$7*Settings!$B$3)/(E770+Settings!$B$7)</f>
        <v>0.0299865978191811</v>
      </c>
      <c r="R770" s="61" t="n">
        <f aca="false">PERCENTRANK($H$2:$H$1780,H770,6)</f>
        <v>0</v>
      </c>
      <c r="S770" s="61" t="n">
        <f aca="false">PERCENTRANK($Q$2:$Q$1780,Q770,6)</f>
        <v>0.486502</v>
      </c>
      <c r="T770" s="61" t="n">
        <f aca="false">PERCENTRANK($F$2:$F$1780,F770,6)</f>
        <v>0</v>
      </c>
      <c r="U770" s="62" t="n">
        <f aca="false">IF(F770&gt;0,(Settings!$B$8*T770+Settings!$B$9*R770+Settings!$B$10*S770)/SUM(Settings!$B$8:$B$10),0)</f>
        <v>0</v>
      </c>
      <c r="V770" s="56" t="str">
        <f aca="false">IF(U770&gt;0,RANK(U770,$U$2:$U$1780)+COUNTIF($U$2:U770,U770)-1,"")</f>
        <v/>
      </c>
      <c r="W770" s="56" t="str">
        <f aca="false">IF(V770="","",IF(V770&lt;=Settings!$B$11,"1 - Fix first",IF(V770&lt;=Settings!$B$12,"2 - Review","3 - Monitor")))</f>
        <v/>
      </c>
      <c r="X770" s="56" t="str">
        <f aca="false">IF(AND(E770&gt;=Settings!$B$4,F770&gt;=Settings!$B$5,O770&gt;=Settings!$B$6),"HIGH RATE","")</f>
        <v/>
      </c>
      <c r="Y770" s="56" t="str">
        <f aca="false">IF(F770&gt;0,RANK(F770,$F$2:$F$1780)+COUNTIF($F$2:F770,F770)-1,"")</f>
        <v/>
      </c>
      <c r="Z770" s="56" t="str">
        <f aca="false">IF(H770&gt;0,RANK(H770,$H$2:$H$1780)+COUNTIF($H$2:H770,H770)-1,"")</f>
        <v/>
      </c>
      <c r="AA770" s="56" t="str">
        <f aca="false">IF(AC770="","",RANK(AC770,$AC$2:$AC$1780)+COUNTIF($AC$2:AC770,AC770)-1)</f>
        <v/>
      </c>
      <c r="AB770" s="56" t="str">
        <f aca="false">IF(AD770="","",RANK(AD770,$AD$2:$AD$1780)+COUNTIF($AD$2:AD770,AD770)-1)</f>
        <v/>
      </c>
      <c r="AC770" s="56" t="str">
        <f aca="false">IF(AND(F770&gt;0,E770&gt;=Settings!$B$4),J770,"")</f>
        <v/>
      </c>
      <c r="AD770" s="56" t="str">
        <f aca="false">IF(X770="HIGH RATE",O770,"")</f>
        <v/>
      </c>
    </row>
    <row r="771" customFormat="false" ht="15" hidden="false" customHeight="false" outlineLevel="0" collapsed="false">
      <c r="A771" s="56" t="s">
        <v>2024</v>
      </c>
      <c r="B771" s="56" t="s">
        <v>1012</v>
      </c>
      <c r="C771" s="56" t="s">
        <v>51</v>
      </c>
      <c r="D771" s="56" t="str">
        <f aca="false">IFERROR(INDEX('Brand Map'!$B$4:$B$124,MATCH(C771,'Brand Map'!$A$4:$A$124,0)),"Other")</f>
        <v>AU</v>
      </c>
      <c r="E771" s="57" t="n">
        <v>1</v>
      </c>
      <c r="F771" s="57" t="n">
        <v>0</v>
      </c>
      <c r="G771" s="58" t="n">
        <v>196.8</v>
      </c>
      <c r="H771" s="58" t="n">
        <v>0</v>
      </c>
      <c r="I771" s="58" t="n">
        <v>196.8</v>
      </c>
      <c r="J771" s="32" t="n">
        <f aca="false">IF(E771&gt;0,F771/E771,0)</f>
        <v>0</v>
      </c>
      <c r="K771" s="32" t="n">
        <f aca="false">IF(G771&gt;0,H771/G771,0)</f>
        <v>-0</v>
      </c>
      <c r="L771" s="59" t="n">
        <f aca="false">H771/Settings!$B$16</f>
        <v>-0</v>
      </c>
      <c r="M771" s="59" t="n">
        <f aca="false">H771/Settings!$B$20</f>
        <v>-0</v>
      </c>
      <c r="N771" s="60" t="n">
        <f aca="false">E771*Settings!$B$3</f>
        <v>0.0309861510798204</v>
      </c>
      <c r="O771" s="60" t="n">
        <f aca="false">IF(E771&gt;0,(F771-N771)/SQRT(E771*Settings!$B$3*(1-Settings!$B$3)),0)</f>
        <v>-0.178821125934444</v>
      </c>
      <c r="P771" s="60" t="n">
        <f aca="false">MAX(0,F771-N771)</f>
        <v>0</v>
      </c>
      <c r="Q771" s="32" t="n">
        <f aca="false">(F771+Settings!$B$7*Settings!$B$3)/(E771+Settings!$B$7)</f>
        <v>0.0299865978191811</v>
      </c>
      <c r="R771" s="61" t="n">
        <f aca="false">PERCENTRANK($H$2:$H$1780,H771,6)</f>
        <v>0</v>
      </c>
      <c r="S771" s="61" t="n">
        <f aca="false">PERCENTRANK($Q$2:$Q$1780,Q771,6)</f>
        <v>0.486502</v>
      </c>
      <c r="T771" s="61" t="n">
        <f aca="false">PERCENTRANK($F$2:$F$1780,F771,6)</f>
        <v>0</v>
      </c>
      <c r="U771" s="62" t="n">
        <f aca="false">IF(F771&gt;0,(Settings!$B$8*T771+Settings!$B$9*R771+Settings!$B$10*S771)/SUM(Settings!$B$8:$B$10),0)</f>
        <v>0</v>
      </c>
      <c r="V771" s="56" t="str">
        <f aca="false">IF(U771&gt;0,RANK(U771,$U$2:$U$1780)+COUNTIF($U$2:U771,U771)-1,"")</f>
        <v/>
      </c>
      <c r="W771" s="56" t="str">
        <f aca="false">IF(V771="","",IF(V771&lt;=Settings!$B$11,"1 - Fix first",IF(V771&lt;=Settings!$B$12,"2 - Review","3 - Monitor")))</f>
        <v/>
      </c>
      <c r="X771" s="56" t="str">
        <f aca="false">IF(AND(E771&gt;=Settings!$B$4,F771&gt;=Settings!$B$5,O771&gt;=Settings!$B$6),"HIGH RATE","")</f>
        <v/>
      </c>
      <c r="Y771" s="56" t="str">
        <f aca="false">IF(F771&gt;0,RANK(F771,$F$2:$F$1780)+COUNTIF($F$2:F771,F771)-1,"")</f>
        <v/>
      </c>
      <c r="Z771" s="56" t="str">
        <f aca="false">IF(H771&gt;0,RANK(H771,$H$2:$H$1780)+COUNTIF($H$2:H771,H771)-1,"")</f>
        <v/>
      </c>
      <c r="AA771" s="56" t="str">
        <f aca="false">IF(AC771="","",RANK(AC771,$AC$2:$AC$1780)+COUNTIF($AC$2:AC771,AC771)-1)</f>
        <v/>
      </c>
      <c r="AB771" s="56" t="str">
        <f aca="false">IF(AD771="","",RANK(AD771,$AD$2:$AD$1780)+COUNTIF($AD$2:AD771,AD771)-1)</f>
        <v/>
      </c>
      <c r="AC771" s="56" t="str">
        <f aca="false">IF(AND(F771&gt;0,E771&gt;=Settings!$B$4),J771,"")</f>
        <v/>
      </c>
      <c r="AD771" s="56" t="str">
        <f aca="false">IF(X771="HIGH RATE",O771,"")</f>
        <v/>
      </c>
    </row>
    <row r="772" customFormat="false" ht="15" hidden="false" customHeight="false" outlineLevel="0" collapsed="false">
      <c r="A772" s="56" t="s">
        <v>2025</v>
      </c>
      <c r="B772" s="56" t="s">
        <v>2026</v>
      </c>
      <c r="C772" s="56" t="s">
        <v>51</v>
      </c>
      <c r="D772" s="56" t="str">
        <f aca="false">IFERROR(INDEX('Brand Map'!$B$4:$B$124,MATCH(C772,'Brand Map'!$A$4:$A$124,0)),"Other")</f>
        <v>AU</v>
      </c>
      <c r="E772" s="57" t="n">
        <v>2</v>
      </c>
      <c r="F772" s="57" t="n">
        <v>0</v>
      </c>
      <c r="G772" s="58" t="n">
        <v>545.35</v>
      </c>
      <c r="H772" s="58" t="n">
        <v>0</v>
      </c>
      <c r="I772" s="58" t="n">
        <v>504.46</v>
      </c>
      <c r="J772" s="32" t="n">
        <f aca="false">IF(E772&gt;0,F772/E772,0)</f>
        <v>0</v>
      </c>
      <c r="K772" s="32" t="n">
        <f aca="false">IF(G772&gt;0,H772/G772,0)</f>
        <v>-0</v>
      </c>
      <c r="L772" s="59" t="n">
        <f aca="false">H772/Settings!$B$16</f>
        <v>-0</v>
      </c>
      <c r="M772" s="59" t="n">
        <f aca="false">H772/Settings!$B$20</f>
        <v>-0</v>
      </c>
      <c r="N772" s="60" t="n">
        <f aca="false">E772*Settings!$B$3</f>
        <v>0.0619723021596408</v>
      </c>
      <c r="O772" s="60" t="n">
        <f aca="false">IF(E772&gt;0,(F772-N772)/SQRT(E772*Settings!$B$3*(1-Settings!$B$3)),0)</f>
        <v>-0.252891261535318</v>
      </c>
      <c r="P772" s="60" t="n">
        <f aca="false">MAX(0,F772-N772)</f>
        <v>0</v>
      </c>
      <c r="Q772" s="32" t="n">
        <f aca="false">(F772+Settings!$B$7*Settings!$B$3)/(E772+Settings!$B$7)</f>
        <v>0.0290495166373316</v>
      </c>
      <c r="R772" s="61" t="n">
        <f aca="false">PERCENTRANK($H$2:$H$1780,H772,6)</f>
        <v>0</v>
      </c>
      <c r="S772" s="61" t="n">
        <f aca="false">PERCENTRANK($Q$2:$Q$1780,Q772,6)</f>
        <v>0.365579</v>
      </c>
      <c r="T772" s="61" t="n">
        <f aca="false">PERCENTRANK($F$2:$F$1780,F772,6)</f>
        <v>0</v>
      </c>
      <c r="U772" s="62" t="n">
        <f aca="false">IF(F772&gt;0,(Settings!$B$8*T772+Settings!$B$9*R772+Settings!$B$10*S772)/SUM(Settings!$B$8:$B$10),0)</f>
        <v>0</v>
      </c>
      <c r="V772" s="56" t="str">
        <f aca="false">IF(U772&gt;0,RANK(U772,$U$2:$U$1780)+COUNTIF($U$2:U772,U772)-1,"")</f>
        <v/>
      </c>
      <c r="W772" s="56" t="str">
        <f aca="false">IF(V772="","",IF(V772&lt;=Settings!$B$11,"1 - Fix first",IF(V772&lt;=Settings!$B$12,"2 - Review","3 - Monitor")))</f>
        <v/>
      </c>
      <c r="X772" s="56" t="str">
        <f aca="false">IF(AND(E772&gt;=Settings!$B$4,F772&gt;=Settings!$B$5,O772&gt;=Settings!$B$6),"HIGH RATE","")</f>
        <v/>
      </c>
      <c r="Y772" s="56" t="str">
        <f aca="false">IF(F772&gt;0,RANK(F772,$F$2:$F$1780)+COUNTIF($F$2:F772,F772)-1,"")</f>
        <v/>
      </c>
      <c r="Z772" s="56" t="str">
        <f aca="false">IF(H772&gt;0,RANK(H772,$H$2:$H$1780)+COUNTIF($H$2:H772,H772)-1,"")</f>
        <v/>
      </c>
      <c r="AA772" s="56" t="str">
        <f aca="false">IF(AC772="","",RANK(AC772,$AC$2:$AC$1780)+COUNTIF($AC$2:AC772,AC772)-1)</f>
        <v/>
      </c>
      <c r="AB772" s="56" t="str">
        <f aca="false">IF(AD772="","",RANK(AD772,$AD$2:$AD$1780)+COUNTIF($AD$2:AD772,AD772)-1)</f>
        <v/>
      </c>
      <c r="AC772" s="56" t="str">
        <f aca="false">IF(AND(F772&gt;0,E772&gt;=Settings!$B$4),J772,"")</f>
        <v/>
      </c>
      <c r="AD772" s="56" t="str">
        <f aca="false">IF(X772="HIGH RATE",O772,"")</f>
        <v/>
      </c>
    </row>
    <row r="773" customFormat="false" ht="15" hidden="false" customHeight="false" outlineLevel="0" collapsed="false">
      <c r="A773" s="56" t="s">
        <v>2027</v>
      </c>
      <c r="B773" s="56" t="s">
        <v>2028</v>
      </c>
      <c r="C773" s="56" t="s">
        <v>51</v>
      </c>
      <c r="D773" s="56" t="str">
        <f aca="false">IFERROR(INDEX('Brand Map'!$B$4:$B$124,MATCH(C773,'Brand Map'!$A$4:$A$124,0)),"Other")</f>
        <v>AU</v>
      </c>
      <c r="E773" s="57" t="n">
        <v>7</v>
      </c>
      <c r="F773" s="57" t="n">
        <v>0</v>
      </c>
      <c r="G773" s="58" t="n">
        <v>859.65</v>
      </c>
      <c r="H773" s="58" t="n">
        <v>0</v>
      </c>
      <c r="I773" s="58" t="n">
        <v>859.65</v>
      </c>
      <c r="J773" s="32" t="n">
        <f aca="false">IF(E773&gt;0,F773/E773,0)</f>
        <v>0</v>
      </c>
      <c r="K773" s="32" t="n">
        <f aca="false">IF(G773&gt;0,H773/G773,0)</f>
        <v>-0</v>
      </c>
      <c r="L773" s="59" t="n">
        <f aca="false">H773/Settings!$B$16</f>
        <v>-0</v>
      </c>
      <c r="M773" s="59" t="n">
        <f aca="false">H773/Settings!$B$20</f>
        <v>-0</v>
      </c>
      <c r="N773" s="60" t="n">
        <f aca="false">E773*Settings!$B$3</f>
        <v>0.216903057558743</v>
      </c>
      <c r="O773" s="60" t="n">
        <f aca="false">IF(E773&gt;0,(F773-N773)/SQRT(E773*Settings!$B$3*(1-Settings!$B$3)),0)</f>
        <v>-0.473116228387102</v>
      </c>
      <c r="P773" s="60" t="n">
        <f aca="false">MAX(0,F773-N773)</f>
        <v>0</v>
      </c>
      <c r="Q773" s="32" t="n">
        <f aca="false">(F773+Settings!$B$7*Settings!$B$3)/(E773+Settings!$B$7)</f>
        <v>0.0251239062809355</v>
      </c>
      <c r="R773" s="61" t="n">
        <f aca="false">PERCENTRANK($H$2:$H$1780,H773,6)</f>
        <v>0</v>
      </c>
      <c r="S773" s="61" t="n">
        <f aca="false">PERCENTRANK($Q$2:$Q$1780,Q773,6)</f>
        <v>0.168166</v>
      </c>
      <c r="T773" s="61" t="n">
        <f aca="false">PERCENTRANK($F$2:$F$1780,F773,6)</f>
        <v>0</v>
      </c>
      <c r="U773" s="62" t="n">
        <f aca="false">IF(F773&gt;0,(Settings!$B$8*T773+Settings!$B$9*R773+Settings!$B$10*S773)/SUM(Settings!$B$8:$B$10),0)</f>
        <v>0</v>
      </c>
      <c r="V773" s="56" t="str">
        <f aca="false">IF(U773&gt;0,RANK(U773,$U$2:$U$1780)+COUNTIF($U$2:U773,U773)-1,"")</f>
        <v/>
      </c>
      <c r="W773" s="56" t="str">
        <f aca="false">IF(V773="","",IF(V773&lt;=Settings!$B$11,"1 - Fix first",IF(V773&lt;=Settings!$B$12,"2 - Review","3 - Monitor")))</f>
        <v/>
      </c>
      <c r="X773" s="56" t="str">
        <f aca="false">IF(AND(E773&gt;=Settings!$B$4,F773&gt;=Settings!$B$5,O773&gt;=Settings!$B$6),"HIGH RATE","")</f>
        <v/>
      </c>
      <c r="Y773" s="56" t="str">
        <f aca="false">IF(F773&gt;0,RANK(F773,$F$2:$F$1780)+COUNTIF($F$2:F773,F773)-1,"")</f>
        <v/>
      </c>
      <c r="Z773" s="56" t="str">
        <f aca="false">IF(H773&gt;0,RANK(H773,$H$2:$H$1780)+COUNTIF($H$2:H773,H773)-1,"")</f>
        <v/>
      </c>
      <c r="AA773" s="56" t="str">
        <f aca="false">IF(AC773="","",RANK(AC773,$AC$2:$AC$1780)+COUNTIF($AC$2:AC773,AC773)-1)</f>
        <v/>
      </c>
      <c r="AB773" s="56" t="str">
        <f aca="false">IF(AD773="","",RANK(AD773,$AD$2:$AD$1780)+COUNTIF($AD$2:AD773,AD773)-1)</f>
        <v/>
      </c>
      <c r="AC773" s="56" t="str">
        <f aca="false">IF(AND(F773&gt;0,E773&gt;=Settings!$B$4),J773,"")</f>
        <v/>
      </c>
      <c r="AD773" s="56" t="str">
        <f aca="false">IF(X773="HIGH RATE",O773,"")</f>
        <v/>
      </c>
    </row>
    <row r="774" customFormat="false" ht="15" hidden="false" customHeight="false" outlineLevel="0" collapsed="false">
      <c r="A774" s="56" t="s">
        <v>2029</v>
      </c>
      <c r="B774" s="56" t="s">
        <v>2028</v>
      </c>
      <c r="C774" s="56" t="s">
        <v>51</v>
      </c>
      <c r="D774" s="56" t="str">
        <f aca="false">IFERROR(INDEX('Brand Map'!$B$4:$B$124,MATCH(C774,'Brand Map'!$A$4:$A$124,0)),"Other")</f>
        <v>AU</v>
      </c>
      <c r="E774" s="57" t="n">
        <v>2</v>
      </c>
      <c r="F774" s="57" t="n">
        <v>0</v>
      </c>
      <c r="G774" s="58" t="n">
        <v>249.9</v>
      </c>
      <c r="H774" s="58" t="n">
        <v>0</v>
      </c>
      <c r="I774" s="58" t="n">
        <v>249.9</v>
      </c>
      <c r="J774" s="32" t="n">
        <f aca="false">IF(E774&gt;0,F774/E774,0)</f>
        <v>0</v>
      </c>
      <c r="K774" s="32" t="n">
        <f aca="false">IF(G774&gt;0,H774/G774,0)</f>
        <v>-0</v>
      </c>
      <c r="L774" s="59" t="n">
        <f aca="false">H774/Settings!$B$16</f>
        <v>-0</v>
      </c>
      <c r="M774" s="59" t="n">
        <f aca="false">H774/Settings!$B$20</f>
        <v>-0</v>
      </c>
      <c r="N774" s="60" t="n">
        <f aca="false">E774*Settings!$B$3</f>
        <v>0.0619723021596408</v>
      </c>
      <c r="O774" s="60" t="n">
        <f aca="false">IF(E774&gt;0,(F774-N774)/SQRT(E774*Settings!$B$3*(1-Settings!$B$3)),0)</f>
        <v>-0.252891261535318</v>
      </c>
      <c r="P774" s="60" t="n">
        <f aca="false">MAX(0,F774-N774)</f>
        <v>0</v>
      </c>
      <c r="Q774" s="32" t="n">
        <f aca="false">(F774+Settings!$B$7*Settings!$B$3)/(E774+Settings!$B$7)</f>
        <v>0.0290495166373316</v>
      </c>
      <c r="R774" s="61" t="n">
        <f aca="false">PERCENTRANK($H$2:$H$1780,H774,6)</f>
        <v>0</v>
      </c>
      <c r="S774" s="61" t="n">
        <f aca="false">PERCENTRANK($Q$2:$Q$1780,Q774,6)</f>
        <v>0.365579</v>
      </c>
      <c r="T774" s="61" t="n">
        <f aca="false">PERCENTRANK($F$2:$F$1780,F774,6)</f>
        <v>0</v>
      </c>
      <c r="U774" s="62" t="n">
        <f aca="false">IF(F774&gt;0,(Settings!$B$8*T774+Settings!$B$9*R774+Settings!$B$10*S774)/SUM(Settings!$B$8:$B$10),0)</f>
        <v>0</v>
      </c>
      <c r="V774" s="56" t="str">
        <f aca="false">IF(U774&gt;0,RANK(U774,$U$2:$U$1780)+COUNTIF($U$2:U774,U774)-1,"")</f>
        <v/>
      </c>
      <c r="W774" s="56" t="str">
        <f aca="false">IF(V774="","",IF(V774&lt;=Settings!$B$11,"1 - Fix first",IF(V774&lt;=Settings!$B$12,"2 - Review","3 - Monitor")))</f>
        <v/>
      </c>
      <c r="X774" s="56" t="str">
        <f aca="false">IF(AND(E774&gt;=Settings!$B$4,F774&gt;=Settings!$B$5,O774&gt;=Settings!$B$6),"HIGH RATE","")</f>
        <v/>
      </c>
      <c r="Y774" s="56" t="str">
        <f aca="false">IF(F774&gt;0,RANK(F774,$F$2:$F$1780)+COUNTIF($F$2:F774,F774)-1,"")</f>
        <v/>
      </c>
      <c r="Z774" s="56" t="str">
        <f aca="false">IF(H774&gt;0,RANK(H774,$H$2:$H$1780)+COUNTIF($H$2:H774,H774)-1,"")</f>
        <v/>
      </c>
      <c r="AA774" s="56" t="str">
        <f aca="false">IF(AC774="","",RANK(AC774,$AC$2:$AC$1780)+COUNTIF($AC$2:AC774,AC774)-1)</f>
        <v/>
      </c>
      <c r="AB774" s="56" t="str">
        <f aca="false">IF(AD774="","",RANK(AD774,$AD$2:$AD$1780)+COUNTIF($AD$2:AD774,AD774)-1)</f>
        <v/>
      </c>
      <c r="AC774" s="56" t="str">
        <f aca="false">IF(AND(F774&gt;0,E774&gt;=Settings!$B$4),J774,"")</f>
        <v/>
      </c>
      <c r="AD774" s="56" t="str">
        <f aca="false">IF(X774="HIGH RATE",O774,"")</f>
        <v/>
      </c>
    </row>
    <row r="775" customFormat="false" ht="15" hidden="false" customHeight="false" outlineLevel="0" collapsed="false">
      <c r="A775" s="56" t="s">
        <v>2030</v>
      </c>
      <c r="B775" s="56" t="s">
        <v>2028</v>
      </c>
      <c r="C775" s="56" t="s">
        <v>51</v>
      </c>
      <c r="D775" s="56" t="str">
        <f aca="false">IFERROR(INDEX('Brand Map'!$B$4:$B$124,MATCH(C775,'Brand Map'!$A$4:$A$124,0)),"Other")</f>
        <v>AU</v>
      </c>
      <c r="E775" s="57" t="n">
        <v>1</v>
      </c>
      <c r="F775" s="57" t="n">
        <v>0</v>
      </c>
      <c r="G775" s="58" t="n">
        <v>109.95</v>
      </c>
      <c r="H775" s="58" t="n">
        <v>0</v>
      </c>
      <c r="I775" s="58" t="n">
        <v>109.95</v>
      </c>
      <c r="J775" s="32" t="n">
        <f aca="false">IF(E775&gt;0,F775/E775,0)</f>
        <v>0</v>
      </c>
      <c r="K775" s="32" t="n">
        <f aca="false">IF(G775&gt;0,H775/G775,0)</f>
        <v>-0</v>
      </c>
      <c r="L775" s="59" t="n">
        <f aca="false">H775/Settings!$B$16</f>
        <v>-0</v>
      </c>
      <c r="M775" s="59" t="n">
        <f aca="false">H775/Settings!$B$20</f>
        <v>-0</v>
      </c>
      <c r="N775" s="60" t="n">
        <f aca="false">E775*Settings!$B$3</f>
        <v>0.0309861510798204</v>
      </c>
      <c r="O775" s="60" t="n">
        <f aca="false">IF(E775&gt;0,(F775-N775)/SQRT(E775*Settings!$B$3*(1-Settings!$B$3)),0)</f>
        <v>-0.178821125934444</v>
      </c>
      <c r="P775" s="60" t="n">
        <f aca="false">MAX(0,F775-N775)</f>
        <v>0</v>
      </c>
      <c r="Q775" s="32" t="n">
        <f aca="false">(F775+Settings!$B$7*Settings!$B$3)/(E775+Settings!$B$7)</f>
        <v>0.0299865978191811</v>
      </c>
      <c r="R775" s="61" t="n">
        <f aca="false">PERCENTRANK($H$2:$H$1780,H775,6)</f>
        <v>0</v>
      </c>
      <c r="S775" s="61" t="n">
        <f aca="false">PERCENTRANK($Q$2:$Q$1780,Q775,6)</f>
        <v>0.486502</v>
      </c>
      <c r="T775" s="61" t="n">
        <f aca="false">PERCENTRANK($F$2:$F$1780,F775,6)</f>
        <v>0</v>
      </c>
      <c r="U775" s="62" t="n">
        <f aca="false">IF(F775&gt;0,(Settings!$B$8*T775+Settings!$B$9*R775+Settings!$B$10*S775)/SUM(Settings!$B$8:$B$10),0)</f>
        <v>0</v>
      </c>
      <c r="V775" s="56" t="str">
        <f aca="false">IF(U775&gt;0,RANK(U775,$U$2:$U$1780)+COUNTIF($U$2:U775,U775)-1,"")</f>
        <v/>
      </c>
      <c r="W775" s="56" t="str">
        <f aca="false">IF(V775="","",IF(V775&lt;=Settings!$B$11,"1 - Fix first",IF(V775&lt;=Settings!$B$12,"2 - Review","3 - Monitor")))</f>
        <v/>
      </c>
      <c r="X775" s="56" t="str">
        <f aca="false">IF(AND(E775&gt;=Settings!$B$4,F775&gt;=Settings!$B$5,O775&gt;=Settings!$B$6),"HIGH RATE","")</f>
        <v/>
      </c>
      <c r="Y775" s="56" t="str">
        <f aca="false">IF(F775&gt;0,RANK(F775,$F$2:$F$1780)+COUNTIF($F$2:F775,F775)-1,"")</f>
        <v/>
      </c>
      <c r="Z775" s="56" t="str">
        <f aca="false">IF(H775&gt;0,RANK(H775,$H$2:$H$1780)+COUNTIF($H$2:H775,H775)-1,"")</f>
        <v/>
      </c>
      <c r="AA775" s="56" t="str">
        <f aca="false">IF(AC775="","",RANK(AC775,$AC$2:$AC$1780)+COUNTIF($AC$2:AC775,AC775)-1)</f>
        <v/>
      </c>
      <c r="AB775" s="56" t="str">
        <f aca="false">IF(AD775="","",RANK(AD775,$AD$2:$AD$1780)+COUNTIF($AD$2:AD775,AD775)-1)</f>
        <v/>
      </c>
      <c r="AC775" s="56" t="str">
        <f aca="false">IF(AND(F775&gt;0,E775&gt;=Settings!$B$4),J775,"")</f>
        <v/>
      </c>
      <c r="AD775" s="56" t="str">
        <f aca="false">IF(X775="HIGH RATE",O775,"")</f>
        <v/>
      </c>
    </row>
    <row r="776" customFormat="false" ht="15" hidden="false" customHeight="false" outlineLevel="0" collapsed="false">
      <c r="A776" s="56" t="s">
        <v>2031</v>
      </c>
      <c r="B776" s="56" t="s">
        <v>2032</v>
      </c>
      <c r="C776" s="56" t="s">
        <v>51</v>
      </c>
      <c r="D776" s="56" t="str">
        <f aca="false">IFERROR(INDEX('Brand Map'!$B$4:$B$124,MATCH(C776,'Brand Map'!$A$4:$A$124,0)),"Other")</f>
        <v>AU</v>
      </c>
      <c r="E776" s="57" t="n">
        <v>1</v>
      </c>
      <c r="F776" s="57" t="n">
        <v>0</v>
      </c>
      <c r="G776" s="58" t="n">
        <v>304.95</v>
      </c>
      <c r="H776" s="58" t="n">
        <v>0</v>
      </c>
      <c r="I776" s="58" t="n">
        <v>304.95</v>
      </c>
      <c r="J776" s="32" t="n">
        <f aca="false">IF(E776&gt;0,F776/E776,0)</f>
        <v>0</v>
      </c>
      <c r="K776" s="32" t="n">
        <f aca="false">IF(G776&gt;0,H776/G776,0)</f>
        <v>-0</v>
      </c>
      <c r="L776" s="59" t="n">
        <f aca="false">H776/Settings!$B$16</f>
        <v>-0</v>
      </c>
      <c r="M776" s="59" t="n">
        <f aca="false">H776/Settings!$B$20</f>
        <v>-0</v>
      </c>
      <c r="N776" s="60" t="n">
        <f aca="false">E776*Settings!$B$3</f>
        <v>0.0309861510798204</v>
      </c>
      <c r="O776" s="60" t="n">
        <f aca="false">IF(E776&gt;0,(F776-N776)/SQRT(E776*Settings!$B$3*(1-Settings!$B$3)),0)</f>
        <v>-0.178821125934444</v>
      </c>
      <c r="P776" s="60" t="n">
        <f aca="false">MAX(0,F776-N776)</f>
        <v>0</v>
      </c>
      <c r="Q776" s="32" t="n">
        <f aca="false">(F776+Settings!$B$7*Settings!$B$3)/(E776+Settings!$B$7)</f>
        <v>0.0299865978191811</v>
      </c>
      <c r="R776" s="61" t="n">
        <f aca="false">PERCENTRANK($H$2:$H$1780,H776,6)</f>
        <v>0</v>
      </c>
      <c r="S776" s="61" t="n">
        <f aca="false">PERCENTRANK($Q$2:$Q$1780,Q776,6)</f>
        <v>0.486502</v>
      </c>
      <c r="T776" s="61" t="n">
        <f aca="false">PERCENTRANK($F$2:$F$1780,F776,6)</f>
        <v>0</v>
      </c>
      <c r="U776" s="62" t="n">
        <f aca="false">IF(F776&gt;0,(Settings!$B$8*T776+Settings!$B$9*R776+Settings!$B$10*S776)/SUM(Settings!$B$8:$B$10),0)</f>
        <v>0</v>
      </c>
      <c r="V776" s="56" t="str">
        <f aca="false">IF(U776&gt;0,RANK(U776,$U$2:$U$1780)+COUNTIF($U$2:U776,U776)-1,"")</f>
        <v/>
      </c>
      <c r="W776" s="56" t="str">
        <f aca="false">IF(V776="","",IF(V776&lt;=Settings!$B$11,"1 - Fix first",IF(V776&lt;=Settings!$B$12,"2 - Review","3 - Monitor")))</f>
        <v/>
      </c>
      <c r="X776" s="56" t="str">
        <f aca="false">IF(AND(E776&gt;=Settings!$B$4,F776&gt;=Settings!$B$5,O776&gt;=Settings!$B$6),"HIGH RATE","")</f>
        <v/>
      </c>
      <c r="Y776" s="56" t="str">
        <f aca="false">IF(F776&gt;0,RANK(F776,$F$2:$F$1780)+COUNTIF($F$2:F776,F776)-1,"")</f>
        <v/>
      </c>
      <c r="Z776" s="56" t="str">
        <f aca="false">IF(H776&gt;0,RANK(H776,$H$2:$H$1780)+COUNTIF($H$2:H776,H776)-1,"")</f>
        <v/>
      </c>
      <c r="AA776" s="56" t="str">
        <f aca="false">IF(AC776="","",RANK(AC776,$AC$2:$AC$1780)+COUNTIF($AC$2:AC776,AC776)-1)</f>
        <v/>
      </c>
      <c r="AB776" s="56" t="str">
        <f aca="false">IF(AD776="","",RANK(AD776,$AD$2:$AD$1780)+COUNTIF($AD$2:AD776,AD776)-1)</f>
        <v/>
      </c>
      <c r="AC776" s="56" t="str">
        <f aca="false">IF(AND(F776&gt;0,E776&gt;=Settings!$B$4),J776,"")</f>
        <v/>
      </c>
      <c r="AD776" s="56" t="str">
        <f aca="false">IF(X776="HIGH RATE",O776,"")</f>
        <v/>
      </c>
    </row>
    <row r="777" customFormat="false" ht="15" hidden="false" customHeight="false" outlineLevel="0" collapsed="false">
      <c r="A777" s="56" t="s">
        <v>2033</v>
      </c>
      <c r="B777" s="56" t="s">
        <v>2034</v>
      </c>
      <c r="C777" s="56" t="s">
        <v>51</v>
      </c>
      <c r="D777" s="56" t="str">
        <f aca="false">IFERROR(INDEX('Brand Map'!$B$4:$B$124,MATCH(C777,'Brand Map'!$A$4:$A$124,0)),"Other")</f>
        <v>AU</v>
      </c>
      <c r="E777" s="57" t="n">
        <v>10</v>
      </c>
      <c r="F777" s="57" t="n">
        <v>0</v>
      </c>
      <c r="G777" s="58" t="n">
        <v>824.51</v>
      </c>
      <c r="H777" s="58" t="n">
        <v>0</v>
      </c>
      <c r="I777" s="58" t="n">
        <v>824.51</v>
      </c>
      <c r="J777" s="32" t="n">
        <f aca="false">IF(E777&gt;0,F777/E777,0)</f>
        <v>0</v>
      </c>
      <c r="K777" s="32" t="n">
        <f aca="false">IF(G777&gt;0,H777/G777,0)</f>
        <v>-0</v>
      </c>
      <c r="L777" s="59" t="n">
        <f aca="false">H777/Settings!$B$16</f>
        <v>-0</v>
      </c>
      <c r="M777" s="59" t="n">
        <f aca="false">H777/Settings!$B$20</f>
        <v>-0</v>
      </c>
      <c r="N777" s="60" t="n">
        <f aca="false">E777*Settings!$B$3</f>
        <v>0.309861510798204</v>
      </c>
      <c r="O777" s="60" t="n">
        <f aca="false">IF(E777&gt;0,(F777-N777)/SQRT(E777*Settings!$B$3*(1-Settings!$B$3)),0)</f>
        <v>-0.565482051708649</v>
      </c>
      <c r="P777" s="60" t="n">
        <f aca="false">MAX(0,F777-N777)</f>
        <v>0</v>
      </c>
      <c r="Q777" s="32" t="n">
        <f aca="false">(F777+Settings!$B$7*Settings!$B$3)/(E777+Settings!$B$7)</f>
        <v>0.0232396133098653</v>
      </c>
      <c r="R777" s="61" t="n">
        <f aca="false">PERCENTRANK($H$2:$H$1780,H777,6)</f>
        <v>0</v>
      </c>
      <c r="S777" s="61" t="n">
        <f aca="false">PERCENTRANK($Q$2:$Q$1780,Q777,6)</f>
        <v>0.131046</v>
      </c>
      <c r="T777" s="61" t="n">
        <f aca="false">PERCENTRANK($F$2:$F$1780,F777,6)</f>
        <v>0</v>
      </c>
      <c r="U777" s="62" t="n">
        <f aca="false">IF(F777&gt;0,(Settings!$B$8*T777+Settings!$B$9*R777+Settings!$B$10*S777)/SUM(Settings!$B$8:$B$10),0)</f>
        <v>0</v>
      </c>
      <c r="V777" s="56" t="str">
        <f aca="false">IF(U777&gt;0,RANK(U777,$U$2:$U$1780)+COUNTIF($U$2:U777,U777)-1,"")</f>
        <v/>
      </c>
      <c r="W777" s="56" t="str">
        <f aca="false">IF(V777="","",IF(V777&lt;=Settings!$B$11,"1 - Fix first",IF(V777&lt;=Settings!$B$12,"2 - Review","3 - Monitor")))</f>
        <v/>
      </c>
      <c r="X777" s="56" t="str">
        <f aca="false">IF(AND(E777&gt;=Settings!$B$4,F777&gt;=Settings!$B$5,O777&gt;=Settings!$B$6),"HIGH RATE","")</f>
        <v/>
      </c>
      <c r="Y777" s="56" t="str">
        <f aca="false">IF(F777&gt;0,RANK(F777,$F$2:$F$1780)+COUNTIF($F$2:F777,F777)-1,"")</f>
        <v/>
      </c>
      <c r="Z777" s="56" t="str">
        <f aca="false">IF(H777&gt;0,RANK(H777,$H$2:$H$1780)+COUNTIF($H$2:H777,H777)-1,"")</f>
        <v/>
      </c>
      <c r="AA777" s="56" t="str">
        <f aca="false">IF(AC777="","",RANK(AC777,$AC$2:$AC$1780)+COUNTIF($AC$2:AC777,AC777)-1)</f>
        <v/>
      </c>
      <c r="AB777" s="56" t="str">
        <f aca="false">IF(AD777="","",RANK(AD777,$AD$2:$AD$1780)+COUNTIF($AD$2:AD777,AD777)-1)</f>
        <v/>
      </c>
      <c r="AC777" s="56" t="str">
        <f aca="false">IF(AND(F777&gt;0,E777&gt;=Settings!$B$4),J777,"")</f>
        <v/>
      </c>
      <c r="AD777" s="56" t="str">
        <f aca="false">IF(X777="HIGH RATE",O777,"")</f>
        <v/>
      </c>
    </row>
    <row r="778" customFormat="false" ht="15" hidden="false" customHeight="false" outlineLevel="0" collapsed="false">
      <c r="A778" s="56" t="s">
        <v>2035</v>
      </c>
      <c r="B778" s="56" t="s">
        <v>2036</v>
      </c>
      <c r="C778" s="56" t="s">
        <v>51</v>
      </c>
      <c r="D778" s="56" t="str">
        <f aca="false">IFERROR(INDEX('Brand Map'!$B$4:$B$124,MATCH(C778,'Brand Map'!$A$4:$A$124,0)),"Other")</f>
        <v>AU</v>
      </c>
      <c r="E778" s="57" t="n">
        <v>1</v>
      </c>
      <c r="F778" s="57" t="n">
        <v>0</v>
      </c>
      <c r="G778" s="58" t="n">
        <v>53.49</v>
      </c>
      <c r="H778" s="58" t="n">
        <v>0</v>
      </c>
      <c r="I778" s="58" t="n">
        <v>53.49</v>
      </c>
      <c r="J778" s="32" t="n">
        <f aca="false">IF(E778&gt;0,F778/E778,0)</f>
        <v>0</v>
      </c>
      <c r="K778" s="32" t="n">
        <f aca="false">IF(G778&gt;0,H778/G778,0)</f>
        <v>-0</v>
      </c>
      <c r="L778" s="59" t="n">
        <f aca="false">H778/Settings!$B$16</f>
        <v>-0</v>
      </c>
      <c r="M778" s="59" t="n">
        <f aca="false">H778/Settings!$B$20</f>
        <v>-0</v>
      </c>
      <c r="N778" s="60" t="n">
        <f aca="false">E778*Settings!$B$3</f>
        <v>0.0309861510798204</v>
      </c>
      <c r="O778" s="60" t="n">
        <f aca="false">IF(E778&gt;0,(F778-N778)/SQRT(E778*Settings!$B$3*(1-Settings!$B$3)),0)</f>
        <v>-0.178821125934444</v>
      </c>
      <c r="P778" s="60" t="n">
        <f aca="false">MAX(0,F778-N778)</f>
        <v>0</v>
      </c>
      <c r="Q778" s="32" t="n">
        <f aca="false">(F778+Settings!$B$7*Settings!$B$3)/(E778+Settings!$B$7)</f>
        <v>0.0299865978191811</v>
      </c>
      <c r="R778" s="61" t="n">
        <f aca="false">PERCENTRANK($H$2:$H$1780,H778,6)</f>
        <v>0</v>
      </c>
      <c r="S778" s="61" t="n">
        <f aca="false">PERCENTRANK($Q$2:$Q$1780,Q778,6)</f>
        <v>0.486502</v>
      </c>
      <c r="T778" s="61" t="n">
        <f aca="false">PERCENTRANK($F$2:$F$1780,F778,6)</f>
        <v>0</v>
      </c>
      <c r="U778" s="62" t="n">
        <f aca="false">IF(F778&gt;0,(Settings!$B$8*T778+Settings!$B$9*R778+Settings!$B$10*S778)/SUM(Settings!$B$8:$B$10),0)</f>
        <v>0</v>
      </c>
      <c r="V778" s="56" t="str">
        <f aca="false">IF(U778&gt;0,RANK(U778,$U$2:$U$1780)+COUNTIF($U$2:U778,U778)-1,"")</f>
        <v/>
      </c>
      <c r="W778" s="56" t="str">
        <f aca="false">IF(V778="","",IF(V778&lt;=Settings!$B$11,"1 - Fix first",IF(V778&lt;=Settings!$B$12,"2 - Review","3 - Monitor")))</f>
        <v/>
      </c>
      <c r="X778" s="56" t="str">
        <f aca="false">IF(AND(E778&gt;=Settings!$B$4,F778&gt;=Settings!$B$5,O778&gt;=Settings!$B$6),"HIGH RATE","")</f>
        <v/>
      </c>
      <c r="Y778" s="56" t="str">
        <f aca="false">IF(F778&gt;0,RANK(F778,$F$2:$F$1780)+COUNTIF($F$2:F778,F778)-1,"")</f>
        <v/>
      </c>
      <c r="Z778" s="56" t="str">
        <f aca="false">IF(H778&gt;0,RANK(H778,$H$2:$H$1780)+COUNTIF($H$2:H778,H778)-1,"")</f>
        <v/>
      </c>
      <c r="AA778" s="56" t="str">
        <f aca="false">IF(AC778="","",RANK(AC778,$AC$2:$AC$1780)+COUNTIF($AC$2:AC778,AC778)-1)</f>
        <v/>
      </c>
      <c r="AB778" s="56" t="str">
        <f aca="false">IF(AD778="","",RANK(AD778,$AD$2:$AD$1780)+COUNTIF($AD$2:AD778,AD778)-1)</f>
        <v/>
      </c>
      <c r="AC778" s="56" t="str">
        <f aca="false">IF(AND(F778&gt;0,E778&gt;=Settings!$B$4),J778,"")</f>
        <v/>
      </c>
      <c r="AD778" s="56" t="str">
        <f aca="false">IF(X778="HIGH RATE",O778,"")</f>
        <v/>
      </c>
    </row>
    <row r="779" customFormat="false" ht="15" hidden="false" customHeight="false" outlineLevel="0" collapsed="false">
      <c r="A779" s="56" t="s">
        <v>2037</v>
      </c>
      <c r="B779" s="56" t="s">
        <v>1245</v>
      </c>
      <c r="C779" s="56" t="s">
        <v>51</v>
      </c>
      <c r="D779" s="56" t="str">
        <f aca="false">IFERROR(INDEX('Brand Map'!$B$4:$B$124,MATCH(C779,'Brand Map'!$A$4:$A$124,0)),"Other")</f>
        <v>AU</v>
      </c>
      <c r="E779" s="57" t="n">
        <v>2</v>
      </c>
      <c r="F779" s="57" t="n">
        <v>0</v>
      </c>
      <c r="G779" s="58" t="n">
        <v>109.9</v>
      </c>
      <c r="H779" s="58" t="n">
        <v>0</v>
      </c>
      <c r="I779" s="58" t="n">
        <v>109.9</v>
      </c>
      <c r="J779" s="32" t="n">
        <f aca="false">IF(E779&gt;0,F779/E779,0)</f>
        <v>0</v>
      </c>
      <c r="K779" s="32" t="n">
        <f aca="false">IF(G779&gt;0,H779/G779,0)</f>
        <v>-0</v>
      </c>
      <c r="L779" s="59" t="n">
        <f aca="false">H779/Settings!$B$16</f>
        <v>-0</v>
      </c>
      <c r="M779" s="59" t="n">
        <f aca="false">H779/Settings!$B$20</f>
        <v>-0</v>
      </c>
      <c r="N779" s="60" t="n">
        <f aca="false">E779*Settings!$B$3</f>
        <v>0.0619723021596408</v>
      </c>
      <c r="O779" s="60" t="n">
        <f aca="false">IF(E779&gt;0,(F779-N779)/SQRT(E779*Settings!$B$3*(1-Settings!$B$3)),0)</f>
        <v>-0.252891261535318</v>
      </c>
      <c r="P779" s="60" t="n">
        <f aca="false">MAX(0,F779-N779)</f>
        <v>0</v>
      </c>
      <c r="Q779" s="32" t="n">
        <f aca="false">(F779+Settings!$B$7*Settings!$B$3)/(E779+Settings!$B$7)</f>
        <v>0.0290495166373316</v>
      </c>
      <c r="R779" s="61" t="n">
        <f aca="false">PERCENTRANK($H$2:$H$1780,H779,6)</f>
        <v>0</v>
      </c>
      <c r="S779" s="61" t="n">
        <f aca="false">PERCENTRANK($Q$2:$Q$1780,Q779,6)</f>
        <v>0.365579</v>
      </c>
      <c r="T779" s="61" t="n">
        <f aca="false">PERCENTRANK($F$2:$F$1780,F779,6)</f>
        <v>0</v>
      </c>
      <c r="U779" s="62" t="n">
        <f aca="false">IF(F779&gt;0,(Settings!$B$8*T779+Settings!$B$9*R779+Settings!$B$10*S779)/SUM(Settings!$B$8:$B$10),0)</f>
        <v>0</v>
      </c>
      <c r="V779" s="56" t="str">
        <f aca="false">IF(U779&gt;0,RANK(U779,$U$2:$U$1780)+COUNTIF($U$2:U779,U779)-1,"")</f>
        <v/>
      </c>
      <c r="W779" s="56" t="str">
        <f aca="false">IF(V779="","",IF(V779&lt;=Settings!$B$11,"1 - Fix first",IF(V779&lt;=Settings!$B$12,"2 - Review","3 - Monitor")))</f>
        <v/>
      </c>
      <c r="X779" s="56" t="str">
        <f aca="false">IF(AND(E779&gt;=Settings!$B$4,F779&gt;=Settings!$B$5,O779&gt;=Settings!$B$6),"HIGH RATE","")</f>
        <v/>
      </c>
      <c r="Y779" s="56" t="str">
        <f aca="false">IF(F779&gt;0,RANK(F779,$F$2:$F$1780)+COUNTIF($F$2:F779,F779)-1,"")</f>
        <v/>
      </c>
      <c r="Z779" s="56" t="str">
        <f aca="false">IF(H779&gt;0,RANK(H779,$H$2:$H$1780)+COUNTIF($H$2:H779,H779)-1,"")</f>
        <v/>
      </c>
      <c r="AA779" s="56" t="str">
        <f aca="false">IF(AC779="","",RANK(AC779,$AC$2:$AC$1780)+COUNTIF($AC$2:AC779,AC779)-1)</f>
        <v/>
      </c>
      <c r="AB779" s="56" t="str">
        <f aca="false">IF(AD779="","",RANK(AD779,$AD$2:$AD$1780)+COUNTIF($AD$2:AD779,AD779)-1)</f>
        <v/>
      </c>
      <c r="AC779" s="56" t="str">
        <f aca="false">IF(AND(F779&gt;0,E779&gt;=Settings!$B$4),J779,"")</f>
        <v/>
      </c>
      <c r="AD779" s="56" t="str">
        <f aca="false">IF(X779="HIGH RATE",O779,"")</f>
        <v/>
      </c>
    </row>
    <row r="780" customFormat="false" ht="15" hidden="false" customHeight="false" outlineLevel="0" collapsed="false">
      <c r="A780" s="56" t="s">
        <v>2038</v>
      </c>
      <c r="B780" s="56" t="s">
        <v>1083</v>
      </c>
      <c r="C780" s="56" t="s">
        <v>51</v>
      </c>
      <c r="D780" s="56" t="str">
        <f aca="false">IFERROR(INDEX('Brand Map'!$B$4:$B$124,MATCH(C780,'Brand Map'!$A$4:$A$124,0)),"Other")</f>
        <v>AU</v>
      </c>
      <c r="E780" s="57" t="n">
        <v>1</v>
      </c>
      <c r="F780" s="57" t="n">
        <v>0</v>
      </c>
      <c r="G780" s="58" t="n">
        <v>84.95</v>
      </c>
      <c r="H780" s="58" t="n">
        <v>0</v>
      </c>
      <c r="I780" s="58" t="n">
        <v>84.95</v>
      </c>
      <c r="J780" s="32" t="n">
        <f aca="false">IF(E780&gt;0,F780/E780,0)</f>
        <v>0</v>
      </c>
      <c r="K780" s="32" t="n">
        <f aca="false">IF(G780&gt;0,H780/G780,0)</f>
        <v>-0</v>
      </c>
      <c r="L780" s="59" t="n">
        <f aca="false">H780/Settings!$B$16</f>
        <v>-0</v>
      </c>
      <c r="M780" s="59" t="n">
        <f aca="false">H780/Settings!$B$20</f>
        <v>-0</v>
      </c>
      <c r="N780" s="60" t="n">
        <f aca="false">E780*Settings!$B$3</f>
        <v>0.0309861510798204</v>
      </c>
      <c r="O780" s="60" t="n">
        <f aca="false">IF(E780&gt;0,(F780-N780)/SQRT(E780*Settings!$B$3*(1-Settings!$B$3)),0)</f>
        <v>-0.178821125934444</v>
      </c>
      <c r="P780" s="60" t="n">
        <f aca="false">MAX(0,F780-N780)</f>
        <v>0</v>
      </c>
      <c r="Q780" s="32" t="n">
        <f aca="false">(F780+Settings!$B$7*Settings!$B$3)/(E780+Settings!$B$7)</f>
        <v>0.0299865978191811</v>
      </c>
      <c r="R780" s="61" t="n">
        <f aca="false">PERCENTRANK($H$2:$H$1780,H780,6)</f>
        <v>0</v>
      </c>
      <c r="S780" s="61" t="n">
        <f aca="false">PERCENTRANK($Q$2:$Q$1780,Q780,6)</f>
        <v>0.486502</v>
      </c>
      <c r="T780" s="61" t="n">
        <f aca="false">PERCENTRANK($F$2:$F$1780,F780,6)</f>
        <v>0</v>
      </c>
      <c r="U780" s="62" t="n">
        <f aca="false">IF(F780&gt;0,(Settings!$B$8*T780+Settings!$B$9*R780+Settings!$B$10*S780)/SUM(Settings!$B$8:$B$10),0)</f>
        <v>0</v>
      </c>
      <c r="V780" s="56" t="str">
        <f aca="false">IF(U780&gt;0,RANK(U780,$U$2:$U$1780)+COUNTIF($U$2:U780,U780)-1,"")</f>
        <v/>
      </c>
      <c r="W780" s="56" t="str">
        <f aca="false">IF(V780="","",IF(V780&lt;=Settings!$B$11,"1 - Fix first",IF(V780&lt;=Settings!$B$12,"2 - Review","3 - Monitor")))</f>
        <v/>
      </c>
      <c r="X780" s="56" t="str">
        <f aca="false">IF(AND(E780&gt;=Settings!$B$4,F780&gt;=Settings!$B$5,O780&gt;=Settings!$B$6),"HIGH RATE","")</f>
        <v/>
      </c>
      <c r="Y780" s="56" t="str">
        <f aca="false">IF(F780&gt;0,RANK(F780,$F$2:$F$1780)+COUNTIF($F$2:F780,F780)-1,"")</f>
        <v/>
      </c>
      <c r="Z780" s="56" t="str">
        <f aca="false">IF(H780&gt;0,RANK(H780,$H$2:$H$1780)+COUNTIF($H$2:H780,H780)-1,"")</f>
        <v/>
      </c>
      <c r="AA780" s="56" t="str">
        <f aca="false">IF(AC780="","",RANK(AC780,$AC$2:$AC$1780)+COUNTIF($AC$2:AC780,AC780)-1)</f>
        <v/>
      </c>
      <c r="AB780" s="56" t="str">
        <f aca="false">IF(AD780="","",RANK(AD780,$AD$2:$AD$1780)+COUNTIF($AD$2:AD780,AD780)-1)</f>
        <v/>
      </c>
      <c r="AC780" s="56" t="str">
        <f aca="false">IF(AND(F780&gt;0,E780&gt;=Settings!$B$4),J780,"")</f>
        <v/>
      </c>
      <c r="AD780" s="56" t="str">
        <f aca="false">IF(X780="HIGH RATE",O780,"")</f>
        <v/>
      </c>
    </row>
    <row r="781" customFormat="false" ht="15" hidden="false" customHeight="false" outlineLevel="0" collapsed="false">
      <c r="A781" s="56" t="s">
        <v>2039</v>
      </c>
      <c r="B781" s="56" t="s">
        <v>1025</v>
      </c>
      <c r="C781" s="56" t="s">
        <v>51</v>
      </c>
      <c r="D781" s="56" t="str">
        <f aca="false">IFERROR(INDEX('Brand Map'!$B$4:$B$124,MATCH(C781,'Brand Map'!$A$4:$A$124,0)),"Other")</f>
        <v>AU</v>
      </c>
      <c r="E781" s="57" t="n">
        <v>1</v>
      </c>
      <c r="F781" s="57" t="n">
        <v>0</v>
      </c>
      <c r="G781" s="58" t="n">
        <v>87.95</v>
      </c>
      <c r="H781" s="58" t="n">
        <v>0</v>
      </c>
      <c r="I781" s="58" t="n">
        <v>87.95</v>
      </c>
      <c r="J781" s="32" t="n">
        <f aca="false">IF(E781&gt;0,F781/E781,0)</f>
        <v>0</v>
      </c>
      <c r="K781" s="32" t="n">
        <f aca="false">IF(G781&gt;0,H781/G781,0)</f>
        <v>-0</v>
      </c>
      <c r="L781" s="59" t="n">
        <f aca="false">H781/Settings!$B$16</f>
        <v>-0</v>
      </c>
      <c r="M781" s="59" t="n">
        <f aca="false">H781/Settings!$B$20</f>
        <v>-0</v>
      </c>
      <c r="N781" s="60" t="n">
        <f aca="false">E781*Settings!$B$3</f>
        <v>0.0309861510798204</v>
      </c>
      <c r="O781" s="60" t="n">
        <f aca="false">IF(E781&gt;0,(F781-N781)/SQRT(E781*Settings!$B$3*(1-Settings!$B$3)),0)</f>
        <v>-0.178821125934444</v>
      </c>
      <c r="P781" s="60" t="n">
        <f aca="false">MAX(0,F781-N781)</f>
        <v>0</v>
      </c>
      <c r="Q781" s="32" t="n">
        <f aca="false">(F781+Settings!$B$7*Settings!$B$3)/(E781+Settings!$B$7)</f>
        <v>0.0299865978191811</v>
      </c>
      <c r="R781" s="61" t="n">
        <f aca="false">PERCENTRANK($H$2:$H$1780,H781,6)</f>
        <v>0</v>
      </c>
      <c r="S781" s="61" t="n">
        <f aca="false">PERCENTRANK($Q$2:$Q$1780,Q781,6)</f>
        <v>0.486502</v>
      </c>
      <c r="T781" s="61" t="n">
        <f aca="false">PERCENTRANK($F$2:$F$1780,F781,6)</f>
        <v>0</v>
      </c>
      <c r="U781" s="62" t="n">
        <f aca="false">IF(F781&gt;0,(Settings!$B$8*T781+Settings!$B$9*R781+Settings!$B$10*S781)/SUM(Settings!$B$8:$B$10),0)</f>
        <v>0</v>
      </c>
      <c r="V781" s="56" t="str">
        <f aca="false">IF(U781&gt;0,RANK(U781,$U$2:$U$1780)+COUNTIF($U$2:U781,U781)-1,"")</f>
        <v/>
      </c>
      <c r="W781" s="56" t="str">
        <f aca="false">IF(V781="","",IF(V781&lt;=Settings!$B$11,"1 - Fix first",IF(V781&lt;=Settings!$B$12,"2 - Review","3 - Monitor")))</f>
        <v/>
      </c>
      <c r="X781" s="56" t="str">
        <f aca="false">IF(AND(E781&gt;=Settings!$B$4,F781&gt;=Settings!$B$5,O781&gt;=Settings!$B$6),"HIGH RATE","")</f>
        <v/>
      </c>
      <c r="Y781" s="56" t="str">
        <f aca="false">IF(F781&gt;0,RANK(F781,$F$2:$F$1780)+COUNTIF($F$2:F781,F781)-1,"")</f>
        <v/>
      </c>
      <c r="Z781" s="56" t="str">
        <f aca="false">IF(H781&gt;0,RANK(H781,$H$2:$H$1780)+COUNTIF($H$2:H781,H781)-1,"")</f>
        <v/>
      </c>
      <c r="AA781" s="56" t="str">
        <f aca="false">IF(AC781="","",RANK(AC781,$AC$2:$AC$1780)+COUNTIF($AC$2:AC781,AC781)-1)</f>
        <v/>
      </c>
      <c r="AB781" s="56" t="str">
        <f aca="false">IF(AD781="","",RANK(AD781,$AD$2:$AD$1780)+COUNTIF($AD$2:AD781,AD781)-1)</f>
        <v/>
      </c>
      <c r="AC781" s="56" t="str">
        <f aca="false">IF(AND(F781&gt;0,E781&gt;=Settings!$B$4),J781,"")</f>
        <v/>
      </c>
      <c r="AD781" s="56" t="str">
        <f aca="false">IF(X781="HIGH RATE",O781,"")</f>
        <v/>
      </c>
    </row>
    <row r="782" customFormat="false" ht="15" hidden="false" customHeight="false" outlineLevel="0" collapsed="false">
      <c r="A782" s="56" t="s">
        <v>2040</v>
      </c>
      <c r="B782" s="56" t="s">
        <v>1199</v>
      </c>
      <c r="C782" s="56" t="s">
        <v>51</v>
      </c>
      <c r="D782" s="56" t="str">
        <f aca="false">IFERROR(INDEX('Brand Map'!$B$4:$B$124,MATCH(C782,'Brand Map'!$A$4:$A$124,0)),"Other")</f>
        <v>AU</v>
      </c>
      <c r="E782" s="57" t="n">
        <v>2</v>
      </c>
      <c r="F782" s="57" t="n">
        <v>0</v>
      </c>
      <c r="G782" s="58" t="n">
        <v>259.9</v>
      </c>
      <c r="H782" s="58" t="n">
        <v>0</v>
      </c>
      <c r="I782" s="58" t="n">
        <v>259.9</v>
      </c>
      <c r="J782" s="32" t="n">
        <f aca="false">IF(E782&gt;0,F782/E782,0)</f>
        <v>0</v>
      </c>
      <c r="K782" s="32" t="n">
        <f aca="false">IF(G782&gt;0,H782/G782,0)</f>
        <v>-0</v>
      </c>
      <c r="L782" s="59" t="n">
        <f aca="false">H782/Settings!$B$16</f>
        <v>-0</v>
      </c>
      <c r="M782" s="59" t="n">
        <f aca="false">H782/Settings!$B$20</f>
        <v>-0</v>
      </c>
      <c r="N782" s="60" t="n">
        <f aca="false">E782*Settings!$B$3</f>
        <v>0.0619723021596408</v>
      </c>
      <c r="O782" s="60" t="n">
        <f aca="false">IF(E782&gt;0,(F782-N782)/SQRT(E782*Settings!$B$3*(1-Settings!$B$3)),0)</f>
        <v>-0.252891261535318</v>
      </c>
      <c r="P782" s="60" t="n">
        <f aca="false">MAX(0,F782-N782)</f>
        <v>0</v>
      </c>
      <c r="Q782" s="32" t="n">
        <f aca="false">(F782+Settings!$B$7*Settings!$B$3)/(E782+Settings!$B$7)</f>
        <v>0.0290495166373316</v>
      </c>
      <c r="R782" s="61" t="n">
        <f aca="false">PERCENTRANK($H$2:$H$1780,H782,6)</f>
        <v>0</v>
      </c>
      <c r="S782" s="61" t="n">
        <f aca="false">PERCENTRANK($Q$2:$Q$1780,Q782,6)</f>
        <v>0.365579</v>
      </c>
      <c r="T782" s="61" t="n">
        <f aca="false">PERCENTRANK($F$2:$F$1780,F782,6)</f>
        <v>0</v>
      </c>
      <c r="U782" s="62" t="n">
        <f aca="false">IF(F782&gt;0,(Settings!$B$8*T782+Settings!$B$9*R782+Settings!$B$10*S782)/SUM(Settings!$B$8:$B$10),0)</f>
        <v>0</v>
      </c>
      <c r="V782" s="56" t="str">
        <f aca="false">IF(U782&gt;0,RANK(U782,$U$2:$U$1780)+COUNTIF($U$2:U782,U782)-1,"")</f>
        <v/>
      </c>
      <c r="W782" s="56" t="str">
        <f aca="false">IF(V782="","",IF(V782&lt;=Settings!$B$11,"1 - Fix first",IF(V782&lt;=Settings!$B$12,"2 - Review","3 - Monitor")))</f>
        <v/>
      </c>
      <c r="X782" s="56" t="str">
        <f aca="false">IF(AND(E782&gt;=Settings!$B$4,F782&gt;=Settings!$B$5,O782&gt;=Settings!$B$6),"HIGH RATE","")</f>
        <v/>
      </c>
      <c r="Y782" s="56" t="str">
        <f aca="false">IF(F782&gt;0,RANK(F782,$F$2:$F$1780)+COUNTIF($F$2:F782,F782)-1,"")</f>
        <v/>
      </c>
      <c r="Z782" s="56" t="str">
        <f aca="false">IF(H782&gt;0,RANK(H782,$H$2:$H$1780)+COUNTIF($H$2:H782,H782)-1,"")</f>
        <v/>
      </c>
      <c r="AA782" s="56" t="str">
        <f aca="false">IF(AC782="","",RANK(AC782,$AC$2:$AC$1780)+COUNTIF($AC$2:AC782,AC782)-1)</f>
        <v/>
      </c>
      <c r="AB782" s="56" t="str">
        <f aca="false">IF(AD782="","",RANK(AD782,$AD$2:$AD$1780)+COUNTIF($AD$2:AD782,AD782)-1)</f>
        <v/>
      </c>
      <c r="AC782" s="56" t="str">
        <f aca="false">IF(AND(F782&gt;0,E782&gt;=Settings!$B$4),J782,"")</f>
        <v/>
      </c>
      <c r="AD782" s="56" t="str">
        <f aca="false">IF(X782="HIGH RATE",O782,"")</f>
        <v/>
      </c>
    </row>
    <row r="783" customFormat="false" ht="15" hidden="false" customHeight="false" outlineLevel="0" collapsed="false">
      <c r="A783" s="56" t="s">
        <v>2041</v>
      </c>
      <c r="B783" s="56" t="s">
        <v>1199</v>
      </c>
      <c r="C783" s="56" t="s">
        <v>51</v>
      </c>
      <c r="D783" s="56" t="str">
        <f aca="false">IFERROR(INDEX('Brand Map'!$B$4:$B$124,MATCH(C783,'Brand Map'!$A$4:$A$124,0)),"Other")</f>
        <v>AU</v>
      </c>
      <c r="E783" s="57" t="n">
        <v>1</v>
      </c>
      <c r="F783" s="57" t="n">
        <v>0</v>
      </c>
      <c r="G783" s="58" t="n">
        <v>99.95</v>
      </c>
      <c r="H783" s="58" t="n">
        <v>0</v>
      </c>
      <c r="I783" s="58" t="n">
        <v>99.95</v>
      </c>
      <c r="J783" s="32" t="n">
        <f aca="false">IF(E783&gt;0,F783/E783,0)</f>
        <v>0</v>
      </c>
      <c r="K783" s="32" t="n">
        <f aca="false">IF(G783&gt;0,H783/G783,0)</f>
        <v>-0</v>
      </c>
      <c r="L783" s="59" t="n">
        <f aca="false">H783/Settings!$B$16</f>
        <v>-0</v>
      </c>
      <c r="M783" s="59" t="n">
        <f aca="false">H783/Settings!$B$20</f>
        <v>-0</v>
      </c>
      <c r="N783" s="60" t="n">
        <f aca="false">E783*Settings!$B$3</f>
        <v>0.0309861510798204</v>
      </c>
      <c r="O783" s="60" t="n">
        <f aca="false">IF(E783&gt;0,(F783-N783)/SQRT(E783*Settings!$B$3*(1-Settings!$B$3)),0)</f>
        <v>-0.178821125934444</v>
      </c>
      <c r="P783" s="60" t="n">
        <f aca="false">MAX(0,F783-N783)</f>
        <v>0</v>
      </c>
      <c r="Q783" s="32" t="n">
        <f aca="false">(F783+Settings!$B$7*Settings!$B$3)/(E783+Settings!$B$7)</f>
        <v>0.0299865978191811</v>
      </c>
      <c r="R783" s="61" t="n">
        <f aca="false">PERCENTRANK($H$2:$H$1780,H783,6)</f>
        <v>0</v>
      </c>
      <c r="S783" s="61" t="n">
        <f aca="false">PERCENTRANK($Q$2:$Q$1780,Q783,6)</f>
        <v>0.486502</v>
      </c>
      <c r="T783" s="61" t="n">
        <f aca="false">PERCENTRANK($F$2:$F$1780,F783,6)</f>
        <v>0</v>
      </c>
      <c r="U783" s="62" t="n">
        <f aca="false">IF(F783&gt;0,(Settings!$B$8*T783+Settings!$B$9*R783+Settings!$B$10*S783)/SUM(Settings!$B$8:$B$10),0)</f>
        <v>0</v>
      </c>
      <c r="V783" s="56" t="str">
        <f aca="false">IF(U783&gt;0,RANK(U783,$U$2:$U$1780)+COUNTIF($U$2:U783,U783)-1,"")</f>
        <v/>
      </c>
      <c r="W783" s="56" t="str">
        <f aca="false">IF(V783="","",IF(V783&lt;=Settings!$B$11,"1 - Fix first",IF(V783&lt;=Settings!$B$12,"2 - Review","3 - Monitor")))</f>
        <v/>
      </c>
      <c r="X783" s="56" t="str">
        <f aca="false">IF(AND(E783&gt;=Settings!$B$4,F783&gt;=Settings!$B$5,O783&gt;=Settings!$B$6),"HIGH RATE","")</f>
        <v/>
      </c>
      <c r="Y783" s="56" t="str">
        <f aca="false">IF(F783&gt;0,RANK(F783,$F$2:$F$1780)+COUNTIF($F$2:F783,F783)-1,"")</f>
        <v/>
      </c>
      <c r="Z783" s="56" t="str">
        <f aca="false">IF(H783&gt;0,RANK(H783,$H$2:$H$1780)+COUNTIF($H$2:H783,H783)-1,"")</f>
        <v/>
      </c>
      <c r="AA783" s="56" t="str">
        <f aca="false">IF(AC783="","",RANK(AC783,$AC$2:$AC$1780)+COUNTIF($AC$2:AC783,AC783)-1)</f>
        <v/>
      </c>
      <c r="AB783" s="56" t="str">
        <f aca="false">IF(AD783="","",RANK(AD783,$AD$2:$AD$1780)+COUNTIF($AD$2:AD783,AD783)-1)</f>
        <v/>
      </c>
      <c r="AC783" s="56" t="str">
        <f aca="false">IF(AND(F783&gt;0,E783&gt;=Settings!$B$4),J783,"")</f>
        <v/>
      </c>
      <c r="AD783" s="56" t="str">
        <f aca="false">IF(X783="HIGH RATE",O783,"")</f>
        <v/>
      </c>
    </row>
    <row r="784" customFormat="false" ht="15" hidden="false" customHeight="false" outlineLevel="0" collapsed="false">
      <c r="A784" s="56" t="s">
        <v>2042</v>
      </c>
      <c r="B784" s="56" t="s">
        <v>1199</v>
      </c>
      <c r="C784" s="56" t="s">
        <v>51</v>
      </c>
      <c r="D784" s="56" t="str">
        <f aca="false">IFERROR(INDEX('Brand Map'!$B$4:$B$124,MATCH(C784,'Brand Map'!$A$4:$A$124,0)),"Other")</f>
        <v>AU</v>
      </c>
      <c r="E784" s="57" t="n">
        <v>2</v>
      </c>
      <c r="F784" s="57" t="n">
        <v>0</v>
      </c>
      <c r="G784" s="58" t="n">
        <v>309.9</v>
      </c>
      <c r="H784" s="58" t="n">
        <v>0</v>
      </c>
      <c r="I784" s="58" t="n">
        <v>309.9</v>
      </c>
      <c r="J784" s="32" t="n">
        <f aca="false">IF(E784&gt;0,F784/E784,0)</f>
        <v>0</v>
      </c>
      <c r="K784" s="32" t="n">
        <f aca="false">IF(G784&gt;0,H784/G784,0)</f>
        <v>-0</v>
      </c>
      <c r="L784" s="59" t="n">
        <f aca="false">H784/Settings!$B$16</f>
        <v>-0</v>
      </c>
      <c r="M784" s="59" t="n">
        <f aca="false">H784/Settings!$B$20</f>
        <v>-0</v>
      </c>
      <c r="N784" s="60" t="n">
        <f aca="false">E784*Settings!$B$3</f>
        <v>0.0619723021596408</v>
      </c>
      <c r="O784" s="60" t="n">
        <f aca="false">IF(E784&gt;0,(F784-N784)/SQRT(E784*Settings!$B$3*(1-Settings!$B$3)),0)</f>
        <v>-0.252891261535318</v>
      </c>
      <c r="P784" s="60" t="n">
        <f aca="false">MAX(0,F784-N784)</f>
        <v>0</v>
      </c>
      <c r="Q784" s="32" t="n">
        <f aca="false">(F784+Settings!$B$7*Settings!$B$3)/(E784+Settings!$B$7)</f>
        <v>0.0290495166373316</v>
      </c>
      <c r="R784" s="61" t="n">
        <f aca="false">PERCENTRANK($H$2:$H$1780,H784,6)</f>
        <v>0</v>
      </c>
      <c r="S784" s="61" t="n">
        <f aca="false">PERCENTRANK($Q$2:$Q$1780,Q784,6)</f>
        <v>0.365579</v>
      </c>
      <c r="T784" s="61" t="n">
        <f aca="false">PERCENTRANK($F$2:$F$1780,F784,6)</f>
        <v>0</v>
      </c>
      <c r="U784" s="62" t="n">
        <f aca="false">IF(F784&gt;0,(Settings!$B$8*T784+Settings!$B$9*R784+Settings!$B$10*S784)/SUM(Settings!$B$8:$B$10),0)</f>
        <v>0</v>
      </c>
      <c r="V784" s="56" t="str">
        <f aca="false">IF(U784&gt;0,RANK(U784,$U$2:$U$1780)+COUNTIF($U$2:U784,U784)-1,"")</f>
        <v/>
      </c>
      <c r="W784" s="56" t="str">
        <f aca="false">IF(V784="","",IF(V784&lt;=Settings!$B$11,"1 - Fix first",IF(V784&lt;=Settings!$B$12,"2 - Review","3 - Monitor")))</f>
        <v/>
      </c>
      <c r="X784" s="56" t="str">
        <f aca="false">IF(AND(E784&gt;=Settings!$B$4,F784&gt;=Settings!$B$5,O784&gt;=Settings!$B$6),"HIGH RATE","")</f>
        <v/>
      </c>
      <c r="Y784" s="56" t="str">
        <f aca="false">IF(F784&gt;0,RANK(F784,$F$2:$F$1780)+COUNTIF($F$2:F784,F784)-1,"")</f>
        <v/>
      </c>
      <c r="Z784" s="56" t="str">
        <f aca="false">IF(H784&gt;0,RANK(H784,$H$2:$H$1780)+COUNTIF($H$2:H784,H784)-1,"")</f>
        <v/>
      </c>
      <c r="AA784" s="56" t="str">
        <f aca="false">IF(AC784="","",RANK(AC784,$AC$2:$AC$1780)+COUNTIF($AC$2:AC784,AC784)-1)</f>
        <v/>
      </c>
      <c r="AB784" s="56" t="str">
        <f aca="false">IF(AD784="","",RANK(AD784,$AD$2:$AD$1780)+COUNTIF($AD$2:AD784,AD784)-1)</f>
        <v/>
      </c>
      <c r="AC784" s="56" t="str">
        <f aca="false">IF(AND(F784&gt;0,E784&gt;=Settings!$B$4),J784,"")</f>
        <v/>
      </c>
      <c r="AD784" s="56" t="str">
        <f aca="false">IF(X784="HIGH RATE",O784,"")</f>
        <v/>
      </c>
    </row>
    <row r="785" customFormat="false" ht="15" hidden="false" customHeight="false" outlineLevel="0" collapsed="false">
      <c r="A785" s="56" t="s">
        <v>2043</v>
      </c>
      <c r="B785" s="56" t="s">
        <v>2044</v>
      </c>
      <c r="C785" s="56" t="s">
        <v>51</v>
      </c>
      <c r="D785" s="56" t="str">
        <f aca="false">IFERROR(INDEX('Brand Map'!$B$4:$B$124,MATCH(C785,'Brand Map'!$A$4:$A$124,0)),"Other")</f>
        <v>AU</v>
      </c>
      <c r="E785" s="57" t="n">
        <v>6</v>
      </c>
      <c r="F785" s="57" t="n">
        <v>0</v>
      </c>
      <c r="G785" s="58" t="n">
        <v>881.37</v>
      </c>
      <c r="H785" s="58" t="n">
        <v>0</v>
      </c>
      <c r="I785" s="58" t="n">
        <v>881.37</v>
      </c>
      <c r="J785" s="32" t="n">
        <f aca="false">IF(E785&gt;0,F785/E785,0)</f>
        <v>0</v>
      </c>
      <c r="K785" s="32" t="n">
        <f aca="false">IF(G785&gt;0,H785/G785,0)</f>
        <v>-0</v>
      </c>
      <c r="L785" s="59" t="n">
        <f aca="false">H785/Settings!$B$16</f>
        <v>-0</v>
      </c>
      <c r="M785" s="59" t="n">
        <f aca="false">H785/Settings!$B$20</f>
        <v>-0</v>
      </c>
      <c r="N785" s="60" t="n">
        <f aca="false">E785*Settings!$B$3</f>
        <v>0.185916906478923</v>
      </c>
      <c r="O785" s="60" t="n">
        <f aca="false">IF(E785&gt;0,(F785-N785)/SQRT(E785*Settings!$B$3*(1-Settings!$B$3)),0)</f>
        <v>-0.43802051376936</v>
      </c>
      <c r="P785" s="60" t="n">
        <f aca="false">MAX(0,F785-N785)</f>
        <v>0</v>
      </c>
      <c r="Q785" s="32" t="n">
        <f aca="false">(F785+Settings!$B$7*Settings!$B$3)/(E785+Settings!$B$7)</f>
        <v>0.025821792566517</v>
      </c>
      <c r="R785" s="61" t="n">
        <f aca="false">PERCENTRANK($H$2:$H$1780,H785,6)</f>
        <v>0</v>
      </c>
      <c r="S785" s="61" t="n">
        <f aca="false">PERCENTRANK($Q$2:$Q$1780,Q785,6)</f>
        <v>0.189539</v>
      </c>
      <c r="T785" s="61" t="n">
        <f aca="false">PERCENTRANK($F$2:$F$1780,F785,6)</f>
        <v>0</v>
      </c>
      <c r="U785" s="62" t="n">
        <f aca="false">IF(F785&gt;0,(Settings!$B$8*T785+Settings!$B$9*R785+Settings!$B$10*S785)/SUM(Settings!$B$8:$B$10),0)</f>
        <v>0</v>
      </c>
      <c r="V785" s="56" t="str">
        <f aca="false">IF(U785&gt;0,RANK(U785,$U$2:$U$1780)+COUNTIF($U$2:U785,U785)-1,"")</f>
        <v/>
      </c>
      <c r="W785" s="56" t="str">
        <f aca="false">IF(V785="","",IF(V785&lt;=Settings!$B$11,"1 - Fix first",IF(V785&lt;=Settings!$B$12,"2 - Review","3 - Monitor")))</f>
        <v/>
      </c>
      <c r="X785" s="56" t="str">
        <f aca="false">IF(AND(E785&gt;=Settings!$B$4,F785&gt;=Settings!$B$5,O785&gt;=Settings!$B$6),"HIGH RATE","")</f>
        <v/>
      </c>
      <c r="Y785" s="56" t="str">
        <f aca="false">IF(F785&gt;0,RANK(F785,$F$2:$F$1780)+COUNTIF($F$2:F785,F785)-1,"")</f>
        <v/>
      </c>
      <c r="Z785" s="56" t="str">
        <f aca="false">IF(H785&gt;0,RANK(H785,$H$2:$H$1780)+COUNTIF($H$2:H785,H785)-1,"")</f>
        <v/>
      </c>
      <c r="AA785" s="56" t="str">
        <f aca="false">IF(AC785="","",RANK(AC785,$AC$2:$AC$1780)+COUNTIF($AC$2:AC785,AC785)-1)</f>
        <v/>
      </c>
      <c r="AB785" s="56" t="str">
        <f aca="false">IF(AD785="","",RANK(AD785,$AD$2:$AD$1780)+COUNTIF($AD$2:AD785,AD785)-1)</f>
        <v/>
      </c>
      <c r="AC785" s="56" t="str">
        <f aca="false">IF(AND(F785&gt;0,E785&gt;=Settings!$B$4),J785,"")</f>
        <v/>
      </c>
      <c r="AD785" s="56" t="str">
        <f aca="false">IF(X785="HIGH RATE",O785,"")</f>
        <v/>
      </c>
    </row>
    <row r="786" customFormat="false" ht="15" hidden="false" customHeight="false" outlineLevel="0" collapsed="false">
      <c r="A786" s="56" t="s">
        <v>2045</v>
      </c>
      <c r="B786" s="56" t="s">
        <v>1398</v>
      </c>
      <c r="C786" s="56" t="s">
        <v>51</v>
      </c>
      <c r="D786" s="56" t="str">
        <f aca="false">IFERROR(INDEX('Brand Map'!$B$4:$B$124,MATCH(C786,'Brand Map'!$A$4:$A$124,0)),"Other")</f>
        <v>AU</v>
      </c>
      <c r="E786" s="57" t="n">
        <v>2</v>
      </c>
      <c r="F786" s="57" t="n">
        <v>0</v>
      </c>
      <c r="G786" s="58" t="n">
        <v>159.9</v>
      </c>
      <c r="H786" s="58" t="n">
        <v>0</v>
      </c>
      <c r="I786" s="58" t="n">
        <v>159.9</v>
      </c>
      <c r="J786" s="32" t="n">
        <f aca="false">IF(E786&gt;0,F786/E786,0)</f>
        <v>0</v>
      </c>
      <c r="K786" s="32" t="n">
        <f aca="false">IF(G786&gt;0,H786/G786,0)</f>
        <v>-0</v>
      </c>
      <c r="L786" s="59" t="n">
        <f aca="false">H786/Settings!$B$16</f>
        <v>-0</v>
      </c>
      <c r="M786" s="59" t="n">
        <f aca="false">H786/Settings!$B$20</f>
        <v>-0</v>
      </c>
      <c r="N786" s="60" t="n">
        <f aca="false">E786*Settings!$B$3</f>
        <v>0.0619723021596408</v>
      </c>
      <c r="O786" s="60" t="n">
        <f aca="false">IF(E786&gt;0,(F786-N786)/SQRT(E786*Settings!$B$3*(1-Settings!$B$3)),0)</f>
        <v>-0.252891261535318</v>
      </c>
      <c r="P786" s="60" t="n">
        <f aca="false">MAX(0,F786-N786)</f>
        <v>0</v>
      </c>
      <c r="Q786" s="32" t="n">
        <f aca="false">(F786+Settings!$B$7*Settings!$B$3)/(E786+Settings!$B$7)</f>
        <v>0.0290495166373316</v>
      </c>
      <c r="R786" s="61" t="n">
        <f aca="false">PERCENTRANK($H$2:$H$1780,H786,6)</f>
        <v>0</v>
      </c>
      <c r="S786" s="61" t="n">
        <f aca="false">PERCENTRANK($Q$2:$Q$1780,Q786,6)</f>
        <v>0.365579</v>
      </c>
      <c r="T786" s="61" t="n">
        <f aca="false">PERCENTRANK($F$2:$F$1780,F786,6)</f>
        <v>0</v>
      </c>
      <c r="U786" s="62" t="n">
        <f aca="false">IF(F786&gt;0,(Settings!$B$8*T786+Settings!$B$9*R786+Settings!$B$10*S786)/SUM(Settings!$B$8:$B$10),0)</f>
        <v>0</v>
      </c>
      <c r="V786" s="56" t="str">
        <f aca="false">IF(U786&gt;0,RANK(U786,$U$2:$U$1780)+COUNTIF($U$2:U786,U786)-1,"")</f>
        <v/>
      </c>
      <c r="W786" s="56" t="str">
        <f aca="false">IF(V786="","",IF(V786&lt;=Settings!$B$11,"1 - Fix first",IF(V786&lt;=Settings!$B$12,"2 - Review","3 - Monitor")))</f>
        <v/>
      </c>
      <c r="X786" s="56" t="str">
        <f aca="false">IF(AND(E786&gt;=Settings!$B$4,F786&gt;=Settings!$B$5,O786&gt;=Settings!$B$6),"HIGH RATE","")</f>
        <v/>
      </c>
      <c r="Y786" s="56" t="str">
        <f aca="false">IF(F786&gt;0,RANK(F786,$F$2:$F$1780)+COUNTIF($F$2:F786,F786)-1,"")</f>
        <v/>
      </c>
      <c r="Z786" s="56" t="str">
        <f aca="false">IF(H786&gt;0,RANK(H786,$H$2:$H$1780)+COUNTIF($H$2:H786,H786)-1,"")</f>
        <v/>
      </c>
      <c r="AA786" s="56" t="str">
        <f aca="false">IF(AC786="","",RANK(AC786,$AC$2:$AC$1780)+COUNTIF($AC$2:AC786,AC786)-1)</f>
        <v/>
      </c>
      <c r="AB786" s="56" t="str">
        <f aca="false">IF(AD786="","",RANK(AD786,$AD$2:$AD$1780)+COUNTIF($AD$2:AD786,AD786)-1)</f>
        <v/>
      </c>
      <c r="AC786" s="56" t="str">
        <f aca="false">IF(AND(F786&gt;0,E786&gt;=Settings!$B$4),J786,"")</f>
        <v/>
      </c>
      <c r="AD786" s="56" t="str">
        <f aca="false">IF(X786="HIGH RATE",O786,"")</f>
        <v/>
      </c>
    </row>
    <row r="787" customFormat="false" ht="15" hidden="false" customHeight="false" outlineLevel="0" collapsed="false">
      <c r="A787" s="56" t="s">
        <v>2046</v>
      </c>
      <c r="B787" s="56" t="s">
        <v>541</v>
      </c>
      <c r="C787" s="56" t="s">
        <v>51</v>
      </c>
      <c r="D787" s="56" t="str">
        <f aca="false">IFERROR(INDEX('Brand Map'!$B$4:$B$124,MATCH(C787,'Brand Map'!$A$4:$A$124,0)),"Other")</f>
        <v>AU</v>
      </c>
      <c r="E787" s="57" t="n">
        <v>15</v>
      </c>
      <c r="F787" s="57" t="n">
        <v>0</v>
      </c>
      <c r="G787" s="58" t="n">
        <v>1499.25</v>
      </c>
      <c r="H787" s="58" t="n">
        <v>0</v>
      </c>
      <c r="I787" s="58" t="n">
        <v>1499.25</v>
      </c>
      <c r="J787" s="32" t="n">
        <f aca="false">IF(E787&gt;0,F787/E787,0)</f>
        <v>0</v>
      </c>
      <c r="K787" s="32" t="n">
        <f aca="false">IF(G787&gt;0,H787/G787,0)</f>
        <v>-0</v>
      </c>
      <c r="L787" s="59" t="n">
        <f aca="false">H787/Settings!$B$16</f>
        <v>-0</v>
      </c>
      <c r="M787" s="59" t="n">
        <f aca="false">H787/Settings!$B$20</f>
        <v>-0</v>
      </c>
      <c r="N787" s="60" t="n">
        <f aca="false">E787*Settings!$B$3</f>
        <v>0.464792266197306</v>
      </c>
      <c r="O787" s="60" t="n">
        <f aca="false">IF(E787&gt;0,(F787-N787)/SQRT(E787*Settings!$B$3*(1-Settings!$B$3)),0)</f>
        <v>-0.692571242694161</v>
      </c>
      <c r="P787" s="60" t="n">
        <f aca="false">MAX(0,F787-N787)</f>
        <v>0</v>
      </c>
      <c r="Q787" s="32" t="n">
        <f aca="false">(F787+Settings!$B$7*Settings!$B$3)/(E787+Settings!$B$7)</f>
        <v>0.0206574340532136</v>
      </c>
      <c r="R787" s="61" t="n">
        <f aca="false">PERCENTRANK($H$2:$H$1780,H787,6)</f>
        <v>0</v>
      </c>
      <c r="S787" s="61" t="n">
        <f aca="false">PERCENTRANK($Q$2:$Q$1780,Q787,6)</f>
        <v>0.0928009</v>
      </c>
      <c r="T787" s="61" t="n">
        <f aca="false">PERCENTRANK($F$2:$F$1780,F787,6)</f>
        <v>0</v>
      </c>
      <c r="U787" s="62" t="n">
        <f aca="false">IF(F787&gt;0,(Settings!$B$8*T787+Settings!$B$9*R787+Settings!$B$10*S787)/SUM(Settings!$B$8:$B$10),0)</f>
        <v>0</v>
      </c>
      <c r="V787" s="56" t="str">
        <f aca="false">IF(U787&gt;0,RANK(U787,$U$2:$U$1780)+COUNTIF($U$2:U787,U787)-1,"")</f>
        <v/>
      </c>
      <c r="W787" s="56" t="str">
        <f aca="false">IF(V787="","",IF(V787&lt;=Settings!$B$11,"1 - Fix first",IF(V787&lt;=Settings!$B$12,"2 - Review","3 - Monitor")))</f>
        <v/>
      </c>
      <c r="X787" s="56" t="str">
        <f aca="false">IF(AND(E787&gt;=Settings!$B$4,F787&gt;=Settings!$B$5,O787&gt;=Settings!$B$6),"HIGH RATE","")</f>
        <v/>
      </c>
      <c r="Y787" s="56" t="str">
        <f aca="false">IF(F787&gt;0,RANK(F787,$F$2:$F$1780)+COUNTIF($F$2:F787,F787)-1,"")</f>
        <v/>
      </c>
      <c r="Z787" s="56" t="str">
        <f aca="false">IF(H787&gt;0,RANK(H787,$H$2:$H$1780)+COUNTIF($H$2:H787,H787)-1,"")</f>
        <v/>
      </c>
      <c r="AA787" s="56" t="str">
        <f aca="false">IF(AC787="","",RANK(AC787,$AC$2:$AC$1780)+COUNTIF($AC$2:AC787,AC787)-1)</f>
        <v/>
      </c>
      <c r="AB787" s="56" t="str">
        <f aca="false">IF(AD787="","",RANK(AD787,$AD$2:$AD$1780)+COUNTIF($AD$2:AD787,AD787)-1)</f>
        <v/>
      </c>
      <c r="AC787" s="56" t="str">
        <f aca="false">IF(AND(F787&gt;0,E787&gt;=Settings!$B$4),J787,"")</f>
        <v/>
      </c>
      <c r="AD787" s="56" t="str">
        <f aca="false">IF(X787="HIGH RATE",O787,"")</f>
        <v/>
      </c>
    </row>
    <row r="788" customFormat="false" ht="15" hidden="false" customHeight="false" outlineLevel="0" collapsed="false">
      <c r="A788" s="56" t="s">
        <v>2047</v>
      </c>
      <c r="B788" s="56" t="s">
        <v>541</v>
      </c>
      <c r="C788" s="56" t="s">
        <v>51</v>
      </c>
      <c r="D788" s="56" t="str">
        <f aca="false">IFERROR(INDEX('Brand Map'!$B$4:$B$124,MATCH(C788,'Brand Map'!$A$4:$A$124,0)),"Other")</f>
        <v>AU</v>
      </c>
      <c r="E788" s="57" t="n">
        <v>2</v>
      </c>
      <c r="F788" s="57" t="n">
        <v>0</v>
      </c>
      <c r="G788" s="58" t="n">
        <v>237.9</v>
      </c>
      <c r="H788" s="58" t="n">
        <v>0</v>
      </c>
      <c r="I788" s="58" t="n">
        <v>237.9</v>
      </c>
      <c r="J788" s="32" t="n">
        <f aca="false">IF(E788&gt;0,F788/E788,0)</f>
        <v>0</v>
      </c>
      <c r="K788" s="32" t="n">
        <f aca="false">IF(G788&gt;0,H788/G788,0)</f>
        <v>-0</v>
      </c>
      <c r="L788" s="59" t="n">
        <f aca="false">H788/Settings!$B$16</f>
        <v>-0</v>
      </c>
      <c r="M788" s="59" t="n">
        <f aca="false">H788/Settings!$B$20</f>
        <v>-0</v>
      </c>
      <c r="N788" s="60" t="n">
        <f aca="false">E788*Settings!$B$3</f>
        <v>0.0619723021596408</v>
      </c>
      <c r="O788" s="60" t="n">
        <f aca="false">IF(E788&gt;0,(F788-N788)/SQRT(E788*Settings!$B$3*(1-Settings!$B$3)),0)</f>
        <v>-0.252891261535318</v>
      </c>
      <c r="P788" s="60" t="n">
        <f aca="false">MAX(0,F788-N788)</f>
        <v>0</v>
      </c>
      <c r="Q788" s="32" t="n">
        <f aca="false">(F788+Settings!$B$7*Settings!$B$3)/(E788+Settings!$B$7)</f>
        <v>0.0290495166373316</v>
      </c>
      <c r="R788" s="61" t="n">
        <f aca="false">PERCENTRANK($H$2:$H$1780,H788,6)</f>
        <v>0</v>
      </c>
      <c r="S788" s="61" t="n">
        <f aca="false">PERCENTRANK($Q$2:$Q$1780,Q788,6)</f>
        <v>0.365579</v>
      </c>
      <c r="T788" s="61" t="n">
        <f aca="false">PERCENTRANK($F$2:$F$1780,F788,6)</f>
        <v>0</v>
      </c>
      <c r="U788" s="62" t="n">
        <f aca="false">IF(F788&gt;0,(Settings!$B$8*T788+Settings!$B$9*R788+Settings!$B$10*S788)/SUM(Settings!$B$8:$B$10),0)</f>
        <v>0</v>
      </c>
      <c r="V788" s="56" t="str">
        <f aca="false">IF(U788&gt;0,RANK(U788,$U$2:$U$1780)+COUNTIF($U$2:U788,U788)-1,"")</f>
        <v/>
      </c>
      <c r="W788" s="56" t="str">
        <f aca="false">IF(V788="","",IF(V788&lt;=Settings!$B$11,"1 - Fix first",IF(V788&lt;=Settings!$B$12,"2 - Review","3 - Monitor")))</f>
        <v/>
      </c>
      <c r="X788" s="56" t="str">
        <f aca="false">IF(AND(E788&gt;=Settings!$B$4,F788&gt;=Settings!$B$5,O788&gt;=Settings!$B$6),"HIGH RATE","")</f>
        <v/>
      </c>
      <c r="Y788" s="56" t="str">
        <f aca="false">IF(F788&gt;0,RANK(F788,$F$2:$F$1780)+COUNTIF($F$2:F788,F788)-1,"")</f>
        <v/>
      </c>
      <c r="Z788" s="56" t="str">
        <f aca="false">IF(H788&gt;0,RANK(H788,$H$2:$H$1780)+COUNTIF($H$2:H788,H788)-1,"")</f>
        <v/>
      </c>
      <c r="AA788" s="56" t="str">
        <f aca="false">IF(AC788="","",RANK(AC788,$AC$2:$AC$1780)+COUNTIF($AC$2:AC788,AC788)-1)</f>
        <v/>
      </c>
      <c r="AB788" s="56" t="str">
        <f aca="false">IF(AD788="","",RANK(AD788,$AD$2:$AD$1780)+COUNTIF($AD$2:AD788,AD788)-1)</f>
        <v/>
      </c>
      <c r="AC788" s="56" t="str">
        <f aca="false">IF(AND(F788&gt;0,E788&gt;=Settings!$B$4),J788,"")</f>
        <v/>
      </c>
      <c r="AD788" s="56" t="str">
        <f aca="false">IF(X788="HIGH RATE",O788,"")</f>
        <v/>
      </c>
    </row>
    <row r="789" customFormat="false" ht="15" hidden="false" customHeight="false" outlineLevel="0" collapsed="false">
      <c r="A789" s="56" t="s">
        <v>2048</v>
      </c>
      <c r="B789" s="56" t="s">
        <v>541</v>
      </c>
      <c r="C789" s="56" t="s">
        <v>51</v>
      </c>
      <c r="D789" s="56" t="str">
        <f aca="false">IFERROR(INDEX('Brand Map'!$B$4:$B$124,MATCH(C789,'Brand Map'!$A$4:$A$124,0)),"Other")</f>
        <v>AU</v>
      </c>
      <c r="E789" s="57" t="n">
        <v>3</v>
      </c>
      <c r="F789" s="57" t="n">
        <v>0</v>
      </c>
      <c r="G789" s="58" t="n">
        <v>389.85</v>
      </c>
      <c r="H789" s="58" t="n">
        <v>0</v>
      </c>
      <c r="I789" s="58" t="n">
        <v>389.85</v>
      </c>
      <c r="J789" s="32" t="n">
        <f aca="false">IF(E789&gt;0,F789/E789,0)</f>
        <v>0</v>
      </c>
      <c r="K789" s="32" t="n">
        <f aca="false">IF(G789&gt;0,H789/G789,0)</f>
        <v>-0</v>
      </c>
      <c r="L789" s="59" t="n">
        <f aca="false">H789/Settings!$B$16</f>
        <v>-0</v>
      </c>
      <c r="M789" s="59" t="n">
        <f aca="false">H789/Settings!$B$20</f>
        <v>-0</v>
      </c>
      <c r="N789" s="60" t="n">
        <f aca="false">E789*Settings!$B$3</f>
        <v>0.0929584532394613</v>
      </c>
      <c r="O789" s="60" t="n">
        <f aca="false">IF(E789&gt;0,(F789-N789)/SQRT(E789*Settings!$B$3*(1-Settings!$B$3)),0)</f>
        <v>-0.30972727558513</v>
      </c>
      <c r="P789" s="60" t="n">
        <f aca="false">MAX(0,F789-N789)</f>
        <v>0</v>
      </c>
      <c r="Q789" s="32" t="n">
        <f aca="false">(F789+Settings!$B$7*Settings!$B$3)/(E789+Settings!$B$7)</f>
        <v>0.0281692282543822</v>
      </c>
      <c r="R789" s="61" t="n">
        <f aca="false">PERCENTRANK($H$2:$H$1780,H789,6)</f>
        <v>0</v>
      </c>
      <c r="S789" s="61" t="n">
        <f aca="false">PERCENTRANK($Q$2:$Q$1780,Q789,6)</f>
        <v>0.294151</v>
      </c>
      <c r="T789" s="61" t="n">
        <f aca="false">PERCENTRANK($F$2:$F$1780,F789,6)</f>
        <v>0</v>
      </c>
      <c r="U789" s="62" t="n">
        <f aca="false">IF(F789&gt;0,(Settings!$B$8*T789+Settings!$B$9*R789+Settings!$B$10*S789)/SUM(Settings!$B$8:$B$10),0)</f>
        <v>0</v>
      </c>
      <c r="V789" s="56" t="str">
        <f aca="false">IF(U789&gt;0,RANK(U789,$U$2:$U$1780)+COUNTIF($U$2:U789,U789)-1,"")</f>
        <v/>
      </c>
      <c r="W789" s="56" t="str">
        <f aca="false">IF(V789="","",IF(V789&lt;=Settings!$B$11,"1 - Fix first",IF(V789&lt;=Settings!$B$12,"2 - Review","3 - Monitor")))</f>
        <v/>
      </c>
      <c r="X789" s="56" t="str">
        <f aca="false">IF(AND(E789&gt;=Settings!$B$4,F789&gt;=Settings!$B$5,O789&gt;=Settings!$B$6),"HIGH RATE","")</f>
        <v/>
      </c>
      <c r="Y789" s="56" t="str">
        <f aca="false">IF(F789&gt;0,RANK(F789,$F$2:$F$1780)+COUNTIF($F$2:F789,F789)-1,"")</f>
        <v/>
      </c>
      <c r="Z789" s="56" t="str">
        <f aca="false">IF(H789&gt;0,RANK(H789,$H$2:$H$1780)+COUNTIF($H$2:H789,H789)-1,"")</f>
        <v/>
      </c>
      <c r="AA789" s="56" t="str">
        <f aca="false">IF(AC789="","",RANK(AC789,$AC$2:$AC$1780)+COUNTIF($AC$2:AC789,AC789)-1)</f>
        <v/>
      </c>
      <c r="AB789" s="56" t="str">
        <f aca="false">IF(AD789="","",RANK(AD789,$AD$2:$AD$1780)+COUNTIF($AD$2:AD789,AD789)-1)</f>
        <v/>
      </c>
      <c r="AC789" s="56" t="str">
        <f aca="false">IF(AND(F789&gt;0,E789&gt;=Settings!$B$4),J789,"")</f>
        <v/>
      </c>
      <c r="AD789" s="56" t="str">
        <f aca="false">IF(X789="HIGH RATE",O789,"")</f>
        <v/>
      </c>
    </row>
    <row r="790" customFormat="false" ht="15" hidden="false" customHeight="false" outlineLevel="0" collapsed="false">
      <c r="A790" s="56" t="s">
        <v>2049</v>
      </c>
      <c r="B790" s="56" t="s">
        <v>541</v>
      </c>
      <c r="C790" s="56" t="s">
        <v>51</v>
      </c>
      <c r="D790" s="56" t="str">
        <f aca="false">IFERROR(INDEX('Brand Map'!$B$4:$B$124,MATCH(C790,'Brand Map'!$A$4:$A$124,0)),"Other")</f>
        <v>AU</v>
      </c>
      <c r="E790" s="57" t="n">
        <v>35</v>
      </c>
      <c r="F790" s="57" t="n">
        <v>0</v>
      </c>
      <c r="G790" s="58" t="n">
        <v>2973.25</v>
      </c>
      <c r="H790" s="58" t="n">
        <v>0</v>
      </c>
      <c r="I790" s="58" t="n">
        <v>2973.25</v>
      </c>
      <c r="J790" s="32" t="n">
        <f aca="false">IF(E790&gt;0,F790/E790,0)</f>
        <v>0</v>
      </c>
      <c r="K790" s="32" t="n">
        <f aca="false">IF(G790&gt;0,H790/G790,0)</f>
        <v>-0</v>
      </c>
      <c r="L790" s="59" t="n">
        <f aca="false">H790/Settings!$B$16</f>
        <v>-0</v>
      </c>
      <c r="M790" s="59" t="n">
        <f aca="false">H790/Settings!$B$20</f>
        <v>-0</v>
      </c>
      <c r="N790" s="60" t="n">
        <f aca="false">E790*Settings!$B$3</f>
        <v>1.08451528779371</v>
      </c>
      <c r="O790" s="60" t="n">
        <f aca="false">IF(E790&gt;0,(F790-N790)/SQRT(E790*Settings!$B$3*(1-Settings!$B$3)),0)</f>
        <v>-1.05792004793187</v>
      </c>
      <c r="P790" s="60" t="n">
        <f aca="false">MAX(0,F790-N790)</f>
        <v>0</v>
      </c>
      <c r="Q790" s="32" t="n">
        <f aca="false">(F790+Settings!$B$7*Settings!$B$3)/(E790+Settings!$B$7)</f>
        <v>0.0143013004983787</v>
      </c>
      <c r="R790" s="61" t="n">
        <f aca="false">PERCENTRANK($H$2:$H$1780,H790,6)</f>
        <v>0</v>
      </c>
      <c r="S790" s="61" t="n">
        <f aca="false">PERCENTRANK($Q$2:$Q$1780,Q790,6)</f>
        <v>0.0348706</v>
      </c>
      <c r="T790" s="61" t="n">
        <f aca="false">PERCENTRANK($F$2:$F$1780,F790,6)</f>
        <v>0</v>
      </c>
      <c r="U790" s="62" t="n">
        <f aca="false">IF(F790&gt;0,(Settings!$B$8*T790+Settings!$B$9*R790+Settings!$B$10*S790)/SUM(Settings!$B$8:$B$10),0)</f>
        <v>0</v>
      </c>
      <c r="V790" s="56" t="str">
        <f aca="false">IF(U790&gt;0,RANK(U790,$U$2:$U$1780)+COUNTIF($U$2:U790,U790)-1,"")</f>
        <v/>
      </c>
      <c r="W790" s="56" t="str">
        <f aca="false">IF(V790="","",IF(V790&lt;=Settings!$B$11,"1 - Fix first",IF(V790&lt;=Settings!$B$12,"2 - Review","3 - Monitor")))</f>
        <v/>
      </c>
      <c r="X790" s="56" t="str">
        <f aca="false">IF(AND(E790&gt;=Settings!$B$4,F790&gt;=Settings!$B$5,O790&gt;=Settings!$B$6),"HIGH RATE","")</f>
        <v/>
      </c>
      <c r="Y790" s="56" t="str">
        <f aca="false">IF(F790&gt;0,RANK(F790,$F$2:$F$1780)+COUNTIF($F$2:F790,F790)-1,"")</f>
        <v/>
      </c>
      <c r="Z790" s="56" t="str">
        <f aca="false">IF(H790&gt;0,RANK(H790,$H$2:$H$1780)+COUNTIF($H$2:H790,H790)-1,"")</f>
        <v/>
      </c>
      <c r="AA790" s="56" t="str">
        <f aca="false">IF(AC790="","",RANK(AC790,$AC$2:$AC$1780)+COUNTIF($AC$2:AC790,AC790)-1)</f>
        <v/>
      </c>
      <c r="AB790" s="56" t="str">
        <f aca="false">IF(AD790="","",RANK(AD790,$AD$2:$AD$1780)+COUNTIF($AD$2:AD790,AD790)-1)</f>
        <v/>
      </c>
      <c r="AC790" s="56" t="str">
        <f aca="false">IF(AND(F790&gt;0,E790&gt;=Settings!$B$4),J790,"")</f>
        <v/>
      </c>
      <c r="AD790" s="56" t="str">
        <f aca="false">IF(X790="HIGH RATE",O790,"")</f>
        <v/>
      </c>
    </row>
    <row r="791" customFormat="false" ht="15" hidden="false" customHeight="false" outlineLevel="0" collapsed="false">
      <c r="A791" s="56" t="s">
        <v>2050</v>
      </c>
      <c r="B791" s="56" t="s">
        <v>2051</v>
      </c>
      <c r="C791" s="56" t="s">
        <v>51</v>
      </c>
      <c r="D791" s="56" t="str">
        <f aca="false">IFERROR(INDEX('Brand Map'!$B$4:$B$124,MATCH(C791,'Brand Map'!$A$4:$A$124,0)),"Other")</f>
        <v>AU</v>
      </c>
      <c r="E791" s="57" t="n">
        <v>9</v>
      </c>
      <c r="F791" s="57" t="n">
        <v>0</v>
      </c>
      <c r="G791" s="58" t="n">
        <v>1560.39</v>
      </c>
      <c r="H791" s="58" t="n">
        <v>0</v>
      </c>
      <c r="I791" s="58" t="n">
        <v>1537.91</v>
      </c>
      <c r="J791" s="32" t="n">
        <f aca="false">IF(E791&gt;0,F791/E791,0)</f>
        <v>0</v>
      </c>
      <c r="K791" s="32" t="n">
        <f aca="false">IF(G791&gt;0,H791/G791,0)</f>
        <v>-0</v>
      </c>
      <c r="L791" s="59" t="n">
        <f aca="false">H791/Settings!$B$16</f>
        <v>-0</v>
      </c>
      <c r="M791" s="59" t="n">
        <f aca="false">H791/Settings!$B$20</f>
        <v>-0</v>
      </c>
      <c r="N791" s="60" t="n">
        <f aca="false">E791*Settings!$B$3</f>
        <v>0.278875359718384</v>
      </c>
      <c r="O791" s="60" t="n">
        <f aca="false">IF(E791&gt;0,(F791-N791)/SQRT(E791*Settings!$B$3*(1-Settings!$B$3)),0)</f>
        <v>-0.536463377803332</v>
      </c>
      <c r="P791" s="60" t="n">
        <f aca="false">MAX(0,F791-N791)</f>
        <v>0</v>
      </c>
      <c r="Q791" s="32" t="n">
        <f aca="false">(F791+Settings!$B$7*Settings!$B$3)/(E791+Settings!$B$7)</f>
        <v>0.0238355008306311</v>
      </c>
      <c r="R791" s="61" t="n">
        <f aca="false">PERCENTRANK($H$2:$H$1780,H791,6)</f>
        <v>0</v>
      </c>
      <c r="S791" s="61" t="n">
        <f aca="false">PERCENTRANK($Q$2:$Q$1780,Q791,6)</f>
        <v>0.142857</v>
      </c>
      <c r="T791" s="61" t="n">
        <f aca="false">PERCENTRANK($F$2:$F$1780,F791,6)</f>
        <v>0</v>
      </c>
      <c r="U791" s="62" t="n">
        <f aca="false">IF(F791&gt;0,(Settings!$B$8*T791+Settings!$B$9*R791+Settings!$B$10*S791)/SUM(Settings!$B$8:$B$10),0)</f>
        <v>0</v>
      </c>
      <c r="V791" s="56" t="str">
        <f aca="false">IF(U791&gt;0,RANK(U791,$U$2:$U$1780)+COUNTIF($U$2:U791,U791)-1,"")</f>
        <v/>
      </c>
      <c r="W791" s="56" t="str">
        <f aca="false">IF(V791="","",IF(V791&lt;=Settings!$B$11,"1 - Fix first",IF(V791&lt;=Settings!$B$12,"2 - Review","3 - Monitor")))</f>
        <v/>
      </c>
      <c r="X791" s="56" t="str">
        <f aca="false">IF(AND(E791&gt;=Settings!$B$4,F791&gt;=Settings!$B$5,O791&gt;=Settings!$B$6),"HIGH RATE","")</f>
        <v/>
      </c>
      <c r="Y791" s="56" t="str">
        <f aca="false">IF(F791&gt;0,RANK(F791,$F$2:$F$1780)+COUNTIF($F$2:F791,F791)-1,"")</f>
        <v/>
      </c>
      <c r="Z791" s="56" t="str">
        <f aca="false">IF(H791&gt;0,RANK(H791,$H$2:$H$1780)+COUNTIF($H$2:H791,H791)-1,"")</f>
        <v/>
      </c>
      <c r="AA791" s="56" t="str">
        <f aca="false">IF(AC791="","",RANK(AC791,$AC$2:$AC$1780)+COUNTIF($AC$2:AC791,AC791)-1)</f>
        <v/>
      </c>
      <c r="AB791" s="56" t="str">
        <f aca="false">IF(AD791="","",RANK(AD791,$AD$2:$AD$1780)+COUNTIF($AD$2:AD791,AD791)-1)</f>
        <v/>
      </c>
      <c r="AC791" s="56" t="str">
        <f aca="false">IF(AND(F791&gt;0,E791&gt;=Settings!$B$4),J791,"")</f>
        <v/>
      </c>
      <c r="AD791" s="56" t="str">
        <f aca="false">IF(X791="HIGH RATE",O791,"")</f>
        <v/>
      </c>
    </row>
    <row r="792" customFormat="false" ht="15" hidden="false" customHeight="false" outlineLevel="0" collapsed="false">
      <c r="A792" s="56" t="s">
        <v>2052</v>
      </c>
      <c r="B792" s="56" t="s">
        <v>2051</v>
      </c>
      <c r="C792" s="56" t="s">
        <v>51</v>
      </c>
      <c r="D792" s="56" t="str">
        <f aca="false">IFERROR(INDEX('Brand Map'!$B$4:$B$124,MATCH(C792,'Brand Map'!$A$4:$A$124,0)),"Other")</f>
        <v>AU</v>
      </c>
      <c r="E792" s="57" t="n">
        <v>1</v>
      </c>
      <c r="F792" s="57" t="n">
        <v>0</v>
      </c>
      <c r="G792" s="58" t="n">
        <v>206.95</v>
      </c>
      <c r="H792" s="58" t="n">
        <v>0</v>
      </c>
      <c r="I792" s="58" t="n">
        <v>206.95</v>
      </c>
      <c r="J792" s="32" t="n">
        <f aca="false">IF(E792&gt;0,F792/E792,0)</f>
        <v>0</v>
      </c>
      <c r="K792" s="32" t="n">
        <f aca="false">IF(G792&gt;0,H792/G792,0)</f>
        <v>-0</v>
      </c>
      <c r="L792" s="59" t="n">
        <f aca="false">H792/Settings!$B$16</f>
        <v>-0</v>
      </c>
      <c r="M792" s="59" t="n">
        <f aca="false">H792/Settings!$B$20</f>
        <v>-0</v>
      </c>
      <c r="N792" s="60" t="n">
        <f aca="false">E792*Settings!$B$3</f>
        <v>0.0309861510798204</v>
      </c>
      <c r="O792" s="60" t="n">
        <f aca="false">IF(E792&gt;0,(F792-N792)/SQRT(E792*Settings!$B$3*(1-Settings!$B$3)),0)</f>
        <v>-0.178821125934444</v>
      </c>
      <c r="P792" s="60" t="n">
        <f aca="false">MAX(0,F792-N792)</f>
        <v>0</v>
      </c>
      <c r="Q792" s="32" t="n">
        <f aca="false">(F792+Settings!$B$7*Settings!$B$3)/(E792+Settings!$B$7)</f>
        <v>0.0299865978191811</v>
      </c>
      <c r="R792" s="61" t="n">
        <f aca="false">PERCENTRANK($H$2:$H$1780,H792,6)</f>
        <v>0</v>
      </c>
      <c r="S792" s="61" t="n">
        <f aca="false">PERCENTRANK($Q$2:$Q$1780,Q792,6)</f>
        <v>0.486502</v>
      </c>
      <c r="T792" s="61" t="n">
        <f aca="false">PERCENTRANK($F$2:$F$1780,F792,6)</f>
        <v>0</v>
      </c>
      <c r="U792" s="62" t="n">
        <f aca="false">IF(F792&gt;0,(Settings!$B$8*T792+Settings!$B$9*R792+Settings!$B$10*S792)/SUM(Settings!$B$8:$B$10),0)</f>
        <v>0</v>
      </c>
      <c r="V792" s="56" t="str">
        <f aca="false">IF(U792&gt;0,RANK(U792,$U$2:$U$1780)+COUNTIF($U$2:U792,U792)-1,"")</f>
        <v/>
      </c>
      <c r="W792" s="56" t="str">
        <f aca="false">IF(V792="","",IF(V792&lt;=Settings!$B$11,"1 - Fix first",IF(V792&lt;=Settings!$B$12,"2 - Review","3 - Monitor")))</f>
        <v/>
      </c>
      <c r="X792" s="56" t="str">
        <f aca="false">IF(AND(E792&gt;=Settings!$B$4,F792&gt;=Settings!$B$5,O792&gt;=Settings!$B$6),"HIGH RATE","")</f>
        <v/>
      </c>
      <c r="Y792" s="56" t="str">
        <f aca="false">IF(F792&gt;0,RANK(F792,$F$2:$F$1780)+COUNTIF($F$2:F792,F792)-1,"")</f>
        <v/>
      </c>
      <c r="Z792" s="56" t="str">
        <f aca="false">IF(H792&gt;0,RANK(H792,$H$2:$H$1780)+COUNTIF($H$2:H792,H792)-1,"")</f>
        <v/>
      </c>
      <c r="AA792" s="56" t="str">
        <f aca="false">IF(AC792="","",RANK(AC792,$AC$2:$AC$1780)+COUNTIF($AC$2:AC792,AC792)-1)</f>
        <v/>
      </c>
      <c r="AB792" s="56" t="str">
        <f aca="false">IF(AD792="","",RANK(AD792,$AD$2:$AD$1780)+COUNTIF($AD$2:AD792,AD792)-1)</f>
        <v/>
      </c>
      <c r="AC792" s="56" t="str">
        <f aca="false">IF(AND(F792&gt;0,E792&gt;=Settings!$B$4),J792,"")</f>
        <v/>
      </c>
      <c r="AD792" s="56" t="str">
        <f aca="false">IF(X792="HIGH RATE",O792,"")</f>
        <v/>
      </c>
    </row>
    <row r="793" customFormat="false" ht="15" hidden="false" customHeight="false" outlineLevel="0" collapsed="false">
      <c r="A793" s="56" t="s">
        <v>2053</v>
      </c>
      <c r="B793" s="56" t="s">
        <v>2054</v>
      </c>
      <c r="C793" s="56" t="s">
        <v>51</v>
      </c>
      <c r="D793" s="56" t="str">
        <f aca="false">IFERROR(INDEX('Brand Map'!$B$4:$B$124,MATCH(C793,'Brand Map'!$A$4:$A$124,0)),"Other")</f>
        <v>AU</v>
      </c>
      <c r="E793" s="57" t="n">
        <v>21</v>
      </c>
      <c r="F793" s="57" t="n">
        <v>0</v>
      </c>
      <c r="G793" s="58" t="n">
        <v>2440.78</v>
      </c>
      <c r="H793" s="58" t="n">
        <v>0</v>
      </c>
      <c r="I793" s="58" t="n">
        <v>2333.32</v>
      </c>
      <c r="J793" s="32" t="n">
        <f aca="false">IF(E793&gt;0,F793/E793,0)</f>
        <v>0</v>
      </c>
      <c r="K793" s="32" t="n">
        <f aca="false">IF(G793&gt;0,H793/G793,0)</f>
        <v>-0</v>
      </c>
      <c r="L793" s="59" t="n">
        <f aca="false">H793/Settings!$B$16</f>
        <v>-0</v>
      </c>
      <c r="M793" s="59" t="n">
        <f aca="false">H793/Settings!$B$20</f>
        <v>-0</v>
      </c>
      <c r="N793" s="60" t="n">
        <f aca="false">E793*Settings!$B$3</f>
        <v>0.650709172676229</v>
      </c>
      <c r="O793" s="60" t="n">
        <f aca="false">IF(E793&gt;0,(F793-N793)/SQRT(E793*Settings!$B$3*(1-Settings!$B$3)),0)</f>
        <v>-0.819461345451821</v>
      </c>
      <c r="P793" s="60" t="n">
        <f aca="false">MAX(0,F793-N793)</f>
        <v>0</v>
      </c>
      <c r="Q793" s="32" t="n">
        <f aca="false">(F793+Settings!$B$7*Settings!$B$3)/(E793+Settings!$B$7)</f>
        <v>0.018227147694012</v>
      </c>
      <c r="R793" s="61" t="n">
        <f aca="false">PERCENTRANK($H$2:$H$1780,H793,6)</f>
        <v>0</v>
      </c>
      <c r="S793" s="61" t="n">
        <f aca="false">PERCENTRANK($Q$2:$Q$1780,Q793,6)</f>
        <v>0.0697413</v>
      </c>
      <c r="T793" s="61" t="n">
        <f aca="false">PERCENTRANK($F$2:$F$1780,F793,6)</f>
        <v>0</v>
      </c>
      <c r="U793" s="62" t="n">
        <f aca="false">IF(F793&gt;0,(Settings!$B$8*T793+Settings!$B$9*R793+Settings!$B$10*S793)/SUM(Settings!$B$8:$B$10),0)</f>
        <v>0</v>
      </c>
      <c r="V793" s="56" t="str">
        <f aca="false">IF(U793&gt;0,RANK(U793,$U$2:$U$1780)+COUNTIF($U$2:U793,U793)-1,"")</f>
        <v/>
      </c>
      <c r="W793" s="56" t="str">
        <f aca="false">IF(V793="","",IF(V793&lt;=Settings!$B$11,"1 - Fix first",IF(V793&lt;=Settings!$B$12,"2 - Review","3 - Monitor")))</f>
        <v/>
      </c>
      <c r="X793" s="56" t="str">
        <f aca="false">IF(AND(E793&gt;=Settings!$B$4,F793&gt;=Settings!$B$5,O793&gt;=Settings!$B$6),"HIGH RATE","")</f>
        <v/>
      </c>
      <c r="Y793" s="56" t="str">
        <f aca="false">IF(F793&gt;0,RANK(F793,$F$2:$F$1780)+COUNTIF($F$2:F793,F793)-1,"")</f>
        <v/>
      </c>
      <c r="Z793" s="56" t="str">
        <f aca="false">IF(H793&gt;0,RANK(H793,$H$2:$H$1780)+COUNTIF($H$2:H793,H793)-1,"")</f>
        <v/>
      </c>
      <c r="AA793" s="56" t="str">
        <f aca="false">IF(AC793="","",RANK(AC793,$AC$2:$AC$1780)+COUNTIF($AC$2:AC793,AC793)-1)</f>
        <v/>
      </c>
      <c r="AB793" s="56" t="str">
        <f aca="false">IF(AD793="","",RANK(AD793,$AD$2:$AD$1780)+COUNTIF($AD$2:AD793,AD793)-1)</f>
        <v/>
      </c>
      <c r="AC793" s="56" t="str">
        <f aca="false">IF(AND(F793&gt;0,E793&gt;=Settings!$B$4),J793,"")</f>
        <v/>
      </c>
      <c r="AD793" s="56" t="str">
        <f aca="false">IF(X793="HIGH RATE",O793,"")</f>
        <v/>
      </c>
    </row>
    <row r="794" customFormat="false" ht="15" hidden="false" customHeight="false" outlineLevel="0" collapsed="false">
      <c r="A794" s="56" t="s">
        <v>2055</v>
      </c>
      <c r="B794" s="56" t="s">
        <v>2056</v>
      </c>
      <c r="C794" s="56" t="s">
        <v>51</v>
      </c>
      <c r="D794" s="56" t="str">
        <f aca="false">IFERROR(INDEX('Brand Map'!$B$4:$B$124,MATCH(C794,'Brand Map'!$A$4:$A$124,0)),"Other")</f>
        <v>AU</v>
      </c>
      <c r="E794" s="57" t="n">
        <v>3</v>
      </c>
      <c r="F794" s="57" t="n">
        <v>0</v>
      </c>
      <c r="G794" s="58" t="n">
        <v>399.85</v>
      </c>
      <c r="H794" s="58" t="n">
        <v>0</v>
      </c>
      <c r="I794" s="58" t="n">
        <v>399.85</v>
      </c>
      <c r="J794" s="32" t="n">
        <f aca="false">IF(E794&gt;0,F794/E794,0)</f>
        <v>0</v>
      </c>
      <c r="K794" s="32" t="n">
        <f aca="false">IF(G794&gt;0,H794/G794,0)</f>
        <v>-0</v>
      </c>
      <c r="L794" s="59" t="n">
        <f aca="false">H794/Settings!$B$16</f>
        <v>-0</v>
      </c>
      <c r="M794" s="59" t="n">
        <f aca="false">H794/Settings!$B$20</f>
        <v>-0</v>
      </c>
      <c r="N794" s="60" t="n">
        <f aca="false">E794*Settings!$B$3</f>
        <v>0.0929584532394613</v>
      </c>
      <c r="O794" s="60" t="n">
        <f aca="false">IF(E794&gt;0,(F794-N794)/SQRT(E794*Settings!$B$3*(1-Settings!$B$3)),0)</f>
        <v>-0.30972727558513</v>
      </c>
      <c r="P794" s="60" t="n">
        <f aca="false">MAX(0,F794-N794)</f>
        <v>0</v>
      </c>
      <c r="Q794" s="32" t="n">
        <f aca="false">(F794+Settings!$B$7*Settings!$B$3)/(E794+Settings!$B$7)</f>
        <v>0.0281692282543822</v>
      </c>
      <c r="R794" s="61" t="n">
        <f aca="false">PERCENTRANK($H$2:$H$1780,H794,6)</f>
        <v>0</v>
      </c>
      <c r="S794" s="61" t="n">
        <f aca="false">PERCENTRANK($Q$2:$Q$1780,Q794,6)</f>
        <v>0.294151</v>
      </c>
      <c r="T794" s="61" t="n">
        <f aca="false">PERCENTRANK($F$2:$F$1780,F794,6)</f>
        <v>0</v>
      </c>
      <c r="U794" s="62" t="n">
        <f aca="false">IF(F794&gt;0,(Settings!$B$8*T794+Settings!$B$9*R794+Settings!$B$10*S794)/SUM(Settings!$B$8:$B$10),0)</f>
        <v>0</v>
      </c>
      <c r="V794" s="56" t="str">
        <f aca="false">IF(U794&gt;0,RANK(U794,$U$2:$U$1780)+COUNTIF($U$2:U794,U794)-1,"")</f>
        <v/>
      </c>
      <c r="W794" s="56" t="str">
        <f aca="false">IF(V794="","",IF(V794&lt;=Settings!$B$11,"1 - Fix first",IF(V794&lt;=Settings!$B$12,"2 - Review","3 - Monitor")))</f>
        <v/>
      </c>
      <c r="X794" s="56" t="str">
        <f aca="false">IF(AND(E794&gt;=Settings!$B$4,F794&gt;=Settings!$B$5,O794&gt;=Settings!$B$6),"HIGH RATE","")</f>
        <v/>
      </c>
      <c r="Y794" s="56" t="str">
        <f aca="false">IF(F794&gt;0,RANK(F794,$F$2:$F$1780)+COUNTIF($F$2:F794,F794)-1,"")</f>
        <v/>
      </c>
      <c r="Z794" s="56" t="str">
        <f aca="false">IF(H794&gt;0,RANK(H794,$H$2:$H$1780)+COUNTIF($H$2:H794,H794)-1,"")</f>
        <v/>
      </c>
      <c r="AA794" s="56" t="str">
        <f aca="false">IF(AC794="","",RANK(AC794,$AC$2:$AC$1780)+COUNTIF($AC$2:AC794,AC794)-1)</f>
        <v/>
      </c>
      <c r="AB794" s="56" t="str">
        <f aca="false">IF(AD794="","",RANK(AD794,$AD$2:$AD$1780)+COUNTIF($AD$2:AD794,AD794)-1)</f>
        <v/>
      </c>
      <c r="AC794" s="56" t="str">
        <f aca="false">IF(AND(F794&gt;0,E794&gt;=Settings!$B$4),J794,"")</f>
        <v/>
      </c>
      <c r="AD794" s="56" t="str">
        <f aca="false">IF(X794="HIGH RATE",O794,"")</f>
        <v/>
      </c>
    </row>
    <row r="795" customFormat="false" ht="15" hidden="false" customHeight="false" outlineLevel="0" collapsed="false">
      <c r="A795" s="56" t="s">
        <v>2057</v>
      </c>
      <c r="B795" s="56" t="s">
        <v>2056</v>
      </c>
      <c r="C795" s="56" t="s">
        <v>51</v>
      </c>
      <c r="D795" s="56" t="str">
        <f aca="false">IFERROR(INDEX('Brand Map'!$B$4:$B$124,MATCH(C795,'Brand Map'!$A$4:$A$124,0)),"Other")</f>
        <v>AU</v>
      </c>
      <c r="E795" s="57" t="n">
        <v>1</v>
      </c>
      <c r="F795" s="57" t="n">
        <v>0</v>
      </c>
      <c r="G795" s="58" t="n">
        <v>141.45</v>
      </c>
      <c r="H795" s="58" t="n">
        <v>0</v>
      </c>
      <c r="I795" s="58" t="n">
        <v>141.45</v>
      </c>
      <c r="J795" s="32" t="n">
        <f aca="false">IF(E795&gt;0,F795/E795,0)</f>
        <v>0</v>
      </c>
      <c r="K795" s="32" t="n">
        <f aca="false">IF(G795&gt;0,H795/G795,0)</f>
        <v>-0</v>
      </c>
      <c r="L795" s="59" t="n">
        <f aca="false">H795/Settings!$B$16</f>
        <v>-0</v>
      </c>
      <c r="M795" s="59" t="n">
        <f aca="false">H795/Settings!$B$20</f>
        <v>-0</v>
      </c>
      <c r="N795" s="60" t="n">
        <f aca="false">E795*Settings!$B$3</f>
        <v>0.0309861510798204</v>
      </c>
      <c r="O795" s="60" t="n">
        <f aca="false">IF(E795&gt;0,(F795-N795)/SQRT(E795*Settings!$B$3*(1-Settings!$B$3)),0)</f>
        <v>-0.178821125934444</v>
      </c>
      <c r="P795" s="60" t="n">
        <f aca="false">MAX(0,F795-N795)</f>
        <v>0</v>
      </c>
      <c r="Q795" s="32" t="n">
        <f aca="false">(F795+Settings!$B$7*Settings!$B$3)/(E795+Settings!$B$7)</f>
        <v>0.0299865978191811</v>
      </c>
      <c r="R795" s="61" t="n">
        <f aca="false">PERCENTRANK($H$2:$H$1780,H795,6)</f>
        <v>0</v>
      </c>
      <c r="S795" s="61" t="n">
        <f aca="false">PERCENTRANK($Q$2:$Q$1780,Q795,6)</f>
        <v>0.486502</v>
      </c>
      <c r="T795" s="61" t="n">
        <f aca="false">PERCENTRANK($F$2:$F$1780,F795,6)</f>
        <v>0</v>
      </c>
      <c r="U795" s="62" t="n">
        <f aca="false">IF(F795&gt;0,(Settings!$B$8*T795+Settings!$B$9*R795+Settings!$B$10*S795)/SUM(Settings!$B$8:$B$10),0)</f>
        <v>0</v>
      </c>
      <c r="V795" s="56" t="str">
        <f aca="false">IF(U795&gt;0,RANK(U795,$U$2:$U$1780)+COUNTIF($U$2:U795,U795)-1,"")</f>
        <v/>
      </c>
      <c r="W795" s="56" t="str">
        <f aca="false">IF(V795="","",IF(V795&lt;=Settings!$B$11,"1 - Fix first",IF(V795&lt;=Settings!$B$12,"2 - Review","3 - Monitor")))</f>
        <v/>
      </c>
      <c r="X795" s="56" t="str">
        <f aca="false">IF(AND(E795&gt;=Settings!$B$4,F795&gt;=Settings!$B$5,O795&gt;=Settings!$B$6),"HIGH RATE","")</f>
        <v/>
      </c>
      <c r="Y795" s="56" t="str">
        <f aca="false">IF(F795&gt;0,RANK(F795,$F$2:$F$1780)+COUNTIF($F$2:F795,F795)-1,"")</f>
        <v/>
      </c>
      <c r="Z795" s="56" t="str">
        <f aca="false">IF(H795&gt;0,RANK(H795,$H$2:$H$1780)+COUNTIF($H$2:H795,H795)-1,"")</f>
        <v/>
      </c>
      <c r="AA795" s="56" t="str">
        <f aca="false">IF(AC795="","",RANK(AC795,$AC$2:$AC$1780)+COUNTIF($AC$2:AC795,AC795)-1)</f>
        <v/>
      </c>
      <c r="AB795" s="56" t="str">
        <f aca="false">IF(AD795="","",RANK(AD795,$AD$2:$AD$1780)+COUNTIF($AD$2:AD795,AD795)-1)</f>
        <v/>
      </c>
      <c r="AC795" s="56" t="str">
        <f aca="false">IF(AND(F795&gt;0,E795&gt;=Settings!$B$4),J795,"")</f>
        <v/>
      </c>
      <c r="AD795" s="56" t="str">
        <f aca="false">IF(X795="HIGH RATE",O795,"")</f>
        <v/>
      </c>
    </row>
    <row r="796" customFormat="false" ht="15" hidden="false" customHeight="false" outlineLevel="0" collapsed="false">
      <c r="A796" s="56" t="s">
        <v>2058</v>
      </c>
      <c r="B796" s="56" t="s">
        <v>2059</v>
      </c>
      <c r="C796" s="56" t="s">
        <v>51</v>
      </c>
      <c r="D796" s="56" t="str">
        <f aca="false">IFERROR(INDEX('Brand Map'!$B$4:$B$124,MATCH(C796,'Brand Map'!$A$4:$A$124,0)),"Other")</f>
        <v>AU</v>
      </c>
      <c r="E796" s="57" t="n">
        <v>5</v>
      </c>
      <c r="F796" s="57" t="n">
        <v>0</v>
      </c>
      <c r="G796" s="58" t="n">
        <v>624.75</v>
      </c>
      <c r="H796" s="58" t="n">
        <v>0</v>
      </c>
      <c r="I796" s="58" t="n">
        <v>624.75</v>
      </c>
      <c r="J796" s="32" t="n">
        <f aca="false">IF(E796&gt;0,F796/E796,0)</f>
        <v>0</v>
      </c>
      <c r="K796" s="32" t="n">
        <f aca="false">IF(G796&gt;0,H796/G796,0)</f>
        <v>-0</v>
      </c>
      <c r="L796" s="59" t="n">
        <f aca="false">H796/Settings!$B$16</f>
        <v>-0</v>
      </c>
      <c r="M796" s="59" t="n">
        <f aca="false">H796/Settings!$B$20</f>
        <v>-0</v>
      </c>
      <c r="N796" s="60" t="n">
        <f aca="false">E796*Settings!$B$3</f>
        <v>0.154930755399102</v>
      </c>
      <c r="O796" s="60" t="n">
        <f aca="false">IF(E796&gt;0,(F796-N796)/SQRT(E796*Settings!$B$3*(1-Settings!$B$3)),0)</f>
        <v>-0.399856193402468</v>
      </c>
      <c r="P796" s="60" t="n">
        <f aca="false">MAX(0,F796-N796)</f>
        <v>0</v>
      </c>
      <c r="Q796" s="32" t="n">
        <f aca="false">(F796+Settings!$B$7*Settings!$B$3)/(E796+Settings!$B$7)</f>
        <v>0.0265595580684175</v>
      </c>
      <c r="R796" s="61" t="n">
        <f aca="false">PERCENTRANK($H$2:$H$1780,H796,6)</f>
        <v>0</v>
      </c>
      <c r="S796" s="61" t="n">
        <f aca="false">PERCENTRANK($Q$2:$Q$1780,Q796,6)</f>
        <v>0.220472</v>
      </c>
      <c r="T796" s="61" t="n">
        <f aca="false">PERCENTRANK($F$2:$F$1780,F796,6)</f>
        <v>0</v>
      </c>
      <c r="U796" s="62" t="n">
        <f aca="false">IF(F796&gt;0,(Settings!$B$8*T796+Settings!$B$9*R796+Settings!$B$10*S796)/SUM(Settings!$B$8:$B$10),0)</f>
        <v>0</v>
      </c>
      <c r="V796" s="56" t="str">
        <f aca="false">IF(U796&gt;0,RANK(U796,$U$2:$U$1780)+COUNTIF($U$2:U796,U796)-1,"")</f>
        <v/>
      </c>
      <c r="W796" s="56" t="str">
        <f aca="false">IF(V796="","",IF(V796&lt;=Settings!$B$11,"1 - Fix first",IF(V796&lt;=Settings!$B$12,"2 - Review","3 - Monitor")))</f>
        <v/>
      </c>
      <c r="X796" s="56" t="str">
        <f aca="false">IF(AND(E796&gt;=Settings!$B$4,F796&gt;=Settings!$B$5,O796&gt;=Settings!$B$6),"HIGH RATE","")</f>
        <v/>
      </c>
      <c r="Y796" s="56" t="str">
        <f aca="false">IF(F796&gt;0,RANK(F796,$F$2:$F$1780)+COUNTIF($F$2:F796,F796)-1,"")</f>
        <v/>
      </c>
      <c r="Z796" s="56" t="str">
        <f aca="false">IF(H796&gt;0,RANK(H796,$H$2:$H$1780)+COUNTIF($H$2:H796,H796)-1,"")</f>
        <v/>
      </c>
      <c r="AA796" s="56" t="str">
        <f aca="false">IF(AC796="","",RANK(AC796,$AC$2:$AC$1780)+COUNTIF($AC$2:AC796,AC796)-1)</f>
        <v/>
      </c>
      <c r="AB796" s="56" t="str">
        <f aca="false">IF(AD796="","",RANK(AD796,$AD$2:$AD$1780)+COUNTIF($AD$2:AD796,AD796)-1)</f>
        <v/>
      </c>
      <c r="AC796" s="56" t="str">
        <f aca="false">IF(AND(F796&gt;0,E796&gt;=Settings!$B$4),J796,"")</f>
        <v/>
      </c>
      <c r="AD796" s="56" t="str">
        <f aca="false">IF(X796="HIGH RATE",O796,"")</f>
        <v/>
      </c>
    </row>
    <row r="797" customFormat="false" ht="15" hidden="false" customHeight="false" outlineLevel="0" collapsed="false">
      <c r="A797" s="56" t="s">
        <v>2060</v>
      </c>
      <c r="B797" s="56" t="s">
        <v>2059</v>
      </c>
      <c r="C797" s="56" t="s">
        <v>51</v>
      </c>
      <c r="D797" s="56" t="str">
        <f aca="false">IFERROR(INDEX('Brand Map'!$B$4:$B$124,MATCH(C797,'Brand Map'!$A$4:$A$124,0)),"Other")</f>
        <v>AU</v>
      </c>
      <c r="E797" s="57" t="n">
        <v>2</v>
      </c>
      <c r="F797" s="57" t="n">
        <v>0</v>
      </c>
      <c r="G797" s="58" t="n">
        <v>273.06</v>
      </c>
      <c r="H797" s="58" t="n">
        <v>0</v>
      </c>
      <c r="I797" s="58" t="n">
        <v>273.06</v>
      </c>
      <c r="J797" s="32" t="n">
        <f aca="false">IF(E797&gt;0,F797/E797,0)</f>
        <v>0</v>
      </c>
      <c r="K797" s="32" t="n">
        <f aca="false">IF(G797&gt;0,H797/G797,0)</f>
        <v>-0</v>
      </c>
      <c r="L797" s="59" t="n">
        <f aca="false">H797/Settings!$B$16</f>
        <v>-0</v>
      </c>
      <c r="M797" s="59" t="n">
        <f aca="false">H797/Settings!$B$20</f>
        <v>-0</v>
      </c>
      <c r="N797" s="60" t="n">
        <f aca="false">E797*Settings!$B$3</f>
        <v>0.0619723021596408</v>
      </c>
      <c r="O797" s="60" t="n">
        <f aca="false">IF(E797&gt;0,(F797-N797)/SQRT(E797*Settings!$B$3*(1-Settings!$B$3)),0)</f>
        <v>-0.252891261535318</v>
      </c>
      <c r="P797" s="60" t="n">
        <f aca="false">MAX(0,F797-N797)</f>
        <v>0</v>
      </c>
      <c r="Q797" s="32" t="n">
        <f aca="false">(F797+Settings!$B$7*Settings!$B$3)/(E797+Settings!$B$7)</f>
        <v>0.0290495166373316</v>
      </c>
      <c r="R797" s="61" t="n">
        <f aca="false">PERCENTRANK($H$2:$H$1780,H797,6)</f>
        <v>0</v>
      </c>
      <c r="S797" s="61" t="n">
        <f aca="false">PERCENTRANK($Q$2:$Q$1780,Q797,6)</f>
        <v>0.365579</v>
      </c>
      <c r="T797" s="61" t="n">
        <f aca="false">PERCENTRANK($F$2:$F$1780,F797,6)</f>
        <v>0</v>
      </c>
      <c r="U797" s="62" t="n">
        <f aca="false">IF(F797&gt;0,(Settings!$B$8*T797+Settings!$B$9*R797+Settings!$B$10*S797)/SUM(Settings!$B$8:$B$10),0)</f>
        <v>0</v>
      </c>
      <c r="V797" s="56" t="str">
        <f aca="false">IF(U797&gt;0,RANK(U797,$U$2:$U$1780)+COUNTIF($U$2:U797,U797)-1,"")</f>
        <v/>
      </c>
      <c r="W797" s="56" t="str">
        <f aca="false">IF(V797="","",IF(V797&lt;=Settings!$B$11,"1 - Fix first",IF(V797&lt;=Settings!$B$12,"2 - Review","3 - Monitor")))</f>
        <v/>
      </c>
      <c r="X797" s="56" t="str">
        <f aca="false">IF(AND(E797&gt;=Settings!$B$4,F797&gt;=Settings!$B$5,O797&gt;=Settings!$B$6),"HIGH RATE","")</f>
        <v/>
      </c>
      <c r="Y797" s="56" t="str">
        <f aca="false">IF(F797&gt;0,RANK(F797,$F$2:$F$1780)+COUNTIF($F$2:F797,F797)-1,"")</f>
        <v/>
      </c>
      <c r="Z797" s="56" t="str">
        <f aca="false">IF(H797&gt;0,RANK(H797,$H$2:$H$1780)+COUNTIF($H$2:H797,H797)-1,"")</f>
        <v/>
      </c>
      <c r="AA797" s="56" t="str">
        <f aca="false">IF(AC797="","",RANK(AC797,$AC$2:$AC$1780)+COUNTIF($AC$2:AC797,AC797)-1)</f>
        <v/>
      </c>
      <c r="AB797" s="56" t="str">
        <f aca="false">IF(AD797="","",RANK(AD797,$AD$2:$AD$1780)+COUNTIF($AD$2:AD797,AD797)-1)</f>
        <v/>
      </c>
      <c r="AC797" s="56" t="str">
        <f aca="false">IF(AND(F797&gt;0,E797&gt;=Settings!$B$4),J797,"")</f>
        <v/>
      </c>
      <c r="AD797" s="56" t="str">
        <f aca="false">IF(X797="HIGH RATE",O797,"")</f>
        <v/>
      </c>
    </row>
    <row r="798" customFormat="false" ht="15" hidden="false" customHeight="false" outlineLevel="0" collapsed="false">
      <c r="A798" s="56" t="s">
        <v>2061</v>
      </c>
      <c r="B798" s="56" t="s">
        <v>1320</v>
      </c>
      <c r="C798" s="56" t="s">
        <v>51</v>
      </c>
      <c r="D798" s="56" t="str">
        <f aca="false">IFERROR(INDEX('Brand Map'!$B$4:$B$124,MATCH(C798,'Brand Map'!$A$4:$A$124,0)),"Other")</f>
        <v>AU</v>
      </c>
      <c r="E798" s="57" t="n">
        <v>22</v>
      </c>
      <c r="F798" s="57" t="n">
        <v>0</v>
      </c>
      <c r="G798" s="58" t="n">
        <v>1417.9</v>
      </c>
      <c r="H798" s="58" t="n">
        <v>0</v>
      </c>
      <c r="I798" s="58" t="n">
        <v>1417.9</v>
      </c>
      <c r="J798" s="32" t="n">
        <f aca="false">IF(E798&gt;0,F798/E798,0)</f>
        <v>0</v>
      </c>
      <c r="K798" s="32" t="n">
        <f aca="false">IF(G798&gt;0,H798/G798,0)</f>
        <v>-0</v>
      </c>
      <c r="L798" s="59" t="n">
        <f aca="false">H798/Settings!$B$16</f>
        <v>-0</v>
      </c>
      <c r="M798" s="59" t="n">
        <f aca="false">H798/Settings!$B$20</f>
        <v>-0</v>
      </c>
      <c r="N798" s="60" t="n">
        <f aca="false">E798*Settings!$B$3</f>
        <v>0.681695323756049</v>
      </c>
      <c r="O798" s="60" t="n">
        <f aca="false">IF(E798&gt;0,(F798-N798)/SQRT(E798*Settings!$B$3*(1-Settings!$B$3)),0)</f>
        <v>-0.838745427272287</v>
      </c>
      <c r="P798" s="60" t="n">
        <f aca="false">MAX(0,F798-N798)</f>
        <v>0</v>
      </c>
      <c r="Q798" s="32" t="n">
        <f aca="false">(F798+Settings!$B$7*Settings!$B$3)/(E798+Settings!$B$7)</f>
        <v>0.0178766256229733</v>
      </c>
      <c r="R798" s="61" t="n">
        <f aca="false">PERCENTRANK($H$2:$H$1780,H798,6)</f>
        <v>0</v>
      </c>
      <c r="S798" s="61" t="n">
        <f aca="false">PERCENTRANK($Q$2:$Q$1780,Q798,6)</f>
        <v>0.0658043</v>
      </c>
      <c r="T798" s="61" t="n">
        <f aca="false">PERCENTRANK($F$2:$F$1780,F798,6)</f>
        <v>0</v>
      </c>
      <c r="U798" s="62" t="n">
        <f aca="false">IF(F798&gt;0,(Settings!$B$8*T798+Settings!$B$9*R798+Settings!$B$10*S798)/SUM(Settings!$B$8:$B$10),0)</f>
        <v>0</v>
      </c>
      <c r="V798" s="56" t="str">
        <f aca="false">IF(U798&gt;0,RANK(U798,$U$2:$U$1780)+COUNTIF($U$2:U798,U798)-1,"")</f>
        <v/>
      </c>
      <c r="W798" s="56" t="str">
        <f aca="false">IF(V798="","",IF(V798&lt;=Settings!$B$11,"1 - Fix first",IF(V798&lt;=Settings!$B$12,"2 - Review","3 - Monitor")))</f>
        <v/>
      </c>
      <c r="X798" s="56" t="str">
        <f aca="false">IF(AND(E798&gt;=Settings!$B$4,F798&gt;=Settings!$B$5,O798&gt;=Settings!$B$6),"HIGH RATE","")</f>
        <v/>
      </c>
      <c r="Y798" s="56" t="str">
        <f aca="false">IF(F798&gt;0,RANK(F798,$F$2:$F$1780)+COUNTIF($F$2:F798,F798)-1,"")</f>
        <v/>
      </c>
      <c r="Z798" s="56" t="str">
        <f aca="false">IF(H798&gt;0,RANK(H798,$H$2:$H$1780)+COUNTIF($H$2:H798,H798)-1,"")</f>
        <v/>
      </c>
      <c r="AA798" s="56" t="str">
        <f aca="false">IF(AC798="","",RANK(AC798,$AC$2:$AC$1780)+COUNTIF($AC$2:AC798,AC798)-1)</f>
        <v/>
      </c>
      <c r="AB798" s="56" t="str">
        <f aca="false">IF(AD798="","",RANK(AD798,$AD$2:$AD$1780)+COUNTIF($AD$2:AD798,AD798)-1)</f>
        <v/>
      </c>
      <c r="AC798" s="56" t="str">
        <f aca="false">IF(AND(F798&gt;0,E798&gt;=Settings!$B$4),J798,"")</f>
        <v/>
      </c>
      <c r="AD798" s="56" t="str">
        <f aca="false">IF(X798="HIGH RATE",O798,"")</f>
        <v/>
      </c>
    </row>
    <row r="799" customFormat="false" ht="15" hidden="false" customHeight="false" outlineLevel="0" collapsed="false">
      <c r="A799" s="56" t="s">
        <v>2062</v>
      </c>
      <c r="B799" s="56" t="s">
        <v>1320</v>
      </c>
      <c r="C799" s="56" t="s">
        <v>51</v>
      </c>
      <c r="D799" s="56" t="str">
        <f aca="false">IFERROR(INDEX('Brand Map'!$B$4:$B$124,MATCH(C799,'Brand Map'!$A$4:$A$124,0)),"Other")</f>
        <v>AU</v>
      </c>
      <c r="E799" s="57" t="n">
        <v>9</v>
      </c>
      <c r="F799" s="57" t="n">
        <v>0</v>
      </c>
      <c r="G799" s="58" t="n">
        <v>715.05</v>
      </c>
      <c r="H799" s="58" t="n">
        <v>0</v>
      </c>
      <c r="I799" s="58" t="n">
        <v>715.05</v>
      </c>
      <c r="J799" s="32" t="n">
        <f aca="false">IF(E799&gt;0,F799/E799,0)</f>
        <v>0</v>
      </c>
      <c r="K799" s="32" t="n">
        <f aca="false">IF(G799&gt;0,H799/G799,0)</f>
        <v>-0</v>
      </c>
      <c r="L799" s="59" t="n">
        <f aca="false">H799/Settings!$B$16</f>
        <v>-0</v>
      </c>
      <c r="M799" s="59" t="n">
        <f aca="false">H799/Settings!$B$20</f>
        <v>-0</v>
      </c>
      <c r="N799" s="60" t="n">
        <f aca="false">E799*Settings!$B$3</f>
        <v>0.278875359718384</v>
      </c>
      <c r="O799" s="60" t="n">
        <f aca="false">IF(E799&gt;0,(F799-N799)/SQRT(E799*Settings!$B$3*(1-Settings!$B$3)),0)</f>
        <v>-0.536463377803332</v>
      </c>
      <c r="P799" s="60" t="n">
        <f aca="false">MAX(0,F799-N799)</f>
        <v>0</v>
      </c>
      <c r="Q799" s="32" t="n">
        <f aca="false">(F799+Settings!$B$7*Settings!$B$3)/(E799+Settings!$B$7)</f>
        <v>0.0238355008306311</v>
      </c>
      <c r="R799" s="61" t="n">
        <f aca="false">PERCENTRANK($H$2:$H$1780,H799,6)</f>
        <v>0</v>
      </c>
      <c r="S799" s="61" t="n">
        <f aca="false">PERCENTRANK($Q$2:$Q$1780,Q799,6)</f>
        <v>0.142857</v>
      </c>
      <c r="T799" s="61" t="n">
        <f aca="false">PERCENTRANK($F$2:$F$1780,F799,6)</f>
        <v>0</v>
      </c>
      <c r="U799" s="62" t="n">
        <f aca="false">IF(F799&gt;0,(Settings!$B$8*T799+Settings!$B$9*R799+Settings!$B$10*S799)/SUM(Settings!$B$8:$B$10),0)</f>
        <v>0</v>
      </c>
      <c r="V799" s="56" t="str">
        <f aca="false">IF(U799&gt;0,RANK(U799,$U$2:$U$1780)+COUNTIF($U$2:U799,U799)-1,"")</f>
        <v/>
      </c>
      <c r="W799" s="56" t="str">
        <f aca="false">IF(V799="","",IF(V799&lt;=Settings!$B$11,"1 - Fix first",IF(V799&lt;=Settings!$B$12,"2 - Review","3 - Monitor")))</f>
        <v/>
      </c>
      <c r="X799" s="56" t="str">
        <f aca="false">IF(AND(E799&gt;=Settings!$B$4,F799&gt;=Settings!$B$5,O799&gt;=Settings!$B$6),"HIGH RATE","")</f>
        <v/>
      </c>
      <c r="Y799" s="56" t="str">
        <f aca="false">IF(F799&gt;0,RANK(F799,$F$2:$F$1780)+COUNTIF($F$2:F799,F799)-1,"")</f>
        <v/>
      </c>
      <c r="Z799" s="56" t="str">
        <f aca="false">IF(H799&gt;0,RANK(H799,$H$2:$H$1780)+COUNTIF($H$2:H799,H799)-1,"")</f>
        <v/>
      </c>
      <c r="AA799" s="56" t="str">
        <f aca="false">IF(AC799="","",RANK(AC799,$AC$2:$AC$1780)+COUNTIF($AC$2:AC799,AC799)-1)</f>
        <v/>
      </c>
      <c r="AB799" s="56" t="str">
        <f aca="false">IF(AD799="","",RANK(AD799,$AD$2:$AD$1780)+COUNTIF($AD$2:AD799,AD799)-1)</f>
        <v/>
      </c>
      <c r="AC799" s="56" t="str">
        <f aca="false">IF(AND(F799&gt;0,E799&gt;=Settings!$B$4),J799,"")</f>
        <v/>
      </c>
      <c r="AD799" s="56" t="str">
        <f aca="false">IF(X799="HIGH RATE",O799,"")</f>
        <v/>
      </c>
    </row>
    <row r="800" customFormat="false" ht="15" hidden="false" customHeight="false" outlineLevel="0" collapsed="false">
      <c r="A800" s="56" t="s">
        <v>2063</v>
      </c>
      <c r="B800" s="56" t="s">
        <v>1320</v>
      </c>
      <c r="C800" s="56" t="s">
        <v>51</v>
      </c>
      <c r="D800" s="56" t="str">
        <f aca="false">IFERROR(INDEX('Brand Map'!$B$4:$B$124,MATCH(C800,'Brand Map'!$A$4:$A$124,0)),"Other")</f>
        <v>AU</v>
      </c>
      <c r="E800" s="57" t="n">
        <v>8</v>
      </c>
      <c r="F800" s="57" t="n">
        <v>0</v>
      </c>
      <c r="G800" s="58" t="n">
        <v>755.6</v>
      </c>
      <c r="H800" s="58" t="n">
        <v>0</v>
      </c>
      <c r="I800" s="58" t="n">
        <v>755.6</v>
      </c>
      <c r="J800" s="32" t="n">
        <f aca="false">IF(E800&gt;0,F800/E800,0)</f>
        <v>0</v>
      </c>
      <c r="K800" s="32" t="n">
        <f aca="false">IF(G800&gt;0,H800/G800,0)</f>
        <v>-0</v>
      </c>
      <c r="L800" s="59" t="n">
        <f aca="false">H800/Settings!$B$16</f>
        <v>-0</v>
      </c>
      <c r="M800" s="59" t="n">
        <f aca="false">H800/Settings!$B$20</f>
        <v>-0</v>
      </c>
      <c r="N800" s="60" t="n">
        <f aca="false">E800*Settings!$B$3</f>
        <v>0.247889208638563</v>
      </c>
      <c r="O800" s="60" t="n">
        <f aca="false">IF(E800&gt;0,(F800-N800)/SQRT(E800*Settings!$B$3*(1-Settings!$B$3)),0)</f>
        <v>-0.505782523070636</v>
      </c>
      <c r="P800" s="60" t="n">
        <f aca="false">MAX(0,F800-N800)</f>
        <v>0</v>
      </c>
      <c r="Q800" s="32" t="n">
        <f aca="false">(F800+Settings!$B$7*Settings!$B$3)/(E800+Settings!$B$7)</f>
        <v>0.0244627508524898</v>
      </c>
      <c r="R800" s="61" t="n">
        <f aca="false">PERCENTRANK($H$2:$H$1780,H800,6)</f>
        <v>0</v>
      </c>
      <c r="S800" s="61" t="n">
        <f aca="false">PERCENTRANK($Q$2:$Q$1780,Q800,6)</f>
        <v>0.154668</v>
      </c>
      <c r="T800" s="61" t="n">
        <f aca="false">PERCENTRANK($F$2:$F$1780,F800,6)</f>
        <v>0</v>
      </c>
      <c r="U800" s="62" t="n">
        <f aca="false">IF(F800&gt;0,(Settings!$B$8*T800+Settings!$B$9*R800+Settings!$B$10*S800)/SUM(Settings!$B$8:$B$10),0)</f>
        <v>0</v>
      </c>
      <c r="V800" s="56" t="str">
        <f aca="false">IF(U800&gt;0,RANK(U800,$U$2:$U$1780)+COUNTIF($U$2:U800,U800)-1,"")</f>
        <v/>
      </c>
      <c r="W800" s="56" t="str">
        <f aca="false">IF(V800="","",IF(V800&lt;=Settings!$B$11,"1 - Fix first",IF(V800&lt;=Settings!$B$12,"2 - Review","3 - Monitor")))</f>
        <v/>
      </c>
      <c r="X800" s="56" t="str">
        <f aca="false">IF(AND(E800&gt;=Settings!$B$4,F800&gt;=Settings!$B$5,O800&gt;=Settings!$B$6),"HIGH RATE","")</f>
        <v/>
      </c>
      <c r="Y800" s="56" t="str">
        <f aca="false">IF(F800&gt;0,RANK(F800,$F$2:$F$1780)+COUNTIF($F$2:F800,F800)-1,"")</f>
        <v/>
      </c>
      <c r="Z800" s="56" t="str">
        <f aca="false">IF(H800&gt;0,RANK(H800,$H$2:$H$1780)+COUNTIF($H$2:H800,H800)-1,"")</f>
        <v/>
      </c>
      <c r="AA800" s="56" t="str">
        <f aca="false">IF(AC800="","",RANK(AC800,$AC$2:$AC$1780)+COUNTIF($AC$2:AC800,AC800)-1)</f>
        <v/>
      </c>
      <c r="AB800" s="56" t="str">
        <f aca="false">IF(AD800="","",RANK(AD800,$AD$2:$AD$1780)+COUNTIF($AD$2:AD800,AD800)-1)</f>
        <v/>
      </c>
      <c r="AC800" s="56" t="str">
        <f aca="false">IF(AND(F800&gt;0,E800&gt;=Settings!$B$4),J800,"")</f>
        <v/>
      </c>
      <c r="AD800" s="56" t="str">
        <f aca="false">IF(X800="HIGH RATE",O800,"")</f>
        <v/>
      </c>
    </row>
    <row r="801" customFormat="false" ht="15" hidden="false" customHeight="false" outlineLevel="0" collapsed="false">
      <c r="A801" s="56" t="s">
        <v>2064</v>
      </c>
      <c r="B801" s="56" t="s">
        <v>2065</v>
      </c>
      <c r="C801" s="56" t="s">
        <v>51</v>
      </c>
      <c r="D801" s="56" t="str">
        <f aca="false">IFERROR(INDEX('Brand Map'!$B$4:$B$124,MATCH(C801,'Brand Map'!$A$4:$A$124,0)),"Other")</f>
        <v>AU</v>
      </c>
      <c r="E801" s="57" t="n">
        <v>1</v>
      </c>
      <c r="F801" s="57" t="n">
        <v>0</v>
      </c>
      <c r="G801" s="58" t="n">
        <v>87.95</v>
      </c>
      <c r="H801" s="58" t="n">
        <v>0</v>
      </c>
      <c r="I801" s="58" t="n">
        <v>87.95</v>
      </c>
      <c r="J801" s="32" t="n">
        <f aca="false">IF(E801&gt;0,F801/E801,0)</f>
        <v>0</v>
      </c>
      <c r="K801" s="32" t="n">
        <f aca="false">IF(G801&gt;0,H801/G801,0)</f>
        <v>-0</v>
      </c>
      <c r="L801" s="59" t="n">
        <f aca="false">H801/Settings!$B$16</f>
        <v>-0</v>
      </c>
      <c r="M801" s="59" t="n">
        <f aca="false">H801/Settings!$B$20</f>
        <v>-0</v>
      </c>
      <c r="N801" s="60" t="n">
        <f aca="false">E801*Settings!$B$3</f>
        <v>0.0309861510798204</v>
      </c>
      <c r="O801" s="60" t="n">
        <f aca="false">IF(E801&gt;0,(F801-N801)/SQRT(E801*Settings!$B$3*(1-Settings!$B$3)),0)</f>
        <v>-0.178821125934444</v>
      </c>
      <c r="P801" s="60" t="n">
        <f aca="false">MAX(0,F801-N801)</f>
        <v>0</v>
      </c>
      <c r="Q801" s="32" t="n">
        <f aca="false">(F801+Settings!$B$7*Settings!$B$3)/(E801+Settings!$B$7)</f>
        <v>0.0299865978191811</v>
      </c>
      <c r="R801" s="61" t="n">
        <f aca="false">PERCENTRANK($H$2:$H$1780,H801,6)</f>
        <v>0</v>
      </c>
      <c r="S801" s="61" t="n">
        <f aca="false">PERCENTRANK($Q$2:$Q$1780,Q801,6)</f>
        <v>0.486502</v>
      </c>
      <c r="T801" s="61" t="n">
        <f aca="false">PERCENTRANK($F$2:$F$1780,F801,6)</f>
        <v>0</v>
      </c>
      <c r="U801" s="62" t="n">
        <f aca="false">IF(F801&gt;0,(Settings!$B$8*T801+Settings!$B$9*R801+Settings!$B$10*S801)/SUM(Settings!$B$8:$B$10),0)</f>
        <v>0</v>
      </c>
      <c r="V801" s="56" t="str">
        <f aca="false">IF(U801&gt;0,RANK(U801,$U$2:$U$1780)+COUNTIF($U$2:U801,U801)-1,"")</f>
        <v/>
      </c>
      <c r="W801" s="56" t="str">
        <f aca="false">IF(V801="","",IF(V801&lt;=Settings!$B$11,"1 - Fix first",IF(V801&lt;=Settings!$B$12,"2 - Review","3 - Monitor")))</f>
        <v/>
      </c>
      <c r="X801" s="56" t="str">
        <f aca="false">IF(AND(E801&gt;=Settings!$B$4,F801&gt;=Settings!$B$5,O801&gt;=Settings!$B$6),"HIGH RATE","")</f>
        <v/>
      </c>
      <c r="Y801" s="56" t="str">
        <f aca="false">IF(F801&gt;0,RANK(F801,$F$2:$F$1780)+COUNTIF($F$2:F801,F801)-1,"")</f>
        <v/>
      </c>
      <c r="Z801" s="56" t="str">
        <f aca="false">IF(H801&gt;0,RANK(H801,$H$2:$H$1780)+COUNTIF($H$2:H801,H801)-1,"")</f>
        <v/>
      </c>
      <c r="AA801" s="56" t="str">
        <f aca="false">IF(AC801="","",RANK(AC801,$AC$2:$AC$1780)+COUNTIF($AC$2:AC801,AC801)-1)</f>
        <v/>
      </c>
      <c r="AB801" s="56" t="str">
        <f aca="false">IF(AD801="","",RANK(AD801,$AD$2:$AD$1780)+COUNTIF($AD$2:AD801,AD801)-1)</f>
        <v/>
      </c>
      <c r="AC801" s="56" t="str">
        <f aca="false">IF(AND(F801&gt;0,E801&gt;=Settings!$B$4),J801,"")</f>
        <v/>
      </c>
      <c r="AD801" s="56" t="str">
        <f aca="false">IF(X801="HIGH RATE",O801,"")</f>
        <v/>
      </c>
    </row>
    <row r="802" customFormat="false" ht="15" hidden="false" customHeight="false" outlineLevel="0" collapsed="false">
      <c r="A802" s="56" t="s">
        <v>2066</v>
      </c>
      <c r="B802" s="56" t="s">
        <v>1278</v>
      </c>
      <c r="C802" s="56" t="s">
        <v>51</v>
      </c>
      <c r="D802" s="56" t="str">
        <f aca="false">IFERROR(INDEX('Brand Map'!$B$4:$B$124,MATCH(C802,'Brand Map'!$A$4:$A$124,0)),"Other")</f>
        <v>AU</v>
      </c>
      <c r="E802" s="57" t="n">
        <v>3</v>
      </c>
      <c r="F802" s="57" t="n">
        <v>0</v>
      </c>
      <c r="G802" s="58" t="n">
        <v>584.85</v>
      </c>
      <c r="H802" s="58" t="n">
        <v>0</v>
      </c>
      <c r="I802" s="58" t="n">
        <v>584.85</v>
      </c>
      <c r="J802" s="32" t="n">
        <f aca="false">IF(E802&gt;0,F802/E802,0)</f>
        <v>0</v>
      </c>
      <c r="K802" s="32" t="n">
        <f aca="false">IF(G802&gt;0,H802/G802,0)</f>
        <v>-0</v>
      </c>
      <c r="L802" s="59" t="n">
        <f aca="false">H802/Settings!$B$16</f>
        <v>-0</v>
      </c>
      <c r="M802" s="59" t="n">
        <f aca="false">H802/Settings!$B$20</f>
        <v>-0</v>
      </c>
      <c r="N802" s="60" t="n">
        <f aca="false">E802*Settings!$B$3</f>
        <v>0.0929584532394613</v>
      </c>
      <c r="O802" s="60" t="n">
        <f aca="false">IF(E802&gt;0,(F802-N802)/SQRT(E802*Settings!$B$3*(1-Settings!$B$3)),0)</f>
        <v>-0.30972727558513</v>
      </c>
      <c r="P802" s="60" t="n">
        <f aca="false">MAX(0,F802-N802)</f>
        <v>0</v>
      </c>
      <c r="Q802" s="32" t="n">
        <f aca="false">(F802+Settings!$B$7*Settings!$B$3)/(E802+Settings!$B$7)</f>
        <v>0.0281692282543822</v>
      </c>
      <c r="R802" s="61" t="n">
        <f aca="false">PERCENTRANK($H$2:$H$1780,H802,6)</f>
        <v>0</v>
      </c>
      <c r="S802" s="61" t="n">
        <f aca="false">PERCENTRANK($Q$2:$Q$1780,Q802,6)</f>
        <v>0.294151</v>
      </c>
      <c r="T802" s="61" t="n">
        <f aca="false">PERCENTRANK($F$2:$F$1780,F802,6)</f>
        <v>0</v>
      </c>
      <c r="U802" s="62" t="n">
        <f aca="false">IF(F802&gt;0,(Settings!$B$8*T802+Settings!$B$9*R802+Settings!$B$10*S802)/SUM(Settings!$B$8:$B$10),0)</f>
        <v>0</v>
      </c>
      <c r="V802" s="56" t="str">
        <f aca="false">IF(U802&gt;0,RANK(U802,$U$2:$U$1780)+COUNTIF($U$2:U802,U802)-1,"")</f>
        <v/>
      </c>
      <c r="W802" s="56" t="str">
        <f aca="false">IF(V802="","",IF(V802&lt;=Settings!$B$11,"1 - Fix first",IF(V802&lt;=Settings!$B$12,"2 - Review","3 - Monitor")))</f>
        <v/>
      </c>
      <c r="X802" s="56" t="str">
        <f aca="false">IF(AND(E802&gt;=Settings!$B$4,F802&gt;=Settings!$B$5,O802&gt;=Settings!$B$6),"HIGH RATE","")</f>
        <v/>
      </c>
      <c r="Y802" s="56" t="str">
        <f aca="false">IF(F802&gt;0,RANK(F802,$F$2:$F$1780)+COUNTIF($F$2:F802,F802)-1,"")</f>
        <v/>
      </c>
      <c r="Z802" s="56" t="str">
        <f aca="false">IF(H802&gt;0,RANK(H802,$H$2:$H$1780)+COUNTIF($H$2:H802,H802)-1,"")</f>
        <v/>
      </c>
      <c r="AA802" s="56" t="str">
        <f aca="false">IF(AC802="","",RANK(AC802,$AC$2:$AC$1780)+COUNTIF($AC$2:AC802,AC802)-1)</f>
        <v/>
      </c>
      <c r="AB802" s="56" t="str">
        <f aca="false">IF(AD802="","",RANK(AD802,$AD$2:$AD$1780)+COUNTIF($AD$2:AD802,AD802)-1)</f>
        <v/>
      </c>
      <c r="AC802" s="56" t="str">
        <f aca="false">IF(AND(F802&gt;0,E802&gt;=Settings!$B$4),J802,"")</f>
        <v/>
      </c>
      <c r="AD802" s="56" t="str">
        <f aca="false">IF(X802="HIGH RATE",O802,"")</f>
        <v/>
      </c>
    </row>
    <row r="803" customFormat="false" ht="15" hidden="false" customHeight="false" outlineLevel="0" collapsed="false">
      <c r="A803" s="56" t="s">
        <v>2067</v>
      </c>
      <c r="B803" s="56" t="s">
        <v>2068</v>
      </c>
      <c r="C803" s="56" t="s">
        <v>51</v>
      </c>
      <c r="D803" s="56" t="str">
        <f aca="false">IFERROR(INDEX('Brand Map'!$B$4:$B$124,MATCH(C803,'Brand Map'!$A$4:$A$124,0)),"Other")</f>
        <v>AU</v>
      </c>
      <c r="E803" s="57" t="n">
        <v>2</v>
      </c>
      <c r="F803" s="57" t="n">
        <v>0</v>
      </c>
      <c r="G803" s="58" t="n">
        <v>219.9</v>
      </c>
      <c r="H803" s="58" t="n">
        <v>0</v>
      </c>
      <c r="I803" s="58" t="n">
        <v>219.9</v>
      </c>
      <c r="J803" s="32" t="n">
        <f aca="false">IF(E803&gt;0,F803/E803,0)</f>
        <v>0</v>
      </c>
      <c r="K803" s="32" t="n">
        <f aca="false">IF(G803&gt;0,H803/G803,0)</f>
        <v>-0</v>
      </c>
      <c r="L803" s="59" t="n">
        <f aca="false">H803/Settings!$B$16</f>
        <v>-0</v>
      </c>
      <c r="M803" s="59" t="n">
        <f aca="false">H803/Settings!$B$20</f>
        <v>-0</v>
      </c>
      <c r="N803" s="60" t="n">
        <f aca="false">E803*Settings!$B$3</f>
        <v>0.0619723021596408</v>
      </c>
      <c r="O803" s="60" t="n">
        <f aca="false">IF(E803&gt;0,(F803-N803)/SQRT(E803*Settings!$B$3*(1-Settings!$B$3)),0)</f>
        <v>-0.252891261535318</v>
      </c>
      <c r="P803" s="60" t="n">
        <f aca="false">MAX(0,F803-N803)</f>
        <v>0</v>
      </c>
      <c r="Q803" s="32" t="n">
        <f aca="false">(F803+Settings!$B$7*Settings!$B$3)/(E803+Settings!$B$7)</f>
        <v>0.0290495166373316</v>
      </c>
      <c r="R803" s="61" t="n">
        <f aca="false">PERCENTRANK($H$2:$H$1780,H803,6)</f>
        <v>0</v>
      </c>
      <c r="S803" s="61" t="n">
        <f aca="false">PERCENTRANK($Q$2:$Q$1780,Q803,6)</f>
        <v>0.365579</v>
      </c>
      <c r="T803" s="61" t="n">
        <f aca="false">PERCENTRANK($F$2:$F$1780,F803,6)</f>
        <v>0</v>
      </c>
      <c r="U803" s="62" t="n">
        <f aca="false">IF(F803&gt;0,(Settings!$B$8*T803+Settings!$B$9*R803+Settings!$B$10*S803)/SUM(Settings!$B$8:$B$10),0)</f>
        <v>0</v>
      </c>
      <c r="V803" s="56" t="str">
        <f aca="false">IF(U803&gt;0,RANK(U803,$U$2:$U$1780)+COUNTIF($U$2:U803,U803)-1,"")</f>
        <v/>
      </c>
      <c r="W803" s="56" t="str">
        <f aca="false">IF(V803="","",IF(V803&lt;=Settings!$B$11,"1 - Fix first",IF(V803&lt;=Settings!$B$12,"2 - Review","3 - Monitor")))</f>
        <v/>
      </c>
      <c r="X803" s="56" t="str">
        <f aca="false">IF(AND(E803&gt;=Settings!$B$4,F803&gt;=Settings!$B$5,O803&gt;=Settings!$B$6),"HIGH RATE","")</f>
        <v/>
      </c>
      <c r="Y803" s="56" t="str">
        <f aca="false">IF(F803&gt;0,RANK(F803,$F$2:$F$1780)+COUNTIF($F$2:F803,F803)-1,"")</f>
        <v/>
      </c>
      <c r="Z803" s="56" t="str">
        <f aca="false">IF(H803&gt;0,RANK(H803,$H$2:$H$1780)+COUNTIF($H$2:H803,H803)-1,"")</f>
        <v/>
      </c>
      <c r="AA803" s="56" t="str">
        <f aca="false">IF(AC803="","",RANK(AC803,$AC$2:$AC$1780)+COUNTIF($AC$2:AC803,AC803)-1)</f>
        <v/>
      </c>
      <c r="AB803" s="56" t="str">
        <f aca="false">IF(AD803="","",RANK(AD803,$AD$2:$AD$1780)+COUNTIF($AD$2:AD803,AD803)-1)</f>
        <v/>
      </c>
      <c r="AC803" s="56" t="str">
        <f aca="false">IF(AND(F803&gt;0,E803&gt;=Settings!$B$4),J803,"")</f>
        <v/>
      </c>
      <c r="AD803" s="56" t="str">
        <f aca="false">IF(X803="HIGH RATE",O803,"")</f>
        <v/>
      </c>
    </row>
    <row r="804" customFormat="false" ht="15" hidden="false" customHeight="false" outlineLevel="0" collapsed="false">
      <c r="A804" s="56" t="s">
        <v>2069</v>
      </c>
      <c r="B804" s="56" t="s">
        <v>2068</v>
      </c>
      <c r="C804" s="56" t="s">
        <v>51</v>
      </c>
      <c r="D804" s="56" t="str">
        <f aca="false">IFERROR(INDEX('Brand Map'!$B$4:$B$124,MATCH(C804,'Brand Map'!$A$4:$A$124,0)),"Other")</f>
        <v>AU</v>
      </c>
      <c r="E804" s="57" t="n">
        <v>2</v>
      </c>
      <c r="F804" s="57" t="n">
        <v>0</v>
      </c>
      <c r="G804" s="58" t="n">
        <v>249.9</v>
      </c>
      <c r="H804" s="58" t="n">
        <v>0</v>
      </c>
      <c r="I804" s="58" t="n">
        <v>249.9</v>
      </c>
      <c r="J804" s="32" t="n">
        <f aca="false">IF(E804&gt;0,F804/E804,0)</f>
        <v>0</v>
      </c>
      <c r="K804" s="32" t="n">
        <f aca="false">IF(G804&gt;0,H804/G804,0)</f>
        <v>-0</v>
      </c>
      <c r="L804" s="59" t="n">
        <f aca="false">H804/Settings!$B$16</f>
        <v>-0</v>
      </c>
      <c r="M804" s="59" t="n">
        <f aca="false">H804/Settings!$B$20</f>
        <v>-0</v>
      </c>
      <c r="N804" s="60" t="n">
        <f aca="false">E804*Settings!$B$3</f>
        <v>0.0619723021596408</v>
      </c>
      <c r="O804" s="60" t="n">
        <f aca="false">IF(E804&gt;0,(F804-N804)/SQRT(E804*Settings!$B$3*(1-Settings!$B$3)),0)</f>
        <v>-0.252891261535318</v>
      </c>
      <c r="P804" s="60" t="n">
        <f aca="false">MAX(0,F804-N804)</f>
        <v>0</v>
      </c>
      <c r="Q804" s="32" t="n">
        <f aca="false">(F804+Settings!$B$7*Settings!$B$3)/(E804+Settings!$B$7)</f>
        <v>0.0290495166373316</v>
      </c>
      <c r="R804" s="61" t="n">
        <f aca="false">PERCENTRANK($H$2:$H$1780,H804,6)</f>
        <v>0</v>
      </c>
      <c r="S804" s="61" t="n">
        <f aca="false">PERCENTRANK($Q$2:$Q$1780,Q804,6)</f>
        <v>0.365579</v>
      </c>
      <c r="T804" s="61" t="n">
        <f aca="false">PERCENTRANK($F$2:$F$1780,F804,6)</f>
        <v>0</v>
      </c>
      <c r="U804" s="62" t="n">
        <f aca="false">IF(F804&gt;0,(Settings!$B$8*T804+Settings!$B$9*R804+Settings!$B$10*S804)/SUM(Settings!$B$8:$B$10),0)</f>
        <v>0</v>
      </c>
      <c r="V804" s="56" t="str">
        <f aca="false">IF(U804&gt;0,RANK(U804,$U$2:$U$1780)+COUNTIF($U$2:U804,U804)-1,"")</f>
        <v/>
      </c>
      <c r="W804" s="56" t="str">
        <f aca="false">IF(V804="","",IF(V804&lt;=Settings!$B$11,"1 - Fix first",IF(V804&lt;=Settings!$B$12,"2 - Review","3 - Monitor")))</f>
        <v/>
      </c>
      <c r="X804" s="56" t="str">
        <f aca="false">IF(AND(E804&gt;=Settings!$B$4,F804&gt;=Settings!$B$5,O804&gt;=Settings!$B$6),"HIGH RATE","")</f>
        <v/>
      </c>
      <c r="Y804" s="56" t="str">
        <f aca="false">IF(F804&gt;0,RANK(F804,$F$2:$F$1780)+COUNTIF($F$2:F804,F804)-1,"")</f>
        <v/>
      </c>
      <c r="Z804" s="56" t="str">
        <f aca="false">IF(H804&gt;0,RANK(H804,$H$2:$H$1780)+COUNTIF($H$2:H804,H804)-1,"")</f>
        <v/>
      </c>
      <c r="AA804" s="56" t="str">
        <f aca="false">IF(AC804="","",RANK(AC804,$AC$2:$AC$1780)+COUNTIF($AC$2:AC804,AC804)-1)</f>
        <v/>
      </c>
      <c r="AB804" s="56" t="str">
        <f aca="false">IF(AD804="","",RANK(AD804,$AD$2:$AD$1780)+COUNTIF($AD$2:AD804,AD804)-1)</f>
        <v/>
      </c>
      <c r="AC804" s="56" t="str">
        <f aca="false">IF(AND(F804&gt;0,E804&gt;=Settings!$B$4),J804,"")</f>
        <v/>
      </c>
      <c r="AD804" s="56" t="str">
        <f aca="false">IF(X804="HIGH RATE",O804,"")</f>
        <v/>
      </c>
    </row>
    <row r="805" customFormat="false" ht="15" hidden="false" customHeight="false" outlineLevel="0" collapsed="false">
      <c r="A805" s="56" t="s">
        <v>2070</v>
      </c>
      <c r="B805" s="56" t="s">
        <v>2068</v>
      </c>
      <c r="C805" s="56" t="s">
        <v>51</v>
      </c>
      <c r="D805" s="56" t="str">
        <f aca="false">IFERROR(INDEX('Brand Map'!$B$4:$B$124,MATCH(C805,'Brand Map'!$A$4:$A$124,0)),"Other")</f>
        <v>AU</v>
      </c>
      <c r="E805" s="57" t="n">
        <v>2</v>
      </c>
      <c r="F805" s="57" t="n">
        <v>0</v>
      </c>
      <c r="G805" s="58" t="n">
        <v>309.9</v>
      </c>
      <c r="H805" s="58" t="n">
        <v>0</v>
      </c>
      <c r="I805" s="58" t="n">
        <v>309.9</v>
      </c>
      <c r="J805" s="32" t="n">
        <f aca="false">IF(E805&gt;0,F805/E805,0)</f>
        <v>0</v>
      </c>
      <c r="K805" s="32" t="n">
        <f aca="false">IF(G805&gt;0,H805/G805,0)</f>
        <v>-0</v>
      </c>
      <c r="L805" s="59" t="n">
        <f aca="false">H805/Settings!$B$16</f>
        <v>-0</v>
      </c>
      <c r="M805" s="59" t="n">
        <f aca="false">H805/Settings!$B$20</f>
        <v>-0</v>
      </c>
      <c r="N805" s="60" t="n">
        <f aca="false">E805*Settings!$B$3</f>
        <v>0.0619723021596408</v>
      </c>
      <c r="O805" s="60" t="n">
        <f aca="false">IF(E805&gt;0,(F805-N805)/SQRT(E805*Settings!$B$3*(1-Settings!$B$3)),0)</f>
        <v>-0.252891261535318</v>
      </c>
      <c r="P805" s="60" t="n">
        <f aca="false">MAX(0,F805-N805)</f>
        <v>0</v>
      </c>
      <c r="Q805" s="32" t="n">
        <f aca="false">(F805+Settings!$B$7*Settings!$B$3)/(E805+Settings!$B$7)</f>
        <v>0.0290495166373316</v>
      </c>
      <c r="R805" s="61" t="n">
        <f aca="false">PERCENTRANK($H$2:$H$1780,H805,6)</f>
        <v>0</v>
      </c>
      <c r="S805" s="61" t="n">
        <f aca="false">PERCENTRANK($Q$2:$Q$1780,Q805,6)</f>
        <v>0.365579</v>
      </c>
      <c r="T805" s="61" t="n">
        <f aca="false">PERCENTRANK($F$2:$F$1780,F805,6)</f>
        <v>0</v>
      </c>
      <c r="U805" s="62" t="n">
        <f aca="false">IF(F805&gt;0,(Settings!$B$8*T805+Settings!$B$9*R805+Settings!$B$10*S805)/SUM(Settings!$B$8:$B$10),0)</f>
        <v>0</v>
      </c>
      <c r="V805" s="56" t="str">
        <f aca="false">IF(U805&gt;0,RANK(U805,$U$2:$U$1780)+COUNTIF($U$2:U805,U805)-1,"")</f>
        <v/>
      </c>
      <c r="W805" s="56" t="str">
        <f aca="false">IF(V805="","",IF(V805&lt;=Settings!$B$11,"1 - Fix first",IF(V805&lt;=Settings!$B$12,"2 - Review","3 - Monitor")))</f>
        <v/>
      </c>
      <c r="X805" s="56" t="str">
        <f aca="false">IF(AND(E805&gt;=Settings!$B$4,F805&gt;=Settings!$B$5,O805&gt;=Settings!$B$6),"HIGH RATE","")</f>
        <v/>
      </c>
      <c r="Y805" s="56" t="str">
        <f aca="false">IF(F805&gt;0,RANK(F805,$F$2:$F$1780)+COUNTIF($F$2:F805,F805)-1,"")</f>
        <v/>
      </c>
      <c r="Z805" s="56" t="str">
        <f aca="false">IF(H805&gt;0,RANK(H805,$H$2:$H$1780)+COUNTIF($H$2:H805,H805)-1,"")</f>
        <v/>
      </c>
      <c r="AA805" s="56" t="str">
        <f aca="false">IF(AC805="","",RANK(AC805,$AC$2:$AC$1780)+COUNTIF($AC$2:AC805,AC805)-1)</f>
        <v/>
      </c>
      <c r="AB805" s="56" t="str">
        <f aca="false">IF(AD805="","",RANK(AD805,$AD$2:$AD$1780)+COUNTIF($AD$2:AD805,AD805)-1)</f>
        <v/>
      </c>
      <c r="AC805" s="56" t="str">
        <f aca="false">IF(AND(F805&gt;0,E805&gt;=Settings!$B$4),J805,"")</f>
        <v/>
      </c>
      <c r="AD805" s="56" t="str">
        <f aca="false">IF(X805="HIGH RATE",O805,"")</f>
        <v/>
      </c>
    </row>
    <row r="806" customFormat="false" ht="15" hidden="false" customHeight="false" outlineLevel="0" collapsed="false">
      <c r="A806" s="56" t="s">
        <v>2071</v>
      </c>
      <c r="B806" s="56" t="s">
        <v>2068</v>
      </c>
      <c r="C806" s="56" t="s">
        <v>51</v>
      </c>
      <c r="D806" s="56" t="str">
        <f aca="false">IFERROR(INDEX('Brand Map'!$B$4:$B$124,MATCH(C806,'Brand Map'!$A$4:$A$124,0)),"Other")</f>
        <v>AU</v>
      </c>
      <c r="E806" s="57" t="n">
        <v>3</v>
      </c>
      <c r="F806" s="57" t="n">
        <v>0</v>
      </c>
      <c r="G806" s="58" t="n">
        <v>329.85</v>
      </c>
      <c r="H806" s="58" t="n">
        <v>0</v>
      </c>
      <c r="I806" s="58" t="n">
        <v>329.85</v>
      </c>
      <c r="J806" s="32" t="n">
        <f aca="false">IF(E806&gt;0,F806/E806,0)</f>
        <v>0</v>
      </c>
      <c r="K806" s="32" t="n">
        <f aca="false">IF(G806&gt;0,H806/G806,0)</f>
        <v>-0</v>
      </c>
      <c r="L806" s="59" t="n">
        <f aca="false">H806/Settings!$B$16</f>
        <v>-0</v>
      </c>
      <c r="M806" s="59" t="n">
        <f aca="false">H806/Settings!$B$20</f>
        <v>-0</v>
      </c>
      <c r="N806" s="60" t="n">
        <f aca="false">E806*Settings!$B$3</f>
        <v>0.0929584532394613</v>
      </c>
      <c r="O806" s="60" t="n">
        <f aca="false">IF(E806&gt;0,(F806-N806)/SQRT(E806*Settings!$B$3*(1-Settings!$B$3)),0)</f>
        <v>-0.30972727558513</v>
      </c>
      <c r="P806" s="60" t="n">
        <f aca="false">MAX(0,F806-N806)</f>
        <v>0</v>
      </c>
      <c r="Q806" s="32" t="n">
        <f aca="false">(F806+Settings!$B$7*Settings!$B$3)/(E806+Settings!$B$7)</f>
        <v>0.0281692282543822</v>
      </c>
      <c r="R806" s="61" t="n">
        <f aca="false">PERCENTRANK($H$2:$H$1780,H806,6)</f>
        <v>0</v>
      </c>
      <c r="S806" s="61" t="n">
        <f aca="false">PERCENTRANK($Q$2:$Q$1780,Q806,6)</f>
        <v>0.294151</v>
      </c>
      <c r="T806" s="61" t="n">
        <f aca="false">PERCENTRANK($F$2:$F$1780,F806,6)</f>
        <v>0</v>
      </c>
      <c r="U806" s="62" t="n">
        <f aca="false">IF(F806&gt;0,(Settings!$B$8*T806+Settings!$B$9*R806+Settings!$B$10*S806)/SUM(Settings!$B$8:$B$10),0)</f>
        <v>0</v>
      </c>
      <c r="V806" s="56" t="str">
        <f aca="false">IF(U806&gt;0,RANK(U806,$U$2:$U$1780)+COUNTIF($U$2:U806,U806)-1,"")</f>
        <v/>
      </c>
      <c r="W806" s="56" t="str">
        <f aca="false">IF(V806="","",IF(V806&lt;=Settings!$B$11,"1 - Fix first",IF(V806&lt;=Settings!$B$12,"2 - Review","3 - Monitor")))</f>
        <v/>
      </c>
      <c r="X806" s="56" t="str">
        <f aca="false">IF(AND(E806&gt;=Settings!$B$4,F806&gt;=Settings!$B$5,O806&gt;=Settings!$B$6),"HIGH RATE","")</f>
        <v/>
      </c>
      <c r="Y806" s="56" t="str">
        <f aca="false">IF(F806&gt;0,RANK(F806,$F$2:$F$1780)+COUNTIF($F$2:F806,F806)-1,"")</f>
        <v/>
      </c>
      <c r="Z806" s="56" t="str">
        <f aca="false">IF(H806&gt;0,RANK(H806,$H$2:$H$1780)+COUNTIF($H$2:H806,H806)-1,"")</f>
        <v/>
      </c>
      <c r="AA806" s="56" t="str">
        <f aca="false">IF(AC806="","",RANK(AC806,$AC$2:$AC$1780)+COUNTIF($AC$2:AC806,AC806)-1)</f>
        <v/>
      </c>
      <c r="AB806" s="56" t="str">
        <f aca="false">IF(AD806="","",RANK(AD806,$AD$2:$AD$1780)+COUNTIF($AD$2:AD806,AD806)-1)</f>
        <v/>
      </c>
      <c r="AC806" s="56" t="str">
        <f aca="false">IF(AND(F806&gt;0,E806&gt;=Settings!$B$4),J806,"")</f>
        <v/>
      </c>
      <c r="AD806" s="56" t="str">
        <f aca="false">IF(X806="HIGH RATE",O806,"")</f>
        <v/>
      </c>
    </row>
    <row r="807" customFormat="false" ht="15" hidden="false" customHeight="false" outlineLevel="0" collapsed="false">
      <c r="A807" s="56" t="s">
        <v>2072</v>
      </c>
      <c r="B807" s="56" t="s">
        <v>2073</v>
      </c>
      <c r="C807" s="56" t="s">
        <v>51</v>
      </c>
      <c r="D807" s="56" t="str">
        <f aca="false">IFERROR(INDEX('Brand Map'!$B$4:$B$124,MATCH(C807,'Brand Map'!$A$4:$A$124,0)),"Other")</f>
        <v>AU</v>
      </c>
      <c r="E807" s="57" t="n">
        <v>7</v>
      </c>
      <c r="F807" s="57" t="n">
        <v>0</v>
      </c>
      <c r="G807" s="58" t="n">
        <v>1491.01</v>
      </c>
      <c r="H807" s="58" t="n">
        <v>0</v>
      </c>
      <c r="I807" s="58" t="n">
        <v>1455.57</v>
      </c>
      <c r="J807" s="32" t="n">
        <f aca="false">IF(E807&gt;0,F807/E807,0)</f>
        <v>0</v>
      </c>
      <c r="K807" s="32" t="n">
        <f aca="false">IF(G807&gt;0,H807/G807,0)</f>
        <v>-0</v>
      </c>
      <c r="L807" s="59" t="n">
        <f aca="false">H807/Settings!$B$16</f>
        <v>-0</v>
      </c>
      <c r="M807" s="59" t="n">
        <f aca="false">H807/Settings!$B$20</f>
        <v>-0</v>
      </c>
      <c r="N807" s="60" t="n">
        <f aca="false">E807*Settings!$B$3</f>
        <v>0.216903057558743</v>
      </c>
      <c r="O807" s="60" t="n">
        <f aca="false">IF(E807&gt;0,(F807-N807)/SQRT(E807*Settings!$B$3*(1-Settings!$B$3)),0)</f>
        <v>-0.473116228387102</v>
      </c>
      <c r="P807" s="60" t="n">
        <f aca="false">MAX(0,F807-N807)</f>
        <v>0</v>
      </c>
      <c r="Q807" s="32" t="n">
        <f aca="false">(F807+Settings!$B$7*Settings!$B$3)/(E807+Settings!$B$7)</f>
        <v>0.0251239062809355</v>
      </c>
      <c r="R807" s="61" t="n">
        <f aca="false">PERCENTRANK($H$2:$H$1780,H807,6)</f>
        <v>0</v>
      </c>
      <c r="S807" s="61" t="n">
        <f aca="false">PERCENTRANK($Q$2:$Q$1780,Q807,6)</f>
        <v>0.168166</v>
      </c>
      <c r="T807" s="61" t="n">
        <f aca="false">PERCENTRANK($F$2:$F$1780,F807,6)</f>
        <v>0</v>
      </c>
      <c r="U807" s="62" t="n">
        <f aca="false">IF(F807&gt;0,(Settings!$B$8*T807+Settings!$B$9*R807+Settings!$B$10*S807)/SUM(Settings!$B$8:$B$10),0)</f>
        <v>0</v>
      </c>
      <c r="V807" s="56" t="str">
        <f aca="false">IF(U807&gt;0,RANK(U807,$U$2:$U$1780)+COUNTIF($U$2:U807,U807)-1,"")</f>
        <v/>
      </c>
      <c r="W807" s="56" t="str">
        <f aca="false">IF(V807="","",IF(V807&lt;=Settings!$B$11,"1 - Fix first",IF(V807&lt;=Settings!$B$12,"2 - Review","3 - Monitor")))</f>
        <v/>
      </c>
      <c r="X807" s="56" t="str">
        <f aca="false">IF(AND(E807&gt;=Settings!$B$4,F807&gt;=Settings!$B$5,O807&gt;=Settings!$B$6),"HIGH RATE","")</f>
        <v/>
      </c>
      <c r="Y807" s="56" t="str">
        <f aca="false">IF(F807&gt;0,RANK(F807,$F$2:$F$1780)+COUNTIF($F$2:F807,F807)-1,"")</f>
        <v/>
      </c>
      <c r="Z807" s="56" t="str">
        <f aca="false">IF(H807&gt;0,RANK(H807,$H$2:$H$1780)+COUNTIF($H$2:H807,H807)-1,"")</f>
        <v/>
      </c>
      <c r="AA807" s="56" t="str">
        <f aca="false">IF(AC807="","",RANK(AC807,$AC$2:$AC$1780)+COUNTIF($AC$2:AC807,AC807)-1)</f>
        <v/>
      </c>
      <c r="AB807" s="56" t="str">
        <f aca="false">IF(AD807="","",RANK(AD807,$AD$2:$AD$1780)+COUNTIF($AD$2:AD807,AD807)-1)</f>
        <v/>
      </c>
      <c r="AC807" s="56" t="str">
        <f aca="false">IF(AND(F807&gt;0,E807&gt;=Settings!$B$4),J807,"")</f>
        <v/>
      </c>
      <c r="AD807" s="56" t="str">
        <f aca="false">IF(X807="HIGH RATE",O807,"")</f>
        <v/>
      </c>
    </row>
    <row r="808" customFormat="false" ht="15" hidden="false" customHeight="false" outlineLevel="0" collapsed="false">
      <c r="A808" s="56" t="s">
        <v>2074</v>
      </c>
      <c r="B808" s="56" t="s">
        <v>2075</v>
      </c>
      <c r="C808" s="56" t="s">
        <v>51</v>
      </c>
      <c r="D808" s="56" t="str">
        <f aca="false">IFERROR(INDEX('Brand Map'!$B$4:$B$124,MATCH(C808,'Brand Map'!$A$4:$A$124,0)),"Other")</f>
        <v>AU</v>
      </c>
      <c r="E808" s="57" t="n">
        <v>14</v>
      </c>
      <c r="F808" s="57" t="n">
        <v>0</v>
      </c>
      <c r="G808" s="58" t="n">
        <v>3082.03</v>
      </c>
      <c r="H808" s="58" t="n">
        <v>0</v>
      </c>
      <c r="I808" s="58" t="n">
        <v>3082.03</v>
      </c>
      <c r="J808" s="32" t="n">
        <f aca="false">IF(E808&gt;0,F808/E808,0)</f>
        <v>0</v>
      </c>
      <c r="K808" s="32" t="n">
        <f aca="false">IF(G808&gt;0,H808/G808,0)</f>
        <v>-0</v>
      </c>
      <c r="L808" s="59" t="n">
        <f aca="false">H808/Settings!$B$16</f>
        <v>-0</v>
      </c>
      <c r="M808" s="59" t="n">
        <f aca="false">H808/Settings!$B$20</f>
        <v>-0</v>
      </c>
      <c r="N808" s="60" t="n">
        <f aca="false">E808*Settings!$B$3</f>
        <v>0.433806115117486</v>
      </c>
      <c r="O808" s="60" t="n">
        <f aca="false">IF(E808&gt;0,(F808-N808)/SQRT(E808*Settings!$B$3*(1-Settings!$B$3)),0)</f>
        <v>-0.669087386763846</v>
      </c>
      <c r="P808" s="60" t="n">
        <f aca="false">MAX(0,F808-N808)</f>
        <v>0</v>
      </c>
      <c r="Q808" s="32" t="n">
        <f aca="false">(F808+Settings!$B$7*Settings!$B$3)/(E808+Settings!$B$7)</f>
        <v>0.0211269211907867</v>
      </c>
      <c r="R808" s="61" t="n">
        <f aca="false">PERCENTRANK($H$2:$H$1780,H808,6)</f>
        <v>0</v>
      </c>
      <c r="S808" s="61" t="n">
        <f aca="false">PERCENTRANK($Q$2:$Q$1780,Q808,6)</f>
        <v>0.0995501</v>
      </c>
      <c r="T808" s="61" t="n">
        <f aca="false">PERCENTRANK($F$2:$F$1780,F808,6)</f>
        <v>0</v>
      </c>
      <c r="U808" s="62" t="n">
        <f aca="false">IF(F808&gt;0,(Settings!$B$8*T808+Settings!$B$9*R808+Settings!$B$10*S808)/SUM(Settings!$B$8:$B$10),0)</f>
        <v>0</v>
      </c>
      <c r="V808" s="56" t="str">
        <f aca="false">IF(U808&gt;0,RANK(U808,$U$2:$U$1780)+COUNTIF($U$2:U808,U808)-1,"")</f>
        <v/>
      </c>
      <c r="W808" s="56" t="str">
        <f aca="false">IF(V808="","",IF(V808&lt;=Settings!$B$11,"1 - Fix first",IF(V808&lt;=Settings!$B$12,"2 - Review","3 - Monitor")))</f>
        <v/>
      </c>
      <c r="X808" s="56" t="str">
        <f aca="false">IF(AND(E808&gt;=Settings!$B$4,F808&gt;=Settings!$B$5,O808&gt;=Settings!$B$6),"HIGH RATE","")</f>
        <v/>
      </c>
      <c r="Y808" s="56" t="str">
        <f aca="false">IF(F808&gt;0,RANK(F808,$F$2:$F$1780)+COUNTIF($F$2:F808,F808)-1,"")</f>
        <v/>
      </c>
      <c r="Z808" s="56" t="str">
        <f aca="false">IF(H808&gt;0,RANK(H808,$H$2:$H$1780)+COUNTIF($H$2:H808,H808)-1,"")</f>
        <v/>
      </c>
      <c r="AA808" s="56" t="str">
        <f aca="false">IF(AC808="","",RANK(AC808,$AC$2:$AC$1780)+COUNTIF($AC$2:AC808,AC808)-1)</f>
        <v/>
      </c>
      <c r="AB808" s="56" t="str">
        <f aca="false">IF(AD808="","",RANK(AD808,$AD$2:$AD$1780)+COUNTIF($AD$2:AD808,AD808)-1)</f>
        <v/>
      </c>
      <c r="AC808" s="56" t="str">
        <f aca="false">IF(AND(F808&gt;0,E808&gt;=Settings!$B$4),J808,"")</f>
        <v/>
      </c>
      <c r="AD808" s="56" t="str">
        <f aca="false">IF(X808="HIGH RATE",O808,"")</f>
        <v/>
      </c>
    </row>
    <row r="809" customFormat="false" ht="15" hidden="false" customHeight="false" outlineLevel="0" collapsed="false">
      <c r="A809" s="56" t="s">
        <v>2076</v>
      </c>
      <c r="B809" s="56" t="s">
        <v>2077</v>
      </c>
      <c r="C809" s="56" t="s">
        <v>51</v>
      </c>
      <c r="D809" s="56" t="str">
        <f aca="false">IFERROR(INDEX('Brand Map'!$B$4:$B$124,MATCH(C809,'Brand Map'!$A$4:$A$124,0)),"Other")</f>
        <v>AU</v>
      </c>
      <c r="E809" s="57" t="n">
        <v>9</v>
      </c>
      <c r="F809" s="57" t="n">
        <v>0</v>
      </c>
      <c r="G809" s="58" t="n">
        <v>2404.1</v>
      </c>
      <c r="H809" s="58" t="n">
        <v>0</v>
      </c>
      <c r="I809" s="58" t="n">
        <v>2364.57</v>
      </c>
      <c r="J809" s="32" t="n">
        <f aca="false">IF(E809&gt;0,F809/E809,0)</f>
        <v>0</v>
      </c>
      <c r="K809" s="32" t="n">
        <f aca="false">IF(G809&gt;0,H809/G809,0)</f>
        <v>-0</v>
      </c>
      <c r="L809" s="59" t="n">
        <f aca="false">H809/Settings!$B$16</f>
        <v>-0</v>
      </c>
      <c r="M809" s="59" t="n">
        <f aca="false">H809/Settings!$B$20</f>
        <v>-0</v>
      </c>
      <c r="N809" s="60" t="n">
        <f aca="false">E809*Settings!$B$3</f>
        <v>0.278875359718384</v>
      </c>
      <c r="O809" s="60" t="n">
        <f aca="false">IF(E809&gt;0,(F809-N809)/SQRT(E809*Settings!$B$3*(1-Settings!$B$3)),0)</f>
        <v>-0.536463377803332</v>
      </c>
      <c r="P809" s="60" t="n">
        <f aca="false">MAX(0,F809-N809)</f>
        <v>0</v>
      </c>
      <c r="Q809" s="32" t="n">
        <f aca="false">(F809+Settings!$B$7*Settings!$B$3)/(E809+Settings!$B$7)</f>
        <v>0.0238355008306311</v>
      </c>
      <c r="R809" s="61" t="n">
        <f aca="false">PERCENTRANK($H$2:$H$1780,H809,6)</f>
        <v>0</v>
      </c>
      <c r="S809" s="61" t="n">
        <f aca="false">PERCENTRANK($Q$2:$Q$1780,Q809,6)</f>
        <v>0.142857</v>
      </c>
      <c r="T809" s="61" t="n">
        <f aca="false">PERCENTRANK($F$2:$F$1780,F809,6)</f>
        <v>0</v>
      </c>
      <c r="U809" s="62" t="n">
        <f aca="false">IF(F809&gt;0,(Settings!$B$8*T809+Settings!$B$9*R809+Settings!$B$10*S809)/SUM(Settings!$B$8:$B$10),0)</f>
        <v>0</v>
      </c>
      <c r="V809" s="56" t="str">
        <f aca="false">IF(U809&gt;0,RANK(U809,$U$2:$U$1780)+COUNTIF($U$2:U809,U809)-1,"")</f>
        <v/>
      </c>
      <c r="W809" s="56" t="str">
        <f aca="false">IF(V809="","",IF(V809&lt;=Settings!$B$11,"1 - Fix first",IF(V809&lt;=Settings!$B$12,"2 - Review","3 - Monitor")))</f>
        <v/>
      </c>
      <c r="X809" s="56" t="str">
        <f aca="false">IF(AND(E809&gt;=Settings!$B$4,F809&gt;=Settings!$B$5,O809&gt;=Settings!$B$6),"HIGH RATE","")</f>
        <v/>
      </c>
      <c r="Y809" s="56" t="str">
        <f aca="false">IF(F809&gt;0,RANK(F809,$F$2:$F$1780)+COUNTIF($F$2:F809,F809)-1,"")</f>
        <v/>
      </c>
      <c r="Z809" s="56" t="str">
        <f aca="false">IF(H809&gt;0,RANK(H809,$H$2:$H$1780)+COUNTIF($H$2:H809,H809)-1,"")</f>
        <v/>
      </c>
      <c r="AA809" s="56" t="str">
        <f aca="false">IF(AC809="","",RANK(AC809,$AC$2:$AC$1780)+COUNTIF($AC$2:AC809,AC809)-1)</f>
        <v/>
      </c>
      <c r="AB809" s="56" t="str">
        <f aca="false">IF(AD809="","",RANK(AD809,$AD$2:$AD$1780)+COUNTIF($AD$2:AD809,AD809)-1)</f>
        <v/>
      </c>
      <c r="AC809" s="56" t="str">
        <f aca="false">IF(AND(F809&gt;0,E809&gt;=Settings!$B$4),J809,"")</f>
        <v/>
      </c>
      <c r="AD809" s="56" t="str">
        <f aca="false">IF(X809="HIGH RATE",O809,"")</f>
        <v/>
      </c>
    </row>
    <row r="810" customFormat="false" ht="15" hidden="false" customHeight="false" outlineLevel="0" collapsed="false">
      <c r="A810" s="56" t="s">
        <v>2078</v>
      </c>
      <c r="B810" s="56" t="s">
        <v>2079</v>
      </c>
      <c r="C810" s="56" t="s">
        <v>51</v>
      </c>
      <c r="D810" s="56" t="str">
        <f aca="false">IFERROR(INDEX('Brand Map'!$B$4:$B$124,MATCH(C810,'Brand Map'!$A$4:$A$124,0)),"Other")</f>
        <v>AU</v>
      </c>
      <c r="E810" s="57" t="n">
        <v>1</v>
      </c>
      <c r="F810" s="57" t="n">
        <v>0</v>
      </c>
      <c r="G810" s="58" t="n">
        <v>503.19</v>
      </c>
      <c r="H810" s="58" t="n">
        <v>0</v>
      </c>
      <c r="I810" s="58" t="n">
        <v>503.19</v>
      </c>
      <c r="J810" s="32" t="n">
        <f aca="false">IF(E810&gt;0,F810/E810,0)</f>
        <v>0</v>
      </c>
      <c r="K810" s="32" t="n">
        <f aca="false">IF(G810&gt;0,H810/G810,0)</f>
        <v>-0</v>
      </c>
      <c r="L810" s="59" t="n">
        <f aca="false">H810/Settings!$B$16</f>
        <v>-0</v>
      </c>
      <c r="M810" s="59" t="n">
        <f aca="false">H810/Settings!$B$20</f>
        <v>-0</v>
      </c>
      <c r="N810" s="60" t="n">
        <f aca="false">E810*Settings!$B$3</f>
        <v>0.0309861510798204</v>
      </c>
      <c r="O810" s="60" t="n">
        <f aca="false">IF(E810&gt;0,(F810-N810)/SQRT(E810*Settings!$B$3*(1-Settings!$B$3)),0)</f>
        <v>-0.178821125934444</v>
      </c>
      <c r="P810" s="60" t="n">
        <f aca="false">MAX(0,F810-N810)</f>
        <v>0</v>
      </c>
      <c r="Q810" s="32" t="n">
        <f aca="false">(F810+Settings!$B$7*Settings!$B$3)/(E810+Settings!$B$7)</f>
        <v>0.0299865978191811</v>
      </c>
      <c r="R810" s="61" t="n">
        <f aca="false">PERCENTRANK($H$2:$H$1780,H810,6)</f>
        <v>0</v>
      </c>
      <c r="S810" s="61" t="n">
        <f aca="false">PERCENTRANK($Q$2:$Q$1780,Q810,6)</f>
        <v>0.486502</v>
      </c>
      <c r="T810" s="61" t="n">
        <f aca="false">PERCENTRANK($F$2:$F$1780,F810,6)</f>
        <v>0</v>
      </c>
      <c r="U810" s="62" t="n">
        <f aca="false">IF(F810&gt;0,(Settings!$B$8*T810+Settings!$B$9*R810+Settings!$B$10*S810)/SUM(Settings!$B$8:$B$10),0)</f>
        <v>0</v>
      </c>
      <c r="V810" s="56" t="str">
        <f aca="false">IF(U810&gt;0,RANK(U810,$U$2:$U$1780)+COUNTIF($U$2:U810,U810)-1,"")</f>
        <v/>
      </c>
      <c r="W810" s="56" t="str">
        <f aca="false">IF(V810="","",IF(V810&lt;=Settings!$B$11,"1 - Fix first",IF(V810&lt;=Settings!$B$12,"2 - Review","3 - Monitor")))</f>
        <v/>
      </c>
      <c r="X810" s="56" t="str">
        <f aca="false">IF(AND(E810&gt;=Settings!$B$4,F810&gt;=Settings!$B$5,O810&gt;=Settings!$B$6),"HIGH RATE","")</f>
        <v/>
      </c>
      <c r="Y810" s="56" t="str">
        <f aca="false">IF(F810&gt;0,RANK(F810,$F$2:$F$1780)+COUNTIF($F$2:F810,F810)-1,"")</f>
        <v/>
      </c>
      <c r="Z810" s="56" t="str">
        <f aca="false">IF(H810&gt;0,RANK(H810,$H$2:$H$1780)+COUNTIF($H$2:H810,H810)-1,"")</f>
        <v/>
      </c>
      <c r="AA810" s="56" t="str">
        <f aca="false">IF(AC810="","",RANK(AC810,$AC$2:$AC$1780)+COUNTIF($AC$2:AC810,AC810)-1)</f>
        <v/>
      </c>
      <c r="AB810" s="56" t="str">
        <f aca="false">IF(AD810="","",RANK(AD810,$AD$2:$AD$1780)+COUNTIF($AD$2:AD810,AD810)-1)</f>
        <v/>
      </c>
      <c r="AC810" s="56" t="str">
        <f aca="false">IF(AND(F810&gt;0,E810&gt;=Settings!$B$4),J810,"")</f>
        <v/>
      </c>
      <c r="AD810" s="56" t="str">
        <f aca="false">IF(X810="HIGH RATE",O810,"")</f>
        <v/>
      </c>
    </row>
    <row r="811" customFormat="false" ht="15" hidden="false" customHeight="false" outlineLevel="0" collapsed="false">
      <c r="A811" s="56" t="s">
        <v>2080</v>
      </c>
      <c r="B811" s="56" t="s">
        <v>890</v>
      </c>
      <c r="C811" s="56" t="s">
        <v>51</v>
      </c>
      <c r="D811" s="56" t="str">
        <f aca="false">IFERROR(INDEX('Brand Map'!$B$4:$B$124,MATCH(C811,'Brand Map'!$A$4:$A$124,0)),"Other")</f>
        <v>AU</v>
      </c>
      <c r="E811" s="57" t="n">
        <v>1</v>
      </c>
      <c r="F811" s="57" t="n">
        <v>0</v>
      </c>
      <c r="G811" s="58" t="n">
        <v>214.45</v>
      </c>
      <c r="H811" s="58" t="n">
        <v>0</v>
      </c>
      <c r="I811" s="58" t="n">
        <v>214.45</v>
      </c>
      <c r="J811" s="32" t="n">
        <f aca="false">IF(E811&gt;0,F811/E811,0)</f>
        <v>0</v>
      </c>
      <c r="K811" s="32" t="n">
        <f aca="false">IF(G811&gt;0,H811/G811,0)</f>
        <v>-0</v>
      </c>
      <c r="L811" s="59" t="n">
        <f aca="false">H811/Settings!$B$16</f>
        <v>-0</v>
      </c>
      <c r="M811" s="59" t="n">
        <f aca="false">H811/Settings!$B$20</f>
        <v>-0</v>
      </c>
      <c r="N811" s="60" t="n">
        <f aca="false">E811*Settings!$B$3</f>
        <v>0.0309861510798204</v>
      </c>
      <c r="O811" s="60" t="n">
        <f aca="false">IF(E811&gt;0,(F811-N811)/SQRT(E811*Settings!$B$3*(1-Settings!$B$3)),0)</f>
        <v>-0.178821125934444</v>
      </c>
      <c r="P811" s="60" t="n">
        <f aca="false">MAX(0,F811-N811)</f>
        <v>0</v>
      </c>
      <c r="Q811" s="32" t="n">
        <f aca="false">(F811+Settings!$B$7*Settings!$B$3)/(E811+Settings!$B$7)</f>
        <v>0.0299865978191811</v>
      </c>
      <c r="R811" s="61" t="n">
        <f aca="false">PERCENTRANK($H$2:$H$1780,H811,6)</f>
        <v>0</v>
      </c>
      <c r="S811" s="61" t="n">
        <f aca="false">PERCENTRANK($Q$2:$Q$1780,Q811,6)</f>
        <v>0.486502</v>
      </c>
      <c r="T811" s="61" t="n">
        <f aca="false">PERCENTRANK($F$2:$F$1780,F811,6)</f>
        <v>0</v>
      </c>
      <c r="U811" s="62" t="n">
        <f aca="false">IF(F811&gt;0,(Settings!$B$8*T811+Settings!$B$9*R811+Settings!$B$10*S811)/SUM(Settings!$B$8:$B$10),0)</f>
        <v>0</v>
      </c>
      <c r="V811" s="56" t="str">
        <f aca="false">IF(U811&gt;0,RANK(U811,$U$2:$U$1780)+COUNTIF($U$2:U811,U811)-1,"")</f>
        <v/>
      </c>
      <c r="W811" s="56" t="str">
        <f aca="false">IF(V811="","",IF(V811&lt;=Settings!$B$11,"1 - Fix first",IF(V811&lt;=Settings!$B$12,"2 - Review","3 - Monitor")))</f>
        <v/>
      </c>
      <c r="X811" s="56" t="str">
        <f aca="false">IF(AND(E811&gt;=Settings!$B$4,F811&gt;=Settings!$B$5,O811&gt;=Settings!$B$6),"HIGH RATE","")</f>
        <v/>
      </c>
      <c r="Y811" s="56" t="str">
        <f aca="false">IF(F811&gt;0,RANK(F811,$F$2:$F$1780)+COUNTIF($F$2:F811,F811)-1,"")</f>
        <v/>
      </c>
      <c r="Z811" s="56" t="str">
        <f aca="false">IF(H811&gt;0,RANK(H811,$H$2:$H$1780)+COUNTIF($H$2:H811,H811)-1,"")</f>
        <v/>
      </c>
      <c r="AA811" s="56" t="str">
        <f aca="false">IF(AC811="","",RANK(AC811,$AC$2:$AC$1780)+COUNTIF($AC$2:AC811,AC811)-1)</f>
        <v/>
      </c>
      <c r="AB811" s="56" t="str">
        <f aca="false">IF(AD811="","",RANK(AD811,$AD$2:$AD$1780)+COUNTIF($AD$2:AD811,AD811)-1)</f>
        <v/>
      </c>
      <c r="AC811" s="56" t="str">
        <f aca="false">IF(AND(F811&gt;0,E811&gt;=Settings!$B$4),J811,"")</f>
        <v/>
      </c>
      <c r="AD811" s="56" t="str">
        <f aca="false">IF(X811="HIGH RATE",O811,"")</f>
        <v/>
      </c>
    </row>
    <row r="812" customFormat="false" ht="15" hidden="false" customHeight="false" outlineLevel="0" collapsed="false">
      <c r="A812" s="56" t="s">
        <v>2081</v>
      </c>
      <c r="B812" s="56" t="s">
        <v>890</v>
      </c>
      <c r="C812" s="56" t="s">
        <v>51</v>
      </c>
      <c r="D812" s="56" t="str">
        <f aca="false">IFERROR(INDEX('Brand Map'!$B$4:$B$124,MATCH(C812,'Brand Map'!$A$4:$A$124,0)),"Other")</f>
        <v>AU</v>
      </c>
      <c r="E812" s="57" t="n">
        <v>2</v>
      </c>
      <c r="F812" s="57" t="n">
        <v>0</v>
      </c>
      <c r="G812" s="58" t="n">
        <v>589.17</v>
      </c>
      <c r="H812" s="58" t="n">
        <v>0</v>
      </c>
      <c r="I812" s="58" t="n">
        <v>589.17</v>
      </c>
      <c r="J812" s="32" t="n">
        <f aca="false">IF(E812&gt;0,F812/E812,0)</f>
        <v>0</v>
      </c>
      <c r="K812" s="32" t="n">
        <f aca="false">IF(G812&gt;0,H812/G812,0)</f>
        <v>-0</v>
      </c>
      <c r="L812" s="59" t="n">
        <f aca="false">H812/Settings!$B$16</f>
        <v>-0</v>
      </c>
      <c r="M812" s="59" t="n">
        <f aca="false">H812/Settings!$B$20</f>
        <v>-0</v>
      </c>
      <c r="N812" s="60" t="n">
        <f aca="false">E812*Settings!$B$3</f>
        <v>0.0619723021596408</v>
      </c>
      <c r="O812" s="60" t="n">
        <f aca="false">IF(E812&gt;0,(F812-N812)/SQRT(E812*Settings!$B$3*(1-Settings!$B$3)),0)</f>
        <v>-0.252891261535318</v>
      </c>
      <c r="P812" s="60" t="n">
        <f aca="false">MAX(0,F812-N812)</f>
        <v>0</v>
      </c>
      <c r="Q812" s="32" t="n">
        <f aca="false">(F812+Settings!$B$7*Settings!$B$3)/(E812+Settings!$B$7)</f>
        <v>0.0290495166373316</v>
      </c>
      <c r="R812" s="61" t="n">
        <f aca="false">PERCENTRANK($H$2:$H$1780,H812,6)</f>
        <v>0</v>
      </c>
      <c r="S812" s="61" t="n">
        <f aca="false">PERCENTRANK($Q$2:$Q$1780,Q812,6)</f>
        <v>0.365579</v>
      </c>
      <c r="T812" s="61" t="n">
        <f aca="false">PERCENTRANK($F$2:$F$1780,F812,6)</f>
        <v>0</v>
      </c>
      <c r="U812" s="62" t="n">
        <f aca="false">IF(F812&gt;0,(Settings!$B$8*T812+Settings!$B$9*R812+Settings!$B$10*S812)/SUM(Settings!$B$8:$B$10),0)</f>
        <v>0</v>
      </c>
      <c r="V812" s="56" t="str">
        <f aca="false">IF(U812&gt;0,RANK(U812,$U$2:$U$1780)+COUNTIF($U$2:U812,U812)-1,"")</f>
        <v/>
      </c>
      <c r="W812" s="56" t="str">
        <f aca="false">IF(V812="","",IF(V812&lt;=Settings!$B$11,"1 - Fix first",IF(V812&lt;=Settings!$B$12,"2 - Review","3 - Monitor")))</f>
        <v/>
      </c>
      <c r="X812" s="56" t="str">
        <f aca="false">IF(AND(E812&gt;=Settings!$B$4,F812&gt;=Settings!$B$5,O812&gt;=Settings!$B$6),"HIGH RATE","")</f>
        <v/>
      </c>
      <c r="Y812" s="56" t="str">
        <f aca="false">IF(F812&gt;0,RANK(F812,$F$2:$F$1780)+COUNTIF($F$2:F812,F812)-1,"")</f>
        <v/>
      </c>
      <c r="Z812" s="56" t="str">
        <f aca="false">IF(H812&gt;0,RANK(H812,$H$2:$H$1780)+COUNTIF($H$2:H812,H812)-1,"")</f>
        <v/>
      </c>
      <c r="AA812" s="56" t="str">
        <f aca="false">IF(AC812="","",RANK(AC812,$AC$2:$AC$1780)+COUNTIF($AC$2:AC812,AC812)-1)</f>
        <v/>
      </c>
      <c r="AB812" s="56" t="str">
        <f aca="false">IF(AD812="","",RANK(AD812,$AD$2:$AD$1780)+COUNTIF($AD$2:AD812,AD812)-1)</f>
        <v/>
      </c>
      <c r="AC812" s="56" t="str">
        <f aca="false">IF(AND(F812&gt;0,E812&gt;=Settings!$B$4),J812,"")</f>
        <v/>
      </c>
      <c r="AD812" s="56" t="str">
        <f aca="false">IF(X812="HIGH RATE",O812,"")</f>
        <v/>
      </c>
    </row>
    <row r="813" customFormat="false" ht="15" hidden="false" customHeight="false" outlineLevel="0" collapsed="false">
      <c r="A813" s="56" t="s">
        <v>2082</v>
      </c>
      <c r="B813" s="56" t="s">
        <v>2083</v>
      </c>
      <c r="C813" s="56" t="s">
        <v>51</v>
      </c>
      <c r="D813" s="56" t="str">
        <f aca="false">IFERROR(INDEX('Brand Map'!$B$4:$B$124,MATCH(C813,'Brand Map'!$A$4:$A$124,0)),"Other")</f>
        <v>AU</v>
      </c>
      <c r="E813" s="57" t="n">
        <v>1</v>
      </c>
      <c r="F813" s="57" t="n">
        <v>0</v>
      </c>
      <c r="G813" s="58" t="n">
        <v>154.95</v>
      </c>
      <c r="H813" s="58" t="n">
        <v>0</v>
      </c>
      <c r="I813" s="58" t="n">
        <v>154.95</v>
      </c>
      <c r="J813" s="32" t="n">
        <f aca="false">IF(E813&gt;0,F813/E813,0)</f>
        <v>0</v>
      </c>
      <c r="K813" s="32" t="n">
        <f aca="false">IF(G813&gt;0,H813/G813,0)</f>
        <v>-0</v>
      </c>
      <c r="L813" s="59" t="n">
        <f aca="false">H813/Settings!$B$16</f>
        <v>-0</v>
      </c>
      <c r="M813" s="59" t="n">
        <f aca="false">H813/Settings!$B$20</f>
        <v>-0</v>
      </c>
      <c r="N813" s="60" t="n">
        <f aca="false">E813*Settings!$B$3</f>
        <v>0.0309861510798204</v>
      </c>
      <c r="O813" s="60" t="n">
        <f aca="false">IF(E813&gt;0,(F813-N813)/SQRT(E813*Settings!$B$3*(1-Settings!$B$3)),0)</f>
        <v>-0.178821125934444</v>
      </c>
      <c r="P813" s="60" t="n">
        <f aca="false">MAX(0,F813-N813)</f>
        <v>0</v>
      </c>
      <c r="Q813" s="32" t="n">
        <f aca="false">(F813+Settings!$B$7*Settings!$B$3)/(E813+Settings!$B$7)</f>
        <v>0.0299865978191811</v>
      </c>
      <c r="R813" s="61" t="n">
        <f aca="false">PERCENTRANK($H$2:$H$1780,H813,6)</f>
        <v>0</v>
      </c>
      <c r="S813" s="61" t="n">
        <f aca="false">PERCENTRANK($Q$2:$Q$1780,Q813,6)</f>
        <v>0.486502</v>
      </c>
      <c r="T813" s="61" t="n">
        <f aca="false">PERCENTRANK($F$2:$F$1780,F813,6)</f>
        <v>0</v>
      </c>
      <c r="U813" s="62" t="n">
        <f aca="false">IF(F813&gt;0,(Settings!$B$8*T813+Settings!$B$9*R813+Settings!$B$10*S813)/SUM(Settings!$B$8:$B$10),0)</f>
        <v>0</v>
      </c>
      <c r="V813" s="56" t="str">
        <f aca="false">IF(U813&gt;0,RANK(U813,$U$2:$U$1780)+COUNTIF($U$2:U813,U813)-1,"")</f>
        <v/>
      </c>
      <c r="W813" s="56" t="str">
        <f aca="false">IF(V813="","",IF(V813&lt;=Settings!$B$11,"1 - Fix first",IF(V813&lt;=Settings!$B$12,"2 - Review","3 - Monitor")))</f>
        <v/>
      </c>
      <c r="X813" s="56" t="str">
        <f aca="false">IF(AND(E813&gt;=Settings!$B$4,F813&gt;=Settings!$B$5,O813&gt;=Settings!$B$6),"HIGH RATE","")</f>
        <v/>
      </c>
      <c r="Y813" s="56" t="str">
        <f aca="false">IF(F813&gt;0,RANK(F813,$F$2:$F$1780)+COUNTIF($F$2:F813,F813)-1,"")</f>
        <v/>
      </c>
      <c r="Z813" s="56" t="str">
        <f aca="false">IF(H813&gt;0,RANK(H813,$H$2:$H$1780)+COUNTIF($H$2:H813,H813)-1,"")</f>
        <v/>
      </c>
      <c r="AA813" s="56" t="str">
        <f aca="false">IF(AC813="","",RANK(AC813,$AC$2:$AC$1780)+COUNTIF($AC$2:AC813,AC813)-1)</f>
        <v/>
      </c>
      <c r="AB813" s="56" t="str">
        <f aca="false">IF(AD813="","",RANK(AD813,$AD$2:$AD$1780)+COUNTIF($AD$2:AD813,AD813)-1)</f>
        <v/>
      </c>
      <c r="AC813" s="56" t="str">
        <f aca="false">IF(AND(F813&gt;0,E813&gt;=Settings!$B$4),J813,"")</f>
        <v/>
      </c>
      <c r="AD813" s="56" t="str">
        <f aca="false">IF(X813="HIGH RATE",O813,"")</f>
        <v/>
      </c>
    </row>
    <row r="814" customFormat="false" ht="15" hidden="false" customHeight="false" outlineLevel="0" collapsed="false">
      <c r="A814" s="56" t="s">
        <v>2084</v>
      </c>
      <c r="B814" s="56" t="s">
        <v>1031</v>
      </c>
      <c r="C814" s="56" t="s">
        <v>51</v>
      </c>
      <c r="D814" s="56" t="str">
        <f aca="false">IFERROR(INDEX('Brand Map'!$B$4:$B$124,MATCH(C814,'Brand Map'!$A$4:$A$124,0)),"Other")</f>
        <v>AU</v>
      </c>
      <c r="E814" s="57" t="n">
        <v>2</v>
      </c>
      <c r="F814" s="57" t="n">
        <v>0</v>
      </c>
      <c r="G814" s="58" t="n">
        <v>359.9</v>
      </c>
      <c r="H814" s="58" t="n">
        <v>0</v>
      </c>
      <c r="I814" s="58" t="n">
        <v>359.9</v>
      </c>
      <c r="J814" s="32" t="n">
        <f aca="false">IF(E814&gt;0,F814/E814,0)</f>
        <v>0</v>
      </c>
      <c r="K814" s="32" t="n">
        <f aca="false">IF(G814&gt;0,H814/G814,0)</f>
        <v>-0</v>
      </c>
      <c r="L814" s="59" t="n">
        <f aca="false">H814/Settings!$B$16</f>
        <v>-0</v>
      </c>
      <c r="M814" s="59" t="n">
        <f aca="false">H814/Settings!$B$20</f>
        <v>-0</v>
      </c>
      <c r="N814" s="60" t="n">
        <f aca="false">E814*Settings!$B$3</f>
        <v>0.0619723021596408</v>
      </c>
      <c r="O814" s="60" t="n">
        <f aca="false">IF(E814&gt;0,(F814-N814)/SQRT(E814*Settings!$B$3*(1-Settings!$B$3)),0)</f>
        <v>-0.252891261535318</v>
      </c>
      <c r="P814" s="60" t="n">
        <f aca="false">MAX(0,F814-N814)</f>
        <v>0</v>
      </c>
      <c r="Q814" s="32" t="n">
        <f aca="false">(F814+Settings!$B$7*Settings!$B$3)/(E814+Settings!$B$7)</f>
        <v>0.0290495166373316</v>
      </c>
      <c r="R814" s="61" t="n">
        <f aca="false">PERCENTRANK($H$2:$H$1780,H814,6)</f>
        <v>0</v>
      </c>
      <c r="S814" s="61" t="n">
        <f aca="false">PERCENTRANK($Q$2:$Q$1780,Q814,6)</f>
        <v>0.365579</v>
      </c>
      <c r="T814" s="61" t="n">
        <f aca="false">PERCENTRANK($F$2:$F$1780,F814,6)</f>
        <v>0</v>
      </c>
      <c r="U814" s="62" t="n">
        <f aca="false">IF(F814&gt;0,(Settings!$B$8*T814+Settings!$B$9*R814+Settings!$B$10*S814)/SUM(Settings!$B$8:$B$10),0)</f>
        <v>0</v>
      </c>
      <c r="V814" s="56" t="str">
        <f aca="false">IF(U814&gt;0,RANK(U814,$U$2:$U$1780)+COUNTIF($U$2:U814,U814)-1,"")</f>
        <v/>
      </c>
      <c r="W814" s="56" t="str">
        <f aca="false">IF(V814="","",IF(V814&lt;=Settings!$B$11,"1 - Fix first",IF(V814&lt;=Settings!$B$12,"2 - Review","3 - Monitor")))</f>
        <v/>
      </c>
      <c r="X814" s="56" t="str">
        <f aca="false">IF(AND(E814&gt;=Settings!$B$4,F814&gt;=Settings!$B$5,O814&gt;=Settings!$B$6),"HIGH RATE","")</f>
        <v/>
      </c>
      <c r="Y814" s="56" t="str">
        <f aca="false">IF(F814&gt;0,RANK(F814,$F$2:$F$1780)+COUNTIF($F$2:F814,F814)-1,"")</f>
        <v/>
      </c>
      <c r="Z814" s="56" t="str">
        <f aca="false">IF(H814&gt;0,RANK(H814,$H$2:$H$1780)+COUNTIF($H$2:H814,H814)-1,"")</f>
        <v/>
      </c>
      <c r="AA814" s="56" t="str">
        <f aca="false">IF(AC814="","",RANK(AC814,$AC$2:$AC$1780)+COUNTIF($AC$2:AC814,AC814)-1)</f>
        <v/>
      </c>
      <c r="AB814" s="56" t="str">
        <f aca="false">IF(AD814="","",RANK(AD814,$AD$2:$AD$1780)+COUNTIF($AD$2:AD814,AD814)-1)</f>
        <v/>
      </c>
      <c r="AC814" s="56" t="str">
        <f aca="false">IF(AND(F814&gt;0,E814&gt;=Settings!$B$4),J814,"")</f>
        <v/>
      </c>
      <c r="AD814" s="56" t="str">
        <f aca="false">IF(X814="HIGH RATE",O814,"")</f>
        <v/>
      </c>
    </row>
    <row r="815" customFormat="false" ht="15" hidden="false" customHeight="false" outlineLevel="0" collapsed="false">
      <c r="A815" s="56" t="s">
        <v>2085</v>
      </c>
      <c r="B815" s="56" t="s">
        <v>1031</v>
      </c>
      <c r="C815" s="56" t="s">
        <v>51</v>
      </c>
      <c r="D815" s="56" t="str">
        <f aca="false">IFERROR(INDEX('Brand Map'!$B$4:$B$124,MATCH(C815,'Brand Map'!$A$4:$A$124,0)),"Other")</f>
        <v>AU</v>
      </c>
      <c r="E815" s="57" t="n">
        <v>1</v>
      </c>
      <c r="F815" s="57" t="n">
        <v>0</v>
      </c>
      <c r="G815" s="58" t="n">
        <v>194.95</v>
      </c>
      <c r="H815" s="58" t="n">
        <v>0</v>
      </c>
      <c r="I815" s="58" t="n">
        <v>194.95</v>
      </c>
      <c r="J815" s="32" t="n">
        <f aca="false">IF(E815&gt;0,F815/E815,0)</f>
        <v>0</v>
      </c>
      <c r="K815" s="32" t="n">
        <f aca="false">IF(G815&gt;0,H815/G815,0)</f>
        <v>-0</v>
      </c>
      <c r="L815" s="59" t="n">
        <f aca="false">H815/Settings!$B$16</f>
        <v>-0</v>
      </c>
      <c r="M815" s="59" t="n">
        <f aca="false">H815/Settings!$B$20</f>
        <v>-0</v>
      </c>
      <c r="N815" s="60" t="n">
        <f aca="false">E815*Settings!$B$3</f>
        <v>0.0309861510798204</v>
      </c>
      <c r="O815" s="60" t="n">
        <f aca="false">IF(E815&gt;0,(F815-N815)/SQRT(E815*Settings!$B$3*(1-Settings!$B$3)),0)</f>
        <v>-0.178821125934444</v>
      </c>
      <c r="P815" s="60" t="n">
        <f aca="false">MAX(0,F815-N815)</f>
        <v>0</v>
      </c>
      <c r="Q815" s="32" t="n">
        <f aca="false">(F815+Settings!$B$7*Settings!$B$3)/(E815+Settings!$B$7)</f>
        <v>0.0299865978191811</v>
      </c>
      <c r="R815" s="61" t="n">
        <f aca="false">PERCENTRANK($H$2:$H$1780,H815,6)</f>
        <v>0</v>
      </c>
      <c r="S815" s="61" t="n">
        <f aca="false">PERCENTRANK($Q$2:$Q$1780,Q815,6)</f>
        <v>0.486502</v>
      </c>
      <c r="T815" s="61" t="n">
        <f aca="false">PERCENTRANK($F$2:$F$1780,F815,6)</f>
        <v>0</v>
      </c>
      <c r="U815" s="62" t="n">
        <f aca="false">IF(F815&gt;0,(Settings!$B$8*T815+Settings!$B$9*R815+Settings!$B$10*S815)/SUM(Settings!$B$8:$B$10),0)</f>
        <v>0</v>
      </c>
      <c r="V815" s="56" t="str">
        <f aca="false">IF(U815&gt;0,RANK(U815,$U$2:$U$1780)+COUNTIF($U$2:U815,U815)-1,"")</f>
        <v/>
      </c>
      <c r="W815" s="56" t="str">
        <f aca="false">IF(V815="","",IF(V815&lt;=Settings!$B$11,"1 - Fix first",IF(V815&lt;=Settings!$B$12,"2 - Review","3 - Monitor")))</f>
        <v/>
      </c>
      <c r="X815" s="56" t="str">
        <f aca="false">IF(AND(E815&gt;=Settings!$B$4,F815&gt;=Settings!$B$5,O815&gt;=Settings!$B$6),"HIGH RATE","")</f>
        <v/>
      </c>
      <c r="Y815" s="56" t="str">
        <f aca="false">IF(F815&gt;0,RANK(F815,$F$2:$F$1780)+COUNTIF($F$2:F815,F815)-1,"")</f>
        <v/>
      </c>
      <c r="Z815" s="56" t="str">
        <f aca="false">IF(H815&gt;0,RANK(H815,$H$2:$H$1780)+COUNTIF($H$2:H815,H815)-1,"")</f>
        <v/>
      </c>
      <c r="AA815" s="56" t="str">
        <f aca="false">IF(AC815="","",RANK(AC815,$AC$2:$AC$1780)+COUNTIF($AC$2:AC815,AC815)-1)</f>
        <v/>
      </c>
      <c r="AB815" s="56" t="str">
        <f aca="false">IF(AD815="","",RANK(AD815,$AD$2:$AD$1780)+COUNTIF($AD$2:AD815,AD815)-1)</f>
        <v/>
      </c>
      <c r="AC815" s="56" t="str">
        <f aca="false">IF(AND(F815&gt;0,E815&gt;=Settings!$B$4),J815,"")</f>
        <v/>
      </c>
      <c r="AD815" s="56" t="str">
        <f aca="false">IF(X815="HIGH RATE",O815,"")</f>
        <v/>
      </c>
    </row>
    <row r="816" customFormat="false" ht="15" hidden="false" customHeight="false" outlineLevel="0" collapsed="false">
      <c r="A816" s="56" t="s">
        <v>2086</v>
      </c>
      <c r="B816" s="56" t="s">
        <v>1031</v>
      </c>
      <c r="C816" s="56" t="s">
        <v>51</v>
      </c>
      <c r="D816" s="56" t="str">
        <f aca="false">IFERROR(INDEX('Brand Map'!$B$4:$B$124,MATCH(C816,'Brand Map'!$A$4:$A$124,0)),"Other")</f>
        <v>AU</v>
      </c>
      <c r="E816" s="57" t="n">
        <v>2</v>
      </c>
      <c r="F816" s="57" t="n">
        <v>0</v>
      </c>
      <c r="G816" s="58" t="n">
        <v>419.9</v>
      </c>
      <c r="H816" s="58" t="n">
        <v>0</v>
      </c>
      <c r="I816" s="58" t="n">
        <v>419.9</v>
      </c>
      <c r="J816" s="32" t="n">
        <f aca="false">IF(E816&gt;0,F816/E816,0)</f>
        <v>0</v>
      </c>
      <c r="K816" s="32" t="n">
        <f aca="false">IF(G816&gt;0,H816/G816,0)</f>
        <v>-0</v>
      </c>
      <c r="L816" s="59" t="n">
        <f aca="false">H816/Settings!$B$16</f>
        <v>-0</v>
      </c>
      <c r="M816" s="59" t="n">
        <f aca="false">H816/Settings!$B$20</f>
        <v>-0</v>
      </c>
      <c r="N816" s="60" t="n">
        <f aca="false">E816*Settings!$B$3</f>
        <v>0.0619723021596408</v>
      </c>
      <c r="O816" s="60" t="n">
        <f aca="false">IF(E816&gt;0,(F816-N816)/SQRT(E816*Settings!$B$3*(1-Settings!$B$3)),0)</f>
        <v>-0.252891261535318</v>
      </c>
      <c r="P816" s="60" t="n">
        <f aca="false">MAX(0,F816-N816)</f>
        <v>0</v>
      </c>
      <c r="Q816" s="32" t="n">
        <f aca="false">(F816+Settings!$B$7*Settings!$B$3)/(E816+Settings!$B$7)</f>
        <v>0.0290495166373316</v>
      </c>
      <c r="R816" s="61" t="n">
        <f aca="false">PERCENTRANK($H$2:$H$1780,H816,6)</f>
        <v>0</v>
      </c>
      <c r="S816" s="61" t="n">
        <f aca="false">PERCENTRANK($Q$2:$Q$1780,Q816,6)</f>
        <v>0.365579</v>
      </c>
      <c r="T816" s="61" t="n">
        <f aca="false">PERCENTRANK($F$2:$F$1780,F816,6)</f>
        <v>0</v>
      </c>
      <c r="U816" s="62" t="n">
        <f aca="false">IF(F816&gt;0,(Settings!$B$8*T816+Settings!$B$9*R816+Settings!$B$10*S816)/SUM(Settings!$B$8:$B$10),0)</f>
        <v>0</v>
      </c>
      <c r="V816" s="56" t="str">
        <f aca="false">IF(U816&gt;0,RANK(U816,$U$2:$U$1780)+COUNTIF($U$2:U816,U816)-1,"")</f>
        <v/>
      </c>
      <c r="W816" s="56" t="str">
        <f aca="false">IF(V816="","",IF(V816&lt;=Settings!$B$11,"1 - Fix first",IF(V816&lt;=Settings!$B$12,"2 - Review","3 - Monitor")))</f>
        <v/>
      </c>
      <c r="X816" s="56" t="str">
        <f aca="false">IF(AND(E816&gt;=Settings!$B$4,F816&gt;=Settings!$B$5,O816&gt;=Settings!$B$6),"HIGH RATE","")</f>
        <v/>
      </c>
      <c r="Y816" s="56" t="str">
        <f aca="false">IF(F816&gt;0,RANK(F816,$F$2:$F$1780)+COUNTIF($F$2:F816,F816)-1,"")</f>
        <v/>
      </c>
      <c r="Z816" s="56" t="str">
        <f aca="false">IF(H816&gt;0,RANK(H816,$H$2:$H$1780)+COUNTIF($H$2:H816,H816)-1,"")</f>
        <v/>
      </c>
      <c r="AA816" s="56" t="str">
        <f aca="false">IF(AC816="","",RANK(AC816,$AC$2:$AC$1780)+COUNTIF($AC$2:AC816,AC816)-1)</f>
        <v/>
      </c>
      <c r="AB816" s="56" t="str">
        <f aca="false">IF(AD816="","",RANK(AD816,$AD$2:$AD$1780)+COUNTIF($AD$2:AD816,AD816)-1)</f>
        <v/>
      </c>
      <c r="AC816" s="56" t="str">
        <f aca="false">IF(AND(F816&gt;0,E816&gt;=Settings!$B$4),J816,"")</f>
        <v/>
      </c>
      <c r="AD816" s="56" t="str">
        <f aca="false">IF(X816="HIGH RATE",O816,"")</f>
        <v/>
      </c>
    </row>
    <row r="817" customFormat="false" ht="15" hidden="false" customHeight="false" outlineLevel="0" collapsed="false">
      <c r="A817" s="56" t="s">
        <v>2087</v>
      </c>
      <c r="B817" s="56" t="s">
        <v>1031</v>
      </c>
      <c r="C817" s="56" t="s">
        <v>51</v>
      </c>
      <c r="D817" s="56" t="str">
        <f aca="false">IFERROR(INDEX('Brand Map'!$B$4:$B$124,MATCH(C817,'Brand Map'!$A$4:$A$124,0)),"Other")</f>
        <v>AU</v>
      </c>
      <c r="E817" s="57" t="n">
        <v>1</v>
      </c>
      <c r="F817" s="57" t="n">
        <v>0</v>
      </c>
      <c r="G817" s="58" t="n">
        <v>164.95</v>
      </c>
      <c r="H817" s="58" t="n">
        <v>0</v>
      </c>
      <c r="I817" s="58" t="n">
        <v>164.95</v>
      </c>
      <c r="J817" s="32" t="n">
        <f aca="false">IF(E817&gt;0,F817/E817,0)</f>
        <v>0</v>
      </c>
      <c r="K817" s="32" t="n">
        <f aca="false">IF(G817&gt;0,H817/G817,0)</f>
        <v>-0</v>
      </c>
      <c r="L817" s="59" t="n">
        <f aca="false">H817/Settings!$B$16</f>
        <v>-0</v>
      </c>
      <c r="M817" s="59" t="n">
        <f aca="false">H817/Settings!$B$20</f>
        <v>-0</v>
      </c>
      <c r="N817" s="60" t="n">
        <f aca="false">E817*Settings!$B$3</f>
        <v>0.0309861510798204</v>
      </c>
      <c r="O817" s="60" t="n">
        <f aca="false">IF(E817&gt;0,(F817-N817)/SQRT(E817*Settings!$B$3*(1-Settings!$B$3)),0)</f>
        <v>-0.178821125934444</v>
      </c>
      <c r="P817" s="60" t="n">
        <f aca="false">MAX(0,F817-N817)</f>
        <v>0</v>
      </c>
      <c r="Q817" s="32" t="n">
        <f aca="false">(F817+Settings!$B$7*Settings!$B$3)/(E817+Settings!$B$7)</f>
        <v>0.0299865978191811</v>
      </c>
      <c r="R817" s="61" t="n">
        <f aca="false">PERCENTRANK($H$2:$H$1780,H817,6)</f>
        <v>0</v>
      </c>
      <c r="S817" s="61" t="n">
        <f aca="false">PERCENTRANK($Q$2:$Q$1780,Q817,6)</f>
        <v>0.486502</v>
      </c>
      <c r="T817" s="61" t="n">
        <f aca="false">PERCENTRANK($F$2:$F$1780,F817,6)</f>
        <v>0</v>
      </c>
      <c r="U817" s="62" t="n">
        <f aca="false">IF(F817&gt;0,(Settings!$B$8*T817+Settings!$B$9*R817+Settings!$B$10*S817)/SUM(Settings!$B$8:$B$10),0)</f>
        <v>0</v>
      </c>
      <c r="V817" s="56" t="str">
        <f aca="false">IF(U817&gt;0,RANK(U817,$U$2:$U$1780)+COUNTIF($U$2:U817,U817)-1,"")</f>
        <v/>
      </c>
      <c r="W817" s="56" t="str">
        <f aca="false">IF(V817="","",IF(V817&lt;=Settings!$B$11,"1 - Fix first",IF(V817&lt;=Settings!$B$12,"2 - Review","3 - Monitor")))</f>
        <v/>
      </c>
      <c r="X817" s="56" t="str">
        <f aca="false">IF(AND(E817&gt;=Settings!$B$4,F817&gt;=Settings!$B$5,O817&gt;=Settings!$B$6),"HIGH RATE","")</f>
        <v/>
      </c>
      <c r="Y817" s="56" t="str">
        <f aca="false">IF(F817&gt;0,RANK(F817,$F$2:$F$1780)+COUNTIF($F$2:F817,F817)-1,"")</f>
        <v/>
      </c>
      <c r="Z817" s="56" t="str">
        <f aca="false">IF(H817&gt;0,RANK(H817,$H$2:$H$1780)+COUNTIF($H$2:H817,H817)-1,"")</f>
        <v/>
      </c>
      <c r="AA817" s="56" t="str">
        <f aca="false">IF(AC817="","",RANK(AC817,$AC$2:$AC$1780)+COUNTIF($AC$2:AC817,AC817)-1)</f>
        <v/>
      </c>
      <c r="AB817" s="56" t="str">
        <f aca="false">IF(AD817="","",RANK(AD817,$AD$2:$AD$1780)+COUNTIF($AD$2:AD817,AD817)-1)</f>
        <v/>
      </c>
      <c r="AC817" s="56" t="str">
        <f aca="false">IF(AND(F817&gt;0,E817&gt;=Settings!$B$4),J817,"")</f>
        <v/>
      </c>
      <c r="AD817" s="56" t="str">
        <f aca="false">IF(X817="HIGH RATE",O817,"")</f>
        <v/>
      </c>
    </row>
    <row r="818" customFormat="false" ht="15" hidden="false" customHeight="false" outlineLevel="0" collapsed="false">
      <c r="A818" s="56" t="s">
        <v>2088</v>
      </c>
      <c r="B818" s="56" t="s">
        <v>1304</v>
      </c>
      <c r="C818" s="56" t="s">
        <v>51</v>
      </c>
      <c r="D818" s="56" t="str">
        <f aca="false">IFERROR(INDEX('Brand Map'!$B$4:$B$124,MATCH(C818,'Brand Map'!$A$4:$A$124,0)),"Other")</f>
        <v>AU</v>
      </c>
      <c r="E818" s="57" t="n">
        <v>18</v>
      </c>
      <c r="F818" s="57" t="n">
        <v>0</v>
      </c>
      <c r="G818" s="58" t="n">
        <v>3498.66</v>
      </c>
      <c r="H818" s="58" t="n">
        <v>0</v>
      </c>
      <c r="I818" s="58" t="n">
        <v>3318.66</v>
      </c>
      <c r="J818" s="32" t="n">
        <f aca="false">IF(E818&gt;0,F818/E818,0)</f>
        <v>0</v>
      </c>
      <c r="K818" s="32" t="n">
        <f aca="false">IF(G818&gt;0,H818/G818,0)</f>
        <v>-0</v>
      </c>
      <c r="L818" s="59" t="n">
        <f aca="false">H818/Settings!$B$16</f>
        <v>-0</v>
      </c>
      <c r="M818" s="59" t="n">
        <f aca="false">H818/Settings!$B$20</f>
        <v>-0</v>
      </c>
      <c r="N818" s="60" t="n">
        <f aca="false">E818*Settings!$B$3</f>
        <v>0.557750719436768</v>
      </c>
      <c r="O818" s="60" t="n">
        <f aca="false">IF(E818&gt;0,(F818-N818)/SQRT(E818*Settings!$B$3*(1-Settings!$B$3)),0)</f>
        <v>-0.758673784605954</v>
      </c>
      <c r="P818" s="60" t="n">
        <f aca="false">MAX(0,F818-N818)</f>
        <v>0</v>
      </c>
      <c r="Q818" s="32" t="n">
        <f aca="false">(F818+Settings!$B$7*Settings!$B$3)/(E818+Settings!$B$7)</f>
        <v>0.0193663444248878</v>
      </c>
      <c r="R818" s="61" t="n">
        <f aca="false">PERCENTRANK($H$2:$H$1780,H818,6)</f>
        <v>0</v>
      </c>
      <c r="S818" s="61" t="n">
        <f aca="false">PERCENTRANK($Q$2:$Q$1780,Q818,6)</f>
        <v>0.083802</v>
      </c>
      <c r="T818" s="61" t="n">
        <f aca="false">PERCENTRANK($F$2:$F$1780,F818,6)</f>
        <v>0</v>
      </c>
      <c r="U818" s="62" t="n">
        <f aca="false">IF(F818&gt;0,(Settings!$B$8*T818+Settings!$B$9*R818+Settings!$B$10*S818)/SUM(Settings!$B$8:$B$10),0)</f>
        <v>0</v>
      </c>
      <c r="V818" s="56" t="str">
        <f aca="false">IF(U818&gt;0,RANK(U818,$U$2:$U$1780)+COUNTIF($U$2:U818,U818)-1,"")</f>
        <v/>
      </c>
      <c r="W818" s="56" t="str">
        <f aca="false">IF(V818="","",IF(V818&lt;=Settings!$B$11,"1 - Fix first",IF(V818&lt;=Settings!$B$12,"2 - Review","3 - Monitor")))</f>
        <v/>
      </c>
      <c r="X818" s="56" t="str">
        <f aca="false">IF(AND(E818&gt;=Settings!$B$4,F818&gt;=Settings!$B$5,O818&gt;=Settings!$B$6),"HIGH RATE","")</f>
        <v/>
      </c>
      <c r="Y818" s="56" t="str">
        <f aca="false">IF(F818&gt;0,RANK(F818,$F$2:$F$1780)+COUNTIF($F$2:F818,F818)-1,"")</f>
        <v/>
      </c>
      <c r="Z818" s="56" t="str">
        <f aca="false">IF(H818&gt;0,RANK(H818,$H$2:$H$1780)+COUNTIF($H$2:H818,H818)-1,"")</f>
        <v/>
      </c>
      <c r="AA818" s="56" t="str">
        <f aca="false">IF(AC818="","",RANK(AC818,$AC$2:$AC$1780)+COUNTIF($AC$2:AC818,AC818)-1)</f>
        <v/>
      </c>
      <c r="AB818" s="56" t="str">
        <f aca="false">IF(AD818="","",RANK(AD818,$AD$2:$AD$1780)+COUNTIF($AD$2:AD818,AD818)-1)</f>
        <v/>
      </c>
      <c r="AC818" s="56" t="str">
        <f aca="false">IF(AND(F818&gt;0,E818&gt;=Settings!$B$4),J818,"")</f>
        <v/>
      </c>
      <c r="AD818" s="56" t="str">
        <f aca="false">IF(X818="HIGH RATE",O818,"")</f>
        <v/>
      </c>
    </row>
    <row r="819" customFormat="false" ht="15" hidden="false" customHeight="false" outlineLevel="0" collapsed="false">
      <c r="A819" s="56" t="s">
        <v>2089</v>
      </c>
      <c r="B819" s="56" t="s">
        <v>1304</v>
      </c>
      <c r="C819" s="56" t="s">
        <v>51</v>
      </c>
      <c r="D819" s="56" t="str">
        <f aca="false">IFERROR(INDEX('Brand Map'!$B$4:$B$124,MATCH(C819,'Brand Map'!$A$4:$A$124,0)),"Other")</f>
        <v>AU</v>
      </c>
      <c r="E819" s="57" t="n">
        <v>2</v>
      </c>
      <c r="F819" s="57" t="n">
        <v>0</v>
      </c>
      <c r="G819" s="58" t="n">
        <v>389.9</v>
      </c>
      <c r="H819" s="58" t="n">
        <v>0</v>
      </c>
      <c r="I819" s="58" t="n">
        <v>389.9</v>
      </c>
      <c r="J819" s="32" t="n">
        <f aca="false">IF(E819&gt;0,F819/E819,0)</f>
        <v>0</v>
      </c>
      <c r="K819" s="32" t="n">
        <f aca="false">IF(G819&gt;0,H819/G819,0)</f>
        <v>-0</v>
      </c>
      <c r="L819" s="59" t="n">
        <f aca="false">H819/Settings!$B$16</f>
        <v>-0</v>
      </c>
      <c r="M819" s="59" t="n">
        <f aca="false">H819/Settings!$B$20</f>
        <v>-0</v>
      </c>
      <c r="N819" s="60" t="n">
        <f aca="false">E819*Settings!$B$3</f>
        <v>0.0619723021596408</v>
      </c>
      <c r="O819" s="60" t="n">
        <f aca="false">IF(E819&gt;0,(F819-N819)/SQRT(E819*Settings!$B$3*(1-Settings!$B$3)),0)</f>
        <v>-0.252891261535318</v>
      </c>
      <c r="P819" s="60" t="n">
        <f aca="false">MAX(0,F819-N819)</f>
        <v>0</v>
      </c>
      <c r="Q819" s="32" t="n">
        <f aca="false">(F819+Settings!$B$7*Settings!$B$3)/(E819+Settings!$B$7)</f>
        <v>0.0290495166373316</v>
      </c>
      <c r="R819" s="61" t="n">
        <f aca="false">PERCENTRANK($H$2:$H$1780,H819,6)</f>
        <v>0</v>
      </c>
      <c r="S819" s="61" t="n">
        <f aca="false">PERCENTRANK($Q$2:$Q$1780,Q819,6)</f>
        <v>0.365579</v>
      </c>
      <c r="T819" s="61" t="n">
        <f aca="false">PERCENTRANK($F$2:$F$1780,F819,6)</f>
        <v>0</v>
      </c>
      <c r="U819" s="62" t="n">
        <f aca="false">IF(F819&gt;0,(Settings!$B$8*T819+Settings!$B$9*R819+Settings!$B$10*S819)/SUM(Settings!$B$8:$B$10),0)</f>
        <v>0</v>
      </c>
      <c r="V819" s="56" t="str">
        <f aca="false">IF(U819&gt;0,RANK(U819,$U$2:$U$1780)+COUNTIF($U$2:U819,U819)-1,"")</f>
        <v/>
      </c>
      <c r="W819" s="56" t="str">
        <f aca="false">IF(V819="","",IF(V819&lt;=Settings!$B$11,"1 - Fix first",IF(V819&lt;=Settings!$B$12,"2 - Review","3 - Monitor")))</f>
        <v/>
      </c>
      <c r="X819" s="56" t="str">
        <f aca="false">IF(AND(E819&gt;=Settings!$B$4,F819&gt;=Settings!$B$5,O819&gt;=Settings!$B$6),"HIGH RATE","")</f>
        <v/>
      </c>
      <c r="Y819" s="56" t="str">
        <f aca="false">IF(F819&gt;0,RANK(F819,$F$2:$F$1780)+COUNTIF($F$2:F819,F819)-1,"")</f>
        <v/>
      </c>
      <c r="Z819" s="56" t="str">
        <f aca="false">IF(H819&gt;0,RANK(H819,$H$2:$H$1780)+COUNTIF($H$2:H819,H819)-1,"")</f>
        <v/>
      </c>
      <c r="AA819" s="56" t="str">
        <f aca="false">IF(AC819="","",RANK(AC819,$AC$2:$AC$1780)+COUNTIF($AC$2:AC819,AC819)-1)</f>
        <v/>
      </c>
      <c r="AB819" s="56" t="str">
        <f aca="false">IF(AD819="","",RANK(AD819,$AD$2:$AD$1780)+COUNTIF($AD$2:AD819,AD819)-1)</f>
        <v/>
      </c>
      <c r="AC819" s="56" t="str">
        <f aca="false">IF(AND(F819&gt;0,E819&gt;=Settings!$B$4),J819,"")</f>
        <v/>
      </c>
      <c r="AD819" s="56" t="str">
        <f aca="false">IF(X819="HIGH RATE",O819,"")</f>
        <v/>
      </c>
    </row>
    <row r="820" customFormat="false" ht="15" hidden="false" customHeight="false" outlineLevel="0" collapsed="false">
      <c r="A820" s="56" t="s">
        <v>2090</v>
      </c>
      <c r="B820" s="56" t="s">
        <v>1304</v>
      </c>
      <c r="C820" s="56" t="s">
        <v>51</v>
      </c>
      <c r="D820" s="56" t="str">
        <f aca="false">IFERROR(INDEX('Brand Map'!$B$4:$B$124,MATCH(C820,'Brand Map'!$A$4:$A$124,0)),"Other")</f>
        <v>AU</v>
      </c>
      <c r="E820" s="57" t="n">
        <v>1</v>
      </c>
      <c r="F820" s="57" t="n">
        <v>0</v>
      </c>
      <c r="G820" s="58" t="n">
        <v>224.95</v>
      </c>
      <c r="H820" s="58" t="n">
        <v>0</v>
      </c>
      <c r="I820" s="58" t="n">
        <v>224.95</v>
      </c>
      <c r="J820" s="32" t="n">
        <f aca="false">IF(E820&gt;0,F820/E820,0)</f>
        <v>0</v>
      </c>
      <c r="K820" s="32" t="n">
        <f aca="false">IF(G820&gt;0,H820/G820,0)</f>
        <v>-0</v>
      </c>
      <c r="L820" s="59" t="n">
        <f aca="false">H820/Settings!$B$16</f>
        <v>-0</v>
      </c>
      <c r="M820" s="59" t="n">
        <f aca="false">H820/Settings!$B$20</f>
        <v>-0</v>
      </c>
      <c r="N820" s="60" t="n">
        <f aca="false">E820*Settings!$B$3</f>
        <v>0.0309861510798204</v>
      </c>
      <c r="O820" s="60" t="n">
        <f aca="false">IF(E820&gt;0,(F820-N820)/SQRT(E820*Settings!$B$3*(1-Settings!$B$3)),0)</f>
        <v>-0.178821125934444</v>
      </c>
      <c r="P820" s="60" t="n">
        <f aca="false">MAX(0,F820-N820)</f>
        <v>0</v>
      </c>
      <c r="Q820" s="32" t="n">
        <f aca="false">(F820+Settings!$B$7*Settings!$B$3)/(E820+Settings!$B$7)</f>
        <v>0.0299865978191811</v>
      </c>
      <c r="R820" s="61" t="n">
        <f aca="false">PERCENTRANK($H$2:$H$1780,H820,6)</f>
        <v>0</v>
      </c>
      <c r="S820" s="61" t="n">
        <f aca="false">PERCENTRANK($Q$2:$Q$1780,Q820,6)</f>
        <v>0.486502</v>
      </c>
      <c r="T820" s="61" t="n">
        <f aca="false">PERCENTRANK($F$2:$F$1780,F820,6)</f>
        <v>0</v>
      </c>
      <c r="U820" s="62" t="n">
        <f aca="false">IF(F820&gt;0,(Settings!$B$8*T820+Settings!$B$9*R820+Settings!$B$10*S820)/SUM(Settings!$B$8:$B$10),0)</f>
        <v>0</v>
      </c>
      <c r="V820" s="56" t="str">
        <f aca="false">IF(U820&gt;0,RANK(U820,$U$2:$U$1780)+COUNTIF($U$2:U820,U820)-1,"")</f>
        <v/>
      </c>
      <c r="W820" s="56" t="str">
        <f aca="false">IF(V820="","",IF(V820&lt;=Settings!$B$11,"1 - Fix first",IF(V820&lt;=Settings!$B$12,"2 - Review","3 - Monitor")))</f>
        <v/>
      </c>
      <c r="X820" s="56" t="str">
        <f aca="false">IF(AND(E820&gt;=Settings!$B$4,F820&gt;=Settings!$B$5,O820&gt;=Settings!$B$6),"HIGH RATE","")</f>
        <v/>
      </c>
      <c r="Y820" s="56" t="str">
        <f aca="false">IF(F820&gt;0,RANK(F820,$F$2:$F$1780)+COUNTIF($F$2:F820,F820)-1,"")</f>
        <v/>
      </c>
      <c r="Z820" s="56" t="str">
        <f aca="false">IF(H820&gt;0,RANK(H820,$H$2:$H$1780)+COUNTIF($H$2:H820,H820)-1,"")</f>
        <v/>
      </c>
      <c r="AA820" s="56" t="str">
        <f aca="false">IF(AC820="","",RANK(AC820,$AC$2:$AC$1780)+COUNTIF($AC$2:AC820,AC820)-1)</f>
        <v/>
      </c>
      <c r="AB820" s="56" t="str">
        <f aca="false">IF(AD820="","",RANK(AD820,$AD$2:$AD$1780)+COUNTIF($AD$2:AD820,AD820)-1)</f>
        <v/>
      </c>
      <c r="AC820" s="56" t="str">
        <f aca="false">IF(AND(F820&gt;0,E820&gt;=Settings!$B$4),J820,"")</f>
        <v/>
      </c>
      <c r="AD820" s="56" t="str">
        <f aca="false">IF(X820="HIGH RATE",O820,"")</f>
        <v/>
      </c>
    </row>
    <row r="821" customFormat="false" ht="15" hidden="false" customHeight="false" outlineLevel="0" collapsed="false">
      <c r="A821" s="56" t="s">
        <v>2091</v>
      </c>
      <c r="B821" s="56" t="s">
        <v>1558</v>
      </c>
      <c r="C821" s="56" t="s">
        <v>51</v>
      </c>
      <c r="D821" s="56" t="str">
        <f aca="false">IFERROR(INDEX('Brand Map'!$B$4:$B$124,MATCH(C821,'Brand Map'!$A$4:$A$124,0)),"Other")</f>
        <v>AU</v>
      </c>
      <c r="E821" s="57" t="n">
        <v>2</v>
      </c>
      <c r="F821" s="57" t="n">
        <v>0</v>
      </c>
      <c r="G821" s="58" t="n">
        <v>99.9</v>
      </c>
      <c r="H821" s="58" t="n">
        <v>0</v>
      </c>
      <c r="I821" s="58" t="n">
        <v>99.9</v>
      </c>
      <c r="J821" s="32" t="n">
        <f aca="false">IF(E821&gt;0,F821/E821,0)</f>
        <v>0</v>
      </c>
      <c r="K821" s="32" t="n">
        <f aca="false">IF(G821&gt;0,H821/G821,0)</f>
        <v>-0</v>
      </c>
      <c r="L821" s="59" t="n">
        <f aca="false">H821/Settings!$B$16</f>
        <v>-0</v>
      </c>
      <c r="M821" s="59" t="n">
        <f aca="false">H821/Settings!$B$20</f>
        <v>-0</v>
      </c>
      <c r="N821" s="60" t="n">
        <f aca="false">E821*Settings!$B$3</f>
        <v>0.0619723021596408</v>
      </c>
      <c r="O821" s="60" t="n">
        <f aca="false">IF(E821&gt;0,(F821-N821)/SQRT(E821*Settings!$B$3*(1-Settings!$B$3)),0)</f>
        <v>-0.252891261535318</v>
      </c>
      <c r="P821" s="60" t="n">
        <f aca="false">MAX(0,F821-N821)</f>
        <v>0</v>
      </c>
      <c r="Q821" s="32" t="n">
        <f aca="false">(F821+Settings!$B$7*Settings!$B$3)/(E821+Settings!$B$7)</f>
        <v>0.0290495166373316</v>
      </c>
      <c r="R821" s="61" t="n">
        <f aca="false">PERCENTRANK($H$2:$H$1780,H821,6)</f>
        <v>0</v>
      </c>
      <c r="S821" s="61" t="n">
        <f aca="false">PERCENTRANK($Q$2:$Q$1780,Q821,6)</f>
        <v>0.365579</v>
      </c>
      <c r="T821" s="61" t="n">
        <f aca="false">PERCENTRANK($F$2:$F$1780,F821,6)</f>
        <v>0</v>
      </c>
      <c r="U821" s="62" t="n">
        <f aca="false">IF(F821&gt;0,(Settings!$B$8*T821+Settings!$B$9*R821+Settings!$B$10*S821)/SUM(Settings!$B$8:$B$10),0)</f>
        <v>0</v>
      </c>
      <c r="V821" s="56" t="str">
        <f aca="false">IF(U821&gt;0,RANK(U821,$U$2:$U$1780)+COUNTIF($U$2:U821,U821)-1,"")</f>
        <v/>
      </c>
      <c r="W821" s="56" t="str">
        <f aca="false">IF(V821="","",IF(V821&lt;=Settings!$B$11,"1 - Fix first",IF(V821&lt;=Settings!$B$12,"2 - Review","3 - Monitor")))</f>
        <v/>
      </c>
      <c r="X821" s="56" t="str">
        <f aca="false">IF(AND(E821&gt;=Settings!$B$4,F821&gt;=Settings!$B$5,O821&gt;=Settings!$B$6),"HIGH RATE","")</f>
        <v/>
      </c>
      <c r="Y821" s="56" t="str">
        <f aca="false">IF(F821&gt;0,RANK(F821,$F$2:$F$1780)+COUNTIF($F$2:F821,F821)-1,"")</f>
        <v/>
      </c>
      <c r="Z821" s="56" t="str">
        <f aca="false">IF(H821&gt;0,RANK(H821,$H$2:$H$1780)+COUNTIF($H$2:H821,H821)-1,"")</f>
        <v/>
      </c>
      <c r="AA821" s="56" t="str">
        <f aca="false">IF(AC821="","",RANK(AC821,$AC$2:$AC$1780)+COUNTIF($AC$2:AC821,AC821)-1)</f>
        <v/>
      </c>
      <c r="AB821" s="56" t="str">
        <f aca="false">IF(AD821="","",RANK(AD821,$AD$2:$AD$1780)+COUNTIF($AD$2:AD821,AD821)-1)</f>
        <v/>
      </c>
      <c r="AC821" s="56" t="str">
        <f aca="false">IF(AND(F821&gt;0,E821&gt;=Settings!$B$4),J821,"")</f>
        <v/>
      </c>
      <c r="AD821" s="56" t="str">
        <f aca="false">IF(X821="HIGH RATE",O821,"")</f>
        <v/>
      </c>
    </row>
    <row r="822" customFormat="false" ht="15" hidden="false" customHeight="false" outlineLevel="0" collapsed="false">
      <c r="A822" s="56" t="s">
        <v>2092</v>
      </c>
      <c r="B822" s="56" t="s">
        <v>1556</v>
      </c>
      <c r="C822" s="56" t="s">
        <v>51</v>
      </c>
      <c r="D822" s="56" t="str">
        <f aca="false">IFERROR(INDEX('Brand Map'!$B$4:$B$124,MATCH(C822,'Brand Map'!$A$4:$A$124,0)),"Other")</f>
        <v>AU</v>
      </c>
      <c r="E822" s="57" t="n">
        <v>1</v>
      </c>
      <c r="F822" s="57" t="n">
        <v>0</v>
      </c>
      <c r="G822" s="58" t="n">
        <v>129.95</v>
      </c>
      <c r="H822" s="58" t="n">
        <v>0</v>
      </c>
      <c r="I822" s="58" t="n">
        <v>129.95</v>
      </c>
      <c r="J822" s="32" t="n">
        <f aca="false">IF(E822&gt;0,F822/E822,0)</f>
        <v>0</v>
      </c>
      <c r="K822" s="32" t="n">
        <f aca="false">IF(G822&gt;0,H822/G822,0)</f>
        <v>-0</v>
      </c>
      <c r="L822" s="59" t="n">
        <f aca="false">H822/Settings!$B$16</f>
        <v>-0</v>
      </c>
      <c r="M822" s="59" t="n">
        <f aca="false">H822/Settings!$B$20</f>
        <v>-0</v>
      </c>
      <c r="N822" s="60" t="n">
        <f aca="false">E822*Settings!$B$3</f>
        <v>0.0309861510798204</v>
      </c>
      <c r="O822" s="60" t="n">
        <f aca="false">IF(E822&gt;0,(F822-N822)/SQRT(E822*Settings!$B$3*(1-Settings!$B$3)),0)</f>
        <v>-0.178821125934444</v>
      </c>
      <c r="P822" s="60" t="n">
        <f aca="false">MAX(0,F822-N822)</f>
        <v>0</v>
      </c>
      <c r="Q822" s="32" t="n">
        <f aca="false">(F822+Settings!$B$7*Settings!$B$3)/(E822+Settings!$B$7)</f>
        <v>0.0299865978191811</v>
      </c>
      <c r="R822" s="61" t="n">
        <f aca="false">PERCENTRANK($H$2:$H$1780,H822,6)</f>
        <v>0</v>
      </c>
      <c r="S822" s="61" t="n">
        <f aca="false">PERCENTRANK($Q$2:$Q$1780,Q822,6)</f>
        <v>0.486502</v>
      </c>
      <c r="T822" s="61" t="n">
        <f aca="false">PERCENTRANK($F$2:$F$1780,F822,6)</f>
        <v>0</v>
      </c>
      <c r="U822" s="62" t="n">
        <f aca="false">IF(F822&gt;0,(Settings!$B$8*T822+Settings!$B$9*R822+Settings!$B$10*S822)/SUM(Settings!$B$8:$B$10),0)</f>
        <v>0</v>
      </c>
      <c r="V822" s="56" t="str">
        <f aca="false">IF(U822&gt;0,RANK(U822,$U$2:$U$1780)+COUNTIF($U$2:U822,U822)-1,"")</f>
        <v/>
      </c>
      <c r="W822" s="56" t="str">
        <f aca="false">IF(V822="","",IF(V822&lt;=Settings!$B$11,"1 - Fix first",IF(V822&lt;=Settings!$B$12,"2 - Review","3 - Monitor")))</f>
        <v/>
      </c>
      <c r="X822" s="56" t="str">
        <f aca="false">IF(AND(E822&gt;=Settings!$B$4,F822&gt;=Settings!$B$5,O822&gt;=Settings!$B$6),"HIGH RATE","")</f>
        <v/>
      </c>
      <c r="Y822" s="56" t="str">
        <f aca="false">IF(F822&gt;0,RANK(F822,$F$2:$F$1780)+COUNTIF($F$2:F822,F822)-1,"")</f>
        <v/>
      </c>
      <c r="Z822" s="56" t="str">
        <f aca="false">IF(H822&gt;0,RANK(H822,$H$2:$H$1780)+COUNTIF($H$2:H822,H822)-1,"")</f>
        <v/>
      </c>
      <c r="AA822" s="56" t="str">
        <f aca="false">IF(AC822="","",RANK(AC822,$AC$2:$AC$1780)+COUNTIF($AC$2:AC822,AC822)-1)</f>
        <v/>
      </c>
      <c r="AB822" s="56" t="str">
        <f aca="false">IF(AD822="","",RANK(AD822,$AD$2:$AD$1780)+COUNTIF($AD$2:AD822,AD822)-1)</f>
        <v/>
      </c>
      <c r="AC822" s="56" t="str">
        <f aca="false">IF(AND(F822&gt;0,E822&gt;=Settings!$B$4),J822,"")</f>
        <v/>
      </c>
      <c r="AD822" s="56" t="str">
        <f aca="false">IF(X822="HIGH RATE",O822,"")</f>
        <v/>
      </c>
    </row>
    <row r="823" customFormat="false" ht="15" hidden="false" customHeight="false" outlineLevel="0" collapsed="false">
      <c r="A823" s="56" t="s">
        <v>2093</v>
      </c>
      <c r="B823" s="56" t="s">
        <v>1556</v>
      </c>
      <c r="C823" s="56" t="s">
        <v>51</v>
      </c>
      <c r="D823" s="56" t="str">
        <f aca="false">IFERROR(INDEX('Brand Map'!$B$4:$B$124,MATCH(C823,'Brand Map'!$A$4:$A$124,0)),"Other")</f>
        <v>AU</v>
      </c>
      <c r="E823" s="57" t="n">
        <v>2</v>
      </c>
      <c r="F823" s="57" t="n">
        <v>0</v>
      </c>
      <c r="G823" s="58" t="n">
        <v>309.9</v>
      </c>
      <c r="H823" s="58" t="n">
        <v>0</v>
      </c>
      <c r="I823" s="58" t="n">
        <v>309.9</v>
      </c>
      <c r="J823" s="32" t="n">
        <f aca="false">IF(E823&gt;0,F823/E823,0)</f>
        <v>0</v>
      </c>
      <c r="K823" s="32" t="n">
        <f aca="false">IF(G823&gt;0,H823/G823,0)</f>
        <v>-0</v>
      </c>
      <c r="L823" s="59" t="n">
        <f aca="false">H823/Settings!$B$16</f>
        <v>-0</v>
      </c>
      <c r="M823" s="59" t="n">
        <f aca="false">H823/Settings!$B$20</f>
        <v>-0</v>
      </c>
      <c r="N823" s="60" t="n">
        <f aca="false">E823*Settings!$B$3</f>
        <v>0.0619723021596408</v>
      </c>
      <c r="O823" s="60" t="n">
        <f aca="false">IF(E823&gt;0,(F823-N823)/SQRT(E823*Settings!$B$3*(1-Settings!$B$3)),0)</f>
        <v>-0.252891261535318</v>
      </c>
      <c r="P823" s="60" t="n">
        <f aca="false">MAX(0,F823-N823)</f>
        <v>0</v>
      </c>
      <c r="Q823" s="32" t="n">
        <f aca="false">(F823+Settings!$B$7*Settings!$B$3)/(E823+Settings!$B$7)</f>
        <v>0.0290495166373316</v>
      </c>
      <c r="R823" s="61" t="n">
        <f aca="false">PERCENTRANK($H$2:$H$1780,H823,6)</f>
        <v>0</v>
      </c>
      <c r="S823" s="61" t="n">
        <f aca="false">PERCENTRANK($Q$2:$Q$1780,Q823,6)</f>
        <v>0.365579</v>
      </c>
      <c r="T823" s="61" t="n">
        <f aca="false">PERCENTRANK($F$2:$F$1780,F823,6)</f>
        <v>0</v>
      </c>
      <c r="U823" s="62" t="n">
        <f aca="false">IF(F823&gt;0,(Settings!$B$8*T823+Settings!$B$9*R823+Settings!$B$10*S823)/SUM(Settings!$B$8:$B$10),0)</f>
        <v>0</v>
      </c>
      <c r="V823" s="56" t="str">
        <f aca="false">IF(U823&gt;0,RANK(U823,$U$2:$U$1780)+COUNTIF($U$2:U823,U823)-1,"")</f>
        <v/>
      </c>
      <c r="W823" s="56" t="str">
        <f aca="false">IF(V823="","",IF(V823&lt;=Settings!$B$11,"1 - Fix first",IF(V823&lt;=Settings!$B$12,"2 - Review","3 - Monitor")))</f>
        <v/>
      </c>
      <c r="X823" s="56" t="str">
        <f aca="false">IF(AND(E823&gt;=Settings!$B$4,F823&gt;=Settings!$B$5,O823&gt;=Settings!$B$6),"HIGH RATE","")</f>
        <v/>
      </c>
      <c r="Y823" s="56" t="str">
        <f aca="false">IF(F823&gt;0,RANK(F823,$F$2:$F$1780)+COUNTIF($F$2:F823,F823)-1,"")</f>
        <v/>
      </c>
      <c r="Z823" s="56" t="str">
        <f aca="false">IF(H823&gt;0,RANK(H823,$H$2:$H$1780)+COUNTIF($H$2:H823,H823)-1,"")</f>
        <v/>
      </c>
      <c r="AA823" s="56" t="str">
        <f aca="false">IF(AC823="","",RANK(AC823,$AC$2:$AC$1780)+COUNTIF($AC$2:AC823,AC823)-1)</f>
        <v/>
      </c>
      <c r="AB823" s="56" t="str">
        <f aca="false">IF(AD823="","",RANK(AD823,$AD$2:$AD$1780)+COUNTIF($AD$2:AD823,AD823)-1)</f>
        <v/>
      </c>
      <c r="AC823" s="56" t="str">
        <f aca="false">IF(AND(F823&gt;0,E823&gt;=Settings!$B$4),J823,"")</f>
        <v/>
      </c>
      <c r="AD823" s="56" t="str">
        <f aca="false">IF(X823="HIGH RATE",O823,"")</f>
        <v/>
      </c>
    </row>
    <row r="824" customFormat="false" ht="15" hidden="false" customHeight="false" outlineLevel="0" collapsed="false">
      <c r="A824" s="56" t="s">
        <v>2094</v>
      </c>
      <c r="B824" s="56" t="s">
        <v>2095</v>
      </c>
      <c r="C824" s="56" t="s">
        <v>51</v>
      </c>
      <c r="D824" s="56" t="str">
        <f aca="false">IFERROR(INDEX('Brand Map'!$B$4:$B$124,MATCH(C824,'Brand Map'!$A$4:$A$124,0)),"Other")</f>
        <v>AU</v>
      </c>
      <c r="E824" s="57" t="n">
        <v>9</v>
      </c>
      <c r="F824" s="57" t="n">
        <v>0</v>
      </c>
      <c r="G824" s="58" t="n">
        <v>781.41</v>
      </c>
      <c r="H824" s="58" t="n">
        <v>0</v>
      </c>
      <c r="I824" s="58" t="n">
        <v>769.83</v>
      </c>
      <c r="J824" s="32" t="n">
        <f aca="false">IF(E824&gt;0,F824/E824,0)</f>
        <v>0</v>
      </c>
      <c r="K824" s="32" t="n">
        <f aca="false">IF(G824&gt;0,H824/G824,0)</f>
        <v>-0</v>
      </c>
      <c r="L824" s="59" t="n">
        <f aca="false">H824/Settings!$B$16</f>
        <v>-0</v>
      </c>
      <c r="M824" s="59" t="n">
        <f aca="false">H824/Settings!$B$20</f>
        <v>-0</v>
      </c>
      <c r="N824" s="60" t="n">
        <f aca="false">E824*Settings!$B$3</f>
        <v>0.278875359718384</v>
      </c>
      <c r="O824" s="60" t="n">
        <f aca="false">IF(E824&gt;0,(F824-N824)/SQRT(E824*Settings!$B$3*(1-Settings!$B$3)),0)</f>
        <v>-0.536463377803332</v>
      </c>
      <c r="P824" s="60" t="n">
        <f aca="false">MAX(0,F824-N824)</f>
        <v>0</v>
      </c>
      <c r="Q824" s="32" t="n">
        <f aca="false">(F824+Settings!$B$7*Settings!$B$3)/(E824+Settings!$B$7)</f>
        <v>0.0238355008306311</v>
      </c>
      <c r="R824" s="61" t="n">
        <f aca="false">PERCENTRANK($H$2:$H$1780,H824,6)</f>
        <v>0</v>
      </c>
      <c r="S824" s="61" t="n">
        <f aca="false">PERCENTRANK($Q$2:$Q$1780,Q824,6)</f>
        <v>0.142857</v>
      </c>
      <c r="T824" s="61" t="n">
        <f aca="false">PERCENTRANK($F$2:$F$1780,F824,6)</f>
        <v>0</v>
      </c>
      <c r="U824" s="62" t="n">
        <f aca="false">IF(F824&gt;0,(Settings!$B$8*T824+Settings!$B$9*R824+Settings!$B$10*S824)/SUM(Settings!$B$8:$B$10),0)</f>
        <v>0</v>
      </c>
      <c r="V824" s="56" t="str">
        <f aca="false">IF(U824&gt;0,RANK(U824,$U$2:$U$1780)+COUNTIF($U$2:U824,U824)-1,"")</f>
        <v/>
      </c>
      <c r="W824" s="56" t="str">
        <f aca="false">IF(V824="","",IF(V824&lt;=Settings!$B$11,"1 - Fix first",IF(V824&lt;=Settings!$B$12,"2 - Review","3 - Monitor")))</f>
        <v/>
      </c>
      <c r="X824" s="56" t="str">
        <f aca="false">IF(AND(E824&gt;=Settings!$B$4,F824&gt;=Settings!$B$5,O824&gt;=Settings!$B$6),"HIGH RATE","")</f>
        <v/>
      </c>
      <c r="Y824" s="56" t="str">
        <f aca="false">IF(F824&gt;0,RANK(F824,$F$2:$F$1780)+COUNTIF($F$2:F824,F824)-1,"")</f>
        <v/>
      </c>
      <c r="Z824" s="56" t="str">
        <f aca="false">IF(H824&gt;0,RANK(H824,$H$2:$H$1780)+COUNTIF($H$2:H824,H824)-1,"")</f>
        <v/>
      </c>
      <c r="AA824" s="56" t="str">
        <f aca="false">IF(AC824="","",RANK(AC824,$AC$2:$AC$1780)+COUNTIF($AC$2:AC824,AC824)-1)</f>
        <v/>
      </c>
      <c r="AB824" s="56" t="str">
        <f aca="false">IF(AD824="","",RANK(AD824,$AD$2:$AD$1780)+COUNTIF($AD$2:AD824,AD824)-1)</f>
        <v/>
      </c>
      <c r="AC824" s="56" t="str">
        <f aca="false">IF(AND(F824&gt;0,E824&gt;=Settings!$B$4),J824,"")</f>
        <v/>
      </c>
      <c r="AD824" s="56" t="str">
        <f aca="false">IF(X824="HIGH RATE",O824,"")</f>
        <v/>
      </c>
    </row>
    <row r="825" customFormat="false" ht="15" hidden="false" customHeight="false" outlineLevel="0" collapsed="false">
      <c r="A825" s="56" t="s">
        <v>2096</v>
      </c>
      <c r="B825" s="56" t="s">
        <v>1054</v>
      </c>
      <c r="C825" s="56" t="s">
        <v>51</v>
      </c>
      <c r="D825" s="56" t="str">
        <f aca="false">IFERROR(INDEX('Brand Map'!$B$4:$B$124,MATCH(C825,'Brand Map'!$A$4:$A$124,0)),"Other")</f>
        <v>AU</v>
      </c>
      <c r="E825" s="57" t="n">
        <v>1</v>
      </c>
      <c r="F825" s="57" t="n">
        <v>0</v>
      </c>
      <c r="G825" s="58" t="n">
        <v>109.95</v>
      </c>
      <c r="H825" s="58" t="n">
        <v>0</v>
      </c>
      <c r="I825" s="58" t="n">
        <v>109.95</v>
      </c>
      <c r="J825" s="32" t="n">
        <f aca="false">IF(E825&gt;0,F825/E825,0)</f>
        <v>0</v>
      </c>
      <c r="K825" s="32" t="n">
        <f aca="false">IF(G825&gt;0,H825/G825,0)</f>
        <v>-0</v>
      </c>
      <c r="L825" s="59" t="n">
        <f aca="false">H825/Settings!$B$16</f>
        <v>-0</v>
      </c>
      <c r="M825" s="59" t="n">
        <f aca="false">H825/Settings!$B$20</f>
        <v>-0</v>
      </c>
      <c r="N825" s="60" t="n">
        <f aca="false">E825*Settings!$B$3</f>
        <v>0.0309861510798204</v>
      </c>
      <c r="O825" s="60" t="n">
        <f aca="false">IF(E825&gt;0,(F825-N825)/SQRT(E825*Settings!$B$3*(1-Settings!$B$3)),0)</f>
        <v>-0.178821125934444</v>
      </c>
      <c r="P825" s="60" t="n">
        <f aca="false">MAX(0,F825-N825)</f>
        <v>0</v>
      </c>
      <c r="Q825" s="32" t="n">
        <f aca="false">(F825+Settings!$B$7*Settings!$B$3)/(E825+Settings!$B$7)</f>
        <v>0.0299865978191811</v>
      </c>
      <c r="R825" s="61" t="n">
        <f aca="false">PERCENTRANK($H$2:$H$1780,H825,6)</f>
        <v>0</v>
      </c>
      <c r="S825" s="61" t="n">
        <f aca="false">PERCENTRANK($Q$2:$Q$1780,Q825,6)</f>
        <v>0.486502</v>
      </c>
      <c r="T825" s="61" t="n">
        <f aca="false">PERCENTRANK($F$2:$F$1780,F825,6)</f>
        <v>0</v>
      </c>
      <c r="U825" s="62" t="n">
        <f aca="false">IF(F825&gt;0,(Settings!$B$8*T825+Settings!$B$9*R825+Settings!$B$10*S825)/SUM(Settings!$B$8:$B$10),0)</f>
        <v>0</v>
      </c>
      <c r="V825" s="56" t="str">
        <f aca="false">IF(U825&gt;0,RANK(U825,$U$2:$U$1780)+COUNTIF($U$2:U825,U825)-1,"")</f>
        <v/>
      </c>
      <c r="W825" s="56" t="str">
        <f aca="false">IF(V825="","",IF(V825&lt;=Settings!$B$11,"1 - Fix first",IF(V825&lt;=Settings!$B$12,"2 - Review","3 - Monitor")))</f>
        <v/>
      </c>
      <c r="X825" s="56" t="str">
        <f aca="false">IF(AND(E825&gt;=Settings!$B$4,F825&gt;=Settings!$B$5,O825&gt;=Settings!$B$6),"HIGH RATE","")</f>
        <v/>
      </c>
      <c r="Y825" s="56" t="str">
        <f aca="false">IF(F825&gt;0,RANK(F825,$F$2:$F$1780)+COUNTIF($F$2:F825,F825)-1,"")</f>
        <v/>
      </c>
      <c r="Z825" s="56" t="str">
        <f aca="false">IF(H825&gt;0,RANK(H825,$H$2:$H$1780)+COUNTIF($H$2:H825,H825)-1,"")</f>
        <v/>
      </c>
      <c r="AA825" s="56" t="str">
        <f aca="false">IF(AC825="","",RANK(AC825,$AC$2:$AC$1780)+COUNTIF($AC$2:AC825,AC825)-1)</f>
        <v/>
      </c>
      <c r="AB825" s="56" t="str">
        <f aca="false">IF(AD825="","",RANK(AD825,$AD$2:$AD$1780)+COUNTIF($AD$2:AD825,AD825)-1)</f>
        <v/>
      </c>
      <c r="AC825" s="56" t="str">
        <f aca="false">IF(AND(F825&gt;0,E825&gt;=Settings!$B$4),J825,"")</f>
        <v/>
      </c>
      <c r="AD825" s="56" t="str">
        <f aca="false">IF(X825="HIGH RATE",O825,"")</f>
        <v/>
      </c>
    </row>
    <row r="826" customFormat="false" ht="15" hidden="false" customHeight="false" outlineLevel="0" collapsed="false">
      <c r="A826" s="56" t="s">
        <v>2097</v>
      </c>
      <c r="B826" s="56" t="s">
        <v>2098</v>
      </c>
      <c r="C826" s="56" t="s">
        <v>51</v>
      </c>
      <c r="D826" s="56" t="str">
        <f aca="false">IFERROR(INDEX('Brand Map'!$B$4:$B$124,MATCH(C826,'Brand Map'!$A$4:$A$124,0)),"Other")</f>
        <v>AU</v>
      </c>
      <c r="E826" s="57" t="n">
        <v>43</v>
      </c>
      <c r="F826" s="57" t="n">
        <v>0</v>
      </c>
      <c r="G826" s="58" t="n">
        <v>6869.76</v>
      </c>
      <c r="H826" s="58" t="n">
        <v>0</v>
      </c>
      <c r="I826" s="58" t="n">
        <v>6708.04</v>
      </c>
      <c r="J826" s="32" t="n">
        <f aca="false">IF(E826&gt;0,F826/E826,0)</f>
        <v>0</v>
      </c>
      <c r="K826" s="32" t="n">
        <f aca="false">IF(G826&gt;0,H826/G826,0)</f>
        <v>-0</v>
      </c>
      <c r="L826" s="59" t="n">
        <f aca="false">H826/Settings!$B$16</f>
        <v>-0</v>
      </c>
      <c r="M826" s="59" t="n">
        <f aca="false">H826/Settings!$B$20</f>
        <v>-0</v>
      </c>
      <c r="N826" s="60" t="n">
        <f aca="false">E826*Settings!$B$3</f>
        <v>1.33240449643228</v>
      </c>
      <c r="O826" s="60" t="n">
        <f aca="false">IF(E826&gt;0,(F826-N826)/SQRT(E826*Settings!$B$3*(1-Settings!$B$3)),0)</f>
        <v>-1.17260854016158</v>
      </c>
      <c r="P826" s="60" t="n">
        <f aca="false">MAX(0,F826-N826)</f>
        <v>0</v>
      </c>
      <c r="Q826" s="32" t="n">
        <f aca="false">(F826+Settings!$B$7*Settings!$B$3)/(E826+Settings!$B$7)</f>
        <v>0.0127340346903372</v>
      </c>
      <c r="R826" s="61" t="n">
        <f aca="false">PERCENTRANK($H$2:$H$1780,H826,6)</f>
        <v>0</v>
      </c>
      <c r="S826" s="61" t="n">
        <f aca="false">PERCENTRANK($Q$2:$Q$1780,Q826,6)</f>
        <v>0.0264342</v>
      </c>
      <c r="T826" s="61" t="n">
        <f aca="false">PERCENTRANK($F$2:$F$1780,F826,6)</f>
        <v>0</v>
      </c>
      <c r="U826" s="62" t="n">
        <f aca="false">IF(F826&gt;0,(Settings!$B$8*T826+Settings!$B$9*R826+Settings!$B$10*S826)/SUM(Settings!$B$8:$B$10),0)</f>
        <v>0</v>
      </c>
      <c r="V826" s="56" t="str">
        <f aca="false">IF(U826&gt;0,RANK(U826,$U$2:$U$1780)+COUNTIF($U$2:U826,U826)-1,"")</f>
        <v/>
      </c>
      <c r="W826" s="56" t="str">
        <f aca="false">IF(V826="","",IF(V826&lt;=Settings!$B$11,"1 - Fix first",IF(V826&lt;=Settings!$B$12,"2 - Review","3 - Monitor")))</f>
        <v/>
      </c>
      <c r="X826" s="56" t="str">
        <f aca="false">IF(AND(E826&gt;=Settings!$B$4,F826&gt;=Settings!$B$5,O826&gt;=Settings!$B$6),"HIGH RATE","")</f>
        <v/>
      </c>
      <c r="Y826" s="56" t="str">
        <f aca="false">IF(F826&gt;0,RANK(F826,$F$2:$F$1780)+COUNTIF($F$2:F826,F826)-1,"")</f>
        <v/>
      </c>
      <c r="Z826" s="56" t="str">
        <f aca="false">IF(H826&gt;0,RANK(H826,$H$2:$H$1780)+COUNTIF($H$2:H826,H826)-1,"")</f>
        <v/>
      </c>
      <c r="AA826" s="56" t="str">
        <f aca="false">IF(AC826="","",RANK(AC826,$AC$2:$AC$1780)+COUNTIF($AC$2:AC826,AC826)-1)</f>
        <v/>
      </c>
      <c r="AB826" s="56" t="str">
        <f aca="false">IF(AD826="","",RANK(AD826,$AD$2:$AD$1780)+COUNTIF($AD$2:AD826,AD826)-1)</f>
        <v/>
      </c>
      <c r="AC826" s="56" t="str">
        <f aca="false">IF(AND(F826&gt;0,E826&gt;=Settings!$B$4),J826,"")</f>
        <v/>
      </c>
      <c r="AD826" s="56" t="str">
        <f aca="false">IF(X826="HIGH RATE",O826,"")</f>
        <v/>
      </c>
    </row>
    <row r="827" customFormat="false" ht="15" hidden="false" customHeight="false" outlineLevel="0" collapsed="false">
      <c r="A827" s="56" t="s">
        <v>2099</v>
      </c>
      <c r="B827" s="56" t="s">
        <v>2100</v>
      </c>
      <c r="C827" s="56" t="s">
        <v>51</v>
      </c>
      <c r="D827" s="56" t="str">
        <f aca="false">IFERROR(INDEX('Brand Map'!$B$4:$B$124,MATCH(C827,'Brand Map'!$A$4:$A$124,0)),"Other")</f>
        <v>AU</v>
      </c>
      <c r="E827" s="57" t="n">
        <v>34</v>
      </c>
      <c r="F827" s="57" t="n">
        <v>0</v>
      </c>
      <c r="G827" s="58" t="n">
        <v>3852.06</v>
      </c>
      <c r="H827" s="58" t="n">
        <v>0</v>
      </c>
      <c r="I827" s="58" t="n">
        <v>3820.05</v>
      </c>
      <c r="J827" s="32" t="n">
        <f aca="false">IF(E827&gt;0,F827/E827,0)</f>
        <v>0</v>
      </c>
      <c r="K827" s="32" t="n">
        <f aca="false">IF(G827&gt;0,H827/G827,0)</f>
        <v>-0</v>
      </c>
      <c r="L827" s="59" t="n">
        <f aca="false">H827/Settings!$B$16</f>
        <v>-0</v>
      </c>
      <c r="M827" s="59" t="n">
        <f aca="false">H827/Settings!$B$20</f>
        <v>-0</v>
      </c>
      <c r="N827" s="60" t="n">
        <f aca="false">E827*Settings!$B$3</f>
        <v>1.05352913671389</v>
      </c>
      <c r="O827" s="60" t="n">
        <f aca="false">IF(E827&gt;0,(F827-N827)/SQRT(E827*Settings!$B$3*(1-Settings!$B$3)),0)</f>
        <v>-1.04269738310582</v>
      </c>
      <c r="P827" s="60" t="n">
        <f aca="false">MAX(0,F827-N827)</f>
        <v>0</v>
      </c>
      <c r="Q827" s="32" t="n">
        <f aca="false">(F827+Settings!$B$7*Settings!$B$3)/(E827+Settings!$B$7)</f>
        <v>0.0145247583186658</v>
      </c>
      <c r="R827" s="61" t="n">
        <f aca="false">PERCENTRANK($H$2:$H$1780,H827,6)</f>
        <v>0</v>
      </c>
      <c r="S827" s="61" t="n">
        <f aca="false">PERCENTRANK($Q$2:$Q$1780,Q827,6)</f>
        <v>0.0371204</v>
      </c>
      <c r="T827" s="61" t="n">
        <f aca="false">PERCENTRANK($F$2:$F$1780,F827,6)</f>
        <v>0</v>
      </c>
      <c r="U827" s="62" t="n">
        <f aca="false">IF(F827&gt;0,(Settings!$B$8*T827+Settings!$B$9*R827+Settings!$B$10*S827)/SUM(Settings!$B$8:$B$10),0)</f>
        <v>0</v>
      </c>
      <c r="V827" s="56" t="str">
        <f aca="false">IF(U827&gt;0,RANK(U827,$U$2:$U$1780)+COUNTIF($U$2:U827,U827)-1,"")</f>
        <v/>
      </c>
      <c r="W827" s="56" t="str">
        <f aca="false">IF(V827="","",IF(V827&lt;=Settings!$B$11,"1 - Fix first",IF(V827&lt;=Settings!$B$12,"2 - Review","3 - Monitor")))</f>
        <v/>
      </c>
      <c r="X827" s="56" t="str">
        <f aca="false">IF(AND(E827&gt;=Settings!$B$4,F827&gt;=Settings!$B$5,O827&gt;=Settings!$B$6),"HIGH RATE","")</f>
        <v/>
      </c>
      <c r="Y827" s="56" t="str">
        <f aca="false">IF(F827&gt;0,RANK(F827,$F$2:$F$1780)+COUNTIF($F$2:F827,F827)-1,"")</f>
        <v/>
      </c>
      <c r="Z827" s="56" t="str">
        <f aca="false">IF(H827&gt;0,RANK(H827,$H$2:$H$1780)+COUNTIF($H$2:H827,H827)-1,"")</f>
        <v/>
      </c>
      <c r="AA827" s="56" t="str">
        <f aca="false">IF(AC827="","",RANK(AC827,$AC$2:$AC$1780)+COUNTIF($AC$2:AC827,AC827)-1)</f>
        <v/>
      </c>
      <c r="AB827" s="56" t="str">
        <f aca="false">IF(AD827="","",RANK(AD827,$AD$2:$AD$1780)+COUNTIF($AD$2:AD827,AD827)-1)</f>
        <v/>
      </c>
      <c r="AC827" s="56" t="str">
        <f aca="false">IF(AND(F827&gt;0,E827&gt;=Settings!$B$4),J827,"")</f>
        <v/>
      </c>
      <c r="AD827" s="56" t="str">
        <f aca="false">IF(X827="HIGH RATE",O827,"")</f>
        <v/>
      </c>
    </row>
    <row r="828" customFormat="false" ht="15" hidden="false" customHeight="false" outlineLevel="0" collapsed="false">
      <c r="A828" s="56" t="s">
        <v>2101</v>
      </c>
      <c r="B828" s="56" t="s">
        <v>2100</v>
      </c>
      <c r="C828" s="56" t="s">
        <v>51</v>
      </c>
      <c r="D828" s="56" t="str">
        <f aca="false">IFERROR(INDEX('Brand Map'!$B$4:$B$124,MATCH(C828,'Brand Map'!$A$4:$A$124,0)),"Other")</f>
        <v>AU</v>
      </c>
      <c r="E828" s="57" t="n">
        <v>2</v>
      </c>
      <c r="F828" s="57" t="n">
        <v>0</v>
      </c>
      <c r="G828" s="58" t="n">
        <v>259.9</v>
      </c>
      <c r="H828" s="58" t="n">
        <v>0</v>
      </c>
      <c r="I828" s="58" t="n">
        <v>259.9</v>
      </c>
      <c r="J828" s="32" t="n">
        <f aca="false">IF(E828&gt;0,F828/E828,0)</f>
        <v>0</v>
      </c>
      <c r="K828" s="32" t="n">
        <f aca="false">IF(G828&gt;0,H828/G828,0)</f>
        <v>-0</v>
      </c>
      <c r="L828" s="59" t="n">
        <f aca="false">H828/Settings!$B$16</f>
        <v>-0</v>
      </c>
      <c r="M828" s="59" t="n">
        <f aca="false">H828/Settings!$B$20</f>
        <v>-0</v>
      </c>
      <c r="N828" s="60" t="n">
        <f aca="false">E828*Settings!$B$3</f>
        <v>0.0619723021596408</v>
      </c>
      <c r="O828" s="60" t="n">
        <f aca="false">IF(E828&gt;0,(F828-N828)/SQRT(E828*Settings!$B$3*(1-Settings!$B$3)),0)</f>
        <v>-0.252891261535318</v>
      </c>
      <c r="P828" s="60" t="n">
        <f aca="false">MAX(0,F828-N828)</f>
        <v>0</v>
      </c>
      <c r="Q828" s="32" t="n">
        <f aca="false">(F828+Settings!$B$7*Settings!$B$3)/(E828+Settings!$B$7)</f>
        <v>0.0290495166373316</v>
      </c>
      <c r="R828" s="61" t="n">
        <f aca="false">PERCENTRANK($H$2:$H$1780,H828,6)</f>
        <v>0</v>
      </c>
      <c r="S828" s="61" t="n">
        <f aca="false">PERCENTRANK($Q$2:$Q$1780,Q828,6)</f>
        <v>0.365579</v>
      </c>
      <c r="T828" s="61" t="n">
        <f aca="false">PERCENTRANK($F$2:$F$1780,F828,6)</f>
        <v>0</v>
      </c>
      <c r="U828" s="62" t="n">
        <f aca="false">IF(F828&gt;0,(Settings!$B$8*T828+Settings!$B$9*R828+Settings!$B$10*S828)/SUM(Settings!$B$8:$B$10),0)</f>
        <v>0</v>
      </c>
      <c r="V828" s="56" t="str">
        <f aca="false">IF(U828&gt;0,RANK(U828,$U$2:$U$1780)+COUNTIF($U$2:U828,U828)-1,"")</f>
        <v/>
      </c>
      <c r="W828" s="56" t="str">
        <f aca="false">IF(V828="","",IF(V828&lt;=Settings!$B$11,"1 - Fix first",IF(V828&lt;=Settings!$B$12,"2 - Review","3 - Monitor")))</f>
        <v/>
      </c>
      <c r="X828" s="56" t="str">
        <f aca="false">IF(AND(E828&gt;=Settings!$B$4,F828&gt;=Settings!$B$5,O828&gt;=Settings!$B$6),"HIGH RATE","")</f>
        <v/>
      </c>
      <c r="Y828" s="56" t="str">
        <f aca="false">IF(F828&gt;0,RANK(F828,$F$2:$F$1780)+COUNTIF($F$2:F828,F828)-1,"")</f>
        <v/>
      </c>
      <c r="Z828" s="56" t="str">
        <f aca="false">IF(H828&gt;0,RANK(H828,$H$2:$H$1780)+COUNTIF($H$2:H828,H828)-1,"")</f>
        <v/>
      </c>
      <c r="AA828" s="56" t="str">
        <f aca="false">IF(AC828="","",RANK(AC828,$AC$2:$AC$1780)+COUNTIF($AC$2:AC828,AC828)-1)</f>
        <v/>
      </c>
      <c r="AB828" s="56" t="str">
        <f aca="false">IF(AD828="","",RANK(AD828,$AD$2:$AD$1780)+COUNTIF($AD$2:AD828,AD828)-1)</f>
        <v/>
      </c>
      <c r="AC828" s="56" t="str">
        <f aca="false">IF(AND(F828&gt;0,E828&gt;=Settings!$B$4),J828,"")</f>
        <v/>
      </c>
      <c r="AD828" s="56" t="str">
        <f aca="false">IF(X828="HIGH RATE",O828,"")</f>
        <v/>
      </c>
    </row>
    <row r="829" customFormat="false" ht="15" hidden="false" customHeight="false" outlineLevel="0" collapsed="false">
      <c r="A829" s="56" t="s">
        <v>2102</v>
      </c>
      <c r="B829" s="56" t="s">
        <v>2103</v>
      </c>
      <c r="C829" s="56" t="s">
        <v>51</v>
      </c>
      <c r="D829" s="56" t="str">
        <f aca="false">IFERROR(INDEX('Brand Map'!$B$4:$B$124,MATCH(C829,'Brand Map'!$A$4:$A$124,0)),"Other")</f>
        <v>AU</v>
      </c>
      <c r="E829" s="57" t="n">
        <v>13</v>
      </c>
      <c r="F829" s="57" t="n">
        <v>0</v>
      </c>
      <c r="G829" s="58" t="n">
        <v>1221.01</v>
      </c>
      <c r="H829" s="58" t="n">
        <v>0</v>
      </c>
      <c r="I829" s="58" t="n">
        <v>1181.65</v>
      </c>
      <c r="J829" s="32" t="n">
        <f aca="false">IF(E829&gt;0,F829/E829,0)</f>
        <v>0</v>
      </c>
      <c r="K829" s="32" t="n">
        <f aca="false">IF(G829&gt;0,H829/G829,0)</f>
        <v>-0</v>
      </c>
      <c r="L829" s="59" t="n">
        <f aca="false">H829/Settings!$B$16</f>
        <v>-0</v>
      </c>
      <c r="M829" s="59" t="n">
        <f aca="false">H829/Settings!$B$20</f>
        <v>-0</v>
      </c>
      <c r="N829" s="60" t="n">
        <f aca="false">E829*Settings!$B$3</f>
        <v>0.402819964037665</v>
      </c>
      <c r="O829" s="60" t="n">
        <f aca="false">IF(E829&gt;0,(F829-N829)/SQRT(E829*Settings!$B$3*(1-Settings!$B$3)),0)</f>
        <v>-0.644748738692841</v>
      </c>
      <c r="P829" s="60" t="n">
        <f aca="false">MAX(0,F829-N829)</f>
        <v>0</v>
      </c>
      <c r="Q829" s="32" t="n">
        <f aca="false">(F829+Settings!$B$7*Settings!$B$3)/(E829+Settings!$B$7)</f>
        <v>0.0216182449394096</v>
      </c>
      <c r="R829" s="61" t="n">
        <f aca="false">PERCENTRANK($H$2:$H$1780,H829,6)</f>
        <v>0</v>
      </c>
      <c r="S829" s="61" t="n">
        <f aca="false">PERCENTRANK($Q$2:$Q$1780,Q829,6)</f>
        <v>0.104049</v>
      </c>
      <c r="T829" s="61" t="n">
        <f aca="false">PERCENTRANK($F$2:$F$1780,F829,6)</f>
        <v>0</v>
      </c>
      <c r="U829" s="62" t="n">
        <f aca="false">IF(F829&gt;0,(Settings!$B$8*T829+Settings!$B$9*R829+Settings!$B$10*S829)/SUM(Settings!$B$8:$B$10),0)</f>
        <v>0</v>
      </c>
      <c r="V829" s="56" t="str">
        <f aca="false">IF(U829&gt;0,RANK(U829,$U$2:$U$1780)+COUNTIF($U$2:U829,U829)-1,"")</f>
        <v/>
      </c>
      <c r="W829" s="56" t="str">
        <f aca="false">IF(V829="","",IF(V829&lt;=Settings!$B$11,"1 - Fix first",IF(V829&lt;=Settings!$B$12,"2 - Review","3 - Monitor")))</f>
        <v/>
      </c>
      <c r="X829" s="56" t="str">
        <f aca="false">IF(AND(E829&gt;=Settings!$B$4,F829&gt;=Settings!$B$5,O829&gt;=Settings!$B$6),"HIGH RATE","")</f>
        <v/>
      </c>
      <c r="Y829" s="56" t="str">
        <f aca="false">IF(F829&gt;0,RANK(F829,$F$2:$F$1780)+COUNTIF($F$2:F829,F829)-1,"")</f>
        <v/>
      </c>
      <c r="Z829" s="56" t="str">
        <f aca="false">IF(H829&gt;0,RANK(H829,$H$2:$H$1780)+COUNTIF($H$2:H829,H829)-1,"")</f>
        <v/>
      </c>
      <c r="AA829" s="56" t="str">
        <f aca="false">IF(AC829="","",RANK(AC829,$AC$2:$AC$1780)+COUNTIF($AC$2:AC829,AC829)-1)</f>
        <v/>
      </c>
      <c r="AB829" s="56" t="str">
        <f aca="false">IF(AD829="","",RANK(AD829,$AD$2:$AD$1780)+COUNTIF($AD$2:AD829,AD829)-1)</f>
        <v/>
      </c>
      <c r="AC829" s="56" t="str">
        <f aca="false">IF(AND(F829&gt;0,E829&gt;=Settings!$B$4),J829,"")</f>
        <v/>
      </c>
      <c r="AD829" s="56" t="str">
        <f aca="false">IF(X829="HIGH RATE",O829,"")</f>
        <v/>
      </c>
    </row>
    <row r="830" customFormat="false" ht="15" hidden="false" customHeight="false" outlineLevel="0" collapsed="false">
      <c r="A830" s="56" t="s">
        <v>2104</v>
      </c>
      <c r="B830" s="56" t="s">
        <v>1629</v>
      </c>
      <c r="C830" s="56" t="s">
        <v>51</v>
      </c>
      <c r="D830" s="56" t="str">
        <f aca="false">IFERROR(INDEX('Brand Map'!$B$4:$B$124,MATCH(C830,'Brand Map'!$A$4:$A$124,0)),"Other")</f>
        <v>AU</v>
      </c>
      <c r="E830" s="57" t="n">
        <v>1</v>
      </c>
      <c r="F830" s="57" t="n">
        <v>0</v>
      </c>
      <c r="G830" s="58" t="n">
        <v>129.95</v>
      </c>
      <c r="H830" s="58" t="n">
        <v>0</v>
      </c>
      <c r="I830" s="58" t="n">
        <v>129.95</v>
      </c>
      <c r="J830" s="32" t="n">
        <f aca="false">IF(E830&gt;0,F830/E830,0)</f>
        <v>0</v>
      </c>
      <c r="K830" s="32" t="n">
        <f aca="false">IF(G830&gt;0,H830/G830,0)</f>
        <v>-0</v>
      </c>
      <c r="L830" s="59" t="n">
        <f aca="false">H830/Settings!$B$16</f>
        <v>-0</v>
      </c>
      <c r="M830" s="59" t="n">
        <f aca="false">H830/Settings!$B$20</f>
        <v>-0</v>
      </c>
      <c r="N830" s="60" t="n">
        <f aca="false">E830*Settings!$B$3</f>
        <v>0.0309861510798204</v>
      </c>
      <c r="O830" s="60" t="n">
        <f aca="false">IF(E830&gt;0,(F830-N830)/SQRT(E830*Settings!$B$3*(1-Settings!$B$3)),0)</f>
        <v>-0.178821125934444</v>
      </c>
      <c r="P830" s="60" t="n">
        <f aca="false">MAX(0,F830-N830)</f>
        <v>0</v>
      </c>
      <c r="Q830" s="32" t="n">
        <f aca="false">(F830+Settings!$B$7*Settings!$B$3)/(E830+Settings!$B$7)</f>
        <v>0.0299865978191811</v>
      </c>
      <c r="R830" s="61" t="n">
        <f aca="false">PERCENTRANK($H$2:$H$1780,H830,6)</f>
        <v>0</v>
      </c>
      <c r="S830" s="61" t="n">
        <f aca="false">PERCENTRANK($Q$2:$Q$1780,Q830,6)</f>
        <v>0.486502</v>
      </c>
      <c r="T830" s="61" t="n">
        <f aca="false">PERCENTRANK($F$2:$F$1780,F830,6)</f>
        <v>0</v>
      </c>
      <c r="U830" s="62" t="n">
        <f aca="false">IF(F830&gt;0,(Settings!$B$8*T830+Settings!$B$9*R830+Settings!$B$10*S830)/SUM(Settings!$B$8:$B$10),0)</f>
        <v>0</v>
      </c>
      <c r="V830" s="56" t="str">
        <f aca="false">IF(U830&gt;0,RANK(U830,$U$2:$U$1780)+COUNTIF($U$2:U830,U830)-1,"")</f>
        <v/>
      </c>
      <c r="W830" s="56" t="str">
        <f aca="false">IF(V830="","",IF(V830&lt;=Settings!$B$11,"1 - Fix first",IF(V830&lt;=Settings!$B$12,"2 - Review","3 - Monitor")))</f>
        <v/>
      </c>
      <c r="X830" s="56" t="str">
        <f aca="false">IF(AND(E830&gt;=Settings!$B$4,F830&gt;=Settings!$B$5,O830&gt;=Settings!$B$6),"HIGH RATE","")</f>
        <v/>
      </c>
      <c r="Y830" s="56" t="str">
        <f aca="false">IF(F830&gt;0,RANK(F830,$F$2:$F$1780)+COUNTIF($F$2:F830,F830)-1,"")</f>
        <v/>
      </c>
      <c r="Z830" s="56" t="str">
        <f aca="false">IF(H830&gt;0,RANK(H830,$H$2:$H$1780)+COUNTIF($H$2:H830,H830)-1,"")</f>
        <v/>
      </c>
      <c r="AA830" s="56" t="str">
        <f aca="false">IF(AC830="","",RANK(AC830,$AC$2:$AC$1780)+COUNTIF($AC$2:AC830,AC830)-1)</f>
        <v/>
      </c>
      <c r="AB830" s="56" t="str">
        <f aca="false">IF(AD830="","",RANK(AD830,$AD$2:$AD$1780)+COUNTIF($AD$2:AD830,AD830)-1)</f>
        <v/>
      </c>
      <c r="AC830" s="56" t="str">
        <f aca="false">IF(AND(F830&gt;0,E830&gt;=Settings!$B$4),J830,"")</f>
        <v/>
      </c>
      <c r="AD830" s="56" t="str">
        <f aca="false">IF(X830="HIGH RATE",O830,"")</f>
        <v/>
      </c>
    </row>
    <row r="831" customFormat="false" ht="15" hidden="false" customHeight="false" outlineLevel="0" collapsed="false">
      <c r="A831" s="56" t="s">
        <v>2105</v>
      </c>
      <c r="B831" s="56" t="s">
        <v>2106</v>
      </c>
      <c r="C831" s="56" t="s">
        <v>51</v>
      </c>
      <c r="D831" s="56" t="str">
        <f aca="false">IFERROR(INDEX('Brand Map'!$B$4:$B$124,MATCH(C831,'Brand Map'!$A$4:$A$124,0)),"Other")</f>
        <v>AU</v>
      </c>
      <c r="E831" s="57" t="n">
        <v>44</v>
      </c>
      <c r="F831" s="57" t="n">
        <v>0</v>
      </c>
      <c r="G831" s="58" t="n">
        <v>4941.55</v>
      </c>
      <c r="H831" s="58" t="n">
        <v>0</v>
      </c>
      <c r="I831" s="58" t="n">
        <v>4912.27</v>
      </c>
      <c r="J831" s="32" t="n">
        <f aca="false">IF(E831&gt;0,F831/E831,0)</f>
        <v>0</v>
      </c>
      <c r="K831" s="32" t="n">
        <f aca="false">IF(G831&gt;0,H831/G831,0)</f>
        <v>-0</v>
      </c>
      <c r="L831" s="59" t="n">
        <f aca="false">H831/Settings!$B$16</f>
        <v>-0</v>
      </c>
      <c r="M831" s="59" t="n">
        <f aca="false">H831/Settings!$B$20</f>
        <v>-0</v>
      </c>
      <c r="N831" s="60" t="n">
        <f aca="false">E831*Settings!$B$3</f>
        <v>1.3633906475121</v>
      </c>
      <c r="O831" s="60" t="n">
        <f aca="false">IF(E831&gt;0,(F831-N831)/SQRT(E831*Settings!$B$3*(1-Settings!$B$3)),0)</f>
        <v>-1.18616515862688</v>
      </c>
      <c r="P831" s="60" t="n">
        <f aca="false">MAX(0,F831-N831)</f>
        <v>0</v>
      </c>
      <c r="Q831" s="32" t="n">
        <f aca="false">(F831+Settings!$B$7*Settings!$B$3)/(E831+Settings!$B$7)</f>
        <v>0.0125619531404677</v>
      </c>
      <c r="R831" s="61" t="n">
        <f aca="false">PERCENTRANK($H$2:$H$1780,H831,6)</f>
        <v>0</v>
      </c>
      <c r="S831" s="61" t="n">
        <f aca="false">PERCENTRANK($Q$2:$Q$1780,Q831,6)</f>
        <v>0.0258718</v>
      </c>
      <c r="T831" s="61" t="n">
        <f aca="false">PERCENTRANK($F$2:$F$1780,F831,6)</f>
        <v>0</v>
      </c>
      <c r="U831" s="62" t="n">
        <f aca="false">IF(F831&gt;0,(Settings!$B$8*T831+Settings!$B$9*R831+Settings!$B$10*S831)/SUM(Settings!$B$8:$B$10),0)</f>
        <v>0</v>
      </c>
      <c r="V831" s="56" t="str">
        <f aca="false">IF(U831&gt;0,RANK(U831,$U$2:$U$1780)+COUNTIF($U$2:U831,U831)-1,"")</f>
        <v/>
      </c>
      <c r="W831" s="56" t="str">
        <f aca="false">IF(V831="","",IF(V831&lt;=Settings!$B$11,"1 - Fix first",IF(V831&lt;=Settings!$B$12,"2 - Review","3 - Monitor")))</f>
        <v/>
      </c>
      <c r="X831" s="56" t="str">
        <f aca="false">IF(AND(E831&gt;=Settings!$B$4,F831&gt;=Settings!$B$5,O831&gt;=Settings!$B$6),"HIGH RATE","")</f>
        <v/>
      </c>
      <c r="Y831" s="56" t="str">
        <f aca="false">IF(F831&gt;0,RANK(F831,$F$2:$F$1780)+COUNTIF($F$2:F831,F831)-1,"")</f>
        <v/>
      </c>
      <c r="Z831" s="56" t="str">
        <f aca="false">IF(H831&gt;0,RANK(H831,$H$2:$H$1780)+COUNTIF($H$2:H831,H831)-1,"")</f>
        <v/>
      </c>
      <c r="AA831" s="56" t="str">
        <f aca="false">IF(AC831="","",RANK(AC831,$AC$2:$AC$1780)+COUNTIF($AC$2:AC831,AC831)-1)</f>
        <v/>
      </c>
      <c r="AB831" s="56" t="str">
        <f aca="false">IF(AD831="","",RANK(AD831,$AD$2:$AD$1780)+COUNTIF($AD$2:AD831,AD831)-1)</f>
        <v/>
      </c>
      <c r="AC831" s="56" t="str">
        <f aca="false">IF(AND(F831&gt;0,E831&gt;=Settings!$B$4),J831,"")</f>
        <v/>
      </c>
      <c r="AD831" s="56" t="str">
        <f aca="false">IF(X831="HIGH RATE",O831,"")</f>
        <v/>
      </c>
    </row>
    <row r="832" customFormat="false" ht="15" hidden="false" customHeight="false" outlineLevel="0" collapsed="false">
      <c r="A832" s="56" t="s">
        <v>2107</v>
      </c>
      <c r="B832" s="56" t="s">
        <v>1260</v>
      </c>
      <c r="C832" s="56" t="s">
        <v>51</v>
      </c>
      <c r="D832" s="56" t="str">
        <f aca="false">IFERROR(INDEX('Brand Map'!$B$4:$B$124,MATCH(C832,'Brand Map'!$A$4:$A$124,0)),"Other")</f>
        <v>AU</v>
      </c>
      <c r="E832" s="57" t="n">
        <v>31</v>
      </c>
      <c r="F832" s="57" t="n">
        <v>0</v>
      </c>
      <c r="G832" s="58" t="n">
        <v>5733.56</v>
      </c>
      <c r="H832" s="58" t="n">
        <v>0</v>
      </c>
      <c r="I832" s="58" t="n">
        <v>5413.62</v>
      </c>
      <c r="J832" s="32" t="n">
        <f aca="false">IF(E832&gt;0,F832/E832,0)</f>
        <v>0</v>
      </c>
      <c r="K832" s="32" t="n">
        <f aca="false">IF(G832&gt;0,H832/G832,0)</f>
        <v>-0</v>
      </c>
      <c r="L832" s="59" t="n">
        <f aca="false">H832/Settings!$B$16</f>
        <v>-0</v>
      </c>
      <c r="M832" s="59" t="n">
        <f aca="false">H832/Settings!$B$20</f>
        <v>-0</v>
      </c>
      <c r="N832" s="60" t="n">
        <f aca="false">E832*Settings!$B$3</f>
        <v>0.960570683474433</v>
      </c>
      <c r="O832" s="60" t="n">
        <f aca="false">IF(E832&gt;0,(F832-N832)/SQRT(E832*Settings!$B$3*(1-Settings!$B$3)),0)</f>
        <v>-0.995633892298937</v>
      </c>
      <c r="P832" s="60" t="n">
        <f aca="false">MAX(0,F832-N832)</f>
        <v>0</v>
      </c>
      <c r="Q832" s="32" t="n">
        <f aca="false">(F832+Settings!$B$7*Settings!$B$3)/(E832+Settings!$B$7)</f>
        <v>0.0152390906949937</v>
      </c>
      <c r="R832" s="61" t="n">
        <f aca="false">PERCENTRANK($H$2:$H$1780,H832,6)</f>
        <v>0</v>
      </c>
      <c r="S832" s="61" t="n">
        <f aca="false">PERCENTRANK($Q$2:$Q$1780,Q832,6)</f>
        <v>0.0410574</v>
      </c>
      <c r="T832" s="61" t="n">
        <f aca="false">PERCENTRANK($F$2:$F$1780,F832,6)</f>
        <v>0</v>
      </c>
      <c r="U832" s="62" t="n">
        <f aca="false">IF(F832&gt;0,(Settings!$B$8*T832+Settings!$B$9*R832+Settings!$B$10*S832)/SUM(Settings!$B$8:$B$10),0)</f>
        <v>0</v>
      </c>
      <c r="V832" s="56" t="str">
        <f aca="false">IF(U832&gt;0,RANK(U832,$U$2:$U$1780)+COUNTIF($U$2:U832,U832)-1,"")</f>
        <v/>
      </c>
      <c r="W832" s="56" t="str">
        <f aca="false">IF(V832="","",IF(V832&lt;=Settings!$B$11,"1 - Fix first",IF(V832&lt;=Settings!$B$12,"2 - Review","3 - Monitor")))</f>
        <v/>
      </c>
      <c r="X832" s="56" t="str">
        <f aca="false">IF(AND(E832&gt;=Settings!$B$4,F832&gt;=Settings!$B$5,O832&gt;=Settings!$B$6),"HIGH RATE","")</f>
        <v/>
      </c>
      <c r="Y832" s="56" t="str">
        <f aca="false">IF(F832&gt;0,RANK(F832,$F$2:$F$1780)+COUNTIF($F$2:F832,F832)-1,"")</f>
        <v/>
      </c>
      <c r="Z832" s="56" t="str">
        <f aca="false">IF(H832&gt;0,RANK(H832,$H$2:$H$1780)+COUNTIF($H$2:H832,H832)-1,"")</f>
        <v/>
      </c>
      <c r="AA832" s="56" t="str">
        <f aca="false">IF(AC832="","",RANK(AC832,$AC$2:$AC$1780)+COUNTIF($AC$2:AC832,AC832)-1)</f>
        <v/>
      </c>
      <c r="AB832" s="56" t="str">
        <f aca="false">IF(AD832="","",RANK(AD832,$AD$2:$AD$1780)+COUNTIF($AD$2:AD832,AD832)-1)</f>
        <v/>
      </c>
      <c r="AC832" s="56" t="str">
        <f aca="false">IF(AND(F832&gt;0,E832&gt;=Settings!$B$4),J832,"")</f>
        <v/>
      </c>
      <c r="AD832" s="56" t="str">
        <f aca="false">IF(X832="HIGH RATE",O832,"")</f>
        <v/>
      </c>
    </row>
    <row r="833" customFormat="false" ht="15" hidden="false" customHeight="false" outlineLevel="0" collapsed="false">
      <c r="A833" s="56" t="s">
        <v>2108</v>
      </c>
      <c r="B833" s="56" t="s">
        <v>1260</v>
      </c>
      <c r="C833" s="56" t="s">
        <v>51</v>
      </c>
      <c r="D833" s="56" t="str">
        <f aca="false">IFERROR(INDEX('Brand Map'!$B$4:$B$124,MATCH(C833,'Brand Map'!$A$4:$A$124,0)),"Other")</f>
        <v>AU</v>
      </c>
      <c r="E833" s="57" t="n">
        <v>1</v>
      </c>
      <c r="F833" s="57" t="n">
        <v>0</v>
      </c>
      <c r="G833" s="58" t="n">
        <v>179.65</v>
      </c>
      <c r="H833" s="58" t="n">
        <v>0</v>
      </c>
      <c r="I833" s="58" t="n">
        <v>179.65</v>
      </c>
      <c r="J833" s="32" t="n">
        <f aca="false">IF(E833&gt;0,F833/E833,0)</f>
        <v>0</v>
      </c>
      <c r="K833" s="32" t="n">
        <f aca="false">IF(G833&gt;0,H833/G833,0)</f>
        <v>-0</v>
      </c>
      <c r="L833" s="59" t="n">
        <f aca="false">H833/Settings!$B$16</f>
        <v>-0</v>
      </c>
      <c r="M833" s="59" t="n">
        <f aca="false">H833/Settings!$B$20</f>
        <v>-0</v>
      </c>
      <c r="N833" s="60" t="n">
        <f aca="false">E833*Settings!$B$3</f>
        <v>0.0309861510798204</v>
      </c>
      <c r="O833" s="60" t="n">
        <f aca="false">IF(E833&gt;0,(F833-N833)/SQRT(E833*Settings!$B$3*(1-Settings!$B$3)),0)</f>
        <v>-0.178821125934444</v>
      </c>
      <c r="P833" s="60" t="n">
        <f aca="false">MAX(0,F833-N833)</f>
        <v>0</v>
      </c>
      <c r="Q833" s="32" t="n">
        <f aca="false">(F833+Settings!$B$7*Settings!$B$3)/(E833+Settings!$B$7)</f>
        <v>0.0299865978191811</v>
      </c>
      <c r="R833" s="61" t="n">
        <f aca="false">PERCENTRANK($H$2:$H$1780,H833,6)</f>
        <v>0</v>
      </c>
      <c r="S833" s="61" t="n">
        <f aca="false">PERCENTRANK($Q$2:$Q$1780,Q833,6)</f>
        <v>0.486502</v>
      </c>
      <c r="T833" s="61" t="n">
        <f aca="false">PERCENTRANK($F$2:$F$1780,F833,6)</f>
        <v>0</v>
      </c>
      <c r="U833" s="62" t="n">
        <f aca="false">IF(F833&gt;0,(Settings!$B$8*T833+Settings!$B$9*R833+Settings!$B$10*S833)/SUM(Settings!$B$8:$B$10),0)</f>
        <v>0</v>
      </c>
      <c r="V833" s="56" t="str">
        <f aca="false">IF(U833&gt;0,RANK(U833,$U$2:$U$1780)+COUNTIF($U$2:U833,U833)-1,"")</f>
        <v/>
      </c>
      <c r="W833" s="56" t="str">
        <f aca="false">IF(V833="","",IF(V833&lt;=Settings!$B$11,"1 - Fix first",IF(V833&lt;=Settings!$B$12,"2 - Review","3 - Monitor")))</f>
        <v/>
      </c>
      <c r="X833" s="56" t="str">
        <f aca="false">IF(AND(E833&gt;=Settings!$B$4,F833&gt;=Settings!$B$5,O833&gt;=Settings!$B$6),"HIGH RATE","")</f>
        <v/>
      </c>
      <c r="Y833" s="56" t="str">
        <f aca="false">IF(F833&gt;0,RANK(F833,$F$2:$F$1780)+COUNTIF($F$2:F833,F833)-1,"")</f>
        <v/>
      </c>
      <c r="Z833" s="56" t="str">
        <f aca="false">IF(H833&gt;0,RANK(H833,$H$2:$H$1780)+COUNTIF($H$2:H833,H833)-1,"")</f>
        <v/>
      </c>
      <c r="AA833" s="56" t="str">
        <f aca="false">IF(AC833="","",RANK(AC833,$AC$2:$AC$1780)+COUNTIF($AC$2:AC833,AC833)-1)</f>
        <v/>
      </c>
      <c r="AB833" s="56" t="str">
        <f aca="false">IF(AD833="","",RANK(AD833,$AD$2:$AD$1780)+COUNTIF($AD$2:AD833,AD833)-1)</f>
        <v/>
      </c>
      <c r="AC833" s="56" t="str">
        <f aca="false">IF(AND(F833&gt;0,E833&gt;=Settings!$B$4),J833,"")</f>
        <v/>
      </c>
      <c r="AD833" s="56" t="str">
        <f aca="false">IF(X833="HIGH RATE",O833,"")</f>
        <v/>
      </c>
    </row>
    <row r="834" customFormat="false" ht="15" hidden="false" customHeight="false" outlineLevel="0" collapsed="false">
      <c r="A834" s="56" t="s">
        <v>2109</v>
      </c>
      <c r="B834" s="56" t="s">
        <v>1288</v>
      </c>
      <c r="C834" s="56" t="s">
        <v>51</v>
      </c>
      <c r="D834" s="56" t="str">
        <f aca="false">IFERROR(INDEX('Brand Map'!$B$4:$B$124,MATCH(C834,'Brand Map'!$A$4:$A$124,0)),"Other")</f>
        <v>AU</v>
      </c>
      <c r="E834" s="57" t="n">
        <v>1</v>
      </c>
      <c r="F834" s="57" t="n">
        <v>0</v>
      </c>
      <c r="G834" s="58" t="n">
        <v>147.2</v>
      </c>
      <c r="H834" s="58" t="n">
        <v>0</v>
      </c>
      <c r="I834" s="58" t="n">
        <v>147.2</v>
      </c>
      <c r="J834" s="32" t="n">
        <f aca="false">IF(E834&gt;0,F834/E834,0)</f>
        <v>0</v>
      </c>
      <c r="K834" s="32" t="n">
        <f aca="false">IF(G834&gt;0,H834/G834,0)</f>
        <v>-0</v>
      </c>
      <c r="L834" s="59" t="n">
        <f aca="false">H834/Settings!$B$16</f>
        <v>-0</v>
      </c>
      <c r="M834" s="59" t="n">
        <f aca="false">H834/Settings!$B$20</f>
        <v>-0</v>
      </c>
      <c r="N834" s="60" t="n">
        <f aca="false">E834*Settings!$B$3</f>
        <v>0.0309861510798204</v>
      </c>
      <c r="O834" s="60" t="n">
        <f aca="false">IF(E834&gt;0,(F834-N834)/SQRT(E834*Settings!$B$3*(1-Settings!$B$3)),0)</f>
        <v>-0.178821125934444</v>
      </c>
      <c r="P834" s="60" t="n">
        <f aca="false">MAX(0,F834-N834)</f>
        <v>0</v>
      </c>
      <c r="Q834" s="32" t="n">
        <f aca="false">(F834+Settings!$B$7*Settings!$B$3)/(E834+Settings!$B$7)</f>
        <v>0.0299865978191811</v>
      </c>
      <c r="R834" s="61" t="n">
        <f aca="false">PERCENTRANK($H$2:$H$1780,H834,6)</f>
        <v>0</v>
      </c>
      <c r="S834" s="61" t="n">
        <f aca="false">PERCENTRANK($Q$2:$Q$1780,Q834,6)</f>
        <v>0.486502</v>
      </c>
      <c r="T834" s="61" t="n">
        <f aca="false">PERCENTRANK($F$2:$F$1780,F834,6)</f>
        <v>0</v>
      </c>
      <c r="U834" s="62" t="n">
        <f aca="false">IF(F834&gt;0,(Settings!$B$8*T834+Settings!$B$9*R834+Settings!$B$10*S834)/SUM(Settings!$B$8:$B$10),0)</f>
        <v>0</v>
      </c>
      <c r="V834" s="56" t="str">
        <f aca="false">IF(U834&gt;0,RANK(U834,$U$2:$U$1780)+COUNTIF($U$2:U834,U834)-1,"")</f>
        <v/>
      </c>
      <c r="W834" s="56" t="str">
        <f aca="false">IF(V834="","",IF(V834&lt;=Settings!$B$11,"1 - Fix first",IF(V834&lt;=Settings!$B$12,"2 - Review","3 - Monitor")))</f>
        <v/>
      </c>
      <c r="X834" s="56" t="str">
        <f aca="false">IF(AND(E834&gt;=Settings!$B$4,F834&gt;=Settings!$B$5,O834&gt;=Settings!$B$6),"HIGH RATE","")</f>
        <v/>
      </c>
      <c r="Y834" s="56" t="str">
        <f aca="false">IF(F834&gt;0,RANK(F834,$F$2:$F$1780)+COUNTIF($F$2:F834,F834)-1,"")</f>
        <v/>
      </c>
      <c r="Z834" s="56" t="str">
        <f aca="false">IF(H834&gt;0,RANK(H834,$H$2:$H$1780)+COUNTIF($H$2:H834,H834)-1,"")</f>
        <v/>
      </c>
      <c r="AA834" s="56" t="str">
        <f aca="false">IF(AC834="","",RANK(AC834,$AC$2:$AC$1780)+COUNTIF($AC$2:AC834,AC834)-1)</f>
        <v/>
      </c>
      <c r="AB834" s="56" t="str">
        <f aca="false">IF(AD834="","",RANK(AD834,$AD$2:$AD$1780)+COUNTIF($AD$2:AD834,AD834)-1)</f>
        <v/>
      </c>
      <c r="AC834" s="56" t="str">
        <f aca="false">IF(AND(F834&gt;0,E834&gt;=Settings!$B$4),J834,"")</f>
        <v/>
      </c>
      <c r="AD834" s="56" t="str">
        <f aca="false">IF(X834="HIGH RATE",O834,"")</f>
        <v/>
      </c>
    </row>
    <row r="835" customFormat="false" ht="15" hidden="false" customHeight="false" outlineLevel="0" collapsed="false">
      <c r="A835" s="56" t="s">
        <v>2110</v>
      </c>
      <c r="B835" s="56" t="s">
        <v>2111</v>
      </c>
      <c r="C835" s="56" t="s">
        <v>51</v>
      </c>
      <c r="D835" s="56" t="str">
        <f aca="false">IFERROR(INDEX('Brand Map'!$B$4:$B$124,MATCH(C835,'Brand Map'!$A$4:$A$124,0)),"Other")</f>
        <v>AU</v>
      </c>
      <c r="E835" s="57" t="n">
        <v>1</v>
      </c>
      <c r="F835" s="57" t="n">
        <v>0</v>
      </c>
      <c r="G835" s="58" t="n">
        <v>94.95</v>
      </c>
      <c r="H835" s="58" t="n">
        <v>0</v>
      </c>
      <c r="I835" s="58" t="n">
        <v>94.95</v>
      </c>
      <c r="J835" s="32" t="n">
        <f aca="false">IF(E835&gt;0,F835/E835,0)</f>
        <v>0</v>
      </c>
      <c r="K835" s="32" t="n">
        <f aca="false">IF(G835&gt;0,H835/G835,0)</f>
        <v>-0</v>
      </c>
      <c r="L835" s="59" t="n">
        <f aca="false">H835/Settings!$B$16</f>
        <v>-0</v>
      </c>
      <c r="M835" s="59" t="n">
        <f aca="false">H835/Settings!$B$20</f>
        <v>-0</v>
      </c>
      <c r="N835" s="60" t="n">
        <f aca="false">E835*Settings!$B$3</f>
        <v>0.0309861510798204</v>
      </c>
      <c r="O835" s="60" t="n">
        <f aca="false">IF(E835&gt;0,(F835-N835)/SQRT(E835*Settings!$B$3*(1-Settings!$B$3)),0)</f>
        <v>-0.178821125934444</v>
      </c>
      <c r="P835" s="60" t="n">
        <f aca="false">MAX(0,F835-N835)</f>
        <v>0</v>
      </c>
      <c r="Q835" s="32" t="n">
        <f aca="false">(F835+Settings!$B$7*Settings!$B$3)/(E835+Settings!$B$7)</f>
        <v>0.0299865978191811</v>
      </c>
      <c r="R835" s="61" t="n">
        <f aca="false">PERCENTRANK($H$2:$H$1780,H835,6)</f>
        <v>0</v>
      </c>
      <c r="S835" s="61" t="n">
        <f aca="false">PERCENTRANK($Q$2:$Q$1780,Q835,6)</f>
        <v>0.486502</v>
      </c>
      <c r="T835" s="61" t="n">
        <f aca="false">PERCENTRANK($F$2:$F$1780,F835,6)</f>
        <v>0</v>
      </c>
      <c r="U835" s="62" t="n">
        <f aca="false">IF(F835&gt;0,(Settings!$B$8*T835+Settings!$B$9*R835+Settings!$B$10*S835)/SUM(Settings!$B$8:$B$10),0)</f>
        <v>0</v>
      </c>
      <c r="V835" s="56" t="str">
        <f aca="false">IF(U835&gt;0,RANK(U835,$U$2:$U$1780)+COUNTIF($U$2:U835,U835)-1,"")</f>
        <v/>
      </c>
      <c r="W835" s="56" t="str">
        <f aca="false">IF(V835="","",IF(V835&lt;=Settings!$B$11,"1 - Fix first",IF(V835&lt;=Settings!$B$12,"2 - Review","3 - Monitor")))</f>
        <v/>
      </c>
      <c r="X835" s="56" t="str">
        <f aca="false">IF(AND(E835&gt;=Settings!$B$4,F835&gt;=Settings!$B$5,O835&gt;=Settings!$B$6),"HIGH RATE","")</f>
        <v/>
      </c>
      <c r="Y835" s="56" t="str">
        <f aca="false">IF(F835&gt;0,RANK(F835,$F$2:$F$1780)+COUNTIF($F$2:F835,F835)-1,"")</f>
        <v/>
      </c>
      <c r="Z835" s="56" t="str">
        <f aca="false">IF(H835&gt;0,RANK(H835,$H$2:$H$1780)+COUNTIF($H$2:H835,H835)-1,"")</f>
        <v/>
      </c>
      <c r="AA835" s="56" t="str">
        <f aca="false">IF(AC835="","",RANK(AC835,$AC$2:$AC$1780)+COUNTIF($AC$2:AC835,AC835)-1)</f>
        <v/>
      </c>
      <c r="AB835" s="56" t="str">
        <f aca="false">IF(AD835="","",RANK(AD835,$AD$2:$AD$1780)+COUNTIF($AD$2:AD835,AD835)-1)</f>
        <v/>
      </c>
      <c r="AC835" s="56" t="str">
        <f aca="false">IF(AND(F835&gt;0,E835&gt;=Settings!$B$4),J835,"")</f>
        <v/>
      </c>
      <c r="AD835" s="56" t="str">
        <f aca="false">IF(X835="HIGH RATE",O835,"")</f>
        <v/>
      </c>
    </row>
    <row r="836" customFormat="false" ht="15" hidden="false" customHeight="false" outlineLevel="0" collapsed="false">
      <c r="A836" s="56" t="s">
        <v>2112</v>
      </c>
      <c r="B836" s="56" t="s">
        <v>2113</v>
      </c>
      <c r="C836" s="56" t="s">
        <v>51</v>
      </c>
      <c r="D836" s="56" t="str">
        <f aca="false">IFERROR(INDEX('Brand Map'!$B$4:$B$124,MATCH(C836,'Brand Map'!$A$4:$A$124,0)),"Other")</f>
        <v>AU</v>
      </c>
      <c r="E836" s="57" t="n">
        <v>1</v>
      </c>
      <c r="F836" s="57" t="n">
        <v>0</v>
      </c>
      <c r="G836" s="58" t="n">
        <v>106.95</v>
      </c>
      <c r="H836" s="58" t="n">
        <v>0</v>
      </c>
      <c r="I836" s="58" t="n">
        <v>106.95</v>
      </c>
      <c r="J836" s="32" t="n">
        <f aca="false">IF(E836&gt;0,F836/E836,0)</f>
        <v>0</v>
      </c>
      <c r="K836" s="32" t="n">
        <f aca="false">IF(G836&gt;0,H836/G836,0)</f>
        <v>-0</v>
      </c>
      <c r="L836" s="59" t="n">
        <f aca="false">H836/Settings!$B$16</f>
        <v>-0</v>
      </c>
      <c r="M836" s="59" t="n">
        <f aca="false">H836/Settings!$B$20</f>
        <v>-0</v>
      </c>
      <c r="N836" s="60" t="n">
        <f aca="false">E836*Settings!$B$3</f>
        <v>0.0309861510798204</v>
      </c>
      <c r="O836" s="60" t="n">
        <f aca="false">IF(E836&gt;0,(F836-N836)/SQRT(E836*Settings!$B$3*(1-Settings!$B$3)),0)</f>
        <v>-0.178821125934444</v>
      </c>
      <c r="P836" s="60" t="n">
        <f aca="false">MAX(0,F836-N836)</f>
        <v>0</v>
      </c>
      <c r="Q836" s="32" t="n">
        <f aca="false">(F836+Settings!$B$7*Settings!$B$3)/(E836+Settings!$B$7)</f>
        <v>0.0299865978191811</v>
      </c>
      <c r="R836" s="61" t="n">
        <f aca="false">PERCENTRANK($H$2:$H$1780,H836,6)</f>
        <v>0</v>
      </c>
      <c r="S836" s="61" t="n">
        <f aca="false">PERCENTRANK($Q$2:$Q$1780,Q836,6)</f>
        <v>0.486502</v>
      </c>
      <c r="T836" s="61" t="n">
        <f aca="false">PERCENTRANK($F$2:$F$1780,F836,6)</f>
        <v>0</v>
      </c>
      <c r="U836" s="62" t="n">
        <f aca="false">IF(F836&gt;0,(Settings!$B$8*T836+Settings!$B$9*R836+Settings!$B$10*S836)/SUM(Settings!$B$8:$B$10),0)</f>
        <v>0</v>
      </c>
      <c r="V836" s="56" t="str">
        <f aca="false">IF(U836&gt;0,RANK(U836,$U$2:$U$1780)+COUNTIF($U$2:U836,U836)-1,"")</f>
        <v/>
      </c>
      <c r="W836" s="56" t="str">
        <f aca="false">IF(V836="","",IF(V836&lt;=Settings!$B$11,"1 - Fix first",IF(V836&lt;=Settings!$B$12,"2 - Review","3 - Monitor")))</f>
        <v/>
      </c>
      <c r="X836" s="56" t="str">
        <f aca="false">IF(AND(E836&gt;=Settings!$B$4,F836&gt;=Settings!$B$5,O836&gt;=Settings!$B$6),"HIGH RATE","")</f>
        <v/>
      </c>
      <c r="Y836" s="56" t="str">
        <f aca="false">IF(F836&gt;0,RANK(F836,$F$2:$F$1780)+COUNTIF($F$2:F836,F836)-1,"")</f>
        <v/>
      </c>
      <c r="Z836" s="56" t="str">
        <f aca="false">IF(H836&gt;0,RANK(H836,$H$2:$H$1780)+COUNTIF($H$2:H836,H836)-1,"")</f>
        <v/>
      </c>
      <c r="AA836" s="56" t="str">
        <f aca="false">IF(AC836="","",RANK(AC836,$AC$2:$AC$1780)+COUNTIF($AC$2:AC836,AC836)-1)</f>
        <v/>
      </c>
      <c r="AB836" s="56" t="str">
        <f aca="false">IF(AD836="","",RANK(AD836,$AD$2:$AD$1780)+COUNTIF($AD$2:AD836,AD836)-1)</f>
        <v/>
      </c>
      <c r="AC836" s="56" t="str">
        <f aca="false">IF(AND(F836&gt;0,E836&gt;=Settings!$B$4),J836,"")</f>
        <v/>
      </c>
      <c r="AD836" s="56" t="str">
        <f aca="false">IF(X836="HIGH RATE",O836,"")</f>
        <v/>
      </c>
    </row>
    <row r="837" customFormat="false" ht="15" hidden="false" customHeight="false" outlineLevel="0" collapsed="false">
      <c r="A837" s="56" t="s">
        <v>2114</v>
      </c>
      <c r="B837" s="56" t="s">
        <v>1455</v>
      </c>
      <c r="C837" s="56" t="s">
        <v>51</v>
      </c>
      <c r="D837" s="56" t="str">
        <f aca="false">IFERROR(INDEX('Brand Map'!$B$4:$B$124,MATCH(C837,'Brand Map'!$A$4:$A$124,0)),"Other")</f>
        <v>AU</v>
      </c>
      <c r="E837" s="57" t="n">
        <v>17</v>
      </c>
      <c r="F837" s="57" t="n">
        <v>0</v>
      </c>
      <c r="G837" s="58" t="n">
        <v>2574.2</v>
      </c>
      <c r="H837" s="58" t="n">
        <v>0</v>
      </c>
      <c r="I837" s="58" t="n">
        <v>2574.2</v>
      </c>
      <c r="J837" s="32" t="n">
        <f aca="false">IF(E837&gt;0,F837/E837,0)</f>
        <v>0</v>
      </c>
      <c r="K837" s="32" t="n">
        <f aca="false">IF(G837&gt;0,H837/G837,0)</f>
        <v>-0</v>
      </c>
      <c r="L837" s="59" t="n">
        <f aca="false">H837/Settings!$B$16</f>
        <v>-0</v>
      </c>
      <c r="M837" s="59" t="n">
        <f aca="false">H837/Settings!$B$20</f>
        <v>-0</v>
      </c>
      <c r="N837" s="60" t="n">
        <f aca="false">E837*Settings!$B$3</f>
        <v>0.526764568356947</v>
      </c>
      <c r="O837" s="60" t="n">
        <f aca="false">IF(E837&gt;0,(F837-N837)/SQRT(E837*Settings!$B$3*(1-Settings!$B$3)),0)</f>
        <v>-0.73729839031959</v>
      </c>
      <c r="P837" s="60" t="n">
        <f aca="false">MAX(0,F837-N837)</f>
        <v>0</v>
      </c>
      <c r="Q837" s="32" t="n">
        <f aca="false">(F837+Settings!$B$7*Settings!$B$3)/(E837+Settings!$B$7)</f>
        <v>0.0197783943062684</v>
      </c>
      <c r="R837" s="61" t="n">
        <f aca="false">PERCENTRANK($H$2:$H$1780,H837,6)</f>
        <v>0</v>
      </c>
      <c r="S837" s="61" t="n">
        <f aca="false">PERCENTRANK($Q$2:$Q$1780,Q837,6)</f>
        <v>0.0883015</v>
      </c>
      <c r="T837" s="61" t="n">
        <f aca="false">PERCENTRANK($F$2:$F$1780,F837,6)</f>
        <v>0</v>
      </c>
      <c r="U837" s="62" t="n">
        <f aca="false">IF(F837&gt;0,(Settings!$B$8*T837+Settings!$B$9*R837+Settings!$B$10*S837)/SUM(Settings!$B$8:$B$10),0)</f>
        <v>0</v>
      </c>
      <c r="V837" s="56" t="str">
        <f aca="false">IF(U837&gt;0,RANK(U837,$U$2:$U$1780)+COUNTIF($U$2:U837,U837)-1,"")</f>
        <v/>
      </c>
      <c r="W837" s="56" t="str">
        <f aca="false">IF(V837="","",IF(V837&lt;=Settings!$B$11,"1 - Fix first",IF(V837&lt;=Settings!$B$12,"2 - Review","3 - Monitor")))</f>
        <v/>
      </c>
      <c r="X837" s="56" t="str">
        <f aca="false">IF(AND(E837&gt;=Settings!$B$4,F837&gt;=Settings!$B$5,O837&gt;=Settings!$B$6),"HIGH RATE","")</f>
        <v/>
      </c>
      <c r="Y837" s="56" t="str">
        <f aca="false">IF(F837&gt;0,RANK(F837,$F$2:$F$1780)+COUNTIF($F$2:F837,F837)-1,"")</f>
        <v/>
      </c>
      <c r="Z837" s="56" t="str">
        <f aca="false">IF(H837&gt;0,RANK(H837,$H$2:$H$1780)+COUNTIF($H$2:H837,H837)-1,"")</f>
        <v/>
      </c>
      <c r="AA837" s="56" t="str">
        <f aca="false">IF(AC837="","",RANK(AC837,$AC$2:$AC$1780)+COUNTIF($AC$2:AC837,AC837)-1)</f>
        <v/>
      </c>
      <c r="AB837" s="56" t="str">
        <f aca="false">IF(AD837="","",RANK(AD837,$AD$2:$AD$1780)+COUNTIF($AD$2:AD837,AD837)-1)</f>
        <v/>
      </c>
      <c r="AC837" s="56" t="str">
        <f aca="false">IF(AND(F837&gt;0,E837&gt;=Settings!$B$4),J837,"")</f>
        <v/>
      </c>
      <c r="AD837" s="56" t="str">
        <f aca="false">IF(X837="HIGH RATE",O837,"")</f>
        <v/>
      </c>
    </row>
    <row r="838" customFormat="false" ht="15" hidden="false" customHeight="false" outlineLevel="0" collapsed="false">
      <c r="A838" s="56" t="s">
        <v>2115</v>
      </c>
      <c r="B838" s="56" t="s">
        <v>1455</v>
      </c>
      <c r="C838" s="56" t="s">
        <v>51</v>
      </c>
      <c r="D838" s="56" t="str">
        <f aca="false">IFERROR(INDEX('Brand Map'!$B$4:$B$124,MATCH(C838,'Brand Map'!$A$4:$A$124,0)),"Other")</f>
        <v>AU</v>
      </c>
      <c r="E838" s="57" t="n">
        <v>2</v>
      </c>
      <c r="F838" s="57" t="n">
        <v>0</v>
      </c>
      <c r="G838" s="58" t="n">
        <v>387.9</v>
      </c>
      <c r="H838" s="58" t="n">
        <v>0</v>
      </c>
      <c r="I838" s="58" t="n">
        <v>387.9</v>
      </c>
      <c r="J838" s="32" t="n">
        <f aca="false">IF(E838&gt;0,F838/E838,0)</f>
        <v>0</v>
      </c>
      <c r="K838" s="32" t="n">
        <f aca="false">IF(G838&gt;0,H838/G838,0)</f>
        <v>-0</v>
      </c>
      <c r="L838" s="59" t="n">
        <f aca="false">H838/Settings!$B$16</f>
        <v>-0</v>
      </c>
      <c r="M838" s="59" t="n">
        <f aca="false">H838/Settings!$B$20</f>
        <v>-0</v>
      </c>
      <c r="N838" s="60" t="n">
        <f aca="false">E838*Settings!$B$3</f>
        <v>0.0619723021596408</v>
      </c>
      <c r="O838" s="60" t="n">
        <f aca="false">IF(E838&gt;0,(F838-N838)/SQRT(E838*Settings!$B$3*(1-Settings!$B$3)),0)</f>
        <v>-0.252891261535318</v>
      </c>
      <c r="P838" s="60" t="n">
        <f aca="false">MAX(0,F838-N838)</f>
        <v>0</v>
      </c>
      <c r="Q838" s="32" t="n">
        <f aca="false">(F838+Settings!$B$7*Settings!$B$3)/(E838+Settings!$B$7)</f>
        <v>0.0290495166373316</v>
      </c>
      <c r="R838" s="61" t="n">
        <f aca="false">PERCENTRANK($H$2:$H$1780,H838,6)</f>
        <v>0</v>
      </c>
      <c r="S838" s="61" t="n">
        <f aca="false">PERCENTRANK($Q$2:$Q$1780,Q838,6)</f>
        <v>0.365579</v>
      </c>
      <c r="T838" s="61" t="n">
        <f aca="false">PERCENTRANK($F$2:$F$1780,F838,6)</f>
        <v>0</v>
      </c>
      <c r="U838" s="62" t="n">
        <f aca="false">IF(F838&gt;0,(Settings!$B$8*T838+Settings!$B$9*R838+Settings!$B$10*S838)/SUM(Settings!$B$8:$B$10),0)</f>
        <v>0</v>
      </c>
      <c r="V838" s="56" t="str">
        <f aca="false">IF(U838&gt;0,RANK(U838,$U$2:$U$1780)+COUNTIF($U$2:U838,U838)-1,"")</f>
        <v/>
      </c>
      <c r="W838" s="56" t="str">
        <f aca="false">IF(V838="","",IF(V838&lt;=Settings!$B$11,"1 - Fix first",IF(V838&lt;=Settings!$B$12,"2 - Review","3 - Monitor")))</f>
        <v/>
      </c>
      <c r="X838" s="56" t="str">
        <f aca="false">IF(AND(E838&gt;=Settings!$B$4,F838&gt;=Settings!$B$5,O838&gt;=Settings!$B$6),"HIGH RATE","")</f>
        <v/>
      </c>
      <c r="Y838" s="56" t="str">
        <f aca="false">IF(F838&gt;0,RANK(F838,$F$2:$F$1780)+COUNTIF($F$2:F838,F838)-1,"")</f>
        <v/>
      </c>
      <c r="Z838" s="56" t="str">
        <f aca="false">IF(H838&gt;0,RANK(H838,$H$2:$H$1780)+COUNTIF($H$2:H838,H838)-1,"")</f>
        <v/>
      </c>
      <c r="AA838" s="56" t="str">
        <f aca="false">IF(AC838="","",RANK(AC838,$AC$2:$AC$1780)+COUNTIF($AC$2:AC838,AC838)-1)</f>
        <v/>
      </c>
      <c r="AB838" s="56" t="str">
        <f aca="false">IF(AD838="","",RANK(AD838,$AD$2:$AD$1780)+COUNTIF($AD$2:AD838,AD838)-1)</f>
        <v/>
      </c>
      <c r="AC838" s="56" t="str">
        <f aca="false">IF(AND(F838&gt;0,E838&gt;=Settings!$B$4),J838,"")</f>
        <v/>
      </c>
      <c r="AD838" s="56" t="str">
        <f aca="false">IF(X838="HIGH RATE",O838,"")</f>
        <v/>
      </c>
    </row>
    <row r="839" customFormat="false" ht="15" hidden="false" customHeight="false" outlineLevel="0" collapsed="false">
      <c r="A839" s="56" t="s">
        <v>2116</v>
      </c>
      <c r="B839" s="56" t="s">
        <v>952</v>
      </c>
      <c r="C839" s="56" t="s">
        <v>51</v>
      </c>
      <c r="D839" s="56" t="str">
        <f aca="false">IFERROR(INDEX('Brand Map'!$B$4:$B$124,MATCH(C839,'Brand Map'!$A$4:$A$124,0)),"Other")</f>
        <v>AU</v>
      </c>
      <c r="E839" s="57" t="n">
        <v>1</v>
      </c>
      <c r="F839" s="57" t="n">
        <v>0</v>
      </c>
      <c r="G839" s="58" t="n">
        <v>183.95</v>
      </c>
      <c r="H839" s="58" t="n">
        <v>0</v>
      </c>
      <c r="I839" s="58" t="n">
        <v>183.95</v>
      </c>
      <c r="J839" s="32" t="n">
        <f aca="false">IF(E839&gt;0,F839/E839,0)</f>
        <v>0</v>
      </c>
      <c r="K839" s="32" t="n">
        <f aca="false">IF(G839&gt;0,H839/G839,0)</f>
        <v>-0</v>
      </c>
      <c r="L839" s="59" t="n">
        <f aca="false">H839/Settings!$B$16</f>
        <v>-0</v>
      </c>
      <c r="M839" s="59" t="n">
        <f aca="false">H839/Settings!$B$20</f>
        <v>-0</v>
      </c>
      <c r="N839" s="60" t="n">
        <f aca="false">E839*Settings!$B$3</f>
        <v>0.0309861510798204</v>
      </c>
      <c r="O839" s="60" t="n">
        <f aca="false">IF(E839&gt;0,(F839-N839)/SQRT(E839*Settings!$B$3*(1-Settings!$B$3)),0)</f>
        <v>-0.178821125934444</v>
      </c>
      <c r="P839" s="60" t="n">
        <f aca="false">MAX(0,F839-N839)</f>
        <v>0</v>
      </c>
      <c r="Q839" s="32" t="n">
        <f aca="false">(F839+Settings!$B$7*Settings!$B$3)/(E839+Settings!$B$7)</f>
        <v>0.0299865978191811</v>
      </c>
      <c r="R839" s="61" t="n">
        <f aca="false">PERCENTRANK($H$2:$H$1780,H839,6)</f>
        <v>0</v>
      </c>
      <c r="S839" s="61" t="n">
        <f aca="false">PERCENTRANK($Q$2:$Q$1780,Q839,6)</f>
        <v>0.486502</v>
      </c>
      <c r="T839" s="61" t="n">
        <f aca="false">PERCENTRANK($F$2:$F$1780,F839,6)</f>
        <v>0</v>
      </c>
      <c r="U839" s="62" t="n">
        <f aca="false">IF(F839&gt;0,(Settings!$B$8*T839+Settings!$B$9*R839+Settings!$B$10*S839)/SUM(Settings!$B$8:$B$10),0)</f>
        <v>0</v>
      </c>
      <c r="V839" s="56" t="str">
        <f aca="false">IF(U839&gt;0,RANK(U839,$U$2:$U$1780)+COUNTIF($U$2:U839,U839)-1,"")</f>
        <v/>
      </c>
      <c r="W839" s="56" t="str">
        <f aca="false">IF(V839="","",IF(V839&lt;=Settings!$B$11,"1 - Fix first",IF(V839&lt;=Settings!$B$12,"2 - Review","3 - Monitor")))</f>
        <v/>
      </c>
      <c r="X839" s="56" t="str">
        <f aca="false">IF(AND(E839&gt;=Settings!$B$4,F839&gt;=Settings!$B$5,O839&gt;=Settings!$B$6),"HIGH RATE","")</f>
        <v/>
      </c>
      <c r="Y839" s="56" t="str">
        <f aca="false">IF(F839&gt;0,RANK(F839,$F$2:$F$1780)+COUNTIF($F$2:F839,F839)-1,"")</f>
        <v/>
      </c>
      <c r="Z839" s="56" t="str">
        <f aca="false">IF(H839&gt;0,RANK(H839,$H$2:$H$1780)+COUNTIF($H$2:H839,H839)-1,"")</f>
        <v/>
      </c>
      <c r="AA839" s="56" t="str">
        <f aca="false">IF(AC839="","",RANK(AC839,$AC$2:$AC$1780)+COUNTIF($AC$2:AC839,AC839)-1)</f>
        <v/>
      </c>
      <c r="AB839" s="56" t="str">
        <f aca="false">IF(AD839="","",RANK(AD839,$AD$2:$AD$1780)+COUNTIF($AD$2:AD839,AD839)-1)</f>
        <v/>
      </c>
      <c r="AC839" s="56" t="str">
        <f aca="false">IF(AND(F839&gt;0,E839&gt;=Settings!$B$4),J839,"")</f>
        <v/>
      </c>
      <c r="AD839" s="56" t="str">
        <f aca="false">IF(X839="HIGH RATE",O839,"")</f>
        <v/>
      </c>
    </row>
    <row r="840" customFormat="false" ht="15" hidden="false" customHeight="false" outlineLevel="0" collapsed="false">
      <c r="A840" s="56" t="s">
        <v>2117</v>
      </c>
      <c r="B840" s="56" t="s">
        <v>1195</v>
      </c>
      <c r="C840" s="56" t="s">
        <v>51</v>
      </c>
      <c r="D840" s="56" t="str">
        <f aca="false">IFERROR(INDEX('Brand Map'!$B$4:$B$124,MATCH(C840,'Brand Map'!$A$4:$A$124,0)),"Other")</f>
        <v>AU</v>
      </c>
      <c r="E840" s="57" t="n">
        <v>2</v>
      </c>
      <c r="F840" s="57" t="n">
        <v>0</v>
      </c>
      <c r="G840" s="58" t="n">
        <v>259.9</v>
      </c>
      <c r="H840" s="58" t="n">
        <v>0</v>
      </c>
      <c r="I840" s="58" t="n">
        <v>259.9</v>
      </c>
      <c r="J840" s="32" t="n">
        <f aca="false">IF(E840&gt;0,F840/E840,0)</f>
        <v>0</v>
      </c>
      <c r="K840" s="32" t="n">
        <f aca="false">IF(G840&gt;0,H840/G840,0)</f>
        <v>-0</v>
      </c>
      <c r="L840" s="59" t="n">
        <f aca="false">H840/Settings!$B$16</f>
        <v>-0</v>
      </c>
      <c r="M840" s="59" t="n">
        <f aca="false">H840/Settings!$B$20</f>
        <v>-0</v>
      </c>
      <c r="N840" s="60" t="n">
        <f aca="false">E840*Settings!$B$3</f>
        <v>0.0619723021596408</v>
      </c>
      <c r="O840" s="60" t="n">
        <f aca="false">IF(E840&gt;0,(F840-N840)/SQRT(E840*Settings!$B$3*(1-Settings!$B$3)),0)</f>
        <v>-0.252891261535318</v>
      </c>
      <c r="P840" s="60" t="n">
        <f aca="false">MAX(0,F840-N840)</f>
        <v>0</v>
      </c>
      <c r="Q840" s="32" t="n">
        <f aca="false">(F840+Settings!$B$7*Settings!$B$3)/(E840+Settings!$B$7)</f>
        <v>0.0290495166373316</v>
      </c>
      <c r="R840" s="61" t="n">
        <f aca="false">PERCENTRANK($H$2:$H$1780,H840,6)</f>
        <v>0</v>
      </c>
      <c r="S840" s="61" t="n">
        <f aca="false">PERCENTRANK($Q$2:$Q$1780,Q840,6)</f>
        <v>0.365579</v>
      </c>
      <c r="T840" s="61" t="n">
        <f aca="false">PERCENTRANK($F$2:$F$1780,F840,6)</f>
        <v>0</v>
      </c>
      <c r="U840" s="62" t="n">
        <f aca="false">IF(F840&gt;0,(Settings!$B$8*T840+Settings!$B$9*R840+Settings!$B$10*S840)/SUM(Settings!$B$8:$B$10),0)</f>
        <v>0</v>
      </c>
      <c r="V840" s="56" t="str">
        <f aca="false">IF(U840&gt;0,RANK(U840,$U$2:$U$1780)+COUNTIF($U$2:U840,U840)-1,"")</f>
        <v/>
      </c>
      <c r="W840" s="56" t="str">
        <f aca="false">IF(V840="","",IF(V840&lt;=Settings!$B$11,"1 - Fix first",IF(V840&lt;=Settings!$B$12,"2 - Review","3 - Monitor")))</f>
        <v/>
      </c>
      <c r="X840" s="56" t="str">
        <f aca="false">IF(AND(E840&gt;=Settings!$B$4,F840&gt;=Settings!$B$5,O840&gt;=Settings!$B$6),"HIGH RATE","")</f>
        <v/>
      </c>
      <c r="Y840" s="56" t="str">
        <f aca="false">IF(F840&gt;0,RANK(F840,$F$2:$F$1780)+COUNTIF($F$2:F840,F840)-1,"")</f>
        <v/>
      </c>
      <c r="Z840" s="56" t="str">
        <f aca="false">IF(H840&gt;0,RANK(H840,$H$2:$H$1780)+COUNTIF($H$2:H840,H840)-1,"")</f>
        <v/>
      </c>
      <c r="AA840" s="56" t="str">
        <f aca="false">IF(AC840="","",RANK(AC840,$AC$2:$AC$1780)+COUNTIF($AC$2:AC840,AC840)-1)</f>
        <v/>
      </c>
      <c r="AB840" s="56" t="str">
        <f aca="false">IF(AD840="","",RANK(AD840,$AD$2:$AD$1780)+COUNTIF($AD$2:AD840,AD840)-1)</f>
        <v/>
      </c>
      <c r="AC840" s="56" t="str">
        <f aca="false">IF(AND(F840&gt;0,E840&gt;=Settings!$B$4),J840,"")</f>
        <v/>
      </c>
      <c r="AD840" s="56" t="str">
        <f aca="false">IF(X840="HIGH RATE",O840,"")</f>
        <v/>
      </c>
    </row>
    <row r="841" customFormat="false" ht="15" hidden="false" customHeight="false" outlineLevel="0" collapsed="false">
      <c r="A841" s="56" t="s">
        <v>2118</v>
      </c>
      <c r="B841" s="56" t="s">
        <v>1195</v>
      </c>
      <c r="C841" s="56" t="s">
        <v>51</v>
      </c>
      <c r="D841" s="56" t="str">
        <f aca="false">IFERROR(INDEX('Brand Map'!$B$4:$B$124,MATCH(C841,'Brand Map'!$A$4:$A$124,0)),"Other")</f>
        <v>AU</v>
      </c>
      <c r="E841" s="57" t="n">
        <v>1</v>
      </c>
      <c r="F841" s="57" t="n">
        <v>0</v>
      </c>
      <c r="G841" s="58" t="n">
        <v>147.95</v>
      </c>
      <c r="H841" s="58" t="n">
        <v>0</v>
      </c>
      <c r="I841" s="58" t="n">
        <v>147.95</v>
      </c>
      <c r="J841" s="32" t="n">
        <f aca="false">IF(E841&gt;0,F841/E841,0)</f>
        <v>0</v>
      </c>
      <c r="K841" s="32" t="n">
        <f aca="false">IF(G841&gt;0,H841/G841,0)</f>
        <v>-0</v>
      </c>
      <c r="L841" s="59" t="n">
        <f aca="false">H841/Settings!$B$16</f>
        <v>-0</v>
      </c>
      <c r="M841" s="59" t="n">
        <f aca="false">H841/Settings!$B$20</f>
        <v>-0</v>
      </c>
      <c r="N841" s="60" t="n">
        <f aca="false">E841*Settings!$B$3</f>
        <v>0.0309861510798204</v>
      </c>
      <c r="O841" s="60" t="n">
        <f aca="false">IF(E841&gt;0,(F841-N841)/SQRT(E841*Settings!$B$3*(1-Settings!$B$3)),0)</f>
        <v>-0.178821125934444</v>
      </c>
      <c r="P841" s="60" t="n">
        <f aca="false">MAX(0,F841-N841)</f>
        <v>0</v>
      </c>
      <c r="Q841" s="32" t="n">
        <f aca="false">(F841+Settings!$B$7*Settings!$B$3)/(E841+Settings!$B$7)</f>
        <v>0.0299865978191811</v>
      </c>
      <c r="R841" s="61" t="n">
        <f aca="false">PERCENTRANK($H$2:$H$1780,H841,6)</f>
        <v>0</v>
      </c>
      <c r="S841" s="61" t="n">
        <f aca="false">PERCENTRANK($Q$2:$Q$1780,Q841,6)</f>
        <v>0.486502</v>
      </c>
      <c r="T841" s="61" t="n">
        <f aca="false">PERCENTRANK($F$2:$F$1780,F841,6)</f>
        <v>0</v>
      </c>
      <c r="U841" s="62" t="n">
        <f aca="false">IF(F841&gt;0,(Settings!$B$8*T841+Settings!$B$9*R841+Settings!$B$10*S841)/SUM(Settings!$B$8:$B$10),0)</f>
        <v>0</v>
      </c>
      <c r="V841" s="56" t="str">
        <f aca="false">IF(U841&gt;0,RANK(U841,$U$2:$U$1780)+COUNTIF($U$2:U841,U841)-1,"")</f>
        <v/>
      </c>
      <c r="W841" s="56" t="str">
        <f aca="false">IF(V841="","",IF(V841&lt;=Settings!$B$11,"1 - Fix first",IF(V841&lt;=Settings!$B$12,"2 - Review","3 - Monitor")))</f>
        <v/>
      </c>
      <c r="X841" s="56" t="str">
        <f aca="false">IF(AND(E841&gt;=Settings!$B$4,F841&gt;=Settings!$B$5,O841&gt;=Settings!$B$6),"HIGH RATE","")</f>
        <v/>
      </c>
      <c r="Y841" s="56" t="str">
        <f aca="false">IF(F841&gt;0,RANK(F841,$F$2:$F$1780)+COUNTIF($F$2:F841,F841)-1,"")</f>
        <v/>
      </c>
      <c r="Z841" s="56" t="str">
        <f aca="false">IF(H841&gt;0,RANK(H841,$H$2:$H$1780)+COUNTIF($H$2:H841,H841)-1,"")</f>
        <v/>
      </c>
      <c r="AA841" s="56" t="str">
        <f aca="false">IF(AC841="","",RANK(AC841,$AC$2:$AC$1780)+COUNTIF($AC$2:AC841,AC841)-1)</f>
        <v/>
      </c>
      <c r="AB841" s="56" t="str">
        <f aca="false">IF(AD841="","",RANK(AD841,$AD$2:$AD$1780)+COUNTIF($AD$2:AD841,AD841)-1)</f>
        <v/>
      </c>
      <c r="AC841" s="56" t="str">
        <f aca="false">IF(AND(F841&gt;0,E841&gt;=Settings!$B$4),J841,"")</f>
        <v/>
      </c>
      <c r="AD841" s="56" t="str">
        <f aca="false">IF(X841="HIGH RATE",O841,"")</f>
        <v/>
      </c>
    </row>
    <row r="842" customFormat="false" ht="15" hidden="false" customHeight="false" outlineLevel="0" collapsed="false">
      <c r="A842" s="56" t="s">
        <v>2119</v>
      </c>
      <c r="B842" s="56" t="s">
        <v>2120</v>
      </c>
      <c r="C842" s="56" t="s">
        <v>51</v>
      </c>
      <c r="D842" s="56" t="str">
        <f aca="false">IFERROR(INDEX('Brand Map'!$B$4:$B$124,MATCH(C842,'Brand Map'!$A$4:$A$124,0)),"Other")</f>
        <v>AU</v>
      </c>
      <c r="E842" s="57" t="n">
        <v>11</v>
      </c>
      <c r="F842" s="57" t="n">
        <v>0</v>
      </c>
      <c r="G842" s="58" t="n">
        <v>2700.56</v>
      </c>
      <c r="H842" s="58" t="n">
        <v>0</v>
      </c>
      <c r="I842" s="58" t="n">
        <v>2584.65</v>
      </c>
      <c r="J842" s="32" t="n">
        <f aca="false">IF(E842&gt;0,F842/E842,0)</f>
        <v>0</v>
      </c>
      <c r="K842" s="32" t="n">
        <f aca="false">IF(G842&gt;0,H842/G842,0)</f>
        <v>-0</v>
      </c>
      <c r="L842" s="59" t="n">
        <f aca="false">H842/Settings!$B$16</f>
        <v>-0</v>
      </c>
      <c r="M842" s="59" t="n">
        <f aca="false">H842/Settings!$B$20</f>
        <v>-0</v>
      </c>
      <c r="N842" s="60" t="n">
        <f aca="false">E842*Settings!$B$3</f>
        <v>0.340847661878025</v>
      </c>
      <c r="O842" s="60" t="n">
        <f aca="false">IF(E842&gt;0,(F842-N842)/SQRT(E842*Settings!$B$3*(1-Settings!$B$3)),0)</f>
        <v>-0.593082579313442</v>
      </c>
      <c r="P842" s="60" t="n">
        <f aca="false">MAX(0,F842-N842)</f>
        <v>0</v>
      </c>
      <c r="Q842" s="32" t="n">
        <f aca="false">(F842+Settings!$B$7*Settings!$B$3)/(E842+Settings!$B$7)</f>
        <v>0.0226727934730393</v>
      </c>
      <c r="R842" s="61" t="n">
        <f aca="false">PERCENTRANK($H$2:$H$1780,H842,6)</f>
        <v>0</v>
      </c>
      <c r="S842" s="61" t="n">
        <f aca="false">PERCENTRANK($Q$2:$Q$1780,Q842,6)</f>
        <v>0.117548</v>
      </c>
      <c r="T842" s="61" t="n">
        <f aca="false">PERCENTRANK($F$2:$F$1780,F842,6)</f>
        <v>0</v>
      </c>
      <c r="U842" s="62" t="n">
        <f aca="false">IF(F842&gt;0,(Settings!$B$8*T842+Settings!$B$9*R842+Settings!$B$10*S842)/SUM(Settings!$B$8:$B$10),0)</f>
        <v>0</v>
      </c>
      <c r="V842" s="56" t="str">
        <f aca="false">IF(U842&gt;0,RANK(U842,$U$2:$U$1780)+COUNTIF($U$2:U842,U842)-1,"")</f>
        <v/>
      </c>
      <c r="W842" s="56" t="str">
        <f aca="false">IF(V842="","",IF(V842&lt;=Settings!$B$11,"1 - Fix first",IF(V842&lt;=Settings!$B$12,"2 - Review","3 - Monitor")))</f>
        <v/>
      </c>
      <c r="X842" s="56" t="str">
        <f aca="false">IF(AND(E842&gt;=Settings!$B$4,F842&gt;=Settings!$B$5,O842&gt;=Settings!$B$6),"HIGH RATE","")</f>
        <v/>
      </c>
      <c r="Y842" s="56" t="str">
        <f aca="false">IF(F842&gt;0,RANK(F842,$F$2:$F$1780)+COUNTIF($F$2:F842,F842)-1,"")</f>
        <v/>
      </c>
      <c r="Z842" s="56" t="str">
        <f aca="false">IF(H842&gt;0,RANK(H842,$H$2:$H$1780)+COUNTIF($H$2:H842,H842)-1,"")</f>
        <v/>
      </c>
      <c r="AA842" s="56" t="str">
        <f aca="false">IF(AC842="","",RANK(AC842,$AC$2:$AC$1780)+COUNTIF($AC$2:AC842,AC842)-1)</f>
        <v/>
      </c>
      <c r="AB842" s="56" t="str">
        <f aca="false">IF(AD842="","",RANK(AD842,$AD$2:$AD$1780)+COUNTIF($AD$2:AD842,AD842)-1)</f>
        <v/>
      </c>
      <c r="AC842" s="56" t="str">
        <f aca="false">IF(AND(F842&gt;0,E842&gt;=Settings!$B$4),J842,"")</f>
        <v/>
      </c>
      <c r="AD842" s="56" t="str">
        <f aca="false">IF(X842="HIGH RATE",O842,"")</f>
        <v/>
      </c>
    </row>
    <row r="843" customFormat="false" ht="15" hidden="false" customHeight="false" outlineLevel="0" collapsed="false">
      <c r="A843" s="56" t="s">
        <v>2121</v>
      </c>
      <c r="B843" s="56" t="s">
        <v>1328</v>
      </c>
      <c r="C843" s="56" t="s">
        <v>51</v>
      </c>
      <c r="D843" s="56" t="str">
        <f aca="false">IFERROR(INDEX('Brand Map'!$B$4:$B$124,MATCH(C843,'Brand Map'!$A$4:$A$124,0)),"Other")</f>
        <v>AU</v>
      </c>
      <c r="E843" s="57" t="n">
        <v>1</v>
      </c>
      <c r="F843" s="57" t="n">
        <v>0</v>
      </c>
      <c r="G843" s="58" t="n">
        <v>158.55</v>
      </c>
      <c r="H843" s="58" t="n">
        <v>0</v>
      </c>
      <c r="I843" s="58" t="n">
        <v>158.55</v>
      </c>
      <c r="J843" s="32" t="n">
        <f aca="false">IF(E843&gt;0,F843/E843,0)</f>
        <v>0</v>
      </c>
      <c r="K843" s="32" t="n">
        <f aca="false">IF(G843&gt;0,H843/G843,0)</f>
        <v>-0</v>
      </c>
      <c r="L843" s="59" t="n">
        <f aca="false">H843/Settings!$B$16</f>
        <v>-0</v>
      </c>
      <c r="M843" s="59" t="n">
        <f aca="false">H843/Settings!$B$20</f>
        <v>-0</v>
      </c>
      <c r="N843" s="60" t="n">
        <f aca="false">E843*Settings!$B$3</f>
        <v>0.0309861510798204</v>
      </c>
      <c r="O843" s="60" t="n">
        <f aca="false">IF(E843&gt;0,(F843-N843)/SQRT(E843*Settings!$B$3*(1-Settings!$B$3)),0)</f>
        <v>-0.178821125934444</v>
      </c>
      <c r="P843" s="60" t="n">
        <f aca="false">MAX(0,F843-N843)</f>
        <v>0</v>
      </c>
      <c r="Q843" s="32" t="n">
        <f aca="false">(F843+Settings!$B$7*Settings!$B$3)/(E843+Settings!$B$7)</f>
        <v>0.0299865978191811</v>
      </c>
      <c r="R843" s="61" t="n">
        <f aca="false">PERCENTRANK($H$2:$H$1780,H843,6)</f>
        <v>0</v>
      </c>
      <c r="S843" s="61" t="n">
        <f aca="false">PERCENTRANK($Q$2:$Q$1780,Q843,6)</f>
        <v>0.486502</v>
      </c>
      <c r="T843" s="61" t="n">
        <f aca="false">PERCENTRANK($F$2:$F$1780,F843,6)</f>
        <v>0</v>
      </c>
      <c r="U843" s="62" t="n">
        <f aca="false">IF(F843&gt;0,(Settings!$B$8*T843+Settings!$B$9*R843+Settings!$B$10*S843)/SUM(Settings!$B$8:$B$10),0)</f>
        <v>0</v>
      </c>
      <c r="V843" s="56" t="str">
        <f aca="false">IF(U843&gt;0,RANK(U843,$U$2:$U$1780)+COUNTIF($U$2:U843,U843)-1,"")</f>
        <v/>
      </c>
      <c r="W843" s="56" t="str">
        <f aca="false">IF(V843="","",IF(V843&lt;=Settings!$B$11,"1 - Fix first",IF(V843&lt;=Settings!$B$12,"2 - Review","3 - Monitor")))</f>
        <v/>
      </c>
      <c r="X843" s="56" t="str">
        <f aca="false">IF(AND(E843&gt;=Settings!$B$4,F843&gt;=Settings!$B$5,O843&gt;=Settings!$B$6),"HIGH RATE","")</f>
        <v/>
      </c>
      <c r="Y843" s="56" t="str">
        <f aca="false">IF(F843&gt;0,RANK(F843,$F$2:$F$1780)+COUNTIF($F$2:F843,F843)-1,"")</f>
        <v/>
      </c>
      <c r="Z843" s="56" t="str">
        <f aca="false">IF(H843&gt;0,RANK(H843,$H$2:$H$1780)+COUNTIF($H$2:H843,H843)-1,"")</f>
        <v/>
      </c>
      <c r="AA843" s="56" t="str">
        <f aca="false">IF(AC843="","",RANK(AC843,$AC$2:$AC$1780)+COUNTIF($AC$2:AC843,AC843)-1)</f>
        <v/>
      </c>
      <c r="AB843" s="56" t="str">
        <f aca="false">IF(AD843="","",RANK(AD843,$AD$2:$AD$1780)+COUNTIF($AD$2:AD843,AD843)-1)</f>
        <v/>
      </c>
      <c r="AC843" s="56" t="str">
        <f aca="false">IF(AND(F843&gt;0,E843&gt;=Settings!$B$4),J843,"")</f>
        <v/>
      </c>
      <c r="AD843" s="56" t="str">
        <f aca="false">IF(X843="HIGH RATE",O843,"")</f>
        <v/>
      </c>
    </row>
    <row r="844" customFormat="false" ht="15" hidden="false" customHeight="false" outlineLevel="0" collapsed="false">
      <c r="A844" s="56" t="s">
        <v>2122</v>
      </c>
      <c r="B844" s="56" t="s">
        <v>1601</v>
      </c>
      <c r="C844" s="56" t="s">
        <v>51</v>
      </c>
      <c r="D844" s="56" t="str">
        <f aca="false">IFERROR(INDEX('Brand Map'!$B$4:$B$124,MATCH(C844,'Brand Map'!$A$4:$A$124,0)),"Other")</f>
        <v>AU</v>
      </c>
      <c r="E844" s="57" t="n">
        <v>3</v>
      </c>
      <c r="F844" s="57" t="n">
        <v>0</v>
      </c>
      <c r="G844" s="58" t="n">
        <v>410.85</v>
      </c>
      <c r="H844" s="58" t="n">
        <v>0</v>
      </c>
      <c r="I844" s="58" t="n">
        <v>410.85</v>
      </c>
      <c r="J844" s="32" t="n">
        <f aca="false">IF(E844&gt;0,F844/E844,0)</f>
        <v>0</v>
      </c>
      <c r="K844" s="32" t="n">
        <f aca="false">IF(G844&gt;0,H844/G844,0)</f>
        <v>-0</v>
      </c>
      <c r="L844" s="59" t="n">
        <f aca="false">H844/Settings!$B$16</f>
        <v>-0</v>
      </c>
      <c r="M844" s="59" t="n">
        <f aca="false">H844/Settings!$B$20</f>
        <v>-0</v>
      </c>
      <c r="N844" s="60" t="n">
        <f aca="false">E844*Settings!$B$3</f>
        <v>0.0929584532394613</v>
      </c>
      <c r="O844" s="60" t="n">
        <f aca="false">IF(E844&gt;0,(F844-N844)/SQRT(E844*Settings!$B$3*(1-Settings!$B$3)),0)</f>
        <v>-0.30972727558513</v>
      </c>
      <c r="P844" s="60" t="n">
        <f aca="false">MAX(0,F844-N844)</f>
        <v>0</v>
      </c>
      <c r="Q844" s="32" t="n">
        <f aca="false">(F844+Settings!$B$7*Settings!$B$3)/(E844+Settings!$B$7)</f>
        <v>0.0281692282543822</v>
      </c>
      <c r="R844" s="61" t="n">
        <f aca="false">PERCENTRANK($H$2:$H$1780,H844,6)</f>
        <v>0</v>
      </c>
      <c r="S844" s="61" t="n">
        <f aca="false">PERCENTRANK($Q$2:$Q$1780,Q844,6)</f>
        <v>0.294151</v>
      </c>
      <c r="T844" s="61" t="n">
        <f aca="false">PERCENTRANK($F$2:$F$1780,F844,6)</f>
        <v>0</v>
      </c>
      <c r="U844" s="62" t="n">
        <f aca="false">IF(F844&gt;0,(Settings!$B$8*T844+Settings!$B$9*R844+Settings!$B$10*S844)/SUM(Settings!$B$8:$B$10),0)</f>
        <v>0</v>
      </c>
      <c r="V844" s="56" t="str">
        <f aca="false">IF(U844&gt;0,RANK(U844,$U$2:$U$1780)+COUNTIF($U$2:U844,U844)-1,"")</f>
        <v/>
      </c>
      <c r="W844" s="56" t="str">
        <f aca="false">IF(V844="","",IF(V844&lt;=Settings!$B$11,"1 - Fix first",IF(V844&lt;=Settings!$B$12,"2 - Review","3 - Monitor")))</f>
        <v/>
      </c>
      <c r="X844" s="56" t="str">
        <f aca="false">IF(AND(E844&gt;=Settings!$B$4,F844&gt;=Settings!$B$5,O844&gt;=Settings!$B$6),"HIGH RATE","")</f>
        <v/>
      </c>
      <c r="Y844" s="56" t="str">
        <f aca="false">IF(F844&gt;0,RANK(F844,$F$2:$F$1780)+COUNTIF($F$2:F844,F844)-1,"")</f>
        <v/>
      </c>
      <c r="Z844" s="56" t="str">
        <f aca="false">IF(H844&gt;0,RANK(H844,$H$2:$H$1780)+COUNTIF($H$2:H844,H844)-1,"")</f>
        <v/>
      </c>
      <c r="AA844" s="56" t="str">
        <f aca="false">IF(AC844="","",RANK(AC844,$AC$2:$AC$1780)+COUNTIF($AC$2:AC844,AC844)-1)</f>
        <v/>
      </c>
      <c r="AB844" s="56" t="str">
        <f aca="false">IF(AD844="","",RANK(AD844,$AD$2:$AD$1780)+COUNTIF($AD$2:AD844,AD844)-1)</f>
        <v/>
      </c>
      <c r="AC844" s="56" t="str">
        <f aca="false">IF(AND(F844&gt;0,E844&gt;=Settings!$B$4),J844,"")</f>
        <v/>
      </c>
      <c r="AD844" s="56" t="str">
        <f aca="false">IF(X844="HIGH RATE",O844,"")</f>
        <v/>
      </c>
    </row>
    <row r="845" customFormat="false" ht="15" hidden="false" customHeight="false" outlineLevel="0" collapsed="false">
      <c r="A845" s="56" t="s">
        <v>2123</v>
      </c>
      <c r="B845" s="56" t="s">
        <v>1694</v>
      </c>
      <c r="C845" s="56" t="s">
        <v>51</v>
      </c>
      <c r="D845" s="56" t="str">
        <f aca="false">IFERROR(INDEX('Brand Map'!$B$4:$B$124,MATCH(C845,'Brand Map'!$A$4:$A$124,0)),"Other")</f>
        <v>AU</v>
      </c>
      <c r="E845" s="57" t="n">
        <v>2</v>
      </c>
      <c r="F845" s="57" t="n">
        <v>0</v>
      </c>
      <c r="G845" s="58" t="n">
        <v>462.63</v>
      </c>
      <c r="H845" s="58" t="n">
        <v>0</v>
      </c>
      <c r="I845" s="58" t="n">
        <v>462.63</v>
      </c>
      <c r="J845" s="32" t="n">
        <f aca="false">IF(E845&gt;0,F845/E845,0)</f>
        <v>0</v>
      </c>
      <c r="K845" s="32" t="n">
        <f aca="false">IF(G845&gt;0,H845/G845,0)</f>
        <v>-0</v>
      </c>
      <c r="L845" s="59" t="n">
        <f aca="false">H845/Settings!$B$16</f>
        <v>-0</v>
      </c>
      <c r="M845" s="59" t="n">
        <f aca="false">H845/Settings!$B$20</f>
        <v>-0</v>
      </c>
      <c r="N845" s="60" t="n">
        <f aca="false">E845*Settings!$B$3</f>
        <v>0.0619723021596408</v>
      </c>
      <c r="O845" s="60" t="n">
        <f aca="false">IF(E845&gt;0,(F845-N845)/SQRT(E845*Settings!$B$3*(1-Settings!$B$3)),0)</f>
        <v>-0.252891261535318</v>
      </c>
      <c r="P845" s="60" t="n">
        <f aca="false">MAX(0,F845-N845)</f>
        <v>0</v>
      </c>
      <c r="Q845" s="32" t="n">
        <f aca="false">(F845+Settings!$B$7*Settings!$B$3)/(E845+Settings!$B$7)</f>
        <v>0.0290495166373316</v>
      </c>
      <c r="R845" s="61" t="n">
        <f aca="false">PERCENTRANK($H$2:$H$1780,H845,6)</f>
        <v>0</v>
      </c>
      <c r="S845" s="61" t="n">
        <f aca="false">PERCENTRANK($Q$2:$Q$1780,Q845,6)</f>
        <v>0.365579</v>
      </c>
      <c r="T845" s="61" t="n">
        <f aca="false">PERCENTRANK($F$2:$F$1780,F845,6)</f>
        <v>0</v>
      </c>
      <c r="U845" s="62" t="n">
        <f aca="false">IF(F845&gt;0,(Settings!$B$8*T845+Settings!$B$9*R845+Settings!$B$10*S845)/SUM(Settings!$B$8:$B$10),0)</f>
        <v>0</v>
      </c>
      <c r="V845" s="56" t="str">
        <f aca="false">IF(U845&gt;0,RANK(U845,$U$2:$U$1780)+COUNTIF($U$2:U845,U845)-1,"")</f>
        <v/>
      </c>
      <c r="W845" s="56" t="str">
        <f aca="false">IF(V845="","",IF(V845&lt;=Settings!$B$11,"1 - Fix first",IF(V845&lt;=Settings!$B$12,"2 - Review","3 - Monitor")))</f>
        <v/>
      </c>
      <c r="X845" s="56" t="str">
        <f aca="false">IF(AND(E845&gt;=Settings!$B$4,F845&gt;=Settings!$B$5,O845&gt;=Settings!$B$6),"HIGH RATE","")</f>
        <v/>
      </c>
      <c r="Y845" s="56" t="str">
        <f aca="false">IF(F845&gt;0,RANK(F845,$F$2:$F$1780)+COUNTIF($F$2:F845,F845)-1,"")</f>
        <v/>
      </c>
      <c r="Z845" s="56" t="str">
        <f aca="false">IF(H845&gt;0,RANK(H845,$H$2:$H$1780)+COUNTIF($H$2:H845,H845)-1,"")</f>
        <v/>
      </c>
      <c r="AA845" s="56" t="str">
        <f aca="false">IF(AC845="","",RANK(AC845,$AC$2:$AC$1780)+COUNTIF($AC$2:AC845,AC845)-1)</f>
        <v/>
      </c>
      <c r="AB845" s="56" t="str">
        <f aca="false">IF(AD845="","",RANK(AD845,$AD$2:$AD$1780)+COUNTIF($AD$2:AD845,AD845)-1)</f>
        <v/>
      </c>
      <c r="AC845" s="56" t="str">
        <f aca="false">IF(AND(F845&gt;0,E845&gt;=Settings!$B$4),J845,"")</f>
        <v/>
      </c>
      <c r="AD845" s="56" t="str">
        <f aca="false">IF(X845="HIGH RATE",O845,"")</f>
        <v/>
      </c>
    </row>
    <row r="846" customFormat="false" ht="15" hidden="false" customHeight="false" outlineLevel="0" collapsed="false">
      <c r="A846" s="56" t="s">
        <v>2124</v>
      </c>
      <c r="B846" s="56" t="s">
        <v>2125</v>
      </c>
      <c r="C846" s="56" t="s">
        <v>51</v>
      </c>
      <c r="D846" s="56" t="str">
        <f aca="false">IFERROR(INDEX('Brand Map'!$B$4:$B$124,MATCH(C846,'Brand Map'!$A$4:$A$124,0)),"Other")</f>
        <v>AU</v>
      </c>
      <c r="E846" s="57" t="n">
        <v>1</v>
      </c>
      <c r="F846" s="57" t="n">
        <v>0</v>
      </c>
      <c r="G846" s="58" t="n">
        <v>174.95</v>
      </c>
      <c r="H846" s="58" t="n">
        <v>0</v>
      </c>
      <c r="I846" s="58" t="n">
        <v>174.95</v>
      </c>
      <c r="J846" s="32" t="n">
        <f aca="false">IF(E846&gt;0,F846/E846,0)</f>
        <v>0</v>
      </c>
      <c r="K846" s="32" t="n">
        <f aca="false">IF(G846&gt;0,H846/G846,0)</f>
        <v>-0</v>
      </c>
      <c r="L846" s="59" t="n">
        <f aca="false">H846/Settings!$B$16</f>
        <v>-0</v>
      </c>
      <c r="M846" s="59" t="n">
        <f aca="false">H846/Settings!$B$20</f>
        <v>-0</v>
      </c>
      <c r="N846" s="60" t="n">
        <f aca="false">E846*Settings!$B$3</f>
        <v>0.0309861510798204</v>
      </c>
      <c r="O846" s="60" t="n">
        <f aca="false">IF(E846&gt;0,(F846-N846)/SQRT(E846*Settings!$B$3*(1-Settings!$B$3)),0)</f>
        <v>-0.178821125934444</v>
      </c>
      <c r="P846" s="60" t="n">
        <f aca="false">MAX(0,F846-N846)</f>
        <v>0</v>
      </c>
      <c r="Q846" s="32" t="n">
        <f aca="false">(F846+Settings!$B$7*Settings!$B$3)/(E846+Settings!$B$7)</f>
        <v>0.0299865978191811</v>
      </c>
      <c r="R846" s="61" t="n">
        <f aca="false">PERCENTRANK($H$2:$H$1780,H846,6)</f>
        <v>0</v>
      </c>
      <c r="S846" s="61" t="n">
        <f aca="false">PERCENTRANK($Q$2:$Q$1780,Q846,6)</f>
        <v>0.486502</v>
      </c>
      <c r="T846" s="61" t="n">
        <f aca="false">PERCENTRANK($F$2:$F$1780,F846,6)</f>
        <v>0</v>
      </c>
      <c r="U846" s="62" t="n">
        <f aca="false">IF(F846&gt;0,(Settings!$B$8*T846+Settings!$B$9*R846+Settings!$B$10*S846)/SUM(Settings!$B$8:$B$10),0)</f>
        <v>0</v>
      </c>
      <c r="V846" s="56" t="str">
        <f aca="false">IF(U846&gt;0,RANK(U846,$U$2:$U$1780)+COUNTIF($U$2:U846,U846)-1,"")</f>
        <v/>
      </c>
      <c r="W846" s="56" t="str">
        <f aca="false">IF(V846="","",IF(V846&lt;=Settings!$B$11,"1 - Fix first",IF(V846&lt;=Settings!$B$12,"2 - Review","3 - Monitor")))</f>
        <v/>
      </c>
      <c r="X846" s="56" t="str">
        <f aca="false">IF(AND(E846&gt;=Settings!$B$4,F846&gt;=Settings!$B$5,O846&gt;=Settings!$B$6),"HIGH RATE","")</f>
        <v/>
      </c>
      <c r="Y846" s="56" t="str">
        <f aca="false">IF(F846&gt;0,RANK(F846,$F$2:$F$1780)+COUNTIF($F$2:F846,F846)-1,"")</f>
        <v/>
      </c>
      <c r="Z846" s="56" t="str">
        <f aca="false">IF(H846&gt;0,RANK(H846,$H$2:$H$1780)+COUNTIF($H$2:H846,H846)-1,"")</f>
        <v/>
      </c>
      <c r="AA846" s="56" t="str">
        <f aca="false">IF(AC846="","",RANK(AC846,$AC$2:$AC$1780)+COUNTIF($AC$2:AC846,AC846)-1)</f>
        <v/>
      </c>
      <c r="AB846" s="56" t="str">
        <f aca="false">IF(AD846="","",RANK(AD846,$AD$2:$AD$1780)+COUNTIF($AD$2:AD846,AD846)-1)</f>
        <v/>
      </c>
      <c r="AC846" s="56" t="str">
        <f aca="false">IF(AND(F846&gt;0,E846&gt;=Settings!$B$4),J846,"")</f>
        <v/>
      </c>
      <c r="AD846" s="56" t="str">
        <f aca="false">IF(X846="HIGH RATE",O846,"")</f>
        <v/>
      </c>
    </row>
    <row r="847" customFormat="false" ht="15" hidden="false" customHeight="false" outlineLevel="0" collapsed="false">
      <c r="A847" s="56" t="s">
        <v>2126</v>
      </c>
      <c r="B847" s="56" t="s">
        <v>2127</v>
      </c>
      <c r="C847" s="56" t="s">
        <v>51</v>
      </c>
      <c r="D847" s="56" t="str">
        <f aca="false">IFERROR(INDEX('Brand Map'!$B$4:$B$124,MATCH(C847,'Brand Map'!$A$4:$A$124,0)),"Other")</f>
        <v>AU</v>
      </c>
      <c r="E847" s="57" t="n">
        <v>24</v>
      </c>
      <c r="F847" s="57" t="n">
        <v>0</v>
      </c>
      <c r="G847" s="58" t="n">
        <v>2722.95</v>
      </c>
      <c r="H847" s="58" t="n">
        <v>0</v>
      </c>
      <c r="I847" s="58" t="n">
        <v>2650.33</v>
      </c>
      <c r="J847" s="32" t="n">
        <f aca="false">IF(E847&gt;0,F847/E847,0)</f>
        <v>0</v>
      </c>
      <c r="K847" s="32" t="n">
        <f aca="false">IF(G847&gt;0,H847/G847,0)</f>
        <v>-0</v>
      </c>
      <c r="L847" s="59" t="n">
        <f aca="false">H847/Settings!$B$16</f>
        <v>-0</v>
      </c>
      <c r="M847" s="59" t="n">
        <f aca="false">H847/Settings!$B$20</f>
        <v>-0</v>
      </c>
      <c r="N847" s="60" t="n">
        <f aca="false">E847*Settings!$B$3</f>
        <v>0.74366762591569</v>
      </c>
      <c r="O847" s="60" t="n">
        <f aca="false">IF(E847&gt;0,(F847-N847)/SQRT(E847*Settings!$B$3*(1-Settings!$B$3)),0)</f>
        <v>-0.876041027538719</v>
      </c>
      <c r="P847" s="60" t="n">
        <f aca="false">MAX(0,F847-N847)</f>
        <v>0</v>
      </c>
      <c r="Q847" s="32" t="n">
        <f aca="false">(F847+Settings!$B$7*Settings!$B$3)/(E847+Settings!$B$7)</f>
        <v>0.017214528377678</v>
      </c>
      <c r="R847" s="61" t="n">
        <f aca="false">PERCENTRANK($H$2:$H$1780,H847,6)</f>
        <v>0</v>
      </c>
      <c r="S847" s="61" t="n">
        <f aca="false">PERCENTRANK($Q$2:$Q$1780,Q847,6)</f>
        <v>0.0556805</v>
      </c>
      <c r="T847" s="61" t="n">
        <f aca="false">PERCENTRANK($F$2:$F$1780,F847,6)</f>
        <v>0</v>
      </c>
      <c r="U847" s="62" t="n">
        <f aca="false">IF(F847&gt;0,(Settings!$B$8*T847+Settings!$B$9*R847+Settings!$B$10*S847)/SUM(Settings!$B$8:$B$10),0)</f>
        <v>0</v>
      </c>
      <c r="V847" s="56" t="str">
        <f aca="false">IF(U847&gt;0,RANK(U847,$U$2:$U$1780)+COUNTIF($U$2:U847,U847)-1,"")</f>
        <v/>
      </c>
      <c r="W847" s="56" t="str">
        <f aca="false">IF(V847="","",IF(V847&lt;=Settings!$B$11,"1 - Fix first",IF(V847&lt;=Settings!$B$12,"2 - Review","3 - Monitor")))</f>
        <v/>
      </c>
      <c r="X847" s="56" t="str">
        <f aca="false">IF(AND(E847&gt;=Settings!$B$4,F847&gt;=Settings!$B$5,O847&gt;=Settings!$B$6),"HIGH RATE","")</f>
        <v/>
      </c>
      <c r="Y847" s="56" t="str">
        <f aca="false">IF(F847&gt;0,RANK(F847,$F$2:$F$1780)+COUNTIF($F$2:F847,F847)-1,"")</f>
        <v/>
      </c>
      <c r="Z847" s="56" t="str">
        <f aca="false">IF(H847&gt;0,RANK(H847,$H$2:$H$1780)+COUNTIF($H$2:H847,H847)-1,"")</f>
        <v/>
      </c>
      <c r="AA847" s="56" t="str">
        <f aca="false">IF(AC847="","",RANK(AC847,$AC$2:$AC$1780)+COUNTIF($AC$2:AC847,AC847)-1)</f>
        <v/>
      </c>
      <c r="AB847" s="56" t="str">
        <f aca="false">IF(AD847="","",RANK(AD847,$AD$2:$AD$1780)+COUNTIF($AD$2:AD847,AD847)-1)</f>
        <v/>
      </c>
      <c r="AC847" s="56" t="str">
        <f aca="false">IF(AND(F847&gt;0,E847&gt;=Settings!$B$4),J847,"")</f>
        <v/>
      </c>
      <c r="AD847" s="56" t="str">
        <f aca="false">IF(X847="HIGH RATE",O847,"")</f>
        <v/>
      </c>
    </row>
    <row r="848" customFormat="false" ht="15" hidden="false" customHeight="false" outlineLevel="0" collapsed="false">
      <c r="A848" s="56" t="s">
        <v>2128</v>
      </c>
      <c r="B848" s="56" t="s">
        <v>1585</v>
      </c>
      <c r="C848" s="56" t="s">
        <v>51</v>
      </c>
      <c r="D848" s="56" t="str">
        <f aca="false">IFERROR(INDEX('Brand Map'!$B$4:$B$124,MATCH(C848,'Brand Map'!$A$4:$A$124,0)),"Other")</f>
        <v>AU</v>
      </c>
      <c r="E848" s="57" t="n">
        <v>1</v>
      </c>
      <c r="F848" s="57" t="n">
        <v>0</v>
      </c>
      <c r="G848" s="58" t="n">
        <v>116.69</v>
      </c>
      <c r="H848" s="58" t="n">
        <v>0</v>
      </c>
      <c r="I848" s="58" t="n">
        <v>116.69</v>
      </c>
      <c r="J848" s="32" t="n">
        <f aca="false">IF(E848&gt;0,F848/E848,0)</f>
        <v>0</v>
      </c>
      <c r="K848" s="32" t="n">
        <f aca="false">IF(G848&gt;0,H848/G848,0)</f>
        <v>-0</v>
      </c>
      <c r="L848" s="59" t="n">
        <f aca="false">H848/Settings!$B$16</f>
        <v>-0</v>
      </c>
      <c r="M848" s="59" t="n">
        <f aca="false">H848/Settings!$B$20</f>
        <v>-0</v>
      </c>
      <c r="N848" s="60" t="n">
        <f aca="false">E848*Settings!$B$3</f>
        <v>0.0309861510798204</v>
      </c>
      <c r="O848" s="60" t="n">
        <f aca="false">IF(E848&gt;0,(F848-N848)/SQRT(E848*Settings!$B$3*(1-Settings!$B$3)),0)</f>
        <v>-0.178821125934444</v>
      </c>
      <c r="P848" s="60" t="n">
        <f aca="false">MAX(0,F848-N848)</f>
        <v>0</v>
      </c>
      <c r="Q848" s="32" t="n">
        <f aca="false">(F848+Settings!$B$7*Settings!$B$3)/(E848+Settings!$B$7)</f>
        <v>0.0299865978191811</v>
      </c>
      <c r="R848" s="61" t="n">
        <f aca="false">PERCENTRANK($H$2:$H$1780,H848,6)</f>
        <v>0</v>
      </c>
      <c r="S848" s="61" t="n">
        <f aca="false">PERCENTRANK($Q$2:$Q$1780,Q848,6)</f>
        <v>0.486502</v>
      </c>
      <c r="T848" s="61" t="n">
        <f aca="false">PERCENTRANK($F$2:$F$1780,F848,6)</f>
        <v>0</v>
      </c>
      <c r="U848" s="62" t="n">
        <f aca="false">IF(F848&gt;0,(Settings!$B$8*T848+Settings!$B$9*R848+Settings!$B$10*S848)/SUM(Settings!$B$8:$B$10),0)</f>
        <v>0</v>
      </c>
      <c r="V848" s="56" t="str">
        <f aca="false">IF(U848&gt;0,RANK(U848,$U$2:$U$1780)+COUNTIF($U$2:U848,U848)-1,"")</f>
        <v/>
      </c>
      <c r="W848" s="56" t="str">
        <f aca="false">IF(V848="","",IF(V848&lt;=Settings!$B$11,"1 - Fix first",IF(V848&lt;=Settings!$B$12,"2 - Review","3 - Monitor")))</f>
        <v/>
      </c>
      <c r="X848" s="56" t="str">
        <f aca="false">IF(AND(E848&gt;=Settings!$B$4,F848&gt;=Settings!$B$5,O848&gt;=Settings!$B$6),"HIGH RATE","")</f>
        <v/>
      </c>
      <c r="Y848" s="56" t="str">
        <f aca="false">IF(F848&gt;0,RANK(F848,$F$2:$F$1780)+COUNTIF($F$2:F848,F848)-1,"")</f>
        <v/>
      </c>
      <c r="Z848" s="56" t="str">
        <f aca="false">IF(H848&gt;0,RANK(H848,$H$2:$H$1780)+COUNTIF($H$2:H848,H848)-1,"")</f>
        <v/>
      </c>
      <c r="AA848" s="56" t="str">
        <f aca="false">IF(AC848="","",RANK(AC848,$AC$2:$AC$1780)+COUNTIF($AC$2:AC848,AC848)-1)</f>
        <v/>
      </c>
      <c r="AB848" s="56" t="str">
        <f aca="false">IF(AD848="","",RANK(AD848,$AD$2:$AD$1780)+COUNTIF($AD$2:AD848,AD848)-1)</f>
        <v/>
      </c>
      <c r="AC848" s="56" t="str">
        <f aca="false">IF(AND(F848&gt;0,E848&gt;=Settings!$B$4),J848,"")</f>
        <v/>
      </c>
      <c r="AD848" s="56" t="str">
        <f aca="false">IF(X848="HIGH RATE",O848,"")</f>
        <v/>
      </c>
    </row>
    <row r="849" customFormat="false" ht="15" hidden="false" customHeight="false" outlineLevel="0" collapsed="false">
      <c r="A849" s="56" t="s">
        <v>2129</v>
      </c>
      <c r="B849" s="56" t="s">
        <v>1461</v>
      </c>
      <c r="C849" s="56" t="s">
        <v>51</v>
      </c>
      <c r="D849" s="56" t="str">
        <f aca="false">IFERROR(INDEX('Brand Map'!$B$4:$B$124,MATCH(C849,'Brand Map'!$A$4:$A$124,0)),"Other")</f>
        <v>AU</v>
      </c>
      <c r="E849" s="57" t="n">
        <v>2</v>
      </c>
      <c r="F849" s="57" t="n">
        <v>0</v>
      </c>
      <c r="G849" s="58" t="n">
        <v>299.9</v>
      </c>
      <c r="H849" s="58" t="n">
        <v>0</v>
      </c>
      <c r="I849" s="58" t="n">
        <v>299.9</v>
      </c>
      <c r="J849" s="32" t="n">
        <f aca="false">IF(E849&gt;0,F849/E849,0)</f>
        <v>0</v>
      </c>
      <c r="K849" s="32" t="n">
        <f aca="false">IF(G849&gt;0,H849/G849,0)</f>
        <v>-0</v>
      </c>
      <c r="L849" s="59" t="n">
        <f aca="false">H849/Settings!$B$16</f>
        <v>-0</v>
      </c>
      <c r="M849" s="59" t="n">
        <f aca="false">H849/Settings!$B$20</f>
        <v>-0</v>
      </c>
      <c r="N849" s="60" t="n">
        <f aca="false">E849*Settings!$B$3</f>
        <v>0.0619723021596408</v>
      </c>
      <c r="O849" s="60" t="n">
        <f aca="false">IF(E849&gt;0,(F849-N849)/SQRT(E849*Settings!$B$3*(1-Settings!$B$3)),0)</f>
        <v>-0.252891261535318</v>
      </c>
      <c r="P849" s="60" t="n">
        <f aca="false">MAX(0,F849-N849)</f>
        <v>0</v>
      </c>
      <c r="Q849" s="32" t="n">
        <f aca="false">(F849+Settings!$B$7*Settings!$B$3)/(E849+Settings!$B$7)</f>
        <v>0.0290495166373316</v>
      </c>
      <c r="R849" s="61" t="n">
        <f aca="false">PERCENTRANK($H$2:$H$1780,H849,6)</f>
        <v>0</v>
      </c>
      <c r="S849" s="61" t="n">
        <f aca="false">PERCENTRANK($Q$2:$Q$1780,Q849,6)</f>
        <v>0.365579</v>
      </c>
      <c r="T849" s="61" t="n">
        <f aca="false">PERCENTRANK($F$2:$F$1780,F849,6)</f>
        <v>0</v>
      </c>
      <c r="U849" s="62" t="n">
        <f aca="false">IF(F849&gt;0,(Settings!$B$8*T849+Settings!$B$9*R849+Settings!$B$10*S849)/SUM(Settings!$B$8:$B$10),0)</f>
        <v>0</v>
      </c>
      <c r="V849" s="56" t="str">
        <f aca="false">IF(U849&gt;0,RANK(U849,$U$2:$U$1780)+COUNTIF($U$2:U849,U849)-1,"")</f>
        <v/>
      </c>
      <c r="W849" s="56" t="str">
        <f aca="false">IF(V849="","",IF(V849&lt;=Settings!$B$11,"1 - Fix first",IF(V849&lt;=Settings!$B$12,"2 - Review","3 - Monitor")))</f>
        <v/>
      </c>
      <c r="X849" s="56" t="str">
        <f aca="false">IF(AND(E849&gt;=Settings!$B$4,F849&gt;=Settings!$B$5,O849&gt;=Settings!$B$6),"HIGH RATE","")</f>
        <v/>
      </c>
      <c r="Y849" s="56" t="str">
        <f aca="false">IF(F849&gt;0,RANK(F849,$F$2:$F$1780)+COUNTIF($F$2:F849,F849)-1,"")</f>
        <v/>
      </c>
      <c r="Z849" s="56" t="str">
        <f aca="false">IF(H849&gt;0,RANK(H849,$H$2:$H$1780)+COUNTIF($H$2:H849,H849)-1,"")</f>
        <v/>
      </c>
      <c r="AA849" s="56" t="str">
        <f aca="false">IF(AC849="","",RANK(AC849,$AC$2:$AC$1780)+COUNTIF($AC$2:AC849,AC849)-1)</f>
        <v/>
      </c>
      <c r="AB849" s="56" t="str">
        <f aca="false">IF(AD849="","",RANK(AD849,$AD$2:$AD$1780)+COUNTIF($AD$2:AD849,AD849)-1)</f>
        <v/>
      </c>
      <c r="AC849" s="56" t="str">
        <f aca="false">IF(AND(F849&gt;0,E849&gt;=Settings!$B$4),J849,"")</f>
        <v/>
      </c>
      <c r="AD849" s="56" t="str">
        <f aca="false">IF(X849="HIGH RATE",O849,"")</f>
        <v/>
      </c>
    </row>
    <row r="850" customFormat="false" ht="15" hidden="false" customHeight="false" outlineLevel="0" collapsed="false">
      <c r="A850" s="56" t="s">
        <v>2130</v>
      </c>
      <c r="B850" s="56" t="s">
        <v>1431</v>
      </c>
      <c r="C850" s="56" t="s">
        <v>51</v>
      </c>
      <c r="D850" s="56" t="str">
        <f aca="false">IFERROR(INDEX('Brand Map'!$B$4:$B$124,MATCH(C850,'Brand Map'!$A$4:$A$124,0)),"Other")</f>
        <v>AU</v>
      </c>
      <c r="E850" s="57" t="n">
        <v>1</v>
      </c>
      <c r="F850" s="57" t="n">
        <v>0</v>
      </c>
      <c r="G850" s="58" t="n">
        <v>197.95</v>
      </c>
      <c r="H850" s="58" t="n">
        <v>0</v>
      </c>
      <c r="I850" s="58" t="n">
        <v>197.95</v>
      </c>
      <c r="J850" s="32" t="n">
        <f aca="false">IF(E850&gt;0,F850/E850,0)</f>
        <v>0</v>
      </c>
      <c r="K850" s="32" t="n">
        <f aca="false">IF(G850&gt;0,H850/G850,0)</f>
        <v>-0</v>
      </c>
      <c r="L850" s="59" t="n">
        <f aca="false">H850/Settings!$B$16</f>
        <v>-0</v>
      </c>
      <c r="M850" s="59" t="n">
        <f aca="false">H850/Settings!$B$20</f>
        <v>-0</v>
      </c>
      <c r="N850" s="60" t="n">
        <f aca="false">E850*Settings!$B$3</f>
        <v>0.0309861510798204</v>
      </c>
      <c r="O850" s="60" t="n">
        <f aca="false">IF(E850&gt;0,(F850-N850)/SQRT(E850*Settings!$B$3*(1-Settings!$B$3)),0)</f>
        <v>-0.178821125934444</v>
      </c>
      <c r="P850" s="60" t="n">
        <f aca="false">MAX(0,F850-N850)</f>
        <v>0</v>
      </c>
      <c r="Q850" s="32" t="n">
        <f aca="false">(F850+Settings!$B$7*Settings!$B$3)/(E850+Settings!$B$7)</f>
        <v>0.0299865978191811</v>
      </c>
      <c r="R850" s="61" t="n">
        <f aca="false">PERCENTRANK($H$2:$H$1780,H850,6)</f>
        <v>0</v>
      </c>
      <c r="S850" s="61" t="n">
        <f aca="false">PERCENTRANK($Q$2:$Q$1780,Q850,6)</f>
        <v>0.486502</v>
      </c>
      <c r="T850" s="61" t="n">
        <f aca="false">PERCENTRANK($F$2:$F$1780,F850,6)</f>
        <v>0</v>
      </c>
      <c r="U850" s="62" t="n">
        <f aca="false">IF(F850&gt;0,(Settings!$B$8*T850+Settings!$B$9*R850+Settings!$B$10*S850)/SUM(Settings!$B$8:$B$10),0)</f>
        <v>0</v>
      </c>
      <c r="V850" s="56" t="str">
        <f aca="false">IF(U850&gt;0,RANK(U850,$U$2:$U$1780)+COUNTIF($U$2:U850,U850)-1,"")</f>
        <v/>
      </c>
      <c r="W850" s="56" t="str">
        <f aca="false">IF(V850="","",IF(V850&lt;=Settings!$B$11,"1 - Fix first",IF(V850&lt;=Settings!$B$12,"2 - Review","3 - Monitor")))</f>
        <v/>
      </c>
      <c r="X850" s="56" t="str">
        <f aca="false">IF(AND(E850&gt;=Settings!$B$4,F850&gt;=Settings!$B$5,O850&gt;=Settings!$B$6),"HIGH RATE","")</f>
        <v/>
      </c>
      <c r="Y850" s="56" t="str">
        <f aca="false">IF(F850&gt;0,RANK(F850,$F$2:$F$1780)+COUNTIF($F$2:F850,F850)-1,"")</f>
        <v/>
      </c>
      <c r="Z850" s="56" t="str">
        <f aca="false">IF(H850&gt;0,RANK(H850,$H$2:$H$1780)+COUNTIF($H$2:H850,H850)-1,"")</f>
        <v/>
      </c>
      <c r="AA850" s="56" t="str">
        <f aca="false">IF(AC850="","",RANK(AC850,$AC$2:$AC$1780)+COUNTIF($AC$2:AC850,AC850)-1)</f>
        <v/>
      </c>
      <c r="AB850" s="56" t="str">
        <f aca="false">IF(AD850="","",RANK(AD850,$AD$2:$AD$1780)+COUNTIF($AD$2:AD850,AD850)-1)</f>
        <v/>
      </c>
      <c r="AC850" s="56" t="str">
        <f aca="false">IF(AND(F850&gt;0,E850&gt;=Settings!$B$4),J850,"")</f>
        <v/>
      </c>
      <c r="AD850" s="56" t="str">
        <f aca="false">IF(X850="HIGH RATE",O850,"")</f>
        <v/>
      </c>
    </row>
    <row r="851" customFormat="false" ht="15" hidden="false" customHeight="false" outlineLevel="0" collapsed="false">
      <c r="A851" s="56" t="s">
        <v>2131</v>
      </c>
      <c r="B851" s="56" t="s">
        <v>1570</v>
      </c>
      <c r="C851" s="56" t="s">
        <v>51</v>
      </c>
      <c r="D851" s="56" t="str">
        <f aca="false">IFERROR(INDEX('Brand Map'!$B$4:$B$124,MATCH(C851,'Brand Map'!$A$4:$A$124,0)),"Other")</f>
        <v>AU</v>
      </c>
      <c r="E851" s="57" t="n">
        <v>2</v>
      </c>
      <c r="F851" s="57" t="n">
        <v>0</v>
      </c>
      <c r="G851" s="58" t="n">
        <v>303.9</v>
      </c>
      <c r="H851" s="58" t="n">
        <v>0</v>
      </c>
      <c r="I851" s="58" t="n">
        <v>303.9</v>
      </c>
      <c r="J851" s="32" t="n">
        <f aca="false">IF(E851&gt;0,F851/E851,0)</f>
        <v>0</v>
      </c>
      <c r="K851" s="32" t="n">
        <f aca="false">IF(G851&gt;0,H851/G851,0)</f>
        <v>-0</v>
      </c>
      <c r="L851" s="59" t="n">
        <f aca="false">H851/Settings!$B$16</f>
        <v>-0</v>
      </c>
      <c r="M851" s="59" t="n">
        <f aca="false">H851/Settings!$B$20</f>
        <v>-0</v>
      </c>
      <c r="N851" s="60" t="n">
        <f aca="false">E851*Settings!$B$3</f>
        <v>0.0619723021596408</v>
      </c>
      <c r="O851" s="60" t="n">
        <f aca="false">IF(E851&gt;0,(F851-N851)/SQRT(E851*Settings!$B$3*(1-Settings!$B$3)),0)</f>
        <v>-0.252891261535318</v>
      </c>
      <c r="P851" s="60" t="n">
        <f aca="false">MAX(0,F851-N851)</f>
        <v>0</v>
      </c>
      <c r="Q851" s="32" t="n">
        <f aca="false">(F851+Settings!$B$7*Settings!$B$3)/(E851+Settings!$B$7)</f>
        <v>0.0290495166373316</v>
      </c>
      <c r="R851" s="61" t="n">
        <f aca="false">PERCENTRANK($H$2:$H$1780,H851,6)</f>
        <v>0</v>
      </c>
      <c r="S851" s="61" t="n">
        <f aca="false">PERCENTRANK($Q$2:$Q$1780,Q851,6)</f>
        <v>0.365579</v>
      </c>
      <c r="T851" s="61" t="n">
        <f aca="false">PERCENTRANK($F$2:$F$1780,F851,6)</f>
        <v>0</v>
      </c>
      <c r="U851" s="62" t="n">
        <f aca="false">IF(F851&gt;0,(Settings!$B$8*T851+Settings!$B$9*R851+Settings!$B$10*S851)/SUM(Settings!$B$8:$B$10),0)</f>
        <v>0</v>
      </c>
      <c r="V851" s="56" t="str">
        <f aca="false">IF(U851&gt;0,RANK(U851,$U$2:$U$1780)+COUNTIF($U$2:U851,U851)-1,"")</f>
        <v/>
      </c>
      <c r="W851" s="56" t="str">
        <f aca="false">IF(V851="","",IF(V851&lt;=Settings!$B$11,"1 - Fix first",IF(V851&lt;=Settings!$B$12,"2 - Review","3 - Monitor")))</f>
        <v/>
      </c>
      <c r="X851" s="56" t="str">
        <f aca="false">IF(AND(E851&gt;=Settings!$B$4,F851&gt;=Settings!$B$5,O851&gt;=Settings!$B$6),"HIGH RATE","")</f>
        <v/>
      </c>
      <c r="Y851" s="56" t="str">
        <f aca="false">IF(F851&gt;0,RANK(F851,$F$2:$F$1780)+COUNTIF($F$2:F851,F851)-1,"")</f>
        <v/>
      </c>
      <c r="Z851" s="56" t="str">
        <f aca="false">IF(H851&gt;0,RANK(H851,$H$2:$H$1780)+COUNTIF($H$2:H851,H851)-1,"")</f>
        <v/>
      </c>
      <c r="AA851" s="56" t="str">
        <f aca="false">IF(AC851="","",RANK(AC851,$AC$2:$AC$1780)+COUNTIF($AC$2:AC851,AC851)-1)</f>
        <v/>
      </c>
      <c r="AB851" s="56" t="str">
        <f aca="false">IF(AD851="","",RANK(AD851,$AD$2:$AD$1780)+COUNTIF($AD$2:AD851,AD851)-1)</f>
        <v/>
      </c>
      <c r="AC851" s="56" t="str">
        <f aca="false">IF(AND(F851&gt;0,E851&gt;=Settings!$B$4),J851,"")</f>
        <v/>
      </c>
      <c r="AD851" s="56" t="str">
        <f aca="false">IF(X851="HIGH RATE",O851,"")</f>
        <v/>
      </c>
    </row>
    <row r="852" customFormat="false" ht="15" hidden="false" customHeight="false" outlineLevel="0" collapsed="false">
      <c r="A852" s="56" t="s">
        <v>2132</v>
      </c>
      <c r="B852" s="56" t="s">
        <v>1570</v>
      </c>
      <c r="C852" s="56" t="s">
        <v>51</v>
      </c>
      <c r="D852" s="56" t="str">
        <f aca="false">IFERROR(INDEX('Brand Map'!$B$4:$B$124,MATCH(C852,'Brand Map'!$A$4:$A$124,0)),"Other")</f>
        <v>AU</v>
      </c>
      <c r="E852" s="57" t="n">
        <v>1</v>
      </c>
      <c r="F852" s="57" t="n">
        <v>0</v>
      </c>
      <c r="G852" s="58" t="n">
        <v>155.32</v>
      </c>
      <c r="H852" s="58" t="n">
        <v>0</v>
      </c>
      <c r="I852" s="58" t="n">
        <v>155.32</v>
      </c>
      <c r="J852" s="32" t="n">
        <f aca="false">IF(E852&gt;0,F852/E852,0)</f>
        <v>0</v>
      </c>
      <c r="K852" s="32" t="n">
        <f aca="false">IF(G852&gt;0,H852/G852,0)</f>
        <v>-0</v>
      </c>
      <c r="L852" s="59" t="n">
        <f aca="false">H852/Settings!$B$16</f>
        <v>-0</v>
      </c>
      <c r="M852" s="59" t="n">
        <f aca="false">H852/Settings!$B$20</f>
        <v>-0</v>
      </c>
      <c r="N852" s="60" t="n">
        <f aca="false">E852*Settings!$B$3</f>
        <v>0.0309861510798204</v>
      </c>
      <c r="O852" s="60" t="n">
        <f aca="false">IF(E852&gt;0,(F852-N852)/SQRT(E852*Settings!$B$3*(1-Settings!$B$3)),0)</f>
        <v>-0.178821125934444</v>
      </c>
      <c r="P852" s="60" t="n">
        <f aca="false">MAX(0,F852-N852)</f>
        <v>0</v>
      </c>
      <c r="Q852" s="32" t="n">
        <f aca="false">(F852+Settings!$B$7*Settings!$B$3)/(E852+Settings!$B$7)</f>
        <v>0.0299865978191811</v>
      </c>
      <c r="R852" s="61" t="n">
        <f aca="false">PERCENTRANK($H$2:$H$1780,H852,6)</f>
        <v>0</v>
      </c>
      <c r="S852" s="61" t="n">
        <f aca="false">PERCENTRANK($Q$2:$Q$1780,Q852,6)</f>
        <v>0.486502</v>
      </c>
      <c r="T852" s="61" t="n">
        <f aca="false">PERCENTRANK($F$2:$F$1780,F852,6)</f>
        <v>0</v>
      </c>
      <c r="U852" s="62" t="n">
        <f aca="false">IF(F852&gt;0,(Settings!$B$8*T852+Settings!$B$9*R852+Settings!$B$10*S852)/SUM(Settings!$B$8:$B$10),0)</f>
        <v>0</v>
      </c>
      <c r="V852" s="56" t="str">
        <f aca="false">IF(U852&gt;0,RANK(U852,$U$2:$U$1780)+COUNTIF($U$2:U852,U852)-1,"")</f>
        <v/>
      </c>
      <c r="W852" s="56" t="str">
        <f aca="false">IF(V852="","",IF(V852&lt;=Settings!$B$11,"1 - Fix first",IF(V852&lt;=Settings!$B$12,"2 - Review","3 - Monitor")))</f>
        <v/>
      </c>
      <c r="X852" s="56" t="str">
        <f aca="false">IF(AND(E852&gt;=Settings!$B$4,F852&gt;=Settings!$B$5,O852&gt;=Settings!$B$6),"HIGH RATE","")</f>
        <v/>
      </c>
      <c r="Y852" s="56" t="str">
        <f aca="false">IF(F852&gt;0,RANK(F852,$F$2:$F$1780)+COUNTIF($F$2:F852,F852)-1,"")</f>
        <v/>
      </c>
      <c r="Z852" s="56" t="str">
        <f aca="false">IF(H852&gt;0,RANK(H852,$H$2:$H$1780)+COUNTIF($H$2:H852,H852)-1,"")</f>
        <v/>
      </c>
      <c r="AA852" s="56" t="str">
        <f aca="false">IF(AC852="","",RANK(AC852,$AC$2:$AC$1780)+COUNTIF($AC$2:AC852,AC852)-1)</f>
        <v/>
      </c>
      <c r="AB852" s="56" t="str">
        <f aca="false">IF(AD852="","",RANK(AD852,$AD$2:$AD$1780)+COUNTIF($AD$2:AD852,AD852)-1)</f>
        <v/>
      </c>
      <c r="AC852" s="56" t="str">
        <f aca="false">IF(AND(F852&gt;0,E852&gt;=Settings!$B$4),J852,"")</f>
        <v/>
      </c>
      <c r="AD852" s="56" t="str">
        <f aca="false">IF(X852="HIGH RATE",O852,"")</f>
        <v/>
      </c>
    </row>
    <row r="853" customFormat="false" ht="15" hidden="false" customHeight="false" outlineLevel="0" collapsed="false">
      <c r="A853" s="56" t="s">
        <v>2133</v>
      </c>
      <c r="B853" s="56" t="s">
        <v>2134</v>
      </c>
      <c r="C853" s="56" t="s">
        <v>51</v>
      </c>
      <c r="D853" s="56" t="str">
        <f aca="false">IFERROR(INDEX('Brand Map'!$B$4:$B$124,MATCH(C853,'Brand Map'!$A$4:$A$124,0)),"Other")</f>
        <v>AU</v>
      </c>
      <c r="E853" s="57" t="n">
        <v>13</v>
      </c>
      <c r="F853" s="57" t="n">
        <v>0</v>
      </c>
      <c r="G853" s="58" t="n">
        <v>4191.08</v>
      </c>
      <c r="H853" s="58" t="n">
        <v>0</v>
      </c>
      <c r="I853" s="58" t="n">
        <v>4042.61</v>
      </c>
      <c r="J853" s="32" t="n">
        <f aca="false">IF(E853&gt;0,F853/E853,0)</f>
        <v>0</v>
      </c>
      <c r="K853" s="32" t="n">
        <f aca="false">IF(G853&gt;0,H853/G853,0)</f>
        <v>-0</v>
      </c>
      <c r="L853" s="59" t="n">
        <f aca="false">H853/Settings!$B$16</f>
        <v>-0</v>
      </c>
      <c r="M853" s="59" t="n">
        <f aca="false">H853/Settings!$B$20</f>
        <v>-0</v>
      </c>
      <c r="N853" s="60" t="n">
        <f aca="false">E853*Settings!$B$3</f>
        <v>0.402819964037665</v>
      </c>
      <c r="O853" s="60" t="n">
        <f aca="false">IF(E853&gt;0,(F853-N853)/SQRT(E853*Settings!$B$3*(1-Settings!$B$3)),0)</f>
        <v>-0.644748738692841</v>
      </c>
      <c r="P853" s="60" t="n">
        <f aca="false">MAX(0,F853-N853)</f>
        <v>0</v>
      </c>
      <c r="Q853" s="32" t="n">
        <f aca="false">(F853+Settings!$B$7*Settings!$B$3)/(E853+Settings!$B$7)</f>
        <v>0.0216182449394096</v>
      </c>
      <c r="R853" s="61" t="n">
        <f aca="false">PERCENTRANK($H$2:$H$1780,H853,6)</f>
        <v>0</v>
      </c>
      <c r="S853" s="61" t="n">
        <f aca="false">PERCENTRANK($Q$2:$Q$1780,Q853,6)</f>
        <v>0.104049</v>
      </c>
      <c r="T853" s="61" t="n">
        <f aca="false">PERCENTRANK($F$2:$F$1780,F853,6)</f>
        <v>0</v>
      </c>
      <c r="U853" s="62" t="n">
        <f aca="false">IF(F853&gt;0,(Settings!$B$8*T853+Settings!$B$9*R853+Settings!$B$10*S853)/SUM(Settings!$B$8:$B$10),0)</f>
        <v>0</v>
      </c>
      <c r="V853" s="56" t="str">
        <f aca="false">IF(U853&gt;0,RANK(U853,$U$2:$U$1780)+COUNTIF($U$2:U853,U853)-1,"")</f>
        <v/>
      </c>
      <c r="W853" s="56" t="str">
        <f aca="false">IF(V853="","",IF(V853&lt;=Settings!$B$11,"1 - Fix first",IF(V853&lt;=Settings!$B$12,"2 - Review","3 - Monitor")))</f>
        <v/>
      </c>
      <c r="X853" s="56" t="str">
        <f aca="false">IF(AND(E853&gt;=Settings!$B$4,F853&gt;=Settings!$B$5,O853&gt;=Settings!$B$6),"HIGH RATE","")</f>
        <v/>
      </c>
      <c r="Y853" s="56" t="str">
        <f aca="false">IF(F853&gt;0,RANK(F853,$F$2:$F$1780)+COUNTIF($F$2:F853,F853)-1,"")</f>
        <v/>
      </c>
      <c r="Z853" s="56" t="str">
        <f aca="false">IF(H853&gt;0,RANK(H853,$H$2:$H$1780)+COUNTIF($H$2:H853,H853)-1,"")</f>
        <v/>
      </c>
      <c r="AA853" s="56" t="str">
        <f aca="false">IF(AC853="","",RANK(AC853,$AC$2:$AC$1780)+COUNTIF($AC$2:AC853,AC853)-1)</f>
        <v/>
      </c>
      <c r="AB853" s="56" t="str">
        <f aca="false">IF(AD853="","",RANK(AD853,$AD$2:$AD$1780)+COUNTIF($AD$2:AD853,AD853)-1)</f>
        <v/>
      </c>
      <c r="AC853" s="56" t="str">
        <f aca="false">IF(AND(F853&gt;0,E853&gt;=Settings!$B$4),J853,"")</f>
        <v/>
      </c>
      <c r="AD853" s="56" t="str">
        <f aca="false">IF(X853="HIGH RATE",O853,"")</f>
        <v/>
      </c>
    </row>
    <row r="854" customFormat="false" ht="15" hidden="false" customHeight="false" outlineLevel="0" collapsed="false">
      <c r="A854" s="56" t="s">
        <v>2135</v>
      </c>
      <c r="B854" s="56" t="s">
        <v>2136</v>
      </c>
      <c r="C854" s="56" t="s">
        <v>51</v>
      </c>
      <c r="D854" s="56" t="str">
        <f aca="false">IFERROR(INDEX('Brand Map'!$B$4:$B$124,MATCH(C854,'Brand Map'!$A$4:$A$124,0)),"Other")</f>
        <v>AU</v>
      </c>
      <c r="E854" s="57" t="n">
        <v>6</v>
      </c>
      <c r="F854" s="57" t="n">
        <v>0</v>
      </c>
      <c r="G854" s="58" t="n">
        <v>2243.51</v>
      </c>
      <c r="H854" s="58" t="n">
        <v>0</v>
      </c>
      <c r="I854" s="58" t="n">
        <v>2168.52</v>
      </c>
      <c r="J854" s="32" t="n">
        <f aca="false">IF(E854&gt;0,F854/E854,0)</f>
        <v>0</v>
      </c>
      <c r="K854" s="32" t="n">
        <f aca="false">IF(G854&gt;0,H854/G854,0)</f>
        <v>-0</v>
      </c>
      <c r="L854" s="59" t="n">
        <f aca="false">H854/Settings!$B$16</f>
        <v>-0</v>
      </c>
      <c r="M854" s="59" t="n">
        <f aca="false">H854/Settings!$B$20</f>
        <v>-0</v>
      </c>
      <c r="N854" s="60" t="n">
        <f aca="false">E854*Settings!$B$3</f>
        <v>0.185916906478923</v>
      </c>
      <c r="O854" s="60" t="n">
        <f aca="false">IF(E854&gt;0,(F854-N854)/SQRT(E854*Settings!$B$3*(1-Settings!$B$3)),0)</f>
        <v>-0.43802051376936</v>
      </c>
      <c r="P854" s="60" t="n">
        <f aca="false">MAX(0,F854-N854)</f>
        <v>0</v>
      </c>
      <c r="Q854" s="32" t="n">
        <f aca="false">(F854+Settings!$B$7*Settings!$B$3)/(E854+Settings!$B$7)</f>
        <v>0.025821792566517</v>
      </c>
      <c r="R854" s="61" t="n">
        <f aca="false">PERCENTRANK($H$2:$H$1780,H854,6)</f>
        <v>0</v>
      </c>
      <c r="S854" s="61" t="n">
        <f aca="false">PERCENTRANK($Q$2:$Q$1780,Q854,6)</f>
        <v>0.189539</v>
      </c>
      <c r="T854" s="61" t="n">
        <f aca="false">PERCENTRANK($F$2:$F$1780,F854,6)</f>
        <v>0</v>
      </c>
      <c r="U854" s="62" t="n">
        <f aca="false">IF(F854&gt;0,(Settings!$B$8*T854+Settings!$B$9*R854+Settings!$B$10*S854)/SUM(Settings!$B$8:$B$10),0)</f>
        <v>0</v>
      </c>
      <c r="V854" s="56" t="str">
        <f aca="false">IF(U854&gt;0,RANK(U854,$U$2:$U$1780)+COUNTIF($U$2:U854,U854)-1,"")</f>
        <v/>
      </c>
      <c r="W854" s="56" t="str">
        <f aca="false">IF(V854="","",IF(V854&lt;=Settings!$B$11,"1 - Fix first",IF(V854&lt;=Settings!$B$12,"2 - Review","3 - Monitor")))</f>
        <v/>
      </c>
      <c r="X854" s="56" t="str">
        <f aca="false">IF(AND(E854&gt;=Settings!$B$4,F854&gt;=Settings!$B$5,O854&gt;=Settings!$B$6),"HIGH RATE","")</f>
        <v/>
      </c>
      <c r="Y854" s="56" t="str">
        <f aca="false">IF(F854&gt;0,RANK(F854,$F$2:$F$1780)+COUNTIF($F$2:F854,F854)-1,"")</f>
        <v/>
      </c>
      <c r="Z854" s="56" t="str">
        <f aca="false">IF(H854&gt;0,RANK(H854,$H$2:$H$1780)+COUNTIF($H$2:H854,H854)-1,"")</f>
        <v/>
      </c>
      <c r="AA854" s="56" t="str">
        <f aca="false">IF(AC854="","",RANK(AC854,$AC$2:$AC$1780)+COUNTIF($AC$2:AC854,AC854)-1)</f>
        <v/>
      </c>
      <c r="AB854" s="56" t="str">
        <f aca="false">IF(AD854="","",RANK(AD854,$AD$2:$AD$1780)+COUNTIF($AD$2:AD854,AD854)-1)</f>
        <v/>
      </c>
      <c r="AC854" s="56" t="str">
        <f aca="false">IF(AND(F854&gt;0,E854&gt;=Settings!$B$4),J854,"")</f>
        <v/>
      </c>
      <c r="AD854" s="56" t="str">
        <f aca="false">IF(X854="HIGH RATE",O854,"")</f>
        <v/>
      </c>
    </row>
    <row r="855" customFormat="false" ht="15" hidden="false" customHeight="false" outlineLevel="0" collapsed="false">
      <c r="A855" s="56" t="s">
        <v>2137</v>
      </c>
      <c r="B855" s="56" t="s">
        <v>2138</v>
      </c>
      <c r="C855" s="56" t="s">
        <v>51</v>
      </c>
      <c r="D855" s="56" t="str">
        <f aca="false">IFERROR(INDEX('Brand Map'!$B$4:$B$124,MATCH(C855,'Brand Map'!$A$4:$A$124,0)),"Other")</f>
        <v>AU</v>
      </c>
      <c r="E855" s="57" t="n">
        <v>13</v>
      </c>
      <c r="F855" s="57" t="n">
        <v>0</v>
      </c>
      <c r="G855" s="58" t="n">
        <v>1190.53</v>
      </c>
      <c r="H855" s="58" t="n">
        <v>0</v>
      </c>
      <c r="I855" s="58" t="n">
        <v>1165.48</v>
      </c>
      <c r="J855" s="32" t="n">
        <f aca="false">IF(E855&gt;0,F855/E855,0)</f>
        <v>0</v>
      </c>
      <c r="K855" s="32" t="n">
        <f aca="false">IF(G855&gt;0,H855/G855,0)</f>
        <v>-0</v>
      </c>
      <c r="L855" s="59" t="n">
        <f aca="false">H855/Settings!$B$16</f>
        <v>-0</v>
      </c>
      <c r="M855" s="59" t="n">
        <f aca="false">H855/Settings!$B$20</f>
        <v>-0</v>
      </c>
      <c r="N855" s="60" t="n">
        <f aca="false">E855*Settings!$B$3</f>
        <v>0.402819964037665</v>
      </c>
      <c r="O855" s="60" t="n">
        <f aca="false">IF(E855&gt;0,(F855-N855)/SQRT(E855*Settings!$B$3*(1-Settings!$B$3)),0)</f>
        <v>-0.644748738692841</v>
      </c>
      <c r="P855" s="60" t="n">
        <f aca="false">MAX(0,F855-N855)</f>
        <v>0</v>
      </c>
      <c r="Q855" s="32" t="n">
        <f aca="false">(F855+Settings!$B$7*Settings!$B$3)/(E855+Settings!$B$7)</f>
        <v>0.0216182449394096</v>
      </c>
      <c r="R855" s="61" t="n">
        <f aca="false">PERCENTRANK($H$2:$H$1780,H855,6)</f>
        <v>0</v>
      </c>
      <c r="S855" s="61" t="n">
        <f aca="false">PERCENTRANK($Q$2:$Q$1780,Q855,6)</f>
        <v>0.104049</v>
      </c>
      <c r="T855" s="61" t="n">
        <f aca="false">PERCENTRANK($F$2:$F$1780,F855,6)</f>
        <v>0</v>
      </c>
      <c r="U855" s="62" t="n">
        <f aca="false">IF(F855&gt;0,(Settings!$B$8*T855+Settings!$B$9*R855+Settings!$B$10*S855)/SUM(Settings!$B$8:$B$10),0)</f>
        <v>0</v>
      </c>
      <c r="V855" s="56" t="str">
        <f aca="false">IF(U855&gt;0,RANK(U855,$U$2:$U$1780)+COUNTIF($U$2:U855,U855)-1,"")</f>
        <v/>
      </c>
      <c r="W855" s="56" t="str">
        <f aca="false">IF(V855="","",IF(V855&lt;=Settings!$B$11,"1 - Fix first",IF(V855&lt;=Settings!$B$12,"2 - Review","3 - Monitor")))</f>
        <v/>
      </c>
      <c r="X855" s="56" t="str">
        <f aca="false">IF(AND(E855&gt;=Settings!$B$4,F855&gt;=Settings!$B$5,O855&gt;=Settings!$B$6),"HIGH RATE","")</f>
        <v/>
      </c>
      <c r="Y855" s="56" t="str">
        <f aca="false">IF(F855&gt;0,RANK(F855,$F$2:$F$1780)+COUNTIF($F$2:F855,F855)-1,"")</f>
        <v/>
      </c>
      <c r="Z855" s="56" t="str">
        <f aca="false">IF(H855&gt;0,RANK(H855,$H$2:$H$1780)+COUNTIF($H$2:H855,H855)-1,"")</f>
        <v/>
      </c>
      <c r="AA855" s="56" t="str">
        <f aca="false">IF(AC855="","",RANK(AC855,$AC$2:$AC$1780)+COUNTIF($AC$2:AC855,AC855)-1)</f>
        <v/>
      </c>
      <c r="AB855" s="56" t="str">
        <f aca="false">IF(AD855="","",RANK(AD855,$AD$2:$AD$1780)+COUNTIF($AD$2:AD855,AD855)-1)</f>
        <v/>
      </c>
      <c r="AC855" s="56" t="str">
        <f aca="false">IF(AND(F855&gt;0,E855&gt;=Settings!$B$4),J855,"")</f>
        <v/>
      </c>
      <c r="AD855" s="56" t="str">
        <f aca="false">IF(X855="HIGH RATE",O855,"")</f>
        <v/>
      </c>
    </row>
    <row r="856" customFormat="false" ht="15" hidden="false" customHeight="false" outlineLevel="0" collapsed="false">
      <c r="A856" s="56" t="s">
        <v>2139</v>
      </c>
      <c r="B856" s="56" t="s">
        <v>2138</v>
      </c>
      <c r="C856" s="56" t="s">
        <v>51</v>
      </c>
      <c r="D856" s="56" t="str">
        <f aca="false">IFERROR(INDEX('Brand Map'!$B$4:$B$124,MATCH(C856,'Brand Map'!$A$4:$A$124,0)),"Other")</f>
        <v>AU</v>
      </c>
      <c r="E856" s="57" t="n">
        <v>1</v>
      </c>
      <c r="F856" s="57" t="n">
        <v>0</v>
      </c>
      <c r="G856" s="58" t="n">
        <v>91.95</v>
      </c>
      <c r="H856" s="58" t="n">
        <v>0</v>
      </c>
      <c r="I856" s="58" t="n">
        <v>91.95</v>
      </c>
      <c r="J856" s="32" t="n">
        <f aca="false">IF(E856&gt;0,F856/E856,0)</f>
        <v>0</v>
      </c>
      <c r="K856" s="32" t="n">
        <f aca="false">IF(G856&gt;0,H856/G856,0)</f>
        <v>-0</v>
      </c>
      <c r="L856" s="59" t="n">
        <f aca="false">H856/Settings!$B$16</f>
        <v>-0</v>
      </c>
      <c r="M856" s="59" t="n">
        <f aca="false">H856/Settings!$B$20</f>
        <v>-0</v>
      </c>
      <c r="N856" s="60" t="n">
        <f aca="false">E856*Settings!$B$3</f>
        <v>0.0309861510798204</v>
      </c>
      <c r="O856" s="60" t="n">
        <f aca="false">IF(E856&gt;0,(F856-N856)/SQRT(E856*Settings!$B$3*(1-Settings!$B$3)),0)</f>
        <v>-0.178821125934444</v>
      </c>
      <c r="P856" s="60" t="n">
        <f aca="false">MAX(0,F856-N856)</f>
        <v>0</v>
      </c>
      <c r="Q856" s="32" t="n">
        <f aca="false">(F856+Settings!$B$7*Settings!$B$3)/(E856+Settings!$B$7)</f>
        <v>0.0299865978191811</v>
      </c>
      <c r="R856" s="61" t="n">
        <f aca="false">PERCENTRANK($H$2:$H$1780,H856,6)</f>
        <v>0</v>
      </c>
      <c r="S856" s="61" t="n">
        <f aca="false">PERCENTRANK($Q$2:$Q$1780,Q856,6)</f>
        <v>0.486502</v>
      </c>
      <c r="T856" s="61" t="n">
        <f aca="false">PERCENTRANK($F$2:$F$1780,F856,6)</f>
        <v>0</v>
      </c>
      <c r="U856" s="62" t="n">
        <f aca="false">IF(F856&gt;0,(Settings!$B$8*T856+Settings!$B$9*R856+Settings!$B$10*S856)/SUM(Settings!$B$8:$B$10),0)</f>
        <v>0</v>
      </c>
      <c r="V856" s="56" t="str">
        <f aca="false">IF(U856&gt;0,RANK(U856,$U$2:$U$1780)+COUNTIF($U$2:U856,U856)-1,"")</f>
        <v/>
      </c>
      <c r="W856" s="56" t="str">
        <f aca="false">IF(V856="","",IF(V856&lt;=Settings!$B$11,"1 - Fix first",IF(V856&lt;=Settings!$B$12,"2 - Review","3 - Monitor")))</f>
        <v/>
      </c>
      <c r="X856" s="56" t="str">
        <f aca="false">IF(AND(E856&gt;=Settings!$B$4,F856&gt;=Settings!$B$5,O856&gt;=Settings!$B$6),"HIGH RATE","")</f>
        <v/>
      </c>
      <c r="Y856" s="56" t="str">
        <f aca="false">IF(F856&gt;0,RANK(F856,$F$2:$F$1780)+COUNTIF($F$2:F856,F856)-1,"")</f>
        <v/>
      </c>
      <c r="Z856" s="56" t="str">
        <f aca="false">IF(H856&gt;0,RANK(H856,$H$2:$H$1780)+COUNTIF($H$2:H856,H856)-1,"")</f>
        <v/>
      </c>
      <c r="AA856" s="56" t="str">
        <f aca="false">IF(AC856="","",RANK(AC856,$AC$2:$AC$1780)+COUNTIF($AC$2:AC856,AC856)-1)</f>
        <v/>
      </c>
      <c r="AB856" s="56" t="str">
        <f aca="false">IF(AD856="","",RANK(AD856,$AD$2:$AD$1780)+COUNTIF($AD$2:AD856,AD856)-1)</f>
        <v/>
      </c>
      <c r="AC856" s="56" t="str">
        <f aca="false">IF(AND(F856&gt;0,E856&gt;=Settings!$B$4),J856,"")</f>
        <v/>
      </c>
      <c r="AD856" s="56" t="str">
        <f aca="false">IF(X856="HIGH RATE",O856,"")</f>
        <v/>
      </c>
    </row>
    <row r="857" customFormat="false" ht="15" hidden="false" customHeight="false" outlineLevel="0" collapsed="false">
      <c r="A857" s="56" t="s">
        <v>2140</v>
      </c>
      <c r="B857" s="56" t="s">
        <v>2141</v>
      </c>
      <c r="C857" s="56" t="s">
        <v>51</v>
      </c>
      <c r="D857" s="56" t="str">
        <f aca="false">IFERROR(INDEX('Brand Map'!$B$4:$B$124,MATCH(C857,'Brand Map'!$A$4:$A$124,0)),"Other")</f>
        <v>AU</v>
      </c>
      <c r="E857" s="57" t="n">
        <v>13</v>
      </c>
      <c r="F857" s="57" t="n">
        <v>0</v>
      </c>
      <c r="G857" s="58" t="n">
        <v>1259.82</v>
      </c>
      <c r="H857" s="58" t="n">
        <v>0</v>
      </c>
      <c r="I857" s="58" t="n">
        <v>1211.9</v>
      </c>
      <c r="J857" s="32" t="n">
        <f aca="false">IF(E857&gt;0,F857/E857,0)</f>
        <v>0</v>
      </c>
      <c r="K857" s="32" t="n">
        <f aca="false">IF(G857&gt;0,H857/G857,0)</f>
        <v>-0</v>
      </c>
      <c r="L857" s="59" t="n">
        <f aca="false">H857/Settings!$B$16</f>
        <v>-0</v>
      </c>
      <c r="M857" s="59" t="n">
        <f aca="false">H857/Settings!$B$20</f>
        <v>-0</v>
      </c>
      <c r="N857" s="60" t="n">
        <f aca="false">E857*Settings!$B$3</f>
        <v>0.402819964037665</v>
      </c>
      <c r="O857" s="60" t="n">
        <f aca="false">IF(E857&gt;0,(F857-N857)/SQRT(E857*Settings!$B$3*(1-Settings!$B$3)),0)</f>
        <v>-0.644748738692841</v>
      </c>
      <c r="P857" s="60" t="n">
        <f aca="false">MAX(0,F857-N857)</f>
        <v>0</v>
      </c>
      <c r="Q857" s="32" t="n">
        <f aca="false">(F857+Settings!$B$7*Settings!$B$3)/(E857+Settings!$B$7)</f>
        <v>0.0216182449394096</v>
      </c>
      <c r="R857" s="61" t="n">
        <f aca="false">PERCENTRANK($H$2:$H$1780,H857,6)</f>
        <v>0</v>
      </c>
      <c r="S857" s="61" t="n">
        <f aca="false">PERCENTRANK($Q$2:$Q$1780,Q857,6)</f>
        <v>0.104049</v>
      </c>
      <c r="T857" s="61" t="n">
        <f aca="false">PERCENTRANK($F$2:$F$1780,F857,6)</f>
        <v>0</v>
      </c>
      <c r="U857" s="62" t="n">
        <f aca="false">IF(F857&gt;0,(Settings!$B$8*T857+Settings!$B$9*R857+Settings!$B$10*S857)/SUM(Settings!$B$8:$B$10),0)</f>
        <v>0</v>
      </c>
      <c r="V857" s="56" t="str">
        <f aca="false">IF(U857&gt;0,RANK(U857,$U$2:$U$1780)+COUNTIF($U$2:U857,U857)-1,"")</f>
        <v/>
      </c>
      <c r="W857" s="56" t="str">
        <f aca="false">IF(V857="","",IF(V857&lt;=Settings!$B$11,"1 - Fix first",IF(V857&lt;=Settings!$B$12,"2 - Review","3 - Monitor")))</f>
        <v/>
      </c>
      <c r="X857" s="56" t="str">
        <f aca="false">IF(AND(E857&gt;=Settings!$B$4,F857&gt;=Settings!$B$5,O857&gt;=Settings!$B$6),"HIGH RATE","")</f>
        <v/>
      </c>
      <c r="Y857" s="56" t="str">
        <f aca="false">IF(F857&gt;0,RANK(F857,$F$2:$F$1780)+COUNTIF($F$2:F857,F857)-1,"")</f>
        <v/>
      </c>
      <c r="Z857" s="56" t="str">
        <f aca="false">IF(H857&gt;0,RANK(H857,$H$2:$H$1780)+COUNTIF($H$2:H857,H857)-1,"")</f>
        <v/>
      </c>
      <c r="AA857" s="56" t="str">
        <f aca="false">IF(AC857="","",RANK(AC857,$AC$2:$AC$1780)+COUNTIF($AC$2:AC857,AC857)-1)</f>
        <v/>
      </c>
      <c r="AB857" s="56" t="str">
        <f aca="false">IF(AD857="","",RANK(AD857,$AD$2:$AD$1780)+COUNTIF($AD$2:AD857,AD857)-1)</f>
        <v/>
      </c>
      <c r="AC857" s="56" t="str">
        <f aca="false">IF(AND(F857&gt;0,E857&gt;=Settings!$B$4),J857,"")</f>
        <v/>
      </c>
      <c r="AD857" s="56" t="str">
        <f aca="false">IF(X857="HIGH RATE",O857,"")</f>
        <v/>
      </c>
    </row>
    <row r="858" customFormat="false" ht="15" hidden="false" customHeight="false" outlineLevel="0" collapsed="false">
      <c r="A858" s="56" t="s">
        <v>2142</v>
      </c>
      <c r="B858" s="56" t="s">
        <v>2143</v>
      </c>
      <c r="C858" s="56" t="s">
        <v>51</v>
      </c>
      <c r="D858" s="56" t="str">
        <f aca="false">IFERROR(INDEX('Brand Map'!$B$4:$B$124,MATCH(C858,'Brand Map'!$A$4:$A$124,0)),"Other")</f>
        <v>AU</v>
      </c>
      <c r="E858" s="57" t="n">
        <v>33</v>
      </c>
      <c r="F858" s="57" t="n">
        <v>0</v>
      </c>
      <c r="G858" s="58" t="n">
        <v>4950.15</v>
      </c>
      <c r="H858" s="58" t="n">
        <v>0</v>
      </c>
      <c r="I858" s="58" t="n">
        <v>4884</v>
      </c>
      <c r="J858" s="32" t="n">
        <f aca="false">IF(E858&gt;0,F858/E858,0)</f>
        <v>0</v>
      </c>
      <c r="K858" s="32" t="n">
        <f aca="false">IF(G858&gt;0,H858/G858,0)</f>
        <v>-0</v>
      </c>
      <c r="L858" s="59" t="n">
        <f aca="false">H858/Settings!$B$16</f>
        <v>-0</v>
      </c>
      <c r="M858" s="59" t="n">
        <f aca="false">H858/Settings!$B$20</f>
        <v>-0</v>
      </c>
      <c r="N858" s="60" t="n">
        <f aca="false">E858*Settings!$B$3</f>
        <v>1.02254298563407</v>
      </c>
      <c r="O858" s="60" t="n">
        <f aca="false">IF(E858&gt;0,(F858-N858)/SQRT(E858*Settings!$B$3*(1-Settings!$B$3)),0)</f>
        <v>-1.02724916045488</v>
      </c>
      <c r="P858" s="60" t="n">
        <f aca="false">MAX(0,F858-N858)</f>
        <v>0</v>
      </c>
      <c r="Q858" s="32" t="n">
        <f aca="false">(F858+Settings!$B$7*Settings!$B$3)/(E858+Settings!$B$7)</f>
        <v>0.0147553100380097</v>
      </c>
      <c r="R858" s="61" t="n">
        <f aca="false">PERCENTRANK($H$2:$H$1780,H858,6)</f>
        <v>0</v>
      </c>
      <c r="S858" s="61" t="n">
        <f aca="false">PERCENTRANK($Q$2:$Q$1780,Q858,6)</f>
        <v>0.0376828</v>
      </c>
      <c r="T858" s="61" t="n">
        <f aca="false">PERCENTRANK($F$2:$F$1780,F858,6)</f>
        <v>0</v>
      </c>
      <c r="U858" s="62" t="n">
        <f aca="false">IF(F858&gt;0,(Settings!$B$8*T858+Settings!$B$9*R858+Settings!$B$10*S858)/SUM(Settings!$B$8:$B$10),0)</f>
        <v>0</v>
      </c>
      <c r="V858" s="56" t="str">
        <f aca="false">IF(U858&gt;0,RANK(U858,$U$2:$U$1780)+COUNTIF($U$2:U858,U858)-1,"")</f>
        <v/>
      </c>
      <c r="W858" s="56" t="str">
        <f aca="false">IF(V858="","",IF(V858&lt;=Settings!$B$11,"1 - Fix first",IF(V858&lt;=Settings!$B$12,"2 - Review","3 - Monitor")))</f>
        <v/>
      </c>
      <c r="X858" s="56" t="str">
        <f aca="false">IF(AND(E858&gt;=Settings!$B$4,F858&gt;=Settings!$B$5,O858&gt;=Settings!$B$6),"HIGH RATE","")</f>
        <v/>
      </c>
      <c r="Y858" s="56" t="str">
        <f aca="false">IF(F858&gt;0,RANK(F858,$F$2:$F$1780)+COUNTIF($F$2:F858,F858)-1,"")</f>
        <v/>
      </c>
      <c r="Z858" s="56" t="str">
        <f aca="false">IF(H858&gt;0,RANK(H858,$H$2:$H$1780)+COUNTIF($H$2:H858,H858)-1,"")</f>
        <v/>
      </c>
      <c r="AA858" s="56" t="str">
        <f aca="false">IF(AC858="","",RANK(AC858,$AC$2:$AC$1780)+COUNTIF($AC$2:AC858,AC858)-1)</f>
        <v/>
      </c>
      <c r="AB858" s="56" t="str">
        <f aca="false">IF(AD858="","",RANK(AD858,$AD$2:$AD$1780)+COUNTIF($AD$2:AD858,AD858)-1)</f>
        <v/>
      </c>
      <c r="AC858" s="56" t="str">
        <f aca="false">IF(AND(F858&gt;0,E858&gt;=Settings!$B$4),J858,"")</f>
        <v/>
      </c>
      <c r="AD858" s="56" t="str">
        <f aca="false">IF(X858="HIGH RATE",O858,"")</f>
        <v/>
      </c>
    </row>
    <row r="859" customFormat="false" ht="15" hidden="false" customHeight="false" outlineLevel="0" collapsed="false">
      <c r="A859" s="56" t="s">
        <v>2144</v>
      </c>
      <c r="B859" s="56" t="s">
        <v>2143</v>
      </c>
      <c r="C859" s="56" t="s">
        <v>51</v>
      </c>
      <c r="D859" s="56" t="str">
        <f aca="false">IFERROR(INDEX('Brand Map'!$B$4:$B$124,MATCH(C859,'Brand Map'!$A$4:$A$124,0)),"Other")</f>
        <v>AU</v>
      </c>
      <c r="E859" s="57" t="n">
        <v>3</v>
      </c>
      <c r="F859" s="57" t="n">
        <v>0</v>
      </c>
      <c r="G859" s="58" t="n">
        <v>228.3</v>
      </c>
      <c r="H859" s="58" t="n">
        <v>0</v>
      </c>
      <c r="I859" s="58" t="n">
        <v>228.3</v>
      </c>
      <c r="J859" s="32" t="n">
        <f aca="false">IF(E859&gt;0,F859/E859,0)</f>
        <v>0</v>
      </c>
      <c r="K859" s="32" t="n">
        <f aca="false">IF(G859&gt;0,H859/G859,0)</f>
        <v>-0</v>
      </c>
      <c r="L859" s="59" t="n">
        <f aca="false">H859/Settings!$B$16</f>
        <v>-0</v>
      </c>
      <c r="M859" s="59" t="n">
        <f aca="false">H859/Settings!$B$20</f>
        <v>-0</v>
      </c>
      <c r="N859" s="60" t="n">
        <f aca="false">E859*Settings!$B$3</f>
        <v>0.0929584532394613</v>
      </c>
      <c r="O859" s="60" t="n">
        <f aca="false">IF(E859&gt;0,(F859-N859)/SQRT(E859*Settings!$B$3*(1-Settings!$B$3)),0)</f>
        <v>-0.30972727558513</v>
      </c>
      <c r="P859" s="60" t="n">
        <f aca="false">MAX(0,F859-N859)</f>
        <v>0</v>
      </c>
      <c r="Q859" s="32" t="n">
        <f aca="false">(F859+Settings!$B$7*Settings!$B$3)/(E859+Settings!$B$7)</f>
        <v>0.0281692282543822</v>
      </c>
      <c r="R859" s="61" t="n">
        <f aca="false">PERCENTRANK($H$2:$H$1780,H859,6)</f>
        <v>0</v>
      </c>
      <c r="S859" s="61" t="n">
        <f aca="false">PERCENTRANK($Q$2:$Q$1780,Q859,6)</f>
        <v>0.294151</v>
      </c>
      <c r="T859" s="61" t="n">
        <f aca="false">PERCENTRANK($F$2:$F$1780,F859,6)</f>
        <v>0</v>
      </c>
      <c r="U859" s="62" t="n">
        <f aca="false">IF(F859&gt;0,(Settings!$B$8*T859+Settings!$B$9*R859+Settings!$B$10*S859)/SUM(Settings!$B$8:$B$10),0)</f>
        <v>0</v>
      </c>
      <c r="V859" s="56" t="str">
        <f aca="false">IF(U859&gt;0,RANK(U859,$U$2:$U$1780)+COUNTIF($U$2:U859,U859)-1,"")</f>
        <v/>
      </c>
      <c r="W859" s="56" t="str">
        <f aca="false">IF(V859="","",IF(V859&lt;=Settings!$B$11,"1 - Fix first",IF(V859&lt;=Settings!$B$12,"2 - Review","3 - Monitor")))</f>
        <v/>
      </c>
      <c r="X859" s="56" t="str">
        <f aca="false">IF(AND(E859&gt;=Settings!$B$4,F859&gt;=Settings!$B$5,O859&gt;=Settings!$B$6),"HIGH RATE","")</f>
        <v/>
      </c>
      <c r="Y859" s="56" t="str">
        <f aca="false">IF(F859&gt;0,RANK(F859,$F$2:$F$1780)+COUNTIF($F$2:F859,F859)-1,"")</f>
        <v/>
      </c>
      <c r="Z859" s="56" t="str">
        <f aca="false">IF(H859&gt;0,RANK(H859,$H$2:$H$1780)+COUNTIF($H$2:H859,H859)-1,"")</f>
        <v/>
      </c>
      <c r="AA859" s="56" t="str">
        <f aca="false">IF(AC859="","",RANK(AC859,$AC$2:$AC$1780)+COUNTIF($AC$2:AC859,AC859)-1)</f>
        <v/>
      </c>
      <c r="AB859" s="56" t="str">
        <f aca="false">IF(AD859="","",RANK(AD859,$AD$2:$AD$1780)+COUNTIF($AD$2:AD859,AD859)-1)</f>
        <v/>
      </c>
      <c r="AC859" s="56" t="str">
        <f aca="false">IF(AND(F859&gt;0,E859&gt;=Settings!$B$4),J859,"")</f>
        <v/>
      </c>
      <c r="AD859" s="56" t="str">
        <f aca="false">IF(X859="HIGH RATE",O859,"")</f>
        <v/>
      </c>
    </row>
    <row r="860" customFormat="false" ht="15" hidden="false" customHeight="false" outlineLevel="0" collapsed="false">
      <c r="A860" s="56" t="s">
        <v>2145</v>
      </c>
      <c r="B860" s="56" t="s">
        <v>2146</v>
      </c>
      <c r="C860" s="56" t="s">
        <v>51</v>
      </c>
      <c r="D860" s="56" t="str">
        <f aca="false">IFERROR(INDEX('Brand Map'!$B$4:$B$124,MATCH(C860,'Brand Map'!$A$4:$A$124,0)),"Other")</f>
        <v>AU</v>
      </c>
      <c r="E860" s="57" t="n">
        <v>2</v>
      </c>
      <c r="F860" s="57" t="n">
        <v>0</v>
      </c>
      <c r="G860" s="58" t="n">
        <v>209.9</v>
      </c>
      <c r="H860" s="58" t="n">
        <v>0</v>
      </c>
      <c r="I860" s="58" t="n">
        <v>209.9</v>
      </c>
      <c r="J860" s="32" t="n">
        <f aca="false">IF(E860&gt;0,F860/E860,0)</f>
        <v>0</v>
      </c>
      <c r="K860" s="32" t="n">
        <f aca="false">IF(G860&gt;0,H860/G860,0)</f>
        <v>-0</v>
      </c>
      <c r="L860" s="59" t="n">
        <f aca="false">H860/Settings!$B$16</f>
        <v>-0</v>
      </c>
      <c r="M860" s="59" t="n">
        <f aca="false">H860/Settings!$B$20</f>
        <v>-0</v>
      </c>
      <c r="N860" s="60" t="n">
        <f aca="false">E860*Settings!$B$3</f>
        <v>0.0619723021596408</v>
      </c>
      <c r="O860" s="60" t="n">
        <f aca="false">IF(E860&gt;0,(F860-N860)/SQRT(E860*Settings!$B$3*(1-Settings!$B$3)),0)</f>
        <v>-0.252891261535318</v>
      </c>
      <c r="P860" s="60" t="n">
        <f aca="false">MAX(0,F860-N860)</f>
        <v>0</v>
      </c>
      <c r="Q860" s="32" t="n">
        <f aca="false">(F860+Settings!$B$7*Settings!$B$3)/(E860+Settings!$B$7)</f>
        <v>0.0290495166373316</v>
      </c>
      <c r="R860" s="61" t="n">
        <f aca="false">PERCENTRANK($H$2:$H$1780,H860,6)</f>
        <v>0</v>
      </c>
      <c r="S860" s="61" t="n">
        <f aca="false">PERCENTRANK($Q$2:$Q$1780,Q860,6)</f>
        <v>0.365579</v>
      </c>
      <c r="T860" s="61" t="n">
        <f aca="false">PERCENTRANK($F$2:$F$1780,F860,6)</f>
        <v>0</v>
      </c>
      <c r="U860" s="62" t="n">
        <f aca="false">IF(F860&gt;0,(Settings!$B$8*T860+Settings!$B$9*R860+Settings!$B$10*S860)/SUM(Settings!$B$8:$B$10),0)</f>
        <v>0</v>
      </c>
      <c r="V860" s="56" t="str">
        <f aca="false">IF(U860&gt;0,RANK(U860,$U$2:$U$1780)+COUNTIF($U$2:U860,U860)-1,"")</f>
        <v/>
      </c>
      <c r="W860" s="56" t="str">
        <f aca="false">IF(V860="","",IF(V860&lt;=Settings!$B$11,"1 - Fix first",IF(V860&lt;=Settings!$B$12,"2 - Review","3 - Monitor")))</f>
        <v/>
      </c>
      <c r="X860" s="56" t="str">
        <f aca="false">IF(AND(E860&gt;=Settings!$B$4,F860&gt;=Settings!$B$5,O860&gt;=Settings!$B$6),"HIGH RATE","")</f>
        <v/>
      </c>
      <c r="Y860" s="56" t="str">
        <f aca="false">IF(F860&gt;0,RANK(F860,$F$2:$F$1780)+COUNTIF($F$2:F860,F860)-1,"")</f>
        <v/>
      </c>
      <c r="Z860" s="56" t="str">
        <f aca="false">IF(H860&gt;0,RANK(H860,$H$2:$H$1780)+COUNTIF($H$2:H860,H860)-1,"")</f>
        <v/>
      </c>
      <c r="AA860" s="56" t="str">
        <f aca="false">IF(AC860="","",RANK(AC860,$AC$2:$AC$1780)+COUNTIF($AC$2:AC860,AC860)-1)</f>
        <v/>
      </c>
      <c r="AB860" s="56" t="str">
        <f aca="false">IF(AD860="","",RANK(AD860,$AD$2:$AD$1780)+COUNTIF($AD$2:AD860,AD860)-1)</f>
        <v/>
      </c>
      <c r="AC860" s="56" t="str">
        <f aca="false">IF(AND(F860&gt;0,E860&gt;=Settings!$B$4),J860,"")</f>
        <v/>
      </c>
      <c r="AD860" s="56" t="str">
        <f aca="false">IF(X860="HIGH RATE",O860,"")</f>
        <v/>
      </c>
    </row>
    <row r="861" customFormat="false" ht="15" hidden="false" customHeight="false" outlineLevel="0" collapsed="false">
      <c r="A861" s="56" t="s">
        <v>2147</v>
      </c>
      <c r="B861" s="56" t="s">
        <v>2148</v>
      </c>
      <c r="C861" s="56" t="s">
        <v>51</v>
      </c>
      <c r="D861" s="56" t="str">
        <f aca="false">IFERROR(INDEX('Brand Map'!$B$4:$B$124,MATCH(C861,'Brand Map'!$A$4:$A$124,0)),"Other")</f>
        <v>AU</v>
      </c>
      <c r="E861" s="57" t="n">
        <v>1</v>
      </c>
      <c r="F861" s="57" t="n">
        <v>0</v>
      </c>
      <c r="G861" s="58" t="n">
        <v>97.95</v>
      </c>
      <c r="H861" s="58" t="n">
        <v>0</v>
      </c>
      <c r="I861" s="58" t="n">
        <v>97.95</v>
      </c>
      <c r="J861" s="32" t="n">
        <f aca="false">IF(E861&gt;0,F861/E861,0)</f>
        <v>0</v>
      </c>
      <c r="K861" s="32" t="n">
        <f aca="false">IF(G861&gt;0,H861/G861,0)</f>
        <v>-0</v>
      </c>
      <c r="L861" s="59" t="n">
        <f aca="false">H861/Settings!$B$16</f>
        <v>-0</v>
      </c>
      <c r="M861" s="59" t="n">
        <f aca="false">H861/Settings!$B$20</f>
        <v>-0</v>
      </c>
      <c r="N861" s="60" t="n">
        <f aca="false">E861*Settings!$B$3</f>
        <v>0.0309861510798204</v>
      </c>
      <c r="O861" s="60" t="n">
        <f aca="false">IF(E861&gt;0,(F861-N861)/SQRT(E861*Settings!$B$3*(1-Settings!$B$3)),0)</f>
        <v>-0.178821125934444</v>
      </c>
      <c r="P861" s="60" t="n">
        <f aca="false">MAX(0,F861-N861)</f>
        <v>0</v>
      </c>
      <c r="Q861" s="32" t="n">
        <f aca="false">(F861+Settings!$B$7*Settings!$B$3)/(E861+Settings!$B$7)</f>
        <v>0.0299865978191811</v>
      </c>
      <c r="R861" s="61" t="n">
        <f aca="false">PERCENTRANK($H$2:$H$1780,H861,6)</f>
        <v>0</v>
      </c>
      <c r="S861" s="61" t="n">
        <f aca="false">PERCENTRANK($Q$2:$Q$1780,Q861,6)</f>
        <v>0.486502</v>
      </c>
      <c r="T861" s="61" t="n">
        <f aca="false">PERCENTRANK($F$2:$F$1780,F861,6)</f>
        <v>0</v>
      </c>
      <c r="U861" s="62" t="n">
        <f aca="false">IF(F861&gt;0,(Settings!$B$8*T861+Settings!$B$9*R861+Settings!$B$10*S861)/SUM(Settings!$B$8:$B$10),0)</f>
        <v>0</v>
      </c>
      <c r="V861" s="56" t="str">
        <f aca="false">IF(U861&gt;0,RANK(U861,$U$2:$U$1780)+COUNTIF($U$2:U861,U861)-1,"")</f>
        <v/>
      </c>
      <c r="W861" s="56" t="str">
        <f aca="false">IF(V861="","",IF(V861&lt;=Settings!$B$11,"1 - Fix first",IF(V861&lt;=Settings!$B$12,"2 - Review","3 - Monitor")))</f>
        <v/>
      </c>
      <c r="X861" s="56" t="str">
        <f aca="false">IF(AND(E861&gt;=Settings!$B$4,F861&gt;=Settings!$B$5,O861&gt;=Settings!$B$6),"HIGH RATE","")</f>
        <v/>
      </c>
      <c r="Y861" s="56" t="str">
        <f aca="false">IF(F861&gt;0,RANK(F861,$F$2:$F$1780)+COUNTIF($F$2:F861,F861)-1,"")</f>
        <v/>
      </c>
      <c r="Z861" s="56" t="str">
        <f aca="false">IF(H861&gt;0,RANK(H861,$H$2:$H$1780)+COUNTIF($H$2:H861,H861)-1,"")</f>
        <v/>
      </c>
      <c r="AA861" s="56" t="str">
        <f aca="false">IF(AC861="","",RANK(AC861,$AC$2:$AC$1780)+COUNTIF($AC$2:AC861,AC861)-1)</f>
        <v/>
      </c>
      <c r="AB861" s="56" t="str">
        <f aca="false">IF(AD861="","",RANK(AD861,$AD$2:$AD$1780)+COUNTIF($AD$2:AD861,AD861)-1)</f>
        <v/>
      </c>
      <c r="AC861" s="56" t="str">
        <f aca="false">IF(AND(F861&gt;0,E861&gt;=Settings!$B$4),J861,"")</f>
        <v/>
      </c>
      <c r="AD861" s="56" t="str">
        <f aca="false">IF(X861="HIGH RATE",O861,"")</f>
        <v/>
      </c>
    </row>
    <row r="862" customFormat="false" ht="15" hidden="false" customHeight="false" outlineLevel="0" collapsed="false">
      <c r="A862" s="56" t="s">
        <v>2149</v>
      </c>
      <c r="B862" s="56" t="s">
        <v>2150</v>
      </c>
      <c r="C862" s="56" t="s">
        <v>51</v>
      </c>
      <c r="D862" s="56" t="str">
        <f aca="false">IFERROR(INDEX('Brand Map'!$B$4:$B$124,MATCH(C862,'Brand Map'!$A$4:$A$124,0)),"Other")</f>
        <v>AU</v>
      </c>
      <c r="E862" s="57" t="n">
        <v>42</v>
      </c>
      <c r="F862" s="57" t="n">
        <v>0</v>
      </c>
      <c r="G862" s="58" t="n">
        <v>5558.26</v>
      </c>
      <c r="H862" s="58" t="n">
        <v>0</v>
      </c>
      <c r="I862" s="58" t="n">
        <v>5388.08</v>
      </c>
      <c r="J862" s="32" t="n">
        <f aca="false">IF(E862&gt;0,F862/E862,0)</f>
        <v>0</v>
      </c>
      <c r="K862" s="32" t="n">
        <f aca="false">IF(G862&gt;0,H862/G862,0)</f>
        <v>-0</v>
      </c>
      <c r="L862" s="59" t="n">
        <f aca="false">H862/Settings!$B$16</f>
        <v>-0</v>
      </c>
      <c r="M862" s="59" t="n">
        <f aca="false">H862/Settings!$B$20</f>
        <v>-0</v>
      </c>
      <c r="N862" s="60" t="n">
        <f aca="false">E862*Settings!$B$3</f>
        <v>1.30141834535246</v>
      </c>
      <c r="O862" s="60" t="n">
        <f aca="false">IF(E862&gt;0,(F862-N862)/SQRT(E862*Settings!$B$3*(1-Settings!$B$3)),0)</f>
        <v>-1.15889334857847</v>
      </c>
      <c r="P862" s="60" t="n">
        <f aca="false">MAX(0,F862-N862)</f>
        <v>0</v>
      </c>
      <c r="Q862" s="32" t="n">
        <f aca="false">(F862+Settings!$B$7*Settings!$B$3)/(E862+Settings!$B$7)</f>
        <v>0.0129108962832585</v>
      </c>
      <c r="R862" s="61" t="n">
        <f aca="false">PERCENTRANK($H$2:$H$1780,H862,6)</f>
        <v>0</v>
      </c>
      <c r="S862" s="61" t="n">
        <f aca="false">PERCENTRANK($Q$2:$Q$1780,Q862,6)</f>
        <v>0.0298088</v>
      </c>
      <c r="T862" s="61" t="n">
        <f aca="false">PERCENTRANK($F$2:$F$1780,F862,6)</f>
        <v>0</v>
      </c>
      <c r="U862" s="62" t="n">
        <f aca="false">IF(F862&gt;0,(Settings!$B$8*T862+Settings!$B$9*R862+Settings!$B$10*S862)/SUM(Settings!$B$8:$B$10),0)</f>
        <v>0</v>
      </c>
      <c r="V862" s="56" t="str">
        <f aca="false">IF(U862&gt;0,RANK(U862,$U$2:$U$1780)+COUNTIF($U$2:U862,U862)-1,"")</f>
        <v/>
      </c>
      <c r="W862" s="56" t="str">
        <f aca="false">IF(V862="","",IF(V862&lt;=Settings!$B$11,"1 - Fix first",IF(V862&lt;=Settings!$B$12,"2 - Review","3 - Monitor")))</f>
        <v/>
      </c>
      <c r="X862" s="56" t="str">
        <f aca="false">IF(AND(E862&gt;=Settings!$B$4,F862&gt;=Settings!$B$5,O862&gt;=Settings!$B$6),"HIGH RATE","")</f>
        <v/>
      </c>
      <c r="Y862" s="56" t="str">
        <f aca="false">IF(F862&gt;0,RANK(F862,$F$2:$F$1780)+COUNTIF($F$2:F862,F862)-1,"")</f>
        <v/>
      </c>
      <c r="Z862" s="56" t="str">
        <f aca="false">IF(H862&gt;0,RANK(H862,$H$2:$H$1780)+COUNTIF($H$2:H862,H862)-1,"")</f>
        <v/>
      </c>
      <c r="AA862" s="56" t="str">
        <f aca="false">IF(AC862="","",RANK(AC862,$AC$2:$AC$1780)+COUNTIF($AC$2:AC862,AC862)-1)</f>
        <v/>
      </c>
      <c r="AB862" s="56" t="str">
        <f aca="false">IF(AD862="","",RANK(AD862,$AD$2:$AD$1780)+COUNTIF($AD$2:AD862,AD862)-1)</f>
        <v/>
      </c>
      <c r="AC862" s="56" t="str">
        <f aca="false">IF(AND(F862&gt;0,E862&gt;=Settings!$B$4),J862,"")</f>
        <v/>
      </c>
      <c r="AD862" s="56" t="str">
        <f aca="false">IF(X862="HIGH RATE",O862,"")</f>
        <v/>
      </c>
    </row>
    <row r="863" customFormat="false" ht="15" hidden="false" customHeight="false" outlineLevel="0" collapsed="false">
      <c r="A863" s="56" t="s">
        <v>2151</v>
      </c>
      <c r="B863" s="56" t="s">
        <v>1023</v>
      </c>
      <c r="C863" s="56" t="s">
        <v>51</v>
      </c>
      <c r="D863" s="56" t="str">
        <f aca="false">IFERROR(INDEX('Brand Map'!$B$4:$B$124,MATCH(C863,'Brand Map'!$A$4:$A$124,0)),"Other")</f>
        <v>AU</v>
      </c>
      <c r="E863" s="57" t="n">
        <v>1</v>
      </c>
      <c r="F863" s="57" t="n">
        <v>0</v>
      </c>
      <c r="G863" s="58" t="n">
        <v>114.95</v>
      </c>
      <c r="H863" s="58" t="n">
        <v>0</v>
      </c>
      <c r="I863" s="58" t="n">
        <v>114.95</v>
      </c>
      <c r="J863" s="32" t="n">
        <f aca="false">IF(E863&gt;0,F863/E863,0)</f>
        <v>0</v>
      </c>
      <c r="K863" s="32" t="n">
        <f aca="false">IF(G863&gt;0,H863/G863,0)</f>
        <v>-0</v>
      </c>
      <c r="L863" s="59" t="n">
        <f aca="false">H863/Settings!$B$16</f>
        <v>-0</v>
      </c>
      <c r="M863" s="59" t="n">
        <f aca="false">H863/Settings!$B$20</f>
        <v>-0</v>
      </c>
      <c r="N863" s="60" t="n">
        <f aca="false">E863*Settings!$B$3</f>
        <v>0.0309861510798204</v>
      </c>
      <c r="O863" s="60" t="n">
        <f aca="false">IF(E863&gt;0,(F863-N863)/SQRT(E863*Settings!$B$3*(1-Settings!$B$3)),0)</f>
        <v>-0.178821125934444</v>
      </c>
      <c r="P863" s="60" t="n">
        <f aca="false">MAX(0,F863-N863)</f>
        <v>0</v>
      </c>
      <c r="Q863" s="32" t="n">
        <f aca="false">(F863+Settings!$B$7*Settings!$B$3)/(E863+Settings!$B$7)</f>
        <v>0.0299865978191811</v>
      </c>
      <c r="R863" s="61" t="n">
        <f aca="false">PERCENTRANK($H$2:$H$1780,H863,6)</f>
        <v>0</v>
      </c>
      <c r="S863" s="61" t="n">
        <f aca="false">PERCENTRANK($Q$2:$Q$1780,Q863,6)</f>
        <v>0.486502</v>
      </c>
      <c r="T863" s="61" t="n">
        <f aca="false">PERCENTRANK($F$2:$F$1780,F863,6)</f>
        <v>0</v>
      </c>
      <c r="U863" s="62" t="n">
        <f aca="false">IF(F863&gt;0,(Settings!$B$8*T863+Settings!$B$9*R863+Settings!$B$10*S863)/SUM(Settings!$B$8:$B$10),0)</f>
        <v>0</v>
      </c>
      <c r="V863" s="56" t="str">
        <f aca="false">IF(U863&gt;0,RANK(U863,$U$2:$U$1780)+COUNTIF($U$2:U863,U863)-1,"")</f>
        <v/>
      </c>
      <c r="W863" s="56" t="str">
        <f aca="false">IF(V863="","",IF(V863&lt;=Settings!$B$11,"1 - Fix first",IF(V863&lt;=Settings!$B$12,"2 - Review","3 - Monitor")))</f>
        <v/>
      </c>
      <c r="X863" s="56" t="str">
        <f aca="false">IF(AND(E863&gt;=Settings!$B$4,F863&gt;=Settings!$B$5,O863&gt;=Settings!$B$6),"HIGH RATE","")</f>
        <v/>
      </c>
      <c r="Y863" s="56" t="str">
        <f aca="false">IF(F863&gt;0,RANK(F863,$F$2:$F$1780)+COUNTIF($F$2:F863,F863)-1,"")</f>
        <v/>
      </c>
      <c r="Z863" s="56" t="str">
        <f aca="false">IF(H863&gt;0,RANK(H863,$H$2:$H$1780)+COUNTIF($H$2:H863,H863)-1,"")</f>
        <v/>
      </c>
      <c r="AA863" s="56" t="str">
        <f aca="false">IF(AC863="","",RANK(AC863,$AC$2:$AC$1780)+COUNTIF($AC$2:AC863,AC863)-1)</f>
        <v/>
      </c>
      <c r="AB863" s="56" t="str">
        <f aca="false">IF(AD863="","",RANK(AD863,$AD$2:$AD$1780)+COUNTIF($AD$2:AD863,AD863)-1)</f>
        <v/>
      </c>
      <c r="AC863" s="56" t="str">
        <f aca="false">IF(AND(F863&gt;0,E863&gt;=Settings!$B$4),J863,"")</f>
        <v/>
      </c>
      <c r="AD863" s="56" t="str">
        <f aca="false">IF(X863="HIGH RATE",O863,"")</f>
        <v/>
      </c>
    </row>
    <row r="864" customFormat="false" ht="15" hidden="false" customHeight="false" outlineLevel="0" collapsed="false">
      <c r="A864" s="56" t="s">
        <v>2152</v>
      </c>
      <c r="B864" s="56" t="s">
        <v>891</v>
      </c>
      <c r="C864" s="56" t="s">
        <v>51</v>
      </c>
      <c r="D864" s="56" t="str">
        <f aca="false">IFERROR(INDEX('Brand Map'!$B$4:$B$124,MATCH(C864,'Brand Map'!$A$4:$A$124,0)),"Other")</f>
        <v>AU</v>
      </c>
      <c r="E864" s="57" t="n">
        <v>2</v>
      </c>
      <c r="F864" s="57" t="n">
        <v>0</v>
      </c>
      <c r="G864" s="58" t="n">
        <v>315.9</v>
      </c>
      <c r="H864" s="58" t="n">
        <v>0</v>
      </c>
      <c r="I864" s="58" t="n">
        <v>315.9</v>
      </c>
      <c r="J864" s="32" t="n">
        <f aca="false">IF(E864&gt;0,F864/E864,0)</f>
        <v>0</v>
      </c>
      <c r="K864" s="32" t="n">
        <f aca="false">IF(G864&gt;0,H864/G864,0)</f>
        <v>-0</v>
      </c>
      <c r="L864" s="59" t="n">
        <f aca="false">H864/Settings!$B$16</f>
        <v>-0</v>
      </c>
      <c r="M864" s="59" t="n">
        <f aca="false">H864/Settings!$B$20</f>
        <v>-0</v>
      </c>
      <c r="N864" s="60" t="n">
        <f aca="false">E864*Settings!$B$3</f>
        <v>0.0619723021596408</v>
      </c>
      <c r="O864" s="60" t="n">
        <f aca="false">IF(E864&gt;0,(F864-N864)/SQRT(E864*Settings!$B$3*(1-Settings!$B$3)),0)</f>
        <v>-0.252891261535318</v>
      </c>
      <c r="P864" s="60" t="n">
        <f aca="false">MAX(0,F864-N864)</f>
        <v>0</v>
      </c>
      <c r="Q864" s="32" t="n">
        <f aca="false">(F864+Settings!$B$7*Settings!$B$3)/(E864+Settings!$B$7)</f>
        <v>0.0290495166373316</v>
      </c>
      <c r="R864" s="61" t="n">
        <f aca="false">PERCENTRANK($H$2:$H$1780,H864,6)</f>
        <v>0</v>
      </c>
      <c r="S864" s="61" t="n">
        <f aca="false">PERCENTRANK($Q$2:$Q$1780,Q864,6)</f>
        <v>0.365579</v>
      </c>
      <c r="T864" s="61" t="n">
        <f aca="false">PERCENTRANK($F$2:$F$1780,F864,6)</f>
        <v>0</v>
      </c>
      <c r="U864" s="62" t="n">
        <f aca="false">IF(F864&gt;0,(Settings!$B$8*T864+Settings!$B$9*R864+Settings!$B$10*S864)/SUM(Settings!$B$8:$B$10),0)</f>
        <v>0</v>
      </c>
      <c r="V864" s="56" t="str">
        <f aca="false">IF(U864&gt;0,RANK(U864,$U$2:$U$1780)+COUNTIF($U$2:U864,U864)-1,"")</f>
        <v/>
      </c>
      <c r="W864" s="56" t="str">
        <f aca="false">IF(V864="","",IF(V864&lt;=Settings!$B$11,"1 - Fix first",IF(V864&lt;=Settings!$B$12,"2 - Review","3 - Monitor")))</f>
        <v/>
      </c>
      <c r="X864" s="56" t="str">
        <f aca="false">IF(AND(E864&gt;=Settings!$B$4,F864&gt;=Settings!$B$5,O864&gt;=Settings!$B$6),"HIGH RATE","")</f>
        <v/>
      </c>
      <c r="Y864" s="56" t="str">
        <f aca="false">IF(F864&gt;0,RANK(F864,$F$2:$F$1780)+COUNTIF($F$2:F864,F864)-1,"")</f>
        <v/>
      </c>
      <c r="Z864" s="56" t="str">
        <f aca="false">IF(H864&gt;0,RANK(H864,$H$2:$H$1780)+COUNTIF($H$2:H864,H864)-1,"")</f>
        <v/>
      </c>
      <c r="AA864" s="56" t="str">
        <f aca="false">IF(AC864="","",RANK(AC864,$AC$2:$AC$1780)+COUNTIF($AC$2:AC864,AC864)-1)</f>
        <v/>
      </c>
      <c r="AB864" s="56" t="str">
        <f aca="false">IF(AD864="","",RANK(AD864,$AD$2:$AD$1780)+COUNTIF($AD$2:AD864,AD864)-1)</f>
        <v/>
      </c>
      <c r="AC864" s="56" t="str">
        <f aca="false">IF(AND(F864&gt;0,E864&gt;=Settings!$B$4),J864,"")</f>
        <v/>
      </c>
      <c r="AD864" s="56" t="str">
        <f aca="false">IF(X864="HIGH RATE",O864,"")</f>
        <v/>
      </c>
    </row>
    <row r="865" customFormat="false" ht="15" hidden="false" customHeight="false" outlineLevel="0" collapsed="false">
      <c r="A865" s="56" t="s">
        <v>2153</v>
      </c>
      <c r="B865" s="56" t="s">
        <v>2154</v>
      </c>
      <c r="C865" s="56" t="s">
        <v>51</v>
      </c>
      <c r="D865" s="56" t="str">
        <f aca="false">IFERROR(INDEX('Brand Map'!$B$4:$B$124,MATCH(C865,'Brand Map'!$A$4:$A$124,0)),"Other")</f>
        <v>AU</v>
      </c>
      <c r="E865" s="57" t="n">
        <v>1</v>
      </c>
      <c r="F865" s="57" t="n">
        <v>0</v>
      </c>
      <c r="G865" s="58" t="n">
        <v>359.95</v>
      </c>
      <c r="H865" s="58" t="n">
        <v>0</v>
      </c>
      <c r="I865" s="58" t="n">
        <v>359.95</v>
      </c>
      <c r="J865" s="32" t="n">
        <f aca="false">IF(E865&gt;0,F865/E865,0)</f>
        <v>0</v>
      </c>
      <c r="K865" s="32" t="n">
        <f aca="false">IF(G865&gt;0,H865/G865,0)</f>
        <v>-0</v>
      </c>
      <c r="L865" s="59" t="n">
        <f aca="false">H865/Settings!$B$16</f>
        <v>-0</v>
      </c>
      <c r="M865" s="59" t="n">
        <f aca="false">H865/Settings!$B$20</f>
        <v>-0</v>
      </c>
      <c r="N865" s="60" t="n">
        <f aca="false">E865*Settings!$B$3</f>
        <v>0.0309861510798204</v>
      </c>
      <c r="O865" s="60" t="n">
        <f aca="false">IF(E865&gt;0,(F865-N865)/SQRT(E865*Settings!$B$3*(1-Settings!$B$3)),0)</f>
        <v>-0.178821125934444</v>
      </c>
      <c r="P865" s="60" t="n">
        <f aca="false">MAX(0,F865-N865)</f>
        <v>0</v>
      </c>
      <c r="Q865" s="32" t="n">
        <f aca="false">(F865+Settings!$B$7*Settings!$B$3)/(E865+Settings!$B$7)</f>
        <v>0.0299865978191811</v>
      </c>
      <c r="R865" s="61" t="n">
        <f aca="false">PERCENTRANK($H$2:$H$1780,H865,6)</f>
        <v>0</v>
      </c>
      <c r="S865" s="61" t="n">
        <f aca="false">PERCENTRANK($Q$2:$Q$1780,Q865,6)</f>
        <v>0.486502</v>
      </c>
      <c r="T865" s="61" t="n">
        <f aca="false">PERCENTRANK($F$2:$F$1780,F865,6)</f>
        <v>0</v>
      </c>
      <c r="U865" s="62" t="n">
        <f aca="false">IF(F865&gt;0,(Settings!$B$8*T865+Settings!$B$9*R865+Settings!$B$10*S865)/SUM(Settings!$B$8:$B$10),0)</f>
        <v>0</v>
      </c>
      <c r="V865" s="56" t="str">
        <f aca="false">IF(U865&gt;0,RANK(U865,$U$2:$U$1780)+COUNTIF($U$2:U865,U865)-1,"")</f>
        <v/>
      </c>
      <c r="W865" s="56" t="str">
        <f aca="false">IF(V865="","",IF(V865&lt;=Settings!$B$11,"1 - Fix first",IF(V865&lt;=Settings!$B$12,"2 - Review","3 - Monitor")))</f>
        <v/>
      </c>
      <c r="X865" s="56" t="str">
        <f aca="false">IF(AND(E865&gt;=Settings!$B$4,F865&gt;=Settings!$B$5,O865&gt;=Settings!$B$6),"HIGH RATE","")</f>
        <v/>
      </c>
      <c r="Y865" s="56" t="str">
        <f aca="false">IF(F865&gt;0,RANK(F865,$F$2:$F$1780)+COUNTIF($F$2:F865,F865)-1,"")</f>
        <v/>
      </c>
      <c r="Z865" s="56" t="str">
        <f aca="false">IF(H865&gt;0,RANK(H865,$H$2:$H$1780)+COUNTIF($H$2:H865,H865)-1,"")</f>
        <v/>
      </c>
      <c r="AA865" s="56" t="str">
        <f aca="false">IF(AC865="","",RANK(AC865,$AC$2:$AC$1780)+COUNTIF($AC$2:AC865,AC865)-1)</f>
        <v/>
      </c>
      <c r="AB865" s="56" t="str">
        <f aca="false">IF(AD865="","",RANK(AD865,$AD$2:$AD$1780)+COUNTIF($AD$2:AD865,AD865)-1)</f>
        <v/>
      </c>
      <c r="AC865" s="56" t="str">
        <f aca="false">IF(AND(F865&gt;0,E865&gt;=Settings!$B$4),J865,"")</f>
        <v/>
      </c>
      <c r="AD865" s="56" t="str">
        <f aca="false">IF(X865="HIGH RATE",O865,"")</f>
        <v/>
      </c>
    </row>
    <row r="866" customFormat="false" ht="15" hidden="false" customHeight="false" outlineLevel="0" collapsed="false">
      <c r="A866" s="56" t="s">
        <v>2155</v>
      </c>
      <c r="B866" s="56" t="s">
        <v>2156</v>
      </c>
      <c r="C866" s="56" t="s">
        <v>51</v>
      </c>
      <c r="D866" s="56" t="str">
        <f aca="false">IFERROR(INDEX('Brand Map'!$B$4:$B$124,MATCH(C866,'Brand Map'!$A$4:$A$124,0)),"Other")</f>
        <v>AU</v>
      </c>
      <c r="E866" s="57" t="n">
        <v>25</v>
      </c>
      <c r="F866" s="57" t="n">
        <v>0</v>
      </c>
      <c r="G866" s="58" t="n">
        <v>4406.37</v>
      </c>
      <c r="H866" s="58" t="n">
        <v>0</v>
      </c>
      <c r="I866" s="58" t="n">
        <v>4289.23</v>
      </c>
      <c r="J866" s="32" t="n">
        <f aca="false">IF(E866&gt;0,F866/E866,0)</f>
        <v>0</v>
      </c>
      <c r="K866" s="32" t="n">
        <f aca="false">IF(G866&gt;0,H866/G866,0)</f>
        <v>-0</v>
      </c>
      <c r="L866" s="59" t="n">
        <f aca="false">H866/Settings!$B$16</f>
        <v>-0</v>
      </c>
      <c r="M866" s="59" t="n">
        <f aca="false">H866/Settings!$B$20</f>
        <v>-0</v>
      </c>
      <c r="N866" s="60" t="n">
        <f aca="false">E866*Settings!$B$3</f>
        <v>0.77465377699551</v>
      </c>
      <c r="O866" s="60" t="n">
        <f aca="false">IF(E866&gt;0,(F866-N866)/SQRT(E866*Settings!$B$3*(1-Settings!$B$3)),0)</f>
        <v>-0.89410562967222</v>
      </c>
      <c r="P866" s="60" t="n">
        <f aca="false">MAX(0,F866-N866)</f>
        <v>0</v>
      </c>
      <c r="Q866" s="32" t="n">
        <f aca="false">(F866+Settings!$B$7*Settings!$B$3)/(E866+Settings!$B$7)</f>
        <v>0.0169015369526293</v>
      </c>
      <c r="R866" s="61" t="n">
        <f aca="false">PERCENTRANK($H$2:$H$1780,H866,6)</f>
        <v>0</v>
      </c>
      <c r="S866" s="61" t="n">
        <f aca="false">PERCENTRANK($Q$2:$Q$1780,Q866,6)</f>
        <v>0.0539933</v>
      </c>
      <c r="T866" s="61" t="n">
        <f aca="false">PERCENTRANK($F$2:$F$1780,F866,6)</f>
        <v>0</v>
      </c>
      <c r="U866" s="62" t="n">
        <f aca="false">IF(F866&gt;0,(Settings!$B$8*T866+Settings!$B$9*R866+Settings!$B$10*S866)/SUM(Settings!$B$8:$B$10),0)</f>
        <v>0</v>
      </c>
      <c r="V866" s="56" t="str">
        <f aca="false">IF(U866&gt;0,RANK(U866,$U$2:$U$1780)+COUNTIF($U$2:U866,U866)-1,"")</f>
        <v/>
      </c>
      <c r="W866" s="56" t="str">
        <f aca="false">IF(V866="","",IF(V866&lt;=Settings!$B$11,"1 - Fix first",IF(V866&lt;=Settings!$B$12,"2 - Review","3 - Monitor")))</f>
        <v/>
      </c>
      <c r="X866" s="56" t="str">
        <f aca="false">IF(AND(E866&gt;=Settings!$B$4,F866&gt;=Settings!$B$5,O866&gt;=Settings!$B$6),"HIGH RATE","")</f>
        <v/>
      </c>
      <c r="Y866" s="56" t="str">
        <f aca="false">IF(F866&gt;0,RANK(F866,$F$2:$F$1780)+COUNTIF($F$2:F866,F866)-1,"")</f>
        <v/>
      </c>
      <c r="Z866" s="56" t="str">
        <f aca="false">IF(H866&gt;0,RANK(H866,$H$2:$H$1780)+COUNTIF($H$2:H866,H866)-1,"")</f>
        <v/>
      </c>
      <c r="AA866" s="56" t="str">
        <f aca="false">IF(AC866="","",RANK(AC866,$AC$2:$AC$1780)+COUNTIF($AC$2:AC866,AC866)-1)</f>
        <v/>
      </c>
      <c r="AB866" s="56" t="str">
        <f aca="false">IF(AD866="","",RANK(AD866,$AD$2:$AD$1780)+COUNTIF($AD$2:AD866,AD866)-1)</f>
        <v/>
      </c>
      <c r="AC866" s="56" t="str">
        <f aca="false">IF(AND(F866&gt;0,E866&gt;=Settings!$B$4),J866,"")</f>
        <v/>
      </c>
      <c r="AD866" s="56" t="str">
        <f aca="false">IF(X866="HIGH RATE",O866,"")</f>
        <v/>
      </c>
    </row>
    <row r="867" customFormat="false" ht="15" hidden="false" customHeight="false" outlineLevel="0" collapsed="false">
      <c r="A867" s="56" t="s">
        <v>2157</v>
      </c>
      <c r="B867" s="56" t="s">
        <v>2156</v>
      </c>
      <c r="C867" s="56" t="s">
        <v>51</v>
      </c>
      <c r="D867" s="56" t="str">
        <f aca="false">IFERROR(INDEX('Brand Map'!$B$4:$B$124,MATCH(C867,'Brand Map'!$A$4:$A$124,0)),"Other")</f>
        <v>AU</v>
      </c>
      <c r="E867" s="57" t="n">
        <v>1</v>
      </c>
      <c r="F867" s="57" t="n">
        <v>0</v>
      </c>
      <c r="G867" s="58" t="n">
        <v>174.85</v>
      </c>
      <c r="H867" s="58" t="n">
        <v>0</v>
      </c>
      <c r="I867" s="58" t="n">
        <v>174.85</v>
      </c>
      <c r="J867" s="32" t="n">
        <f aca="false">IF(E867&gt;0,F867/E867,0)</f>
        <v>0</v>
      </c>
      <c r="K867" s="32" t="n">
        <f aca="false">IF(G867&gt;0,H867/G867,0)</f>
        <v>-0</v>
      </c>
      <c r="L867" s="59" t="n">
        <f aca="false">H867/Settings!$B$16</f>
        <v>-0</v>
      </c>
      <c r="M867" s="59" t="n">
        <f aca="false">H867/Settings!$B$20</f>
        <v>-0</v>
      </c>
      <c r="N867" s="60" t="n">
        <f aca="false">E867*Settings!$B$3</f>
        <v>0.0309861510798204</v>
      </c>
      <c r="O867" s="60" t="n">
        <f aca="false">IF(E867&gt;0,(F867-N867)/SQRT(E867*Settings!$B$3*(1-Settings!$B$3)),0)</f>
        <v>-0.178821125934444</v>
      </c>
      <c r="P867" s="60" t="n">
        <f aca="false">MAX(0,F867-N867)</f>
        <v>0</v>
      </c>
      <c r="Q867" s="32" t="n">
        <f aca="false">(F867+Settings!$B$7*Settings!$B$3)/(E867+Settings!$B$7)</f>
        <v>0.0299865978191811</v>
      </c>
      <c r="R867" s="61" t="n">
        <f aca="false">PERCENTRANK($H$2:$H$1780,H867,6)</f>
        <v>0</v>
      </c>
      <c r="S867" s="61" t="n">
        <f aca="false">PERCENTRANK($Q$2:$Q$1780,Q867,6)</f>
        <v>0.486502</v>
      </c>
      <c r="T867" s="61" t="n">
        <f aca="false">PERCENTRANK($F$2:$F$1780,F867,6)</f>
        <v>0</v>
      </c>
      <c r="U867" s="62" t="n">
        <f aca="false">IF(F867&gt;0,(Settings!$B$8*T867+Settings!$B$9*R867+Settings!$B$10*S867)/SUM(Settings!$B$8:$B$10),0)</f>
        <v>0</v>
      </c>
      <c r="V867" s="56" t="str">
        <f aca="false">IF(U867&gt;0,RANK(U867,$U$2:$U$1780)+COUNTIF($U$2:U867,U867)-1,"")</f>
        <v/>
      </c>
      <c r="W867" s="56" t="str">
        <f aca="false">IF(V867="","",IF(V867&lt;=Settings!$B$11,"1 - Fix first",IF(V867&lt;=Settings!$B$12,"2 - Review","3 - Monitor")))</f>
        <v/>
      </c>
      <c r="X867" s="56" t="str">
        <f aca="false">IF(AND(E867&gt;=Settings!$B$4,F867&gt;=Settings!$B$5,O867&gt;=Settings!$B$6),"HIGH RATE","")</f>
        <v/>
      </c>
      <c r="Y867" s="56" t="str">
        <f aca="false">IF(F867&gt;0,RANK(F867,$F$2:$F$1780)+COUNTIF($F$2:F867,F867)-1,"")</f>
        <v/>
      </c>
      <c r="Z867" s="56" t="str">
        <f aca="false">IF(H867&gt;0,RANK(H867,$H$2:$H$1780)+COUNTIF($H$2:H867,H867)-1,"")</f>
        <v/>
      </c>
      <c r="AA867" s="56" t="str">
        <f aca="false">IF(AC867="","",RANK(AC867,$AC$2:$AC$1780)+COUNTIF($AC$2:AC867,AC867)-1)</f>
        <v/>
      </c>
      <c r="AB867" s="56" t="str">
        <f aca="false">IF(AD867="","",RANK(AD867,$AD$2:$AD$1780)+COUNTIF($AD$2:AD867,AD867)-1)</f>
        <v/>
      </c>
      <c r="AC867" s="56" t="str">
        <f aca="false">IF(AND(F867&gt;0,E867&gt;=Settings!$B$4),J867,"")</f>
        <v/>
      </c>
      <c r="AD867" s="56" t="str">
        <f aca="false">IF(X867="HIGH RATE",O867,"")</f>
        <v/>
      </c>
    </row>
    <row r="868" customFormat="false" ht="15" hidden="false" customHeight="false" outlineLevel="0" collapsed="false">
      <c r="A868" s="56" t="s">
        <v>2158</v>
      </c>
      <c r="B868" s="56" t="s">
        <v>2156</v>
      </c>
      <c r="C868" s="56" t="s">
        <v>51</v>
      </c>
      <c r="D868" s="56" t="str">
        <f aca="false">IFERROR(INDEX('Brand Map'!$B$4:$B$124,MATCH(C868,'Brand Map'!$A$4:$A$124,0)),"Other")</f>
        <v>AU</v>
      </c>
      <c r="E868" s="57" t="n">
        <v>1</v>
      </c>
      <c r="F868" s="57" t="n">
        <v>0</v>
      </c>
      <c r="G868" s="58" t="n">
        <v>234.25</v>
      </c>
      <c r="H868" s="58" t="n">
        <v>0</v>
      </c>
      <c r="I868" s="58" t="n">
        <v>234.25</v>
      </c>
      <c r="J868" s="32" t="n">
        <f aca="false">IF(E868&gt;0,F868/E868,0)</f>
        <v>0</v>
      </c>
      <c r="K868" s="32" t="n">
        <f aca="false">IF(G868&gt;0,H868/G868,0)</f>
        <v>-0</v>
      </c>
      <c r="L868" s="59" t="n">
        <f aca="false">H868/Settings!$B$16</f>
        <v>-0</v>
      </c>
      <c r="M868" s="59" t="n">
        <f aca="false">H868/Settings!$B$20</f>
        <v>-0</v>
      </c>
      <c r="N868" s="60" t="n">
        <f aca="false">E868*Settings!$B$3</f>
        <v>0.0309861510798204</v>
      </c>
      <c r="O868" s="60" t="n">
        <f aca="false">IF(E868&gt;0,(F868-N868)/SQRT(E868*Settings!$B$3*(1-Settings!$B$3)),0)</f>
        <v>-0.178821125934444</v>
      </c>
      <c r="P868" s="60" t="n">
        <f aca="false">MAX(0,F868-N868)</f>
        <v>0</v>
      </c>
      <c r="Q868" s="32" t="n">
        <f aca="false">(F868+Settings!$B$7*Settings!$B$3)/(E868+Settings!$B$7)</f>
        <v>0.0299865978191811</v>
      </c>
      <c r="R868" s="61" t="n">
        <f aca="false">PERCENTRANK($H$2:$H$1780,H868,6)</f>
        <v>0</v>
      </c>
      <c r="S868" s="61" t="n">
        <f aca="false">PERCENTRANK($Q$2:$Q$1780,Q868,6)</f>
        <v>0.486502</v>
      </c>
      <c r="T868" s="61" t="n">
        <f aca="false">PERCENTRANK($F$2:$F$1780,F868,6)</f>
        <v>0</v>
      </c>
      <c r="U868" s="62" t="n">
        <f aca="false">IF(F868&gt;0,(Settings!$B$8*T868+Settings!$B$9*R868+Settings!$B$10*S868)/SUM(Settings!$B$8:$B$10),0)</f>
        <v>0</v>
      </c>
      <c r="V868" s="56" t="str">
        <f aca="false">IF(U868&gt;0,RANK(U868,$U$2:$U$1780)+COUNTIF($U$2:U868,U868)-1,"")</f>
        <v/>
      </c>
      <c r="W868" s="56" t="str">
        <f aca="false">IF(V868="","",IF(V868&lt;=Settings!$B$11,"1 - Fix first",IF(V868&lt;=Settings!$B$12,"2 - Review","3 - Monitor")))</f>
        <v/>
      </c>
      <c r="X868" s="56" t="str">
        <f aca="false">IF(AND(E868&gt;=Settings!$B$4,F868&gt;=Settings!$B$5,O868&gt;=Settings!$B$6),"HIGH RATE","")</f>
        <v/>
      </c>
      <c r="Y868" s="56" t="str">
        <f aca="false">IF(F868&gt;0,RANK(F868,$F$2:$F$1780)+COUNTIF($F$2:F868,F868)-1,"")</f>
        <v/>
      </c>
      <c r="Z868" s="56" t="str">
        <f aca="false">IF(H868&gt;0,RANK(H868,$H$2:$H$1780)+COUNTIF($H$2:H868,H868)-1,"")</f>
        <v/>
      </c>
      <c r="AA868" s="56" t="str">
        <f aca="false">IF(AC868="","",RANK(AC868,$AC$2:$AC$1780)+COUNTIF($AC$2:AC868,AC868)-1)</f>
        <v/>
      </c>
      <c r="AB868" s="56" t="str">
        <f aca="false">IF(AD868="","",RANK(AD868,$AD$2:$AD$1780)+COUNTIF($AD$2:AD868,AD868)-1)</f>
        <v/>
      </c>
      <c r="AC868" s="56" t="str">
        <f aca="false">IF(AND(F868&gt;0,E868&gt;=Settings!$B$4),J868,"")</f>
        <v/>
      </c>
      <c r="AD868" s="56" t="str">
        <f aca="false">IF(X868="HIGH RATE",O868,"")</f>
        <v/>
      </c>
    </row>
    <row r="869" customFormat="false" ht="15" hidden="false" customHeight="false" outlineLevel="0" collapsed="false">
      <c r="A869" s="56" t="s">
        <v>2159</v>
      </c>
      <c r="B869" s="56" t="s">
        <v>2160</v>
      </c>
      <c r="C869" s="56" t="s">
        <v>51</v>
      </c>
      <c r="D869" s="56" t="str">
        <f aca="false">IFERROR(INDEX('Brand Map'!$B$4:$B$124,MATCH(C869,'Brand Map'!$A$4:$A$124,0)),"Other")</f>
        <v>AU</v>
      </c>
      <c r="E869" s="57" t="n">
        <v>3</v>
      </c>
      <c r="F869" s="57" t="n">
        <v>0</v>
      </c>
      <c r="G869" s="58" t="n">
        <v>722.58</v>
      </c>
      <c r="H869" s="58" t="n">
        <v>0</v>
      </c>
      <c r="I869" s="58" t="n">
        <v>722.58</v>
      </c>
      <c r="J869" s="32" t="n">
        <f aca="false">IF(E869&gt;0,F869/E869,0)</f>
        <v>0</v>
      </c>
      <c r="K869" s="32" t="n">
        <f aca="false">IF(G869&gt;0,H869/G869,0)</f>
        <v>-0</v>
      </c>
      <c r="L869" s="59" t="n">
        <f aca="false">H869/Settings!$B$16</f>
        <v>-0</v>
      </c>
      <c r="M869" s="59" t="n">
        <f aca="false">H869/Settings!$B$20</f>
        <v>-0</v>
      </c>
      <c r="N869" s="60" t="n">
        <f aca="false">E869*Settings!$B$3</f>
        <v>0.0929584532394613</v>
      </c>
      <c r="O869" s="60" t="n">
        <f aca="false">IF(E869&gt;0,(F869-N869)/SQRT(E869*Settings!$B$3*(1-Settings!$B$3)),0)</f>
        <v>-0.30972727558513</v>
      </c>
      <c r="P869" s="60" t="n">
        <f aca="false">MAX(0,F869-N869)</f>
        <v>0</v>
      </c>
      <c r="Q869" s="32" t="n">
        <f aca="false">(F869+Settings!$B$7*Settings!$B$3)/(E869+Settings!$B$7)</f>
        <v>0.0281692282543822</v>
      </c>
      <c r="R869" s="61" t="n">
        <f aca="false">PERCENTRANK($H$2:$H$1780,H869,6)</f>
        <v>0</v>
      </c>
      <c r="S869" s="61" t="n">
        <f aca="false">PERCENTRANK($Q$2:$Q$1780,Q869,6)</f>
        <v>0.294151</v>
      </c>
      <c r="T869" s="61" t="n">
        <f aca="false">PERCENTRANK($F$2:$F$1780,F869,6)</f>
        <v>0</v>
      </c>
      <c r="U869" s="62" t="n">
        <f aca="false">IF(F869&gt;0,(Settings!$B$8*T869+Settings!$B$9*R869+Settings!$B$10*S869)/SUM(Settings!$B$8:$B$10),0)</f>
        <v>0</v>
      </c>
      <c r="V869" s="56" t="str">
        <f aca="false">IF(U869&gt;0,RANK(U869,$U$2:$U$1780)+COUNTIF($U$2:U869,U869)-1,"")</f>
        <v/>
      </c>
      <c r="W869" s="56" t="str">
        <f aca="false">IF(V869="","",IF(V869&lt;=Settings!$B$11,"1 - Fix first",IF(V869&lt;=Settings!$B$12,"2 - Review","3 - Monitor")))</f>
        <v/>
      </c>
      <c r="X869" s="56" t="str">
        <f aca="false">IF(AND(E869&gt;=Settings!$B$4,F869&gt;=Settings!$B$5,O869&gt;=Settings!$B$6),"HIGH RATE","")</f>
        <v/>
      </c>
      <c r="Y869" s="56" t="str">
        <f aca="false">IF(F869&gt;0,RANK(F869,$F$2:$F$1780)+COUNTIF($F$2:F869,F869)-1,"")</f>
        <v/>
      </c>
      <c r="Z869" s="56" t="str">
        <f aca="false">IF(H869&gt;0,RANK(H869,$H$2:$H$1780)+COUNTIF($H$2:H869,H869)-1,"")</f>
        <v/>
      </c>
      <c r="AA869" s="56" t="str">
        <f aca="false">IF(AC869="","",RANK(AC869,$AC$2:$AC$1780)+COUNTIF($AC$2:AC869,AC869)-1)</f>
        <v/>
      </c>
      <c r="AB869" s="56" t="str">
        <f aca="false">IF(AD869="","",RANK(AD869,$AD$2:$AD$1780)+COUNTIF($AD$2:AD869,AD869)-1)</f>
        <v/>
      </c>
      <c r="AC869" s="56" t="str">
        <f aca="false">IF(AND(F869&gt;0,E869&gt;=Settings!$B$4),J869,"")</f>
        <v/>
      </c>
      <c r="AD869" s="56" t="str">
        <f aca="false">IF(X869="HIGH RATE",O869,"")</f>
        <v/>
      </c>
    </row>
    <row r="870" customFormat="false" ht="15" hidden="false" customHeight="false" outlineLevel="0" collapsed="false">
      <c r="A870" s="56" t="s">
        <v>2161</v>
      </c>
      <c r="B870" s="56" t="s">
        <v>1335</v>
      </c>
      <c r="C870" s="56" t="s">
        <v>51</v>
      </c>
      <c r="D870" s="56" t="str">
        <f aca="false">IFERROR(INDEX('Brand Map'!$B$4:$B$124,MATCH(C870,'Brand Map'!$A$4:$A$124,0)),"Other")</f>
        <v>AU</v>
      </c>
      <c r="E870" s="57" t="n">
        <v>1</v>
      </c>
      <c r="F870" s="57" t="n">
        <v>0</v>
      </c>
      <c r="G870" s="58" t="n">
        <v>154.95</v>
      </c>
      <c r="H870" s="58" t="n">
        <v>0</v>
      </c>
      <c r="I870" s="58" t="n">
        <v>154.95</v>
      </c>
      <c r="J870" s="32" t="n">
        <f aca="false">IF(E870&gt;0,F870/E870,0)</f>
        <v>0</v>
      </c>
      <c r="K870" s="32" t="n">
        <f aca="false">IF(G870&gt;0,H870/G870,0)</f>
        <v>-0</v>
      </c>
      <c r="L870" s="59" t="n">
        <f aca="false">H870/Settings!$B$16</f>
        <v>-0</v>
      </c>
      <c r="M870" s="59" t="n">
        <f aca="false">H870/Settings!$B$20</f>
        <v>-0</v>
      </c>
      <c r="N870" s="60" t="n">
        <f aca="false">E870*Settings!$B$3</f>
        <v>0.0309861510798204</v>
      </c>
      <c r="O870" s="60" t="n">
        <f aca="false">IF(E870&gt;0,(F870-N870)/SQRT(E870*Settings!$B$3*(1-Settings!$B$3)),0)</f>
        <v>-0.178821125934444</v>
      </c>
      <c r="P870" s="60" t="n">
        <f aca="false">MAX(0,F870-N870)</f>
        <v>0</v>
      </c>
      <c r="Q870" s="32" t="n">
        <f aca="false">(F870+Settings!$B$7*Settings!$B$3)/(E870+Settings!$B$7)</f>
        <v>0.0299865978191811</v>
      </c>
      <c r="R870" s="61" t="n">
        <f aca="false">PERCENTRANK($H$2:$H$1780,H870,6)</f>
        <v>0</v>
      </c>
      <c r="S870" s="61" t="n">
        <f aca="false">PERCENTRANK($Q$2:$Q$1780,Q870,6)</f>
        <v>0.486502</v>
      </c>
      <c r="T870" s="61" t="n">
        <f aca="false">PERCENTRANK($F$2:$F$1780,F870,6)</f>
        <v>0</v>
      </c>
      <c r="U870" s="62" t="n">
        <f aca="false">IF(F870&gt;0,(Settings!$B$8*T870+Settings!$B$9*R870+Settings!$B$10*S870)/SUM(Settings!$B$8:$B$10),0)</f>
        <v>0</v>
      </c>
      <c r="V870" s="56" t="str">
        <f aca="false">IF(U870&gt;0,RANK(U870,$U$2:$U$1780)+COUNTIF($U$2:U870,U870)-1,"")</f>
        <v/>
      </c>
      <c r="W870" s="56" t="str">
        <f aca="false">IF(V870="","",IF(V870&lt;=Settings!$B$11,"1 - Fix first",IF(V870&lt;=Settings!$B$12,"2 - Review","3 - Monitor")))</f>
        <v/>
      </c>
      <c r="X870" s="56" t="str">
        <f aca="false">IF(AND(E870&gt;=Settings!$B$4,F870&gt;=Settings!$B$5,O870&gt;=Settings!$B$6),"HIGH RATE","")</f>
        <v/>
      </c>
      <c r="Y870" s="56" t="str">
        <f aca="false">IF(F870&gt;0,RANK(F870,$F$2:$F$1780)+COUNTIF($F$2:F870,F870)-1,"")</f>
        <v/>
      </c>
      <c r="Z870" s="56" t="str">
        <f aca="false">IF(H870&gt;0,RANK(H870,$H$2:$H$1780)+COUNTIF($H$2:H870,H870)-1,"")</f>
        <v/>
      </c>
      <c r="AA870" s="56" t="str">
        <f aca="false">IF(AC870="","",RANK(AC870,$AC$2:$AC$1780)+COUNTIF($AC$2:AC870,AC870)-1)</f>
        <v/>
      </c>
      <c r="AB870" s="56" t="str">
        <f aca="false">IF(AD870="","",RANK(AD870,$AD$2:$AD$1780)+COUNTIF($AD$2:AD870,AD870)-1)</f>
        <v/>
      </c>
      <c r="AC870" s="56" t="str">
        <f aca="false">IF(AND(F870&gt;0,E870&gt;=Settings!$B$4),J870,"")</f>
        <v/>
      </c>
      <c r="AD870" s="56" t="str">
        <f aca="false">IF(X870="HIGH RATE",O870,"")</f>
        <v/>
      </c>
    </row>
    <row r="871" customFormat="false" ht="15" hidden="false" customHeight="false" outlineLevel="0" collapsed="false">
      <c r="A871" s="56" t="s">
        <v>2162</v>
      </c>
      <c r="B871" s="56" t="s">
        <v>1335</v>
      </c>
      <c r="C871" s="56" t="s">
        <v>51</v>
      </c>
      <c r="D871" s="56" t="str">
        <f aca="false">IFERROR(INDEX('Brand Map'!$B$4:$B$124,MATCH(C871,'Brand Map'!$A$4:$A$124,0)),"Other")</f>
        <v>AU</v>
      </c>
      <c r="E871" s="57" t="n">
        <v>3</v>
      </c>
      <c r="F871" s="57" t="n">
        <v>0</v>
      </c>
      <c r="G871" s="58" t="n">
        <v>509.85</v>
      </c>
      <c r="H871" s="58" t="n">
        <v>0</v>
      </c>
      <c r="I871" s="58" t="n">
        <v>509.85</v>
      </c>
      <c r="J871" s="32" t="n">
        <f aca="false">IF(E871&gt;0,F871/E871,0)</f>
        <v>0</v>
      </c>
      <c r="K871" s="32" t="n">
        <f aca="false">IF(G871&gt;0,H871/G871,0)</f>
        <v>-0</v>
      </c>
      <c r="L871" s="59" t="n">
        <f aca="false">H871/Settings!$B$16</f>
        <v>-0</v>
      </c>
      <c r="M871" s="59" t="n">
        <f aca="false">H871/Settings!$B$20</f>
        <v>-0</v>
      </c>
      <c r="N871" s="60" t="n">
        <f aca="false">E871*Settings!$B$3</f>
        <v>0.0929584532394613</v>
      </c>
      <c r="O871" s="60" t="n">
        <f aca="false">IF(E871&gt;0,(F871-N871)/SQRT(E871*Settings!$B$3*(1-Settings!$B$3)),0)</f>
        <v>-0.30972727558513</v>
      </c>
      <c r="P871" s="60" t="n">
        <f aca="false">MAX(0,F871-N871)</f>
        <v>0</v>
      </c>
      <c r="Q871" s="32" t="n">
        <f aca="false">(F871+Settings!$B$7*Settings!$B$3)/(E871+Settings!$B$7)</f>
        <v>0.0281692282543822</v>
      </c>
      <c r="R871" s="61" t="n">
        <f aca="false">PERCENTRANK($H$2:$H$1780,H871,6)</f>
        <v>0</v>
      </c>
      <c r="S871" s="61" t="n">
        <f aca="false">PERCENTRANK($Q$2:$Q$1780,Q871,6)</f>
        <v>0.294151</v>
      </c>
      <c r="T871" s="61" t="n">
        <f aca="false">PERCENTRANK($F$2:$F$1780,F871,6)</f>
        <v>0</v>
      </c>
      <c r="U871" s="62" t="n">
        <f aca="false">IF(F871&gt;0,(Settings!$B$8*T871+Settings!$B$9*R871+Settings!$B$10*S871)/SUM(Settings!$B$8:$B$10),0)</f>
        <v>0</v>
      </c>
      <c r="V871" s="56" t="str">
        <f aca="false">IF(U871&gt;0,RANK(U871,$U$2:$U$1780)+COUNTIF($U$2:U871,U871)-1,"")</f>
        <v/>
      </c>
      <c r="W871" s="56" t="str">
        <f aca="false">IF(V871="","",IF(V871&lt;=Settings!$B$11,"1 - Fix first",IF(V871&lt;=Settings!$B$12,"2 - Review","3 - Monitor")))</f>
        <v/>
      </c>
      <c r="X871" s="56" t="str">
        <f aca="false">IF(AND(E871&gt;=Settings!$B$4,F871&gt;=Settings!$B$5,O871&gt;=Settings!$B$6),"HIGH RATE","")</f>
        <v/>
      </c>
      <c r="Y871" s="56" t="str">
        <f aca="false">IF(F871&gt;0,RANK(F871,$F$2:$F$1780)+COUNTIF($F$2:F871,F871)-1,"")</f>
        <v/>
      </c>
      <c r="Z871" s="56" t="str">
        <f aca="false">IF(H871&gt;0,RANK(H871,$H$2:$H$1780)+COUNTIF($H$2:H871,H871)-1,"")</f>
        <v/>
      </c>
      <c r="AA871" s="56" t="str">
        <f aca="false">IF(AC871="","",RANK(AC871,$AC$2:$AC$1780)+COUNTIF($AC$2:AC871,AC871)-1)</f>
        <v/>
      </c>
      <c r="AB871" s="56" t="str">
        <f aca="false">IF(AD871="","",RANK(AD871,$AD$2:$AD$1780)+COUNTIF($AD$2:AD871,AD871)-1)</f>
        <v/>
      </c>
      <c r="AC871" s="56" t="str">
        <f aca="false">IF(AND(F871&gt;0,E871&gt;=Settings!$B$4),J871,"")</f>
        <v/>
      </c>
      <c r="AD871" s="56" t="str">
        <f aca="false">IF(X871="HIGH RATE",O871,"")</f>
        <v/>
      </c>
    </row>
    <row r="872" customFormat="false" ht="15" hidden="false" customHeight="false" outlineLevel="0" collapsed="false">
      <c r="A872" s="56" t="s">
        <v>2163</v>
      </c>
      <c r="B872" s="56" t="s">
        <v>1335</v>
      </c>
      <c r="C872" s="56" t="s">
        <v>51</v>
      </c>
      <c r="D872" s="56" t="str">
        <f aca="false">IFERROR(INDEX('Brand Map'!$B$4:$B$124,MATCH(C872,'Brand Map'!$A$4:$A$124,0)),"Other")</f>
        <v>AU</v>
      </c>
      <c r="E872" s="57" t="n">
        <v>2</v>
      </c>
      <c r="F872" s="57" t="n">
        <v>0</v>
      </c>
      <c r="G872" s="58" t="n">
        <v>249.9</v>
      </c>
      <c r="H872" s="58" t="n">
        <v>0</v>
      </c>
      <c r="I872" s="58" t="n">
        <v>249.9</v>
      </c>
      <c r="J872" s="32" t="n">
        <f aca="false">IF(E872&gt;0,F872/E872,0)</f>
        <v>0</v>
      </c>
      <c r="K872" s="32" t="n">
        <f aca="false">IF(G872&gt;0,H872/G872,0)</f>
        <v>-0</v>
      </c>
      <c r="L872" s="59" t="n">
        <f aca="false">H872/Settings!$B$16</f>
        <v>-0</v>
      </c>
      <c r="M872" s="59" t="n">
        <f aca="false">H872/Settings!$B$20</f>
        <v>-0</v>
      </c>
      <c r="N872" s="60" t="n">
        <f aca="false">E872*Settings!$B$3</f>
        <v>0.0619723021596408</v>
      </c>
      <c r="O872" s="60" t="n">
        <f aca="false">IF(E872&gt;0,(F872-N872)/SQRT(E872*Settings!$B$3*(1-Settings!$B$3)),0)</f>
        <v>-0.252891261535318</v>
      </c>
      <c r="P872" s="60" t="n">
        <f aca="false">MAX(0,F872-N872)</f>
        <v>0</v>
      </c>
      <c r="Q872" s="32" t="n">
        <f aca="false">(F872+Settings!$B$7*Settings!$B$3)/(E872+Settings!$B$7)</f>
        <v>0.0290495166373316</v>
      </c>
      <c r="R872" s="61" t="n">
        <f aca="false">PERCENTRANK($H$2:$H$1780,H872,6)</f>
        <v>0</v>
      </c>
      <c r="S872" s="61" t="n">
        <f aca="false">PERCENTRANK($Q$2:$Q$1780,Q872,6)</f>
        <v>0.365579</v>
      </c>
      <c r="T872" s="61" t="n">
        <f aca="false">PERCENTRANK($F$2:$F$1780,F872,6)</f>
        <v>0</v>
      </c>
      <c r="U872" s="62" t="n">
        <f aca="false">IF(F872&gt;0,(Settings!$B$8*T872+Settings!$B$9*R872+Settings!$B$10*S872)/SUM(Settings!$B$8:$B$10),0)</f>
        <v>0</v>
      </c>
      <c r="V872" s="56" t="str">
        <f aca="false">IF(U872&gt;0,RANK(U872,$U$2:$U$1780)+COUNTIF($U$2:U872,U872)-1,"")</f>
        <v/>
      </c>
      <c r="W872" s="56" t="str">
        <f aca="false">IF(V872="","",IF(V872&lt;=Settings!$B$11,"1 - Fix first",IF(V872&lt;=Settings!$B$12,"2 - Review","3 - Monitor")))</f>
        <v/>
      </c>
      <c r="X872" s="56" t="str">
        <f aca="false">IF(AND(E872&gt;=Settings!$B$4,F872&gt;=Settings!$B$5,O872&gt;=Settings!$B$6),"HIGH RATE","")</f>
        <v/>
      </c>
      <c r="Y872" s="56" t="str">
        <f aca="false">IF(F872&gt;0,RANK(F872,$F$2:$F$1780)+COUNTIF($F$2:F872,F872)-1,"")</f>
        <v/>
      </c>
      <c r="Z872" s="56" t="str">
        <f aca="false">IF(H872&gt;0,RANK(H872,$H$2:$H$1780)+COUNTIF($H$2:H872,H872)-1,"")</f>
        <v/>
      </c>
      <c r="AA872" s="56" t="str">
        <f aca="false">IF(AC872="","",RANK(AC872,$AC$2:$AC$1780)+COUNTIF($AC$2:AC872,AC872)-1)</f>
        <v/>
      </c>
      <c r="AB872" s="56" t="str">
        <f aca="false">IF(AD872="","",RANK(AD872,$AD$2:$AD$1780)+COUNTIF($AD$2:AD872,AD872)-1)</f>
        <v/>
      </c>
      <c r="AC872" s="56" t="str">
        <f aca="false">IF(AND(F872&gt;0,E872&gt;=Settings!$B$4),J872,"")</f>
        <v/>
      </c>
      <c r="AD872" s="56" t="str">
        <f aca="false">IF(X872="HIGH RATE",O872,"")</f>
        <v/>
      </c>
    </row>
    <row r="873" customFormat="false" ht="15" hidden="false" customHeight="false" outlineLevel="0" collapsed="false">
      <c r="A873" s="56" t="s">
        <v>2164</v>
      </c>
      <c r="B873" s="56" t="s">
        <v>2165</v>
      </c>
      <c r="C873" s="56" t="s">
        <v>51</v>
      </c>
      <c r="D873" s="56" t="str">
        <f aca="false">IFERROR(INDEX('Brand Map'!$B$4:$B$124,MATCH(C873,'Brand Map'!$A$4:$A$124,0)),"Other")</f>
        <v>AU</v>
      </c>
      <c r="E873" s="57" t="n">
        <v>1</v>
      </c>
      <c r="F873" s="57" t="n">
        <v>0</v>
      </c>
      <c r="G873" s="58" t="n">
        <v>38.49</v>
      </c>
      <c r="H873" s="58" t="n">
        <v>0</v>
      </c>
      <c r="I873" s="58" t="n">
        <v>38.49</v>
      </c>
      <c r="J873" s="32" t="n">
        <f aca="false">IF(E873&gt;0,F873/E873,0)</f>
        <v>0</v>
      </c>
      <c r="K873" s="32" t="n">
        <f aca="false">IF(G873&gt;0,H873/G873,0)</f>
        <v>-0</v>
      </c>
      <c r="L873" s="59" t="n">
        <f aca="false">H873/Settings!$B$16</f>
        <v>-0</v>
      </c>
      <c r="M873" s="59" t="n">
        <f aca="false">H873/Settings!$B$20</f>
        <v>-0</v>
      </c>
      <c r="N873" s="60" t="n">
        <f aca="false">E873*Settings!$B$3</f>
        <v>0.0309861510798204</v>
      </c>
      <c r="O873" s="60" t="n">
        <f aca="false">IF(E873&gt;0,(F873-N873)/SQRT(E873*Settings!$B$3*(1-Settings!$B$3)),0)</f>
        <v>-0.178821125934444</v>
      </c>
      <c r="P873" s="60" t="n">
        <f aca="false">MAX(0,F873-N873)</f>
        <v>0</v>
      </c>
      <c r="Q873" s="32" t="n">
        <f aca="false">(F873+Settings!$B$7*Settings!$B$3)/(E873+Settings!$B$7)</f>
        <v>0.0299865978191811</v>
      </c>
      <c r="R873" s="61" t="n">
        <f aca="false">PERCENTRANK($H$2:$H$1780,H873,6)</f>
        <v>0</v>
      </c>
      <c r="S873" s="61" t="n">
        <f aca="false">PERCENTRANK($Q$2:$Q$1780,Q873,6)</f>
        <v>0.486502</v>
      </c>
      <c r="T873" s="61" t="n">
        <f aca="false">PERCENTRANK($F$2:$F$1780,F873,6)</f>
        <v>0</v>
      </c>
      <c r="U873" s="62" t="n">
        <f aca="false">IF(F873&gt;0,(Settings!$B$8*T873+Settings!$B$9*R873+Settings!$B$10*S873)/SUM(Settings!$B$8:$B$10),0)</f>
        <v>0</v>
      </c>
      <c r="V873" s="56" t="str">
        <f aca="false">IF(U873&gt;0,RANK(U873,$U$2:$U$1780)+COUNTIF($U$2:U873,U873)-1,"")</f>
        <v/>
      </c>
      <c r="W873" s="56" t="str">
        <f aca="false">IF(V873="","",IF(V873&lt;=Settings!$B$11,"1 - Fix first",IF(V873&lt;=Settings!$B$12,"2 - Review","3 - Monitor")))</f>
        <v/>
      </c>
      <c r="X873" s="56" t="str">
        <f aca="false">IF(AND(E873&gt;=Settings!$B$4,F873&gt;=Settings!$B$5,O873&gt;=Settings!$B$6),"HIGH RATE","")</f>
        <v/>
      </c>
      <c r="Y873" s="56" t="str">
        <f aca="false">IF(F873&gt;0,RANK(F873,$F$2:$F$1780)+COUNTIF($F$2:F873,F873)-1,"")</f>
        <v/>
      </c>
      <c r="Z873" s="56" t="str">
        <f aca="false">IF(H873&gt;0,RANK(H873,$H$2:$H$1780)+COUNTIF($H$2:H873,H873)-1,"")</f>
        <v/>
      </c>
      <c r="AA873" s="56" t="str">
        <f aca="false">IF(AC873="","",RANK(AC873,$AC$2:$AC$1780)+COUNTIF($AC$2:AC873,AC873)-1)</f>
        <v/>
      </c>
      <c r="AB873" s="56" t="str">
        <f aca="false">IF(AD873="","",RANK(AD873,$AD$2:$AD$1780)+COUNTIF($AD$2:AD873,AD873)-1)</f>
        <v/>
      </c>
      <c r="AC873" s="56" t="str">
        <f aca="false">IF(AND(F873&gt;0,E873&gt;=Settings!$B$4),J873,"")</f>
        <v/>
      </c>
      <c r="AD873" s="56" t="str">
        <f aca="false">IF(X873="HIGH RATE",O873,"")</f>
        <v/>
      </c>
    </row>
    <row r="874" customFormat="false" ht="15" hidden="false" customHeight="false" outlineLevel="0" collapsed="false">
      <c r="A874" s="56" t="s">
        <v>2166</v>
      </c>
      <c r="B874" s="56" t="s">
        <v>2167</v>
      </c>
      <c r="C874" s="56" t="s">
        <v>51</v>
      </c>
      <c r="D874" s="56" t="str">
        <f aca="false">IFERROR(INDEX('Brand Map'!$B$4:$B$124,MATCH(C874,'Brand Map'!$A$4:$A$124,0)),"Other")</f>
        <v>AU</v>
      </c>
      <c r="E874" s="57" t="n">
        <v>1</v>
      </c>
      <c r="F874" s="57" t="n">
        <v>0</v>
      </c>
      <c r="G874" s="58" t="n">
        <v>58.99</v>
      </c>
      <c r="H874" s="58" t="n">
        <v>0</v>
      </c>
      <c r="I874" s="58" t="n">
        <v>58.99</v>
      </c>
      <c r="J874" s="32" t="n">
        <f aca="false">IF(E874&gt;0,F874/E874,0)</f>
        <v>0</v>
      </c>
      <c r="K874" s="32" t="n">
        <f aca="false">IF(G874&gt;0,H874/G874,0)</f>
        <v>-0</v>
      </c>
      <c r="L874" s="59" t="n">
        <f aca="false">H874/Settings!$B$16</f>
        <v>-0</v>
      </c>
      <c r="M874" s="59" t="n">
        <f aca="false">H874/Settings!$B$20</f>
        <v>-0</v>
      </c>
      <c r="N874" s="60" t="n">
        <f aca="false">E874*Settings!$B$3</f>
        <v>0.0309861510798204</v>
      </c>
      <c r="O874" s="60" t="n">
        <f aca="false">IF(E874&gt;0,(F874-N874)/SQRT(E874*Settings!$B$3*(1-Settings!$B$3)),0)</f>
        <v>-0.178821125934444</v>
      </c>
      <c r="P874" s="60" t="n">
        <f aca="false">MAX(0,F874-N874)</f>
        <v>0</v>
      </c>
      <c r="Q874" s="32" t="n">
        <f aca="false">(F874+Settings!$B$7*Settings!$B$3)/(E874+Settings!$B$7)</f>
        <v>0.0299865978191811</v>
      </c>
      <c r="R874" s="61" t="n">
        <f aca="false">PERCENTRANK($H$2:$H$1780,H874,6)</f>
        <v>0</v>
      </c>
      <c r="S874" s="61" t="n">
        <f aca="false">PERCENTRANK($Q$2:$Q$1780,Q874,6)</f>
        <v>0.486502</v>
      </c>
      <c r="T874" s="61" t="n">
        <f aca="false">PERCENTRANK($F$2:$F$1780,F874,6)</f>
        <v>0</v>
      </c>
      <c r="U874" s="62" t="n">
        <f aca="false">IF(F874&gt;0,(Settings!$B$8*T874+Settings!$B$9*R874+Settings!$B$10*S874)/SUM(Settings!$B$8:$B$10),0)</f>
        <v>0</v>
      </c>
      <c r="V874" s="56" t="str">
        <f aca="false">IF(U874&gt;0,RANK(U874,$U$2:$U$1780)+COUNTIF($U$2:U874,U874)-1,"")</f>
        <v/>
      </c>
      <c r="W874" s="56" t="str">
        <f aca="false">IF(V874="","",IF(V874&lt;=Settings!$B$11,"1 - Fix first",IF(V874&lt;=Settings!$B$12,"2 - Review","3 - Monitor")))</f>
        <v/>
      </c>
      <c r="X874" s="56" t="str">
        <f aca="false">IF(AND(E874&gt;=Settings!$B$4,F874&gt;=Settings!$B$5,O874&gt;=Settings!$B$6),"HIGH RATE","")</f>
        <v/>
      </c>
      <c r="Y874" s="56" t="str">
        <f aca="false">IF(F874&gt;0,RANK(F874,$F$2:$F$1780)+COUNTIF($F$2:F874,F874)-1,"")</f>
        <v/>
      </c>
      <c r="Z874" s="56" t="str">
        <f aca="false">IF(H874&gt;0,RANK(H874,$H$2:$H$1780)+COUNTIF($H$2:H874,H874)-1,"")</f>
        <v/>
      </c>
      <c r="AA874" s="56" t="str">
        <f aca="false">IF(AC874="","",RANK(AC874,$AC$2:$AC$1780)+COUNTIF($AC$2:AC874,AC874)-1)</f>
        <v/>
      </c>
      <c r="AB874" s="56" t="str">
        <f aca="false">IF(AD874="","",RANK(AD874,$AD$2:$AD$1780)+COUNTIF($AD$2:AD874,AD874)-1)</f>
        <v/>
      </c>
      <c r="AC874" s="56" t="str">
        <f aca="false">IF(AND(F874&gt;0,E874&gt;=Settings!$B$4),J874,"")</f>
        <v/>
      </c>
      <c r="AD874" s="56" t="str">
        <f aca="false">IF(X874="HIGH RATE",O874,"")</f>
        <v/>
      </c>
    </row>
    <row r="875" customFormat="false" ht="15" hidden="false" customHeight="false" outlineLevel="0" collapsed="false">
      <c r="A875" s="56" t="s">
        <v>2168</v>
      </c>
      <c r="B875" s="56" t="s">
        <v>2167</v>
      </c>
      <c r="C875" s="56" t="s">
        <v>51</v>
      </c>
      <c r="D875" s="56" t="str">
        <f aca="false">IFERROR(INDEX('Brand Map'!$B$4:$B$124,MATCH(C875,'Brand Map'!$A$4:$A$124,0)),"Other")</f>
        <v>AU</v>
      </c>
      <c r="E875" s="57" t="n">
        <v>5</v>
      </c>
      <c r="F875" s="57" t="n">
        <v>0</v>
      </c>
      <c r="G875" s="58" t="n">
        <v>219.95</v>
      </c>
      <c r="H875" s="58" t="n">
        <v>0</v>
      </c>
      <c r="I875" s="58" t="n">
        <v>219.95</v>
      </c>
      <c r="J875" s="32" t="n">
        <f aca="false">IF(E875&gt;0,F875/E875,0)</f>
        <v>0</v>
      </c>
      <c r="K875" s="32" t="n">
        <f aca="false">IF(G875&gt;0,H875/G875,0)</f>
        <v>-0</v>
      </c>
      <c r="L875" s="59" t="n">
        <f aca="false">H875/Settings!$B$16</f>
        <v>-0</v>
      </c>
      <c r="M875" s="59" t="n">
        <f aca="false">H875/Settings!$B$20</f>
        <v>-0</v>
      </c>
      <c r="N875" s="60" t="n">
        <f aca="false">E875*Settings!$B$3</f>
        <v>0.154930755399102</v>
      </c>
      <c r="O875" s="60" t="n">
        <f aca="false">IF(E875&gt;0,(F875-N875)/SQRT(E875*Settings!$B$3*(1-Settings!$B$3)),0)</f>
        <v>-0.399856193402468</v>
      </c>
      <c r="P875" s="60" t="n">
        <f aca="false">MAX(0,F875-N875)</f>
        <v>0</v>
      </c>
      <c r="Q875" s="32" t="n">
        <f aca="false">(F875+Settings!$B$7*Settings!$B$3)/(E875+Settings!$B$7)</f>
        <v>0.0265595580684175</v>
      </c>
      <c r="R875" s="61" t="n">
        <f aca="false">PERCENTRANK($H$2:$H$1780,H875,6)</f>
        <v>0</v>
      </c>
      <c r="S875" s="61" t="n">
        <f aca="false">PERCENTRANK($Q$2:$Q$1780,Q875,6)</f>
        <v>0.220472</v>
      </c>
      <c r="T875" s="61" t="n">
        <f aca="false">PERCENTRANK($F$2:$F$1780,F875,6)</f>
        <v>0</v>
      </c>
      <c r="U875" s="62" t="n">
        <f aca="false">IF(F875&gt;0,(Settings!$B$8*T875+Settings!$B$9*R875+Settings!$B$10*S875)/SUM(Settings!$B$8:$B$10),0)</f>
        <v>0</v>
      </c>
      <c r="V875" s="56" t="str">
        <f aca="false">IF(U875&gt;0,RANK(U875,$U$2:$U$1780)+COUNTIF($U$2:U875,U875)-1,"")</f>
        <v/>
      </c>
      <c r="W875" s="56" t="str">
        <f aca="false">IF(V875="","",IF(V875&lt;=Settings!$B$11,"1 - Fix first",IF(V875&lt;=Settings!$B$12,"2 - Review","3 - Monitor")))</f>
        <v/>
      </c>
      <c r="X875" s="56" t="str">
        <f aca="false">IF(AND(E875&gt;=Settings!$B$4,F875&gt;=Settings!$B$5,O875&gt;=Settings!$B$6),"HIGH RATE","")</f>
        <v/>
      </c>
      <c r="Y875" s="56" t="str">
        <f aca="false">IF(F875&gt;0,RANK(F875,$F$2:$F$1780)+COUNTIF($F$2:F875,F875)-1,"")</f>
        <v/>
      </c>
      <c r="Z875" s="56" t="str">
        <f aca="false">IF(H875&gt;0,RANK(H875,$H$2:$H$1780)+COUNTIF($H$2:H875,H875)-1,"")</f>
        <v/>
      </c>
      <c r="AA875" s="56" t="str">
        <f aca="false">IF(AC875="","",RANK(AC875,$AC$2:$AC$1780)+COUNTIF($AC$2:AC875,AC875)-1)</f>
        <v/>
      </c>
      <c r="AB875" s="56" t="str">
        <f aca="false">IF(AD875="","",RANK(AD875,$AD$2:$AD$1780)+COUNTIF($AD$2:AD875,AD875)-1)</f>
        <v/>
      </c>
      <c r="AC875" s="56" t="str">
        <f aca="false">IF(AND(F875&gt;0,E875&gt;=Settings!$B$4),J875,"")</f>
        <v/>
      </c>
      <c r="AD875" s="56" t="str">
        <f aca="false">IF(X875="HIGH RATE",O875,"")</f>
        <v/>
      </c>
    </row>
    <row r="876" customFormat="false" ht="15" hidden="false" customHeight="false" outlineLevel="0" collapsed="false">
      <c r="A876" s="56" t="s">
        <v>2169</v>
      </c>
      <c r="B876" s="56" t="s">
        <v>2170</v>
      </c>
      <c r="C876" s="56" t="s">
        <v>51</v>
      </c>
      <c r="D876" s="56" t="str">
        <f aca="false">IFERROR(INDEX('Brand Map'!$B$4:$B$124,MATCH(C876,'Brand Map'!$A$4:$A$124,0)),"Other")</f>
        <v>AU</v>
      </c>
      <c r="E876" s="57" t="n">
        <v>1</v>
      </c>
      <c r="F876" s="57" t="n">
        <v>0</v>
      </c>
      <c r="G876" s="58" t="n">
        <v>139.95</v>
      </c>
      <c r="H876" s="58" t="n">
        <v>0</v>
      </c>
      <c r="I876" s="58" t="n">
        <v>139.95</v>
      </c>
      <c r="J876" s="32" t="n">
        <f aca="false">IF(E876&gt;0,F876/E876,0)</f>
        <v>0</v>
      </c>
      <c r="K876" s="32" t="n">
        <f aca="false">IF(G876&gt;0,H876/G876,0)</f>
        <v>-0</v>
      </c>
      <c r="L876" s="59" t="n">
        <f aca="false">H876/Settings!$B$16</f>
        <v>-0</v>
      </c>
      <c r="M876" s="59" t="n">
        <f aca="false">H876/Settings!$B$20</f>
        <v>-0</v>
      </c>
      <c r="N876" s="60" t="n">
        <f aca="false">E876*Settings!$B$3</f>
        <v>0.0309861510798204</v>
      </c>
      <c r="O876" s="60" t="n">
        <f aca="false">IF(E876&gt;0,(F876-N876)/SQRT(E876*Settings!$B$3*(1-Settings!$B$3)),0)</f>
        <v>-0.178821125934444</v>
      </c>
      <c r="P876" s="60" t="n">
        <f aca="false">MAX(0,F876-N876)</f>
        <v>0</v>
      </c>
      <c r="Q876" s="32" t="n">
        <f aca="false">(F876+Settings!$B$7*Settings!$B$3)/(E876+Settings!$B$7)</f>
        <v>0.0299865978191811</v>
      </c>
      <c r="R876" s="61" t="n">
        <f aca="false">PERCENTRANK($H$2:$H$1780,H876,6)</f>
        <v>0</v>
      </c>
      <c r="S876" s="61" t="n">
        <f aca="false">PERCENTRANK($Q$2:$Q$1780,Q876,6)</f>
        <v>0.486502</v>
      </c>
      <c r="T876" s="61" t="n">
        <f aca="false">PERCENTRANK($F$2:$F$1780,F876,6)</f>
        <v>0</v>
      </c>
      <c r="U876" s="62" t="n">
        <f aca="false">IF(F876&gt;0,(Settings!$B$8*T876+Settings!$B$9*R876+Settings!$B$10*S876)/SUM(Settings!$B$8:$B$10),0)</f>
        <v>0</v>
      </c>
      <c r="V876" s="56" t="str">
        <f aca="false">IF(U876&gt;0,RANK(U876,$U$2:$U$1780)+COUNTIF($U$2:U876,U876)-1,"")</f>
        <v/>
      </c>
      <c r="W876" s="56" t="str">
        <f aca="false">IF(V876="","",IF(V876&lt;=Settings!$B$11,"1 - Fix first",IF(V876&lt;=Settings!$B$12,"2 - Review","3 - Monitor")))</f>
        <v/>
      </c>
      <c r="X876" s="56" t="str">
        <f aca="false">IF(AND(E876&gt;=Settings!$B$4,F876&gt;=Settings!$B$5,O876&gt;=Settings!$B$6),"HIGH RATE","")</f>
        <v/>
      </c>
      <c r="Y876" s="56" t="str">
        <f aca="false">IF(F876&gt;0,RANK(F876,$F$2:$F$1780)+COUNTIF($F$2:F876,F876)-1,"")</f>
        <v/>
      </c>
      <c r="Z876" s="56" t="str">
        <f aca="false">IF(H876&gt;0,RANK(H876,$H$2:$H$1780)+COUNTIF($H$2:H876,H876)-1,"")</f>
        <v/>
      </c>
      <c r="AA876" s="56" t="str">
        <f aca="false">IF(AC876="","",RANK(AC876,$AC$2:$AC$1780)+COUNTIF($AC$2:AC876,AC876)-1)</f>
        <v/>
      </c>
      <c r="AB876" s="56" t="str">
        <f aca="false">IF(AD876="","",RANK(AD876,$AD$2:$AD$1780)+COUNTIF($AD$2:AD876,AD876)-1)</f>
        <v/>
      </c>
      <c r="AC876" s="56" t="str">
        <f aca="false">IF(AND(F876&gt;0,E876&gt;=Settings!$B$4),J876,"")</f>
        <v/>
      </c>
      <c r="AD876" s="56" t="str">
        <f aca="false">IF(X876="HIGH RATE",O876,"")</f>
        <v/>
      </c>
    </row>
    <row r="877" customFormat="false" ht="15" hidden="false" customHeight="false" outlineLevel="0" collapsed="false">
      <c r="A877" s="56" t="s">
        <v>2171</v>
      </c>
      <c r="B877" s="56" t="s">
        <v>1181</v>
      </c>
      <c r="C877" s="56" t="s">
        <v>51</v>
      </c>
      <c r="D877" s="56" t="str">
        <f aca="false">IFERROR(INDEX('Brand Map'!$B$4:$B$124,MATCH(C877,'Brand Map'!$A$4:$A$124,0)),"Other")</f>
        <v>AU</v>
      </c>
      <c r="E877" s="57" t="n">
        <v>4</v>
      </c>
      <c r="F877" s="57" t="n">
        <v>0</v>
      </c>
      <c r="G877" s="58" t="n">
        <v>239.8</v>
      </c>
      <c r="H877" s="58" t="n">
        <v>0</v>
      </c>
      <c r="I877" s="58" t="n">
        <v>239.8</v>
      </c>
      <c r="J877" s="32" t="n">
        <f aca="false">IF(E877&gt;0,F877/E877,0)</f>
        <v>0</v>
      </c>
      <c r="K877" s="32" t="n">
        <f aca="false">IF(G877&gt;0,H877/G877,0)</f>
        <v>-0</v>
      </c>
      <c r="L877" s="59" t="n">
        <f aca="false">H877/Settings!$B$16</f>
        <v>-0</v>
      </c>
      <c r="M877" s="59" t="n">
        <f aca="false">H877/Settings!$B$20</f>
        <v>-0</v>
      </c>
      <c r="N877" s="60" t="n">
        <f aca="false">E877*Settings!$B$3</f>
        <v>0.123944604319282</v>
      </c>
      <c r="O877" s="60" t="n">
        <f aca="false">IF(E877&gt;0,(F877-N877)/SQRT(E877*Settings!$B$3*(1-Settings!$B$3)),0)</f>
        <v>-0.357642251868888</v>
      </c>
      <c r="P877" s="60" t="n">
        <f aca="false">MAX(0,F877-N877)</f>
        <v>0</v>
      </c>
      <c r="Q877" s="32" t="n">
        <f aca="false">(F877+Settings!$B$7*Settings!$B$3)/(E877+Settings!$B$7)</f>
        <v>0.027340721541018</v>
      </c>
      <c r="R877" s="61" t="n">
        <f aca="false">PERCENTRANK($H$2:$H$1780,H877,6)</f>
        <v>0</v>
      </c>
      <c r="S877" s="61" t="n">
        <f aca="false">PERCENTRANK($Q$2:$Q$1780,Q877,6)</f>
        <v>0.253656</v>
      </c>
      <c r="T877" s="61" t="n">
        <f aca="false">PERCENTRANK($F$2:$F$1780,F877,6)</f>
        <v>0</v>
      </c>
      <c r="U877" s="62" t="n">
        <f aca="false">IF(F877&gt;0,(Settings!$B$8*T877+Settings!$B$9*R877+Settings!$B$10*S877)/SUM(Settings!$B$8:$B$10),0)</f>
        <v>0</v>
      </c>
      <c r="V877" s="56" t="str">
        <f aca="false">IF(U877&gt;0,RANK(U877,$U$2:$U$1780)+COUNTIF($U$2:U877,U877)-1,"")</f>
        <v/>
      </c>
      <c r="W877" s="56" t="str">
        <f aca="false">IF(V877="","",IF(V877&lt;=Settings!$B$11,"1 - Fix first",IF(V877&lt;=Settings!$B$12,"2 - Review","3 - Monitor")))</f>
        <v/>
      </c>
      <c r="X877" s="56" t="str">
        <f aca="false">IF(AND(E877&gt;=Settings!$B$4,F877&gt;=Settings!$B$5,O877&gt;=Settings!$B$6),"HIGH RATE","")</f>
        <v/>
      </c>
      <c r="Y877" s="56" t="str">
        <f aca="false">IF(F877&gt;0,RANK(F877,$F$2:$F$1780)+COUNTIF($F$2:F877,F877)-1,"")</f>
        <v/>
      </c>
      <c r="Z877" s="56" t="str">
        <f aca="false">IF(H877&gt;0,RANK(H877,$H$2:$H$1780)+COUNTIF($H$2:H877,H877)-1,"")</f>
        <v/>
      </c>
      <c r="AA877" s="56" t="str">
        <f aca="false">IF(AC877="","",RANK(AC877,$AC$2:$AC$1780)+COUNTIF($AC$2:AC877,AC877)-1)</f>
        <v/>
      </c>
      <c r="AB877" s="56" t="str">
        <f aca="false">IF(AD877="","",RANK(AD877,$AD$2:$AD$1780)+COUNTIF($AD$2:AD877,AD877)-1)</f>
        <v/>
      </c>
      <c r="AC877" s="56" t="str">
        <f aca="false">IF(AND(F877&gt;0,E877&gt;=Settings!$B$4),J877,"")</f>
        <v/>
      </c>
      <c r="AD877" s="56" t="str">
        <f aca="false">IF(X877="HIGH RATE",O877,"")</f>
        <v/>
      </c>
    </row>
    <row r="878" customFormat="false" ht="15" hidden="false" customHeight="false" outlineLevel="0" collapsed="false">
      <c r="A878" s="56" t="s">
        <v>2172</v>
      </c>
      <c r="B878" s="56" t="s">
        <v>1181</v>
      </c>
      <c r="C878" s="56" t="s">
        <v>51</v>
      </c>
      <c r="D878" s="56" t="str">
        <f aca="false">IFERROR(INDEX('Brand Map'!$B$4:$B$124,MATCH(C878,'Brand Map'!$A$4:$A$124,0)),"Other")</f>
        <v>AU</v>
      </c>
      <c r="E878" s="57" t="n">
        <v>1</v>
      </c>
      <c r="F878" s="57" t="n">
        <v>0</v>
      </c>
      <c r="G878" s="58" t="n">
        <v>89.95</v>
      </c>
      <c r="H878" s="58" t="n">
        <v>0</v>
      </c>
      <c r="I878" s="58" t="n">
        <v>89.95</v>
      </c>
      <c r="J878" s="32" t="n">
        <f aca="false">IF(E878&gt;0,F878/E878,0)</f>
        <v>0</v>
      </c>
      <c r="K878" s="32" t="n">
        <f aca="false">IF(G878&gt;0,H878/G878,0)</f>
        <v>-0</v>
      </c>
      <c r="L878" s="59" t="n">
        <f aca="false">H878/Settings!$B$16</f>
        <v>-0</v>
      </c>
      <c r="M878" s="59" t="n">
        <f aca="false">H878/Settings!$B$20</f>
        <v>-0</v>
      </c>
      <c r="N878" s="60" t="n">
        <f aca="false">E878*Settings!$B$3</f>
        <v>0.0309861510798204</v>
      </c>
      <c r="O878" s="60" t="n">
        <f aca="false">IF(E878&gt;0,(F878-N878)/SQRT(E878*Settings!$B$3*(1-Settings!$B$3)),0)</f>
        <v>-0.178821125934444</v>
      </c>
      <c r="P878" s="60" t="n">
        <f aca="false">MAX(0,F878-N878)</f>
        <v>0</v>
      </c>
      <c r="Q878" s="32" t="n">
        <f aca="false">(F878+Settings!$B$7*Settings!$B$3)/(E878+Settings!$B$7)</f>
        <v>0.0299865978191811</v>
      </c>
      <c r="R878" s="61" t="n">
        <f aca="false">PERCENTRANK($H$2:$H$1780,H878,6)</f>
        <v>0</v>
      </c>
      <c r="S878" s="61" t="n">
        <f aca="false">PERCENTRANK($Q$2:$Q$1780,Q878,6)</f>
        <v>0.486502</v>
      </c>
      <c r="T878" s="61" t="n">
        <f aca="false">PERCENTRANK($F$2:$F$1780,F878,6)</f>
        <v>0</v>
      </c>
      <c r="U878" s="62" t="n">
        <f aca="false">IF(F878&gt;0,(Settings!$B$8*T878+Settings!$B$9*R878+Settings!$B$10*S878)/SUM(Settings!$B$8:$B$10),0)</f>
        <v>0</v>
      </c>
      <c r="V878" s="56" t="str">
        <f aca="false">IF(U878&gt;0,RANK(U878,$U$2:$U$1780)+COUNTIF($U$2:U878,U878)-1,"")</f>
        <v/>
      </c>
      <c r="W878" s="56" t="str">
        <f aca="false">IF(V878="","",IF(V878&lt;=Settings!$B$11,"1 - Fix first",IF(V878&lt;=Settings!$B$12,"2 - Review","3 - Monitor")))</f>
        <v/>
      </c>
      <c r="X878" s="56" t="str">
        <f aca="false">IF(AND(E878&gt;=Settings!$B$4,F878&gt;=Settings!$B$5,O878&gt;=Settings!$B$6),"HIGH RATE","")</f>
        <v/>
      </c>
      <c r="Y878" s="56" t="str">
        <f aca="false">IF(F878&gt;0,RANK(F878,$F$2:$F$1780)+COUNTIF($F$2:F878,F878)-1,"")</f>
        <v/>
      </c>
      <c r="Z878" s="56" t="str">
        <f aca="false">IF(H878&gt;0,RANK(H878,$H$2:$H$1780)+COUNTIF($H$2:H878,H878)-1,"")</f>
        <v/>
      </c>
      <c r="AA878" s="56" t="str">
        <f aca="false">IF(AC878="","",RANK(AC878,$AC$2:$AC$1780)+COUNTIF($AC$2:AC878,AC878)-1)</f>
        <v/>
      </c>
      <c r="AB878" s="56" t="str">
        <f aca="false">IF(AD878="","",RANK(AD878,$AD$2:$AD$1780)+COUNTIF($AD$2:AD878,AD878)-1)</f>
        <v/>
      </c>
      <c r="AC878" s="56" t="str">
        <f aca="false">IF(AND(F878&gt;0,E878&gt;=Settings!$B$4),J878,"")</f>
        <v/>
      </c>
      <c r="AD878" s="56" t="str">
        <f aca="false">IF(X878="HIGH RATE",O878,"")</f>
        <v/>
      </c>
    </row>
    <row r="879" customFormat="false" ht="15" hidden="false" customHeight="false" outlineLevel="0" collapsed="false">
      <c r="A879" s="56" t="s">
        <v>2173</v>
      </c>
      <c r="B879" s="56" t="s">
        <v>1181</v>
      </c>
      <c r="C879" s="56" t="s">
        <v>51</v>
      </c>
      <c r="D879" s="56" t="str">
        <f aca="false">IFERROR(INDEX('Brand Map'!$B$4:$B$124,MATCH(C879,'Brand Map'!$A$4:$A$124,0)),"Other")</f>
        <v>AU</v>
      </c>
      <c r="E879" s="57" t="n">
        <v>42</v>
      </c>
      <c r="F879" s="57" t="n">
        <v>0</v>
      </c>
      <c r="G879" s="58" t="n">
        <v>1887.9</v>
      </c>
      <c r="H879" s="58" t="n">
        <v>0</v>
      </c>
      <c r="I879" s="58" t="n">
        <v>1887.9</v>
      </c>
      <c r="J879" s="32" t="n">
        <f aca="false">IF(E879&gt;0,F879/E879,0)</f>
        <v>0</v>
      </c>
      <c r="K879" s="32" t="n">
        <f aca="false">IF(G879&gt;0,H879/G879,0)</f>
        <v>-0</v>
      </c>
      <c r="L879" s="59" t="n">
        <f aca="false">H879/Settings!$B$16</f>
        <v>-0</v>
      </c>
      <c r="M879" s="59" t="n">
        <f aca="false">H879/Settings!$B$20</f>
        <v>-0</v>
      </c>
      <c r="N879" s="60" t="n">
        <f aca="false">E879*Settings!$B$3</f>
        <v>1.30141834535246</v>
      </c>
      <c r="O879" s="60" t="n">
        <f aca="false">IF(E879&gt;0,(F879-N879)/SQRT(E879*Settings!$B$3*(1-Settings!$B$3)),0)</f>
        <v>-1.15889334857847</v>
      </c>
      <c r="P879" s="60" t="n">
        <f aca="false">MAX(0,F879-N879)</f>
        <v>0</v>
      </c>
      <c r="Q879" s="32" t="n">
        <f aca="false">(F879+Settings!$B$7*Settings!$B$3)/(E879+Settings!$B$7)</f>
        <v>0.0129108962832585</v>
      </c>
      <c r="R879" s="61" t="n">
        <f aca="false">PERCENTRANK($H$2:$H$1780,H879,6)</f>
        <v>0</v>
      </c>
      <c r="S879" s="61" t="n">
        <f aca="false">PERCENTRANK($Q$2:$Q$1780,Q879,6)</f>
        <v>0.0298088</v>
      </c>
      <c r="T879" s="61" t="n">
        <f aca="false">PERCENTRANK($F$2:$F$1780,F879,6)</f>
        <v>0</v>
      </c>
      <c r="U879" s="62" t="n">
        <f aca="false">IF(F879&gt;0,(Settings!$B$8*T879+Settings!$B$9*R879+Settings!$B$10*S879)/SUM(Settings!$B$8:$B$10),0)</f>
        <v>0</v>
      </c>
      <c r="V879" s="56" t="str">
        <f aca="false">IF(U879&gt;0,RANK(U879,$U$2:$U$1780)+COUNTIF($U$2:U879,U879)-1,"")</f>
        <v/>
      </c>
      <c r="W879" s="56" t="str">
        <f aca="false">IF(V879="","",IF(V879&lt;=Settings!$B$11,"1 - Fix first",IF(V879&lt;=Settings!$B$12,"2 - Review","3 - Monitor")))</f>
        <v/>
      </c>
      <c r="X879" s="56" t="str">
        <f aca="false">IF(AND(E879&gt;=Settings!$B$4,F879&gt;=Settings!$B$5,O879&gt;=Settings!$B$6),"HIGH RATE","")</f>
        <v/>
      </c>
      <c r="Y879" s="56" t="str">
        <f aca="false">IF(F879&gt;0,RANK(F879,$F$2:$F$1780)+COUNTIF($F$2:F879,F879)-1,"")</f>
        <v/>
      </c>
      <c r="Z879" s="56" t="str">
        <f aca="false">IF(H879&gt;0,RANK(H879,$H$2:$H$1780)+COUNTIF($H$2:H879,H879)-1,"")</f>
        <v/>
      </c>
      <c r="AA879" s="56" t="str">
        <f aca="false">IF(AC879="","",RANK(AC879,$AC$2:$AC$1780)+COUNTIF($AC$2:AC879,AC879)-1)</f>
        <v/>
      </c>
      <c r="AB879" s="56" t="str">
        <f aca="false">IF(AD879="","",RANK(AD879,$AD$2:$AD$1780)+COUNTIF($AD$2:AD879,AD879)-1)</f>
        <v/>
      </c>
      <c r="AC879" s="56" t="str">
        <f aca="false">IF(AND(F879&gt;0,E879&gt;=Settings!$B$4),J879,"")</f>
        <v/>
      </c>
      <c r="AD879" s="56" t="str">
        <f aca="false">IF(X879="HIGH RATE",O879,"")</f>
        <v/>
      </c>
    </row>
    <row r="880" customFormat="false" ht="15" hidden="false" customHeight="false" outlineLevel="0" collapsed="false">
      <c r="A880" s="56" t="s">
        <v>2174</v>
      </c>
      <c r="B880" s="56" t="s">
        <v>2175</v>
      </c>
      <c r="C880" s="56" t="s">
        <v>51</v>
      </c>
      <c r="D880" s="56" t="str">
        <f aca="false">IFERROR(INDEX('Brand Map'!$B$4:$B$124,MATCH(C880,'Brand Map'!$A$4:$A$124,0)),"Other")</f>
        <v>AU</v>
      </c>
      <c r="E880" s="57" t="n">
        <v>135</v>
      </c>
      <c r="F880" s="57" t="n">
        <v>0</v>
      </c>
      <c r="G880" s="58" t="n">
        <v>15780.33</v>
      </c>
      <c r="H880" s="58" t="n">
        <v>0</v>
      </c>
      <c r="I880" s="58" t="n">
        <v>15747.35</v>
      </c>
      <c r="J880" s="32" t="n">
        <f aca="false">IF(E880&gt;0,F880/E880,0)</f>
        <v>0</v>
      </c>
      <c r="K880" s="32" t="n">
        <f aca="false">IF(G880&gt;0,H880/G880,0)</f>
        <v>-0</v>
      </c>
      <c r="L880" s="59" t="n">
        <f aca="false">H880/Settings!$B$16</f>
        <v>-0</v>
      </c>
      <c r="M880" s="59" t="n">
        <f aca="false">H880/Settings!$B$20</f>
        <v>-0</v>
      </c>
      <c r="N880" s="60" t="n">
        <f aca="false">E880*Settings!$B$3</f>
        <v>4.18313039577576</v>
      </c>
      <c r="O880" s="60" t="n">
        <f aca="false">IF(E880&gt;0,(F880-N880)/SQRT(E880*Settings!$B$3*(1-Settings!$B$3)),0)</f>
        <v>-2.07771372808248</v>
      </c>
      <c r="P880" s="60" t="n">
        <f aca="false">MAX(0,F880-N880)</f>
        <v>0</v>
      </c>
      <c r="Q880" s="32" t="n">
        <f aca="false">(F880+Settings!$B$7*Settings!$B$3)/(E880+Settings!$B$7)</f>
        <v>0.00563384565087644</v>
      </c>
      <c r="R880" s="61" t="n">
        <f aca="false">PERCENTRANK($H$2:$H$1780,H880,6)</f>
        <v>0</v>
      </c>
      <c r="S880" s="61" t="n">
        <f aca="false">PERCENTRANK($Q$2:$Q$1780,Q880,6)</f>
        <v>0.00449944</v>
      </c>
      <c r="T880" s="61" t="n">
        <f aca="false">PERCENTRANK($F$2:$F$1780,F880,6)</f>
        <v>0</v>
      </c>
      <c r="U880" s="62" t="n">
        <f aca="false">IF(F880&gt;0,(Settings!$B$8*T880+Settings!$B$9*R880+Settings!$B$10*S880)/SUM(Settings!$B$8:$B$10),0)</f>
        <v>0</v>
      </c>
      <c r="V880" s="56" t="str">
        <f aca="false">IF(U880&gt;0,RANK(U880,$U$2:$U$1780)+COUNTIF($U$2:U880,U880)-1,"")</f>
        <v/>
      </c>
      <c r="W880" s="56" t="str">
        <f aca="false">IF(V880="","",IF(V880&lt;=Settings!$B$11,"1 - Fix first",IF(V880&lt;=Settings!$B$12,"2 - Review","3 - Monitor")))</f>
        <v/>
      </c>
      <c r="X880" s="56" t="str">
        <f aca="false">IF(AND(E880&gt;=Settings!$B$4,F880&gt;=Settings!$B$5,O880&gt;=Settings!$B$6),"HIGH RATE","")</f>
        <v/>
      </c>
      <c r="Y880" s="56" t="str">
        <f aca="false">IF(F880&gt;0,RANK(F880,$F$2:$F$1780)+COUNTIF($F$2:F880,F880)-1,"")</f>
        <v/>
      </c>
      <c r="Z880" s="56" t="str">
        <f aca="false">IF(H880&gt;0,RANK(H880,$H$2:$H$1780)+COUNTIF($H$2:H880,H880)-1,"")</f>
        <v/>
      </c>
      <c r="AA880" s="56" t="str">
        <f aca="false">IF(AC880="","",RANK(AC880,$AC$2:$AC$1780)+COUNTIF($AC$2:AC880,AC880)-1)</f>
        <v/>
      </c>
      <c r="AB880" s="56" t="str">
        <f aca="false">IF(AD880="","",RANK(AD880,$AD$2:$AD$1780)+COUNTIF($AD$2:AD880,AD880)-1)</f>
        <v/>
      </c>
      <c r="AC880" s="56" t="str">
        <f aca="false">IF(AND(F880&gt;0,E880&gt;=Settings!$B$4),J880,"")</f>
        <v/>
      </c>
      <c r="AD880" s="56" t="str">
        <f aca="false">IF(X880="HIGH RATE",O880,"")</f>
        <v/>
      </c>
    </row>
    <row r="881" customFormat="false" ht="15" hidden="false" customHeight="false" outlineLevel="0" collapsed="false">
      <c r="A881" s="56" t="s">
        <v>2176</v>
      </c>
      <c r="B881" s="56" t="s">
        <v>2177</v>
      </c>
      <c r="C881" s="56" t="s">
        <v>51</v>
      </c>
      <c r="D881" s="56" t="str">
        <f aca="false">IFERROR(INDEX('Brand Map'!$B$4:$B$124,MATCH(C881,'Brand Map'!$A$4:$A$124,0)),"Other")</f>
        <v>AU</v>
      </c>
      <c r="E881" s="57" t="n">
        <v>36</v>
      </c>
      <c r="F881" s="57" t="n">
        <v>0</v>
      </c>
      <c r="G881" s="58" t="n">
        <v>4437.42</v>
      </c>
      <c r="H881" s="58" t="n">
        <v>0</v>
      </c>
      <c r="I881" s="58" t="n">
        <v>4437.42</v>
      </c>
      <c r="J881" s="32" t="n">
        <f aca="false">IF(E881&gt;0,F881/E881,0)</f>
        <v>0</v>
      </c>
      <c r="K881" s="32" t="n">
        <f aca="false">IF(G881&gt;0,H881/G881,0)</f>
        <v>-0</v>
      </c>
      <c r="L881" s="59" t="n">
        <f aca="false">H881/Settings!$B$16</f>
        <v>-0</v>
      </c>
      <c r="M881" s="59" t="n">
        <f aca="false">H881/Settings!$B$20</f>
        <v>-0</v>
      </c>
      <c r="N881" s="60" t="n">
        <f aca="false">E881*Settings!$B$3</f>
        <v>1.11550143887354</v>
      </c>
      <c r="O881" s="60" t="n">
        <f aca="false">IF(E881&gt;0,(F881-N881)/SQRT(E881*Settings!$B$3*(1-Settings!$B$3)),0)</f>
        <v>-1.07292675560666</v>
      </c>
      <c r="P881" s="60" t="n">
        <f aca="false">MAX(0,F881-N881)</f>
        <v>0</v>
      </c>
      <c r="Q881" s="32" t="n">
        <f aca="false">(F881+Settings!$B$7*Settings!$B$3)/(E881+Settings!$B$7)</f>
        <v>0.0140846141271911</v>
      </c>
      <c r="R881" s="61" t="n">
        <f aca="false">PERCENTRANK($H$2:$H$1780,H881,6)</f>
        <v>0</v>
      </c>
      <c r="S881" s="61" t="n">
        <f aca="false">PERCENTRANK($Q$2:$Q$1780,Q881,6)</f>
        <v>0.0331834</v>
      </c>
      <c r="T881" s="61" t="n">
        <f aca="false">PERCENTRANK($F$2:$F$1780,F881,6)</f>
        <v>0</v>
      </c>
      <c r="U881" s="62" t="n">
        <f aca="false">IF(F881&gt;0,(Settings!$B$8*T881+Settings!$B$9*R881+Settings!$B$10*S881)/SUM(Settings!$B$8:$B$10),0)</f>
        <v>0</v>
      </c>
      <c r="V881" s="56" t="str">
        <f aca="false">IF(U881&gt;0,RANK(U881,$U$2:$U$1780)+COUNTIF($U$2:U881,U881)-1,"")</f>
        <v/>
      </c>
      <c r="W881" s="56" t="str">
        <f aca="false">IF(V881="","",IF(V881&lt;=Settings!$B$11,"1 - Fix first",IF(V881&lt;=Settings!$B$12,"2 - Review","3 - Monitor")))</f>
        <v/>
      </c>
      <c r="X881" s="56" t="str">
        <f aca="false">IF(AND(E881&gt;=Settings!$B$4,F881&gt;=Settings!$B$5,O881&gt;=Settings!$B$6),"HIGH RATE","")</f>
        <v/>
      </c>
      <c r="Y881" s="56" t="str">
        <f aca="false">IF(F881&gt;0,RANK(F881,$F$2:$F$1780)+COUNTIF($F$2:F881,F881)-1,"")</f>
        <v/>
      </c>
      <c r="Z881" s="56" t="str">
        <f aca="false">IF(H881&gt;0,RANK(H881,$H$2:$H$1780)+COUNTIF($H$2:H881,H881)-1,"")</f>
        <v/>
      </c>
      <c r="AA881" s="56" t="str">
        <f aca="false">IF(AC881="","",RANK(AC881,$AC$2:$AC$1780)+COUNTIF($AC$2:AC881,AC881)-1)</f>
        <v/>
      </c>
      <c r="AB881" s="56" t="str">
        <f aca="false">IF(AD881="","",RANK(AD881,$AD$2:$AD$1780)+COUNTIF($AD$2:AD881,AD881)-1)</f>
        <v/>
      </c>
      <c r="AC881" s="56" t="str">
        <f aca="false">IF(AND(F881&gt;0,E881&gt;=Settings!$B$4),J881,"")</f>
        <v/>
      </c>
      <c r="AD881" s="56" t="str">
        <f aca="false">IF(X881="HIGH RATE",O881,"")</f>
        <v/>
      </c>
    </row>
    <row r="882" customFormat="false" ht="15" hidden="false" customHeight="false" outlineLevel="0" collapsed="false">
      <c r="A882" s="56" t="s">
        <v>2178</v>
      </c>
      <c r="B882" s="56" t="s">
        <v>2177</v>
      </c>
      <c r="C882" s="56" t="s">
        <v>51</v>
      </c>
      <c r="D882" s="56" t="str">
        <f aca="false">IFERROR(INDEX('Brand Map'!$B$4:$B$124,MATCH(C882,'Brand Map'!$A$4:$A$124,0)),"Other")</f>
        <v>AU</v>
      </c>
      <c r="E882" s="57" t="n">
        <v>1</v>
      </c>
      <c r="F882" s="57" t="n">
        <v>0</v>
      </c>
      <c r="G882" s="58" t="n">
        <v>144.95</v>
      </c>
      <c r="H882" s="58" t="n">
        <v>0</v>
      </c>
      <c r="I882" s="58" t="n">
        <v>144.95</v>
      </c>
      <c r="J882" s="32" t="n">
        <f aca="false">IF(E882&gt;0,F882/E882,0)</f>
        <v>0</v>
      </c>
      <c r="K882" s="32" t="n">
        <f aca="false">IF(G882&gt;0,H882/G882,0)</f>
        <v>-0</v>
      </c>
      <c r="L882" s="59" t="n">
        <f aca="false">H882/Settings!$B$16</f>
        <v>-0</v>
      </c>
      <c r="M882" s="59" t="n">
        <f aca="false">H882/Settings!$B$20</f>
        <v>-0</v>
      </c>
      <c r="N882" s="60" t="n">
        <f aca="false">E882*Settings!$B$3</f>
        <v>0.0309861510798204</v>
      </c>
      <c r="O882" s="60" t="n">
        <f aca="false">IF(E882&gt;0,(F882-N882)/SQRT(E882*Settings!$B$3*(1-Settings!$B$3)),0)</f>
        <v>-0.178821125934444</v>
      </c>
      <c r="P882" s="60" t="n">
        <f aca="false">MAX(0,F882-N882)</f>
        <v>0</v>
      </c>
      <c r="Q882" s="32" t="n">
        <f aca="false">(F882+Settings!$B$7*Settings!$B$3)/(E882+Settings!$B$7)</f>
        <v>0.0299865978191811</v>
      </c>
      <c r="R882" s="61" t="n">
        <f aca="false">PERCENTRANK($H$2:$H$1780,H882,6)</f>
        <v>0</v>
      </c>
      <c r="S882" s="61" t="n">
        <f aca="false">PERCENTRANK($Q$2:$Q$1780,Q882,6)</f>
        <v>0.486502</v>
      </c>
      <c r="T882" s="61" t="n">
        <f aca="false">PERCENTRANK($F$2:$F$1780,F882,6)</f>
        <v>0</v>
      </c>
      <c r="U882" s="62" t="n">
        <f aca="false">IF(F882&gt;0,(Settings!$B$8*T882+Settings!$B$9*R882+Settings!$B$10*S882)/SUM(Settings!$B$8:$B$10),0)</f>
        <v>0</v>
      </c>
      <c r="V882" s="56" t="str">
        <f aca="false">IF(U882&gt;0,RANK(U882,$U$2:$U$1780)+COUNTIF($U$2:U882,U882)-1,"")</f>
        <v/>
      </c>
      <c r="W882" s="56" t="str">
        <f aca="false">IF(V882="","",IF(V882&lt;=Settings!$B$11,"1 - Fix first",IF(V882&lt;=Settings!$B$12,"2 - Review","3 - Monitor")))</f>
        <v/>
      </c>
      <c r="X882" s="56" t="str">
        <f aca="false">IF(AND(E882&gt;=Settings!$B$4,F882&gt;=Settings!$B$5,O882&gt;=Settings!$B$6),"HIGH RATE","")</f>
        <v/>
      </c>
      <c r="Y882" s="56" t="str">
        <f aca="false">IF(F882&gt;0,RANK(F882,$F$2:$F$1780)+COUNTIF($F$2:F882,F882)-1,"")</f>
        <v/>
      </c>
      <c r="Z882" s="56" t="str">
        <f aca="false">IF(H882&gt;0,RANK(H882,$H$2:$H$1780)+COUNTIF($H$2:H882,H882)-1,"")</f>
        <v/>
      </c>
      <c r="AA882" s="56" t="str">
        <f aca="false">IF(AC882="","",RANK(AC882,$AC$2:$AC$1780)+COUNTIF($AC$2:AC882,AC882)-1)</f>
        <v/>
      </c>
      <c r="AB882" s="56" t="str">
        <f aca="false">IF(AD882="","",RANK(AD882,$AD$2:$AD$1780)+COUNTIF($AD$2:AD882,AD882)-1)</f>
        <v/>
      </c>
      <c r="AC882" s="56" t="str">
        <f aca="false">IF(AND(F882&gt;0,E882&gt;=Settings!$B$4),J882,"")</f>
        <v/>
      </c>
      <c r="AD882" s="56" t="str">
        <f aca="false">IF(X882="HIGH RATE",O882,"")</f>
        <v/>
      </c>
    </row>
    <row r="883" customFormat="false" ht="15" hidden="false" customHeight="false" outlineLevel="0" collapsed="false">
      <c r="A883" s="56" t="s">
        <v>2179</v>
      </c>
      <c r="B883" s="56" t="s">
        <v>2177</v>
      </c>
      <c r="C883" s="56" t="s">
        <v>51</v>
      </c>
      <c r="D883" s="56" t="str">
        <f aca="false">IFERROR(INDEX('Brand Map'!$B$4:$B$124,MATCH(C883,'Brand Map'!$A$4:$A$124,0)),"Other")</f>
        <v>AU</v>
      </c>
      <c r="E883" s="57" t="n">
        <v>1</v>
      </c>
      <c r="F883" s="57" t="n">
        <v>0</v>
      </c>
      <c r="G883" s="58" t="n">
        <v>162.95</v>
      </c>
      <c r="H883" s="58" t="n">
        <v>0</v>
      </c>
      <c r="I883" s="58" t="n">
        <v>162.95</v>
      </c>
      <c r="J883" s="32" t="n">
        <f aca="false">IF(E883&gt;0,F883/E883,0)</f>
        <v>0</v>
      </c>
      <c r="K883" s="32" t="n">
        <f aca="false">IF(G883&gt;0,H883/G883,0)</f>
        <v>-0</v>
      </c>
      <c r="L883" s="59" t="n">
        <f aca="false">H883/Settings!$B$16</f>
        <v>-0</v>
      </c>
      <c r="M883" s="59" t="n">
        <f aca="false">H883/Settings!$B$20</f>
        <v>-0</v>
      </c>
      <c r="N883" s="60" t="n">
        <f aca="false">E883*Settings!$B$3</f>
        <v>0.0309861510798204</v>
      </c>
      <c r="O883" s="60" t="n">
        <f aca="false">IF(E883&gt;0,(F883-N883)/SQRT(E883*Settings!$B$3*(1-Settings!$B$3)),0)</f>
        <v>-0.178821125934444</v>
      </c>
      <c r="P883" s="60" t="n">
        <f aca="false">MAX(0,F883-N883)</f>
        <v>0</v>
      </c>
      <c r="Q883" s="32" t="n">
        <f aca="false">(F883+Settings!$B$7*Settings!$B$3)/(E883+Settings!$B$7)</f>
        <v>0.0299865978191811</v>
      </c>
      <c r="R883" s="61" t="n">
        <f aca="false">PERCENTRANK($H$2:$H$1780,H883,6)</f>
        <v>0</v>
      </c>
      <c r="S883" s="61" t="n">
        <f aca="false">PERCENTRANK($Q$2:$Q$1780,Q883,6)</f>
        <v>0.486502</v>
      </c>
      <c r="T883" s="61" t="n">
        <f aca="false">PERCENTRANK($F$2:$F$1780,F883,6)</f>
        <v>0</v>
      </c>
      <c r="U883" s="62" t="n">
        <f aca="false">IF(F883&gt;0,(Settings!$B$8*T883+Settings!$B$9*R883+Settings!$B$10*S883)/SUM(Settings!$B$8:$B$10),0)</f>
        <v>0</v>
      </c>
      <c r="V883" s="56" t="str">
        <f aca="false">IF(U883&gt;0,RANK(U883,$U$2:$U$1780)+COUNTIF($U$2:U883,U883)-1,"")</f>
        <v/>
      </c>
      <c r="W883" s="56" t="str">
        <f aca="false">IF(V883="","",IF(V883&lt;=Settings!$B$11,"1 - Fix first",IF(V883&lt;=Settings!$B$12,"2 - Review","3 - Monitor")))</f>
        <v/>
      </c>
      <c r="X883" s="56" t="str">
        <f aca="false">IF(AND(E883&gt;=Settings!$B$4,F883&gt;=Settings!$B$5,O883&gt;=Settings!$B$6),"HIGH RATE","")</f>
        <v/>
      </c>
      <c r="Y883" s="56" t="str">
        <f aca="false">IF(F883&gt;0,RANK(F883,$F$2:$F$1780)+COUNTIF($F$2:F883,F883)-1,"")</f>
        <v/>
      </c>
      <c r="Z883" s="56" t="str">
        <f aca="false">IF(H883&gt;0,RANK(H883,$H$2:$H$1780)+COUNTIF($H$2:H883,H883)-1,"")</f>
        <v/>
      </c>
      <c r="AA883" s="56" t="str">
        <f aca="false">IF(AC883="","",RANK(AC883,$AC$2:$AC$1780)+COUNTIF($AC$2:AC883,AC883)-1)</f>
        <v/>
      </c>
      <c r="AB883" s="56" t="str">
        <f aca="false">IF(AD883="","",RANK(AD883,$AD$2:$AD$1780)+COUNTIF($AD$2:AD883,AD883)-1)</f>
        <v/>
      </c>
      <c r="AC883" s="56" t="str">
        <f aca="false">IF(AND(F883&gt;0,E883&gt;=Settings!$B$4),J883,"")</f>
        <v/>
      </c>
      <c r="AD883" s="56" t="str">
        <f aca="false">IF(X883="HIGH RATE",O883,"")</f>
        <v/>
      </c>
    </row>
    <row r="884" customFormat="false" ht="15" hidden="false" customHeight="false" outlineLevel="0" collapsed="false">
      <c r="A884" s="56" t="s">
        <v>2180</v>
      </c>
      <c r="B884" s="56" t="s">
        <v>2181</v>
      </c>
      <c r="C884" s="56" t="s">
        <v>51</v>
      </c>
      <c r="D884" s="56" t="str">
        <f aca="false">IFERROR(INDEX('Brand Map'!$B$4:$B$124,MATCH(C884,'Brand Map'!$A$4:$A$124,0)),"Other")</f>
        <v>AU</v>
      </c>
      <c r="E884" s="57" t="n">
        <v>10</v>
      </c>
      <c r="F884" s="57" t="n">
        <v>0</v>
      </c>
      <c r="G884" s="58" t="n">
        <v>1199.5</v>
      </c>
      <c r="H884" s="58" t="n">
        <v>0</v>
      </c>
      <c r="I884" s="58" t="n">
        <v>1199.5</v>
      </c>
      <c r="J884" s="32" t="n">
        <f aca="false">IF(E884&gt;0,F884/E884,0)</f>
        <v>0</v>
      </c>
      <c r="K884" s="32" t="n">
        <f aca="false">IF(G884&gt;0,H884/G884,0)</f>
        <v>-0</v>
      </c>
      <c r="L884" s="59" t="n">
        <f aca="false">H884/Settings!$B$16</f>
        <v>-0</v>
      </c>
      <c r="M884" s="59" t="n">
        <f aca="false">H884/Settings!$B$20</f>
        <v>-0</v>
      </c>
      <c r="N884" s="60" t="n">
        <f aca="false">E884*Settings!$B$3</f>
        <v>0.309861510798204</v>
      </c>
      <c r="O884" s="60" t="n">
        <f aca="false">IF(E884&gt;0,(F884-N884)/SQRT(E884*Settings!$B$3*(1-Settings!$B$3)),0)</f>
        <v>-0.565482051708649</v>
      </c>
      <c r="P884" s="60" t="n">
        <f aca="false">MAX(0,F884-N884)</f>
        <v>0</v>
      </c>
      <c r="Q884" s="32" t="n">
        <f aca="false">(F884+Settings!$B$7*Settings!$B$3)/(E884+Settings!$B$7)</f>
        <v>0.0232396133098653</v>
      </c>
      <c r="R884" s="61" t="n">
        <f aca="false">PERCENTRANK($H$2:$H$1780,H884,6)</f>
        <v>0</v>
      </c>
      <c r="S884" s="61" t="n">
        <f aca="false">PERCENTRANK($Q$2:$Q$1780,Q884,6)</f>
        <v>0.131046</v>
      </c>
      <c r="T884" s="61" t="n">
        <f aca="false">PERCENTRANK($F$2:$F$1780,F884,6)</f>
        <v>0</v>
      </c>
      <c r="U884" s="62" t="n">
        <f aca="false">IF(F884&gt;0,(Settings!$B$8*T884+Settings!$B$9*R884+Settings!$B$10*S884)/SUM(Settings!$B$8:$B$10),0)</f>
        <v>0</v>
      </c>
      <c r="V884" s="56" t="str">
        <f aca="false">IF(U884&gt;0,RANK(U884,$U$2:$U$1780)+COUNTIF($U$2:U884,U884)-1,"")</f>
        <v/>
      </c>
      <c r="W884" s="56" t="str">
        <f aca="false">IF(V884="","",IF(V884&lt;=Settings!$B$11,"1 - Fix first",IF(V884&lt;=Settings!$B$12,"2 - Review","3 - Monitor")))</f>
        <v/>
      </c>
      <c r="X884" s="56" t="str">
        <f aca="false">IF(AND(E884&gt;=Settings!$B$4,F884&gt;=Settings!$B$5,O884&gt;=Settings!$B$6),"HIGH RATE","")</f>
        <v/>
      </c>
      <c r="Y884" s="56" t="str">
        <f aca="false">IF(F884&gt;0,RANK(F884,$F$2:$F$1780)+COUNTIF($F$2:F884,F884)-1,"")</f>
        <v/>
      </c>
      <c r="Z884" s="56" t="str">
        <f aca="false">IF(H884&gt;0,RANK(H884,$H$2:$H$1780)+COUNTIF($H$2:H884,H884)-1,"")</f>
        <v/>
      </c>
      <c r="AA884" s="56" t="str">
        <f aca="false">IF(AC884="","",RANK(AC884,$AC$2:$AC$1780)+COUNTIF($AC$2:AC884,AC884)-1)</f>
        <v/>
      </c>
      <c r="AB884" s="56" t="str">
        <f aca="false">IF(AD884="","",RANK(AD884,$AD$2:$AD$1780)+COUNTIF($AD$2:AD884,AD884)-1)</f>
        <v/>
      </c>
      <c r="AC884" s="56" t="str">
        <f aca="false">IF(AND(F884&gt;0,E884&gt;=Settings!$B$4),J884,"")</f>
        <v/>
      </c>
      <c r="AD884" s="56" t="str">
        <f aca="false">IF(X884="HIGH RATE",O884,"")</f>
        <v/>
      </c>
    </row>
    <row r="885" customFormat="false" ht="15" hidden="false" customHeight="false" outlineLevel="0" collapsed="false">
      <c r="A885" s="56" t="s">
        <v>2182</v>
      </c>
      <c r="B885" s="56" t="s">
        <v>2181</v>
      </c>
      <c r="C885" s="56" t="s">
        <v>51</v>
      </c>
      <c r="D885" s="56" t="str">
        <f aca="false">IFERROR(INDEX('Brand Map'!$B$4:$B$124,MATCH(C885,'Brand Map'!$A$4:$A$124,0)),"Other")</f>
        <v>AU</v>
      </c>
      <c r="E885" s="57" t="n">
        <v>6</v>
      </c>
      <c r="F885" s="57" t="n">
        <v>0</v>
      </c>
      <c r="G885" s="58" t="n">
        <v>719.7</v>
      </c>
      <c r="H885" s="58" t="n">
        <v>0</v>
      </c>
      <c r="I885" s="58" t="n">
        <v>719.7</v>
      </c>
      <c r="J885" s="32" t="n">
        <f aca="false">IF(E885&gt;0,F885/E885,0)</f>
        <v>0</v>
      </c>
      <c r="K885" s="32" t="n">
        <f aca="false">IF(G885&gt;0,H885/G885,0)</f>
        <v>-0</v>
      </c>
      <c r="L885" s="59" t="n">
        <f aca="false">H885/Settings!$B$16</f>
        <v>-0</v>
      </c>
      <c r="M885" s="59" t="n">
        <f aca="false">H885/Settings!$B$20</f>
        <v>-0</v>
      </c>
      <c r="N885" s="60" t="n">
        <f aca="false">E885*Settings!$B$3</f>
        <v>0.185916906478923</v>
      </c>
      <c r="O885" s="60" t="n">
        <f aca="false">IF(E885&gt;0,(F885-N885)/SQRT(E885*Settings!$B$3*(1-Settings!$B$3)),0)</f>
        <v>-0.43802051376936</v>
      </c>
      <c r="P885" s="60" t="n">
        <f aca="false">MAX(0,F885-N885)</f>
        <v>0</v>
      </c>
      <c r="Q885" s="32" t="n">
        <f aca="false">(F885+Settings!$B$7*Settings!$B$3)/(E885+Settings!$B$7)</f>
        <v>0.025821792566517</v>
      </c>
      <c r="R885" s="61" t="n">
        <f aca="false">PERCENTRANK($H$2:$H$1780,H885,6)</f>
        <v>0</v>
      </c>
      <c r="S885" s="61" t="n">
        <f aca="false">PERCENTRANK($Q$2:$Q$1780,Q885,6)</f>
        <v>0.189539</v>
      </c>
      <c r="T885" s="61" t="n">
        <f aca="false">PERCENTRANK($F$2:$F$1780,F885,6)</f>
        <v>0</v>
      </c>
      <c r="U885" s="62" t="n">
        <f aca="false">IF(F885&gt;0,(Settings!$B$8*T885+Settings!$B$9*R885+Settings!$B$10*S885)/SUM(Settings!$B$8:$B$10),0)</f>
        <v>0</v>
      </c>
      <c r="V885" s="56" t="str">
        <f aca="false">IF(U885&gt;0,RANK(U885,$U$2:$U$1780)+COUNTIF($U$2:U885,U885)-1,"")</f>
        <v/>
      </c>
      <c r="W885" s="56" t="str">
        <f aca="false">IF(V885="","",IF(V885&lt;=Settings!$B$11,"1 - Fix first",IF(V885&lt;=Settings!$B$12,"2 - Review","3 - Monitor")))</f>
        <v/>
      </c>
      <c r="X885" s="56" t="str">
        <f aca="false">IF(AND(E885&gt;=Settings!$B$4,F885&gt;=Settings!$B$5,O885&gt;=Settings!$B$6),"HIGH RATE","")</f>
        <v/>
      </c>
      <c r="Y885" s="56" t="str">
        <f aca="false">IF(F885&gt;0,RANK(F885,$F$2:$F$1780)+COUNTIF($F$2:F885,F885)-1,"")</f>
        <v/>
      </c>
      <c r="Z885" s="56" t="str">
        <f aca="false">IF(H885&gt;0,RANK(H885,$H$2:$H$1780)+COUNTIF($H$2:H885,H885)-1,"")</f>
        <v/>
      </c>
      <c r="AA885" s="56" t="str">
        <f aca="false">IF(AC885="","",RANK(AC885,$AC$2:$AC$1780)+COUNTIF($AC$2:AC885,AC885)-1)</f>
        <v/>
      </c>
      <c r="AB885" s="56" t="str">
        <f aca="false">IF(AD885="","",RANK(AD885,$AD$2:$AD$1780)+COUNTIF($AD$2:AD885,AD885)-1)</f>
        <v/>
      </c>
      <c r="AC885" s="56" t="str">
        <f aca="false">IF(AND(F885&gt;0,E885&gt;=Settings!$B$4),J885,"")</f>
        <v/>
      </c>
      <c r="AD885" s="56" t="str">
        <f aca="false">IF(X885="HIGH RATE",O885,"")</f>
        <v/>
      </c>
    </row>
    <row r="886" customFormat="false" ht="15" hidden="false" customHeight="false" outlineLevel="0" collapsed="false">
      <c r="A886" s="56" t="s">
        <v>2183</v>
      </c>
      <c r="B886" s="56" t="s">
        <v>2181</v>
      </c>
      <c r="C886" s="56" t="s">
        <v>51</v>
      </c>
      <c r="D886" s="56" t="str">
        <f aca="false">IFERROR(INDEX('Brand Map'!$B$4:$B$124,MATCH(C886,'Brand Map'!$A$4:$A$124,0)),"Other")</f>
        <v>AU</v>
      </c>
      <c r="E886" s="57" t="n">
        <v>5</v>
      </c>
      <c r="F886" s="57" t="n">
        <v>0</v>
      </c>
      <c r="G886" s="58" t="n">
        <v>674.75</v>
      </c>
      <c r="H886" s="58" t="n">
        <v>0</v>
      </c>
      <c r="I886" s="58" t="n">
        <v>674.75</v>
      </c>
      <c r="J886" s="32" t="n">
        <f aca="false">IF(E886&gt;0,F886/E886,0)</f>
        <v>0</v>
      </c>
      <c r="K886" s="32" t="n">
        <f aca="false">IF(G886&gt;0,H886/G886,0)</f>
        <v>-0</v>
      </c>
      <c r="L886" s="59" t="n">
        <f aca="false">H886/Settings!$B$16</f>
        <v>-0</v>
      </c>
      <c r="M886" s="59" t="n">
        <f aca="false">H886/Settings!$B$20</f>
        <v>-0</v>
      </c>
      <c r="N886" s="60" t="n">
        <f aca="false">E886*Settings!$B$3</f>
        <v>0.154930755399102</v>
      </c>
      <c r="O886" s="60" t="n">
        <f aca="false">IF(E886&gt;0,(F886-N886)/SQRT(E886*Settings!$B$3*(1-Settings!$B$3)),0)</f>
        <v>-0.399856193402468</v>
      </c>
      <c r="P886" s="60" t="n">
        <f aca="false">MAX(0,F886-N886)</f>
        <v>0</v>
      </c>
      <c r="Q886" s="32" t="n">
        <f aca="false">(F886+Settings!$B$7*Settings!$B$3)/(E886+Settings!$B$7)</f>
        <v>0.0265595580684175</v>
      </c>
      <c r="R886" s="61" t="n">
        <f aca="false">PERCENTRANK($H$2:$H$1780,H886,6)</f>
        <v>0</v>
      </c>
      <c r="S886" s="61" t="n">
        <f aca="false">PERCENTRANK($Q$2:$Q$1780,Q886,6)</f>
        <v>0.220472</v>
      </c>
      <c r="T886" s="61" t="n">
        <f aca="false">PERCENTRANK($F$2:$F$1780,F886,6)</f>
        <v>0</v>
      </c>
      <c r="U886" s="62" t="n">
        <f aca="false">IF(F886&gt;0,(Settings!$B$8*T886+Settings!$B$9*R886+Settings!$B$10*S886)/SUM(Settings!$B$8:$B$10),0)</f>
        <v>0</v>
      </c>
      <c r="V886" s="56" t="str">
        <f aca="false">IF(U886&gt;0,RANK(U886,$U$2:$U$1780)+COUNTIF($U$2:U886,U886)-1,"")</f>
        <v/>
      </c>
      <c r="W886" s="56" t="str">
        <f aca="false">IF(V886="","",IF(V886&lt;=Settings!$B$11,"1 - Fix first",IF(V886&lt;=Settings!$B$12,"2 - Review","3 - Monitor")))</f>
        <v/>
      </c>
      <c r="X886" s="56" t="str">
        <f aca="false">IF(AND(E886&gt;=Settings!$B$4,F886&gt;=Settings!$B$5,O886&gt;=Settings!$B$6),"HIGH RATE","")</f>
        <v/>
      </c>
      <c r="Y886" s="56" t="str">
        <f aca="false">IF(F886&gt;0,RANK(F886,$F$2:$F$1780)+COUNTIF($F$2:F886,F886)-1,"")</f>
        <v/>
      </c>
      <c r="Z886" s="56" t="str">
        <f aca="false">IF(H886&gt;0,RANK(H886,$H$2:$H$1780)+COUNTIF($H$2:H886,H886)-1,"")</f>
        <v/>
      </c>
      <c r="AA886" s="56" t="str">
        <f aca="false">IF(AC886="","",RANK(AC886,$AC$2:$AC$1780)+COUNTIF($AC$2:AC886,AC886)-1)</f>
        <v/>
      </c>
      <c r="AB886" s="56" t="str">
        <f aca="false">IF(AD886="","",RANK(AD886,$AD$2:$AD$1780)+COUNTIF($AD$2:AD886,AD886)-1)</f>
        <v/>
      </c>
      <c r="AC886" s="56" t="str">
        <f aca="false">IF(AND(F886&gt;0,E886&gt;=Settings!$B$4),J886,"")</f>
        <v/>
      </c>
      <c r="AD886" s="56" t="str">
        <f aca="false">IF(X886="HIGH RATE",O886,"")</f>
        <v/>
      </c>
    </row>
    <row r="887" customFormat="false" ht="15" hidden="false" customHeight="false" outlineLevel="0" collapsed="false">
      <c r="A887" s="56" t="s">
        <v>2184</v>
      </c>
      <c r="B887" s="56" t="s">
        <v>2181</v>
      </c>
      <c r="C887" s="56" t="s">
        <v>51</v>
      </c>
      <c r="D887" s="56" t="str">
        <f aca="false">IFERROR(INDEX('Brand Map'!$B$4:$B$124,MATCH(C887,'Brand Map'!$A$4:$A$124,0)),"Other")</f>
        <v>AU</v>
      </c>
      <c r="E887" s="57" t="n">
        <v>3</v>
      </c>
      <c r="F887" s="57" t="n">
        <v>0</v>
      </c>
      <c r="G887" s="58" t="n">
        <v>449.85</v>
      </c>
      <c r="H887" s="58" t="n">
        <v>0</v>
      </c>
      <c r="I887" s="58" t="n">
        <v>449.85</v>
      </c>
      <c r="J887" s="32" t="n">
        <f aca="false">IF(E887&gt;0,F887/E887,0)</f>
        <v>0</v>
      </c>
      <c r="K887" s="32" t="n">
        <f aca="false">IF(G887&gt;0,H887/G887,0)</f>
        <v>-0</v>
      </c>
      <c r="L887" s="59" t="n">
        <f aca="false">H887/Settings!$B$16</f>
        <v>-0</v>
      </c>
      <c r="M887" s="59" t="n">
        <f aca="false">H887/Settings!$B$20</f>
        <v>-0</v>
      </c>
      <c r="N887" s="60" t="n">
        <f aca="false">E887*Settings!$B$3</f>
        <v>0.0929584532394613</v>
      </c>
      <c r="O887" s="60" t="n">
        <f aca="false">IF(E887&gt;0,(F887-N887)/SQRT(E887*Settings!$B$3*(1-Settings!$B$3)),0)</f>
        <v>-0.30972727558513</v>
      </c>
      <c r="P887" s="60" t="n">
        <f aca="false">MAX(0,F887-N887)</f>
        <v>0</v>
      </c>
      <c r="Q887" s="32" t="n">
        <f aca="false">(F887+Settings!$B$7*Settings!$B$3)/(E887+Settings!$B$7)</f>
        <v>0.0281692282543822</v>
      </c>
      <c r="R887" s="61" t="n">
        <f aca="false">PERCENTRANK($H$2:$H$1780,H887,6)</f>
        <v>0</v>
      </c>
      <c r="S887" s="61" t="n">
        <f aca="false">PERCENTRANK($Q$2:$Q$1780,Q887,6)</f>
        <v>0.294151</v>
      </c>
      <c r="T887" s="61" t="n">
        <f aca="false">PERCENTRANK($F$2:$F$1780,F887,6)</f>
        <v>0</v>
      </c>
      <c r="U887" s="62" t="n">
        <f aca="false">IF(F887&gt;0,(Settings!$B$8*T887+Settings!$B$9*R887+Settings!$B$10*S887)/SUM(Settings!$B$8:$B$10),0)</f>
        <v>0</v>
      </c>
      <c r="V887" s="56" t="str">
        <f aca="false">IF(U887&gt;0,RANK(U887,$U$2:$U$1780)+COUNTIF($U$2:U887,U887)-1,"")</f>
        <v/>
      </c>
      <c r="W887" s="56" t="str">
        <f aca="false">IF(V887="","",IF(V887&lt;=Settings!$B$11,"1 - Fix first",IF(V887&lt;=Settings!$B$12,"2 - Review","3 - Monitor")))</f>
        <v/>
      </c>
      <c r="X887" s="56" t="str">
        <f aca="false">IF(AND(E887&gt;=Settings!$B$4,F887&gt;=Settings!$B$5,O887&gt;=Settings!$B$6),"HIGH RATE","")</f>
        <v/>
      </c>
      <c r="Y887" s="56" t="str">
        <f aca="false">IF(F887&gt;0,RANK(F887,$F$2:$F$1780)+COUNTIF($F$2:F887,F887)-1,"")</f>
        <v/>
      </c>
      <c r="Z887" s="56" t="str">
        <f aca="false">IF(H887&gt;0,RANK(H887,$H$2:$H$1780)+COUNTIF($H$2:H887,H887)-1,"")</f>
        <v/>
      </c>
      <c r="AA887" s="56" t="str">
        <f aca="false">IF(AC887="","",RANK(AC887,$AC$2:$AC$1780)+COUNTIF($AC$2:AC887,AC887)-1)</f>
        <v/>
      </c>
      <c r="AB887" s="56" t="str">
        <f aca="false">IF(AD887="","",RANK(AD887,$AD$2:$AD$1780)+COUNTIF($AD$2:AD887,AD887)-1)</f>
        <v/>
      </c>
      <c r="AC887" s="56" t="str">
        <f aca="false">IF(AND(F887&gt;0,E887&gt;=Settings!$B$4),J887,"")</f>
        <v/>
      </c>
      <c r="AD887" s="56" t="str">
        <f aca="false">IF(X887="HIGH RATE",O887,"")</f>
        <v/>
      </c>
    </row>
    <row r="888" customFormat="false" ht="15" hidden="false" customHeight="false" outlineLevel="0" collapsed="false">
      <c r="A888" s="56" t="s">
        <v>2185</v>
      </c>
      <c r="B888" s="56" t="s">
        <v>2181</v>
      </c>
      <c r="C888" s="56" t="s">
        <v>51</v>
      </c>
      <c r="D888" s="56" t="str">
        <f aca="false">IFERROR(INDEX('Brand Map'!$B$4:$B$124,MATCH(C888,'Brand Map'!$A$4:$A$124,0)),"Other")</f>
        <v>AU</v>
      </c>
      <c r="E888" s="57" t="n">
        <v>8</v>
      </c>
      <c r="F888" s="57" t="n">
        <v>0</v>
      </c>
      <c r="G888" s="58" t="n">
        <v>839.6</v>
      </c>
      <c r="H888" s="58" t="n">
        <v>0</v>
      </c>
      <c r="I888" s="58" t="n">
        <v>839.6</v>
      </c>
      <c r="J888" s="32" t="n">
        <f aca="false">IF(E888&gt;0,F888/E888,0)</f>
        <v>0</v>
      </c>
      <c r="K888" s="32" t="n">
        <f aca="false">IF(G888&gt;0,H888/G888,0)</f>
        <v>-0</v>
      </c>
      <c r="L888" s="59" t="n">
        <f aca="false">H888/Settings!$B$16</f>
        <v>-0</v>
      </c>
      <c r="M888" s="59" t="n">
        <f aca="false">H888/Settings!$B$20</f>
        <v>-0</v>
      </c>
      <c r="N888" s="60" t="n">
        <f aca="false">E888*Settings!$B$3</f>
        <v>0.247889208638563</v>
      </c>
      <c r="O888" s="60" t="n">
        <f aca="false">IF(E888&gt;0,(F888-N888)/SQRT(E888*Settings!$B$3*(1-Settings!$B$3)),0)</f>
        <v>-0.505782523070636</v>
      </c>
      <c r="P888" s="60" t="n">
        <f aca="false">MAX(0,F888-N888)</f>
        <v>0</v>
      </c>
      <c r="Q888" s="32" t="n">
        <f aca="false">(F888+Settings!$B$7*Settings!$B$3)/(E888+Settings!$B$7)</f>
        <v>0.0244627508524898</v>
      </c>
      <c r="R888" s="61" t="n">
        <f aca="false">PERCENTRANK($H$2:$H$1780,H888,6)</f>
        <v>0</v>
      </c>
      <c r="S888" s="61" t="n">
        <f aca="false">PERCENTRANK($Q$2:$Q$1780,Q888,6)</f>
        <v>0.154668</v>
      </c>
      <c r="T888" s="61" t="n">
        <f aca="false">PERCENTRANK($F$2:$F$1780,F888,6)</f>
        <v>0</v>
      </c>
      <c r="U888" s="62" t="n">
        <f aca="false">IF(F888&gt;0,(Settings!$B$8*T888+Settings!$B$9*R888+Settings!$B$10*S888)/SUM(Settings!$B$8:$B$10),0)</f>
        <v>0</v>
      </c>
      <c r="V888" s="56" t="str">
        <f aca="false">IF(U888&gt;0,RANK(U888,$U$2:$U$1780)+COUNTIF($U$2:U888,U888)-1,"")</f>
        <v/>
      </c>
      <c r="W888" s="56" t="str">
        <f aca="false">IF(V888="","",IF(V888&lt;=Settings!$B$11,"1 - Fix first",IF(V888&lt;=Settings!$B$12,"2 - Review","3 - Monitor")))</f>
        <v/>
      </c>
      <c r="X888" s="56" t="str">
        <f aca="false">IF(AND(E888&gt;=Settings!$B$4,F888&gt;=Settings!$B$5,O888&gt;=Settings!$B$6),"HIGH RATE","")</f>
        <v/>
      </c>
      <c r="Y888" s="56" t="str">
        <f aca="false">IF(F888&gt;0,RANK(F888,$F$2:$F$1780)+COUNTIF($F$2:F888,F888)-1,"")</f>
        <v/>
      </c>
      <c r="Z888" s="56" t="str">
        <f aca="false">IF(H888&gt;0,RANK(H888,$H$2:$H$1780)+COUNTIF($H$2:H888,H888)-1,"")</f>
        <v/>
      </c>
      <c r="AA888" s="56" t="str">
        <f aca="false">IF(AC888="","",RANK(AC888,$AC$2:$AC$1780)+COUNTIF($AC$2:AC888,AC888)-1)</f>
        <v/>
      </c>
      <c r="AB888" s="56" t="str">
        <f aca="false">IF(AD888="","",RANK(AD888,$AD$2:$AD$1780)+COUNTIF($AD$2:AD888,AD888)-1)</f>
        <v/>
      </c>
      <c r="AC888" s="56" t="str">
        <f aca="false">IF(AND(F888&gt;0,E888&gt;=Settings!$B$4),J888,"")</f>
        <v/>
      </c>
      <c r="AD888" s="56" t="str">
        <f aca="false">IF(X888="HIGH RATE",O888,"")</f>
        <v/>
      </c>
    </row>
    <row r="889" customFormat="false" ht="15" hidden="false" customHeight="false" outlineLevel="0" collapsed="false">
      <c r="A889" s="56" t="s">
        <v>2186</v>
      </c>
      <c r="B889" s="56" t="s">
        <v>2187</v>
      </c>
      <c r="C889" s="56" t="s">
        <v>51</v>
      </c>
      <c r="D889" s="56" t="str">
        <f aca="false">IFERROR(INDEX('Brand Map'!$B$4:$B$124,MATCH(C889,'Brand Map'!$A$4:$A$124,0)),"Other")</f>
        <v>AU</v>
      </c>
      <c r="E889" s="57" t="n">
        <v>3</v>
      </c>
      <c r="F889" s="57" t="n">
        <v>0</v>
      </c>
      <c r="G889" s="58" t="n">
        <v>505.57</v>
      </c>
      <c r="H889" s="58" t="n">
        <v>0</v>
      </c>
      <c r="I889" s="58" t="n">
        <v>505.57</v>
      </c>
      <c r="J889" s="32" t="n">
        <f aca="false">IF(E889&gt;0,F889/E889,0)</f>
        <v>0</v>
      </c>
      <c r="K889" s="32" t="n">
        <f aca="false">IF(G889&gt;0,H889/G889,0)</f>
        <v>-0</v>
      </c>
      <c r="L889" s="59" t="n">
        <f aca="false">H889/Settings!$B$16</f>
        <v>-0</v>
      </c>
      <c r="M889" s="59" t="n">
        <f aca="false">H889/Settings!$B$20</f>
        <v>-0</v>
      </c>
      <c r="N889" s="60" t="n">
        <f aca="false">E889*Settings!$B$3</f>
        <v>0.0929584532394613</v>
      </c>
      <c r="O889" s="60" t="n">
        <f aca="false">IF(E889&gt;0,(F889-N889)/SQRT(E889*Settings!$B$3*(1-Settings!$B$3)),0)</f>
        <v>-0.30972727558513</v>
      </c>
      <c r="P889" s="60" t="n">
        <f aca="false">MAX(0,F889-N889)</f>
        <v>0</v>
      </c>
      <c r="Q889" s="32" t="n">
        <f aca="false">(F889+Settings!$B$7*Settings!$B$3)/(E889+Settings!$B$7)</f>
        <v>0.0281692282543822</v>
      </c>
      <c r="R889" s="61" t="n">
        <f aca="false">PERCENTRANK($H$2:$H$1780,H889,6)</f>
        <v>0</v>
      </c>
      <c r="S889" s="61" t="n">
        <f aca="false">PERCENTRANK($Q$2:$Q$1780,Q889,6)</f>
        <v>0.294151</v>
      </c>
      <c r="T889" s="61" t="n">
        <f aca="false">PERCENTRANK($F$2:$F$1780,F889,6)</f>
        <v>0</v>
      </c>
      <c r="U889" s="62" t="n">
        <f aca="false">IF(F889&gt;0,(Settings!$B$8*T889+Settings!$B$9*R889+Settings!$B$10*S889)/SUM(Settings!$B$8:$B$10),0)</f>
        <v>0</v>
      </c>
      <c r="V889" s="56" t="str">
        <f aca="false">IF(U889&gt;0,RANK(U889,$U$2:$U$1780)+COUNTIF($U$2:U889,U889)-1,"")</f>
        <v/>
      </c>
      <c r="W889" s="56" t="str">
        <f aca="false">IF(V889="","",IF(V889&lt;=Settings!$B$11,"1 - Fix first",IF(V889&lt;=Settings!$B$12,"2 - Review","3 - Monitor")))</f>
        <v/>
      </c>
      <c r="X889" s="56" t="str">
        <f aca="false">IF(AND(E889&gt;=Settings!$B$4,F889&gt;=Settings!$B$5,O889&gt;=Settings!$B$6),"HIGH RATE","")</f>
        <v/>
      </c>
      <c r="Y889" s="56" t="str">
        <f aca="false">IF(F889&gt;0,RANK(F889,$F$2:$F$1780)+COUNTIF($F$2:F889,F889)-1,"")</f>
        <v/>
      </c>
      <c r="Z889" s="56" t="str">
        <f aca="false">IF(H889&gt;0,RANK(H889,$H$2:$H$1780)+COUNTIF($H$2:H889,H889)-1,"")</f>
        <v/>
      </c>
      <c r="AA889" s="56" t="str">
        <f aca="false">IF(AC889="","",RANK(AC889,$AC$2:$AC$1780)+COUNTIF($AC$2:AC889,AC889)-1)</f>
        <v/>
      </c>
      <c r="AB889" s="56" t="str">
        <f aca="false">IF(AD889="","",RANK(AD889,$AD$2:$AD$1780)+COUNTIF($AD$2:AD889,AD889)-1)</f>
        <v/>
      </c>
      <c r="AC889" s="56" t="str">
        <f aca="false">IF(AND(F889&gt;0,E889&gt;=Settings!$B$4),J889,"")</f>
        <v/>
      </c>
      <c r="AD889" s="56" t="str">
        <f aca="false">IF(X889="HIGH RATE",O889,"")</f>
        <v/>
      </c>
    </row>
    <row r="890" customFormat="false" ht="15" hidden="false" customHeight="false" outlineLevel="0" collapsed="false">
      <c r="A890" s="56" t="s">
        <v>2188</v>
      </c>
      <c r="B890" s="56" t="s">
        <v>2189</v>
      </c>
      <c r="C890" s="56" t="s">
        <v>51</v>
      </c>
      <c r="D890" s="56" t="str">
        <f aca="false">IFERROR(INDEX('Brand Map'!$B$4:$B$124,MATCH(C890,'Brand Map'!$A$4:$A$124,0)),"Other")</f>
        <v>AU</v>
      </c>
      <c r="E890" s="57" t="n">
        <v>4</v>
      </c>
      <c r="F890" s="57" t="n">
        <v>0</v>
      </c>
      <c r="G890" s="58" t="n">
        <v>227.8</v>
      </c>
      <c r="H890" s="58" t="n">
        <v>0</v>
      </c>
      <c r="I890" s="58" t="n">
        <v>227.8</v>
      </c>
      <c r="J890" s="32" t="n">
        <f aca="false">IF(E890&gt;0,F890/E890,0)</f>
        <v>0</v>
      </c>
      <c r="K890" s="32" t="n">
        <f aca="false">IF(G890&gt;0,H890/G890,0)</f>
        <v>-0</v>
      </c>
      <c r="L890" s="59" t="n">
        <f aca="false">H890/Settings!$B$16</f>
        <v>-0</v>
      </c>
      <c r="M890" s="59" t="n">
        <f aca="false">H890/Settings!$B$20</f>
        <v>-0</v>
      </c>
      <c r="N890" s="60" t="n">
        <f aca="false">E890*Settings!$B$3</f>
        <v>0.123944604319282</v>
      </c>
      <c r="O890" s="60" t="n">
        <f aca="false">IF(E890&gt;0,(F890-N890)/SQRT(E890*Settings!$B$3*(1-Settings!$B$3)),0)</f>
        <v>-0.357642251868888</v>
      </c>
      <c r="P890" s="60" t="n">
        <f aca="false">MAX(0,F890-N890)</f>
        <v>0</v>
      </c>
      <c r="Q890" s="32" t="n">
        <f aca="false">(F890+Settings!$B$7*Settings!$B$3)/(E890+Settings!$B$7)</f>
        <v>0.027340721541018</v>
      </c>
      <c r="R890" s="61" t="n">
        <f aca="false">PERCENTRANK($H$2:$H$1780,H890,6)</f>
        <v>0</v>
      </c>
      <c r="S890" s="61" t="n">
        <f aca="false">PERCENTRANK($Q$2:$Q$1780,Q890,6)</f>
        <v>0.253656</v>
      </c>
      <c r="T890" s="61" t="n">
        <f aca="false">PERCENTRANK($F$2:$F$1780,F890,6)</f>
        <v>0</v>
      </c>
      <c r="U890" s="62" t="n">
        <f aca="false">IF(F890&gt;0,(Settings!$B$8*T890+Settings!$B$9*R890+Settings!$B$10*S890)/SUM(Settings!$B$8:$B$10),0)</f>
        <v>0</v>
      </c>
      <c r="V890" s="56" t="str">
        <f aca="false">IF(U890&gt;0,RANK(U890,$U$2:$U$1780)+COUNTIF($U$2:U890,U890)-1,"")</f>
        <v/>
      </c>
      <c r="W890" s="56" t="str">
        <f aca="false">IF(V890="","",IF(V890&lt;=Settings!$B$11,"1 - Fix first",IF(V890&lt;=Settings!$B$12,"2 - Review","3 - Monitor")))</f>
        <v/>
      </c>
      <c r="X890" s="56" t="str">
        <f aca="false">IF(AND(E890&gt;=Settings!$B$4,F890&gt;=Settings!$B$5,O890&gt;=Settings!$B$6),"HIGH RATE","")</f>
        <v/>
      </c>
      <c r="Y890" s="56" t="str">
        <f aca="false">IF(F890&gt;0,RANK(F890,$F$2:$F$1780)+COUNTIF($F$2:F890,F890)-1,"")</f>
        <v/>
      </c>
      <c r="Z890" s="56" t="str">
        <f aca="false">IF(H890&gt;0,RANK(H890,$H$2:$H$1780)+COUNTIF($H$2:H890,H890)-1,"")</f>
        <v/>
      </c>
      <c r="AA890" s="56" t="str">
        <f aca="false">IF(AC890="","",RANK(AC890,$AC$2:$AC$1780)+COUNTIF($AC$2:AC890,AC890)-1)</f>
        <v/>
      </c>
      <c r="AB890" s="56" t="str">
        <f aca="false">IF(AD890="","",RANK(AD890,$AD$2:$AD$1780)+COUNTIF($AD$2:AD890,AD890)-1)</f>
        <v/>
      </c>
      <c r="AC890" s="56" t="str">
        <f aca="false">IF(AND(F890&gt;0,E890&gt;=Settings!$B$4),J890,"")</f>
        <v/>
      </c>
      <c r="AD890" s="56" t="str">
        <f aca="false">IF(X890="HIGH RATE",O890,"")</f>
        <v/>
      </c>
    </row>
    <row r="891" customFormat="false" ht="15" hidden="false" customHeight="false" outlineLevel="0" collapsed="false">
      <c r="A891" s="56" t="s">
        <v>2190</v>
      </c>
      <c r="B891" s="56" t="s">
        <v>2189</v>
      </c>
      <c r="C891" s="56" t="s">
        <v>51</v>
      </c>
      <c r="D891" s="56" t="str">
        <f aca="false">IFERROR(INDEX('Brand Map'!$B$4:$B$124,MATCH(C891,'Brand Map'!$A$4:$A$124,0)),"Other")</f>
        <v>AU</v>
      </c>
      <c r="E891" s="57" t="n">
        <v>9</v>
      </c>
      <c r="F891" s="57" t="n">
        <v>0</v>
      </c>
      <c r="G891" s="58" t="n">
        <v>580.05</v>
      </c>
      <c r="H891" s="58" t="n">
        <v>0</v>
      </c>
      <c r="I891" s="58" t="n">
        <v>580.05</v>
      </c>
      <c r="J891" s="32" t="n">
        <f aca="false">IF(E891&gt;0,F891/E891,0)</f>
        <v>0</v>
      </c>
      <c r="K891" s="32" t="n">
        <f aca="false">IF(G891&gt;0,H891/G891,0)</f>
        <v>-0</v>
      </c>
      <c r="L891" s="59" t="n">
        <f aca="false">H891/Settings!$B$16</f>
        <v>-0</v>
      </c>
      <c r="M891" s="59" t="n">
        <f aca="false">H891/Settings!$B$20</f>
        <v>-0</v>
      </c>
      <c r="N891" s="60" t="n">
        <f aca="false">E891*Settings!$B$3</f>
        <v>0.278875359718384</v>
      </c>
      <c r="O891" s="60" t="n">
        <f aca="false">IF(E891&gt;0,(F891-N891)/SQRT(E891*Settings!$B$3*(1-Settings!$B$3)),0)</f>
        <v>-0.536463377803332</v>
      </c>
      <c r="P891" s="60" t="n">
        <f aca="false">MAX(0,F891-N891)</f>
        <v>0</v>
      </c>
      <c r="Q891" s="32" t="n">
        <f aca="false">(F891+Settings!$B$7*Settings!$B$3)/(E891+Settings!$B$7)</f>
        <v>0.0238355008306311</v>
      </c>
      <c r="R891" s="61" t="n">
        <f aca="false">PERCENTRANK($H$2:$H$1780,H891,6)</f>
        <v>0</v>
      </c>
      <c r="S891" s="61" t="n">
        <f aca="false">PERCENTRANK($Q$2:$Q$1780,Q891,6)</f>
        <v>0.142857</v>
      </c>
      <c r="T891" s="61" t="n">
        <f aca="false">PERCENTRANK($F$2:$F$1780,F891,6)</f>
        <v>0</v>
      </c>
      <c r="U891" s="62" t="n">
        <f aca="false">IF(F891&gt;0,(Settings!$B$8*T891+Settings!$B$9*R891+Settings!$B$10*S891)/SUM(Settings!$B$8:$B$10),0)</f>
        <v>0</v>
      </c>
      <c r="V891" s="56" t="str">
        <f aca="false">IF(U891&gt;0,RANK(U891,$U$2:$U$1780)+COUNTIF($U$2:U891,U891)-1,"")</f>
        <v/>
      </c>
      <c r="W891" s="56" t="str">
        <f aca="false">IF(V891="","",IF(V891&lt;=Settings!$B$11,"1 - Fix first",IF(V891&lt;=Settings!$B$12,"2 - Review","3 - Monitor")))</f>
        <v/>
      </c>
      <c r="X891" s="56" t="str">
        <f aca="false">IF(AND(E891&gt;=Settings!$B$4,F891&gt;=Settings!$B$5,O891&gt;=Settings!$B$6),"HIGH RATE","")</f>
        <v/>
      </c>
      <c r="Y891" s="56" t="str">
        <f aca="false">IF(F891&gt;0,RANK(F891,$F$2:$F$1780)+COUNTIF($F$2:F891,F891)-1,"")</f>
        <v/>
      </c>
      <c r="Z891" s="56" t="str">
        <f aca="false">IF(H891&gt;0,RANK(H891,$H$2:$H$1780)+COUNTIF($H$2:H891,H891)-1,"")</f>
        <v/>
      </c>
      <c r="AA891" s="56" t="str">
        <f aca="false">IF(AC891="","",RANK(AC891,$AC$2:$AC$1780)+COUNTIF($AC$2:AC891,AC891)-1)</f>
        <v/>
      </c>
      <c r="AB891" s="56" t="str">
        <f aca="false">IF(AD891="","",RANK(AD891,$AD$2:$AD$1780)+COUNTIF($AD$2:AD891,AD891)-1)</f>
        <v/>
      </c>
      <c r="AC891" s="56" t="str">
        <f aca="false">IF(AND(F891&gt;0,E891&gt;=Settings!$B$4),J891,"")</f>
        <v/>
      </c>
      <c r="AD891" s="56" t="str">
        <f aca="false">IF(X891="HIGH RATE",O891,"")</f>
        <v/>
      </c>
    </row>
    <row r="892" customFormat="false" ht="15" hidden="false" customHeight="false" outlineLevel="0" collapsed="false">
      <c r="A892" s="56" t="s">
        <v>2191</v>
      </c>
      <c r="B892" s="56" t="s">
        <v>2189</v>
      </c>
      <c r="C892" s="56" t="s">
        <v>51</v>
      </c>
      <c r="D892" s="56" t="str">
        <f aca="false">IFERROR(INDEX('Brand Map'!$B$4:$B$124,MATCH(C892,'Brand Map'!$A$4:$A$124,0)),"Other")</f>
        <v>AU</v>
      </c>
      <c r="E892" s="57" t="n">
        <v>5</v>
      </c>
      <c r="F892" s="57" t="n">
        <v>0</v>
      </c>
      <c r="G892" s="58" t="n">
        <v>397.25</v>
      </c>
      <c r="H892" s="58" t="n">
        <v>0</v>
      </c>
      <c r="I892" s="58" t="n">
        <v>397.25</v>
      </c>
      <c r="J892" s="32" t="n">
        <f aca="false">IF(E892&gt;0,F892/E892,0)</f>
        <v>0</v>
      </c>
      <c r="K892" s="32" t="n">
        <f aca="false">IF(G892&gt;0,H892/G892,0)</f>
        <v>-0</v>
      </c>
      <c r="L892" s="59" t="n">
        <f aca="false">H892/Settings!$B$16</f>
        <v>-0</v>
      </c>
      <c r="M892" s="59" t="n">
        <f aca="false">H892/Settings!$B$20</f>
        <v>-0</v>
      </c>
      <c r="N892" s="60" t="n">
        <f aca="false">E892*Settings!$B$3</f>
        <v>0.154930755399102</v>
      </c>
      <c r="O892" s="60" t="n">
        <f aca="false">IF(E892&gt;0,(F892-N892)/SQRT(E892*Settings!$B$3*(1-Settings!$B$3)),0)</f>
        <v>-0.399856193402468</v>
      </c>
      <c r="P892" s="60" t="n">
        <f aca="false">MAX(0,F892-N892)</f>
        <v>0</v>
      </c>
      <c r="Q892" s="32" t="n">
        <f aca="false">(F892+Settings!$B$7*Settings!$B$3)/(E892+Settings!$B$7)</f>
        <v>0.0265595580684175</v>
      </c>
      <c r="R892" s="61" t="n">
        <f aca="false">PERCENTRANK($H$2:$H$1780,H892,6)</f>
        <v>0</v>
      </c>
      <c r="S892" s="61" t="n">
        <f aca="false">PERCENTRANK($Q$2:$Q$1780,Q892,6)</f>
        <v>0.220472</v>
      </c>
      <c r="T892" s="61" t="n">
        <f aca="false">PERCENTRANK($F$2:$F$1780,F892,6)</f>
        <v>0</v>
      </c>
      <c r="U892" s="62" t="n">
        <f aca="false">IF(F892&gt;0,(Settings!$B$8*T892+Settings!$B$9*R892+Settings!$B$10*S892)/SUM(Settings!$B$8:$B$10),0)</f>
        <v>0</v>
      </c>
      <c r="V892" s="56" t="str">
        <f aca="false">IF(U892&gt;0,RANK(U892,$U$2:$U$1780)+COUNTIF($U$2:U892,U892)-1,"")</f>
        <v/>
      </c>
      <c r="W892" s="56" t="str">
        <f aca="false">IF(V892="","",IF(V892&lt;=Settings!$B$11,"1 - Fix first",IF(V892&lt;=Settings!$B$12,"2 - Review","3 - Monitor")))</f>
        <v/>
      </c>
      <c r="X892" s="56" t="str">
        <f aca="false">IF(AND(E892&gt;=Settings!$B$4,F892&gt;=Settings!$B$5,O892&gt;=Settings!$B$6),"HIGH RATE","")</f>
        <v/>
      </c>
      <c r="Y892" s="56" t="str">
        <f aca="false">IF(F892&gt;0,RANK(F892,$F$2:$F$1780)+COUNTIF($F$2:F892,F892)-1,"")</f>
        <v/>
      </c>
      <c r="Z892" s="56" t="str">
        <f aca="false">IF(H892&gt;0,RANK(H892,$H$2:$H$1780)+COUNTIF($H$2:H892,H892)-1,"")</f>
        <v/>
      </c>
      <c r="AA892" s="56" t="str">
        <f aca="false">IF(AC892="","",RANK(AC892,$AC$2:$AC$1780)+COUNTIF($AC$2:AC892,AC892)-1)</f>
        <v/>
      </c>
      <c r="AB892" s="56" t="str">
        <f aca="false">IF(AD892="","",RANK(AD892,$AD$2:$AD$1780)+COUNTIF($AD$2:AD892,AD892)-1)</f>
        <v/>
      </c>
      <c r="AC892" s="56" t="str">
        <f aca="false">IF(AND(F892&gt;0,E892&gt;=Settings!$B$4),J892,"")</f>
        <v/>
      </c>
      <c r="AD892" s="56" t="str">
        <f aca="false">IF(X892="HIGH RATE",O892,"")</f>
        <v/>
      </c>
    </row>
    <row r="893" customFormat="false" ht="15" hidden="false" customHeight="false" outlineLevel="0" collapsed="false">
      <c r="A893" s="56" t="s">
        <v>2192</v>
      </c>
      <c r="B893" s="56" t="s">
        <v>2189</v>
      </c>
      <c r="C893" s="56" t="s">
        <v>51</v>
      </c>
      <c r="D893" s="56" t="str">
        <f aca="false">IFERROR(INDEX('Brand Map'!$B$4:$B$124,MATCH(C893,'Brand Map'!$A$4:$A$124,0)),"Other")</f>
        <v>AU</v>
      </c>
      <c r="E893" s="57" t="n">
        <v>45</v>
      </c>
      <c r="F893" s="57" t="n">
        <v>0</v>
      </c>
      <c r="G893" s="58" t="n">
        <v>2225.25</v>
      </c>
      <c r="H893" s="58" t="n">
        <v>0</v>
      </c>
      <c r="I893" s="58" t="n">
        <v>2225.25</v>
      </c>
      <c r="J893" s="32" t="n">
        <f aca="false">IF(E893&gt;0,F893/E893,0)</f>
        <v>0</v>
      </c>
      <c r="K893" s="32" t="n">
        <f aca="false">IF(G893&gt;0,H893/G893,0)</f>
        <v>-0</v>
      </c>
      <c r="L893" s="59" t="n">
        <f aca="false">H893/Settings!$B$16</f>
        <v>-0</v>
      </c>
      <c r="M893" s="59" t="n">
        <f aca="false">H893/Settings!$B$20</f>
        <v>-0</v>
      </c>
      <c r="N893" s="60" t="n">
        <f aca="false">E893*Settings!$B$3</f>
        <v>1.39437679859192</v>
      </c>
      <c r="O893" s="60" t="n">
        <f aca="false">IF(E893&gt;0,(F893-N893)/SQRT(E893*Settings!$B$3*(1-Settings!$B$3)),0)</f>
        <v>-1.1995685802074</v>
      </c>
      <c r="P893" s="60" t="n">
        <f aca="false">MAX(0,F893-N893)</f>
        <v>0</v>
      </c>
      <c r="Q893" s="32" t="n">
        <f aca="false">(F893+Settings!$B$7*Settings!$B$3)/(E893+Settings!$B$7)</f>
        <v>0.0123944604319282</v>
      </c>
      <c r="R893" s="61" t="n">
        <f aca="false">PERCENTRANK($H$2:$H$1780,H893,6)</f>
        <v>0</v>
      </c>
      <c r="S893" s="61" t="n">
        <f aca="false">PERCENTRANK($Q$2:$Q$1780,Q893,6)</f>
        <v>0.023622</v>
      </c>
      <c r="T893" s="61" t="n">
        <f aca="false">PERCENTRANK($F$2:$F$1780,F893,6)</f>
        <v>0</v>
      </c>
      <c r="U893" s="62" t="n">
        <f aca="false">IF(F893&gt;0,(Settings!$B$8*T893+Settings!$B$9*R893+Settings!$B$10*S893)/SUM(Settings!$B$8:$B$10),0)</f>
        <v>0</v>
      </c>
      <c r="V893" s="56" t="str">
        <f aca="false">IF(U893&gt;0,RANK(U893,$U$2:$U$1780)+COUNTIF($U$2:U893,U893)-1,"")</f>
        <v/>
      </c>
      <c r="W893" s="56" t="str">
        <f aca="false">IF(V893="","",IF(V893&lt;=Settings!$B$11,"1 - Fix first",IF(V893&lt;=Settings!$B$12,"2 - Review","3 - Monitor")))</f>
        <v/>
      </c>
      <c r="X893" s="56" t="str">
        <f aca="false">IF(AND(E893&gt;=Settings!$B$4,F893&gt;=Settings!$B$5,O893&gt;=Settings!$B$6),"HIGH RATE","")</f>
        <v/>
      </c>
      <c r="Y893" s="56" t="str">
        <f aca="false">IF(F893&gt;0,RANK(F893,$F$2:$F$1780)+COUNTIF($F$2:F893,F893)-1,"")</f>
        <v/>
      </c>
      <c r="Z893" s="56" t="str">
        <f aca="false">IF(H893&gt;0,RANK(H893,$H$2:$H$1780)+COUNTIF($H$2:H893,H893)-1,"")</f>
        <v/>
      </c>
      <c r="AA893" s="56" t="str">
        <f aca="false">IF(AC893="","",RANK(AC893,$AC$2:$AC$1780)+COUNTIF($AC$2:AC893,AC893)-1)</f>
        <v/>
      </c>
      <c r="AB893" s="56" t="str">
        <f aca="false">IF(AD893="","",RANK(AD893,$AD$2:$AD$1780)+COUNTIF($AD$2:AD893,AD893)-1)</f>
        <v/>
      </c>
      <c r="AC893" s="56" t="str">
        <f aca="false">IF(AND(F893&gt;0,E893&gt;=Settings!$B$4),J893,"")</f>
        <v/>
      </c>
      <c r="AD893" s="56" t="str">
        <f aca="false">IF(X893="HIGH RATE",O893,"")</f>
        <v/>
      </c>
    </row>
    <row r="894" customFormat="false" ht="15" hidden="false" customHeight="false" outlineLevel="0" collapsed="false">
      <c r="A894" s="56" t="s">
        <v>2193</v>
      </c>
      <c r="B894" s="56" t="s">
        <v>2194</v>
      </c>
      <c r="C894" s="56" t="s">
        <v>51</v>
      </c>
      <c r="D894" s="56" t="str">
        <f aca="false">IFERROR(INDEX('Brand Map'!$B$4:$B$124,MATCH(C894,'Brand Map'!$A$4:$A$124,0)),"Other")</f>
        <v>AU</v>
      </c>
      <c r="E894" s="57" t="n">
        <v>1</v>
      </c>
      <c r="F894" s="57" t="n">
        <v>0</v>
      </c>
      <c r="G894" s="58" t="n">
        <v>127.5</v>
      </c>
      <c r="H894" s="58" t="n">
        <v>0</v>
      </c>
      <c r="I894" s="58" t="n">
        <v>127.5</v>
      </c>
      <c r="J894" s="32" t="n">
        <f aca="false">IF(E894&gt;0,F894/E894,0)</f>
        <v>0</v>
      </c>
      <c r="K894" s="32" t="n">
        <f aca="false">IF(G894&gt;0,H894/G894,0)</f>
        <v>-0</v>
      </c>
      <c r="L894" s="59" t="n">
        <f aca="false">H894/Settings!$B$16</f>
        <v>-0</v>
      </c>
      <c r="M894" s="59" t="n">
        <f aca="false">H894/Settings!$B$20</f>
        <v>-0</v>
      </c>
      <c r="N894" s="60" t="n">
        <f aca="false">E894*Settings!$B$3</f>
        <v>0.0309861510798204</v>
      </c>
      <c r="O894" s="60" t="n">
        <f aca="false">IF(E894&gt;0,(F894-N894)/SQRT(E894*Settings!$B$3*(1-Settings!$B$3)),0)</f>
        <v>-0.178821125934444</v>
      </c>
      <c r="P894" s="60" t="n">
        <f aca="false">MAX(0,F894-N894)</f>
        <v>0</v>
      </c>
      <c r="Q894" s="32" t="n">
        <f aca="false">(F894+Settings!$B$7*Settings!$B$3)/(E894+Settings!$B$7)</f>
        <v>0.0299865978191811</v>
      </c>
      <c r="R894" s="61" t="n">
        <f aca="false">PERCENTRANK($H$2:$H$1780,H894,6)</f>
        <v>0</v>
      </c>
      <c r="S894" s="61" t="n">
        <f aca="false">PERCENTRANK($Q$2:$Q$1780,Q894,6)</f>
        <v>0.486502</v>
      </c>
      <c r="T894" s="61" t="n">
        <f aca="false">PERCENTRANK($F$2:$F$1780,F894,6)</f>
        <v>0</v>
      </c>
      <c r="U894" s="62" t="n">
        <f aca="false">IF(F894&gt;0,(Settings!$B$8*T894+Settings!$B$9*R894+Settings!$B$10*S894)/SUM(Settings!$B$8:$B$10),0)</f>
        <v>0</v>
      </c>
      <c r="V894" s="56" t="str">
        <f aca="false">IF(U894&gt;0,RANK(U894,$U$2:$U$1780)+COUNTIF($U$2:U894,U894)-1,"")</f>
        <v/>
      </c>
      <c r="W894" s="56" t="str">
        <f aca="false">IF(V894="","",IF(V894&lt;=Settings!$B$11,"1 - Fix first",IF(V894&lt;=Settings!$B$12,"2 - Review","3 - Monitor")))</f>
        <v/>
      </c>
      <c r="X894" s="56" t="str">
        <f aca="false">IF(AND(E894&gt;=Settings!$B$4,F894&gt;=Settings!$B$5,O894&gt;=Settings!$B$6),"HIGH RATE","")</f>
        <v/>
      </c>
      <c r="Y894" s="56" t="str">
        <f aca="false">IF(F894&gt;0,RANK(F894,$F$2:$F$1780)+COUNTIF($F$2:F894,F894)-1,"")</f>
        <v/>
      </c>
      <c r="Z894" s="56" t="str">
        <f aca="false">IF(H894&gt;0,RANK(H894,$H$2:$H$1780)+COUNTIF($H$2:H894,H894)-1,"")</f>
        <v/>
      </c>
      <c r="AA894" s="56" t="str">
        <f aca="false">IF(AC894="","",RANK(AC894,$AC$2:$AC$1780)+COUNTIF($AC$2:AC894,AC894)-1)</f>
        <v/>
      </c>
      <c r="AB894" s="56" t="str">
        <f aca="false">IF(AD894="","",RANK(AD894,$AD$2:$AD$1780)+COUNTIF($AD$2:AD894,AD894)-1)</f>
        <v/>
      </c>
      <c r="AC894" s="56" t="str">
        <f aca="false">IF(AND(F894&gt;0,E894&gt;=Settings!$B$4),J894,"")</f>
        <v/>
      </c>
      <c r="AD894" s="56" t="str">
        <f aca="false">IF(X894="HIGH RATE",O894,"")</f>
        <v/>
      </c>
    </row>
    <row r="895" customFormat="false" ht="15" hidden="false" customHeight="false" outlineLevel="0" collapsed="false">
      <c r="A895" s="56" t="s">
        <v>2195</v>
      </c>
      <c r="B895" s="56" t="s">
        <v>2194</v>
      </c>
      <c r="C895" s="56" t="s">
        <v>51</v>
      </c>
      <c r="D895" s="56" t="str">
        <f aca="false">IFERROR(INDEX('Brand Map'!$B$4:$B$124,MATCH(C895,'Brand Map'!$A$4:$A$124,0)),"Other")</f>
        <v>AU</v>
      </c>
      <c r="E895" s="57" t="n">
        <v>1</v>
      </c>
      <c r="F895" s="57" t="n">
        <v>0</v>
      </c>
      <c r="G895" s="58" t="n">
        <v>82.5</v>
      </c>
      <c r="H895" s="58" t="n">
        <v>0</v>
      </c>
      <c r="I895" s="58" t="n">
        <v>82.5</v>
      </c>
      <c r="J895" s="32" t="n">
        <f aca="false">IF(E895&gt;0,F895/E895,0)</f>
        <v>0</v>
      </c>
      <c r="K895" s="32" t="n">
        <f aca="false">IF(G895&gt;0,H895/G895,0)</f>
        <v>-0</v>
      </c>
      <c r="L895" s="59" t="n">
        <f aca="false">H895/Settings!$B$16</f>
        <v>-0</v>
      </c>
      <c r="M895" s="59" t="n">
        <f aca="false">H895/Settings!$B$20</f>
        <v>-0</v>
      </c>
      <c r="N895" s="60" t="n">
        <f aca="false">E895*Settings!$B$3</f>
        <v>0.0309861510798204</v>
      </c>
      <c r="O895" s="60" t="n">
        <f aca="false">IF(E895&gt;0,(F895-N895)/SQRT(E895*Settings!$B$3*(1-Settings!$B$3)),0)</f>
        <v>-0.178821125934444</v>
      </c>
      <c r="P895" s="60" t="n">
        <f aca="false">MAX(0,F895-N895)</f>
        <v>0</v>
      </c>
      <c r="Q895" s="32" t="n">
        <f aca="false">(F895+Settings!$B$7*Settings!$B$3)/(E895+Settings!$B$7)</f>
        <v>0.0299865978191811</v>
      </c>
      <c r="R895" s="61" t="n">
        <f aca="false">PERCENTRANK($H$2:$H$1780,H895,6)</f>
        <v>0</v>
      </c>
      <c r="S895" s="61" t="n">
        <f aca="false">PERCENTRANK($Q$2:$Q$1780,Q895,6)</f>
        <v>0.486502</v>
      </c>
      <c r="T895" s="61" t="n">
        <f aca="false">PERCENTRANK($F$2:$F$1780,F895,6)</f>
        <v>0</v>
      </c>
      <c r="U895" s="62" t="n">
        <f aca="false">IF(F895&gt;0,(Settings!$B$8*T895+Settings!$B$9*R895+Settings!$B$10*S895)/SUM(Settings!$B$8:$B$10),0)</f>
        <v>0</v>
      </c>
      <c r="V895" s="56" t="str">
        <f aca="false">IF(U895&gt;0,RANK(U895,$U$2:$U$1780)+COUNTIF($U$2:U895,U895)-1,"")</f>
        <v/>
      </c>
      <c r="W895" s="56" t="str">
        <f aca="false">IF(V895="","",IF(V895&lt;=Settings!$B$11,"1 - Fix first",IF(V895&lt;=Settings!$B$12,"2 - Review","3 - Monitor")))</f>
        <v/>
      </c>
      <c r="X895" s="56" t="str">
        <f aca="false">IF(AND(E895&gt;=Settings!$B$4,F895&gt;=Settings!$B$5,O895&gt;=Settings!$B$6),"HIGH RATE","")</f>
        <v/>
      </c>
      <c r="Y895" s="56" t="str">
        <f aca="false">IF(F895&gt;0,RANK(F895,$F$2:$F$1780)+COUNTIF($F$2:F895,F895)-1,"")</f>
        <v/>
      </c>
      <c r="Z895" s="56" t="str">
        <f aca="false">IF(H895&gt;0,RANK(H895,$H$2:$H$1780)+COUNTIF($H$2:H895,H895)-1,"")</f>
        <v/>
      </c>
      <c r="AA895" s="56" t="str">
        <f aca="false">IF(AC895="","",RANK(AC895,$AC$2:$AC$1780)+COUNTIF($AC$2:AC895,AC895)-1)</f>
        <v/>
      </c>
      <c r="AB895" s="56" t="str">
        <f aca="false">IF(AD895="","",RANK(AD895,$AD$2:$AD$1780)+COUNTIF($AD$2:AD895,AD895)-1)</f>
        <v/>
      </c>
      <c r="AC895" s="56" t="str">
        <f aca="false">IF(AND(F895&gt;0,E895&gt;=Settings!$B$4),J895,"")</f>
        <v/>
      </c>
      <c r="AD895" s="56" t="str">
        <f aca="false">IF(X895="HIGH RATE",O895,"")</f>
        <v/>
      </c>
    </row>
    <row r="896" customFormat="false" ht="15" hidden="false" customHeight="false" outlineLevel="0" collapsed="false">
      <c r="A896" s="56" t="s">
        <v>2196</v>
      </c>
      <c r="B896" s="56" t="s">
        <v>2197</v>
      </c>
      <c r="C896" s="56" t="s">
        <v>51</v>
      </c>
      <c r="D896" s="56" t="str">
        <f aca="false">IFERROR(INDEX('Brand Map'!$B$4:$B$124,MATCH(C896,'Brand Map'!$A$4:$A$124,0)),"Other")</f>
        <v>AU</v>
      </c>
      <c r="E896" s="57" t="n">
        <v>1</v>
      </c>
      <c r="F896" s="57" t="n">
        <v>0</v>
      </c>
      <c r="G896" s="58" t="n">
        <v>148.95</v>
      </c>
      <c r="H896" s="58" t="n">
        <v>0</v>
      </c>
      <c r="I896" s="58" t="n">
        <v>148.95</v>
      </c>
      <c r="J896" s="32" t="n">
        <f aca="false">IF(E896&gt;0,F896/E896,0)</f>
        <v>0</v>
      </c>
      <c r="K896" s="32" t="n">
        <f aca="false">IF(G896&gt;0,H896/G896,0)</f>
        <v>-0</v>
      </c>
      <c r="L896" s="59" t="n">
        <f aca="false">H896/Settings!$B$16</f>
        <v>-0</v>
      </c>
      <c r="M896" s="59" t="n">
        <f aca="false">H896/Settings!$B$20</f>
        <v>-0</v>
      </c>
      <c r="N896" s="60" t="n">
        <f aca="false">E896*Settings!$B$3</f>
        <v>0.0309861510798204</v>
      </c>
      <c r="O896" s="60" t="n">
        <f aca="false">IF(E896&gt;0,(F896-N896)/SQRT(E896*Settings!$B$3*(1-Settings!$B$3)),0)</f>
        <v>-0.178821125934444</v>
      </c>
      <c r="P896" s="60" t="n">
        <f aca="false">MAX(0,F896-N896)</f>
        <v>0</v>
      </c>
      <c r="Q896" s="32" t="n">
        <f aca="false">(F896+Settings!$B$7*Settings!$B$3)/(E896+Settings!$B$7)</f>
        <v>0.0299865978191811</v>
      </c>
      <c r="R896" s="61" t="n">
        <f aca="false">PERCENTRANK($H$2:$H$1780,H896,6)</f>
        <v>0</v>
      </c>
      <c r="S896" s="61" t="n">
        <f aca="false">PERCENTRANK($Q$2:$Q$1780,Q896,6)</f>
        <v>0.486502</v>
      </c>
      <c r="T896" s="61" t="n">
        <f aca="false">PERCENTRANK($F$2:$F$1780,F896,6)</f>
        <v>0</v>
      </c>
      <c r="U896" s="62" t="n">
        <f aca="false">IF(F896&gt;0,(Settings!$B$8*T896+Settings!$B$9*R896+Settings!$B$10*S896)/SUM(Settings!$B$8:$B$10),0)</f>
        <v>0</v>
      </c>
      <c r="V896" s="56" t="str">
        <f aca="false">IF(U896&gt;0,RANK(U896,$U$2:$U$1780)+COUNTIF($U$2:U896,U896)-1,"")</f>
        <v/>
      </c>
      <c r="W896" s="56" t="str">
        <f aca="false">IF(V896="","",IF(V896&lt;=Settings!$B$11,"1 - Fix first",IF(V896&lt;=Settings!$B$12,"2 - Review","3 - Monitor")))</f>
        <v/>
      </c>
      <c r="X896" s="56" t="str">
        <f aca="false">IF(AND(E896&gt;=Settings!$B$4,F896&gt;=Settings!$B$5,O896&gt;=Settings!$B$6),"HIGH RATE","")</f>
        <v/>
      </c>
      <c r="Y896" s="56" t="str">
        <f aca="false">IF(F896&gt;0,RANK(F896,$F$2:$F$1780)+COUNTIF($F$2:F896,F896)-1,"")</f>
        <v/>
      </c>
      <c r="Z896" s="56" t="str">
        <f aca="false">IF(H896&gt;0,RANK(H896,$H$2:$H$1780)+COUNTIF($H$2:H896,H896)-1,"")</f>
        <v/>
      </c>
      <c r="AA896" s="56" t="str">
        <f aca="false">IF(AC896="","",RANK(AC896,$AC$2:$AC$1780)+COUNTIF($AC$2:AC896,AC896)-1)</f>
        <v/>
      </c>
      <c r="AB896" s="56" t="str">
        <f aca="false">IF(AD896="","",RANK(AD896,$AD$2:$AD$1780)+COUNTIF($AD$2:AD896,AD896)-1)</f>
        <v/>
      </c>
      <c r="AC896" s="56" t="str">
        <f aca="false">IF(AND(F896&gt;0,E896&gt;=Settings!$B$4),J896,"")</f>
        <v/>
      </c>
      <c r="AD896" s="56" t="str">
        <f aca="false">IF(X896="HIGH RATE",O896,"")</f>
        <v/>
      </c>
    </row>
    <row r="897" customFormat="false" ht="15" hidden="false" customHeight="false" outlineLevel="0" collapsed="false">
      <c r="A897" s="56" t="s">
        <v>2198</v>
      </c>
      <c r="B897" s="56" t="s">
        <v>2199</v>
      </c>
      <c r="C897" s="56" t="s">
        <v>51</v>
      </c>
      <c r="D897" s="56" t="str">
        <f aca="false">IFERROR(INDEX('Brand Map'!$B$4:$B$124,MATCH(C897,'Brand Map'!$A$4:$A$124,0)),"Other")</f>
        <v>AU</v>
      </c>
      <c r="E897" s="57" t="n">
        <v>12</v>
      </c>
      <c r="F897" s="57" t="n">
        <v>0</v>
      </c>
      <c r="G897" s="58" t="n">
        <v>1949.79</v>
      </c>
      <c r="H897" s="58" t="n">
        <v>0</v>
      </c>
      <c r="I897" s="58" t="n">
        <v>1928.12</v>
      </c>
      <c r="J897" s="32" t="n">
        <f aca="false">IF(E897&gt;0,F897/E897,0)</f>
        <v>0</v>
      </c>
      <c r="K897" s="32" t="n">
        <f aca="false">IF(G897&gt;0,H897/G897,0)</f>
        <v>-0</v>
      </c>
      <c r="L897" s="59" t="n">
        <f aca="false">H897/Settings!$B$16</f>
        <v>-0</v>
      </c>
      <c r="M897" s="59" t="n">
        <f aca="false">H897/Settings!$B$20</f>
        <v>-0</v>
      </c>
      <c r="N897" s="60" t="n">
        <f aca="false">E897*Settings!$B$3</f>
        <v>0.371833812957845</v>
      </c>
      <c r="O897" s="60" t="n">
        <f aca="false">IF(E897&gt;0,(F897-N897)/SQRT(E897*Settings!$B$3*(1-Settings!$B$3)),0)</f>
        <v>-0.61945455117026</v>
      </c>
      <c r="P897" s="60" t="n">
        <f aca="false">MAX(0,F897-N897)</f>
        <v>0</v>
      </c>
      <c r="Q897" s="32" t="n">
        <f aca="false">(F897+Settings!$B$7*Settings!$B$3)/(E897+Settings!$B$7)</f>
        <v>0.0221329650570146</v>
      </c>
      <c r="R897" s="61" t="n">
        <f aca="false">PERCENTRANK($H$2:$H$1780,H897,6)</f>
        <v>0</v>
      </c>
      <c r="S897" s="61" t="n">
        <f aca="false">PERCENTRANK($Q$2:$Q$1780,Q897,6)</f>
        <v>0.109674</v>
      </c>
      <c r="T897" s="61" t="n">
        <f aca="false">PERCENTRANK($F$2:$F$1780,F897,6)</f>
        <v>0</v>
      </c>
      <c r="U897" s="62" t="n">
        <f aca="false">IF(F897&gt;0,(Settings!$B$8*T897+Settings!$B$9*R897+Settings!$B$10*S897)/SUM(Settings!$B$8:$B$10),0)</f>
        <v>0</v>
      </c>
      <c r="V897" s="56" t="str">
        <f aca="false">IF(U897&gt;0,RANK(U897,$U$2:$U$1780)+COUNTIF($U$2:U897,U897)-1,"")</f>
        <v/>
      </c>
      <c r="W897" s="56" t="str">
        <f aca="false">IF(V897="","",IF(V897&lt;=Settings!$B$11,"1 - Fix first",IF(V897&lt;=Settings!$B$12,"2 - Review","3 - Monitor")))</f>
        <v/>
      </c>
      <c r="X897" s="56" t="str">
        <f aca="false">IF(AND(E897&gt;=Settings!$B$4,F897&gt;=Settings!$B$5,O897&gt;=Settings!$B$6),"HIGH RATE","")</f>
        <v/>
      </c>
      <c r="Y897" s="56" t="str">
        <f aca="false">IF(F897&gt;0,RANK(F897,$F$2:$F$1780)+COUNTIF($F$2:F897,F897)-1,"")</f>
        <v/>
      </c>
      <c r="Z897" s="56" t="str">
        <f aca="false">IF(H897&gt;0,RANK(H897,$H$2:$H$1780)+COUNTIF($H$2:H897,H897)-1,"")</f>
        <v/>
      </c>
      <c r="AA897" s="56" t="str">
        <f aca="false">IF(AC897="","",RANK(AC897,$AC$2:$AC$1780)+COUNTIF($AC$2:AC897,AC897)-1)</f>
        <v/>
      </c>
      <c r="AB897" s="56" t="str">
        <f aca="false">IF(AD897="","",RANK(AD897,$AD$2:$AD$1780)+COUNTIF($AD$2:AD897,AD897)-1)</f>
        <v/>
      </c>
      <c r="AC897" s="56" t="str">
        <f aca="false">IF(AND(F897&gt;0,E897&gt;=Settings!$B$4),J897,"")</f>
        <v/>
      </c>
      <c r="AD897" s="56" t="str">
        <f aca="false">IF(X897="HIGH RATE",O897,"")</f>
        <v/>
      </c>
    </row>
    <row r="898" customFormat="false" ht="15" hidden="false" customHeight="false" outlineLevel="0" collapsed="false">
      <c r="A898" s="56" t="s">
        <v>2200</v>
      </c>
      <c r="B898" s="56" t="s">
        <v>2201</v>
      </c>
      <c r="C898" s="56" t="s">
        <v>51</v>
      </c>
      <c r="D898" s="56" t="str">
        <f aca="false">IFERROR(INDEX('Brand Map'!$B$4:$B$124,MATCH(C898,'Brand Map'!$A$4:$A$124,0)),"Other")</f>
        <v>AU</v>
      </c>
      <c r="E898" s="57" t="n">
        <v>8</v>
      </c>
      <c r="F898" s="57" t="n">
        <v>0</v>
      </c>
      <c r="G898" s="58" t="n">
        <v>199.6</v>
      </c>
      <c r="H898" s="58" t="n">
        <v>0</v>
      </c>
      <c r="I898" s="58" t="n">
        <v>199.6</v>
      </c>
      <c r="J898" s="32" t="n">
        <f aca="false">IF(E898&gt;0,F898/E898,0)</f>
        <v>0</v>
      </c>
      <c r="K898" s="32" t="n">
        <f aca="false">IF(G898&gt;0,H898/G898,0)</f>
        <v>-0</v>
      </c>
      <c r="L898" s="59" t="n">
        <f aca="false">H898/Settings!$B$16</f>
        <v>-0</v>
      </c>
      <c r="M898" s="59" t="n">
        <f aca="false">H898/Settings!$B$20</f>
        <v>-0</v>
      </c>
      <c r="N898" s="60" t="n">
        <f aca="false">E898*Settings!$B$3</f>
        <v>0.247889208638563</v>
      </c>
      <c r="O898" s="60" t="n">
        <f aca="false">IF(E898&gt;0,(F898-N898)/SQRT(E898*Settings!$B$3*(1-Settings!$B$3)),0)</f>
        <v>-0.505782523070636</v>
      </c>
      <c r="P898" s="60" t="n">
        <f aca="false">MAX(0,F898-N898)</f>
        <v>0</v>
      </c>
      <c r="Q898" s="32" t="n">
        <f aca="false">(F898+Settings!$B$7*Settings!$B$3)/(E898+Settings!$B$7)</f>
        <v>0.0244627508524898</v>
      </c>
      <c r="R898" s="61" t="n">
        <f aca="false">PERCENTRANK($H$2:$H$1780,H898,6)</f>
        <v>0</v>
      </c>
      <c r="S898" s="61" t="n">
        <f aca="false">PERCENTRANK($Q$2:$Q$1780,Q898,6)</f>
        <v>0.154668</v>
      </c>
      <c r="T898" s="61" t="n">
        <f aca="false">PERCENTRANK($F$2:$F$1780,F898,6)</f>
        <v>0</v>
      </c>
      <c r="U898" s="62" t="n">
        <f aca="false">IF(F898&gt;0,(Settings!$B$8*T898+Settings!$B$9*R898+Settings!$B$10*S898)/SUM(Settings!$B$8:$B$10),0)</f>
        <v>0</v>
      </c>
      <c r="V898" s="56" t="str">
        <f aca="false">IF(U898&gt;0,RANK(U898,$U$2:$U$1780)+COUNTIF($U$2:U898,U898)-1,"")</f>
        <v/>
      </c>
      <c r="W898" s="56" t="str">
        <f aca="false">IF(V898="","",IF(V898&lt;=Settings!$B$11,"1 - Fix first",IF(V898&lt;=Settings!$B$12,"2 - Review","3 - Monitor")))</f>
        <v/>
      </c>
      <c r="X898" s="56" t="str">
        <f aca="false">IF(AND(E898&gt;=Settings!$B$4,F898&gt;=Settings!$B$5,O898&gt;=Settings!$B$6),"HIGH RATE","")</f>
        <v/>
      </c>
      <c r="Y898" s="56" t="str">
        <f aca="false">IF(F898&gt;0,RANK(F898,$F$2:$F$1780)+COUNTIF($F$2:F898,F898)-1,"")</f>
        <v/>
      </c>
      <c r="Z898" s="56" t="str">
        <f aca="false">IF(H898&gt;0,RANK(H898,$H$2:$H$1780)+COUNTIF($H$2:H898,H898)-1,"")</f>
        <v/>
      </c>
      <c r="AA898" s="56" t="str">
        <f aca="false">IF(AC898="","",RANK(AC898,$AC$2:$AC$1780)+COUNTIF($AC$2:AC898,AC898)-1)</f>
        <v/>
      </c>
      <c r="AB898" s="56" t="str">
        <f aca="false">IF(AD898="","",RANK(AD898,$AD$2:$AD$1780)+COUNTIF($AD$2:AD898,AD898)-1)</f>
        <v/>
      </c>
      <c r="AC898" s="56" t="str">
        <f aca="false">IF(AND(F898&gt;0,E898&gt;=Settings!$B$4),J898,"")</f>
        <v/>
      </c>
      <c r="AD898" s="56" t="str">
        <f aca="false">IF(X898="HIGH RATE",O898,"")</f>
        <v/>
      </c>
    </row>
    <row r="899" customFormat="false" ht="15" hidden="false" customHeight="false" outlineLevel="0" collapsed="false">
      <c r="A899" s="56" t="s">
        <v>2202</v>
      </c>
      <c r="B899" s="56" t="s">
        <v>2201</v>
      </c>
      <c r="C899" s="56" t="s">
        <v>51</v>
      </c>
      <c r="D899" s="56" t="str">
        <f aca="false">IFERROR(INDEX('Brand Map'!$B$4:$B$124,MATCH(C899,'Brand Map'!$A$4:$A$124,0)),"Other")</f>
        <v>AU</v>
      </c>
      <c r="E899" s="57" t="n">
        <v>2</v>
      </c>
      <c r="F899" s="57" t="n">
        <v>0</v>
      </c>
      <c r="G899" s="58" t="n">
        <v>49.9</v>
      </c>
      <c r="H899" s="58" t="n">
        <v>0</v>
      </c>
      <c r="I899" s="58" t="n">
        <v>49.9</v>
      </c>
      <c r="J899" s="32" t="n">
        <f aca="false">IF(E899&gt;0,F899/E899,0)</f>
        <v>0</v>
      </c>
      <c r="K899" s="32" t="n">
        <f aca="false">IF(G899&gt;0,H899/G899,0)</f>
        <v>-0</v>
      </c>
      <c r="L899" s="59" t="n">
        <f aca="false">H899/Settings!$B$16</f>
        <v>-0</v>
      </c>
      <c r="M899" s="59" t="n">
        <f aca="false">H899/Settings!$B$20</f>
        <v>-0</v>
      </c>
      <c r="N899" s="60" t="n">
        <f aca="false">E899*Settings!$B$3</f>
        <v>0.0619723021596408</v>
      </c>
      <c r="O899" s="60" t="n">
        <f aca="false">IF(E899&gt;0,(F899-N899)/SQRT(E899*Settings!$B$3*(1-Settings!$B$3)),0)</f>
        <v>-0.252891261535318</v>
      </c>
      <c r="P899" s="60" t="n">
        <f aca="false">MAX(0,F899-N899)</f>
        <v>0</v>
      </c>
      <c r="Q899" s="32" t="n">
        <f aca="false">(F899+Settings!$B$7*Settings!$B$3)/(E899+Settings!$B$7)</f>
        <v>0.0290495166373316</v>
      </c>
      <c r="R899" s="61" t="n">
        <f aca="false">PERCENTRANK($H$2:$H$1780,H899,6)</f>
        <v>0</v>
      </c>
      <c r="S899" s="61" t="n">
        <f aca="false">PERCENTRANK($Q$2:$Q$1780,Q899,6)</f>
        <v>0.365579</v>
      </c>
      <c r="T899" s="61" t="n">
        <f aca="false">PERCENTRANK($F$2:$F$1780,F899,6)</f>
        <v>0</v>
      </c>
      <c r="U899" s="62" t="n">
        <f aca="false">IF(F899&gt;0,(Settings!$B$8*T899+Settings!$B$9*R899+Settings!$B$10*S899)/SUM(Settings!$B$8:$B$10),0)</f>
        <v>0</v>
      </c>
      <c r="V899" s="56" t="str">
        <f aca="false">IF(U899&gt;0,RANK(U899,$U$2:$U$1780)+COUNTIF($U$2:U899,U899)-1,"")</f>
        <v/>
      </c>
      <c r="W899" s="56" t="str">
        <f aca="false">IF(V899="","",IF(V899&lt;=Settings!$B$11,"1 - Fix first",IF(V899&lt;=Settings!$B$12,"2 - Review","3 - Monitor")))</f>
        <v/>
      </c>
      <c r="X899" s="56" t="str">
        <f aca="false">IF(AND(E899&gt;=Settings!$B$4,F899&gt;=Settings!$B$5,O899&gt;=Settings!$B$6),"HIGH RATE","")</f>
        <v/>
      </c>
      <c r="Y899" s="56" t="str">
        <f aca="false">IF(F899&gt;0,RANK(F899,$F$2:$F$1780)+COUNTIF($F$2:F899,F899)-1,"")</f>
        <v/>
      </c>
      <c r="Z899" s="56" t="str">
        <f aca="false">IF(H899&gt;0,RANK(H899,$H$2:$H$1780)+COUNTIF($H$2:H899,H899)-1,"")</f>
        <v/>
      </c>
      <c r="AA899" s="56" t="str">
        <f aca="false">IF(AC899="","",RANK(AC899,$AC$2:$AC$1780)+COUNTIF($AC$2:AC899,AC899)-1)</f>
        <v/>
      </c>
      <c r="AB899" s="56" t="str">
        <f aca="false">IF(AD899="","",RANK(AD899,$AD$2:$AD$1780)+COUNTIF($AD$2:AD899,AD899)-1)</f>
        <v/>
      </c>
      <c r="AC899" s="56" t="str">
        <f aca="false">IF(AND(F899&gt;0,E899&gt;=Settings!$B$4),J899,"")</f>
        <v/>
      </c>
      <c r="AD899" s="56" t="str">
        <f aca="false">IF(X899="HIGH RATE",O899,"")</f>
        <v/>
      </c>
    </row>
    <row r="900" customFormat="false" ht="15" hidden="false" customHeight="false" outlineLevel="0" collapsed="false">
      <c r="A900" s="56" t="s">
        <v>2203</v>
      </c>
      <c r="B900" s="56" t="s">
        <v>2201</v>
      </c>
      <c r="C900" s="56" t="s">
        <v>51</v>
      </c>
      <c r="D900" s="56" t="str">
        <f aca="false">IFERROR(INDEX('Brand Map'!$B$4:$B$124,MATCH(C900,'Brand Map'!$A$4:$A$124,0)),"Other")</f>
        <v>AU</v>
      </c>
      <c r="E900" s="57" t="n">
        <v>1</v>
      </c>
      <c r="F900" s="57" t="n">
        <v>0</v>
      </c>
      <c r="G900" s="58" t="n">
        <v>54.95</v>
      </c>
      <c r="H900" s="58" t="n">
        <v>0</v>
      </c>
      <c r="I900" s="58" t="n">
        <v>54.95</v>
      </c>
      <c r="J900" s="32" t="n">
        <f aca="false">IF(E900&gt;0,F900/E900,0)</f>
        <v>0</v>
      </c>
      <c r="K900" s="32" t="n">
        <f aca="false">IF(G900&gt;0,H900/G900,0)</f>
        <v>-0</v>
      </c>
      <c r="L900" s="59" t="n">
        <f aca="false">H900/Settings!$B$16</f>
        <v>-0</v>
      </c>
      <c r="M900" s="59" t="n">
        <f aca="false">H900/Settings!$B$20</f>
        <v>-0</v>
      </c>
      <c r="N900" s="60" t="n">
        <f aca="false">E900*Settings!$B$3</f>
        <v>0.0309861510798204</v>
      </c>
      <c r="O900" s="60" t="n">
        <f aca="false">IF(E900&gt;0,(F900-N900)/SQRT(E900*Settings!$B$3*(1-Settings!$B$3)),0)</f>
        <v>-0.178821125934444</v>
      </c>
      <c r="P900" s="60" t="n">
        <f aca="false">MAX(0,F900-N900)</f>
        <v>0</v>
      </c>
      <c r="Q900" s="32" t="n">
        <f aca="false">(F900+Settings!$B$7*Settings!$B$3)/(E900+Settings!$B$7)</f>
        <v>0.0299865978191811</v>
      </c>
      <c r="R900" s="61" t="n">
        <f aca="false">PERCENTRANK($H$2:$H$1780,H900,6)</f>
        <v>0</v>
      </c>
      <c r="S900" s="61" t="n">
        <f aca="false">PERCENTRANK($Q$2:$Q$1780,Q900,6)</f>
        <v>0.486502</v>
      </c>
      <c r="T900" s="61" t="n">
        <f aca="false">PERCENTRANK($F$2:$F$1780,F900,6)</f>
        <v>0</v>
      </c>
      <c r="U900" s="62" t="n">
        <f aca="false">IF(F900&gt;0,(Settings!$B$8*T900+Settings!$B$9*R900+Settings!$B$10*S900)/SUM(Settings!$B$8:$B$10),0)</f>
        <v>0</v>
      </c>
      <c r="V900" s="56" t="str">
        <f aca="false">IF(U900&gt;0,RANK(U900,$U$2:$U$1780)+COUNTIF($U$2:U900,U900)-1,"")</f>
        <v/>
      </c>
      <c r="W900" s="56" t="str">
        <f aca="false">IF(V900="","",IF(V900&lt;=Settings!$B$11,"1 - Fix first",IF(V900&lt;=Settings!$B$12,"2 - Review","3 - Monitor")))</f>
        <v/>
      </c>
      <c r="X900" s="56" t="str">
        <f aca="false">IF(AND(E900&gt;=Settings!$B$4,F900&gt;=Settings!$B$5,O900&gt;=Settings!$B$6),"HIGH RATE","")</f>
        <v/>
      </c>
      <c r="Y900" s="56" t="str">
        <f aca="false">IF(F900&gt;0,RANK(F900,$F$2:$F$1780)+COUNTIF($F$2:F900,F900)-1,"")</f>
        <v/>
      </c>
      <c r="Z900" s="56" t="str">
        <f aca="false">IF(H900&gt;0,RANK(H900,$H$2:$H$1780)+COUNTIF($H$2:H900,H900)-1,"")</f>
        <v/>
      </c>
      <c r="AA900" s="56" t="str">
        <f aca="false">IF(AC900="","",RANK(AC900,$AC$2:$AC$1780)+COUNTIF($AC$2:AC900,AC900)-1)</f>
        <v/>
      </c>
      <c r="AB900" s="56" t="str">
        <f aca="false">IF(AD900="","",RANK(AD900,$AD$2:$AD$1780)+COUNTIF($AD$2:AD900,AD900)-1)</f>
        <v/>
      </c>
      <c r="AC900" s="56" t="str">
        <f aca="false">IF(AND(F900&gt;0,E900&gt;=Settings!$B$4),J900,"")</f>
        <v/>
      </c>
      <c r="AD900" s="56" t="str">
        <f aca="false">IF(X900="HIGH RATE",O900,"")</f>
        <v/>
      </c>
    </row>
    <row r="901" customFormat="false" ht="15" hidden="false" customHeight="false" outlineLevel="0" collapsed="false">
      <c r="A901" s="56" t="s">
        <v>2204</v>
      </c>
      <c r="B901" s="56" t="s">
        <v>2201</v>
      </c>
      <c r="C901" s="56" t="s">
        <v>51</v>
      </c>
      <c r="D901" s="56" t="str">
        <f aca="false">IFERROR(INDEX('Brand Map'!$B$4:$B$124,MATCH(C901,'Brand Map'!$A$4:$A$124,0)),"Other")</f>
        <v>AU</v>
      </c>
      <c r="E901" s="57" t="n">
        <v>4</v>
      </c>
      <c r="F901" s="57" t="n">
        <v>0</v>
      </c>
      <c r="G901" s="58" t="n">
        <v>39.8</v>
      </c>
      <c r="H901" s="58" t="n">
        <v>0</v>
      </c>
      <c r="I901" s="58" t="n">
        <v>39.8</v>
      </c>
      <c r="J901" s="32" t="n">
        <f aca="false">IF(E901&gt;0,F901/E901,0)</f>
        <v>0</v>
      </c>
      <c r="K901" s="32" t="n">
        <f aca="false">IF(G901&gt;0,H901/G901,0)</f>
        <v>-0</v>
      </c>
      <c r="L901" s="59" t="n">
        <f aca="false">H901/Settings!$B$16</f>
        <v>-0</v>
      </c>
      <c r="M901" s="59" t="n">
        <f aca="false">H901/Settings!$B$20</f>
        <v>-0</v>
      </c>
      <c r="N901" s="60" t="n">
        <f aca="false">E901*Settings!$B$3</f>
        <v>0.123944604319282</v>
      </c>
      <c r="O901" s="60" t="n">
        <f aca="false">IF(E901&gt;0,(F901-N901)/SQRT(E901*Settings!$B$3*(1-Settings!$B$3)),0)</f>
        <v>-0.357642251868888</v>
      </c>
      <c r="P901" s="60" t="n">
        <f aca="false">MAX(0,F901-N901)</f>
        <v>0</v>
      </c>
      <c r="Q901" s="32" t="n">
        <f aca="false">(F901+Settings!$B$7*Settings!$B$3)/(E901+Settings!$B$7)</f>
        <v>0.027340721541018</v>
      </c>
      <c r="R901" s="61" t="n">
        <f aca="false">PERCENTRANK($H$2:$H$1780,H901,6)</f>
        <v>0</v>
      </c>
      <c r="S901" s="61" t="n">
        <f aca="false">PERCENTRANK($Q$2:$Q$1780,Q901,6)</f>
        <v>0.253656</v>
      </c>
      <c r="T901" s="61" t="n">
        <f aca="false">PERCENTRANK($F$2:$F$1780,F901,6)</f>
        <v>0</v>
      </c>
      <c r="U901" s="62" t="n">
        <f aca="false">IF(F901&gt;0,(Settings!$B$8*T901+Settings!$B$9*R901+Settings!$B$10*S901)/SUM(Settings!$B$8:$B$10),0)</f>
        <v>0</v>
      </c>
      <c r="V901" s="56" t="str">
        <f aca="false">IF(U901&gt;0,RANK(U901,$U$2:$U$1780)+COUNTIF($U$2:U901,U901)-1,"")</f>
        <v/>
      </c>
      <c r="W901" s="56" t="str">
        <f aca="false">IF(V901="","",IF(V901&lt;=Settings!$B$11,"1 - Fix first",IF(V901&lt;=Settings!$B$12,"2 - Review","3 - Monitor")))</f>
        <v/>
      </c>
      <c r="X901" s="56" t="str">
        <f aca="false">IF(AND(E901&gt;=Settings!$B$4,F901&gt;=Settings!$B$5,O901&gt;=Settings!$B$6),"HIGH RATE","")</f>
        <v/>
      </c>
      <c r="Y901" s="56" t="str">
        <f aca="false">IF(F901&gt;0,RANK(F901,$F$2:$F$1780)+COUNTIF($F$2:F901,F901)-1,"")</f>
        <v/>
      </c>
      <c r="Z901" s="56" t="str">
        <f aca="false">IF(H901&gt;0,RANK(H901,$H$2:$H$1780)+COUNTIF($H$2:H901,H901)-1,"")</f>
        <v/>
      </c>
      <c r="AA901" s="56" t="str">
        <f aca="false">IF(AC901="","",RANK(AC901,$AC$2:$AC$1780)+COUNTIF($AC$2:AC901,AC901)-1)</f>
        <v/>
      </c>
      <c r="AB901" s="56" t="str">
        <f aca="false">IF(AD901="","",RANK(AD901,$AD$2:$AD$1780)+COUNTIF($AD$2:AD901,AD901)-1)</f>
        <v/>
      </c>
      <c r="AC901" s="56" t="str">
        <f aca="false">IF(AND(F901&gt;0,E901&gt;=Settings!$B$4),J901,"")</f>
        <v/>
      </c>
      <c r="AD901" s="56" t="str">
        <f aca="false">IF(X901="HIGH RATE",O901,"")</f>
        <v/>
      </c>
    </row>
    <row r="902" customFormat="false" ht="15" hidden="false" customHeight="false" outlineLevel="0" collapsed="false">
      <c r="A902" s="56" t="s">
        <v>2205</v>
      </c>
      <c r="B902" s="56" t="s">
        <v>2206</v>
      </c>
      <c r="C902" s="56" t="s">
        <v>51</v>
      </c>
      <c r="D902" s="56" t="str">
        <f aca="false">IFERROR(INDEX('Brand Map'!$B$4:$B$124,MATCH(C902,'Brand Map'!$A$4:$A$124,0)),"Other")</f>
        <v>AU</v>
      </c>
      <c r="E902" s="57" t="n">
        <v>3</v>
      </c>
      <c r="F902" s="57" t="n">
        <v>0</v>
      </c>
      <c r="G902" s="58" t="n">
        <v>503.5</v>
      </c>
      <c r="H902" s="58" t="n">
        <v>0</v>
      </c>
      <c r="I902" s="58" t="n">
        <v>503.5</v>
      </c>
      <c r="J902" s="32" t="n">
        <f aca="false">IF(E902&gt;0,F902/E902,0)</f>
        <v>0</v>
      </c>
      <c r="K902" s="32" t="n">
        <f aca="false">IF(G902&gt;0,H902/G902,0)</f>
        <v>-0</v>
      </c>
      <c r="L902" s="59" t="n">
        <f aca="false">H902/Settings!$B$16</f>
        <v>-0</v>
      </c>
      <c r="M902" s="59" t="n">
        <f aca="false">H902/Settings!$B$20</f>
        <v>-0</v>
      </c>
      <c r="N902" s="60" t="n">
        <f aca="false">E902*Settings!$B$3</f>
        <v>0.0929584532394613</v>
      </c>
      <c r="O902" s="60" t="n">
        <f aca="false">IF(E902&gt;0,(F902-N902)/SQRT(E902*Settings!$B$3*(1-Settings!$B$3)),0)</f>
        <v>-0.30972727558513</v>
      </c>
      <c r="P902" s="60" t="n">
        <f aca="false">MAX(0,F902-N902)</f>
        <v>0</v>
      </c>
      <c r="Q902" s="32" t="n">
        <f aca="false">(F902+Settings!$B$7*Settings!$B$3)/(E902+Settings!$B$7)</f>
        <v>0.0281692282543822</v>
      </c>
      <c r="R902" s="61" t="n">
        <f aca="false">PERCENTRANK($H$2:$H$1780,H902,6)</f>
        <v>0</v>
      </c>
      <c r="S902" s="61" t="n">
        <f aca="false">PERCENTRANK($Q$2:$Q$1780,Q902,6)</f>
        <v>0.294151</v>
      </c>
      <c r="T902" s="61" t="n">
        <f aca="false">PERCENTRANK($F$2:$F$1780,F902,6)</f>
        <v>0</v>
      </c>
      <c r="U902" s="62" t="n">
        <f aca="false">IF(F902&gt;0,(Settings!$B$8*T902+Settings!$B$9*R902+Settings!$B$10*S902)/SUM(Settings!$B$8:$B$10),0)</f>
        <v>0</v>
      </c>
      <c r="V902" s="56" t="str">
        <f aca="false">IF(U902&gt;0,RANK(U902,$U$2:$U$1780)+COUNTIF($U$2:U902,U902)-1,"")</f>
        <v/>
      </c>
      <c r="W902" s="56" t="str">
        <f aca="false">IF(V902="","",IF(V902&lt;=Settings!$B$11,"1 - Fix first",IF(V902&lt;=Settings!$B$12,"2 - Review","3 - Monitor")))</f>
        <v/>
      </c>
      <c r="X902" s="56" t="str">
        <f aca="false">IF(AND(E902&gt;=Settings!$B$4,F902&gt;=Settings!$B$5,O902&gt;=Settings!$B$6),"HIGH RATE","")</f>
        <v/>
      </c>
      <c r="Y902" s="56" t="str">
        <f aca="false">IF(F902&gt;0,RANK(F902,$F$2:$F$1780)+COUNTIF($F$2:F902,F902)-1,"")</f>
        <v/>
      </c>
      <c r="Z902" s="56" t="str">
        <f aca="false">IF(H902&gt;0,RANK(H902,$H$2:$H$1780)+COUNTIF($H$2:H902,H902)-1,"")</f>
        <v/>
      </c>
      <c r="AA902" s="56" t="str">
        <f aca="false">IF(AC902="","",RANK(AC902,$AC$2:$AC$1780)+COUNTIF($AC$2:AC902,AC902)-1)</f>
        <v/>
      </c>
      <c r="AB902" s="56" t="str">
        <f aca="false">IF(AD902="","",RANK(AD902,$AD$2:$AD$1780)+COUNTIF($AD$2:AD902,AD902)-1)</f>
        <v/>
      </c>
      <c r="AC902" s="56" t="str">
        <f aca="false">IF(AND(F902&gt;0,E902&gt;=Settings!$B$4),J902,"")</f>
        <v/>
      </c>
      <c r="AD902" s="56" t="str">
        <f aca="false">IF(X902="HIGH RATE",O902,"")</f>
        <v/>
      </c>
    </row>
    <row r="903" customFormat="false" ht="15" hidden="false" customHeight="false" outlineLevel="0" collapsed="false">
      <c r="A903" s="56" t="s">
        <v>2207</v>
      </c>
      <c r="B903" s="56" t="s">
        <v>2208</v>
      </c>
      <c r="C903" s="56" t="s">
        <v>51</v>
      </c>
      <c r="D903" s="56" t="str">
        <f aca="false">IFERROR(INDEX('Brand Map'!$B$4:$B$124,MATCH(C903,'Brand Map'!$A$4:$A$124,0)),"Other")</f>
        <v>AU</v>
      </c>
      <c r="E903" s="57" t="n">
        <v>1</v>
      </c>
      <c r="F903" s="57" t="n">
        <v>0</v>
      </c>
      <c r="G903" s="58" t="n">
        <v>229.05</v>
      </c>
      <c r="H903" s="58" t="n">
        <v>0</v>
      </c>
      <c r="I903" s="58" t="n">
        <v>229.05</v>
      </c>
      <c r="J903" s="32" t="n">
        <f aca="false">IF(E903&gt;0,F903/E903,0)</f>
        <v>0</v>
      </c>
      <c r="K903" s="32" t="n">
        <f aca="false">IF(G903&gt;0,H903/G903,0)</f>
        <v>-0</v>
      </c>
      <c r="L903" s="59" t="n">
        <f aca="false">H903/Settings!$B$16</f>
        <v>-0</v>
      </c>
      <c r="M903" s="59" t="n">
        <f aca="false">H903/Settings!$B$20</f>
        <v>-0</v>
      </c>
      <c r="N903" s="60" t="n">
        <f aca="false">E903*Settings!$B$3</f>
        <v>0.0309861510798204</v>
      </c>
      <c r="O903" s="60" t="n">
        <f aca="false">IF(E903&gt;0,(F903-N903)/SQRT(E903*Settings!$B$3*(1-Settings!$B$3)),0)</f>
        <v>-0.178821125934444</v>
      </c>
      <c r="P903" s="60" t="n">
        <f aca="false">MAX(0,F903-N903)</f>
        <v>0</v>
      </c>
      <c r="Q903" s="32" t="n">
        <f aca="false">(F903+Settings!$B$7*Settings!$B$3)/(E903+Settings!$B$7)</f>
        <v>0.0299865978191811</v>
      </c>
      <c r="R903" s="61" t="n">
        <f aca="false">PERCENTRANK($H$2:$H$1780,H903,6)</f>
        <v>0</v>
      </c>
      <c r="S903" s="61" t="n">
        <f aca="false">PERCENTRANK($Q$2:$Q$1780,Q903,6)</f>
        <v>0.486502</v>
      </c>
      <c r="T903" s="61" t="n">
        <f aca="false">PERCENTRANK($F$2:$F$1780,F903,6)</f>
        <v>0</v>
      </c>
      <c r="U903" s="62" t="n">
        <f aca="false">IF(F903&gt;0,(Settings!$B$8*T903+Settings!$B$9*R903+Settings!$B$10*S903)/SUM(Settings!$B$8:$B$10),0)</f>
        <v>0</v>
      </c>
      <c r="V903" s="56" t="str">
        <f aca="false">IF(U903&gt;0,RANK(U903,$U$2:$U$1780)+COUNTIF($U$2:U903,U903)-1,"")</f>
        <v/>
      </c>
      <c r="W903" s="56" t="str">
        <f aca="false">IF(V903="","",IF(V903&lt;=Settings!$B$11,"1 - Fix first",IF(V903&lt;=Settings!$B$12,"2 - Review","3 - Monitor")))</f>
        <v/>
      </c>
      <c r="X903" s="56" t="str">
        <f aca="false">IF(AND(E903&gt;=Settings!$B$4,F903&gt;=Settings!$B$5,O903&gt;=Settings!$B$6),"HIGH RATE","")</f>
        <v/>
      </c>
      <c r="Y903" s="56" t="str">
        <f aca="false">IF(F903&gt;0,RANK(F903,$F$2:$F$1780)+COUNTIF($F$2:F903,F903)-1,"")</f>
        <v/>
      </c>
      <c r="Z903" s="56" t="str">
        <f aca="false">IF(H903&gt;0,RANK(H903,$H$2:$H$1780)+COUNTIF($H$2:H903,H903)-1,"")</f>
        <v/>
      </c>
      <c r="AA903" s="56" t="str">
        <f aca="false">IF(AC903="","",RANK(AC903,$AC$2:$AC$1780)+COUNTIF($AC$2:AC903,AC903)-1)</f>
        <v/>
      </c>
      <c r="AB903" s="56" t="str">
        <f aca="false">IF(AD903="","",RANK(AD903,$AD$2:$AD$1780)+COUNTIF($AD$2:AD903,AD903)-1)</f>
        <v/>
      </c>
      <c r="AC903" s="56" t="str">
        <f aca="false">IF(AND(F903&gt;0,E903&gt;=Settings!$B$4),J903,"")</f>
        <v/>
      </c>
      <c r="AD903" s="56" t="str">
        <f aca="false">IF(X903="HIGH RATE",O903,"")</f>
        <v/>
      </c>
    </row>
    <row r="904" customFormat="false" ht="15" hidden="false" customHeight="false" outlineLevel="0" collapsed="false">
      <c r="A904" s="56" t="s">
        <v>2209</v>
      </c>
      <c r="B904" s="56" t="s">
        <v>2210</v>
      </c>
      <c r="C904" s="56" t="s">
        <v>51</v>
      </c>
      <c r="D904" s="56" t="str">
        <f aca="false">IFERROR(INDEX('Brand Map'!$B$4:$B$124,MATCH(C904,'Brand Map'!$A$4:$A$124,0)),"Other")</f>
        <v>AU</v>
      </c>
      <c r="E904" s="57" t="n">
        <v>1</v>
      </c>
      <c r="F904" s="57" t="n">
        <v>0</v>
      </c>
      <c r="G904" s="58" t="n">
        <v>19.95</v>
      </c>
      <c r="H904" s="58" t="n">
        <v>0</v>
      </c>
      <c r="I904" s="58" t="n">
        <v>19.95</v>
      </c>
      <c r="J904" s="32" t="n">
        <f aca="false">IF(E904&gt;0,F904/E904,0)</f>
        <v>0</v>
      </c>
      <c r="K904" s="32" t="n">
        <f aca="false">IF(G904&gt;0,H904/G904,0)</f>
        <v>-0</v>
      </c>
      <c r="L904" s="59" t="n">
        <f aca="false">H904/Settings!$B$16</f>
        <v>-0</v>
      </c>
      <c r="M904" s="59" t="n">
        <f aca="false">H904/Settings!$B$20</f>
        <v>-0</v>
      </c>
      <c r="N904" s="60" t="n">
        <f aca="false">E904*Settings!$B$3</f>
        <v>0.0309861510798204</v>
      </c>
      <c r="O904" s="60" t="n">
        <f aca="false">IF(E904&gt;0,(F904-N904)/SQRT(E904*Settings!$B$3*(1-Settings!$B$3)),0)</f>
        <v>-0.178821125934444</v>
      </c>
      <c r="P904" s="60" t="n">
        <f aca="false">MAX(0,F904-N904)</f>
        <v>0</v>
      </c>
      <c r="Q904" s="32" t="n">
        <f aca="false">(F904+Settings!$B$7*Settings!$B$3)/(E904+Settings!$B$7)</f>
        <v>0.0299865978191811</v>
      </c>
      <c r="R904" s="61" t="n">
        <f aca="false">PERCENTRANK($H$2:$H$1780,H904,6)</f>
        <v>0</v>
      </c>
      <c r="S904" s="61" t="n">
        <f aca="false">PERCENTRANK($Q$2:$Q$1780,Q904,6)</f>
        <v>0.486502</v>
      </c>
      <c r="T904" s="61" t="n">
        <f aca="false">PERCENTRANK($F$2:$F$1780,F904,6)</f>
        <v>0</v>
      </c>
      <c r="U904" s="62" t="n">
        <f aca="false">IF(F904&gt;0,(Settings!$B$8*T904+Settings!$B$9*R904+Settings!$B$10*S904)/SUM(Settings!$B$8:$B$10),0)</f>
        <v>0</v>
      </c>
      <c r="V904" s="56" t="str">
        <f aca="false">IF(U904&gt;0,RANK(U904,$U$2:$U$1780)+COUNTIF($U$2:U904,U904)-1,"")</f>
        <v/>
      </c>
      <c r="W904" s="56" t="str">
        <f aca="false">IF(V904="","",IF(V904&lt;=Settings!$B$11,"1 - Fix first",IF(V904&lt;=Settings!$B$12,"2 - Review","3 - Monitor")))</f>
        <v/>
      </c>
      <c r="X904" s="56" t="str">
        <f aca="false">IF(AND(E904&gt;=Settings!$B$4,F904&gt;=Settings!$B$5,O904&gt;=Settings!$B$6),"HIGH RATE","")</f>
        <v/>
      </c>
      <c r="Y904" s="56" t="str">
        <f aca="false">IF(F904&gt;0,RANK(F904,$F$2:$F$1780)+COUNTIF($F$2:F904,F904)-1,"")</f>
        <v/>
      </c>
      <c r="Z904" s="56" t="str">
        <f aca="false">IF(H904&gt;0,RANK(H904,$H$2:$H$1780)+COUNTIF($H$2:H904,H904)-1,"")</f>
        <v/>
      </c>
      <c r="AA904" s="56" t="str">
        <f aca="false">IF(AC904="","",RANK(AC904,$AC$2:$AC$1780)+COUNTIF($AC$2:AC904,AC904)-1)</f>
        <v/>
      </c>
      <c r="AB904" s="56" t="str">
        <f aca="false">IF(AD904="","",RANK(AD904,$AD$2:$AD$1780)+COUNTIF($AD$2:AD904,AD904)-1)</f>
        <v/>
      </c>
      <c r="AC904" s="56" t="str">
        <f aca="false">IF(AND(F904&gt;0,E904&gt;=Settings!$B$4),J904,"")</f>
        <v/>
      </c>
      <c r="AD904" s="56" t="str">
        <f aca="false">IF(X904="HIGH RATE",O904,"")</f>
        <v/>
      </c>
    </row>
    <row r="905" customFormat="false" ht="15" hidden="false" customHeight="false" outlineLevel="0" collapsed="false">
      <c r="A905" s="56" t="s">
        <v>2211</v>
      </c>
      <c r="B905" s="56" t="s">
        <v>2210</v>
      </c>
      <c r="C905" s="56" t="s">
        <v>51</v>
      </c>
      <c r="D905" s="56" t="str">
        <f aca="false">IFERROR(INDEX('Brand Map'!$B$4:$B$124,MATCH(C905,'Brand Map'!$A$4:$A$124,0)),"Other")</f>
        <v>AU</v>
      </c>
      <c r="E905" s="57" t="n">
        <v>2</v>
      </c>
      <c r="F905" s="57" t="n">
        <v>0</v>
      </c>
      <c r="G905" s="58" t="n">
        <v>39.9</v>
      </c>
      <c r="H905" s="58" t="n">
        <v>0</v>
      </c>
      <c r="I905" s="58" t="n">
        <v>39.9</v>
      </c>
      <c r="J905" s="32" t="n">
        <f aca="false">IF(E905&gt;0,F905/E905,0)</f>
        <v>0</v>
      </c>
      <c r="K905" s="32" t="n">
        <f aca="false">IF(G905&gt;0,H905/G905,0)</f>
        <v>-0</v>
      </c>
      <c r="L905" s="59" t="n">
        <f aca="false">H905/Settings!$B$16</f>
        <v>-0</v>
      </c>
      <c r="M905" s="59" t="n">
        <f aca="false">H905/Settings!$B$20</f>
        <v>-0</v>
      </c>
      <c r="N905" s="60" t="n">
        <f aca="false">E905*Settings!$B$3</f>
        <v>0.0619723021596408</v>
      </c>
      <c r="O905" s="60" t="n">
        <f aca="false">IF(E905&gt;0,(F905-N905)/SQRT(E905*Settings!$B$3*(1-Settings!$B$3)),0)</f>
        <v>-0.252891261535318</v>
      </c>
      <c r="P905" s="60" t="n">
        <f aca="false">MAX(0,F905-N905)</f>
        <v>0</v>
      </c>
      <c r="Q905" s="32" t="n">
        <f aca="false">(F905+Settings!$B$7*Settings!$B$3)/(E905+Settings!$B$7)</f>
        <v>0.0290495166373316</v>
      </c>
      <c r="R905" s="61" t="n">
        <f aca="false">PERCENTRANK($H$2:$H$1780,H905,6)</f>
        <v>0</v>
      </c>
      <c r="S905" s="61" t="n">
        <f aca="false">PERCENTRANK($Q$2:$Q$1780,Q905,6)</f>
        <v>0.365579</v>
      </c>
      <c r="T905" s="61" t="n">
        <f aca="false">PERCENTRANK($F$2:$F$1780,F905,6)</f>
        <v>0</v>
      </c>
      <c r="U905" s="62" t="n">
        <f aca="false">IF(F905&gt;0,(Settings!$B$8*T905+Settings!$B$9*R905+Settings!$B$10*S905)/SUM(Settings!$B$8:$B$10),0)</f>
        <v>0</v>
      </c>
      <c r="V905" s="56" t="str">
        <f aca="false">IF(U905&gt;0,RANK(U905,$U$2:$U$1780)+COUNTIF($U$2:U905,U905)-1,"")</f>
        <v/>
      </c>
      <c r="W905" s="56" t="str">
        <f aca="false">IF(V905="","",IF(V905&lt;=Settings!$B$11,"1 - Fix first",IF(V905&lt;=Settings!$B$12,"2 - Review","3 - Monitor")))</f>
        <v/>
      </c>
      <c r="X905" s="56" t="str">
        <f aca="false">IF(AND(E905&gt;=Settings!$B$4,F905&gt;=Settings!$B$5,O905&gt;=Settings!$B$6),"HIGH RATE","")</f>
        <v/>
      </c>
      <c r="Y905" s="56" t="str">
        <f aca="false">IF(F905&gt;0,RANK(F905,$F$2:$F$1780)+COUNTIF($F$2:F905,F905)-1,"")</f>
        <v/>
      </c>
      <c r="Z905" s="56" t="str">
        <f aca="false">IF(H905&gt;0,RANK(H905,$H$2:$H$1780)+COUNTIF($H$2:H905,H905)-1,"")</f>
        <v/>
      </c>
      <c r="AA905" s="56" t="str">
        <f aca="false">IF(AC905="","",RANK(AC905,$AC$2:$AC$1780)+COUNTIF($AC$2:AC905,AC905)-1)</f>
        <v/>
      </c>
      <c r="AB905" s="56" t="str">
        <f aca="false">IF(AD905="","",RANK(AD905,$AD$2:$AD$1780)+COUNTIF($AD$2:AD905,AD905)-1)</f>
        <v/>
      </c>
      <c r="AC905" s="56" t="str">
        <f aca="false">IF(AND(F905&gt;0,E905&gt;=Settings!$B$4),J905,"")</f>
        <v/>
      </c>
      <c r="AD905" s="56" t="str">
        <f aca="false">IF(X905="HIGH RATE",O905,"")</f>
        <v/>
      </c>
    </row>
    <row r="906" customFormat="false" ht="15" hidden="false" customHeight="false" outlineLevel="0" collapsed="false">
      <c r="A906" s="56" t="s">
        <v>2212</v>
      </c>
      <c r="B906" s="56" t="s">
        <v>2213</v>
      </c>
      <c r="C906" s="56" t="s">
        <v>51</v>
      </c>
      <c r="D906" s="56" t="str">
        <f aca="false">IFERROR(INDEX('Brand Map'!$B$4:$B$124,MATCH(C906,'Brand Map'!$A$4:$A$124,0)),"Other")</f>
        <v>AU</v>
      </c>
      <c r="E906" s="57" t="n">
        <v>1</v>
      </c>
      <c r="F906" s="57" t="n">
        <v>0</v>
      </c>
      <c r="G906" s="58" t="n">
        <v>89.95</v>
      </c>
      <c r="H906" s="58" t="n">
        <v>0</v>
      </c>
      <c r="I906" s="58" t="n">
        <v>89.95</v>
      </c>
      <c r="J906" s="32" t="n">
        <f aca="false">IF(E906&gt;0,F906/E906,0)</f>
        <v>0</v>
      </c>
      <c r="K906" s="32" t="n">
        <f aca="false">IF(G906&gt;0,H906/G906,0)</f>
        <v>-0</v>
      </c>
      <c r="L906" s="59" t="n">
        <f aca="false">H906/Settings!$B$16</f>
        <v>-0</v>
      </c>
      <c r="M906" s="59" t="n">
        <f aca="false">H906/Settings!$B$20</f>
        <v>-0</v>
      </c>
      <c r="N906" s="60" t="n">
        <f aca="false">E906*Settings!$B$3</f>
        <v>0.0309861510798204</v>
      </c>
      <c r="O906" s="60" t="n">
        <f aca="false">IF(E906&gt;0,(F906-N906)/SQRT(E906*Settings!$B$3*(1-Settings!$B$3)),0)</f>
        <v>-0.178821125934444</v>
      </c>
      <c r="P906" s="60" t="n">
        <f aca="false">MAX(0,F906-N906)</f>
        <v>0</v>
      </c>
      <c r="Q906" s="32" t="n">
        <f aca="false">(F906+Settings!$B$7*Settings!$B$3)/(E906+Settings!$B$7)</f>
        <v>0.0299865978191811</v>
      </c>
      <c r="R906" s="61" t="n">
        <f aca="false">PERCENTRANK($H$2:$H$1780,H906,6)</f>
        <v>0</v>
      </c>
      <c r="S906" s="61" t="n">
        <f aca="false">PERCENTRANK($Q$2:$Q$1780,Q906,6)</f>
        <v>0.486502</v>
      </c>
      <c r="T906" s="61" t="n">
        <f aca="false">PERCENTRANK($F$2:$F$1780,F906,6)</f>
        <v>0</v>
      </c>
      <c r="U906" s="62" t="n">
        <f aca="false">IF(F906&gt;0,(Settings!$B$8*T906+Settings!$B$9*R906+Settings!$B$10*S906)/SUM(Settings!$B$8:$B$10),0)</f>
        <v>0</v>
      </c>
      <c r="V906" s="56" t="str">
        <f aca="false">IF(U906&gt;0,RANK(U906,$U$2:$U$1780)+COUNTIF($U$2:U906,U906)-1,"")</f>
        <v/>
      </c>
      <c r="W906" s="56" t="str">
        <f aca="false">IF(V906="","",IF(V906&lt;=Settings!$B$11,"1 - Fix first",IF(V906&lt;=Settings!$B$12,"2 - Review","3 - Monitor")))</f>
        <v/>
      </c>
      <c r="X906" s="56" t="str">
        <f aca="false">IF(AND(E906&gt;=Settings!$B$4,F906&gt;=Settings!$B$5,O906&gt;=Settings!$B$6),"HIGH RATE","")</f>
        <v/>
      </c>
      <c r="Y906" s="56" t="str">
        <f aca="false">IF(F906&gt;0,RANK(F906,$F$2:$F$1780)+COUNTIF($F$2:F906,F906)-1,"")</f>
        <v/>
      </c>
      <c r="Z906" s="56" t="str">
        <f aca="false">IF(H906&gt;0,RANK(H906,$H$2:$H$1780)+COUNTIF($H$2:H906,H906)-1,"")</f>
        <v/>
      </c>
      <c r="AA906" s="56" t="str">
        <f aca="false">IF(AC906="","",RANK(AC906,$AC$2:$AC$1780)+COUNTIF($AC$2:AC906,AC906)-1)</f>
        <v/>
      </c>
      <c r="AB906" s="56" t="str">
        <f aca="false">IF(AD906="","",RANK(AD906,$AD$2:$AD$1780)+COUNTIF($AD$2:AD906,AD906)-1)</f>
        <v/>
      </c>
      <c r="AC906" s="56" t="str">
        <f aca="false">IF(AND(F906&gt;0,E906&gt;=Settings!$B$4),J906,"")</f>
        <v/>
      </c>
      <c r="AD906" s="56" t="str">
        <f aca="false">IF(X906="HIGH RATE",O906,"")</f>
        <v/>
      </c>
    </row>
    <row r="907" customFormat="false" ht="15" hidden="false" customHeight="false" outlineLevel="0" collapsed="false">
      <c r="A907" s="56" t="s">
        <v>2214</v>
      </c>
      <c r="B907" s="56" t="s">
        <v>2215</v>
      </c>
      <c r="C907" s="56" t="s">
        <v>51</v>
      </c>
      <c r="D907" s="56" t="str">
        <f aca="false">IFERROR(INDEX('Brand Map'!$B$4:$B$124,MATCH(C907,'Brand Map'!$A$4:$A$124,0)),"Other")</f>
        <v>AU</v>
      </c>
      <c r="E907" s="57" t="n">
        <v>31</v>
      </c>
      <c r="F907" s="57" t="n">
        <v>0</v>
      </c>
      <c r="G907" s="58" t="n">
        <v>4710.62</v>
      </c>
      <c r="H907" s="58" t="n">
        <v>0</v>
      </c>
      <c r="I907" s="58" t="n">
        <v>4649.28</v>
      </c>
      <c r="J907" s="32" t="n">
        <f aca="false">IF(E907&gt;0,F907/E907,0)</f>
        <v>0</v>
      </c>
      <c r="K907" s="32" t="n">
        <f aca="false">IF(G907&gt;0,H907/G907,0)</f>
        <v>-0</v>
      </c>
      <c r="L907" s="59" t="n">
        <f aca="false">H907/Settings!$B$16</f>
        <v>-0</v>
      </c>
      <c r="M907" s="59" t="n">
        <f aca="false">H907/Settings!$B$20</f>
        <v>-0</v>
      </c>
      <c r="N907" s="60" t="n">
        <f aca="false">E907*Settings!$B$3</f>
        <v>0.960570683474433</v>
      </c>
      <c r="O907" s="60" t="n">
        <f aca="false">IF(E907&gt;0,(F907-N907)/SQRT(E907*Settings!$B$3*(1-Settings!$B$3)),0)</f>
        <v>-0.995633892298937</v>
      </c>
      <c r="P907" s="60" t="n">
        <f aca="false">MAX(0,F907-N907)</f>
        <v>0</v>
      </c>
      <c r="Q907" s="32" t="n">
        <f aca="false">(F907+Settings!$B$7*Settings!$B$3)/(E907+Settings!$B$7)</f>
        <v>0.0152390906949937</v>
      </c>
      <c r="R907" s="61" t="n">
        <f aca="false">PERCENTRANK($H$2:$H$1780,H907,6)</f>
        <v>0</v>
      </c>
      <c r="S907" s="61" t="n">
        <f aca="false">PERCENTRANK($Q$2:$Q$1780,Q907,6)</f>
        <v>0.0410574</v>
      </c>
      <c r="T907" s="61" t="n">
        <f aca="false">PERCENTRANK($F$2:$F$1780,F907,6)</f>
        <v>0</v>
      </c>
      <c r="U907" s="62" t="n">
        <f aca="false">IF(F907&gt;0,(Settings!$B$8*T907+Settings!$B$9*R907+Settings!$B$10*S907)/SUM(Settings!$B$8:$B$10),0)</f>
        <v>0</v>
      </c>
      <c r="V907" s="56" t="str">
        <f aca="false">IF(U907&gt;0,RANK(U907,$U$2:$U$1780)+COUNTIF($U$2:U907,U907)-1,"")</f>
        <v/>
      </c>
      <c r="W907" s="56" t="str">
        <f aca="false">IF(V907="","",IF(V907&lt;=Settings!$B$11,"1 - Fix first",IF(V907&lt;=Settings!$B$12,"2 - Review","3 - Monitor")))</f>
        <v/>
      </c>
      <c r="X907" s="56" t="str">
        <f aca="false">IF(AND(E907&gt;=Settings!$B$4,F907&gt;=Settings!$B$5,O907&gt;=Settings!$B$6),"HIGH RATE","")</f>
        <v/>
      </c>
      <c r="Y907" s="56" t="str">
        <f aca="false">IF(F907&gt;0,RANK(F907,$F$2:$F$1780)+COUNTIF($F$2:F907,F907)-1,"")</f>
        <v/>
      </c>
      <c r="Z907" s="56" t="str">
        <f aca="false">IF(H907&gt;0,RANK(H907,$H$2:$H$1780)+COUNTIF($H$2:H907,H907)-1,"")</f>
        <v/>
      </c>
      <c r="AA907" s="56" t="str">
        <f aca="false">IF(AC907="","",RANK(AC907,$AC$2:$AC$1780)+COUNTIF($AC$2:AC907,AC907)-1)</f>
        <v/>
      </c>
      <c r="AB907" s="56" t="str">
        <f aca="false">IF(AD907="","",RANK(AD907,$AD$2:$AD$1780)+COUNTIF($AD$2:AD907,AD907)-1)</f>
        <v/>
      </c>
      <c r="AC907" s="56" t="str">
        <f aca="false">IF(AND(F907&gt;0,E907&gt;=Settings!$B$4),J907,"")</f>
        <v/>
      </c>
      <c r="AD907" s="56" t="str">
        <f aca="false">IF(X907="HIGH RATE",O907,"")</f>
        <v/>
      </c>
    </row>
    <row r="908" customFormat="false" ht="15" hidden="false" customHeight="false" outlineLevel="0" collapsed="false">
      <c r="A908" s="56" t="s">
        <v>2216</v>
      </c>
      <c r="B908" s="56" t="s">
        <v>2217</v>
      </c>
      <c r="C908" s="56" t="s">
        <v>51</v>
      </c>
      <c r="D908" s="56" t="str">
        <f aca="false">IFERROR(INDEX('Brand Map'!$B$4:$B$124,MATCH(C908,'Brand Map'!$A$4:$A$124,0)),"Other")</f>
        <v>AU</v>
      </c>
      <c r="E908" s="57" t="n">
        <v>4</v>
      </c>
      <c r="F908" s="57" t="n">
        <v>0</v>
      </c>
      <c r="G908" s="58" t="n">
        <v>399.8</v>
      </c>
      <c r="H908" s="58" t="n">
        <v>0</v>
      </c>
      <c r="I908" s="58" t="n">
        <v>399.8</v>
      </c>
      <c r="J908" s="32" t="n">
        <f aca="false">IF(E908&gt;0,F908/E908,0)</f>
        <v>0</v>
      </c>
      <c r="K908" s="32" t="n">
        <f aca="false">IF(G908&gt;0,H908/G908,0)</f>
        <v>-0</v>
      </c>
      <c r="L908" s="59" t="n">
        <f aca="false">H908/Settings!$B$16</f>
        <v>-0</v>
      </c>
      <c r="M908" s="59" t="n">
        <f aca="false">H908/Settings!$B$20</f>
        <v>-0</v>
      </c>
      <c r="N908" s="60" t="n">
        <f aca="false">E908*Settings!$B$3</f>
        <v>0.123944604319282</v>
      </c>
      <c r="O908" s="60" t="n">
        <f aca="false">IF(E908&gt;0,(F908-N908)/SQRT(E908*Settings!$B$3*(1-Settings!$B$3)),0)</f>
        <v>-0.357642251868888</v>
      </c>
      <c r="P908" s="60" t="n">
        <f aca="false">MAX(0,F908-N908)</f>
        <v>0</v>
      </c>
      <c r="Q908" s="32" t="n">
        <f aca="false">(F908+Settings!$B$7*Settings!$B$3)/(E908+Settings!$B$7)</f>
        <v>0.027340721541018</v>
      </c>
      <c r="R908" s="61" t="n">
        <f aca="false">PERCENTRANK($H$2:$H$1780,H908,6)</f>
        <v>0</v>
      </c>
      <c r="S908" s="61" t="n">
        <f aca="false">PERCENTRANK($Q$2:$Q$1780,Q908,6)</f>
        <v>0.253656</v>
      </c>
      <c r="T908" s="61" t="n">
        <f aca="false">PERCENTRANK($F$2:$F$1780,F908,6)</f>
        <v>0</v>
      </c>
      <c r="U908" s="62" t="n">
        <f aca="false">IF(F908&gt;0,(Settings!$B$8*T908+Settings!$B$9*R908+Settings!$B$10*S908)/SUM(Settings!$B$8:$B$10),0)</f>
        <v>0</v>
      </c>
      <c r="V908" s="56" t="str">
        <f aca="false">IF(U908&gt;0,RANK(U908,$U$2:$U$1780)+COUNTIF($U$2:U908,U908)-1,"")</f>
        <v/>
      </c>
      <c r="W908" s="56" t="str">
        <f aca="false">IF(V908="","",IF(V908&lt;=Settings!$B$11,"1 - Fix first",IF(V908&lt;=Settings!$B$12,"2 - Review","3 - Monitor")))</f>
        <v/>
      </c>
      <c r="X908" s="56" t="str">
        <f aca="false">IF(AND(E908&gt;=Settings!$B$4,F908&gt;=Settings!$B$5,O908&gt;=Settings!$B$6),"HIGH RATE","")</f>
        <v/>
      </c>
      <c r="Y908" s="56" t="str">
        <f aca="false">IF(F908&gt;0,RANK(F908,$F$2:$F$1780)+COUNTIF($F$2:F908,F908)-1,"")</f>
        <v/>
      </c>
      <c r="Z908" s="56" t="str">
        <f aca="false">IF(H908&gt;0,RANK(H908,$H$2:$H$1780)+COUNTIF($H$2:H908,H908)-1,"")</f>
        <v/>
      </c>
      <c r="AA908" s="56" t="str">
        <f aca="false">IF(AC908="","",RANK(AC908,$AC$2:$AC$1780)+COUNTIF($AC$2:AC908,AC908)-1)</f>
        <v/>
      </c>
      <c r="AB908" s="56" t="str">
        <f aca="false">IF(AD908="","",RANK(AD908,$AD$2:$AD$1780)+COUNTIF($AD$2:AD908,AD908)-1)</f>
        <v/>
      </c>
      <c r="AC908" s="56" t="str">
        <f aca="false">IF(AND(F908&gt;0,E908&gt;=Settings!$B$4),J908,"")</f>
        <v/>
      </c>
      <c r="AD908" s="56" t="str">
        <f aca="false">IF(X908="HIGH RATE",O908,"")</f>
        <v/>
      </c>
    </row>
    <row r="909" customFormat="false" ht="15" hidden="false" customHeight="false" outlineLevel="0" collapsed="false">
      <c r="A909" s="56" t="s">
        <v>2218</v>
      </c>
      <c r="B909" s="56" t="s">
        <v>2219</v>
      </c>
      <c r="C909" s="56" t="s">
        <v>51</v>
      </c>
      <c r="D909" s="56" t="str">
        <f aca="false">IFERROR(INDEX('Brand Map'!$B$4:$B$124,MATCH(C909,'Brand Map'!$A$4:$A$124,0)),"Other")</f>
        <v>AU</v>
      </c>
      <c r="E909" s="57" t="n">
        <v>3</v>
      </c>
      <c r="F909" s="57" t="n">
        <v>0</v>
      </c>
      <c r="G909" s="58" t="n">
        <v>389.85</v>
      </c>
      <c r="H909" s="58" t="n">
        <v>0</v>
      </c>
      <c r="I909" s="58" t="n">
        <v>389.85</v>
      </c>
      <c r="J909" s="32" t="n">
        <f aca="false">IF(E909&gt;0,F909/E909,0)</f>
        <v>0</v>
      </c>
      <c r="K909" s="32" t="n">
        <f aca="false">IF(G909&gt;0,H909/G909,0)</f>
        <v>-0</v>
      </c>
      <c r="L909" s="59" t="n">
        <f aca="false">H909/Settings!$B$16</f>
        <v>-0</v>
      </c>
      <c r="M909" s="59" t="n">
        <f aca="false">H909/Settings!$B$20</f>
        <v>-0</v>
      </c>
      <c r="N909" s="60" t="n">
        <f aca="false">E909*Settings!$B$3</f>
        <v>0.0929584532394613</v>
      </c>
      <c r="O909" s="60" t="n">
        <f aca="false">IF(E909&gt;0,(F909-N909)/SQRT(E909*Settings!$B$3*(1-Settings!$B$3)),0)</f>
        <v>-0.30972727558513</v>
      </c>
      <c r="P909" s="60" t="n">
        <f aca="false">MAX(0,F909-N909)</f>
        <v>0</v>
      </c>
      <c r="Q909" s="32" t="n">
        <f aca="false">(F909+Settings!$B$7*Settings!$B$3)/(E909+Settings!$B$7)</f>
        <v>0.0281692282543822</v>
      </c>
      <c r="R909" s="61" t="n">
        <f aca="false">PERCENTRANK($H$2:$H$1780,H909,6)</f>
        <v>0</v>
      </c>
      <c r="S909" s="61" t="n">
        <f aca="false">PERCENTRANK($Q$2:$Q$1780,Q909,6)</f>
        <v>0.294151</v>
      </c>
      <c r="T909" s="61" t="n">
        <f aca="false">PERCENTRANK($F$2:$F$1780,F909,6)</f>
        <v>0</v>
      </c>
      <c r="U909" s="62" t="n">
        <f aca="false">IF(F909&gt;0,(Settings!$B$8*T909+Settings!$B$9*R909+Settings!$B$10*S909)/SUM(Settings!$B$8:$B$10),0)</f>
        <v>0</v>
      </c>
      <c r="V909" s="56" t="str">
        <f aca="false">IF(U909&gt;0,RANK(U909,$U$2:$U$1780)+COUNTIF($U$2:U909,U909)-1,"")</f>
        <v/>
      </c>
      <c r="W909" s="56" t="str">
        <f aca="false">IF(V909="","",IF(V909&lt;=Settings!$B$11,"1 - Fix first",IF(V909&lt;=Settings!$B$12,"2 - Review","3 - Monitor")))</f>
        <v/>
      </c>
      <c r="X909" s="56" t="str">
        <f aca="false">IF(AND(E909&gt;=Settings!$B$4,F909&gt;=Settings!$B$5,O909&gt;=Settings!$B$6),"HIGH RATE","")</f>
        <v/>
      </c>
      <c r="Y909" s="56" t="str">
        <f aca="false">IF(F909&gt;0,RANK(F909,$F$2:$F$1780)+COUNTIF($F$2:F909,F909)-1,"")</f>
        <v/>
      </c>
      <c r="Z909" s="56" t="str">
        <f aca="false">IF(H909&gt;0,RANK(H909,$H$2:$H$1780)+COUNTIF($H$2:H909,H909)-1,"")</f>
        <v/>
      </c>
      <c r="AA909" s="56" t="str">
        <f aca="false">IF(AC909="","",RANK(AC909,$AC$2:$AC$1780)+COUNTIF($AC$2:AC909,AC909)-1)</f>
        <v/>
      </c>
      <c r="AB909" s="56" t="str">
        <f aca="false">IF(AD909="","",RANK(AD909,$AD$2:$AD$1780)+COUNTIF($AD$2:AD909,AD909)-1)</f>
        <v/>
      </c>
      <c r="AC909" s="56" t="str">
        <f aca="false">IF(AND(F909&gt;0,E909&gt;=Settings!$B$4),J909,"")</f>
        <v/>
      </c>
      <c r="AD909" s="56" t="str">
        <f aca="false">IF(X909="HIGH RATE",O909,"")</f>
        <v/>
      </c>
    </row>
    <row r="910" customFormat="false" ht="15" hidden="false" customHeight="false" outlineLevel="0" collapsed="false">
      <c r="A910" s="56" t="s">
        <v>2220</v>
      </c>
      <c r="B910" s="56" t="s">
        <v>2221</v>
      </c>
      <c r="C910" s="56" t="s">
        <v>51</v>
      </c>
      <c r="D910" s="56" t="str">
        <f aca="false">IFERROR(INDEX('Brand Map'!$B$4:$B$124,MATCH(C910,'Brand Map'!$A$4:$A$124,0)),"Other")</f>
        <v>AU</v>
      </c>
      <c r="E910" s="57" t="n">
        <v>1</v>
      </c>
      <c r="F910" s="57" t="n">
        <v>0</v>
      </c>
      <c r="G910" s="58" t="n">
        <v>102.95</v>
      </c>
      <c r="H910" s="58" t="n">
        <v>0</v>
      </c>
      <c r="I910" s="58" t="n">
        <v>102.95</v>
      </c>
      <c r="J910" s="32" t="n">
        <f aca="false">IF(E910&gt;0,F910/E910,0)</f>
        <v>0</v>
      </c>
      <c r="K910" s="32" t="n">
        <f aca="false">IF(G910&gt;0,H910/G910,0)</f>
        <v>-0</v>
      </c>
      <c r="L910" s="59" t="n">
        <f aca="false">H910/Settings!$B$16</f>
        <v>-0</v>
      </c>
      <c r="M910" s="59" t="n">
        <f aca="false">H910/Settings!$B$20</f>
        <v>-0</v>
      </c>
      <c r="N910" s="60" t="n">
        <f aca="false">E910*Settings!$B$3</f>
        <v>0.0309861510798204</v>
      </c>
      <c r="O910" s="60" t="n">
        <f aca="false">IF(E910&gt;0,(F910-N910)/SQRT(E910*Settings!$B$3*(1-Settings!$B$3)),0)</f>
        <v>-0.178821125934444</v>
      </c>
      <c r="P910" s="60" t="n">
        <f aca="false">MAX(0,F910-N910)</f>
        <v>0</v>
      </c>
      <c r="Q910" s="32" t="n">
        <f aca="false">(F910+Settings!$B$7*Settings!$B$3)/(E910+Settings!$B$7)</f>
        <v>0.0299865978191811</v>
      </c>
      <c r="R910" s="61" t="n">
        <f aca="false">PERCENTRANK($H$2:$H$1780,H910,6)</f>
        <v>0</v>
      </c>
      <c r="S910" s="61" t="n">
        <f aca="false">PERCENTRANK($Q$2:$Q$1780,Q910,6)</f>
        <v>0.486502</v>
      </c>
      <c r="T910" s="61" t="n">
        <f aca="false">PERCENTRANK($F$2:$F$1780,F910,6)</f>
        <v>0</v>
      </c>
      <c r="U910" s="62" t="n">
        <f aca="false">IF(F910&gt;0,(Settings!$B$8*T910+Settings!$B$9*R910+Settings!$B$10*S910)/SUM(Settings!$B$8:$B$10),0)</f>
        <v>0</v>
      </c>
      <c r="V910" s="56" t="str">
        <f aca="false">IF(U910&gt;0,RANK(U910,$U$2:$U$1780)+COUNTIF($U$2:U910,U910)-1,"")</f>
        <v/>
      </c>
      <c r="W910" s="56" t="str">
        <f aca="false">IF(V910="","",IF(V910&lt;=Settings!$B$11,"1 - Fix first",IF(V910&lt;=Settings!$B$12,"2 - Review","3 - Monitor")))</f>
        <v/>
      </c>
      <c r="X910" s="56" t="str">
        <f aca="false">IF(AND(E910&gt;=Settings!$B$4,F910&gt;=Settings!$B$5,O910&gt;=Settings!$B$6),"HIGH RATE","")</f>
        <v/>
      </c>
      <c r="Y910" s="56" t="str">
        <f aca="false">IF(F910&gt;0,RANK(F910,$F$2:$F$1780)+COUNTIF($F$2:F910,F910)-1,"")</f>
        <v/>
      </c>
      <c r="Z910" s="56" t="str">
        <f aca="false">IF(H910&gt;0,RANK(H910,$H$2:$H$1780)+COUNTIF($H$2:H910,H910)-1,"")</f>
        <v/>
      </c>
      <c r="AA910" s="56" t="str">
        <f aca="false">IF(AC910="","",RANK(AC910,$AC$2:$AC$1780)+COUNTIF($AC$2:AC910,AC910)-1)</f>
        <v/>
      </c>
      <c r="AB910" s="56" t="str">
        <f aca="false">IF(AD910="","",RANK(AD910,$AD$2:$AD$1780)+COUNTIF($AD$2:AD910,AD910)-1)</f>
        <v/>
      </c>
      <c r="AC910" s="56" t="str">
        <f aca="false">IF(AND(F910&gt;0,E910&gt;=Settings!$B$4),J910,"")</f>
        <v/>
      </c>
      <c r="AD910" s="56" t="str">
        <f aca="false">IF(X910="HIGH RATE",O910,"")</f>
        <v/>
      </c>
    </row>
    <row r="911" customFormat="false" ht="15" hidden="false" customHeight="false" outlineLevel="0" collapsed="false">
      <c r="A911" s="56" t="s">
        <v>2222</v>
      </c>
      <c r="B911" s="56" t="s">
        <v>2223</v>
      </c>
      <c r="C911" s="56" t="s">
        <v>51</v>
      </c>
      <c r="D911" s="56" t="str">
        <f aca="false">IFERROR(INDEX('Brand Map'!$B$4:$B$124,MATCH(C911,'Brand Map'!$A$4:$A$124,0)),"Other")</f>
        <v>AU</v>
      </c>
      <c r="E911" s="57" t="n">
        <v>1</v>
      </c>
      <c r="F911" s="57" t="n">
        <v>0</v>
      </c>
      <c r="G911" s="58" t="n">
        <v>143.99</v>
      </c>
      <c r="H911" s="58" t="n">
        <v>0</v>
      </c>
      <c r="I911" s="58" t="n">
        <v>143.99</v>
      </c>
      <c r="J911" s="32" t="n">
        <f aca="false">IF(E911&gt;0,F911/E911,0)</f>
        <v>0</v>
      </c>
      <c r="K911" s="32" t="n">
        <f aca="false">IF(G911&gt;0,H911/G911,0)</f>
        <v>-0</v>
      </c>
      <c r="L911" s="59" t="n">
        <f aca="false">H911/Settings!$B$16</f>
        <v>-0</v>
      </c>
      <c r="M911" s="59" t="n">
        <f aca="false">H911/Settings!$B$20</f>
        <v>-0</v>
      </c>
      <c r="N911" s="60" t="n">
        <f aca="false">E911*Settings!$B$3</f>
        <v>0.0309861510798204</v>
      </c>
      <c r="O911" s="60" t="n">
        <f aca="false">IF(E911&gt;0,(F911-N911)/SQRT(E911*Settings!$B$3*(1-Settings!$B$3)),0)</f>
        <v>-0.178821125934444</v>
      </c>
      <c r="P911" s="60" t="n">
        <f aca="false">MAX(0,F911-N911)</f>
        <v>0</v>
      </c>
      <c r="Q911" s="32" t="n">
        <f aca="false">(F911+Settings!$B$7*Settings!$B$3)/(E911+Settings!$B$7)</f>
        <v>0.0299865978191811</v>
      </c>
      <c r="R911" s="61" t="n">
        <f aca="false">PERCENTRANK($H$2:$H$1780,H911,6)</f>
        <v>0</v>
      </c>
      <c r="S911" s="61" t="n">
        <f aca="false">PERCENTRANK($Q$2:$Q$1780,Q911,6)</f>
        <v>0.486502</v>
      </c>
      <c r="T911" s="61" t="n">
        <f aca="false">PERCENTRANK($F$2:$F$1780,F911,6)</f>
        <v>0</v>
      </c>
      <c r="U911" s="62" t="n">
        <f aca="false">IF(F911&gt;0,(Settings!$B$8*T911+Settings!$B$9*R911+Settings!$B$10*S911)/SUM(Settings!$B$8:$B$10),0)</f>
        <v>0</v>
      </c>
      <c r="V911" s="56" t="str">
        <f aca="false">IF(U911&gt;0,RANK(U911,$U$2:$U$1780)+COUNTIF($U$2:U911,U911)-1,"")</f>
        <v/>
      </c>
      <c r="W911" s="56" t="str">
        <f aca="false">IF(V911="","",IF(V911&lt;=Settings!$B$11,"1 - Fix first",IF(V911&lt;=Settings!$B$12,"2 - Review","3 - Monitor")))</f>
        <v/>
      </c>
      <c r="X911" s="56" t="str">
        <f aca="false">IF(AND(E911&gt;=Settings!$B$4,F911&gt;=Settings!$B$5,O911&gt;=Settings!$B$6),"HIGH RATE","")</f>
        <v/>
      </c>
      <c r="Y911" s="56" t="str">
        <f aca="false">IF(F911&gt;0,RANK(F911,$F$2:$F$1780)+COUNTIF($F$2:F911,F911)-1,"")</f>
        <v/>
      </c>
      <c r="Z911" s="56" t="str">
        <f aca="false">IF(H911&gt;0,RANK(H911,$H$2:$H$1780)+COUNTIF($H$2:H911,H911)-1,"")</f>
        <v/>
      </c>
      <c r="AA911" s="56" t="str">
        <f aca="false">IF(AC911="","",RANK(AC911,$AC$2:$AC$1780)+COUNTIF($AC$2:AC911,AC911)-1)</f>
        <v/>
      </c>
      <c r="AB911" s="56" t="str">
        <f aca="false">IF(AD911="","",RANK(AD911,$AD$2:$AD$1780)+COUNTIF($AD$2:AD911,AD911)-1)</f>
        <v/>
      </c>
      <c r="AC911" s="56" t="str">
        <f aca="false">IF(AND(F911&gt;0,E911&gt;=Settings!$B$4),J911,"")</f>
        <v/>
      </c>
      <c r="AD911" s="56" t="str">
        <f aca="false">IF(X911="HIGH RATE",O911,"")</f>
        <v/>
      </c>
    </row>
    <row r="912" customFormat="false" ht="15" hidden="false" customHeight="false" outlineLevel="0" collapsed="false">
      <c r="A912" s="56" t="s">
        <v>2224</v>
      </c>
      <c r="B912" s="56" t="s">
        <v>2223</v>
      </c>
      <c r="C912" s="56" t="s">
        <v>51</v>
      </c>
      <c r="D912" s="56" t="str">
        <f aca="false">IFERROR(INDEX('Brand Map'!$B$4:$B$124,MATCH(C912,'Brand Map'!$A$4:$A$124,0)),"Other")</f>
        <v>AU</v>
      </c>
      <c r="E912" s="57" t="n">
        <v>1</v>
      </c>
      <c r="F912" s="57" t="n">
        <v>0</v>
      </c>
      <c r="G912" s="58" t="n">
        <v>143.99</v>
      </c>
      <c r="H912" s="58" t="n">
        <v>0</v>
      </c>
      <c r="I912" s="58" t="n">
        <v>143.99</v>
      </c>
      <c r="J912" s="32" t="n">
        <f aca="false">IF(E912&gt;0,F912/E912,0)</f>
        <v>0</v>
      </c>
      <c r="K912" s="32" t="n">
        <f aca="false">IF(G912&gt;0,H912/G912,0)</f>
        <v>-0</v>
      </c>
      <c r="L912" s="59" t="n">
        <f aca="false">H912/Settings!$B$16</f>
        <v>-0</v>
      </c>
      <c r="M912" s="59" t="n">
        <f aca="false">H912/Settings!$B$20</f>
        <v>-0</v>
      </c>
      <c r="N912" s="60" t="n">
        <f aca="false">E912*Settings!$B$3</f>
        <v>0.0309861510798204</v>
      </c>
      <c r="O912" s="60" t="n">
        <f aca="false">IF(E912&gt;0,(F912-N912)/SQRT(E912*Settings!$B$3*(1-Settings!$B$3)),0)</f>
        <v>-0.178821125934444</v>
      </c>
      <c r="P912" s="60" t="n">
        <f aca="false">MAX(0,F912-N912)</f>
        <v>0</v>
      </c>
      <c r="Q912" s="32" t="n">
        <f aca="false">(F912+Settings!$B$7*Settings!$B$3)/(E912+Settings!$B$7)</f>
        <v>0.0299865978191811</v>
      </c>
      <c r="R912" s="61" t="n">
        <f aca="false">PERCENTRANK($H$2:$H$1780,H912,6)</f>
        <v>0</v>
      </c>
      <c r="S912" s="61" t="n">
        <f aca="false">PERCENTRANK($Q$2:$Q$1780,Q912,6)</f>
        <v>0.486502</v>
      </c>
      <c r="T912" s="61" t="n">
        <f aca="false">PERCENTRANK($F$2:$F$1780,F912,6)</f>
        <v>0</v>
      </c>
      <c r="U912" s="62" t="n">
        <f aca="false">IF(F912&gt;0,(Settings!$B$8*T912+Settings!$B$9*R912+Settings!$B$10*S912)/SUM(Settings!$B$8:$B$10),0)</f>
        <v>0</v>
      </c>
      <c r="V912" s="56" t="str">
        <f aca="false">IF(U912&gt;0,RANK(U912,$U$2:$U$1780)+COUNTIF($U$2:U912,U912)-1,"")</f>
        <v/>
      </c>
      <c r="W912" s="56" t="str">
        <f aca="false">IF(V912="","",IF(V912&lt;=Settings!$B$11,"1 - Fix first",IF(V912&lt;=Settings!$B$12,"2 - Review","3 - Monitor")))</f>
        <v/>
      </c>
      <c r="X912" s="56" t="str">
        <f aca="false">IF(AND(E912&gt;=Settings!$B$4,F912&gt;=Settings!$B$5,O912&gt;=Settings!$B$6),"HIGH RATE","")</f>
        <v/>
      </c>
      <c r="Y912" s="56" t="str">
        <f aca="false">IF(F912&gt;0,RANK(F912,$F$2:$F$1780)+COUNTIF($F$2:F912,F912)-1,"")</f>
        <v/>
      </c>
      <c r="Z912" s="56" t="str">
        <f aca="false">IF(H912&gt;0,RANK(H912,$H$2:$H$1780)+COUNTIF($H$2:H912,H912)-1,"")</f>
        <v/>
      </c>
      <c r="AA912" s="56" t="str">
        <f aca="false">IF(AC912="","",RANK(AC912,$AC$2:$AC$1780)+COUNTIF($AC$2:AC912,AC912)-1)</f>
        <v/>
      </c>
      <c r="AB912" s="56" t="str">
        <f aca="false">IF(AD912="","",RANK(AD912,$AD$2:$AD$1780)+COUNTIF($AD$2:AD912,AD912)-1)</f>
        <v/>
      </c>
      <c r="AC912" s="56" t="str">
        <f aca="false">IF(AND(F912&gt;0,E912&gt;=Settings!$B$4),J912,"")</f>
        <v/>
      </c>
      <c r="AD912" s="56" t="str">
        <f aca="false">IF(X912="HIGH RATE",O912,"")</f>
        <v/>
      </c>
    </row>
    <row r="913" customFormat="false" ht="15" hidden="false" customHeight="false" outlineLevel="0" collapsed="false">
      <c r="A913" s="56" t="s">
        <v>2225</v>
      </c>
      <c r="B913" s="56" t="s">
        <v>2226</v>
      </c>
      <c r="C913" s="56" t="s">
        <v>51</v>
      </c>
      <c r="D913" s="56" t="str">
        <f aca="false">IFERROR(INDEX('Brand Map'!$B$4:$B$124,MATCH(C913,'Brand Map'!$A$4:$A$124,0)),"Other")</f>
        <v>AU</v>
      </c>
      <c r="E913" s="57" t="n">
        <v>1</v>
      </c>
      <c r="F913" s="57" t="n">
        <v>0</v>
      </c>
      <c r="G913" s="58" t="n">
        <v>84.95</v>
      </c>
      <c r="H913" s="58" t="n">
        <v>0</v>
      </c>
      <c r="I913" s="58" t="n">
        <v>84.95</v>
      </c>
      <c r="J913" s="32" t="n">
        <f aca="false">IF(E913&gt;0,F913/E913,0)</f>
        <v>0</v>
      </c>
      <c r="K913" s="32" t="n">
        <f aca="false">IF(G913&gt;0,H913/G913,0)</f>
        <v>-0</v>
      </c>
      <c r="L913" s="59" t="n">
        <f aca="false">H913/Settings!$B$16</f>
        <v>-0</v>
      </c>
      <c r="M913" s="59" t="n">
        <f aca="false">H913/Settings!$B$20</f>
        <v>-0</v>
      </c>
      <c r="N913" s="60" t="n">
        <f aca="false">E913*Settings!$B$3</f>
        <v>0.0309861510798204</v>
      </c>
      <c r="O913" s="60" t="n">
        <f aca="false">IF(E913&gt;0,(F913-N913)/SQRT(E913*Settings!$B$3*(1-Settings!$B$3)),0)</f>
        <v>-0.178821125934444</v>
      </c>
      <c r="P913" s="60" t="n">
        <f aca="false">MAX(0,F913-N913)</f>
        <v>0</v>
      </c>
      <c r="Q913" s="32" t="n">
        <f aca="false">(F913+Settings!$B$7*Settings!$B$3)/(E913+Settings!$B$7)</f>
        <v>0.0299865978191811</v>
      </c>
      <c r="R913" s="61" t="n">
        <f aca="false">PERCENTRANK($H$2:$H$1780,H913,6)</f>
        <v>0</v>
      </c>
      <c r="S913" s="61" t="n">
        <f aca="false">PERCENTRANK($Q$2:$Q$1780,Q913,6)</f>
        <v>0.486502</v>
      </c>
      <c r="T913" s="61" t="n">
        <f aca="false">PERCENTRANK($F$2:$F$1780,F913,6)</f>
        <v>0</v>
      </c>
      <c r="U913" s="62" t="n">
        <f aca="false">IF(F913&gt;0,(Settings!$B$8*T913+Settings!$B$9*R913+Settings!$B$10*S913)/SUM(Settings!$B$8:$B$10),0)</f>
        <v>0</v>
      </c>
      <c r="V913" s="56" t="str">
        <f aca="false">IF(U913&gt;0,RANK(U913,$U$2:$U$1780)+COUNTIF($U$2:U913,U913)-1,"")</f>
        <v/>
      </c>
      <c r="W913" s="56" t="str">
        <f aca="false">IF(V913="","",IF(V913&lt;=Settings!$B$11,"1 - Fix first",IF(V913&lt;=Settings!$B$12,"2 - Review","3 - Monitor")))</f>
        <v/>
      </c>
      <c r="X913" s="56" t="str">
        <f aca="false">IF(AND(E913&gt;=Settings!$B$4,F913&gt;=Settings!$B$5,O913&gt;=Settings!$B$6),"HIGH RATE","")</f>
        <v/>
      </c>
      <c r="Y913" s="56" t="str">
        <f aca="false">IF(F913&gt;0,RANK(F913,$F$2:$F$1780)+COUNTIF($F$2:F913,F913)-1,"")</f>
        <v/>
      </c>
      <c r="Z913" s="56" t="str">
        <f aca="false">IF(H913&gt;0,RANK(H913,$H$2:$H$1780)+COUNTIF($H$2:H913,H913)-1,"")</f>
        <v/>
      </c>
      <c r="AA913" s="56" t="str">
        <f aca="false">IF(AC913="","",RANK(AC913,$AC$2:$AC$1780)+COUNTIF($AC$2:AC913,AC913)-1)</f>
        <v/>
      </c>
      <c r="AB913" s="56" t="str">
        <f aca="false">IF(AD913="","",RANK(AD913,$AD$2:$AD$1780)+COUNTIF($AD$2:AD913,AD913)-1)</f>
        <v/>
      </c>
      <c r="AC913" s="56" t="str">
        <f aca="false">IF(AND(F913&gt;0,E913&gt;=Settings!$B$4),J913,"")</f>
        <v/>
      </c>
      <c r="AD913" s="56" t="str">
        <f aca="false">IF(X913="HIGH RATE",O913,"")</f>
        <v/>
      </c>
    </row>
    <row r="914" customFormat="false" ht="15" hidden="false" customHeight="false" outlineLevel="0" collapsed="false">
      <c r="A914" s="56" t="s">
        <v>2227</v>
      </c>
      <c r="B914" s="56" t="s">
        <v>886</v>
      </c>
      <c r="C914" s="56" t="s">
        <v>51</v>
      </c>
      <c r="D914" s="56" t="str">
        <f aca="false">IFERROR(INDEX('Brand Map'!$B$4:$B$124,MATCH(C914,'Brand Map'!$A$4:$A$124,0)),"Other")</f>
        <v>AU</v>
      </c>
      <c r="E914" s="57" t="n">
        <v>1</v>
      </c>
      <c r="F914" s="57" t="n">
        <v>0</v>
      </c>
      <c r="G914" s="58" t="n">
        <v>386.95</v>
      </c>
      <c r="H914" s="58" t="n">
        <v>0</v>
      </c>
      <c r="I914" s="58" t="n">
        <v>386.95</v>
      </c>
      <c r="J914" s="32" t="n">
        <f aca="false">IF(E914&gt;0,F914/E914,0)</f>
        <v>0</v>
      </c>
      <c r="K914" s="32" t="n">
        <f aca="false">IF(G914&gt;0,H914/G914,0)</f>
        <v>-0</v>
      </c>
      <c r="L914" s="59" t="n">
        <f aca="false">H914/Settings!$B$16</f>
        <v>-0</v>
      </c>
      <c r="M914" s="59" t="n">
        <f aca="false">H914/Settings!$B$20</f>
        <v>-0</v>
      </c>
      <c r="N914" s="60" t="n">
        <f aca="false">E914*Settings!$B$3</f>
        <v>0.0309861510798204</v>
      </c>
      <c r="O914" s="60" t="n">
        <f aca="false">IF(E914&gt;0,(F914-N914)/SQRT(E914*Settings!$B$3*(1-Settings!$B$3)),0)</f>
        <v>-0.178821125934444</v>
      </c>
      <c r="P914" s="60" t="n">
        <f aca="false">MAX(0,F914-N914)</f>
        <v>0</v>
      </c>
      <c r="Q914" s="32" t="n">
        <f aca="false">(F914+Settings!$B$7*Settings!$B$3)/(E914+Settings!$B$7)</f>
        <v>0.0299865978191811</v>
      </c>
      <c r="R914" s="61" t="n">
        <f aca="false">PERCENTRANK($H$2:$H$1780,H914,6)</f>
        <v>0</v>
      </c>
      <c r="S914" s="61" t="n">
        <f aca="false">PERCENTRANK($Q$2:$Q$1780,Q914,6)</f>
        <v>0.486502</v>
      </c>
      <c r="T914" s="61" t="n">
        <f aca="false">PERCENTRANK($F$2:$F$1780,F914,6)</f>
        <v>0</v>
      </c>
      <c r="U914" s="62" t="n">
        <f aca="false">IF(F914&gt;0,(Settings!$B$8*T914+Settings!$B$9*R914+Settings!$B$10*S914)/SUM(Settings!$B$8:$B$10),0)</f>
        <v>0</v>
      </c>
      <c r="V914" s="56" t="str">
        <f aca="false">IF(U914&gt;0,RANK(U914,$U$2:$U$1780)+COUNTIF($U$2:U914,U914)-1,"")</f>
        <v/>
      </c>
      <c r="W914" s="56" t="str">
        <f aca="false">IF(V914="","",IF(V914&lt;=Settings!$B$11,"1 - Fix first",IF(V914&lt;=Settings!$B$12,"2 - Review","3 - Monitor")))</f>
        <v/>
      </c>
      <c r="X914" s="56" t="str">
        <f aca="false">IF(AND(E914&gt;=Settings!$B$4,F914&gt;=Settings!$B$5,O914&gt;=Settings!$B$6),"HIGH RATE","")</f>
        <v/>
      </c>
      <c r="Y914" s="56" t="str">
        <f aca="false">IF(F914&gt;0,RANK(F914,$F$2:$F$1780)+COUNTIF($F$2:F914,F914)-1,"")</f>
        <v/>
      </c>
      <c r="Z914" s="56" t="str">
        <f aca="false">IF(H914&gt;0,RANK(H914,$H$2:$H$1780)+COUNTIF($H$2:H914,H914)-1,"")</f>
        <v/>
      </c>
      <c r="AA914" s="56" t="str">
        <f aca="false">IF(AC914="","",RANK(AC914,$AC$2:$AC$1780)+COUNTIF($AC$2:AC914,AC914)-1)</f>
        <v/>
      </c>
      <c r="AB914" s="56" t="str">
        <f aca="false">IF(AD914="","",RANK(AD914,$AD$2:$AD$1780)+COUNTIF($AD$2:AD914,AD914)-1)</f>
        <v/>
      </c>
      <c r="AC914" s="56" t="str">
        <f aca="false">IF(AND(F914&gt;0,E914&gt;=Settings!$B$4),J914,"")</f>
        <v/>
      </c>
      <c r="AD914" s="56" t="str">
        <f aca="false">IF(X914="HIGH RATE",O914,"")</f>
        <v/>
      </c>
    </row>
    <row r="915" customFormat="false" ht="15" hidden="false" customHeight="false" outlineLevel="0" collapsed="false">
      <c r="A915" s="56" t="s">
        <v>2228</v>
      </c>
      <c r="B915" s="56" t="s">
        <v>2229</v>
      </c>
      <c r="C915" s="56" t="s">
        <v>51</v>
      </c>
      <c r="D915" s="56" t="str">
        <f aca="false">IFERROR(INDEX('Brand Map'!$B$4:$B$124,MATCH(C915,'Brand Map'!$A$4:$A$124,0)),"Other")</f>
        <v>AU</v>
      </c>
      <c r="E915" s="57" t="n">
        <v>1</v>
      </c>
      <c r="F915" s="57" t="n">
        <v>0</v>
      </c>
      <c r="G915" s="58" t="n">
        <v>59.95</v>
      </c>
      <c r="H915" s="58" t="n">
        <v>0</v>
      </c>
      <c r="I915" s="58" t="n">
        <v>59.95</v>
      </c>
      <c r="J915" s="32" t="n">
        <f aca="false">IF(E915&gt;0,F915/E915,0)</f>
        <v>0</v>
      </c>
      <c r="K915" s="32" t="n">
        <f aca="false">IF(G915&gt;0,H915/G915,0)</f>
        <v>-0</v>
      </c>
      <c r="L915" s="59" t="n">
        <f aca="false">H915/Settings!$B$16</f>
        <v>-0</v>
      </c>
      <c r="M915" s="59" t="n">
        <f aca="false">H915/Settings!$B$20</f>
        <v>-0</v>
      </c>
      <c r="N915" s="60" t="n">
        <f aca="false">E915*Settings!$B$3</f>
        <v>0.0309861510798204</v>
      </c>
      <c r="O915" s="60" t="n">
        <f aca="false">IF(E915&gt;0,(F915-N915)/SQRT(E915*Settings!$B$3*(1-Settings!$B$3)),0)</f>
        <v>-0.178821125934444</v>
      </c>
      <c r="P915" s="60" t="n">
        <f aca="false">MAX(0,F915-N915)</f>
        <v>0</v>
      </c>
      <c r="Q915" s="32" t="n">
        <f aca="false">(F915+Settings!$B$7*Settings!$B$3)/(E915+Settings!$B$7)</f>
        <v>0.0299865978191811</v>
      </c>
      <c r="R915" s="61" t="n">
        <f aca="false">PERCENTRANK($H$2:$H$1780,H915,6)</f>
        <v>0</v>
      </c>
      <c r="S915" s="61" t="n">
        <f aca="false">PERCENTRANK($Q$2:$Q$1780,Q915,6)</f>
        <v>0.486502</v>
      </c>
      <c r="T915" s="61" t="n">
        <f aca="false">PERCENTRANK($F$2:$F$1780,F915,6)</f>
        <v>0</v>
      </c>
      <c r="U915" s="62" t="n">
        <f aca="false">IF(F915&gt;0,(Settings!$B$8*T915+Settings!$B$9*R915+Settings!$B$10*S915)/SUM(Settings!$B$8:$B$10),0)</f>
        <v>0</v>
      </c>
      <c r="V915" s="56" t="str">
        <f aca="false">IF(U915&gt;0,RANK(U915,$U$2:$U$1780)+COUNTIF($U$2:U915,U915)-1,"")</f>
        <v/>
      </c>
      <c r="W915" s="56" t="str">
        <f aca="false">IF(V915="","",IF(V915&lt;=Settings!$B$11,"1 - Fix first",IF(V915&lt;=Settings!$B$12,"2 - Review","3 - Monitor")))</f>
        <v/>
      </c>
      <c r="X915" s="56" t="str">
        <f aca="false">IF(AND(E915&gt;=Settings!$B$4,F915&gt;=Settings!$B$5,O915&gt;=Settings!$B$6),"HIGH RATE","")</f>
        <v/>
      </c>
      <c r="Y915" s="56" t="str">
        <f aca="false">IF(F915&gt;0,RANK(F915,$F$2:$F$1780)+COUNTIF($F$2:F915,F915)-1,"")</f>
        <v/>
      </c>
      <c r="Z915" s="56" t="str">
        <f aca="false">IF(H915&gt;0,RANK(H915,$H$2:$H$1780)+COUNTIF($H$2:H915,H915)-1,"")</f>
        <v/>
      </c>
      <c r="AA915" s="56" t="str">
        <f aca="false">IF(AC915="","",RANK(AC915,$AC$2:$AC$1780)+COUNTIF($AC$2:AC915,AC915)-1)</f>
        <v/>
      </c>
      <c r="AB915" s="56" t="str">
        <f aca="false">IF(AD915="","",RANK(AD915,$AD$2:$AD$1780)+COUNTIF($AD$2:AD915,AD915)-1)</f>
        <v/>
      </c>
      <c r="AC915" s="56" t="str">
        <f aca="false">IF(AND(F915&gt;0,E915&gt;=Settings!$B$4),J915,"")</f>
        <v/>
      </c>
      <c r="AD915" s="56" t="str">
        <f aca="false">IF(X915="HIGH RATE",O915,"")</f>
        <v/>
      </c>
    </row>
    <row r="916" customFormat="false" ht="15" hidden="false" customHeight="false" outlineLevel="0" collapsed="false">
      <c r="A916" s="56" t="s">
        <v>2230</v>
      </c>
      <c r="B916" s="56" t="s">
        <v>2231</v>
      </c>
      <c r="C916" s="56" t="s">
        <v>51</v>
      </c>
      <c r="D916" s="56" t="str">
        <f aca="false">IFERROR(INDEX('Brand Map'!$B$4:$B$124,MATCH(C916,'Brand Map'!$A$4:$A$124,0)),"Other")</f>
        <v>AU</v>
      </c>
      <c r="E916" s="57" t="n">
        <v>1</v>
      </c>
      <c r="F916" s="57" t="n">
        <v>0</v>
      </c>
      <c r="G916" s="58" t="n">
        <v>102.95</v>
      </c>
      <c r="H916" s="58" t="n">
        <v>0</v>
      </c>
      <c r="I916" s="58" t="n">
        <v>102.95</v>
      </c>
      <c r="J916" s="32" t="n">
        <f aca="false">IF(E916&gt;0,F916/E916,0)</f>
        <v>0</v>
      </c>
      <c r="K916" s="32" t="n">
        <f aca="false">IF(G916&gt;0,H916/G916,0)</f>
        <v>-0</v>
      </c>
      <c r="L916" s="59" t="n">
        <f aca="false">H916/Settings!$B$16</f>
        <v>-0</v>
      </c>
      <c r="M916" s="59" t="n">
        <f aca="false">H916/Settings!$B$20</f>
        <v>-0</v>
      </c>
      <c r="N916" s="60" t="n">
        <f aca="false">E916*Settings!$B$3</f>
        <v>0.0309861510798204</v>
      </c>
      <c r="O916" s="60" t="n">
        <f aca="false">IF(E916&gt;0,(F916-N916)/SQRT(E916*Settings!$B$3*(1-Settings!$B$3)),0)</f>
        <v>-0.178821125934444</v>
      </c>
      <c r="P916" s="60" t="n">
        <f aca="false">MAX(0,F916-N916)</f>
        <v>0</v>
      </c>
      <c r="Q916" s="32" t="n">
        <f aca="false">(F916+Settings!$B$7*Settings!$B$3)/(E916+Settings!$B$7)</f>
        <v>0.0299865978191811</v>
      </c>
      <c r="R916" s="61" t="n">
        <f aca="false">PERCENTRANK($H$2:$H$1780,H916,6)</f>
        <v>0</v>
      </c>
      <c r="S916" s="61" t="n">
        <f aca="false">PERCENTRANK($Q$2:$Q$1780,Q916,6)</f>
        <v>0.486502</v>
      </c>
      <c r="T916" s="61" t="n">
        <f aca="false">PERCENTRANK($F$2:$F$1780,F916,6)</f>
        <v>0</v>
      </c>
      <c r="U916" s="62" t="n">
        <f aca="false">IF(F916&gt;0,(Settings!$B$8*T916+Settings!$B$9*R916+Settings!$B$10*S916)/SUM(Settings!$B$8:$B$10),0)</f>
        <v>0</v>
      </c>
      <c r="V916" s="56" t="str">
        <f aca="false">IF(U916&gt;0,RANK(U916,$U$2:$U$1780)+COUNTIF($U$2:U916,U916)-1,"")</f>
        <v/>
      </c>
      <c r="W916" s="56" t="str">
        <f aca="false">IF(V916="","",IF(V916&lt;=Settings!$B$11,"1 - Fix first",IF(V916&lt;=Settings!$B$12,"2 - Review","3 - Monitor")))</f>
        <v/>
      </c>
      <c r="X916" s="56" t="str">
        <f aca="false">IF(AND(E916&gt;=Settings!$B$4,F916&gt;=Settings!$B$5,O916&gt;=Settings!$B$6),"HIGH RATE","")</f>
        <v/>
      </c>
      <c r="Y916" s="56" t="str">
        <f aca="false">IF(F916&gt;0,RANK(F916,$F$2:$F$1780)+COUNTIF($F$2:F916,F916)-1,"")</f>
        <v/>
      </c>
      <c r="Z916" s="56" t="str">
        <f aca="false">IF(H916&gt;0,RANK(H916,$H$2:$H$1780)+COUNTIF($H$2:H916,H916)-1,"")</f>
        <v/>
      </c>
      <c r="AA916" s="56" t="str">
        <f aca="false">IF(AC916="","",RANK(AC916,$AC$2:$AC$1780)+COUNTIF($AC$2:AC916,AC916)-1)</f>
        <v/>
      </c>
      <c r="AB916" s="56" t="str">
        <f aca="false">IF(AD916="","",RANK(AD916,$AD$2:$AD$1780)+COUNTIF($AD$2:AD916,AD916)-1)</f>
        <v/>
      </c>
      <c r="AC916" s="56" t="str">
        <f aca="false">IF(AND(F916&gt;0,E916&gt;=Settings!$B$4),J916,"")</f>
        <v/>
      </c>
      <c r="AD916" s="56" t="str">
        <f aca="false">IF(X916="HIGH RATE",O916,"")</f>
        <v/>
      </c>
    </row>
    <row r="917" customFormat="false" ht="15" hidden="false" customHeight="false" outlineLevel="0" collapsed="false">
      <c r="A917" s="56" t="s">
        <v>2232</v>
      </c>
      <c r="B917" s="56" t="s">
        <v>2233</v>
      </c>
      <c r="C917" s="56" t="s">
        <v>51</v>
      </c>
      <c r="D917" s="56" t="str">
        <f aca="false">IFERROR(INDEX('Brand Map'!$B$4:$B$124,MATCH(C917,'Brand Map'!$A$4:$A$124,0)),"Other")</f>
        <v>AU</v>
      </c>
      <c r="E917" s="57" t="n">
        <v>10</v>
      </c>
      <c r="F917" s="57" t="n">
        <v>0</v>
      </c>
      <c r="G917" s="58" t="n">
        <v>990.44</v>
      </c>
      <c r="H917" s="58" t="n">
        <v>0</v>
      </c>
      <c r="I917" s="58" t="n">
        <v>959.11</v>
      </c>
      <c r="J917" s="32" t="n">
        <f aca="false">IF(E917&gt;0,F917/E917,0)</f>
        <v>0</v>
      </c>
      <c r="K917" s="32" t="n">
        <f aca="false">IF(G917&gt;0,H917/G917,0)</f>
        <v>-0</v>
      </c>
      <c r="L917" s="59" t="n">
        <f aca="false">H917/Settings!$B$16</f>
        <v>-0</v>
      </c>
      <c r="M917" s="59" t="n">
        <f aca="false">H917/Settings!$B$20</f>
        <v>-0</v>
      </c>
      <c r="N917" s="60" t="n">
        <f aca="false">E917*Settings!$B$3</f>
        <v>0.309861510798204</v>
      </c>
      <c r="O917" s="60" t="n">
        <f aca="false">IF(E917&gt;0,(F917-N917)/SQRT(E917*Settings!$B$3*(1-Settings!$B$3)),0)</f>
        <v>-0.565482051708649</v>
      </c>
      <c r="P917" s="60" t="n">
        <f aca="false">MAX(0,F917-N917)</f>
        <v>0</v>
      </c>
      <c r="Q917" s="32" t="n">
        <f aca="false">(F917+Settings!$B$7*Settings!$B$3)/(E917+Settings!$B$7)</f>
        <v>0.0232396133098653</v>
      </c>
      <c r="R917" s="61" t="n">
        <f aca="false">PERCENTRANK($H$2:$H$1780,H917,6)</f>
        <v>0</v>
      </c>
      <c r="S917" s="61" t="n">
        <f aca="false">PERCENTRANK($Q$2:$Q$1780,Q917,6)</f>
        <v>0.131046</v>
      </c>
      <c r="T917" s="61" t="n">
        <f aca="false">PERCENTRANK($F$2:$F$1780,F917,6)</f>
        <v>0</v>
      </c>
      <c r="U917" s="62" t="n">
        <f aca="false">IF(F917&gt;0,(Settings!$B$8*T917+Settings!$B$9*R917+Settings!$B$10*S917)/SUM(Settings!$B$8:$B$10),0)</f>
        <v>0</v>
      </c>
      <c r="V917" s="56" t="str">
        <f aca="false">IF(U917&gt;0,RANK(U917,$U$2:$U$1780)+COUNTIF($U$2:U917,U917)-1,"")</f>
        <v/>
      </c>
      <c r="W917" s="56" t="str">
        <f aca="false">IF(V917="","",IF(V917&lt;=Settings!$B$11,"1 - Fix first",IF(V917&lt;=Settings!$B$12,"2 - Review","3 - Monitor")))</f>
        <v/>
      </c>
      <c r="X917" s="56" t="str">
        <f aca="false">IF(AND(E917&gt;=Settings!$B$4,F917&gt;=Settings!$B$5,O917&gt;=Settings!$B$6),"HIGH RATE","")</f>
        <v/>
      </c>
      <c r="Y917" s="56" t="str">
        <f aca="false">IF(F917&gt;0,RANK(F917,$F$2:$F$1780)+COUNTIF($F$2:F917,F917)-1,"")</f>
        <v/>
      </c>
      <c r="Z917" s="56" t="str">
        <f aca="false">IF(H917&gt;0,RANK(H917,$H$2:$H$1780)+COUNTIF($H$2:H917,H917)-1,"")</f>
        <v/>
      </c>
      <c r="AA917" s="56" t="str">
        <f aca="false">IF(AC917="","",RANK(AC917,$AC$2:$AC$1780)+COUNTIF($AC$2:AC917,AC917)-1)</f>
        <v/>
      </c>
      <c r="AB917" s="56" t="str">
        <f aca="false">IF(AD917="","",RANK(AD917,$AD$2:$AD$1780)+COUNTIF($AD$2:AD917,AD917)-1)</f>
        <v/>
      </c>
      <c r="AC917" s="56" t="str">
        <f aca="false">IF(AND(F917&gt;0,E917&gt;=Settings!$B$4),J917,"")</f>
        <v/>
      </c>
      <c r="AD917" s="56" t="str">
        <f aca="false">IF(X917="HIGH RATE",O917,"")</f>
        <v/>
      </c>
    </row>
    <row r="918" customFormat="false" ht="15" hidden="false" customHeight="false" outlineLevel="0" collapsed="false">
      <c r="A918" s="56" t="s">
        <v>2234</v>
      </c>
      <c r="B918" s="56" t="s">
        <v>2235</v>
      </c>
      <c r="C918" s="56" t="s">
        <v>51</v>
      </c>
      <c r="D918" s="56" t="str">
        <f aca="false">IFERROR(INDEX('Brand Map'!$B$4:$B$124,MATCH(C918,'Brand Map'!$A$4:$A$124,0)),"Other")</f>
        <v>AU</v>
      </c>
      <c r="E918" s="57" t="n">
        <v>7</v>
      </c>
      <c r="F918" s="57" t="n">
        <v>0</v>
      </c>
      <c r="G918" s="58" t="n">
        <v>854.22</v>
      </c>
      <c r="H918" s="58" t="n">
        <v>0</v>
      </c>
      <c r="I918" s="58" t="n">
        <v>792</v>
      </c>
      <c r="J918" s="32" t="n">
        <f aca="false">IF(E918&gt;0,F918/E918,0)</f>
        <v>0</v>
      </c>
      <c r="K918" s="32" t="n">
        <f aca="false">IF(G918&gt;0,H918/G918,0)</f>
        <v>-0</v>
      </c>
      <c r="L918" s="59" t="n">
        <f aca="false">H918/Settings!$B$16</f>
        <v>-0</v>
      </c>
      <c r="M918" s="59" t="n">
        <f aca="false">H918/Settings!$B$20</f>
        <v>-0</v>
      </c>
      <c r="N918" s="60" t="n">
        <f aca="false">E918*Settings!$B$3</f>
        <v>0.216903057558743</v>
      </c>
      <c r="O918" s="60" t="n">
        <f aca="false">IF(E918&gt;0,(F918-N918)/SQRT(E918*Settings!$B$3*(1-Settings!$B$3)),0)</f>
        <v>-0.473116228387102</v>
      </c>
      <c r="P918" s="60" t="n">
        <f aca="false">MAX(0,F918-N918)</f>
        <v>0</v>
      </c>
      <c r="Q918" s="32" t="n">
        <f aca="false">(F918+Settings!$B$7*Settings!$B$3)/(E918+Settings!$B$7)</f>
        <v>0.0251239062809355</v>
      </c>
      <c r="R918" s="61" t="n">
        <f aca="false">PERCENTRANK($H$2:$H$1780,H918,6)</f>
        <v>0</v>
      </c>
      <c r="S918" s="61" t="n">
        <f aca="false">PERCENTRANK($Q$2:$Q$1780,Q918,6)</f>
        <v>0.168166</v>
      </c>
      <c r="T918" s="61" t="n">
        <f aca="false">PERCENTRANK($F$2:$F$1780,F918,6)</f>
        <v>0</v>
      </c>
      <c r="U918" s="62" t="n">
        <f aca="false">IF(F918&gt;0,(Settings!$B$8*T918+Settings!$B$9*R918+Settings!$B$10*S918)/SUM(Settings!$B$8:$B$10),0)</f>
        <v>0</v>
      </c>
      <c r="V918" s="56" t="str">
        <f aca="false">IF(U918&gt;0,RANK(U918,$U$2:$U$1780)+COUNTIF($U$2:U918,U918)-1,"")</f>
        <v/>
      </c>
      <c r="W918" s="56" t="str">
        <f aca="false">IF(V918="","",IF(V918&lt;=Settings!$B$11,"1 - Fix first",IF(V918&lt;=Settings!$B$12,"2 - Review","3 - Monitor")))</f>
        <v/>
      </c>
      <c r="X918" s="56" t="str">
        <f aca="false">IF(AND(E918&gt;=Settings!$B$4,F918&gt;=Settings!$B$5,O918&gt;=Settings!$B$6),"HIGH RATE","")</f>
        <v/>
      </c>
      <c r="Y918" s="56" t="str">
        <f aca="false">IF(F918&gt;0,RANK(F918,$F$2:$F$1780)+COUNTIF($F$2:F918,F918)-1,"")</f>
        <v/>
      </c>
      <c r="Z918" s="56" t="str">
        <f aca="false">IF(H918&gt;0,RANK(H918,$H$2:$H$1780)+COUNTIF($H$2:H918,H918)-1,"")</f>
        <v/>
      </c>
      <c r="AA918" s="56" t="str">
        <f aca="false">IF(AC918="","",RANK(AC918,$AC$2:$AC$1780)+COUNTIF($AC$2:AC918,AC918)-1)</f>
        <v/>
      </c>
      <c r="AB918" s="56" t="str">
        <f aca="false">IF(AD918="","",RANK(AD918,$AD$2:$AD$1780)+COUNTIF($AD$2:AD918,AD918)-1)</f>
        <v/>
      </c>
      <c r="AC918" s="56" t="str">
        <f aca="false">IF(AND(F918&gt;0,E918&gt;=Settings!$B$4),J918,"")</f>
        <v/>
      </c>
      <c r="AD918" s="56" t="str">
        <f aca="false">IF(X918="HIGH RATE",O918,"")</f>
        <v/>
      </c>
    </row>
    <row r="919" customFormat="false" ht="15" hidden="false" customHeight="false" outlineLevel="0" collapsed="false">
      <c r="A919" s="56" t="s">
        <v>2236</v>
      </c>
      <c r="B919" s="56" t="s">
        <v>2237</v>
      </c>
      <c r="C919" s="56" t="s">
        <v>51</v>
      </c>
      <c r="D919" s="56" t="str">
        <f aca="false">IFERROR(INDEX('Brand Map'!$B$4:$B$124,MATCH(C919,'Brand Map'!$A$4:$A$124,0)),"Other")</f>
        <v>AU</v>
      </c>
      <c r="E919" s="57" t="n">
        <v>28</v>
      </c>
      <c r="F919" s="57" t="n">
        <v>0</v>
      </c>
      <c r="G919" s="58" t="n">
        <v>2749.09</v>
      </c>
      <c r="H919" s="58" t="n">
        <v>0</v>
      </c>
      <c r="I919" s="58" t="n">
        <v>2734.85</v>
      </c>
      <c r="J919" s="32" t="n">
        <f aca="false">IF(E919&gt;0,F919/E919,0)</f>
        <v>0</v>
      </c>
      <c r="K919" s="32" t="n">
        <f aca="false">IF(G919&gt;0,H919/G919,0)</f>
        <v>-0</v>
      </c>
      <c r="L919" s="59" t="n">
        <f aca="false">H919/Settings!$B$16</f>
        <v>-0</v>
      </c>
      <c r="M919" s="59" t="n">
        <f aca="false">H919/Settings!$B$20</f>
        <v>-0</v>
      </c>
      <c r="N919" s="60" t="n">
        <f aca="false">E919*Settings!$B$3</f>
        <v>0.867612230234972</v>
      </c>
      <c r="O919" s="60" t="n">
        <f aca="false">IF(E919&gt;0,(F919-N919)/SQRT(E919*Settings!$B$3*(1-Settings!$B$3)),0)</f>
        <v>-0.946232456774203</v>
      </c>
      <c r="P919" s="60" t="n">
        <f aca="false">MAX(0,F919-N919)</f>
        <v>0</v>
      </c>
      <c r="Q919" s="32" t="n">
        <f aca="false">(F919+Settings!$B$7*Settings!$B$3)/(E919+Settings!$B$7)</f>
        <v>0.016027319524045</v>
      </c>
      <c r="R919" s="61" t="n">
        <f aca="false">PERCENTRANK($H$2:$H$1780,H919,6)</f>
        <v>0</v>
      </c>
      <c r="S919" s="61" t="n">
        <f aca="false">PERCENTRANK($Q$2:$Q$1780,Q919,6)</f>
        <v>0.0449944</v>
      </c>
      <c r="T919" s="61" t="n">
        <f aca="false">PERCENTRANK($F$2:$F$1780,F919,6)</f>
        <v>0</v>
      </c>
      <c r="U919" s="62" t="n">
        <f aca="false">IF(F919&gt;0,(Settings!$B$8*T919+Settings!$B$9*R919+Settings!$B$10*S919)/SUM(Settings!$B$8:$B$10),0)</f>
        <v>0</v>
      </c>
      <c r="V919" s="56" t="str">
        <f aca="false">IF(U919&gt;0,RANK(U919,$U$2:$U$1780)+COUNTIF($U$2:U919,U919)-1,"")</f>
        <v/>
      </c>
      <c r="W919" s="56" t="str">
        <f aca="false">IF(V919="","",IF(V919&lt;=Settings!$B$11,"1 - Fix first",IF(V919&lt;=Settings!$B$12,"2 - Review","3 - Monitor")))</f>
        <v/>
      </c>
      <c r="X919" s="56" t="str">
        <f aca="false">IF(AND(E919&gt;=Settings!$B$4,F919&gt;=Settings!$B$5,O919&gt;=Settings!$B$6),"HIGH RATE","")</f>
        <v/>
      </c>
      <c r="Y919" s="56" t="str">
        <f aca="false">IF(F919&gt;0,RANK(F919,$F$2:$F$1780)+COUNTIF($F$2:F919,F919)-1,"")</f>
        <v/>
      </c>
      <c r="Z919" s="56" t="str">
        <f aca="false">IF(H919&gt;0,RANK(H919,$H$2:$H$1780)+COUNTIF($H$2:H919,H919)-1,"")</f>
        <v/>
      </c>
      <c r="AA919" s="56" t="str">
        <f aca="false">IF(AC919="","",RANK(AC919,$AC$2:$AC$1780)+COUNTIF($AC$2:AC919,AC919)-1)</f>
        <v/>
      </c>
      <c r="AB919" s="56" t="str">
        <f aca="false">IF(AD919="","",RANK(AD919,$AD$2:$AD$1780)+COUNTIF($AD$2:AD919,AD919)-1)</f>
        <v/>
      </c>
      <c r="AC919" s="56" t="str">
        <f aca="false">IF(AND(F919&gt;0,E919&gt;=Settings!$B$4),J919,"")</f>
        <v/>
      </c>
      <c r="AD919" s="56" t="str">
        <f aca="false">IF(X919="HIGH RATE",O919,"")</f>
        <v/>
      </c>
    </row>
    <row r="920" customFormat="false" ht="15" hidden="false" customHeight="false" outlineLevel="0" collapsed="false">
      <c r="A920" s="56" t="s">
        <v>2238</v>
      </c>
      <c r="B920" s="56" t="s">
        <v>2239</v>
      </c>
      <c r="C920" s="56" t="s">
        <v>51</v>
      </c>
      <c r="D920" s="56" t="str">
        <f aca="false">IFERROR(INDEX('Brand Map'!$B$4:$B$124,MATCH(C920,'Brand Map'!$A$4:$A$124,0)),"Other")</f>
        <v>AU</v>
      </c>
      <c r="E920" s="57" t="n">
        <v>2</v>
      </c>
      <c r="F920" s="57" t="n">
        <v>0</v>
      </c>
      <c r="G920" s="58" t="n">
        <v>399.9</v>
      </c>
      <c r="H920" s="58" t="n">
        <v>0</v>
      </c>
      <c r="I920" s="58" t="n">
        <v>399.9</v>
      </c>
      <c r="J920" s="32" t="n">
        <f aca="false">IF(E920&gt;0,F920/E920,0)</f>
        <v>0</v>
      </c>
      <c r="K920" s="32" t="n">
        <f aca="false">IF(G920&gt;0,H920/G920,0)</f>
        <v>-0</v>
      </c>
      <c r="L920" s="59" t="n">
        <f aca="false">H920/Settings!$B$16</f>
        <v>-0</v>
      </c>
      <c r="M920" s="59" t="n">
        <f aca="false">H920/Settings!$B$20</f>
        <v>-0</v>
      </c>
      <c r="N920" s="60" t="n">
        <f aca="false">E920*Settings!$B$3</f>
        <v>0.0619723021596408</v>
      </c>
      <c r="O920" s="60" t="n">
        <f aca="false">IF(E920&gt;0,(F920-N920)/SQRT(E920*Settings!$B$3*(1-Settings!$B$3)),0)</f>
        <v>-0.252891261535318</v>
      </c>
      <c r="P920" s="60" t="n">
        <f aca="false">MAX(0,F920-N920)</f>
        <v>0</v>
      </c>
      <c r="Q920" s="32" t="n">
        <f aca="false">(F920+Settings!$B$7*Settings!$B$3)/(E920+Settings!$B$7)</f>
        <v>0.0290495166373316</v>
      </c>
      <c r="R920" s="61" t="n">
        <f aca="false">PERCENTRANK($H$2:$H$1780,H920,6)</f>
        <v>0</v>
      </c>
      <c r="S920" s="61" t="n">
        <f aca="false">PERCENTRANK($Q$2:$Q$1780,Q920,6)</f>
        <v>0.365579</v>
      </c>
      <c r="T920" s="61" t="n">
        <f aca="false">PERCENTRANK($F$2:$F$1780,F920,6)</f>
        <v>0</v>
      </c>
      <c r="U920" s="62" t="n">
        <f aca="false">IF(F920&gt;0,(Settings!$B$8*T920+Settings!$B$9*R920+Settings!$B$10*S920)/SUM(Settings!$B$8:$B$10),0)</f>
        <v>0</v>
      </c>
      <c r="V920" s="56" t="str">
        <f aca="false">IF(U920&gt;0,RANK(U920,$U$2:$U$1780)+COUNTIF($U$2:U920,U920)-1,"")</f>
        <v/>
      </c>
      <c r="W920" s="56" t="str">
        <f aca="false">IF(V920="","",IF(V920&lt;=Settings!$B$11,"1 - Fix first",IF(V920&lt;=Settings!$B$12,"2 - Review","3 - Monitor")))</f>
        <v/>
      </c>
      <c r="X920" s="56" t="str">
        <f aca="false">IF(AND(E920&gt;=Settings!$B$4,F920&gt;=Settings!$B$5,O920&gt;=Settings!$B$6),"HIGH RATE","")</f>
        <v/>
      </c>
      <c r="Y920" s="56" t="str">
        <f aca="false">IF(F920&gt;0,RANK(F920,$F$2:$F$1780)+COUNTIF($F$2:F920,F920)-1,"")</f>
        <v/>
      </c>
      <c r="Z920" s="56" t="str">
        <f aca="false">IF(H920&gt;0,RANK(H920,$H$2:$H$1780)+COUNTIF($H$2:H920,H920)-1,"")</f>
        <v/>
      </c>
      <c r="AA920" s="56" t="str">
        <f aca="false">IF(AC920="","",RANK(AC920,$AC$2:$AC$1780)+COUNTIF($AC$2:AC920,AC920)-1)</f>
        <v/>
      </c>
      <c r="AB920" s="56" t="str">
        <f aca="false">IF(AD920="","",RANK(AD920,$AD$2:$AD$1780)+COUNTIF($AD$2:AD920,AD920)-1)</f>
        <v/>
      </c>
      <c r="AC920" s="56" t="str">
        <f aca="false">IF(AND(F920&gt;0,E920&gt;=Settings!$B$4),J920,"")</f>
        <v/>
      </c>
      <c r="AD920" s="56" t="str">
        <f aca="false">IF(X920="HIGH RATE",O920,"")</f>
        <v/>
      </c>
    </row>
    <row r="921" customFormat="false" ht="15" hidden="false" customHeight="false" outlineLevel="0" collapsed="false">
      <c r="A921" s="56" t="s">
        <v>2240</v>
      </c>
      <c r="B921" s="56" t="s">
        <v>2241</v>
      </c>
      <c r="C921" s="56" t="s">
        <v>51</v>
      </c>
      <c r="D921" s="56" t="str">
        <f aca="false">IFERROR(INDEX('Brand Map'!$B$4:$B$124,MATCH(C921,'Brand Map'!$A$4:$A$124,0)),"Other")</f>
        <v>AU</v>
      </c>
      <c r="E921" s="57" t="n">
        <v>18</v>
      </c>
      <c r="F921" s="57" t="n">
        <v>0</v>
      </c>
      <c r="G921" s="58" t="n">
        <v>1246.42</v>
      </c>
      <c r="H921" s="58" t="n">
        <v>0</v>
      </c>
      <c r="I921" s="58" t="n">
        <v>1149.54</v>
      </c>
      <c r="J921" s="32" t="n">
        <f aca="false">IF(E921&gt;0,F921/E921,0)</f>
        <v>0</v>
      </c>
      <c r="K921" s="32" t="n">
        <f aca="false">IF(G921&gt;0,H921/G921,0)</f>
        <v>-0</v>
      </c>
      <c r="L921" s="59" t="n">
        <f aca="false">H921/Settings!$B$16</f>
        <v>-0</v>
      </c>
      <c r="M921" s="59" t="n">
        <f aca="false">H921/Settings!$B$20</f>
        <v>-0</v>
      </c>
      <c r="N921" s="60" t="n">
        <f aca="false">E921*Settings!$B$3</f>
        <v>0.557750719436768</v>
      </c>
      <c r="O921" s="60" t="n">
        <f aca="false">IF(E921&gt;0,(F921-N921)/SQRT(E921*Settings!$B$3*(1-Settings!$B$3)),0)</f>
        <v>-0.758673784605954</v>
      </c>
      <c r="P921" s="60" t="n">
        <f aca="false">MAX(0,F921-N921)</f>
        <v>0</v>
      </c>
      <c r="Q921" s="32" t="n">
        <f aca="false">(F921+Settings!$B$7*Settings!$B$3)/(E921+Settings!$B$7)</f>
        <v>0.0193663444248878</v>
      </c>
      <c r="R921" s="61" t="n">
        <f aca="false">PERCENTRANK($H$2:$H$1780,H921,6)</f>
        <v>0</v>
      </c>
      <c r="S921" s="61" t="n">
        <f aca="false">PERCENTRANK($Q$2:$Q$1780,Q921,6)</f>
        <v>0.083802</v>
      </c>
      <c r="T921" s="61" t="n">
        <f aca="false">PERCENTRANK($F$2:$F$1780,F921,6)</f>
        <v>0</v>
      </c>
      <c r="U921" s="62" t="n">
        <f aca="false">IF(F921&gt;0,(Settings!$B$8*T921+Settings!$B$9*R921+Settings!$B$10*S921)/SUM(Settings!$B$8:$B$10),0)</f>
        <v>0</v>
      </c>
      <c r="V921" s="56" t="str">
        <f aca="false">IF(U921&gt;0,RANK(U921,$U$2:$U$1780)+COUNTIF($U$2:U921,U921)-1,"")</f>
        <v/>
      </c>
      <c r="W921" s="56" t="str">
        <f aca="false">IF(V921="","",IF(V921&lt;=Settings!$B$11,"1 - Fix first",IF(V921&lt;=Settings!$B$12,"2 - Review","3 - Monitor")))</f>
        <v/>
      </c>
      <c r="X921" s="56" t="str">
        <f aca="false">IF(AND(E921&gt;=Settings!$B$4,F921&gt;=Settings!$B$5,O921&gt;=Settings!$B$6),"HIGH RATE","")</f>
        <v/>
      </c>
      <c r="Y921" s="56" t="str">
        <f aca="false">IF(F921&gt;0,RANK(F921,$F$2:$F$1780)+COUNTIF($F$2:F921,F921)-1,"")</f>
        <v/>
      </c>
      <c r="Z921" s="56" t="str">
        <f aca="false">IF(H921&gt;0,RANK(H921,$H$2:$H$1780)+COUNTIF($H$2:H921,H921)-1,"")</f>
        <v/>
      </c>
      <c r="AA921" s="56" t="str">
        <f aca="false">IF(AC921="","",RANK(AC921,$AC$2:$AC$1780)+COUNTIF($AC$2:AC921,AC921)-1)</f>
        <v/>
      </c>
      <c r="AB921" s="56" t="str">
        <f aca="false">IF(AD921="","",RANK(AD921,$AD$2:$AD$1780)+COUNTIF($AD$2:AD921,AD921)-1)</f>
        <v/>
      </c>
      <c r="AC921" s="56" t="str">
        <f aca="false">IF(AND(F921&gt;0,E921&gt;=Settings!$B$4),J921,"")</f>
        <v/>
      </c>
      <c r="AD921" s="56" t="str">
        <f aca="false">IF(X921="HIGH RATE",O921,"")</f>
        <v/>
      </c>
    </row>
    <row r="922" customFormat="false" ht="15" hidden="false" customHeight="false" outlineLevel="0" collapsed="false">
      <c r="A922" s="56" t="s">
        <v>2242</v>
      </c>
      <c r="B922" s="56" t="s">
        <v>2243</v>
      </c>
      <c r="C922" s="56" t="s">
        <v>51</v>
      </c>
      <c r="D922" s="56" t="str">
        <f aca="false">IFERROR(INDEX('Brand Map'!$B$4:$B$124,MATCH(C922,'Brand Map'!$A$4:$A$124,0)),"Other")</f>
        <v>AU</v>
      </c>
      <c r="E922" s="57" t="n">
        <v>1</v>
      </c>
      <c r="F922" s="57" t="n">
        <v>0</v>
      </c>
      <c r="G922" s="58" t="n">
        <v>124.95</v>
      </c>
      <c r="H922" s="58" t="n">
        <v>0</v>
      </c>
      <c r="I922" s="58" t="n">
        <v>124.95</v>
      </c>
      <c r="J922" s="32" t="n">
        <f aca="false">IF(E922&gt;0,F922/E922,0)</f>
        <v>0</v>
      </c>
      <c r="K922" s="32" t="n">
        <f aca="false">IF(G922&gt;0,H922/G922,0)</f>
        <v>-0</v>
      </c>
      <c r="L922" s="59" t="n">
        <f aca="false">H922/Settings!$B$16</f>
        <v>-0</v>
      </c>
      <c r="M922" s="59" t="n">
        <f aca="false">H922/Settings!$B$20</f>
        <v>-0</v>
      </c>
      <c r="N922" s="60" t="n">
        <f aca="false">E922*Settings!$B$3</f>
        <v>0.0309861510798204</v>
      </c>
      <c r="O922" s="60" t="n">
        <f aca="false">IF(E922&gt;0,(F922-N922)/SQRT(E922*Settings!$B$3*(1-Settings!$B$3)),0)</f>
        <v>-0.178821125934444</v>
      </c>
      <c r="P922" s="60" t="n">
        <f aca="false">MAX(0,F922-N922)</f>
        <v>0</v>
      </c>
      <c r="Q922" s="32" t="n">
        <f aca="false">(F922+Settings!$B$7*Settings!$B$3)/(E922+Settings!$B$7)</f>
        <v>0.0299865978191811</v>
      </c>
      <c r="R922" s="61" t="n">
        <f aca="false">PERCENTRANK($H$2:$H$1780,H922,6)</f>
        <v>0</v>
      </c>
      <c r="S922" s="61" t="n">
        <f aca="false">PERCENTRANK($Q$2:$Q$1780,Q922,6)</f>
        <v>0.486502</v>
      </c>
      <c r="T922" s="61" t="n">
        <f aca="false">PERCENTRANK($F$2:$F$1780,F922,6)</f>
        <v>0</v>
      </c>
      <c r="U922" s="62" t="n">
        <f aca="false">IF(F922&gt;0,(Settings!$B$8*T922+Settings!$B$9*R922+Settings!$B$10*S922)/SUM(Settings!$B$8:$B$10),0)</f>
        <v>0</v>
      </c>
      <c r="V922" s="56" t="str">
        <f aca="false">IF(U922&gt;0,RANK(U922,$U$2:$U$1780)+COUNTIF($U$2:U922,U922)-1,"")</f>
        <v/>
      </c>
      <c r="W922" s="56" t="str">
        <f aca="false">IF(V922="","",IF(V922&lt;=Settings!$B$11,"1 - Fix first",IF(V922&lt;=Settings!$B$12,"2 - Review","3 - Monitor")))</f>
        <v/>
      </c>
      <c r="X922" s="56" t="str">
        <f aca="false">IF(AND(E922&gt;=Settings!$B$4,F922&gt;=Settings!$B$5,O922&gt;=Settings!$B$6),"HIGH RATE","")</f>
        <v/>
      </c>
      <c r="Y922" s="56" t="str">
        <f aca="false">IF(F922&gt;0,RANK(F922,$F$2:$F$1780)+COUNTIF($F$2:F922,F922)-1,"")</f>
        <v/>
      </c>
      <c r="Z922" s="56" t="str">
        <f aca="false">IF(H922&gt;0,RANK(H922,$H$2:$H$1780)+COUNTIF($H$2:H922,H922)-1,"")</f>
        <v/>
      </c>
      <c r="AA922" s="56" t="str">
        <f aca="false">IF(AC922="","",RANK(AC922,$AC$2:$AC$1780)+COUNTIF($AC$2:AC922,AC922)-1)</f>
        <v/>
      </c>
      <c r="AB922" s="56" t="str">
        <f aca="false">IF(AD922="","",RANK(AD922,$AD$2:$AD$1780)+COUNTIF($AD$2:AD922,AD922)-1)</f>
        <v/>
      </c>
      <c r="AC922" s="56" t="str">
        <f aca="false">IF(AND(F922&gt;0,E922&gt;=Settings!$B$4),J922,"")</f>
        <v/>
      </c>
      <c r="AD922" s="56" t="str">
        <f aca="false">IF(X922="HIGH RATE",O922,"")</f>
        <v/>
      </c>
    </row>
    <row r="923" customFormat="false" ht="15" hidden="false" customHeight="false" outlineLevel="0" collapsed="false">
      <c r="A923" s="56" t="s">
        <v>2244</v>
      </c>
      <c r="B923" s="56" t="s">
        <v>2243</v>
      </c>
      <c r="C923" s="56" t="s">
        <v>51</v>
      </c>
      <c r="D923" s="56" t="str">
        <f aca="false">IFERROR(INDEX('Brand Map'!$B$4:$B$124,MATCH(C923,'Brand Map'!$A$4:$A$124,0)),"Other")</f>
        <v>AU</v>
      </c>
      <c r="E923" s="57" t="n">
        <v>1</v>
      </c>
      <c r="F923" s="57" t="n">
        <v>0</v>
      </c>
      <c r="G923" s="58" t="n">
        <v>79.95</v>
      </c>
      <c r="H923" s="58" t="n">
        <v>0</v>
      </c>
      <c r="I923" s="58" t="n">
        <v>79.95</v>
      </c>
      <c r="J923" s="32" t="n">
        <f aca="false">IF(E923&gt;0,F923/E923,0)</f>
        <v>0</v>
      </c>
      <c r="K923" s="32" t="n">
        <f aca="false">IF(G923&gt;0,H923/G923,0)</f>
        <v>-0</v>
      </c>
      <c r="L923" s="59" t="n">
        <f aca="false">H923/Settings!$B$16</f>
        <v>-0</v>
      </c>
      <c r="M923" s="59" t="n">
        <f aca="false">H923/Settings!$B$20</f>
        <v>-0</v>
      </c>
      <c r="N923" s="60" t="n">
        <f aca="false">E923*Settings!$B$3</f>
        <v>0.0309861510798204</v>
      </c>
      <c r="O923" s="60" t="n">
        <f aca="false">IF(E923&gt;0,(F923-N923)/SQRT(E923*Settings!$B$3*(1-Settings!$B$3)),0)</f>
        <v>-0.178821125934444</v>
      </c>
      <c r="P923" s="60" t="n">
        <f aca="false">MAX(0,F923-N923)</f>
        <v>0</v>
      </c>
      <c r="Q923" s="32" t="n">
        <f aca="false">(F923+Settings!$B$7*Settings!$B$3)/(E923+Settings!$B$7)</f>
        <v>0.0299865978191811</v>
      </c>
      <c r="R923" s="61" t="n">
        <f aca="false">PERCENTRANK($H$2:$H$1780,H923,6)</f>
        <v>0</v>
      </c>
      <c r="S923" s="61" t="n">
        <f aca="false">PERCENTRANK($Q$2:$Q$1780,Q923,6)</f>
        <v>0.486502</v>
      </c>
      <c r="T923" s="61" t="n">
        <f aca="false">PERCENTRANK($F$2:$F$1780,F923,6)</f>
        <v>0</v>
      </c>
      <c r="U923" s="62" t="n">
        <f aca="false">IF(F923&gt;0,(Settings!$B$8*T923+Settings!$B$9*R923+Settings!$B$10*S923)/SUM(Settings!$B$8:$B$10),0)</f>
        <v>0</v>
      </c>
      <c r="V923" s="56" t="str">
        <f aca="false">IF(U923&gt;0,RANK(U923,$U$2:$U$1780)+COUNTIF($U$2:U923,U923)-1,"")</f>
        <v/>
      </c>
      <c r="W923" s="56" t="str">
        <f aca="false">IF(V923="","",IF(V923&lt;=Settings!$B$11,"1 - Fix first",IF(V923&lt;=Settings!$B$12,"2 - Review","3 - Monitor")))</f>
        <v/>
      </c>
      <c r="X923" s="56" t="str">
        <f aca="false">IF(AND(E923&gt;=Settings!$B$4,F923&gt;=Settings!$B$5,O923&gt;=Settings!$B$6),"HIGH RATE","")</f>
        <v/>
      </c>
      <c r="Y923" s="56" t="str">
        <f aca="false">IF(F923&gt;0,RANK(F923,$F$2:$F$1780)+COUNTIF($F$2:F923,F923)-1,"")</f>
        <v/>
      </c>
      <c r="Z923" s="56" t="str">
        <f aca="false">IF(H923&gt;0,RANK(H923,$H$2:$H$1780)+COUNTIF($H$2:H923,H923)-1,"")</f>
        <v/>
      </c>
      <c r="AA923" s="56" t="str">
        <f aca="false">IF(AC923="","",RANK(AC923,$AC$2:$AC$1780)+COUNTIF($AC$2:AC923,AC923)-1)</f>
        <v/>
      </c>
      <c r="AB923" s="56" t="str">
        <f aca="false">IF(AD923="","",RANK(AD923,$AD$2:$AD$1780)+COUNTIF($AD$2:AD923,AD923)-1)</f>
        <v/>
      </c>
      <c r="AC923" s="56" t="str">
        <f aca="false">IF(AND(F923&gt;0,E923&gt;=Settings!$B$4),J923,"")</f>
        <v/>
      </c>
      <c r="AD923" s="56" t="str">
        <f aca="false">IF(X923="HIGH RATE",O923,"")</f>
        <v/>
      </c>
    </row>
    <row r="924" customFormat="false" ht="15" hidden="false" customHeight="false" outlineLevel="0" collapsed="false">
      <c r="A924" s="56" t="s">
        <v>2245</v>
      </c>
      <c r="B924" s="56" t="s">
        <v>1010</v>
      </c>
      <c r="C924" s="56" t="s">
        <v>51</v>
      </c>
      <c r="D924" s="56" t="str">
        <f aca="false">IFERROR(INDEX('Brand Map'!$B$4:$B$124,MATCH(C924,'Brand Map'!$A$4:$A$124,0)),"Other")</f>
        <v>AU</v>
      </c>
      <c r="E924" s="57" t="n">
        <v>2</v>
      </c>
      <c r="F924" s="57" t="n">
        <v>0</v>
      </c>
      <c r="G924" s="58" t="n">
        <v>279.9</v>
      </c>
      <c r="H924" s="58" t="n">
        <v>0</v>
      </c>
      <c r="I924" s="58" t="n">
        <v>279.9</v>
      </c>
      <c r="J924" s="32" t="n">
        <f aca="false">IF(E924&gt;0,F924/E924,0)</f>
        <v>0</v>
      </c>
      <c r="K924" s="32" t="n">
        <f aca="false">IF(G924&gt;0,H924/G924,0)</f>
        <v>-0</v>
      </c>
      <c r="L924" s="59" t="n">
        <f aca="false">H924/Settings!$B$16</f>
        <v>-0</v>
      </c>
      <c r="M924" s="59" t="n">
        <f aca="false">H924/Settings!$B$20</f>
        <v>-0</v>
      </c>
      <c r="N924" s="60" t="n">
        <f aca="false">E924*Settings!$B$3</f>
        <v>0.0619723021596408</v>
      </c>
      <c r="O924" s="60" t="n">
        <f aca="false">IF(E924&gt;0,(F924-N924)/SQRT(E924*Settings!$B$3*(1-Settings!$B$3)),0)</f>
        <v>-0.252891261535318</v>
      </c>
      <c r="P924" s="60" t="n">
        <f aca="false">MAX(0,F924-N924)</f>
        <v>0</v>
      </c>
      <c r="Q924" s="32" t="n">
        <f aca="false">(F924+Settings!$B$7*Settings!$B$3)/(E924+Settings!$B$7)</f>
        <v>0.0290495166373316</v>
      </c>
      <c r="R924" s="61" t="n">
        <f aca="false">PERCENTRANK($H$2:$H$1780,H924,6)</f>
        <v>0</v>
      </c>
      <c r="S924" s="61" t="n">
        <f aca="false">PERCENTRANK($Q$2:$Q$1780,Q924,6)</f>
        <v>0.365579</v>
      </c>
      <c r="T924" s="61" t="n">
        <f aca="false">PERCENTRANK($F$2:$F$1780,F924,6)</f>
        <v>0</v>
      </c>
      <c r="U924" s="62" t="n">
        <f aca="false">IF(F924&gt;0,(Settings!$B$8*T924+Settings!$B$9*R924+Settings!$B$10*S924)/SUM(Settings!$B$8:$B$10),0)</f>
        <v>0</v>
      </c>
      <c r="V924" s="56" t="str">
        <f aca="false">IF(U924&gt;0,RANK(U924,$U$2:$U$1780)+COUNTIF($U$2:U924,U924)-1,"")</f>
        <v/>
      </c>
      <c r="W924" s="56" t="str">
        <f aca="false">IF(V924="","",IF(V924&lt;=Settings!$B$11,"1 - Fix first",IF(V924&lt;=Settings!$B$12,"2 - Review","3 - Monitor")))</f>
        <v/>
      </c>
      <c r="X924" s="56" t="str">
        <f aca="false">IF(AND(E924&gt;=Settings!$B$4,F924&gt;=Settings!$B$5,O924&gt;=Settings!$B$6),"HIGH RATE","")</f>
        <v/>
      </c>
      <c r="Y924" s="56" t="str">
        <f aca="false">IF(F924&gt;0,RANK(F924,$F$2:$F$1780)+COUNTIF($F$2:F924,F924)-1,"")</f>
        <v/>
      </c>
      <c r="Z924" s="56" t="str">
        <f aca="false">IF(H924&gt;0,RANK(H924,$H$2:$H$1780)+COUNTIF($H$2:H924,H924)-1,"")</f>
        <v/>
      </c>
      <c r="AA924" s="56" t="str">
        <f aca="false">IF(AC924="","",RANK(AC924,$AC$2:$AC$1780)+COUNTIF($AC$2:AC924,AC924)-1)</f>
        <v/>
      </c>
      <c r="AB924" s="56" t="str">
        <f aca="false">IF(AD924="","",RANK(AD924,$AD$2:$AD$1780)+COUNTIF($AD$2:AD924,AD924)-1)</f>
        <v/>
      </c>
      <c r="AC924" s="56" t="str">
        <f aca="false">IF(AND(F924&gt;0,E924&gt;=Settings!$B$4),J924,"")</f>
        <v/>
      </c>
      <c r="AD924" s="56" t="str">
        <f aca="false">IF(X924="HIGH RATE",O924,"")</f>
        <v/>
      </c>
    </row>
    <row r="925" customFormat="false" ht="15" hidden="false" customHeight="false" outlineLevel="0" collapsed="false">
      <c r="A925" s="56" t="s">
        <v>2246</v>
      </c>
      <c r="B925" s="56" t="s">
        <v>1010</v>
      </c>
      <c r="C925" s="56" t="s">
        <v>51</v>
      </c>
      <c r="D925" s="56" t="str">
        <f aca="false">IFERROR(INDEX('Brand Map'!$B$4:$B$124,MATCH(C925,'Brand Map'!$A$4:$A$124,0)),"Other")</f>
        <v>AU</v>
      </c>
      <c r="E925" s="57" t="n">
        <v>1</v>
      </c>
      <c r="F925" s="57" t="n">
        <v>0</v>
      </c>
      <c r="G925" s="58" t="n">
        <v>139.95</v>
      </c>
      <c r="H925" s="58" t="n">
        <v>0</v>
      </c>
      <c r="I925" s="58" t="n">
        <v>139.95</v>
      </c>
      <c r="J925" s="32" t="n">
        <f aca="false">IF(E925&gt;0,F925/E925,0)</f>
        <v>0</v>
      </c>
      <c r="K925" s="32" t="n">
        <f aca="false">IF(G925&gt;0,H925/G925,0)</f>
        <v>-0</v>
      </c>
      <c r="L925" s="59" t="n">
        <f aca="false">H925/Settings!$B$16</f>
        <v>-0</v>
      </c>
      <c r="M925" s="59" t="n">
        <f aca="false">H925/Settings!$B$20</f>
        <v>-0</v>
      </c>
      <c r="N925" s="60" t="n">
        <f aca="false">E925*Settings!$B$3</f>
        <v>0.0309861510798204</v>
      </c>
      <c r="O925" s="60" t="n">
        <f aca="false">IF(E925&gt;0,(F925-N925)/SQRT(E925*Settings!$B$3*(1-Settings!$B$3)),0)</f>
        <v>-0.178821125934444</v>
      </c>
      <c r="P925" s="60" t="n">
        <f aca="false">MAX(0,F925-N925)</f>
        <v>0</v>
      </c>
      <c r="Q925" s="32" t="n">
        <f aca="false">(F925+Settings!$B$7*Settings!$B$3)/(E925+Settings!$B$7)</f>
        <v>0.0299865978191811</v>
      </c>
      <c r="R925" s="61" t="n">
        <f aca="false">PERCENTRANK($H$2:$H$1780,H925,6)</f>
        <v>0</v>
      </c>
      <c r="S925" s="61" t="n">
        <f aca="false">PERCENTRANK($Q$2:$Q$1780,Q925,6)</f>
        <v>0.486502</v>
      </c>
      <c r="T925" s="61" t="n">
        <f aca="false">PERCENTRANK($F$2:$F$1780,F925,6)</f>
        <v>0</v>
      </c>
      <c r="U925" s="62" t="n">
        <f aca="false">IF(F925&gt;0,(Settings!$B$8*T925+Settings!$B$9*R925+Settings!$B$10*S925)/SUM(Settings!$B$8:$B$10),0)</f>
        <v>0</v>
      </c>
      <c r="V925" s="56" t="str">
        <f aca="false">IF(U925&gt;0,RANK(U925,$U$2:$U$1780)+COUNTIF($U$2:U925,U925)-1,"")</f>
        <v/>
      </c>
      <c r="W925" s="56" t="str">
        <f aca="false">IF(V925="","",IF(V925&lt;=Settings!$B$11,"1 - Fix first",IF(V925&lt;=Settings!$B$12,"2 - Review","3 - Monitor")))</f>
        <v/>
      </c>
      <c r="X925" s="56" t="str">
        <f aca="false">IF(AND(E925&gt;=Settings!$B$4,F925&gt;=Settings!$B$5,O925&gt;=Settings!$B$6),"HIGH RATE","")</f>
        <v/>
      </c>
      <c r="Y925" s="56" t="str">
        <f aca="false">IF(F925&gt;0,RANK(F925,$F$2:$F$1780)+COUNTIF($F$2:F925,F925)-1,"")</f>
        <v/>
      </c>
      <c r="Z925" s="56" t="str">
        <f aca="false">IF(H925&gt;0,RANK(H925,$H$2:$H$1780)+COUNTIF($H$2:H925,H925)-1,"")</f>
        <v/>
      </c>
      <c r="AA925" s="56" t="str">
        <f aca="false">IF(AC925="","",RANK(AC925,$AC$2:$AC$1780)+COUNTIF($AC$2:AC925,AC925)-1)</f>
        <v/>
      </c>
      <c r="AB925" s="56" t="str">
        <f aca="false">IF(AD925="","",RANK(AD925,$AD$2:$AD$1780)+COUNTIF($AD$2:AD925,AD925)-1)</f>
        <v/>
      </c>
      <c r="AC925" s="56" t="str">
        <f aca="false">IF(AND(F925&gt;0,E925&gt;=Settings!$B$4),J925,"")</f>
        <v/>
      </c>
      <c r="AD925" s="56" t="str">
        <f aca="false">IF(X925="HIGH RATE",O925,"")</f>
        <v/>
      </c>
    </row>
    <row r="926" customFormat="false" ht="15" hidden="false" customHeight="false" outlineLevel="0" collapsed="false">
      <c r="A926" s="56" t="s">
        <v>2247</v>
      </c>
      <c r="B926" s="56" t="s">
        <v>1010</v>
      </c>
      <c r="C926" s="56" t="s">
        <v>51</v>
      </c>
      <c r="D926" s="56" t="str">
        <f aca="false">IFERROR(INDEX('Brand Map'!$B$4:$B$124,MATCH(C926,'Brand Map'!$A$4:$A$124,0)),"Other")</f>
        <v>AU</v>
      </c>
      <c r="E926" s="57" t="n">
        <v>1</v>
      </c>
      <c r="F926" s="57" t="n">
        <v>0</v>
      </c>
      <c r="G926" s="58" t="n">
        <v>154.95</v>
      </c>
      <c r="H926" s="58" t="n">
        <v>0</v>
      </c>
      <c r="I926" s="58" t="n">
        <v>154.95</v>
      </c>
      <c r="J926" s="32" t="n">
        <f aca="false">IF(E926&gt;0,F926/E926,0)</f>
        <v>0</v>
      </c>
      <c r="K926" s="32" t="n">
        <f aca="false">IF(G926&gt;0,H926/G926,0)</f>
        <v>-0</v>
      </c>
      <c r="L926" s="59" t="n">
        <f aca="false">H926/Settings!$B$16</f>
        <v>-0</v>
      </c>
      <c r="M926" s="59" t="n">
        <f aca="false">H926/Settings!$B$20</f>
        <v>-0</v>
      </c>
      <c r="N926" s="60" t="n">
        <f aca="false">E926*Settings!$B$3</f>
        <v>0.0309861510798204</v>
      </c>
      <c r="O926" s="60" t="n">
        <f aca="false">IF(E926&gt;0,(F926-N926)/SQRT(E926*Settings!$B$3*(1-Settings!$B$3)),0)</f>
        <v>-0.178821125934444</v>
      </c>
      <c r="P926" s="60" t="n">
        <f aca="false">MAX(0,F926-N926)</f>
        <v>0</v>
      </c>
      <c r="Q926" s="32" t="n">
        <f aca="false">(F926+Settings!$B$7*Settings!$B$3)/(E926+Settings!$B$7)</f>
        <v>0.0299865978191811</v>
      </c>
      <c r="R926" s="61" t="n">
        <f aca="false">PERCENTRANK($H$2:$H$1780,H926,6)</f>
        <v>0</v>
      </c>
      <c r="S926" s="61" t="n">
        <f aca="false">PERCENTRANK($Q$2:$Q$1780,Q926,6)</f>
        <v>0.486502</v>
      </c>
      <c r="T926" s="61" t="n">
        <f aca="false">PERCENTRANK($F$2:$F$1780,F926,6)</f>
        <v>0</v>
      </c>
      <c r="U926" s="62" t="n">
        <f aca="false">IF(F926&gt;0,(Settings!$B$8*T926+Settings!$B$9*R926+Settings!$B$10*S926)/SUM(Settings!$B$8:$B$10),0)</f>
        <v>0</v>
      </c>
      <c r="V926" s="56" t="str">
        <f aca="false">IF(U926&gt;0,RANK(U926,$U$2:$U$1780)+COUNTIF($U$2:U926,U926)-1,"")</f>
        <v/>
      </c>
      <c r="W926" s="56" t="str">
        <f aca="false">IF(V926="","",IF(V926&lt;=Settings!$B$11,"1 - Fix first",IF(V926&lt;=Settings!$B$12,"2 - Review","3 - Monitor")))</f>
        <v/>
      </c>
      <c r="X926" s="56" t="str">
        <f aca="false">IF(AND(E926&gt;=Settings!$B$4,F926&gt;=Settings!$B$5,O926&gt;=Settings!$B$6),"HIGH RATE","")</f>
        <v/>
      </c>
      <c r="Y926" s="56" t="str">
        <f aca="false">IF(F926&gt;0,RANK(F926,$F$2:$F$1780)+COUNTIF($F$2:F926,F926)-1,"")</f>
        <v/>
      </c>
      <c r="Z926" s="56" t="str">
        <f aca="false">IF(H926&gt;0,RANK(H926,$H$2:$H$1780)+COUNTIF($H$2:H926,H926)-1,"")</f>
        <v/>
      </c>
      <c r="AA926" s="56" t="str">
        <f aca="false">IF(AC926="","",RANK(AC926,$AC$2:$AC$1780)+COUNTIF($AC$2:AC926,AC926)-1)</f>
        <v/>
      </c>
      <c r="AB926" s="56" t="str">
        <f aca="false">IF(AD926="","",RANK(AD926,$AD$2:$AD$1780)+COUNTIF($AD$2:AD926,AD926)-1)</f>
        <v/>
      </c>
      <c r="AC926" s="56" t="str">
        <f aca="false">IF(AND(F926&gt;0,E926&gt;=Settings!$B$4),J926,"")</f>
        <v/>
      </c>
      <c r="AD926" s="56" t="str">
        <f aca="false">IF(X926="HIGH RATE",O926,"")</f>
        <v/>
      </c>
    </row>
    <row r="927" customFormat="false" ht="15" hidden="false" customHeight="false" outlineLevel="0" collapsed="false">
      <c r="A927" s="56" t="s">
        <v>2248</v>
      </c>
      <c r="B927" s="56" t="s">
        <v>1010</v>
      </c>
      <c r="C927" s="56" t="s">
        <v>51</v>
      </c>
      <c r="D927" s="56" t="str">
        <f aca="false">IFERROR(INDEX('Brand Map'!$B$4:$B$124,MATCH(C927,'Brand Map'!$A$4:$A$124,0)),"Other")</f>
        <v>AU</v>
      </c>
      <c r="E927" s="57" t="n">
        <v>1</v>
      </c>
      <c r="F927" s="57" t="n">
        <v>0</v>
      </c>
      <c r="G927" s="58" t="n">
        <v>164.95</v>
      </c>
      <c r="H927" s="58" t="n">
        <v>0</v>
      </c>
      <c r="I927" s="58" t="n">
        <v>164.95</v>
      </c>
      <c r="J927" s="32" t="n">
        <f aca="false">IF(E927&gt;0,F927/E927,0)</f>
        <v>0</v>
      </c>
      <c r="K927" s="32" t="n">
        <f aca="false">IF(G927&gt;0,H927/G927,0)</f>
        <v>-0</v>
      </c>
      <c r="L927" s="59" t="n">
        <f aca="false">H927/Settings!$B$16</f>
        <v>-0</v>
      </c>
      <c r="M927" s="59" t="n">
        <f aca="false">H927/Settings!$B$20</f>
        <v>-0</v>
      </c>
      <c r="N927" s="60" t="n">
        <f aca="false">E927*Settings!$B$3</f>
        <v>0.0309861510798204</v>
      </c>
      <c r="O927" s="60" t="n">
        <f aca="false">IF(E927&gt;0,(F927-N927)/SQRT(E927*Settings!$B$3*(1-Settings!$B$3)),0)</f>
        <v>-0.178821125934444</v>
      </c>
      <c r="P927" s="60" t="n">
        <f aca="false">MAX(0,F927-N927)</f>
        <v>0</v>
      </c>
      <c r="Q927" s="32" t="n">
        <f aca="false">(F927+Settings!$B$7*Settings!$B$3)/(E927+Settings!$B$7)</f>
        <v>0.0299865978191811</v>
      </c>
      <c r="R927" s="61" t="n">
        <f aca="false">PERCENTRANK($H$2:$H$1780,H927,6)</f>
        <v>0</v>
      </c>
      <c r="S927" s="61" t="n">
        <f aca="false">PERCENTRANK($Q$2:$Q$1780,Q927,6)</f>
        <v>0.486502</v>
      </c>
      <c r="T927" s="61" t="n">
        <f aca="false">PERCENTRANK($F$2:$F$1780,F927,6)</f>
        <v>0</v>
      </c>
      <c r="U927" s="62" t="n">
        <f aca="false">IF(F927&gt;0,(Settings!$B$8*T927+Settings!$B$9*R927+Settings!$B$10*S927)/SUM(Settings!$B$8:$B$10),0)</f>
        <v>0</v>
      </c>
      <c r="V927" s="56" t="str">
        <f aca="false">IF(U927&gt;0,RANK(U927,$U$2:$U$1780)+COUNTIF($U$2:U927,U927)-1,"")</f>
        <v/>
      </c>
      <c r="W927" s="56" t="str">
        <f aca="false">IF(V927="","",IF(V927&lt;=Settings!$B$11,"1 - Fix first",IF(V927&lt;=Settings!$B$12,"2 - Review","3 - Monitor")))</f>
        <v/>
      </c>
      <c r="X927" s="56" t="str">
        <f aca="false">IF(AND(E927&gt;=Settings!$B$4,F927&gt;=Settings!$B$5,O927&gt;=Settings!$B$6),"HIGH RATE","")</f>
        <v/>
      </c>
      <c r="Y927" s="56" t="str">
        <f aca="false">IF(F927&gt;0,RANK(F927,$F$2:$F$1780)+COUNTIF($F$2:F927,F927)-1,"")</f>
        <v/>
      </c>
      <c r="Z927" s="56" t="str">
        <f aca="false">IF(H927&gt;0,RANK(H927,$H$2:$H$1780)+COUNTIF($H$2:H927,H927)-1,"")</f>
        <v/>
      </c>
      <c r="AA927" s="56" t="str">
        <f aca="false">IF(AC927="","",RANK(AC927,$AC$2:$AC$1780)+COUNTIF($AC$2:AC927,AC927)-1)</f>
        <v/>
      </c>
      <c r="AB927" s="56" t="str">
        <f aca="false">IF(AD927="","",RANK(AD927,$AD$2:$AD$1780)+COUNTIF($AD$2:AD927,AD927)-1)</f>
        <v/>
      </c>
      <c r="AC927" s="56" t="str">
        <f aca="false">IF(AND(F927&gt;0,E927&gt;=Settings!$B$4),J927,"")</f>
        <v/>
      </c>
      <c r="AD927" s="56" t="str">
        <f aca="false">IF(X927="HIGH RATE",O927,"")</f>
        <v/>
      </c>
    </row>
    <row r="928" customFormat="false" ht="15" hidden="false" customHeight="false" outlineLevel="0" collapsed="false">
      <c r="A928" s="56" t="s">
        <v>2249</v>
      </c>
      <c r="B928" s="56" t="s">
        <v>1249</v>
      </c>
      <c r="C928" s="56" t="s">
        <v>51</v>
      </c>
      <c r="D928" s="56" t="str">
        <f aca="false">IFERROR(INDEX('Brand Map'!$B$4:$B$124,MATCH(C928,'Brand Map'!$A$4:$A$124,0)),"Other")</f>
        <v>AU</v>
      </c>
      <c r="E928" s="57" t="n">
        <v>1</v>
      </c>
      <c r="F928" s="57" t="n">
        <v>0</v>
      </c>
      <c r="G928" s="58" t="n">
        <v>139.95</v>
      </c>
      <c r="H928" s="58" t="n">
        <v>0</v>
      </c>
      <c r="I928" s="58" t="n">
        <v>139.95</v>
      </c>
      <c r="J928" s="32" t="n">
        <f aca="false">IF(E928&gt;0,F928/E928,0)</f>
        <v>0</v>
      </c>
      <c r="K928" s="32" t="n">
        <f aca="false">IF(G928&gt;0,H928/G928,0)</f>
        <v>-0</v>
      </c>
      <c r="L928" s="59" t="n">
        <f aca="false">H928/Settings!$B$16</f>
        <v>-0</v>
      </c>
      <c r="M928" s="59" t="n">
        <f aca="false">H928/Settings!$B$20</f>
        <v>-0</v>
      </c>
      <c r="N928" s="60" t="n">
        <f aca="false">E928*Settings!$B$3</f>
        <v>0.0309861510798204</v>
      </c>
      <c r="O928" s="60" t="n">
        <f aca="false">IF(E928&gt;0,(F928-N928)/SQRT(E928*Settings!$B$3*(1-Settings!$B$3)),0)</f>
        <v>-0.178821125934444</v>
      </c>
      <c r="P928" s="60" t="n">
        <f aca="false">MAX(0,F928-N928)</f>
        <v>0</v>
      </c>
      <c r="Q928" s="32" t="n">
        <f aca="false">(F928+Settings!$B$7*Settings!$B$3)/(E928+Settings!$B$7)</f>
        <v>0.0299865978191811</v>
      </c>
      <c r="R928" s="61" t="n">
        <f aca="false">PERCENTRANK($H$2:$H$1780,H928,6)</f>
        <v>0</v>
      </c>
      <c r="S928" s="61" t="n">
        <f aca="false">PERCENTRANK($Q$2:$Q$1780,Q928,6)</f>
        <v>0.486502</v>
      </c>
      <c r="T928" s="61" t="n">
        <f aca="false">PERCENTRANK($F$2:$F$1780,F928,6)</f>
        <v>0</v>
      </c>
      <c r="U928" s="62" t="n">
        <f aca="false">IF(F928&gt;0,(Settings!$B$8*T928+Settings!$B$9*R928+Settings!$B$10*S928)/SUM(Settings!$B$8:$B$10),0)</f>
        <v>0</v>
      </c>
      <c r="V928" s="56" t="str">
        <f aca="false">IF(U928&gt;0,RANK(U928,$U$2:$U$1780)+COUNTIF($U$2:U928,U928)-1,"")</f>
        <v/>
      </c>
      <c r="W928" s="56" t="str">
        <f aca="false">IF(V928="","",IF(V928&lt;=Settings!$B$11,"1 - Fix first",IF(V928&lt;=Settings!$B$12,"2 - Review","3 - Monitor")))</f>
        <v/>
      </c>
      <c r="X928" s="56" t="str">
        <f aca="false">IF(AND(E928&gt;=Settings!$B$4,F928&gt;=Settings!$B$5,O928&gt;=Settings!$B$6),"HIGH RATE","")</f>
        <v/>
      </c>
      <c r="Y928" s="56" t="str">
        <f aca="false">IF(F928&gt;0,RANK(F928,$F$2:$F$1780)+COUNTIF($F$2:F928,F928)-1,"")</f>
        <v/>
      </c>
      <c r="Z928" s="56" t="str">
        <f aca="false">IF(H928&gt;0,RANK(H928,$H$2:$H$1780)+COUNTIF($H$2:H928,H928)-1,"")</f>
        <v/>
      </c>
      <c r="AA928" s="56" t="str">
        <f aca="false">IF(AC928="","",RANK(AC928,$AC$2:$AC$1780)+COUNTIF($AC$2:AC928,AC928)-1)</f>
        <v/>
      </c>
      <c r="AB928" s="56" t="str">
        <f aca="false">IF(AD928="","",RANK(AD928,$AD$2:$AD$1780)+COUNTIF($AD$2:AD928,AD928)-1)</f>
        <v/>
      </c>
      <c r="AC928" s="56" t="str">
        <f aca="false">IF(AND(F928&gt;0,E928&gt;=Settings!$B$4),J928,"")</f>
        <v/>
      </c>
      <c r="AD928" s="56" t="str">
        <f aca="false">IF(X928="HIGH RATE",O928,"")</f>
        <v/>
      </c>
    </row>
    <row r="929" customFormat="false" ht="15" hidden="false" customHeight="false" outlineLevel="0" collapsed="false">
      <c r="A929" s="56" t="s">
        <v>2250</v>
      </c>
      <c r="B929" s="56" t="s">
        <v>879</v>
      </c>
      <c r="C929" s="56" t="s">
        <v>51</v>
      </c>
      <c r="D929" s="56" t="str">
        <f aca="false">IFERROR(INDEX('Brand Map'!$B$4:$B$124,MATCH(C929,'Brand Map'!$A$4:$A$124,0)),"Other")</f>
        <v>AU</v>
      </c>
      <c r="E929" s="57" t="n">
        <v>2</v>
      </c>
      <c r="F929" s="57" t="n">
        <v>0</v>
      </c>
      <c r="G929" s="58" t="n">
        <v>269.9</v>
      </c>
      <c r="H929" s="58" t="n">
        <v>0</v>
      </c>
      <c r="I929" s="58" t="n">
        <v>269.9</v>
      </c>
      <c r="J929" s="32" t="n">
        <f aca="false">IF(E929&gt;0,F929/E929,0)</f>
        <v>0</v>
      </c>
      <c r="K929" s="32" t="n">
        <f aca="false">IF(G929&gt;0,H929/G929,0)</f>
        <v>-0</v>
      </c>
      <c r="L929" s="59" t="n">
        <f aca="false">H929/Settings!$B$16</f>
        <v>-0</v>
      </c>
      <c r="M929" s="59" t="n">
        <f aca="false">H929/Settings!$B$20</f>
        <v>-0</v>
      </c>
      <c r="N929" s="60" t="n">
        <f aca="false">E929*Settings!$B$3</f>
        <v>0.0619723021596408</v>
      </c>
      <c r="O929" s="60" t="n">
        <f aca="false">IF(E929&gt;0,(F929-N929)/SQRT(E929*Settings!$B$3*(1-Settings!$B$3)),0)</f>
        <v>-0.252891261535318</v>
      </c>
      <c r="P929" s="60" t="n">
        <f aca="false">MAX(0,F929-N929)</f>
        <v>0</v>
      </c>
      <c r="Q929" s="32" t="n">
        <f aca="false">(F929+Settings!$B$7*Settings!$B$3)/(E929+Settings!$B$7)</f>
        <v>0.0290495166373316</v>
      </c>
      <c r="R929" s="61" t="n">
        <f aca="false">PERCENTRANK($H$2:$H$1780,H929,6)</f>
        <v>0</v>
      </c>
      <c r="S929" s="61" t="n">
        <f aca="false">PERCENTRANK($Q$2:$Q$1780,Q929,6)</f>
        <v>0.365579</v>
      </c>
      <c r="T929" s="61" t="n">
        <f aca="false">PERCENTRANK($F$2:$F$1780,F929,6)</f>
        <v>0</v>
      </c>
      <c r="U929" s="62" t="n">
        <f aca="false">IF(F929&gt;0,(Settings!$B$8*T929+Settings!$B$9*R929+Settings!$B$10*S929)/SUM(Settings!$B$8:$B$10),0)</f>
        <v>0</v>
      </c>
      <c r="V929" s="56" t="str">
        <f aca="false">IF(U929&gt;0,RANK(U929,$U$2:$U$1780)+COUNTIF($U$2:U929,U929)-1,"")</f>
        <v/>
      </c>
      <c r="W929" s="56" t="str">
        <f aca="false">IF(V929="","",IF(V929&lt;=Settings!$B$11,"1 - Fix first",IF(V929&lt;=Settings!$B$12,"2 - Review","3 - Monitor")))</f>
        <v/>
      </c>
      <c r="X929" s="56" t="str">
        <f aca="false">IF(AND(E929&gt;=Settings!$B$4,F929&gt;=Settings!$B$5,O929&gt;=Settings!$B$6),"HIGH RATE","")</f>
        <v/>
      </c>
      <c r="Y929" s="56" t="str">
        <f aca="false">IF(F929&gt;0,RANK(F929,$F$2:$F$1780)+COUNTIF($F$2:F929,F929)-1,"")</f>
        <v/>
      </c>
      <c r="Z929" s="56" t="str">
        <f aca="false">IF(H929&gt;0,RANK(H929,$H$2:$H$1780)+COUNTIF($H$2:H929,H929)-1,"")</f>
        <v/>
      </c>
      <c r="AA929" s="56" t="str">
        <f aca="false">IF(AC929="","",RANK(AC929,$AC$2:$AC$1780)+COUNTIF($AC$2:AC929,AC929)-1)</f>
        <v/>
      </c>
      <c r="AB929" s="56" t="str">
        <f aca="false">IF(AD929="","",RANK(AD929,$AD$2:$AD$1780)+COUNTIF($AD$2:AD929,AD929)-1)</f>
        <v/>
      </c>
      <c r="AC929" s="56" t="str">
        <f aca="false">IF(AND(F929&gt;0,E929&gt;=Settings!$B$4),J929,"")</f>
        <v/>
      </c>
      <c r="AD929" s="56" t="str">
        <f aca="false">IF(X929="HIGH RATE",O929,"")</f>
        <v/>
      </c>
    </row>
    <row r="930" customFormat="false" ht="15" hidden="false" customHeight="false" outlineLevel="0" collapsed="false">
      <c r="A930" s="56" t="s">
        <v>2251</v>
      </c>
      <c r="B930" s="56" t="s">
        <v>879</v>
      </c>
      <c r="C930" s="56" t="s">
        <v>51</v>
      </c>
      <c r="D930" s="56" t="str">
        <f aca="false">IFERROR(INDEX('Brand Map'!$B$4:$B$124,MATCH(C930,'Brand Map'!$A$4:$A$124,0)),"Other")</f>
        <v>AU</v>
      </c>
      <c r="E930" s="57" t="n">
        <v>1</v>
      </c>
      <c r="F930" s="57" t="n">
        <v>0</v>
      </c>
      <c r="G930" s="58" t="n">
        <v>164.95</v>
      </c>
      <c r="H930" s="58" t="n">
        <v>0</v>
      </c>
      <c r="I930" s="58" t="n">
        <v>164.95</v>
      </c>
      <c r="J930" s="32" t="n">
        <f aca="false">IF(E930&gt;0,F930/E930,0)</f>
        <v>0</v>
      </c>
      <c r="K930" s="32" t="n">
        <f aca="false">IF(G930&gt;0,H930/G930,0)</f>
        <v>-0</v>
      </c>
      <c r="L930" s="59" t="n">
        <f aca="false">H930/Settings!$B$16</f>
        <v>-0</v>
      </c>
      <c r="M930" s="59" t="n">
        <f aca="false">H930/Settings!$B$20</f>
        <v>-0</v>
      </c>
      <c r="N930" s="60" t="n">
        <f aca="false">E930*Settings!$B$3</f>
        <v>0.0309861510798204</v>
      </c>
      <c r="O930" s="60" t="n">
        <f aca="false">IF(E930&gt;0,(F930-N930)/SQRT(E930*Settings!$B$3*(1-Settings!$B$3)),0)</f>
        <v>-0.178821125934444</v>
      </c>
      <c r="P930" s="60" t="n">
        <f aca="false">MAX(0,F930-N930)</f>
        <v>0</v>
      </c>
      <c r="Q930" s="32" t="n">
        <f aca="false">(F930+Settings!$B$7*Settings!$B$3)/(E930+Settings!$B$7)</f>
        <v>0.0299865978191811</v>
      </c>
      <c r="R930" s="61" t="n">
        <f aca="false">PERCENTRANK($H$2:$H$1780,H930,6)</f>
        <v>0</v>
      </c>
      <c r="S930" s="61" t="n">
        <f aca="false">PERCENTRANK($Q$2:$Q$1780,Q930,6)</f>
        <v>0.486502</v>
      </c>
      <c r="T930" s="61" t="n">
        <f aca="false">PERCENTRANK($F$2:$F$1780,F930,6)</f>
        <v>0</v>
      </c>
      <c r="U930" s="62" t="n">
        <f aca="false">IF(F930&gt;0,(Settings!$B$8*T930+Settings!$B$9*R930+Settings!$B$10*S930)/SUM(Settings!$B$8:$B$10),0)</f>
        <v>0</v>
      </c>
      <c r="V930" s="56" t="str">
        <f aca="false">IF(U930&gt;0,RANK(U930,$U$2:$U$1780)+COUNTIF($U$2:U930,U930)-1,"")</f>
        <v/>
      </c>
      <c r="W930" s="56" t="str">
        <f aca="false">IF(V930="","",IF(V930&lt;=Settings!$B$11,"1 - Fix first",IF(V930&lt;=Settings!$B$12,"2 - Review","3 - Monitor")))</f>
        <v/>
      </c>
      <c r="X930" s="56" t="str">
        <f aca="false">IF(AND(E930&gt;=Settings!$B$4,F930&gt;=Settings!$B$5,O930&gt;=Settings!$B$6),"HIGH RATE","")</f>
        <v/>
      </c>
      <c r="Y930" s="56" t="str">
        <f aca="false">IF(F930&gt;0,RANK(F930,$F$2:$F$1780)+COUNTIF($F$2:F930,F930)-1,"")</f>
        <v/>
      </c>
      <c r="Z930" s="56" t="str">
        <f aca="false">IF(H930&gt;0,RANK(H930,$H$2:$H$1780)+COUNTIF($H$2:H930,H930)-1,"")</f>
        <v/>
      </c>
      <c r="AA930" s="56" t="str">
        <f aca="false">IF(AC930="","",RANK(AC930,$AC$2:$AC$1780)+COUNTIF($AC$2:AC930,AC930)-1)</f>
        <v/>
      </c>
      <c r="AB930" s="56" t="str">
        <f aca="false">IF(AD930="","",RANK(AD930,$AD$2:$AD$1780)+COUNTIF($AD$2:AD930,AD930)-1)</f>
        <v/>
      </c>
      <c r="AC930" s="56" t="str">
        <f aca="false">IF(AND(F930&gt;0,E930&gt;=Settings!$B$4),J930,"")</f>
        <v/>
      </c>
      <c r="AD930" s="56" t="str">
        <f aca="false">IF(X930="HIGH RATE",O930,"")</f>
        <v/>
      </c>
    </row>
    <row r="931" customFormat="false" ht="15" hidden="false" customHeight="false" outlineLevel="0" collapsed="false">
      <c r="A931" s="56" t="s">
        <v>2252</v>
      </c>
      <c r="B931" s="56" t="s">
        <v>879</v>
      </c>
      <c r="C931" s="56" t="s">
        <v>51</v>
      </c>
      <c r="D931" s="56" t="str">
        <f aca="false">IFERROR(INDEX('Brand Map'!$B$4:$B$124,MATCH(C931,'Brand Map'!$A$4:$A$124,0)),"Other")</f>
        <v>AU</v>
      </c>
      <c r="E931" s="57" t="n">
        <v>3</v>
      </c>
      <c r="F931" s="57" t="n">
        <v>0</v>
      </c>
      <c r="G931" s="58" t="n">
        <v>359.85</v>
      </c>
      <c r="H931" s="58" t="n">
        <v>0</v>
      </c>
      <c r="I931" s="58" t="n">
        <v>359.85</v>
      </c>
      <c r="J931" s="32" t="n">
        <f aca="false">IF(E931&gt;0,F931/E931,0)</f>
        <v>0</v>
      </c>
      <c r="K931" s="32" t="n">
        <f aca="false">IF(G931&gt;0,H931/G931,0)</f>
        <v>-0</v>
      </c>
      <c r="L931" s="59" t="n">
        <f aca="false">H931/Settings!$B$16</f>
        <v>-0</v>
      </c>
      <c r="M931" s="59" t="n">
        <f aca="false">H931/Settings!$B$20</f>
        <v>-0</v>
      </c>
      <c r="N931" s="60" t="n">
        <f aca="false">E931*Settings!$B$3</f>
        <v>0.0929584532394613</v>
      </c>
      <c r="O931" s="60" t="n">
        <f aca="false">IF(E931&gt;0,(F931-N931)/SQRT(E931*Settings!$B$3*(1-Settings!$B$3)),0)</f>
        <v>-0.30972727558513</v>
      </c>
      <c r="P931" s="60" t="n">
        <f aca="false">MAX(0,F931-N931)</f>
        <v>0</v>
      </c>
      <c r="Q931" s="32" t="n">
        <f aca="false">(F931+Settings!$B$7*Settings!$B$3)/(E931+Settings!$B$7)</f>
        <v>0.0281692282543822</v>
      </c>
      <c r="R931" s="61" t="n">
        <f aca="false">PERCENTRANK($H$2:$H$1780,H931,6)</f>
        <v>0</v>
      </c>
      <c r="S931" s="61" t="n">
        <f aca="false">PERCENTRANK($Q$2:$Q$1780,Q931,6)</f>
        <v>0.294151</v>
      </c>
      <c r="T931" s="61" t="n">
        <f aca="false">PERCENTRANK($F$2:$F$1780,F931,6)</f>
        <v>0</v>
      </c>
      <c r="U931" s="62" t="n">
        <f aca="false">IF(F931&gt;0,(Settings!$B$8*T931+Settings!$B$9*R931+Settings!$B$10*S931)/SUM(Settings!$B$8:$B$10),0)</f>
        <v>0</v>
      </c>
      <c r="V931" s="56" t="str">
        <f aca="false">IF(U931&gt;0,RANK(U931,$U$2:$U$1780)+COUNTIF($U$2:U931,U931)-1,"")</f>
        <v/>
      </c>
      <c r="W931" s="56" t="str">
        <f aca="false">IF(V931="","",IF(V931&lt;=Settings!$B$11,"1 - Fix first",IF(V931&lt;=Settings!$B$12,"2 - Review","3 - Monitor")))</f>
        <v/>
      </c>
      <c r="X931" s="56" t="str">
        <f aca="false">IF(AND(E931&gt;=Settings!$B$4,F931&gt;=Settings!$B$5,O931&gt;=Settings!$B$6),"HIGH RATE","")</f>
        <v/>
      </c>
      <c r="Y931" s="56" t="str">
        <f aca="false">IF(F931&gt;0,RANK(F931,$F$2:$F$1780)+COUNTIF($F$2:F931,F931)-1,"")</f>
        <v/>
      </c>
      <c r="Z931" s="56" t="str">
        <f aca="false">IF(H931&gt;0,RANK(H931,$H$2:$H$1780)+COUNTIF($H$2:H931,H931)-1,"")</f>
        <v/>
      </c>
      <c r="AA931" s="56" t="str">
        <f aca="false">IF(AC931="","",RANK(AC931,$AC$2:$AC$1780)+COUNTIF($AC$2:AC931,AC931)-1)</f>
        <v/>
      </c>
      <c r="AB931" s="56" t="str">
        <f aca="false">IF(AD931="","",RANK(AD931,$AD$2:$AD$1780)+COUNTIF($AD$2:AD931,AD931)-1)</f>
        <v/>
      </c>
      <c r="AC931" s="56" t="str">
        <f aca="false">IF(AND(F931&gt;0,E931&gt;=Settings!$B$4),J931,"")</f>
        <v/>
      </c>
      <c r="AD931" s="56" t="str">
        <f aca="false">IF(X931="HIGH RATE",O931,"")</f>
        <v/>
      </c>
    </row>
    <row r="932" customFormat="false" ht="15" hidden="false" customHeight="false" outlineLevel="0" collapsed="false">
      <c r="A932" s="56" t="s">
        <v>2253</v>
      </c>
      <c r="B932" s="56" t="s">
        <v>1484</v>
      </c>
      <c r="C932" s="56" t="s">
        <v>51</v>
      </c>
      <c r="D932" s="56" t="str">
        <f aca="false">IFERROR(INDEX('Brand Map'!$B$4:$B$124,MATCH(C932,'Brand Map'!$A$4:$A$124,0)),"Other")</f>
        <v>AU</v>
      </c>
      <c r="E932" s="57" t="n">
        <v>1</v>
      </c>
      <c r="F932" s="57" t="n">
        <v>0</v>
      </c>
      <c r="G932" s="58" t="n">
        <v>59.95</v>
      </c>
      <c r="H932" s="58" t="n">
        <v>0</v>
      </c>
      <c r="I932" s="58" t="n">
        <v>59.95</v>
      </c>
      <c r="J932" s="32" t="n">
        <f aca="false">IF(E932&gt;0,F932/E932,0)</f>
        <v>0</v>
      </c>
      <c r="K932" s="32" t="n">
        <f aca="false">IF(G932&gt;0,H932/G932,0)</f>
        <v>-0</v>
      </c>
      <c r="L932" s="59" t="n">
        <f aca="false">H932/Settings!$B$16</f>
        <v>-0</v>
      </c>
      <c r="M932" s="59" t="n">
        <f aca="false">H932/Settings!$B$20</f>
        <v>-0</v>
      </c>
      <c r="N932" s="60" t="n">
        <f aca="false">E932*Settings!$B$3</f>
        <v>0.0309861510798204</v>
      </c>
      <c r="O932" s="60" t="n">
        <f aca="false">IF(E932&gt;0,(F932-N932)/SQRT(E932*Settings!$B$3*(1-Settings!$B$3)),0)</f>
        <v>-0.178821125934444</v>
      </c>
      <c r="P932" s="60" t="n">
        <f aca="false">MAX(0,F932-N932)</f>
        <v>0</v>
      </c>
      <c r="Q932" s="32" t="n">
        <f aca="false">(F932+Settings!$B$7*Settings!$B$3)/(E932+Settings!$B$7)</f>
        <v>0.0299865978191811</v>
      </c>
      <c r="R932" s="61" t="n">
        <f aca="false">PERCENTRANK($H$2:$H$1780,H932,6)</f>
        <v>0</v>
      </c>
      <c r="S932" s="61" t="n">
        <f aca="false">PERCENTRANK($Q$2:$Q$1780,Q932,6)</f>
        <v>0.486502</v>
      </c>
      <c r="T932" s="61" t="n">
        <f aca="false">PERCENTRANK($F$2:$F$1780,F932,6)</f>
        <v>0</v>
      </c>
      <c r="U932" s="62" t="n">
        <f aca="false">IF(F932&gt;0,(Settings!$B$8*T932+Settings!$B$9*R932+Settings!$B$10*S932)/SUM(Settings!$B$8:$B$10),0)</f>
        <v>0</v>
      </c>
      <c r="V932" s="56" t="str">
        <f aca="false">IF(U932&gt;0,RANK(U932,$U$2:$U$1780)+COUNTIF($U$2:U932,U932)-1,"")</f>
        <v/>
      </c>
      <c r="W932" s="56" t="str">
        <f aca="false">IF(V932="","",IF(V932&lt;=Settings!$B$11,"1 - Fix first",IF(V932&lt;=Settings!$B$12,"2 - Review","3 - Monitor")))</f>
        <v/>
      </c>
      <c r="X932" s="56" t="str">
        <f aca="false">IF(AND(E932&gt;=Settings!$B$4,F932&gt;=Settings!$B$5,O932&gt;=Settings!$B$6),"HIGH RATE","")</f>
        <v/>
      </c>
      <c r="Y932" s="56" t="str">
        <f aca="false">IF(F932&gt;0,RANK(F932,$F$2:$F$1780)+COUNTIF($F$2:F932,F932)-1,"")</f>
        <v/>
      </c>
      <c r="Z932" s="56" t="str">
        <f aca="false">IF(H932&gt;0,RANK(H932,$H$2:$H$1780)+COUNTIF($H$2:H932,H932)-1,"")</f>
        <v/>
      </c>
      <c r="AA932" s="56" t="str">
        <f aca="false">IF(AC932="","",RANK(AC932,$AC$2:$AC$1780)+COUNTIF($AC$2:AC932,AC932)-1)</f>
        <v/>
      </c>
      <c r="AB932" s="56" t="str">
        <f aca="false">IF(AD932="","",RANK(AD932,$AD$2:$AD$1780)+COUNTIF($AD$2:AD932,AD932)-1)</f>
        <v/>
      </c>
      <c r="AC932" s="56" t="str">
        <f aca="false">IF(AND(F932&gt;0,E932&gt;=Settings!$B$4),J932,"")</f>
        <v/>
      </c>
      <c r="AD932" s="56" t="str">
        <f aca="false">IF(X932="HIGH RATE",O932,"")</f>
        <v/>
      </c>
    </row>
    <row r="933" customFormat="false" ht="15" hidden="false" customHeight="false" outlineLevel="0" collapsed="false">
      <c r="A933" s="56" t="s">
        <v>2254</v>
      </c>
      <c r="B933" s="56" t="s">
        <v>1484</v>
      </c>
      <c r="C933" s="56" t="s">
        <v>51</v>
      </c>
      <c r="D933" s="56" t="str">
        <f aca="false">IFERROR(INDEX('Brand Map'!$B$4:$B$124,MATCH(C933,'Brand Map'!$A$4:$A$124,0)),"Other")</f>
        <v>AU</v>
      </c>
      <c r="E933" s="57" t="n">
        <v>1</v>
      </c>
      <c r="F933" s="57" t="n">
        <v>0</v>
      </c>
      <c r="G933" s="58" t="n">
        <v>74.95</v>
      </c>
      <c r="H933" s="58" t="n">
        <v>0</v>
      </c>
      <c r="I933" s="58" t="n">
        <v>74.95</v>
      </c>
      <c r="J933" s="32" t="n">
        <f aca="false">IF(E933&gt;0,F933/E933,0)</f>
        <v>0</v>
      </c>
      <c r="K933" s="32" t="n">
        <f aca="false">IF(G933&gt;0,H933/G933,0)</f>
        <v>-0</v>
      </c>
      <c r="L933" s="59" t="n">
        <f aca="false">H933/Settings!$B$16</f>
        <v>-0</v>
      </c>
      <c r="M933" s="59" t="n">
        <f aca="false">H933/Settings!$B$20</f>
        <v>-0</v>
      </c>
      <c r="N933" s="60" t="n">
        <f aca="false">E933*Settings!$B$3</f>
        <v>0.0309861510798204</v>
      </c>
      <c r="O933" s="60" t="n">
        <f aca="false">IF(E933&gt;0,(F933-N933)/SQRT(E933*Settings!$B$3*(1-Settings!$B$3)),0)</f>
        <v>-0.178821125934444</v>
      </c>
      <c r="P933" s="60" t="n">
        <f aca="false">MAX(0,F933-N933)</f>
        <v>0</v>
      </c>
      <c r="Q933" s="32" t="n">
        <f aca="false">(F933+Settings!$B$7*Settings!$B$3)/(E933+Settings!$B$7)</f>
        <v>0.0299865978191811</v>
      </c>
      <c r="R933" s="61" t="n">
        <f aca="false">PERCENTRANK($H$2:$H$1780,H933,6)</f>
        <v>0</v>
      </c>
      <c r="S933" s="61" t="n">
        <f aca="false">PERCENTRANK($Q$2:$Q$1780,Q933,6)</f>
        <v>0.486502</v>
      </c>
      <c r="T933" s="61" t="n">
        <f aca="false">PERCENTRANK($F$2:$F$1780,F933,6)</f>
        <v>0</v>
      </c>
      <c r="U933" s="62" t="n">
        <f aca="false">IF(F933&gt;0,(Settings!$B$8*T933+Settings!$B$9*R933+Settings!$B$10*S933)/SUM(Settings!$B$8:$B$10),0)</f>
        <v>0</v>
      </c>
      <c r="V933" s="56" t="str">
        <f aca="false">IF(U933&gt;0,RANK(U933,$U$2:$U$1780)+COUNTIF($U$2:U933,U933)-1,"")</f>
        <v/>
      </c>
      <c r="W933" s="56" t="str">
        <f aca="false">IF(V933="","",IF(V933&lt;=Settings!$B$11,"1 - Fix first",IF(V933&lt;=Settings!$B$12,"2 - Review","3 - Monitor")))</f>
        <v/>
      </c>
      <c r="X933" s="56" t="str">
        <f aca="false">IF(AND(E933&gt;=Settings!$B$4,F933&gt;=Settings!$B$5,O933&gt;=Settings!$B$6),"HIGH RATE","")</f>
        <v/>
      </c>
      <c r="Y933" s="56" t="str">
        <f aca="false">IF(F933&gt;0,RANK(F933,$F$2:$F$1780)+COUNTIF($F$2:F933,F933)-1,"")</f>
        <v/>
      </c>
      <c r="Z933" s="56" t="str">
        <f aca="false">IF(H933&gt;0,RANK(H933,$H$2:$H$1780)+COUNTIF($H$2:H933,H933)-1,"")</f>
        <v/>
      </c>
      <c r="AA933" s="56" t="str">
        <f aca="false">IF(AC933="","",RANK(AC933,$AC$2:$AC$1780)+COUNTIF($AC$2:AC933,AC933)-1)</f>
        <v/>
      </c>
      <c r="AB933" s="56" t="str">
        <f aca="false">IF(AD933="","",RANK(AD933,$AD$2:$AD$1780)+COUNTIF($AD$2:AD933,AD933)-1)</f>
        <v/>
      </c>
      <c r="AC933" s="56" t="str">
        <f aca="false">IF(AND(F933&gt;0,E933&gt;=Settings!$B$4),J933,"")</f>
        <v/>
      </c>
      <c r="AD933" s="56" t="str">
        <f aca="false">IF(X933="HIGH RATE",O933,"")</f>
        <v/>
      </c>
    </row>
    <row r="934" customFormat="false" ht="15" hidden="false" customHeight="false" outlineLevel="0" collapsed="false">
      <c r="A934" s="56" t="s">
        <v>2255</v>
      </c>
      <c r="B934" s="56" t="s">
        <v>1484</v>
      </c>
      <c r="C934" s="56" t="s">
        <v>51</v>
      </c>
      <c r="D934" s="56" t="str">
        <f aca="false">IFERROR(INDEX('Brand Map'!$B$4:$B$124,MATCH(C934,'Brand Map'!$A$4:$A$124,0)),"Other")</f>
        <v>AU</v>
      </c>
      <c r="E934" s="57" t="n">
        <v>5</v>
      </c>
      <c r="F934" s="57" t="n">
        <v>0</v>
      </c>
      <c r="G934" s="58" t="n">
        <v>149.75</v>
      </c>
      <c r="H934" s="58" t="n">
        <v>0</v>
      </c>
      <c r="I934" s="58" t="n">
        <v>149.75</v>
      </c>
      <c r="J934" s="32" t="n">
        <f aca="false">IF(E934&gt;0,F934/E934,0)</f>
        <v>0</v>
      </c>
      <c r="K934" s="32" t="n">
        <f aca="false">IF(G934&gt;0,H934/G934,0)</f>
        <v>-0</v>
      </c>
      <c r="L934" s="59" t="n">
        <f aca="false">H934/Settings!$B$16</f>
        <v>-0</v>
      </c>
      <c r="M934" s="59" t="n">
        <f aca="false">H934/Settings!$B$20</f>
        <v>-0</v>
      </c>
      <c r="N934" s="60" t="n">
        <f aca="false">E934*Settings!$B$3</f>
        <v>0.154930755399102</v>
      </c>
      <c r="O934" s="60" t="n">
        <f aca="false">IF(E934&gt;0,(F934-N934)/SQRT(E934*Settings!$B$3*(1-Settings!$B$3)),0)</f>
        <v>-0.399856193402468</v>
      </c>
      <c r="P934" s="60" t="n">
        <f aca="false">MAX(0,F934-N934)</f>
        <v>0</v>
      </c>
      <c r="Q934" s="32" t="n">
        <f aca="false">(F934+Settings!$B$7*Settings!$B$3)/(E934+Settings!$B$7)</f>
        <v>0.0265595580684175</v>
      </c>
      <c r="R934" s="61" t="n">
        <f aca="false">PERCENTRANK($H$2:$H$1780,H934,6)</f>
        <v>0</v>
      </c>
      <c r="S934" s="61" t="n">
        <f aca="false">PERCENTRANK($Q$2:$Q$1780,Q934,6)</f>
        <v>0.220472</v>
      </c>
      <c r="T934" s="61" t="n">
        <f aca="false">PERCENTRANK($F$2:$F$1780,F934,6)</f>
        <v>0</v>
      </c>
      <c r="U934" s="62" t="n">
        <f aca="false">IF(F934&gt;0,(Settings!$B$8*T934+Settings!$B$9*R934+Settings!$B$10*S934)/SUM(Settings!$B$8:$B$10),0)</f>
        <v>0</v>
      </c>
      <c r="V934" s="56" t="str">
        <f aca="false">IF(U934&gt;0,RANK(U934,$U$2:$U$1780)+COUNTIF($U$2:U934,U934)-1,"")</f>
        <v/>
      </c>
      <c r="W934" s="56" t="str">
        <f aca="false">IF(V934="","",IF(V934&lt;=Settings!$B$11,"1 - Fix first",IF(V934&lt;=Settings!$B$12,"2 - Review","3 - Monitor")))</f>
        <v/>
      </c>
      <c r="X934" s="56" t="str">
        <f aca="false">IF(AND(E934&gt;=Settings!$B$4,F934&gt;=Settings!$B$5,O934&gt;=Settings!$B$6),"HIGH RATE","")</f>
        <v/>
      </c>
      <c r="Y934" s="56" t="str">
        <f aca="false">IF(F934&gt;0,RANK(F934,$F$2:$F$1780)+COUNTIF($F$2:F934,F934)-1,"")</f>
        <v/>
      </c>
      <c r="Z934" s="56" t="str">
        <f aca="false">IF(H934&gt;0,RANK(H934,$H$2:$H$1780)+COUNTIF($H$2:H934,H934)-1,"")</f>
        <v/>
      </c>
      <c r="AA934" s="56" t="str">
        <f aca="false">IF(AC934="","",RANK(AC934,$AC$2:$AC$1780)+COUNTIF($AC$2:AC934,AC934)-1)</f>
        <v/>
      </c>
      <c r="AB934" s="56" t="str">
        <f aca="false">IF(AD934="","",RANK(AD934,$AD$2:$AD$1780)+COUNTIF($AD$2:AD934,AD934)-1)</f>
        <v/>
      </c>
      <c r="AC934" s="56" t="str">
        <f aca="false">IF(AND(F934&gt;0,E934&gt;=Settings!$B$4),J934,"")</f>
        <v/>
      </c>
      <c r="AD934" s="56" t="str">
        <f aca="false">IF(X934="HIGH RATE",O934,"")</f>
        <v/>
      </c>
    </row>
    <row r="935" customFormat="false" ht="15" hidden="false" customHeight="false" outlineLevel="0" collapsed="false">
      <c r="A935" s="56" t="s">
        <v>2256</v>
      </c>
      <c r="B935" s="56" t="s">
        <v>2257</v>
      </c>
      <c r="C935" s="56" t="s">
        <v>51</v>
      </c>
      <c r="D935" s="56" t="str">
        <f aca="false">IFERROR(INDEX('Brand Map'!$B$4:$B$124,MATCH(C935,'Brand Map'!$A$4:$A$124,0)),"Other")</f>
        <v>AU</v>
      </c>
      <c r="E935" s="57" t="n">
        <v>1</v>
      </c>
      <c r="F935" s="57" t="n">
        <v>0</v>
      </c>
      <c r="G935" s="58" t="n">
        <v>74.95</v>
      </c>
      <c r="H935" s="58" t="n">
        <v>0</v>
      </c>
      <c r="I935" s="58" t="n">
        <v>74.95</v>
      </c>
      <c r="J935" s="32" t="n">
        <f aca="false">IF(E935&gt;0,F935/E935,0)</f>
        <v>0</v>
      </c>
      <c r="K935" s="32" t="n">
        <f aca="false">IF(G935&gt;0,H935/G935,0)</f>
        <v>-0</v>
      </c>
      <c r="L935" s="59" t="n">
        <f aca="false">H935/Settings!$B$16</f>
        <v>-0</v>
      </c>
      <c r="M935" s="59" t="n">
        <f aca="false">H935/Settings!$B$20</f>
        <v>-0</v>
      </c>
      <c r="N935" s="60" t="n">
        <f aca="false">E935*Settings!$B$3</f>
        <v>0.0309861510798204</v>
      </c>
      <c r="O935" s="60" t="n">
        <f aca="false">IF(E935&gt;0,(F935-N935)/SQRT(E935*Settings!$B$3*(1-Settings!$B$3)),0)</f>
        <v>-0.178821125934444</v>
      </c>
      <c r="P935" s="60" t="n">
        <f aca="false">MAX(0,F935-N935)</f>
        <v>0</v>
      </c>
      <c r="Q935" s="32" t="n">
        <f aca="false">(F935+Settings!$B$7*Settings!$B$3)/(E935+Settings!$B$7)</f>
        <v>0.0299865978191811</v>
      </c>
      <c r="R935" s="61" t="n">
        <f aca="false">PERCENTRANK($H$2:$H$1780,H935,6)</f>
        <v>0</v>
      </c>
      <c r="S935" s="61" t="n">
        <f aca="false">PERCENTRANK($Q$2:$Q$1780,Q935,6)</f>
        <v>0.486502</v>
      </c>
      <c r="T935" s="61" t="n">
        <f aca="false">PERCENTRANK($F$2:$F$1780,F935,6)</f>
        <v>0</v>
      </c>
      <c r="U935" s="62" t="n">
        <f aca="false">IF(F935&gt;0,(Settings!$B$8*T935+Settings!$B$9*R935+Settings!$B$10*S935)/SUM(Settings!$B$8:$B$10),0)</f>
        <v>0</v>
      </c>
      <c r="V935" s="56" t="str">
        <f aca="false">IF(U935&gt;0,RANK(U935,$U$2:$U$1780)+COUNTIF($U$2:U935,U935)-1,"")</f>
        <v/>
      </c>
      <c r="W935" s="56" t="str">
        <f aca="false">IF(V935="","",IF(V935&lt;=Settings!$B$11,"1 - Fix first",IF(V935&lt;=Settings!$B$12,"2 - Review","3 - Monitor")))</f>
        <v/>
      </c>
      <c r="X935" s="56" t="str">
        <f aca="false">IF(AND(E935&gt;=Settings!$B$4,F935&gt;=Settings!$B$5,O935&gt;=Settings!$B$6),"HIGH RATE","")</f>
        <v/>
      </c>
      <c r="Y935" s="56" t="str">
        <f aca="false">IF(F935&gt;0,RANK(F935,$F$2:$F$1780)+COUNTIF($F$2:F935,F935)-1,"")</f>
        <v/>
      </c>
      <c r="Z935" s="56" t="str">
        <f aca="false">IF(H935&gt;0,RANK(H935,$H$2:$H$1780)+COUNTIF($H$2:H935,H935)-1,"")</f>
        <v/>
      </c>
      <c r="AA935" s="56" t="str">
        <f aca="false">IF(AC935="","",RANK(AC935,$AC$2:$AC$1780)+COUNTIF($AC$2:AC935,AC935)-1)</f>
        <v/>
      </c>
      <c r="AB935" s="56" t="str">
        <f aca="false">IF(AD935="","",RANK(AD935,$AD$2:$AD$1780)+COUNTIF($AD$2:AD935,AD935)-1)</f>
        <v/>
      </c>
      <c r="AC935" s="56" t="str">
        <f aca="false">IF(AND(F935&gt;0,E935&gt;=Settings!$B$4),J935,"")</f>
        <v/>
      </c>
      <c r="AD935" s="56" t="str">
        <f aca="false">IF(X935="HIGH RATE",O935,"")</f>
        <v/>
      </c>
    </row>
    <row r="936" customFormat="false" ht="15" hidden="false" customHeight="false" outlineLevel="0" collapsed="false">
      <c r="A936" s="56" t="s">
        <v>2258</v>
      </c>
      <c r="B936" s="56" t="s">
        <v>2257</v>
      </c>
      <c r="C936" s="56" t="s">
        <v>51</v>
      </c>
      <c r="D936" s="56" t="str">
        <f aca="false">IFERROR(INDEX('Brand Map'!$B$4:$B$124,MATCH(C936,'Brand Map'!$A$4:$A$124,0)),"Other")</f>
        <v>AU</v>
      </c>
      <c r="E936" s="57" t="n">
        <v>3</v>
      </c>
      <c r="F936" s="57" t="n">
        <v>0</v>
      </c>
      <c r="G936" s="58" t="n">
        <v>224.85</v>
      </c>
      <c r="H936" s="58" t="n">
        <v>0</v>
      </c>
      <c r="I936" s="58" t="n">
        <v>224.85</v>
      </c>
      <c r="J936" s="32" t="n">
        <f aca="false">IF(E936&gt;0,F936/E936,0)</f>
        <v>0</v>
      </c>
      <c r="K936" s="32" t="n">
        <f aca="false">IF(G936&gt;0,H936/G936,0)</f>
        <v>-0</v>
      </c>
      <c r="L936" s="59" t="n">
        <f aca="false">H936/Settings!$B$16</f>
        <v>-0</v>
      </c>
      <c r="M936" s="59" t="n">
        <f aca="false">H936/Settings!$B$20</f>
        <v>-0</v>
      </c>
      <c r="N936" s="60" t="n">
        <f aca="false">E936*Settings!$B$3</f>
        <v>0.0929584532394613</v>
      </c>
      <c r="O936" s="60" t="n">
        <f aca="false">IF(E936&gt;0,(F936-N936)/SQRT(E936*Settings!$B$3*(1-Settings!$B$3)),0)</f>
        <v>-0.30972727558513</v>
      </c>
      <c r="P936" s="60" t="n">
        <f aca="false">MAX(0,F936-N936)</f>
        <v>0</v>
      </c>
      <c r="Q936" s="32" t="n">
        <f aca="false">(F936+Settings!$B$7*Settings!$B$3)/(E936+Settings!$B$7)</f>
        <v>0.0281692282543822</v>
      </c>
      <c r="R936" s="61" t="n">
        <f aca="false">PERCENTRANK($H$2:$H$1780,H936,6)</f>
        <v>0</v>
      </c>
      <c r="S936" s="61" t="n">
        <f aca="false">PERCENTRANK($Q$2:$Q$1780,Q936,6)</f>
        <v>0.294151</v>
      </c>
      <c r="T936" s="61" t="n">
        <f aca="false">PERCENTRANK($F$2:$F$1780,F936,6)</f>
        <v>0</v>
      </c>
      <c r="U936" s="62" t="n">
        <f aca="false">IF(F936&gt;0,(Settings!$B$8*T936+Settings!$B$9*R936+Settings!$B$10*S936)/SUM(Settings!$B$8:$B$10),0)</f>
        <v>0</v>
      </c>
      <c r="V936" s="56" t="str">
        <f aca="false">IF(U936&gt;0,RANK(U936,$U$2:$U$1780)+COUNTIF($U$2:U936,U936)-1,"")</f>
        <v/>
      </c>
      <c r="W936" s="56" t="str">
        <f aca="false">IF(V936="","",IF(V936&lt;=Settings!$B$11,"1 - Fix first",IF(V936&lt;=Settings!$B$12,"2 - Review","3 - Monitor")))</f>
        <v/>
      </c>
      <c r="X936" s="56" t="str">
        <f aca="false">IF(AND(E936&gt;=Settings!$B$4,F936&gt;=Settings!$B$5,O936&gt;=Settings!$B$6),"HIGH RATE","")</f>
        <v/>
      </c>
      <c r="Y936" s="56" t="str">
        <f aca="false">IF(F936&gt;0,RANK(F936,$F$2:$F$1780)+COUNTIF($F$2:F936,F936)-1,"")</f>
        <v/>
      </c>
      <c r="Z936" s="56" t="str">
        <f aca="false">IF(H936&gt;0,RANK(H936,$H$2:$H$1780)+COUNTIF($H$2:H936,H936)-1,"")</f>
        <v/>
      </c>
      <c r="AA936" s="56" t="str">
        <f aca="false">IF(AC936="","",RANK(AC936,$AC$2:$AC$1780)+COUNTIF($AC$2:AC936,AC936)-1)</f>
        <v/>
      </c>
      <c r="AB936" s="56" t="str">
        <f aca="false">IF(AD936="","",RANK(AD936,$AD$2:$AD$1780)+COUNTIF($AD$2:AD936,AD936)-1)</f>
        <v/>
      </c>
      <c r="AC936" s="56" t="str">
        <f aca="false">IF(AND(F936&gt;0,E936&gt;=Settings!$B$4),J936,"")</f>
        <v/>
      </c>
      <c r="AD936" s="56" t="str">
        <f aca="false">IF(X936="HIGH RATE",O936,"")</f>
        <v/>
      </c>
    </row>
    <row r="937" customFormat="false" ht="15" hidden="false" customHeight="false" outlineLevel="0" collapsed="false">
      <c r="A937" s="56" t="s">
        <v>2259</v>
      </c>
      <c r="B937" s="56" t="s">
        <v>2260</v>
      </c>
      <c r="C937" s="56" t="s">
        <v>51</v>
      </c>
      <c r="D937" s="56" t="str">
        <f aca="false">IFERROR(INDEX('Brand Map'!$B$4:$B$124,MATCH(C937,'Brand Map'!$A$4:$A$124,0)),"Other")</f>
        <v>AU</v>
      </c>
      <c r="E937" s="57" t="n">
        <v>2</v>
      </c>
      <c r="F937" s="57" t="n">
        <v>0</v>
      </c>
      <c r="G937" s="58" t="n">
        <v>227.9</v>
      </c>
      <c r="H937" s="58" t="n">
        <v>0</v>
      </c>
      <c r="I937" s="58" t="n">
        <v>227.9</v>
      </c>
      <c r="J937" s="32" t="n">
        <f aca="false">IF(E937&gt;0,F937/E937,0)</f>
        <v>0</v>
      </c>
      <c r="K937" s="32" t="n">
        <f aca="false">IF(G937&gt;0,H937/G937,0)</f>
        <v>-0</v>
      </c>
      <c r="L937" s="59" t="n">
        <f aca="false">H937/Settings!$B$16</f>
        <v>-0</v>
      </c>
      <c r="M937" s="59" t="n">
        <f aca="false">H937/Settings!$B$20</f>
        <v>-0</v>
      </c>
      <c r="N937" s="60" t="n">
        <f aca="false">E937*Settings!$B$3</f>
        <v>0.0619723021596408</v>
      </c>
      <c r="O937" s="60" t="n">
        <f aca="false">IF(E937&gt;0,(F937-N937)/SQRT(E937*Settings!$B$3*(1-Settings!$B$3)),0)</f>
        <v>-0.252891261535318</v>
      </c>
      <c r="P937" s="60" t="n">
        <f aca="false">MAX(0,F937-N937)</f>
        <v>0</v>
      </c>
      <c r="Q937" s="32" t="n">
        <f aca="false">(F937+Settings!$B$7*Settings!$B$3)/(E937+Settings!$B$7)</f>
        <v>0.0290495166373316</v>
      </c>
      <c r="R937" s="61" t="n">
        <f aca="false">PERCENTRANK($H$2:$H$1780,H937,6)</f>
        <v>0</v>
      </c>
      <c r="S937" s="61" t="n">
        <f aca="false">PERCENTRANK($Q$2:$Q$1780,Q937,6)</f>
        <v>0.365579</v>
      </c>
      <c r="T937" s="61" t="n">
        <f aca="false">PERCENTRANK($F$2:$F$1780,F937,6)</f>
        <v>0</v>
      </c>
      <c r="U937" s="62" t="n">
        <f aca="false">IF(F937&gt;0,(Settings!$B$8*T937+Settings!$B$9*R937+Settings!$B$10*S937)/SUM(Settings!$B$8:$B$10),0)</f>
        <v>0</v>
      </c>
      <c r="V937" s="56" t="str">
        <f aca="false">IF(U937&gt;0,RANK(U937,$U$2:$U$1780)+COUNTIF($U$2:U937,U937)-1,"")</f>
        <v/>
      </c>
      <c r="W937" s="56" t="str">
        <f aca="false">IF(V937="","",IF(V937&lt;=Settings!$B$11,"1 - Fix first",IF(V937&lt;=Settings!$B$12,"2 - Review","3 - Monitor")))</f>
        <v/>
      </c>
      <c r="X937" s="56" t="str">
        <f aca="false">IF(AND(E937&gt;=Settings!$B$4,F937&gt;=Settings!$B$5,O937&gt;=Settings!$B$6),"HIGH RATE","")</f>
        <v/>
      </c>
      <c r="Y937" s="56" t="str">
        <f aca="false">IF(F937&gt;0,RANK(F937,$F$2:$F$1780)+COUNTIF($F$2:F937,F937)-1,"")</f>
        <v/>
      </c>
      <c r="Z937" s="56" t="str">
        <f aca="false">IF(H937&gt;0,RANK(H937,$H$2:$H$1780)+COUNTIF($H$2:H937,H937)-1,"")</f>
        <v/>
      </c>
      <c r="AA937" s="56" t="str">
        <f aca="false">IF(AC937="","",RANK(AC937,$AC$2:$AC$1780)+COUNTIF($AC$2:AC937,AC937)-1)</f>
        <v/>
      </c>
      <c r="AB937" s="56" t="str">
        <f aca="false">IF(AD937="","",RANK(AD937,$AD$2:$AD$1780)+COUNTIF($AD$2:AD937,AD937)-1)</f>
        <v/>
      </c>
      <c r="AC937" s="56" t="str">
        <f aca="false">IF(AND(F937&gt;0,E937&gt;=Settings!$B$4),J937,"")</f>
        <v/>
      </c>
      <c r="AD937" s="56" t="str">
        <f aca="false">IF(X937="HIGH RATE",O937,"")</f>
        <v/>
      </c>
    </row>
    <row r="938" customFormat="false" ht="15" hidden="false" customHeight="false" outlineLevel="0" collapsed="false">
      <c r="A938" s="56" t="s">
        <v>2261</v>
      </c>
      <c r="B938" s="56" t="s">
        <v>2260</v>
      </c>
      <c r="C938" s="56" t="s">
        <v>51</v>
      </c>
      <c r="D938" s="56" t="str">
        <f aca="false">IFERROR(INDEX('Brand Map'!$B$4:$B$124,MATCH(C938,'Brand Map'!$A$4:$A$124,0)),"Other")</f>
        <v>AU</v>
      </c>
      <c r="E938" s="57" t="n">
        <v>2</v>
      </c>
      <c r="F938" s="57" t="n">
        <v>0</v>
      </c>
      <c r="G938" s="58" t="n">
        <v>257.9</v>
      </c>
      <c r="H938" s="58" t="n">
        <v>0</v>
      </c>
      <c r="I938" s="58" t="n">
        <v>257.9</v>
      </c>
      <c r="J938" s="32" t="n">
        <f aca="false">IF(E938&gt;0,F938/E938,0)</f>
        <v>0</v>
      </c>
      <c r="K938" s="32" t="n">
        <f aca="false">IF(G938&gt;0,H938/G938,0)</f>
        <v>-0</v>
      </c>
      <c r="L938" s="59" t="n">
        <f aca="false">H938/Settings!$B$16</f>
        <v>-0</v>
      </c>
      <c r="M938" s="59" t="n">
        <f aca="false">H938/Settings!$B$20</f>
        <v>-0</v>
      </c>
      <c r="N938" s="60" t="n">
        <f aca="false">E938*Settings!$B$3</f>
        <v>0.0619723021596408</v>
      </c>
      <c r="O938" s="60" t="n">
        <f aca="false">IF(E938&gt;0,(F938-N938)/SQRT(E938*Settings!$B$3*(1-Settings!$B$3)),0)</f>
        <v>-0.252891261535318</v>
      </c>
      <c r="P938" s="60" t="n">
        <f aca="false">MAX(0,F938-N938)</f>
        <v>0</v>
      </c>
      <c r="Q938" s="32" t="n">
        <f aca="false">(F938+Settings!$B$7*Settings!$B$3)/(E938+Settings!$B$7)</f>
        <v>0.0290495166373316</v>
      </c>
      <c r="R938" s="61" t="n">
        <f aca="false">PERCENTRANK($H$2:$H$1780,H938,6)</f>
        <v>0</v>
      </c>
      <c r="S938" s="61" t="n">
        <f aca="false">PERCENTRANK($Q$2:$Q$1780,Q938,6)</f>
        <v>0.365579</v>
      </c>
      <c r="T938" s="61" t="n">
        <f aca="false">PERCENTRANK($F$2:$F$1780,F938,6)</f>
        <v>0</v>
      </c>
      <c r="U938" s="62" t="n">
        <f aca="false">IF(F938&gt;0,(Settings!$B$8*T938+Settings!$B$9*R938+Settings!$B$10*S938)/SUM(Settings!$B$8:$B$10),0)</f>
        <v>0</v>
      </c>
      <c r="V938" s="56" t="str">
        <f aca="false">IF(U938&gt;0,RANK(U938,$U$2:$U$1780)+COUNTIF($U$2:U938,U938)-1,"")</f>
        <v/>
      </c>
      <c r="W938" s="56" t="str">
        <f aca="false">IF(V938="","",IF(V938&lt;=Settings!$B$11,"1 - Fix first",IF(V938&lt;=Settings!$B$12,"2 - Review","3 - Monitor")))</f>
        <v/>
      </c>
      <c r="X938" s="56" t="str">
        <f aca="false">IF(AND(E938&gt;=Settings!$B$4,F938&gt;=Settings!$B$5,O938&gt;=Settings!$B$6),"HIGH RATE","")</f>
        <v/>
      </c>
      <c r="Y938" s="56" t="str">
        <f aca="false">IF(F938&gt;0,RANK(F938,$F$2:$F$1780)+COUNTIF($F$2:F938,F938)-1,"")</f>
        <v/>
      </c>
      <c r="Z938" s="56" t="str">
        <f aca="false">IF(H938&gt;0,RANK(H938,$H$2:$H$1780)+COUNTIF($H$2:H938,H938)-1,"")</f>
        <v/>
      </c>
      <c r="AA938" s="56" t="str">
        <f aca="false">IF(AC938="","",RANK(AC938,$AC$2:$AC$1780)+COUNTIF($AC$2:AC938,AC938)-1)</f>
        <v/>
      </c>
      <c r="AB938" s="56" t="str">
        <f aca="false">IF(AD938="","",RANK(AD938,$AD$2:$AD$1780)+COUNTIF($AD$2:AD938,AD938)-1)</f>
        <v/>
      </c>
      <c r="AC938" s="56" t="str">
        <f aca="false">IF(AND(F938&gt;0,E938&gt;=Settings!$B$4),J938,"")</f>
        <v/>
      </c>
      <c r="AD938" s="56" t="str">
        <f aca="false">IF(X938="HIGH RATE",O938,"")</f>
        <v/>
      </c>
    </row>
    <row r="939" customFormat="false" ht="15" hidden="false" customHeight="false" outlineLevel="0" collapsed="false">
      <c r="A939" s="56" t="s">
        <v>2262</v>
      </c>
      <c r="B939" s="56" t="s">
        <v>2260</v>
      </c>
      <c r="C939" s="56" t="s">
        <v>51</v>
      </c>
      <c r="D939" s="56" t="str">
        <f aca="false">IFERROR(INDEX('Brand Map'!$B$4:$B$124,MATCH(C939,'Brand Map'!$A$4:$A$124,0)),"Other")</f>
        <v>AU</v>
      </c>
      <c r="E939" s="57" t="n">
        <v>5</v>
      </c>
      <c r="F939" s="57" t="n">
        <v>0</v>
      </c>
      <c r="G939" s="58" t="n">
        <v>494.75</v>
      </c>
      <c r="H939" s="58" t="n">
        <v>0</v>
      </c>
      <c r="I939" s="58" t="n">
        <v>494.75</v>
      </c>
      <c r="J939" s="32" t="n">
        <f aca="false">IF(E939&gt;0,F939/E939,0)</f>
        <v>0</v>
      </c>
      <c r="K939" s="32" t="n">
        <f aca="false">IF(G939&gt;0,H939/G939,0)</f>
        <v>-0</v>
      </c>
      <c r="L939" s="59" t="n">
        <f aca="false">H939/Settings!$B$16</f>
        <v>-0</v>
      </c>
      <c r="M939" s="59" t="n">
        <f aca="false">H939/Settings!$B$20</f>
        <v>-0</v>
      </c>
      <c r="N939" s="60" t="n">
        <f aca="false">E939*Settings!$B$3</f>
        <v>0.154930755399102</v>
      </c>
      <c r="O939" s="60" t="n">
        <f aca="false">IF(E939&gt;0,(F939-N939)/SQRT(E939*Settings!$B$3*(1-Settings!$B$3)),0)</f>
        <v>-0.399856193402468</v>
      </c>
      <c r="P939" s="60" t="n">
        <f aca="false">MAX(0,F939-N939)</f>
        <v>0</v>
      </c>
      <c r="Q939" s="32" t="n">
        <f aca="false">(F939+Settings!$B$7*Settings!$B$3)/(E939+Settings!$B$7)</f>
        <v>0.0265595580684175</v>
      </c>
      <c r="R939" s="61" t="n">
        <f aca="false">PERCENTRANK($H$2:$H$1780,H939,6)</f>
        <v>0</v>
      </c>
      <c r="S939" s="61" t="n">
        <f aca="false">PERCENTRANK($Q$2:$Q$1780,Q939,6)</f>
        <v>0.220472</v>
      </c>
      <c r="T939" s="61" t="n">
        <f aca="false">PERCENTRANK($F$2:$F$1780,F939,6)</f>
        <v>0</v>
      </c>
      <c r="U939" s="62" t="n">
        <f aca="false">IF(F939&gt;0,(Settings!$B$8*T939+Settings!$B$9*R939+Settings!$B$10*S939)/SUM(Settings!$B$8:$B$10),0)</f>
        <v>0</v>
      </c>
      <c r="V939" s="56" t="str">
        <f aca="false">IF(U939&gt;0,RANK(U939,$U$2:$U$1780)+COUNTIF($U$2:U939,U939)-1,"")</f>
        <v/>
      </c>
      <c r="W939" s="56" t="str">
        <f aca="false">IF(V939="","",IF(V939&lt;=Settings!$B$11,"1 - Fix first",IF(V939&lt;=Settings!$B$12,"2 - Review","3 - Monitor")))</f>
        <v/>
      </c>
      <c r="X939" s="56" t="str">
        <f aca="false">IF(AND(E939&gt;=Settings!$B$4,F939&gt;=Settings!$B$5,O939&gt;=Settings!$B$6),"HIGH RATE","")</f>
        <v/>
      </c>
      <c r="Y939" s="56" t="str">
        <f aca="false">IF(F939&gt;0,RANK(F939,$F$2:$F$1780)+COUNTIF($F$2:F939,F939)-1,"")</f>
        <v/>
      </c>
      <c r="Z939" s="56" t="str">
        <f aca="false">IF(H939&gt;0,RANK(H939,$H$2:$H$1780)+COUNTIF($H$2:H939,H939)-1,"")</f>
        <v/>
      </c>
      <c r="AA939" s="56" t="str">
        <f aca="false">IF(AC939="","",RANK(AC939,$AC$2:$AC$1780)+COUNTIF($AC$2:AC939,AC939)-1)</f>
        <v/>
      </c>
      <c r="AB939" s="56" t="str">
        <f aca="false">IF(AD939="","",RANK(AD939,$AD$2:$AD$1780)+COUNTIF($AD$2:AD939,AD939)-1)</f>
        <v/>
      </c>
      <c r="AC939" s="56" t="str">
        <f aca="false">IF(AND(F939&gt;0,E939&gt;=Settings!$B$4),J939,"")</f>
        <v/>
      </c>
      <c r="AD939" s="56" t="str">
        <f aca="false">IF(X939="HIGH RATE",O939,"")</f>
        <v/>
      </c>
    </row>
    <row r="940" customFormat="false" ht="15" hidden="false" customHeight="false" outlineLevel="0" collapsed="false">
      <c r="A940" s="56" t="s">
        <v>2263</v>
      </c>
      <c r="B940" s="56" t="s">
        <v>1134</v>
      </c>
      <c r="C940" s="56" t="s">
        <v>51</v>
      </c>
      <c r="D940" s="56" t="str">
        <f aca="false">IFERROR(INDEX('Brand Map'!$B$4:$B$124,MATCH(C940,'Brand Map'!$A$4:$A$124,0)),"Other")</f>
        <v>AU</v>
      </c>
      <c r="E940" s="57" t="n">
        <v>1</v>
      </c>
      <c r="F940" s="57" t="n">
        <v>0</v>
      </c>
      <c r="G940" s="58" t="n">
        <v>105.95</v>
      </c>
      <c r="H940" s="58" t="n">
        <v>0</v>
      </c>
      <c r="I940" s="58" t="n">
        <v>105.95</v>
      </c>
      <c r="J940" s="32" t="n">
        <f aca="false">IF(E940&gt;0,F940/E940,0)</f>
        <v>0</v>
      </c>
      <c r="K940" s="32" t="n">
        <f aca="false">IF(G940&gt;0,H940/G940,0)</f>
        <v>-0</v>
      </c>
      <c r="L940" s="59" t="n">
        <f aca="false">H940/Settings!$B$16</f>
        <v>-0</v>
      </c>
      <c r="M940" s="59" t="n">
        <f aca="false">H940/Settings!$B$20</f>
        <v>-0</v>
      </c>
      <c r="N940" s="60" t="n">
        <f aca="false">E940*Settings!$B$3</f>
        <v>0.0309861510798204</v>
      </c>
      <c r="O940" s="60" t="n">
        <f aca="false">IF(E940&gt;0,(F940-N940)/SQRT(E940*Settings!$B$3*(1-Settings!$B$3)),0)</f>
        <v>-0.178821125934444</v>
      </c>
      <c r="P940" s="60" t="n">
        <f aca="false">MAX(0,F940-N940)</f>
        <v>0</v>
      </c>
      <c r="Q940" s="32" t="n">
        <f aca="false">(F940+Settings!$B$7*Settings!$B$3)/(E940+Settings!$B$7)</f>
        <v>0.0299865978191811</v>
      </c>
      <c r="R940" s="61" t="n">
        <f aca="false">PERCENTRANK($H$2:$H$1780,H940,6)</f>
        <v>0</v>
      </c>
      <c r="S940" s="61" t="n">
        <f aca="false">PERCENTRANK($Q$2:$Q$1780,Q940,6)</f>
        <v>0.486502</v>
      </c>
      <c r="T940" s="61" t="n">
        <f aca="false">PERCENTRANK($F$2:$F$1780,F940,6)</f>
        <v>0</v>
      </c>
      <c r="U940" s="62" t="n">
        <f aca="false">IF(F940&gt;0,(Settings!$B$8*T940+Settings!$B$9*R940+Settings!$B$10*S940)/SUM(Settings!$B$8:$B$10),0)</f>
        <v>0</v>
      </c>
      <c r="V940" s="56" t="str">
        <f aca="false">IF(U940&gt;0,RANK(U940,$U$2:$U$1780)+COUNTIF($U$2:U940,U940)-1,"")</f>
        <v/>
      </c>
      <c r="W940" s="56" t="str">
        <f aca="false">IF(V940="","",IF(V940&lt;=Settings!$B$11,"1 - Fix first",IF(V940&lt;=Settings!$B$12,"2 - Review","3 - Monitor")))</f>
        <v/>
      </c>
      <c r="X940" s="56" t="str">
        <f aca="false">IF(AND(E940&gt;=Settings!$B$4,F940&gt;=Settings!$B$5,O940&gt;=Settings!$B$6),"HIGH RATE","")</f>
        <v/>
      </c>
      <c r="Y940" s="56" t="str">
        <f aca="false">IF(F940&gt;0,RANK(F940,$F$2:$F$1780)+COUNTIF($F$2:F940,F940)-1,"")</f>
        <v/>
      </c>
      <c r="Z940" s="56" t="str">
        <f aca="false">IF(H940&gt;0,RANK(H940,$H$2:$H$1780)+COUNTIF($H$2:H940,H940)-1,"")</f>
        <v/>
      </c>
      <c r="AA940" s="56" t="str">
        <f aca="false">IF(AC940="","",RANK(AC940,$AC$2:$AC$1780)+COUNTIF($AC$2:AC940,AC940)-1)</f>
        <v/>
      </c>
      <c r="AB940" s="56" t="str">
        <f aca="false">IF(AD940="","",RANK(AD940,$AD$2:$AD$1780)+COUNTIF($AD$2:AD940,AD940)-1)</f>
        <v/>
      </c>
      <c r="AC940" s="56" t="str">
        <f aca="false">IF(AND(F940&gt;0,E940&gt;=Settings!$B$4),J940,"")</f>
        <v/>
      </c>
      <c r="AD940" s="56" t="str">
        <f aca="false">IF(X940="HIGH RATE",O940,"")</f>
        <v/>
      </c>
    </row>
    <row r="941" customFormat="false" ht="15" hidden="false" customHeight="false" outlineLevel="0" collapsed="false">
      <c r="A941" s="56" t="s">
        <v>2264</v>
      </c>
      <c r="B941" s="56" t="s">
        <v>1134</v>
      </c>
      <c r="C941" s="56" t="s">
        <v>51</v>
      </c>
      <c r="D941" s="56" t="str">
        <f aca="false">IFERROR(INDEX('Brand Map'!$B$4:$B$124,MATCH(C941,'Brand Map'!$A$4:$A$124,0)),"Other")</f>
        <v>AU</v>
      </c>
      <c r="E941" s="57" t="n">
        <v>1</v>
      </c>
      <c r="F941" s="57" t="n">
        <v>0</v>
      </c>
      <c r="G941" s="58" t="n">
        <v>90.95</v>
      </c>
      <c r="H941" s="58" t="n">
        <v>0</v>
      </c>
      <c r="I941" s="58" t="n">
        <v>90.95</v>
      </c>
      <c r="J941" s="32" t="n">
        <f aca="false">IF(E941&gt;0,F941/E941,0)</f>
        <v>0</v>
      </c>
      <c r="K941" s="32" t="n">
        <f aca="false">IF(G941&gt;0,H941/G941,0)</f>
        <v>-0</v>
      </c>
      <c r="L941" s="59" t="n">
        <f aca="false">H941/Settings!$B$16</f>
        <v>-0</v>
      </c>
      <c r="M941" s="59" t="n">
        <f aca="false">H941/Settings!$B$20</f>
        <v>-0</v>
      </c>
      <c r="N941" s="60" t="n">
        <f aca="false">E941*Settings!$B$3</f>
        <v>0.0309861510798204</v>
      </c>
      <c r="O941" s="60" t="n">
        <f aca="false">IF(E941&gt;0,(F941-N941)/SQRT(E941*Settings!$B$3*(1-Settings!$B$3)),0)</f>
        <v>-0.178821125934444</v>
      </c>
      <c r="P941" s="60" t="n">
        <f aca="false">MAX(0,F941-N941)</f>
        <v>0</v>
      </c>
      <c r="Q941" s="32" t="n">
        <f aca="false">(F941+Settings!$B$7*Settings!$B$3)/(E941+Settings!$B$7)</f>
        <v>0.0299865978191811</v>
      </c>
      <c r="R941" s="61" t="n">
        <f aca="false">PERCENTRANK($H$2:$H$1780,H941,6)</f>
        <v>0</v>
      </c>
      <c r="S941" s="61" t="n">
        <f aca="false">PERCENTRANK($Q$2:$Q$1780,Q941,6)</f>
        <v>0.486502</v>
      </c>
      <c r="T941" s="61" t="n">
        <f aca="false">PERCENTRANK($F$2:$F$1780,F941,6)</f>
        <v>0</v>
      </c>
      <c r="U941" s="62" t="n">
        <f aca="false">IF(F941&gt;0,(Settings!$B$8*T941+Settings!$B$9*R941+Settings!$B$10*S941)/SUM(Settings!$B$8:$B$10),0)</f>
        <v>0</v>
      </c>
      <c r="V941" s="56" t="str">
        <f aca="false">IF(U941&gt;0,RANK(U941,$U$2:$U$1780)+COUNTIF($U$2:U941,U941)-1,"")</f>
        <v/>
      </c>
      <c r="W941" s="56" t="str">
        <f aca="false">IF(V941="","",IF(V941&lt;=Settings!$B$11,"1 - Fix first",IF(V941&lt;=Settings!$B$12,"2 - Review","3 - Monitor")))</f>
        <v/>
      </c>
      <c r="X941" s="56" t="str">
        <f aca="false">IF(AND(E941&gt;=Settings!$B$4,F941&gt;=Settings!$B$5,O941&gt;=Settings!$B$6),"HIGH RATE","")</f>
        <v/>
      </c>
      <c r="Y941" s="56" t="str">
        <f aca="false">IF(F941&gt;0,RANK(F941,$F$2:$F$1780)+COUNTIF($F$2:F941,F941)-1,"")</f>
        <v/>
      </c>
      <c r="Z941" s="56" t="str">
        <f aca="false">IF(H941&gt;0,RANK(H941,$H$2:$H$1780)+COUNTIF($H$2:H941,H941)-1,"")</f>
        <v/>
      </c>
      <c r="AA941" s="56" t="str">
        <f aca="false">IF(AC941="","",RANK(AC941,$AC$2:$AC$1780)+COUNTIF($AC$2:AC941,AC941)-1)</f>
        <v/>
      </c>
      <c r="AB941" s="56" t="str">
        <f aca="false">IF(AD941="","",RANK(AD941,$AD$2:$AD$1780)+COUNTIF($AD$2:AD941,AD941)-1)</f>
        <v/>
      </c>
      <c r="AC941" s="56" t="str">
        <f aca="false">IF(AND(F941&gt;0,E941&gt;=Settings!$B$4),J941,"")</f>
        <v/>
      </c>
      <c r="AD941" s="56" t="str">
        <f aca="false">IF(X941="HIGH RATE",O941,"")</f>
        <v/>
      </c>
    </row>
    <row r="942" customFormat="false" ht="15" hidden="false" customHeight="false" outlineLevel="0" collapsed="false">
      <c r="A942" s="56" t="s">
        <v>2265</v>
      </c>
      <c r="B942" s="56" t="s">
        <v>1608</v>
      </c>
      <c r="C942" s="56" t="s">
        <v>51</v>
      </c>
      <c r="D942" s="56" t="str">
        <f aca="false">IFERROR(INDEX('Brand Map'!$B$4:$B$124,MATCH(C942,'Brand Map'!$A$4:$A$124,0)),"Other")</f>
        <v>AU</v>
      </c>
      <c r="E942" s="57" t="n">
        <v>2</v>
      </c>
      <c r="F942" s="57" t="n">
        <v>0</v>
      </c>
      <c r="G942" s="58" t="n">
        <v>30</v>
      </c>
      <c r="H942" s="58" t="n">
        <v>0</v>
      </c>
      <c r="I942" s="58" t="n">
        <v>30</v>
      </c>
      <c r="J942" s="32" t="n">
        <f aca="false">IF(E942&gt;0,F942/E942,0)</f>
        <v>0</v>
      </c>
      <c r="K942" s="32" t="n">
        <f aca="false">IF(G942&gt;0,H942/G942,0)</f>
        <v>-0</v>
      </c>
      <c r="L942" s="59" t="n">
        <f aca="false">H942/Settings!$B$16</f>
        <v>-0</v>
      </c>
      <c r="M942" s="59" t="n">
        <f aca="false">H942/Settings!$B$20</f>
        <v>-0</v>
      </c>
      <c r="N942" s="60" t="n">
        <f aca="false">E942*Settings!$B$3</f>
        <v>0.0619723021596408</v>
      </c>
      <c r="O942" s="60" t="n">
        <f aca="false">IF(E942&gt;0,(F942-N942)/SQRT(E942*Settings!$B$3*(1-Settings!$B$3)),0)</f>
        <v>-0.252891261535318</v>
      </c>
      <c r="P942" s="60" t="n">
        <f aca="false">MAX(0,F942-N942)</f>
        <v>0</v>
      </c>
      <c r="Q942" s="32" t="n">
        <f aca="false">(F942+Settings!$B$7*Settings!$B$3)/(E942+Settings!$B$7)</f>
        <v>0.0290495166373316</v>
      </c>
      <c r="R942" s="61" t="n">
        <f aca="false">PERCENTRANK($H$2:$H$1780,H942,6)</f>
        <v>0</v>
      </c>
      <c r="S942" s="61" t="n">
        <f aca="false">PERCENTRANK($Q$2:$Q$1780,Q942,6)</f>
        <v>0.365579</v>
      </c>
      <c r="T942" s="61" t="n">
        <f aca="false">PERCENTRANK($F$2:$F$1780,F942,6)</f>
        <v>0</v>
      </c>
      <c r="U942" s="62" t="n">
        <f aca="false">IF(F942&gt;0,(Settings!$B$8*T942+Settings!$B$9*R942+Settings!$B$10*S942)/SUM(Settings!$B$8:$B$10),0)</f>
        <v>0</v>
      </c>
      <c r="V942" s="56" t="str">
        <f aca="false">IF(U942&gt;0,RANK(U942,$U$2:$U$1780)+COUNTIF($U$2:U942,U942)-1,"")</f>
        <v/>
      </c>
      <c r="W942" s="56" t="str">
        <f aca="false">IF(V942="","",IF(V942&lt;=Settings!$B$11,"1 - Fix first",IF(V942&lt;=Settings!$B$12,"2 - Review","3 - Monitor")))</f>
        <v/>
      </c>
      <c r="X942" s="56" t="str">
        <f aca="false">IF(AND(E942&gt;=Settings!$B$4,F942&gt;=Settings!$B$5,O942&gt;=Settings!$B$6),"HIGH RATE","")</f>
        <v/>
      </c>
      <c r="Y942" s="56" t="str">
        <f aca="false">IF(F942&gt;0,RANK(F942,$F$2:$F$1780)+COUNTIF($F$2:F942,F942)-1,"")</f>
        <v/>
      </c>
      <c r="Z942" s="56" t="str">
        <f aca="false">IF(H942&gt;0,RANK(H942,$H$2:$H$1780)+COUNTIF($H$2:H942,H942)-1,"")</f>
        <v/>
      </c>
      <c r="AA942" s="56" t="str">
        <f aca="false">IF(AC942="","",RANK(AC942,$AC$2:$AC$1780)+COUNTIF($AC$2:AC942,AC942)-1)</f>
        <v/>
      </c>
      <c r="AB942" s="56" t="str">
        <f aca="false">IF(AD942="","",RANK(AD942,$AD$2:$AD$1780)+COUNTIF($AD$2:AD942,AD942)-1)</f>
        <v/>
      </c>
      <c r="AC942" s="56" t="str">
        <f aca="false">IF(AND(F942&gt;0,E942&gt;=Settings!$B$4),J942,"")</f>
        <v/>
      </c>
      <c r="AD942" s="56" t="str">
        <f aca="false">IF(X942="HIGH RATE",O942,"")</f>
        <v/>
      </c>
    </row>
    <row r="943" customFormat="false" ht="15" hidden="false" customHeight="false" outlineLevel="0" collapsed="false">
      <c r="A943" s="56" t="s">
        <v>2266</v>
      </c>
      <c r="B943" s="56" t="s">
        <v>1608</v>
      </c>
      <c r="C943" s="56" t="s">
        <v>51</v>
      </c>
      <c r="D943" s="56" t="str">
        <f aca="false">IFERROR(INDEX('Brand Map'!$B$4:$B$124,MATCH(C943,'Brand Map'!$A$4:$A$124,0)),"Other")</f>
        <v>AU</v>
      </c>
      <c r="E943" s="57" t="n">
        <v>1</v>
      </c>
      <c r="F943" s="57" t="n">
        <v>0</v>
      </c>
      <c r="G943" s="58" t="n">
        <v>154.95</v>
      </c>
      <c r="H943" s="58" t="n">
        <v>0</v>
      </c>
      <c r="I943" s="58" t="n">
        <v>154.95</v>
      </c>
      <c r="J943" s="32" t="n">
        <f aca="false">IF(E943&gt;0,F943/E943,0)</f>
        <v>0</v>
      </c>
      <c r="K943" s="32" t="n">
        <f aca="false">IF(G943&gt;0,H943/G943,0)</f>
        <v>-0</v>
      </c>
      <c r="L943" s="59" t="n">
        <f aca="false">H943/Settings!$B$16</f>
        <v>-0</v>
      </c>
      <c r="M943" s="59" t="n">
        <f aca="false">H943/Settings!$B$20</f>
        <v>-0</v>
      </c>
      <c r="N943" s="60" t="n">
        <f aca="false">E943*Settings!$B$3</f>
        <v>0.0309861510798204</v>
      </c>
      <c r="O943" s="60" t="n">
        <f aca="false">IF(E943&gt;0,(F943-N943)/SQRT(E943*Settings!$B$3*(1-Settings!$B$3)),0)</f>
        <v>-0.178821125934444</v>
      </c>
      <c r="P943" s="60" t="n">
        <f aca="false">MAX(0,F943-N943)</f>
        <v>0</v>
      </c>
      <c r="Q943" s="32" t="n">
        <f aca="false">(F943+Settings!$B$7*Settings!$B$3)/(E943+Settings!$B$7)</f>
        <v>0.0299865978191811</v>
      </c>
      <c r="R943" s="61" t="n">
        <f aca="false">PERCENTRANK($H$2:$H$1780,H943,6)</f>
        <v>0</v>
      </c>
      <c r="S943" s="61" t="n">
        <f aca="false">PERCENTRANK($Q$2:$Q$1780,Q943,6)</f>
        <v>0.486502</v>
      </c>
      <c r="T943" s="61" t="n">
        <f aca="false">PERCENTRANK($F$2:$F$1780,F943,6)</f>
        <v>0</v>
      </c>
      <c r="U943" s="62" t="n">
        <f aca="false">IF(F943&gt;0,(Settings!$B$8*T943+Settings!$B$9*R943+Settings!$B$10*S943)/SUM(Settings!$B$8:$B$10),0)</f>
        <v>0</v>
      </c>
      <c r="V943" s="56" t="str">
        <f aca="false">IF(U943&gt;0,RANK(U943,$U$2:$U$1780)+COUNTIF($U$2:U943,U943)-1,"")</f>
        <v/>
      </c>
      <c r="W943" s="56" t="str">
        <f aca="false">IF(V943="","",IF(V943&lt;=Settings!$B$11,"1 - Fix first",IF(V943&lt;=Settings!$B$12,"2 - Review","3 - Monitor")))</f>
        <v/>
      </c>
      <c r="X943" s="56" t="str">
        <f aca="false">IF(AND(E943&gt;=Settings!$B$4,F943&gt;=Settings!$B$5,O943&gt;=Settings!$B$6),"HIGH RATE","")</f>
        <v/>
      </c>
      <c r="Y943" s="56" t="str">
        <f aca="false">IF(F943&gt;0,RANK(F943,$F$2:$F$1780)+COUNTIF($F$2:F943,F943)-1,"")</f>
        <v/>
      </c>
      <c r="Z943" s="56" t="str">
        <f aca="false">IF(H943&gt;0,RANK(H943,$H$2:$H$1780)+COUNTIF($H$2:H943,H943)-1,"")</f>
        <v/>
      </c>
      <c r="AA943" s="56" t="str">
        <f aca="false">IF(AC943="","",RANK(AC943,$AC$2:$AC$1780)+COUNTIF($AC$2:AC943,AC943)-1)</f>
        <v/>
      </c>
      <c r="AB943" s="56" t="str">
        <f aca="false">IF(AD943="","",RANK(AD943,$AD$2:$AD$1780)+COUNTIF($AD$2:AD943,AD943)-1)</f>
        <v/>
      </c>
      <c r="AC943" s="56" t="str">
        <f aca="false">IF(AND(F943&gt;0,E943&gt;=Settings!$B$4),J943,"")</f>
        <v/>
      </c>
      <c r="AD943" s="56" t="str">
        <f aca="false">IF(X943="HIGH RATE",O943,"")</f>
        <v/>
      </c>
    </row>
    <row r="944" customFormat="false" ht="15" hidden="false" customHeight="false" outlineLevel="0" collapsed="false">
      <c r="A944" s="56" t="s">
        <v>2267</v>
      </c>
      <c r="B944" s="56" t="s">
        <v>2268</v>
      </c>
      <c r="C944" s="56" t="s">
        <v>51</v>
      </c>
      <c r="D944" s="56" t="str">
        <f aca="false">IFERROR(INDEX('Brand Map'!$B$4:$B$124,MATCH(C944,'Brand Map'!$A$4:$A$124,0)),"Other")</f>
        <v>AU</v>
      </c>
      <c r="E944" s="57" t="n">
        <v>4</v>
      </c>
      <c r="F944" s="57" t="n">
        <v>0</v>
      </c>
      <c r="G944" s="58" t="n">
        <v>299.8</v>
      </c>
      <c r="H944" s="58" t="n">
        <v>0</v>
      </c>
      <c r="I944" s="58" t="n">
        <v>299.8</v>
      </c>
      <c r="J944" s="32" t="n">
        <f aca="false">IF(E944&gt;0,F944/E944,0)</f>
        <v>0</v>
      </c>
      <c r="K944" s="32" t="n">
        <f aca="false">IF(G944&gt;0,H944/G944,0)</f>
        <v>-0</v>
      </c>
      <c r="L944" s="59" t="n">
        <f aca="false">H944/Settings!$B$16</f>
        <v>-0</v>
      </c>
      <c r="M944" s="59" t="n">
        <f aca="false">H944/Settings!$B$20</f>
        <v>-0</v>
      </c>
      <c r="N944" s="60" t="n">
        <f aca="false">E944*Settings!$B$3</f>
        <v>0.123944604319282</v>
      </c>
      <c r="O944" s="60" t="n">
        <f aca="false">IF(E944&gt;0,(F944-N944)/SQRT(E944*Settings!$B$3*(1-Settings!$B$3)),0)</f>
        <v>-0.357642251868888</v>
      </c>
      <c r="P944" s="60" t="n">
        <f aca="false">MAX(0,F944-N944)</f>
        <v>0</v>
      </c>
      <c r="Q944" s="32" t="n">
        <f aca="false">(F944+Settings!$B$7*Settings!$B$3)/(E944+Settings!$B$7)</f>
        <v>0.027340721541018</v>
      </c>
      <c r="R944" s="61" t="n">
        <f aca="false">PERCENTRANK($H$2:$H$1780,H944,6)</f>
        <v>0</v>
      </c>
      <c r="S944" s="61" t="n">
        <f aca="false">PERCENTRANK($Q$2:$Q$1780,Q944,6)</f>
        <v>0.253656</v>
      </c>
      <c r="T944" s="61" t="n">
        <f aca="false">PERCENTRANK($F$2:$F$1780,F944,6)</f>
        <v>0</v>
      </c>
      <c r="U944" s="62" t="n">
        <f aca="false">IF(F944&gt;0,(Settings!$B$8*T944+Settings!$B$9*R944+Settings!$B$10*S944)/SUM(Settings!$B$8:$B$10),0)</f>
        <v>0</v>
      </c>
      <c r="V944" s="56" t="str">
        <f aca="false">IF(U944&gt;0,RANK(U944,$U$2:$U$1780)+COUNTIF($U$2:U944,U944)-1,"")</f>
        <v/>
      </c>
      <c r="W944" s="56" t="str">
        <f aca="false">IF(V944="","",IF(V944&lt;=Settings!$B$11,"1 - Fix first",IF(V944&lt;=Settings!$B$12,"2 - Review","3 - Monitor")))</f>
        <v/>
      </c>
      <c r="X944" s="56" t="str">
        <f aca="false">IF(AND(E944&gt;=Settings!$B$4,F944&gt;=Settings!$B$5,O944&gt;=Settings!$B$6),"HIGH RATE","")</f>
        <v/>
      </c>
      <c r="Y944" s="56" t="str">
        <f aca="false">IF(F944&gt;0,RANK(F944,$F$2:$F$1780)+COUNTIF($F$2:F944,F944)-1,"")</f>
        <v/>
      </c>
      <c r="Z944" s="56" t="str">
        <f aca="false">IF(H944&gt;0,RANK(H944,$H$2:$H$1780)+COUNTIF($H$2:H944,H944)-1,"")</f>
        <v/>
      </c>
      <c r="AA944" s="56" t="str">
        <f aca="false">IF(AC944="","",RANK(AC944,$AC$2:$AC$1780)+COUNTIF($AC$2:AC944,AC944)-1)</f>
        <v/>
      </c>
      <c r="AB944" s="56" t="str">
        <f aca="false">IF(AD944="","",RANK(AD944,$AD$2:$AD$1780)+COUNTIF($AD$2:AD944,AD944)-1)</f>
        <v/>
      </c>
      <c r="AC944" s="56" t="str">
        <f aca="false">IF(AND(F944&gt;0,E944&gt;=Settings!$B$4),J944,"")</f>
        <v/>
      </c>
      <c r="AD944" s="56" t="str">
        <f aca="false">IF(X944="HIGH RATE",O944,"")</f>
        <v/>
      </c>
    </row>
    <row r="945" customFormat="false" ht="15" hidden="false" customHeight="false" outlineLevel="0" collapsed="false">
      <c r="A945" s="56" t="s">
        <v>2269</v>
      </c>
      <c r="B945" s="56" t="s">
        <v>2268</v>
      </c>
      <c r="C945" s="56" t="s">
        <v>51</v>
      </c>
      <c r="D945" s="56" t="str">
        <f aca="false">IFERROR(INDEX('Brand Map'!$B$4:$B$124,MATCH(C945,'Brand Map'!$A$4:$A$124,0)),"Other")</f>
        <v>AU</v>
      </c>
      <c r="E945" s="57" t="n">
        <v>1</v>
      </c>
      <c r="F945" s="57" t="n">
        <v>0</v>
      </c>
      <c r="G945" s="58" t="n">
        <v>89.95</v>
      </c>
      <c r="H945" s="58" t="n">
        <v>0</v>
      </c>
      <c r="I945" s="58" t="n">
        <v>89.95</v>
      </c>
      <c r="J945" s="32" t="n">
        <f aca="false">IF(E945&gt;0,F945/E945,0)</f>
        <v>0</v>
      </c>
      <c r="K945" s="32" t="n">
        <f aca="false">IF(G945&gt;0,H945/G945,0)</f>
        <v>-0</v>
      </c>
      <c r="L945" s="59" t="n">
        <f aca="false">H945/Settings!$B$16</f>
        <v>-0</v>
      </c>
      <c r="M945" s="59" t="n">
        <f aca="false">H945/Settings!$B$20</f>
        <v>-0</v>
      </c>
      <c r="N945" s="60" t="n">
        <f aca="false">E945*Settings!$B$3</f>
        <v>0.0309861510798204</v>
      </c>
      <c r="O945" s="60" t="n">
        <f aca="false">IF(E945&gt;0,(F945-N945)/SQRT(E945*Settings!$B$3*(1-Settings!$B$3)),0)</f>
        <v>-0.178821125934444</v>
      </c>
      <c r="P945" s="60" t="n">
        <f aca="false">MAX(0,F945-N945)</f>
        <v>0</v>
      </c>
      <c r="Q945" s="32" t="n">
        <f aca="false">(F945+Settings!$B$7*Settings!$B$3)/(E945+Settings!$B$7)</f>
        <v>0.0299865978191811</v>
      </c>
      <c r="R945" s="61" t="n">
        <f aca="false">PERCENTRANK($H$2:$H$1780,H945,6)</f>
        <v>0</v>
      </c>
      <c r="S945" s="61" t="n">
        <f aca="false">PERCENTRANK($Q$2:$Q$1780,Q945,6)</f>
        <v>0.486502</v>
      </c>
      <c r="T945" s="61" t="n">
        <f aca="false">PERCENTRANK($F$2:$F$1780,F945,6)</f>
        <v>0</v>
      </c>
      <c r="U945" s="62" t="n">
        <f aca="false">IF(F945&gt;0,(Settings!$B$8*T945+Settings!$B$9*R945+Settings!$B$10*S945)/SUM(Settings!$B$8:$B$10),0)</f>
        <v>0</v>
      </c>
      <c r="V945" s="56" t="str">
        <f aca="false">IF(U945&gt;0,RANK(U945,$U$2:$U$1780)+COUNTIF($U$2:U945,U945)-1,"")</f>
        <v/>
      </c>
      <c r="W945" s="56" t="str">
        <f aca="false">IF(V945="","",IF(V945&lt;=Settings!$B$11,"1 - Fix first",IF(V945&lt;=Settings!$B$12,"2 - Review","3 - Monitor")))</f>
        <v/>
      </c>
      <c r="X945" s="56" t="str">
        <f aca="false">IF(AND(E945&gt;=Settings!$B$4,F945&gt;=Settings!$B$5,O945&gt;=Settings!$B$6),"HIGH RATE","")</f>
        <v/>
      </c>
      <c r="Y945" s="56" t="str">
        <f aca="false">IF(F945&gt;0,RANK(F945,$F$2:$F$1780)+COUNTIF($F$2:F945,F945)-1,"")</f>
        <v/>
      </c>
      <c r="Z945" s="56" t="str">
        <f aca="false">IF(H945&gt;0,RANK(H945,$H$2:$H$1780)+COUNTIF($H$2:H945,H945)-1,"")</f>
        <v/>
      </c>
      <c r="AA945" s="56" t="str">
        <f aca="false">IF(AC945="","",RANK(AC945,$AC$2:$AC$1780)+COUNTIF($AC$2:AC945,AC945)-1)</f>
        <v/>
      </c>
      <c r="AB945" s="56" t="str">
        <f aca="false">IF(AD945="","",RANK(AD945,$AD$2:$AD$1780)+COUNTIF($AD$2:AD945,AD945)-1)</f>
        <v/>
      </c>
      <c r="AC945" s="56" t="str">
        <f aca="false">IF(AND(F945&gt;0,E945&gt;=Settings!$B$4),J945,"")</f>
        <v/>
      </c>
      <c r="AD945" s="56" t="str">
        <f aca="false">IF(X945="HIGH RATE",O945,"")</f>
        <v/>
      </c>
    </row>
    <row r="946" customFormat="false" ht="15" hidden="false" customHeight="false" outlineLevel="0" collapsed="false">
      <c r="A946" s="56" t="s">
        <v>2270</v>
      </c>
      <c r="B946" s="56" t="s">
        <v>2271</v>
      </c>
      <c r="C946" s="56" t="s">
        <v>51</v>
      </c>
      <c r="D946" s="56" t="str">
        <f aca="false">IFERROR(INDEX('Brand Map'!$B$4:$B$124,MATCH(C946,'Brand Map'!$A$4:$A$124,0)),"Other")</f>
        <v>AU</v>
      </c>
      <c r="E946" s="57" t="n">
        <v>1</v>
      </c>
      <c r="F946" s="57" t="n">
        <v>0</v>
      </c>
      <c r="G946" s="58" t="n">
        <v>79.95</v>
      </c>
      <c r="H946" s="58" t="n">
        <v>0</v>
      </c>
      <c r="I946" s="58" t="n">
        <v>79.95</v>
      </c>
      <c r="J946" s="32" t="n">
        <f aca="false">IF(E946&gt;0,F946/E946,0)</f>
        <v>0</v>
      </c>
      <c r="K946" s="32" t="n">
        <f aca="false">IF(G946&gt;0,H946/G946,0)</f>
        <v>-0</v>
      </c>
      <c r="L946" s="59" t="n">
        <f aca="false">H946/Settings!$B$16</f>
        <v>-0</v>
      </c>
      <c r="M946" s="59" t="n">
        <f aca="false">H946/Settings!$B$20</f>
        <v>-0</v>
      </c>
      <c r="N946" s="60" t="n">
        <f aca="false">E946*Settings!$B$3</f>
        <v>0.0309861510798204</v>
      </c>
      <c r="O946" s="60" t="n">
        <f aca="false">IF(E946&gt;0,(F946-N946)/SQRT(E946*Settings!$B$3*(1-Settings!$B$3)),0)</f>
        <v>-0.178821125934444</v>
      </c>
      <c r="P946" s="60" t="n">
        <f aca="false">MAX(0,F946-N946)</f>
        <v>0</v>
      </c>
      <c r="Q946" s="32" t="n">
        <f aca="false">(F946+Settings!$B$7*Settings!$B$3)/(E946+Settings!$B$7)</f>
        <v>0.0299865978191811</v>
      </c>
      <c r="R946" s="61" t="n">
        <f aca="false">PERCENTRANK($H$2:$H$1780,H946,6)</f>
        <v>0</v>
      </c>
      <c r="S946" s="61" t="n">
        <f aca="false">PERCENTRANK($Q$2:$Q$1780,Q946,6)</f>
        <v>0.486502</v>
      </c>
      <c r="T946" s="61" t="n">
        <f aca="false">PERCENTRANK($F$2:$F$1780,F946,6)</f>
        <v>0</v>
      </c>
      <c r="U946" s="62" t="n">
        <f aca="false">IF(F946&gt;0,(Settings!$B$8*T946+Settings!$B$9*R946+Settings!$B$10*S946)/SUM(Settings!$B$8:$B$10),0)</f>
        <v>0</v>
      </c>
      <c r="V946" s="56" t="str">
        <f aca="false">IF(U946&gt;0,RANK(U946,$U$2:$U$1780)+COUNTIF($U$2:U946,U946)-1,"")</f>
        <v/>
      </c>
      <c r="W946" s="56" t="str">
        <f aca="false">IF(V946="","",IF(V946&lt;=Settings!$B$11,"1 - Fix first",IF(V946&lt;=Settings!$B$12,"2 - Review","3 - Monitor")))</f>
        <v/>
      </c>
      <c r="X946" s="56" t="str">
        <f aca="false">IF(AND(E946&gt;=Settings!$B$4,F946&gt;=Settings!$B$5,O946&gt;=Settings!$B$6),"HIGH RATE","")</f>
        <v/>
      </c>
      <c r="Y946" s="56" t="str">
        <f aca="false">IF(F946&gt;0,RANK(F946,$F$2:$F$1780)+COUNTIF($F$2:F946,F946)-1,"")</f>
        <v/>
      </c>
      <c r="Z946" s="56" t="str">
        <f aca="false">IF(H946&gt;0,RANK(H946,$H$2:$H$1780)+COUNTIF($H$2:H946,H946)-1,"")</f>
        <v/>
      </c>
      <c r="AA946" s="56" t="str">
        <f aca="false">IF(AC946="","",RANK(AC946,$AC$2:$AC$1780)+COUNTIF($AC$2:AC946,AC946)-1)</f>
        <v/>
      </c>
      <c r="AB946" s="56" t="str">
        <f aca="false">IF(AD946="","",RANK(AD946,$AD$2:$AD$1780)+COUNTIF($AD$2:AD946,AD946)-1)</f>
        <v/>
      </c>
      <c r="AC946" s="56" t="str">
        <f aca="false">IF(AND(F946&gt;0,E946&gt;=Settings!$B$4),J946,"")</f>
        <v/>
      </c>
      <c r="AD946" s="56" t="str">
        <f aca="false">IF(X946="HIGH RATE",O946,"")</f>
        <v/>
      </c>
    </row>
    <row r="947" customFormat="false" ht="15" hidden="false" customHeight="false" outlineLevel="0" collapsed="false">
      <c r="A947" s="56" t="s">
        <v>2272</v>
      </c>
      <c r="B947" s="56" t="s">
        <v>2271</v>
      </c>
      <c r="C947" s="56" t="s">
        <v>51</v>
      </c>
      <c r="D947" s="56" t="str">
        <f aca="false">IFERROR(INDEX('Brand Map'!$B$4:$B$124,MATCH(C947,'Brand Map'!$A$4:$A$124,0)),"Other")</f>
        <v>AU</v>
      </c>
      <c r="E947" s="57" t="n">
        <v>1</v>
      </c>
      <c r="F947" s="57" t="n">
        <v>0</v>
      </c>
      <c r="G947" s="58" t="n">
        <v>49.95</v>
      </c>
      <c r="H947" s="58" t="n">
        <v>0</v>
      </c>
      <c r="I947" s="58" t="n">
        <v>49.95</v>
      </c>
      <c r="J947" s="32" t="n">
        <f aca="false">IF(E947&gt;0,F947/E947,0)</f>
        <v>0</v>
      </c>
      <c r="K947" s="32" t="n">
        <f aca="false">IF(G947&gt;0,H947/G947,0)</f>
        <v>-0</v>
      </c>
      <c r="L947" s="59" t="n">
        <f aca="false">H947/Settings!$B$16</f>
        <v>-0</v>
      </c>
      <c r="M947" s="59" t="n">
        <f aca="false">H947/Settings!$B$20</f>
        <v>-0</v>
      </c>
      <c r="N947" s="60" t="n">
        <f aca="false">E947*Settings!$B$3</f>
        <v>0.0309861510798204</v>
      </c>
      <c r="O947" s="60" t="n">
        <f aca="false">IF(E947&gt;0,(F947-N947)/SQRT(E947*Settings!$B$3*(1-Settings!$B$3)),0)</f>
        <v>-0.178821125934444</v>
      </c>
      <c r="P947" s="60" t="n">
        <f aca="false">MAX(0,F947-N947)</f>
        <v>0</v>
      </c>
      <c r="Q947" s="32" t="n">
        <f aca="false">(F947+Settings!$B$7*Settings!$B$3)/(E947+Settings!$B$7)</f>
        <v>0.0299865978191811</v>
      </c>
      <c r="R947" s="61" t="n">
        <f aca="false">PERCENTRANK($H$2:$H$1780,H947,6)</f>
        <v>0</v>
      </c>
      <c r="S947" s="61" t="n">
        <f aca="false">PERCENTRANK($Q$2:$Q$1780,Q947,6)</f>
        <v>0.486502</v>
      </c>
      <c r="T947" s="61" t="n">
        <f aca="false">PERCENTRANK($F$2:$F$1780,F947,6)</f>
        <v>0</v>
      </c>
      <c r="U947" s="62" t="n">
        <f aca="false">IF(F947&gt;0,(Settings!$B$8*T947+Settings!$B$9*R947+Settings!$B$10*S947)/SUM(Settings!$B$8:$B$10),0)</f>
        <v>0</v>
      </c>
      <c r="V947" s="56" t="str">
        <f aca="false">IF(U947&gt;0,RANK(U947,$U$2:$U$1780)+COUNTIF($U$2:U947,U947)-1,"")</f>
        <v/>
      </c>
      <c r="W947" s="56" t="str">
        <f aca="false">IF(V947="","",IF(V947&lt;=Settings!$B$11,"1 - Fix first",IF(V947&lt;=Settings!$B$12,"2 - Review","3 - Monitor")))</f>
        <v/>
      </c>
      <c r="X947" s="56" t="str">
        <f aca="false">IF(AND(E947&gt;=Settings!$B$4,F947&gt;=Settings!$B$5,O947&gt;=Settings!$B$6),"HIGH RATE","")</f>
        <v/>
      </c>
      <c r="Y947" s="56" t="str">
        <f aca="false">IF(F947&gt;0,RANK(F947,$F$2:$F$1780)+COUNTIF($F$2:F947,F947)-1,"")</f>
        <v/>
      </c>
      <c r="Z947" s="56" t="str">
        <f aca="false">IF(H947&gt;0,RANK(H947,$H$2:$H$1780)+COUNTIF($H$2:H947,H947)-1,"")</f>
        <v/>
      </c>
      <c r="AA947" s="56" t="str">
        <f aca="false">IF(AC947="","",RANK(AC947,$AC$2:$AC$1780)+COUNTIF($AC$2:AC947,AC947)-1)</f>
        <v/>
      </c>
      <c r="AB947" s="56" t="str">
        <f aca="false">IF(AD947="","",RANK(AD947,$AD$2:$AD$1780)+COUNTIF($AD$2:AD947,AD947)-1)</f>
        <v/>
      </c>
      <c r="AC947" s="56" t="str">
        <f aca="false">IF(AND(F947&gt;0,E947&gt;=Settings!$B$4),J947,"")</f>
        <v/>
      </c>
      <c r="AD947" s="56" t="str">
        <f aca="false">IF(X947="HIGH RATE",O947,"")</f>
        <v/>
      </c>
    </row>
    <row r="948" customFormat="false" ht="15" hidden="false" customHeight="false" outlineLevel="0" collapsed="false">
      <c r="A948" s="56" t="s">
        <v>2273</v>
      </c>
      <c r="B948" s="56" t="s">
        <v>1653</v>
      </c>
      <c r="C948" s="56" t="s">
        <v>51</v>
      </c>
      <c r="D948" s="56" t="str">
        <f aca="false">IFERROR(INDEX('Brand Map'!$B$4:$B$124,MATCH(C948,'Brand Map'!$A$4:$A$124,0)),"Other")</f>
        <v>AU</v>
      </c>
      <c r="E948" s="57" t="n">
        <v>9</v>
      </c>
      <c r="F948" s="57" t="n">
        <v>0</v>
      </c>
      <c r="G948" s="58" t="n">
        <v>764.55</v>
      </c>
      <c r="H948" s="58" t="n">
        <v>0</v>
      </c>
      <c r="I948" s="58" t="n">
        <v>764.55</v>
      </c>
      <c r="J948" s="32" t="n">
        <f aca="false">IF(E948&gt;0,F948/E948,0)</f>
        <v>0</v>
      </c>
      <c r="K948" s="32" t="n">
        <f aca="false">IF(G948&gt;0,H948/G948,0)</f>
        <v>-0</v>
      </c>
      <c r="L948" s="59" t="n">
        <f aca="false">H948/Settings!$B$16</f>
        <v>-0</v>
      </c>
      <c r="M948" s="59" t="n">
        <f aca="false">H948/Settings!$B$20</f>
        <v>-0</v>
      </c>
      <c r="N948" s="60" t="n">
        <f aca="false">E948*Settings!$B$3</f>
        <v>0.278875359718384</v>
      </c>
      <c r="O948" s="60" t="n">
        <f aca="false">IF(E948&gt;0,(F948-N948)/SQRT(E948*Settings!$B$3*(1-Settings!$B$3)),0)</f>
        <v>-0.536463377803332</v>
      </c>
      <c r="P948" s="60" t="n">
        <f aca="false">MAX(0,F948-N948)</f>
        <v>0</v>
      </c>
      <c r="Q948" s="32" t="n">
        <f aca="false">(F948+Settings!$B$7*Settings!$B$3)/(E948+Settings!$B$7)</f>
        <v>0.0238355008306311</v>
      </c>
      <c r="R948" s="61" t="n">
        <f aca="false">PERCENTRANK($H$2:$H$1780,H948,6)</f>
        <v>0</v>
      </c>
      <c r="S948" s="61" t="n">
        <f aca="false">PERCENTRANK($Q$2:$Q$1780,Q948,6)</f>
        <v>0.142857</v>
      </c>
      <c r="T948" s="61" t="n">
        <f aca="false">PERCENTRANK($F$2:$F$1780,F948,6)</f>
        <v>0</v>
      </c>
      <c r="U948" s="62" t="n">
        <f aca="false">IF(F948&gt;0,(Settings!$B$8*T948+Settings!$B$9*R948+Settings!$B$10*S948)/SUM(Settings!$B$8:$B$10),0)</f>
        <v>0</v>
      </c>
      <c r="V948" s="56" t="str">
        <f aca="false">IF(U948&gt;0,RANK(U948,$U$2:$U$1780)+COUNTIF($U$2:U948,U948)-1,"")</f>
        <v/>
      </c>
      <c r="W948" s="56" t="str">
        <f aca="false">IF(V948="","",IF(V948&lt;=Settings!$B$11,"1 - Fix first",IF(V948&lt;=Settings!$B$12,"2 - Review","3 - Monitor")))</f>
        <v/>
      </c>
      <c r="X948" s="56" t="str">
        <f aca="false">IF(AND(E948&gt;=Settings!$B$4,F948&gt;=Settings!$B$5,O948&gt;=Settings!$B$6),"HIGH RATE","")</f>
        <v/>
      </c>
      <c r="Y948" s="56" t="str">
        <f aca="false">IF(F948&gt;0,RANK(F948,$F$2:$F$1780)+COUNTIF($F$2:F948,F948)-1,"")</f>
        <v/>
      </c>
      <c r="Z948" s="56" t="str">
        <f aca="false">IF(H948&gt;0,RANK(H948,$H$2:$H$1780)+COUNTIF($H$2:H948,H948)-1,"")</f>
        <v/>
      </c>
      <c r="AA948" s="56" t="str">
        <f aca="false">IF(AC948="","",RANK(AC948,$AC$2:$AC$1780)+COUNTIF($AC$2:AC948,AC948)-1)</f>
        <v/>
      </c>
      <c r="AB948" s="56" t="str">
        <f aca="false">IF(AD948="","",RANK(AD948,$AD$2:$AD$1780)+COUNTIF($AD$2:AD948,AD948)-1)</f>
        <v/>
      </c>
      <c r="AC948" s="56" t="str">
        <f aca="false">IF(AND(F948&gt;0,E948&gt;=Settings!$B$4),J948,"")</f>
        <v/>
      </c>
      <c r="AD948" s="56" t="str">
        <f aca="false">IF(X948="HIGH RATE",O948,"")</f>
        <v/>
      </c>
    </row>
    <row r="949" customFormat="false" ht="15" hidden="false" customHeight="false" outlineLevel="0" collapsed="false">
      <c r="A949" s="56" t="s">
        <v>2274</v>
      </c>
      <c r="B949" s="56" t="s">
        <v>1653</v>
      </c>
      <c r="C949" s="56" t="s">
        <v>51</v>
      </c>
      <c r="D949" s="56" t="str">
        <f aca="false">IFERROR(INDEX('Brand Map'!$B$4:$B$124,MATCH(C949,'Brand Map'!$A$4:$A$124,0)),"Other")</f>
        <v>AU</v>
      </c>
      <c r="E949" s="57" t="n">
        <v>2</v>
      </c>
      <c r="F949" s="57" t="n">
        <v>0</v>
      </c>
      <c r="G949" s="58" t="n">
        <v>199.9</v>
      </c>
      <c r="H949" s="58" t="n">
        <v>0</v>
      </c>
      <c r="I949" s="58" t="n">
        <v>199.9</v>
      </c>
      <c r="J949" s="32" t="n">
        <f aca="false">IF(E949&gt;0,F949/E949,0)</f>
        <v>0</v>
      </c>
      <c r="K949" s="32" t="n">
        <f aca="false">IF(G949&gt;0,H949/G949,0)</f>
        <v>-0</v>
      </c>
      <c r="L949" s="59" t="n">
        <f aca="false">H949/Settings!$B$16</f>
        <v>-0</v>
      </c>
      <c r="M949" s="59" t="n">
        <f aca="false">H949/Settings!$B$20</f>
        <v>-0</v>
      </c>
      <c r="N949" s="60" t="n">
        <f aca="false">E949*Settings!$B$3</f>
        <v>0.0619723021596408</v>
      </c>
      <c r="O949" s="60" t="n">
        <f aca="false">IF(E949&gt;0,(F949-N949)/SQRT(E949*Settings!$B$3*(1-Settings!$B$3)),0)</f>
        <v>-0.252891261535318</v>
      </c>
      <c r="P949" s="60" t="n">
        <f aca="false">MAX(0,F949-N949)</f>
        <v>0</v>
      </c>
      <c r="Q949" s="32" t="n">
        <f aca="false">(F949+Settings!$B$7*Settings!$B$3)/(E949+Settings!$B$7)</f>
        <v>0.0290495166373316</v>
      </c>
      <c r="R949" s="61" t="n">
        <f aca="false">PERCENTRANK($H$2:$H$1780,H949,6)</f>
        <v>0</v>
      </c>
      <c r="S949" s="61" t="n">
        <f aca="false">PERCENTRANK($Q$2:$Q$1780,Q949,6)</f>
        <v>0.365579</v>
      </c>
      <c r="T949" s="61" t="n">
        <f aca="false">PERCENTRANK($F$2:$F$1780,F949,6)</f>
        <v>0</v>
      </c>
      <c r="U949" s="62" t="n">
        <f aca="false">IF(F949&gt;0,(Settings!$B$8*T949+Settings!$B$9*R949+Settings!$B$10*S949)/SUM(Settings!$B$8:$B$10),0)</f>
        <v>0</v>
      </c>
      <c r="V949" s="56" t="str">
        <f aca="false">IF(U949&gt;0,RANK(U949,$U$2:$U$1780)+COUNTIF($U$2:U949,U949)-1,"")</f>
        <v/>
      </c>
      <c r="W949" s="56" t="str">
        <f aca="false">IF(V949="","",IF(V949&lt;=Settings!$B$11,"1 - Fix first",IF(V949&lt;=Settings!$B$12,"2 - Review","3 - Monitor")))</f>
        <v/>
      </c>
      <c r="X949" s="56" t="str">
        <f aca="false">IF(AND(E949&gt;=Settings!$B$4,F949&gt;=Settings!$B$5,O949&gt;=Settings!$B$6),"HIGH RATE","")</f>
        <v/>
      </c>
      <c r="Y949" s="56" t="str">
        <f aca="false">IF(F949&gt;0,RANK(F949,$F$2:$F$1780)+COUNTIF($F$2:F949,F949)-1,"")</f>
        <v/>
      </c>
      <c r="Z949" s="56" t="str">
        <f aca="false">IF(H949&gt;0,RANK(H949,$H$2:$H$1780)+COUNTIF($H$2:H949,H949)-1,"")</f>
        <v/>
      </c>
      <c r="AA949" s="56" t="str">
        <f aca="false">IF(AC949="","",RANK(AC949,$AC$2:$AC$1780)+COUNTIF($AC$2:AC949,AC949)-1)</f>
        <v/>
      </c>
      <c r="AB949" s="56" t="str">
        <f aca="false">IF(AD949="","",RANK(AD949,$AD$2:$AD$1780)+COUNTIF($AD$2:AD949,AD949)-1)</f>
        <v/>
      </c>
      <c r="AC949" s="56" t="str">
        <f aca="false">IF(AND(F949&gt;0,E949&gt;=Settings!$B$4),J949,"")</f>
        <v/>
      </c>
      <c r="AD949" s="56" t="str">
        <f aca="false">IF(X949="HIGH RATE",O949,"")</f>
        <v/>
      </c>
    </row>
    <row r="950" customFormat="false" ht="15" hidden="false" customHeight="false" outlineLevel="0" collapsed="false">
      <c r="A950" s="56" t="s">
        <v>2275</v>
      </c>
      <c r="B950" s="56" t="s">
        <v>1653</v>
      </c>
      <c r="C950" s="56" t="s">
        <v>51</v>
      </c>
      <c r="D950" s="56" t="str">
        <f aca="false">IFERROR(INDEX('Brand Map'!$B$4:$B$124,MATCH(C950,'Brand Map'!$A$4:$A$124,0)),"Other")</f>
        <v>AU</v>
      </c>
      <c r="E950" s="57" t="n">
        <v>4</v>
      </c>
      <c r="F950" s="57" t="n">
        <v>0</v>
      </c>
      <c r="G950" s="58" t="n">
        <v>459.8</v>
      </c>
      <c r="H950" s="58" t="n">
        <v>0</v>
      </c>
      <c r="I950" s="58" t="n">
        <v>459.8</v>
      </c>
      <c r="J950" s="32" t="n">
        <f aca="false">IF(E950&gt;0,F950/E950,0)</f>
        <v>0</v>
      </c>
      <c r="K950" s="32" t="n">
        <f aca="false">IF(G950&gt;0,H950/G950,0)</f>
        <v>-0</v>
      </c>
      <c r="L950" s="59" t="n">
        <f aca="false">H950/Settings!$B$16</f>
        <v>-0</v>
      </c>
      <c r="M950" s="59" t="n">
        <f aca="false">H950/Settings!$B$20</f>
        <v>-0</v>
      </c>
      <c r="N950" s="60" t="n">
        <f aca="false">E950*Settings!$B$3</f>
        <v>0.123944604319282</v>
      </c>
      <c r="O950" s="60" t="n">
        <f aca="false">IF(E950&gt;0,(F950-N950)/SQRT(E950*Settings!$B$3*(1-Settings!$B$3)),0)</f>
        <v>-0.357642251868888</v>
      </c>
      <c r="P950" s="60" t="n">
        <f aca="false">MAX(0,F950-N950)</f>
        <v>0</v>
      </c>
      <c r="Q950" s="32" t="n">
        <f aca="false">(F950+Settings!$B$7*Settings!$B$3)/(E950+Settings!$B$7)</f>
        <v>0.027340721541018</v>
      </c>
      <c r="R950" s="61" t="n">
        <f aca="false">PERCENTRANK($H$2:$H$1780,H950,6)</f>
        <v>0</v>
      </c>
      <c r="S950" s="61" t="n">
        <f aca="false">PERCENTRANK($Q$2:$Q$1780,Q950,6)</f>
        <v>0.253656</v>
      </c>
      <c r="T950" s="61" t="n">
        <f aca="false">PERCENTRANK($F$2:$F$1780,F950,6)</f>
        <v>0</v>
      </c>
      <c r="U950" s="62" t="n">
        <f aca="false">IF(F950&gt;0,(Settings!$B$8*T950+Settings!$B$9*R950+Settings!$B$10*S950)/SUM(Settings!$B$8:$B$10),0)</f>
        <v>0</v>
      </c>
      <c r="V950" s="56" t="str">
        <f aca="false">IF(U950&gt;0,RANK(U950,$U$2:$U$1780)+COUNTIF($U$2:U950,U950)-1,"")</f>
        <v/>
      </c>
      <c r="W950" s="56" t="str">
        <f aca="false">IF(V950="","",IF(V950&lt;=Settings!$B$11,"1 - Fix first",IF(V950&lt;=Settings!$B$12,"2 - Review","3 - Monitor")))</f>
        <v/>
      </c>
      <c r="X950" s="56" t="str">
        <f aca="false">IF(AND(E950&gt;=Settings!$B$4,F950&gt;=Settings!$B$5,O950&gt;=Settings!$B$6),"HIGH RATE","")</f>
        <v/>
      </c>
      <c r="Y950" s="56" t="str">
        <f aca="false">IF(F950&gt;0,RANK(F950,$F$2:$F$1780)+COUNTIF($F$2:F950,F950)-1,"")</f>
        <v/>
      </c>
      <c r="Z950" s="56" t="str">
        <f aca="false">IF(H950&gt;0,RANK(H950,$H$2:$H$1780)+COUNTIF($H$2:H950,H950)-1,"")</f>
        <v/>
      </c>
      <c r="AA950" s="56" t="str">
        <f aca="false">IF(AC950="","",RANK(AC950,$AC$2:$AC$1780)+COUNTIF($AC$2:AC950,AC950)-1)</f>
        <v/>
      </c>
      <c r="AB950" s="56" t="str">
        <f aca="false">IF(AD950="","",RANK(AD950,$AD$2:$AD$1780)+COUNTIF($AD$2:AD950,AD950)-1)</f>
        <v/>
      </c>
      <c r="AC950" s="56" t="str">
        <f aca="false">IF(AND(F950&gt;0,E950&gt;=Settings!$B$4),J950,"")</f>
        <v/>
      </c>
      <c r="AD950" s="56" t="str">
        <f aca="false">IF(X950="HIGH RATE",O950,"")</f>
        <v/>
      </c>
    </row>
    <row r="951" customFormat="false" ht="15" hidden="false" customHeight="false" outlineLevel="0" collapsed="false">
      <c r="A951" s="56" t="s">
        <v>2276</v>
      </c>
      <c r="B951" s="56" t="s">
        <v>1653</v>
      </c>
      <c r="C951" s="56" t="s">
        <v>51</v>
      </c>
      <c r="D951" s="56" t="str">
        <f aca="false">IFERROR(INDEX('Brand Map'!$B$4:$B$124,MATCH(C951,'Brand Map'!$A$4:$A$124,0)),"Other")</f>
        <v>AU</v>
      </c>
      <c r="E951" s="57" t="n">
        <v>13</v>
      </c>
      <c r="F951" s="57" t="n">
        <v>0</v>
      </c>
      <c r="G951" s="58" t="n">
        <v>909.35</v>
      </c>
      <c r="H951" s="58" t="n">
        <v>0</v>
      </c>
      <c r="I951" s="58" t="n">
        <v>909.35</v>
      </c>
      <c r="J951" s="32" t="n">
        <f aca="false">IF(E951&gt;0,F951/E951,0)</f>
        <v>0</v>
      </c>
      <c r="K951" s="32" t="n">
        <f aca="false">IF(G951&gt;0,H951/G951,0)</f>
        <v>-0</v>
      </c>
      <c r="L951" s="59" t="n">
        <f aca="false">H951/Settings!$B$16</f>
        <v>-0</v>
      </c>
      <c r="M951" s="59" t="n">
        <f aca="false">H951/Settings!$B$20</f>
        <v>-0</v>
      </c>
      <c r="N951" s="60" t="n">
        <f aca="false">E951*Settings!$B$3</f>
        <v>0.402819964037665</v>
      </c>
      <c r="O951" s="60" t="n">
        <f aca="false">IF(E951&gt;0,(F951-N951)/SQRT(E951*Settings!$B$3*(1-Settings!$B$3)),0)</f>
        <v>-0.644748738692841</v>
      </c>
      <c r="P951" s="60" t="n">
        <f aca="false">MAX(0,F951-N951)</f>
        <v>0</v>
      </c>
      <c r="Q951" s="32" t="n">
        <f aca="false">(F951+Settings!$B$7*Settings!$B$3)/(E951+Settings!$B$7)</f>
        <v>0.0216182449394096</v>
      </c>
      <c r="R951" s="61" t="n">
        <f aca="false">PERCENTRANK($H$2:$H$1780,H951,6)</f>
        <v>0</v>
      </c>
      <c r="S951" s="61" t="n">
        <f aca="false">PERCENTRANK($Q$2:$Q$1780,Q951,6)</f>
        <v>0.104049</v>
      </c>
      <c r="T951" s="61" t="n">
        <f aca="false">PERCENTRANK($F$2:$F$1780,F951,6)</f>
        <v>0</v>
      </c>
      <c r="U951" s="62" t="n">
        <f aca="false">IF(F951&gt;0,(Settings!$B$8*T951+Settings!$B$9*R951+Settings!$B$10*S951)/SUM(Settings!$B$8:$B$10),0)</f>
        <v>0</v>
      </c>
      <c r="V951" s="56" t="str">
        <f aca="false">IF(U951&gt;0,RANK(U951,$U$2:$U$1780)+COUNTIF($U$2:U951,U951)-1,"")</f>
        <v/>
      </c>
      <c r="W951" s="56" t="str">
        <f aca="false">IF(V951="","",IF(V951&lt;=Settings!$B$11,"1 - Fix first",IF(V951&lt;=Settings!$B$12,"2 - Review","3 - Monitor")))</f>
        <v/>
      </c>
      <c r="X951" s="56" t="str">
        <f aca="false">IF(AND(E951&gt;=Settings!$B$4,F951&gt;=Settings!$B$5,O951&gt;=Settings!$B$6),"HIGH RATE","")</f>
        <v/>
      </c>
      <c r="Y951" s="56" t="str">
        <f aca="false">IF(F951&gt;0,RANK(F951,$F$2:$F$1780)+COUNTIF($F$2:F951,F951)-1,"")</f>
        <v/>
      </c>
      <c r="Z951" s="56" t="str">
        <f aca="false">IF(H951&gt;0,RANK(H951,$H$2:$H$1780)+COUNTIF($H$2:H951,H951)-1,"")</f>
        <v/>
      </c>
      <c r="AA951" s="56" t="str">
        <f aca="false">IF(AC951="","",RANK(AC951,$AC$2:$AC$1780)+COUNTIF($AC$2:AC951,AC951)-1)</f>
        <v/>
      </c>
      <c r="AB951" s="56" t="str">
        <f aca="false">IF(AD951="","",RANK(AD951,$AD$2:$AD$1780)+COUNTIF($AD$2:AD951,AD951)-1)</f>
        <v/>
      </c>
      <c r="AC951" s="56" t="str">
        <f aca="false">IF(AND(F951&gt;0,E951&gt;=Settings!$B$4),J951,"")</f>
        <v/>
      </c>
      <c r="AD951" s="56" t="str">
        <f aca="false">IF(X951="HIGH RATE",O951,"")</f>
        <v/>
      </c>
    </row>
    <row r="952" customFormat="false" ht="15" hidden="false" customHeight="false" outlineLevel="0" collapsed="false">
      <c r="A952" s="56" t="s">
        <v>2277</v>
      </c>
      <c r="B952" s="56" t="s">
        <v>2278</v>
      </c>
      <c r="C952" s="56" t="s">
        <v>51</v>
      </c>
      <c r="D952" s="56" t="str">
        <f aca="false">IFERROR(INDEX('Brand Map'!$B$4:$B$124,MATCH(C952,'Brand Map'!$A$4:$A$124,0)),"Other")</f>
        <v>AU</v>
      </c>
      <c r="E952" s="57" t="n">
        <v>4</v>
      </c>
      <c r="F952" s="57" t="n">
        <v>0</v>
      </c>
      <c r="G952" s="58" t="n">
        <v>499.8</v>
      </c>
      <c r="H952" s="58" t="n">
        <v>0</v>
      </c>
      <c r="I952" s="58" t="n">
        <v>499.8</v>
      </c>
      <c r="J952" s="32" t="n">
        <f aca="false">IF(E952&gt;0,F952/E952,0)</f>
        <v>0</v>
      </c>
      <c r="K952" s="32" t="n">
        <f aca="false">IF(G952&gt;0,H952/G952,0)</f>
        <v>-0</v>
      </c>
      <c r="L952" s="59" t="n">
        <f aca="false">H952/Settings!$B$16</f>
        <v>-0</v>
      </c>
      <c r="M952" s="59" t="n">
        <f aca="false">H952/Settings!$B$20</f>
        <v>-0</v>
      </c>
      <c r="N952" s="60" t="n">
        <f aca="false">E952*Settings!$B$3</f>
        <v>0.123944604319282</v>
      </c>
      <c r="O952" s="60" t="n">
        <f aca="false">IF(E952&gt;0,(F952-N952)/SQRT(E952*Settings!$B$3*(1-Settings!$B$3)),0)</f>
        <v>-0.357642251868888</v>
      </c>
      <c r="P952" s="60" t="n">
        <f aca="false">MAX(0,F952-N952)</f>
        <v>0</v>
      </c>
      <c r="Q952" s="32" t="n">
        <f aca="false">(F952+Settings!$B$7*Settings!$B$3)/(E952+Settings!$B$7)</f>
        <v>0.027340721541018</v>
      </c>
      <c r="R952" s="61" t="n">
        <f aca="false">PERCENTRANK($H$2:$H$1780,H952,6)</f>
        <v>0</v>
      </c>
      <c r="S952" s="61" t="n">
        <f aca="false">PERCENTRANK($Q$2:$Q$1780,Q952,6)</f>
        <v>0.253656</v>
      </c>
      <c r="T952" s="61" t="n">
        <f aca="false">PERCENTRANK($F$2:$F$1780,F952,6)</f>
        <v>0</v>
      </c>
      <c r="U952" s="62" t="n">
        <f aca="false">IF(F952&gt;0,(Settings!$B$8*T952+Settings!$B$9*R952+Settings!$B$10*S952)/SUM(Settings!$B$8:$B$10),0)</f>
        <v>0</v>
      </c>
      <c r="V952" s="56" t="str">
        <f aca="false">IF(U952&gt;0,RANK(U952,$U$2:$U$1780)+COUNTIF($U$2:U952,U952)-1,"")</f>
        <v/>
      </c>
      <c r="W952" s="56" t="str">
        <f aca="false">IF(V952="","",IF(V952&lt;=Settings!$B$11,"1 - Fix first",IF(V952&lt;=Settings!$B$12,"2 - Review","3 - Monitor")))</f>
        <v/>
      </c>
      <c r="X952" s="56" t="str">
        <f aca="false">IF(AND(E952&gt;=Settings!$B$4,F952&gt;=Settings!$B$5,O952&gt;=Settings!$B$6),"HIGH RATE","")</f>
        <v/>
      </c>
      <c r="Y952" s="56" t="str">
        <f aca="false">IF(F952&gt;0,RANK(F952,$F$2:$F$1780)+COUNTIF($F$2:F952,F952)-1,"")</f>
        <v/>
      </c>
      <c r="Z952" s="56" t="str">
        <f aca="false">IF(H952&gt;0,RANK(H952,$H$2:$H$1780)+COUNTIF($H$2:H952,H952)-1,"")</f>
        <v/>
      </c>
      <c r="AA952" s="56" t="str">
        <f aca="false">IF(AC952="","",RANK(AC952,$AC$2:$AC$1780)+COUNTIF($AC$2:AC952,AC952)-1)</f>
        <v/>
      </c>
      <c r="AB952" s="56" t="str">
        <f aca="false">IF(AD952="","",RANK(AD952,$AD$2:$AD$1780)+COUNTIF($AD$2:AD952,AD952)-1)</f>
        <v/>
      </c>
      <c r="AC952" s="56" t="str">
        <f aca="false">IF(AND(F952&gt;0,E952&gt;=Settings!$B$4),J952,"")</f>
        <v/>
      </c>
      <c r="AD952" s="56" t="str">
        <f aca="false">IF(X952="HIGH RATE",O952,"")</f>
        <v/>
      </c>
    </row>
    <row r="953" customFormat="false" ht="15" hidden="false" customHeight="false" outlineLevel="0" collapsed="false">
      <c r="A953" s="56" t="s">
        <v>2279</v>
      </c>
      <c r="B953" s="56" t="s">
        <v>2278</v>
      </c>
      <c r="C953" s="56" t="s">
        <v>51</v>
      </c>
      <c r="D953" s="56" t="str">
        <f aca="false">IFERROR(INDEX('Brand Map'!$B$4:$B$124,MATCH(C953,'Brand Map'!$A$4:$A$124,0)),"Other")</f>
        <v>AU</v>
      </c>
      <c r="E953" s="57" t="n">
        <v>1</v>
      </c>
      <c r="F953" s="57" t="n">
        <v>0</v>
      </c>
      <c r="G953" s="58" t="n">
        <v>109.95</v>
      </c>
      <c r="H953" s="58" t="n">
        <v>0</v>
      </c>
      <c r="I953" s="58" t="n">
        <v>109.95</v>
      </c>
      <c r="J953" s="32" t="n">
        <f aca="false">IF(E953&gt;0,F953/E953,0)</f>
        <v>0</v>
      </c>
      <c r="K953" s="32" t="n">
        <f aca="false">IF(G953&gt;0,H953/G953,0)</f>
        <v>-0</v>
      </c>
      <c r="L953" s="59" t="n">
        <f aca="false">H953/Settings!$B$16</f>
        <v>-0</v>
      </c>
      <c r="M953" s="59" t="n">
        <f aca="false">H953/Settings!$B$20</f>
        <v>-0</v>
      </c>
      <c r="N953" s="60" t="n">
        <f aca="false">E953*Settings!$B$3</f>
        <v>0.0309861510798204</v>
      </c>
      <c r="O953" s="60" t="n">
        <f aca="false">IF(E953&gt;0,(F953-N953)/SQRT(E953*Settings!$B$3*(1-Settings!$B$3)),0)</f>
        <v>-0.178821125934444</v>
      </c>
      <c r="P953" s="60" t="n">
        <f aca="false">MAX(0,F953-N953)</f>
        <v>0</v>
      </c>
      <c r="Q953" s="32" t="n">
        <f aca="false">(F953+Settings!$B$7*Settings!$B$3)/(E953+Settings!$B$7)</f>
        <v>0.0299865978191811</v>
      </c>
      <c r="R953" s="61" t="n">
        <f aca="false">PERCENTRANK($H$2:$H$1780,H953,6)</f>
        <v>0</v>
      </c>
      <c r="S953" s="61" t="n">
        <f aca="false">PERCENTRANK($Q$2:$Q$1780,Q953,6)</f>
        <v>0.486502</v>
      </c>
      <c r="T953" s="61" t="n">
        <f aca="false">PERCENTRANK($F$2:$F$1780,F953,6)</f>
        <v>0</v>
      </c>
      <c r="U953" s="62" t="n">
        <f aca="false">IF(F953&gt;0,(Settings!$B$8*T953+Settings!$B$9*R953+Settings!$B$10*S953)/SUM(Settings!$B$8:$B$10),0)</f>
        <v>0</v>
      </c>
      <c r="V953" s="56" t="str">
        <f aca="false">IF(U953&gt;0,RANK(U953,$U$2:$U$1780)+COUNTIF($U$2:U953,U953)-1,"")</f>
        <v/>
      </c>
      <c r="W953" s="56" t="str">
        <f aca="false">IF(V953="","",IF(V953&lt;=Settings!$B$11,"1 - Fix first",IF(V953&lt;=Settings!$B$12,"2 - Review","3 - Monitor")))</f>
        <v/>
      </c>
      <c r="X953" s="56" t="str">
        <f aca="false">IF(AND(E953&gt;=Settings!$B$4,F953&gt;=Settings!$B$5,O953&gt;=Settings!$B$6),"HIGH RATE","")</f>
        <v/>
      </c>
      <c r="Y953" s="56" t="str">
        <f aca="false">IF(F953&gt;0,RANK(F953,$F$2:$F$1780)+COUNTIF($F$2:F953,F953)-1,"")</f>
        <v/>
      </c>
      <c r="Z953" s="56" t="str">
        <f aca="false">IF(H953&gt;0,RANK(H953,$H$2:$H$1780)+COUNTIF($H$2:H953,H953)-1,"")</f>
        <v/>
      </c>
      <c r="AA953" s="56" t="str">
        <f aca="false">IF(AC953="","",RANK(AC953,$AC$2:$AC$1780)+COUNTIF($AC$2:AC953,AC953)-1)</f>
        <v/>
      </c>
      <c r="AB953" s="56" t="str">
        <f aca="false">IF(AD953="","",RANK(AD953,$AD$2:$AD$1780)+COUNTIF($AD$2:AD953,AD953)-1)</f>
        <v/>
      </c>
      <c r="AC953" s="56" t="str">
        <f aca="false">IF(AND(F953&gt;0,E953&gt;=Settings!$B$4),J953,"")</f>
        <v/>
      </c>
      <c r="AD953" s="56" t="str">
        <f aca="false">IF(X953="HIGH RATE",O953,"")</f>
        <v/>
      </c>
    </row>
    <row r="954" customFormat="false" ht="15" hidden="false" customHeight="false" outlineLevel="0" collapsed="false">
      <c r="A954" s="56" t="s">
        <v>2280</v>
      </c>
      <c r="B954" s="56" t="s">
        <v>2278</v>
      </c>
      <c r="C954" s="56" t="s">
        <v>51</v>
      </c>
      <c r="D954" s="56" t="str">
        <f aca="false">IFERROR(INDEX('Brand Map'!$B$4:$B$124,MATCH(C954,'Brand Map'!$A$4:$A$124,0)),"Other")</f>
        <v>AU</v>
      </c>
      <c r="E954" s="57" t="n">
        <v>1</v>
      </c>
      <c r="F954" s="57" t="n">
        <v>0</v>
      </c>
      <c r="G954" s="58" t="n">
        <v>94.95</v>
      </c>
      <c r="H954" s="58" t="n">
        <v>0</v>
      </c>
      <c r="I954" s="58" t="n">
        <v>94.95</v>
      </c>
      <c r="J954" s="32" t="n">
        <f aca="false">IF(E954&gt;0,F954/E954,0)</f>
        <v>0</v>
      </c>
      <c r="K954" s="32" t="n">
        <f aca="false">IF(G954&gt;0,H954/G954,0)</f>
        <v>-0</v>
      </c>
      <c r="L954" s="59" t="n">
        <f aca="false">H954/Settings!$B$16</f>
        <v>-0</v>
      </c>
      <c r="M954" s="59" t="n">
        <f aca="false">H954/Settings!$B$20</f>
        <v>-0</v>
      </c>
      <c r="N954" s="60" t="n">
        <f aca="false">E954*Settings!$B$3</f>
        <v>0.0309861510798204</v>
      </c>
      <c r="O954" s="60" t="n">
        <f aca="false">IF(E954&gt;0,(F954-N954)/SQRT(E954*Settings!$B$3*(1-Settings!$B$3)),0)</f>
        <v>-0.178821125934444</v>
      </c>
      <c r="P954" s="60" t="n">
        <f aca="false">MAX(0,F954-N954)</f>
        <v>0</v>
      </c>
      <c r="Q954" s="32" t="n">
        <f aca="false">(F954+Settings!$B$7*Settings!$B$3)/(E954+Settings!$B$7)</f>
        <v>0.0299865978191811</v>
      </c>
      <c r="R954" s="61" t="n">
        <f aca="false">PERCENTRANK($H$2:$H$1780,H954,6)</f>
        <v>0</v>
      </c>
      <c r="S954" s="61" t="n">
        <f aca="false">PERCENTRANK($Q$2:$Q$1780,Q954,6)</f>
        <v>0.486502</v>
      </c>
      <c r="T954" s="61" t="n">
        <f aca="false">PERCENTRANK($F$2:$F$1780,F954,6)</f>
        <v>0</v>
      </c>
      <c r="U954" s="62" t="n">
        <f aca="false">IF(F954&gt;0,(Settings!$B$8*T954+Settings!$B$9*R954+Settings!$B$10*S954)/SUM(Settings!$B$8:$B$10),0)</f>
        <v>0</v>
      </c>
      <c r="V954" s="56" t="str">
        <f aca="false">IF(U954&gt;0,RANK(U954,$U$2:$U$1780)+COUNTIF($U$2:U954,U954)-1,"")</f>
        <v/>
      </c>
      <c r="W954" s="56" t="str">
        <f aca="false">IF(V954="","",IF(V954&lt;=Settings!$B$11,"1 - Fix first",IF(V954&lt;=Settings!$B$12,"2 - Review","3 - Monitor")))</f>
        <v/>
      </c>
      <c r="X954" s="56" t="str">
        <f aca="false">IF(AND(E954&gt;=Settings!$B$4,F954&gt;=Settings!$B$5,O954&gt;=Settings!$B$6),"HIGH RATE","")</f>
        <v/>
      </c>
      <c r="Y954" s="56" t="str">
        <f aca="false">IF(F954&gt;0,RANK(F954,$F$2:$F$1780)+COUNTIF($F$2:F954,F954)-1,"")</f>
        <v/>
      </c>
      <c r="Z954" s="56" t="str">
        <f aca="false">IF(H954&gt;0,RANK(H954,$H$2:$H$1780)+COUNTIF($H$2:H954,H954)-1,"")</f>
        <v/>
      </c>
      <c r="AA954" s="56" t="str">
        <f aca="false">IF(AC954="","",RANK(AC954,$AC$2:$AC$1780)+COUNTIF($AC$2:AC954,AC954)-1)</f>
        <v/>
      </c>
      <c r="AB954" s="56" t="str">
        <f aca="false">IF(AD954="","",RANK(AD954,$AD$2:$AD$1780)+COUNTIF($AD$2:AD954,AD954)-1)</f>
        <v/>
      </c>
      <c r="AC954" s="56" t="str">
        <f aca="false">IF(AND(F954&gt;0,E954&gt;=Settings!$B$4),J954,"")</f>
        <v/>
      </c>
      <c r="AD954" s="56" t="str">
        <f aca="false">IF(X954="HIGH RATE",O954,"")</f>
        <v/>
      </c>
    </row>
    <row r="955" customFormat="false" ht="15" hidden="false" customHeight="false" outlineLevel="0" collapsed="false">
      <c r="A955" s="56" t="s">
        <v>2281</v>
      </c>
      <c r="B955" s="56" t="s">
        <v>2282</v>
      </c>
      <c r="C955" s="56" t="s">
        <v>51</v>
      </c>
      <c r="D955" s="56" t="str">
        <f aca="false">IFERROR(INDEX('Brand Map'!$B$4:$B$124,MATCH(C955,'Brand Map'!$A$4:$A$124,0)),"Other")</f>
        <v>AU</v>
      </c>
      <c r="E955" s="57" t="n">
        <v>3</v>
      </c>
      <c r="F955" s="57" t="n">
        <v>0</v>
      </c>
      <c r="G955" s="58" t="n">
        <v>194.85</v>
      </c>
      <c r="H955" s="58" t="n">
        <v>0</v>
      </c>
      <c r="I955" s="58" t="n">
        <v>194.85</v>
      </c>
      <c r="J955" s="32" t="n">
        <f aca="false">IF(E955&gt;0,F955/E955,0)</f>
        <v>0</v>
      </c>
      <c r="K955" s="32" t="n">
        <f aca="false">IF(G955&gt;0,H955/G955,0)</f>
        <v>-0</v>
      </c>
      <c r="L955" s="59" t="n">
        <f aca="false">H955/Settings!$B$16</f>
        <v>-0</v>
      </c>
      <c r="M955" s="59" t="n">
        <f aca="false">H955/Settings!$B$20</f>
        <v>-0</v>
      </c>
      <c r="N955" s="60" t="n">
        <f aca="false">E955*Settings!$B$3</f>
        <v>0.0929584532394613</v>
      </c>
      <c r="O955" s="60" t="n">
        <f aca="false">IF(E955&gt;0,(F955-N955)/SQRT(E955*Settings!$B$3*(1-Settings!$B$3)),0)</f>
        <v>-0.30972727558513</v>
      </c>
      <c r="P955" s="60" t="n">
        <f aca="false">MAX(0,F955-N955)</f>
        <v>0</v>
      </c>
      <c r="Q955" s="32" t="n">
        <f aca="false">(F955+Settings!$B$7*Settings!$B$3)/(E955+Settings!$B$7)</f>
        <v>0.0281692282543822</v>
      </c>
      <c r="R955" s="61" t="n">
        <f aca="false">PERCENTRANK($H$2:$H$1780,H955,6)</f>
        <v>0</v>
      </c>
      <c r="S955" s="61" t="n">
        <f aca="false">PERCENTRANK($Q$2:$Q$1780,Q955,6)</f>
        <v>0.294151</v>
      </c>
      <c r="T955" s="61" t="n">
        <f aca="false">PERCENTRANK($F$2:$F$1780,F955,6)</f>
        <v>0</v>
      </c>
      <c r="U955" s="62" t="n">
        <f aca="false">IF(F955&gt;0,(Settings!$B$8*T955+Settings!$B$9*R955+Settings!$B$10*S955)/SUM(Settings!$B$8:$B$10),0)</f>
        <v>0</v>
      </c>
      <c r="V955" s="56" t="str">
        <f aca="false">IF(U955&gt;0,RANK(U955,$U$2:$U$1780)+COUNTIF($U$2:U955,U955)-1,"")</f>
        <v/>
      </c>
      <c r="W955" s="56" t="str">
        <f aca="false">IF(V955="","",IF(V955&lt;=Settings!$B$11,"1 - Fix first",IF(V955&lt;=Settings!$B$12,"2 - Review","3 - Monitor")))</f>
        <v/>
      </c>
      <c r="X955" s="56" t="str">
        <f aca="false">IF(AND(E955&gt;=Settings!$B$4,F955&gt;=Settings!$B$5,O955&gt;=Settings!$B$6),"HIGH RATE","")</f>
        <v/>
      </c>
      <c r="Y955" s="56" t="str">
        <f aca="false">IF(F955&gt;0,RANK(F955,$F$2:$F$1780)+COUNTIF($F$2:F955,F955)-1,"")</f>
        <v/>
      </c>
      <c r="Z955" s="56" t="str">
        <f aca="false">IF(H955&gt;0,RANK(H955,$H$2:$H$1780)+COUNTIF($H$2:H955,H955)-1,"")</f>
        <v/>
      </c>
      <c r="AA955" s="56" t="str">
        <f aca="false">IF(AC955="","",RANK(AC955,$AC$2:$AC$1780)+COUNTIF($AC$2:AC955,AC955)-1)</f>
        <v/>
      </c>
      <c r="AB955" s="56" t="str">
        <f aca="false">IF(AD955="","",RANK(AD955,$AD$2:$AD$1780)+COUNTIF($AD$2:AD955,AD955)-1)</f>
        <v/>
      </c>
      <c r="AC955" s="56" t="str">
        <f aca="false">IF(AND(F955&gt;0,E955&gt;=Settings!$B$4),J955,"")</f>
        <v/>
      </c>
      <c r="AD955" s="56" t="str">
        <f aca="false">IF(X955="HIGH RATE",O955,"")</f>
        <v/>
      </c>
    </row>
    <row r="956" customFormat="false" ht="15" hidden="false" customHeight="false" outlineLevel="0" collapsed="false">
      <c r="A956" s="56" t="s">
        <v>2283</v>
      </c>
      <c r="B956" s="56" t="s">
        <v>2282</v>
      </c>
      <c r="C956" s="56" t="s">
        <v>51</v>
      </c>
      <c r="D956" s="56" t="str">
        <f aca="false">IFERROR(INDEX('Brand Map'!$B$4:$B$124,MATCH(C956,'Brand Map'!$A$4:$A$124,0)),"Other")</f>
        <v>AU</v>
      </c>
      <c r="E956" s="57" t="n">
        <v>1</v>
      </c>
      <c r="F956" s="57" t="n">
        <v>0</v>
      </c>
      <c r="G956" s="58" t="n">
        <v>79.95</v>
      </c>
      <c r="H956" s="58" t="n">
        <v>0</v>
      </c>
      <c r="I956" s="58" t="n">
        <v>79.95</v>
      </c>
      <c r="J956" s="32" t="n">
        <f aca="false">IF(E956&gt;0,F956/E956,0)</f>
        <v>0</v>
      </c>
      <c r="K956" s="32" t="n">
        <f aca="false">IF(G956&gt;0,H956/G956,0)</f>
        <v>-0</v>
      </c>
      <c r="L956" s="59" t="n">
        <f aca="false">H956/Settings!$B$16</f>
        <v>-0</v>
      </c>
      <c r="M956" s="59" t="n">
        <f aca="false">H956/Settings!$B$20</f>
        <v>-0</v>
      </c>
      <c r="N956" s="60" t="n">
        <f aca="false">E956*Settings!$B$3</f>
        <v>0.0309861510798204</v>
      </c>
      <c r="O956" s="60" t="n">
        <f aca="false">IF(E956&gt;0,(F956-N956)/SQRT(E956*Settings!$B$3*(1-Settings!$B$3)),0)</f>
        <v>-0.178821125934444</v>
      </c>
      <c r="P956" s="60" t="n">
        <f aca="false">MAX(0,F956-N956)</f>
        <v>0</v>
      </c>
      <c r="Q956" s="32" t="n">
        <f aca="false">(F956+Settings!$B$7*Settings!$B$3)/(E956+Settings!$B$7)</f>
        <v>0.0299865978191811</v>
      </c>
      <c r="R956" s="61" t="n">
        <f aca="false">PERCENTRANK($H$2:$H$1780,H956,6)</f>
        <v>0</v>
      </c>
      <c r="S956" s="61" t="n">
        <f aca="false">PERCENTRANK($Q$2:$Q$1780,Q956,6)</f>
        <v>0.486502</v>
      </c>
      <c r="T956" s="61" t="n">
        <f aca="false">PERCENTRANK($F$2:$F$1780,F956,6)</f>
        <v>0</v>
      </c>
      <c r="U956" s="62" t="n">
        <f aca="false">IF(F956&gt;0,(Settings!$B$8*T956+Settings!$B$9*R956+Settings!$B$10*S956)/SUM(Settings!$B$8:$B$10),0)</f>
        <v>0</v>
      </c>
      <c r="V956" s="56" t="str">
        <f aca="false">IF(U956&gt;0,RANK(U956,$U$2:$U$1780)+COUNTIF($U$2:U956,U956)-1,"")</f>
        <v/>
      </c>
      <c r="W956" s="56" t="str">
        <f aca="false">IF(V956="","",IF(V956&lt;=Settings!$B$11,"1 - Fix first",IF(V956&lt;=Settings!$B$12,"2 - Review","3 - Monitor")))</f>
        <v/>
      </c>
      <c r="X956" s="56" t="str">
        <f aca="false">IF(AND(E956&gt;=Settings!$B$4,F956&gt;=Settings!$B$5,O956&gt;=Settings!$B$6),"HIGH RATE","")</f>
        <v/>
      </c>
      <c r="Y956" s="56" t="str">
        <f aca="false">IF(F956&gt;0,RANK(F956,$F$2:$F$1780)+COUNTIF($F$2:F956,F956)-1,"")</f>
        <v/>
      </c>
      <c r="Z956" s="56" t="str">
        <f aca="false">IF(H956&gt;0,RANK(H956,$H$2:$H$1780)+COUNTIF($H$2:H956,H956)-1,"")</f>
        <v/>
      </c>
      <c r="AA956" s="56" t="str">
        <f aca="false">IF(AC956="","",RANK(AC956,$AC$2:$AC$1780)+COUNTIF($AC$2:AC956,AC956)-1)</f>
        <v/>
      </c>
      <c r="AB956" s="56" t="str">
        <f aca="false">IF(AD956="","",RANK(AD956,$AD$2:$AD$1780)+COUNTIF($AD$2:AD956,AD956)-1)</f>
        <v/>
      </c>
      <c r="AC956" s="56" t="str">
        <f aca="false">IF(AND(F956&gt;0,E956&gt;=Settings!$B$4),J956,"")</f>
        <v/>
      </c>
      <c r="AD956" s="56" t="str">
        <f aca="false">IF(X956="HIGH RATE",O956,"")</f>
        <v/>
      </c>
    </row>
    <row r="957" customFormat="false" ht="15" hidden="false" customHeight="false" outlineLevel="0" collapsed="false">
      <c r="A957" s="56" t="s">
        <v>2284</v>
      </c>
      <c r="B957" s="56" t="s">
        <v>2282</v>
      </c>
      <c r="C957" s="56" t="s">
        <v>51</v>
      </c>
      <c r="D957" s="56" t="str">
        <f aca="false">IFERROR(INDEX('Brand Map'!$B$4:$B$124,MATCH(C957,'Brand Map'!$A$4:$A$124,0)),"Other")</f>
        <v>AU</v>
      </c>
      <c r="E957" s="57" t="n">
        <v>1</v>
      </c>
      <c r="F957" s="57" t="n">
        <v>0</v>
      </c>
      <c r="G957" s="58" t="n">
        <v>94.95</v>
      </c>
      <c r="H957" s="58" t="n">
        <v>0</v>
      </c>
      <c r="I957" s="58" t="n">
        <v>94.95</v>
      </c>
      <c r="J957" s="32" t="n">
        <f aca="false">IF(E957&gt;0,F957/E957,0)</f>
        <v>0</v>
      </c>
      <c r="K957" s="32" t="n">
        <f aca="false">IF(G957&gt;0,H957/G957,0)</f>
        <v>-0</v>
      </c>
      <c r="L957" s="59" t="n">
        <f aca="false">H957/Settings!$B$16</f>
        <v>-0</v>
      </c>
      <c r="M957" s="59" t="n">
        <f aca="false">H957/Settings!$B$20</f>
        <v>-0</v>
      </c>
      <c r="N957" s="60" t="n">
        <f aca="false">E957*Settings!$B$3</f>
        <v>0.0309861510798204</v>
      </c>
      <c r="O957" s="60" t="n">
        <f aca="false">IF(E957&gt;0,(F957-N957)/SQRT(E957*Settings!$B$3*(1-Settings!$B$3)),0)</f>
        <v>-0.178821125934444</v>
      </c>
      <c r="P957" s="60" t="n">
        <f aca="false">MAX(0,F957-N957)</f>
        <v>0</v>
      </c>
      <c r="Q957" s="32" t="n">
        <f aca="false">(F957+Settings!$B$7*Settings!$B$3)/(E957+Settings!$B$7)</f>
        <v>0.0299865978191811</v>
      </c>
      <c r="R957" s="61" t="n">
        <f aca="false">PERCENTRANK($H$2:$H$1780,H957,6)</f>
        <v>0</v>
      </c>
      <c r="S957" s="61" t="n">
        <f aca="false">PERCENTRANK($Q$2:$Q$1780,Q957,6)</f>
        <v>0.486502</v>
      </c>
      <c r="T957" s="61" t="n">
        <f aca="false">PERCENTRANK($F$2:$F$1780,F957,6)</f>
        <v>0</v>
      </c>
      <c r="U957" s="62" t="n">
        <f aca="false">IF(F957&gt;0,(Settings!$B$8*T957+Settings!$B$9*R957+Settings!$B$10*S957)/SUM(Settings!$B$8:$B$10),0)</f>
        <v>0</v>
      </c>
      <c r="V957" s="56" t="str">
        <f aca="false">IF(U957&gt;0,RANK(U957,$U$2:$U$1780)+COUNTIF($U$2:U957,U957)-1,"")</f>
        <v/>
      </c>
      <c r="W957" s="56" t="str">
        <f aca="false">IF(V957="","",IF(V957&lt;=Settings!$B$11,"1 - Fix first",IF(V957&lt;=Settings!$B$12,"2 - Review","3 - Monitor")))</f>
        <v/>
      </c>
      <c r="X957" s="56" t="str">
        <f aca="false">IF(AND(E957&gt;=Settings!$B$4,F957&gt;=Settings!$B$5,O957&gt;=Settings!$B$6),"HIGH RATE","")</f>
        <v/>
      </c>
      <c r="Y957" s="56" t="str">
        <f aca="false">IF(F957&gt;0,RANK(F957,$F$2:$F$1780)+COUNTIF($F$2:F957,F957)-1,"")</f>
        <v/>
      </c>
      <c r="Z957" s="56" t="str">
        <f aca="false">IF(H957&gt;0,RANK(H957,$H$2:$H$1780)+COUNTIF($H$2:H957,H957)-1,"")</f>
        <v/>
      </c>
      <c r="AA957" s="56" t="str">
        <f aca="false">IF(AC957="","",RANK(AC957,$AC$2:$AC$1780)+COUNTIF($AC$2:AC957,AC957)-1)</f>
        <v/>
      </c>
      <c r="AB957" s="56" t="str">
        <f aca="false">IF(AD957="","",RANK(AD957,$AD$2:$AD$1780)+COUNTIF($AD$2:AD957,AD957)-1)</f>
        <v/>
      </c>
      <c r="AC957" s="56" t="str">
        <f aca="false">IF(AND(F957&gt;0,E957&gt;=Settings!$B$4),J957,"")</f>
        <v/>
      </c>
      <c r="AD957" s="56" t="str">
        <f aca="false">IF(X957="HIGH RATE",O957,"")</f>
        <v/>
      </c>
    </row>
    <row r="958" customFormat="false" ht="15" hidden="false" customHeight="false" outlineLevel="0" collapsed="false">
      <c r="A958" s="56" t="s">
        <v>2285</v>
      </c>
      <c r="B958" s="56" t="s">
        <v>2282</v>
      </c>
      <c r="C958" s="56" t="s">
        <v>51</v>
      </c>
      <c r="D958" s="56" t="str">
        <f aca="false">IFERROR(INDEX('Brand Map'!$B$4:$B$124,MATCH(C958,'Brand Map'!$A$4:$A$124,0)),"Other")</f>
        <v>AU</v>
      </c>
      <c r="E958" s="57" t="n">
        <v>6</v>
      </c>
      <c r="F958" s="57" t="n">
        <v>0</v>
      </c>
      <c r="G958" s="58" t="n">
        <v>299.7</v>
      </c>
      <c r="H958" s="58" t="n">
        <v>0</v>
      </c>
      <c r="I958" s="58" t="n">
        <v>299.7</v>
      </c>
      <c r="J958" s="32" t="n">
        <f aca="false">IF(E958&gt;0,F958/E958,0)</f>
        <v>0</v>
      </c>
      <c r="K958" s="32" t="n">
        <f aca="false">IF(G958&gt;0,H958/G958,0)</f>
        <v>-0</v>
      </c>
      <c r="L958" s="59" t="n">
        <f aca="false">H958/Settings!$B$16</f>
        <v>-0</v>
      </c>
      <c r="M958" s="59" t="n">
        <f aca="false">H958/Settings!$B$20</f>
        <v>-0</v>
      </c>
      <c r="N958" s="60" t="n">
        <f aca="false">E958*Settings!$B$3</f>
        <v>0.185916906478923</v>
      </c>
      <c r="O958" s="60" t="n">
        <f aca="false">IF(E958&gt;0,(F958-N958)/SQRT(E958*Settings!$B$3*(1-Settings!$B$3)),0)</f>
        <v>-0.43802051376936</v>
      </c>
      <c r="P958" s="60" t="n">
        <f aca="false">MAX(0,F958-N958)</f>
        <v>0</v>
      </c>
      <c r="Q958" s="32" t="n">
        <f aca="false">(F958+Settings!$B$7*Settings!$B$3)/(E958+Settings!$B$7)</f>
        <v>0.025821792566517</v>
      </c>
      <c r="R958" s="61" t="n">
        <f aca="false">PERCENTRANK($H$2:$H$1780,H958,6)</f>
        <v>0</v>
      </c>
      <c r="S958" s="61" t="n">
        <f aca="false">PERCENTRANK($Q$2:$Q$1780,Q958,6)</f>
        <v>0.189539</v>
      </c>
      <c r="T958" s="61" t="n">
        <f aca="false">PERCENTRANK($F$2:$F$1780,F958,6)</f>
        <v>0</v>
      </c>
      <c r="U958" s="62" t="n">
        <f aca="false">IF(F958&gt;0,(Settings!$B$8*T958+Settings!$B$9*R958+Settings!$B$10*S958)/SUM(Settings!$B$8:$B$10),0)</f>
        <v>0</v>
      </c>
      <c r="V958" s="56" t="str">
        <f aca="false">IF(U958&gt;0,RANK(U958,$U$2:$U$1780)+COUNTIF($U$2:U958,U958)-1,"")</f>
        <v/>
      </c>
      <c r="W958" s="56" t="str">
        <f aca="false">IF(V958="","",IF(V958&lt;=Settings!$B$11,"1 - Fix first",IF(V958&lt;=Settings!$B$12,"2 - Review","3 - Monitor")))</f>
        <v/>
      </c>
      <c r="X958" s="56" t="str">
        <f aca="false">IF(AND(E958&gt;=Settings!$B$4,F958&gt;=Settings!$B$5,O958&gt;=Settings!$B$6),"HIGH RATE","")</f>
        <v/>
      </c>
      <c r="Y958" s="56" t="str">
        <f aca="false">IF(F958&gt;0,RANK(F958,$F$2:$F$1780)+COUNTIF($F$2:F958,F958)-1,"")</f>
        <v/>
      </c>
      <c r="Z958" s="56" t="str">
        <f aca="false">IF(H958&gt;0,RANK(H958,$H$2:$H$1780)+COUNTIF($H$2:H958,H958)-1,"")</f>
        <v/>
      </c>
      <c r="AA958" s="56" t="str">
        <f aca="false">IF(AC958="","",RANK(AC958,$AC$2:$AC$1780)+COUNTIF($AC$2:AC958,AC958)-1)</f>
        <v/>
      </c>
      <c r="AB958" s="56" t="str">
        <f aca="false">IF(AD958="","",RANK(AD958,$AD$2:$AD$1780)+COUNTIF($AD$2:AD958,AD958)-1)</f>
        <v/>
      </c>
      <c r="AC958" s="56" t="str">
        <f aca="false">IF(AND(F958&gt;0,E958&gt;=Settings!$B$4),J958,"")</f>
        <v/>
      </c>
      <c r="AD958" s="56" t="str">
        <f aca="false">IF(X958="HIGH RATE",O958,"")</f>
        <v/>
      </c>
    </row>
    <row r="959" customFormat="false" ht="15" hidden="false" customHeight="false" outlineLevel="0" collapsed="false">
      <c r="A959" s="56" t="s">
        <v>2286</v>
      </c>
      <c r="B959" s="56" t="s">
        <v>2287</v>
      </c>
      <c r="C959" s="56" t="s">
        <v>51</v>
      </c>
      <c r="D959" s="56" t="str">
        <f aca="false">IFERROR(INDEX('Brand Map'!$B$4:$B$124,MATCH(C959,'Brand Map'!$A$4:$A$124,0)),"Other")</f>
        <v>AU</v>
      </c>
      <c r="E959" s="57" t="n">
        <v>12</v>
      </c>
      <c r="F959" s="57" t="n">
        <v>0</v>
      </c>
      <c r="G959" s="58" t="n">
        <v>863.88</v>
      </c>
      <c r="H959" s="58" t="n">
        <v>0</v>
      </c>
      <c r="I959" s="58" t="n">
        <v>863.88</v>
      </c>
      <c r="J959" s="32" t="n">
        <f aca="false">IF(E959&gt;0,F959/E959,0)</f>
        <v>0</v>
      </c>
      <c r="K959" s="32" t="n">
        <f aca="false">IF(G959&gt;0,H959/G959,0)</f>
        <v>-0</v>
      </c>
      <c r="L959" s="59" t="n">
        <f aca="false">H959/Settings!$B$16</f>
        <v>-0</v>
      </c>
      <c r="M959" s="59" t="n">
        <f aca="false">H959/Settings!$B$20</f>
        <v>-0</v>
      </c>
      <c r="N959" s="60" t="n">
        <f aca="false">E959*Settings!$B$3</f>
        <v>0.371833812957845</v>
      </c>
      <c r="O959" s="60" t="n">
        <f aca="false">IF(E959&gt;0,(F959-N959)/SQRT(E959*Settings!$B$3*(1-Settings!$B$3)),0)</f>
        <v>-0.61945455117026</v>
      </c>
      <c r="P959" s="60" t="n">
        <f aca="false">MAX(0,F959-N959)</f>
        <v>0</v>
      </c>
      <c r="Q959" s="32" t="n">
        <f aca="false">(F959+Settings!$B$7*Settings!$B$3)/(E959+Settings!$B$7)</f>
        <v>0.0221329650570146</v>
      </c>
      <c r="R959" s="61" t="n">
        <f aca="false">PERCENTRANK($H$2:$H$1780,H959,6)</f>
        <v>0</v>
      </c>
      <c r="S959" s="61" t="n">
        <f aca="false">PERCENTRANK($Q$2:$Q$1780,Q959,6)</f>
        <v>0.109674</v>
      </c>
      <c r="T959" s="61" t="n">
        <f aca="false">PERCENTRANK($F$2:$F$1780,F959,6)</f>
        <v>0</v>
      </c>
      <c r="U959" s="62" t="n">
        <f aca="false">IF(F959&gt;0,(Settings!$B$8*T959+Settings!$B$9*R959+Settings!$B$10*S959)/SUM(Settings!$B$8:$B$10),0)</f>
        <v>0</v>
      </c>
      <c r="V959" s="56" t="str">
        <f aca="false">IF(U959&gt;0,RANK(U959,$U$2:$U$1780)+COUNTIF($U$2:U959,U959)-1,"")</f>
        <v/>
      </c>
      <c r="W959" s="56" t="str">
        <f aca="false">IF(V959="","",IF(V959&lt;=Settings!$B$11,"1 - Fix first",IF(V959&lt;=Settings!$B$12,"2 - Review","3 - Monitor")))</f>
        <v/>
      </c>
      <c r="X959" s="56" t="str">
        <f aca="false">IF(AND(E959&gt;=Settings!$B$4,F959&gt;=Settings!$B$5,O959&gt;=Settings!$B$6),"HIGH RATE","")</f>
        <v/>
      </c>
      <c r="Y959" s="56" t="str">
        <f aca="false">IF(F959&gt;0,RANK(F959,$F$2:$F$1780)+COUNTIF($F$2:F959,F959)-1,"")</f>
        <v/>
      </c>
      <c r="Z959" s="56" t="str">
        <f aca="false">IF(H959&gt;0,RANK(H959,$H$2:$H$1780)+COUNTIF($H$2:H959,H959)-1,"")</f>
        <v/>
      </c>
      <c r="AA959" s="56" t="str">
        <f aca="false">IF(AC959="","",RANK(AC959,$AC$2:$AC$1780)+COUNTIF($AC$2:AC959,AC959)-1)</f>
        <v/>
      </c>
      <c r="AB959" s="56" t="str">
        <f aca="false">IF(AD959="","",RANK(AD959,$AD$2:$AD$1780)+COUNTIF($AD$2:AD959,AD959)-1)</f>
        <v/>
      </c>
      <c r="AC959" s="56" t="str">
        <f aca="false">IF(AND(F959&gt;0,E959&gt;=Settings!$B$4),J959,"")</f>
        <v/>
      </c>
      <c r="AD959" s="56" t="str">
        <f aca="false">IF(X959="HIGH RATE",O959,"")</f>
        <v/>
      </c>
    </row>
    <row r="960" customFormat="false" ht="15" hidden="false" customHeight="false" outlineLevel="0" collapsed="false">
      <c r="A960" s="56" t="s">
        <v>2288</v>
      </c>
      <c r="B960" s="56" t="s">
        <v>2287</v>
      </c>
      <c r="C960" s="56" t="s">
        <v>51</v>
      </c>
      <c r="D960" s="56" t="str">
        <f aca="false">IFERROR(INDEX('Brand Map'!$B$4:$B$124,MATCH(C960,'Brand Map'!$A$4:$A$124,0)),"Other")</f>
        <v>AU</v>
      </c>
      <c r="E960" s="57" t="n">
        <v>2</v>
      </c>
      <c r="F960" s="57" t="n">
        <v>0</v>
      </c>
      <c r="G960" s="58" t="n">
        <v>128.98</v>
      </c>
      <c r="H960" s="58" t="n">
        <v>0</v>
      </c>
      <c r="I960" s="58" t="n">
        <v>128.98</v>
      </c>
      <c r="J960" s="32" t="n">
        <f aca="false">IF(E960&gt;0,F960/E960,0)</f>
        <v>0</v>
      </c>
      <c r="K960" s="32" t="n">
        <f aca="false">IF(G960&gt;0,H960/G960,0)</f>
        <v>-0</v>
      </c>
      <c r="L960" s="59" t="n">
        <f aca="false">H960/Settings!$B$16</f>
        <v>-0</v>
      </c>
      <c r="M960" s="59" t="n">
        <f aca="false">H960/Settings!$B$20</f>
        <v>-0</v>
      </c>
      <c r="N960" s="60" t="n">
        <f aca="false">E960*Settings!$B$3</f>
        <v>0.0619723021596408</v>
      </c>
      <c r="O960" s="60" t="n">
        <f aca="false">IF(E960&gt;0,(F960-N960)/SQRT(E960*Settings!$B$3*(1-Settings!$B$3)),0)</f>
        <v>-0.252891261535318</v>
      </c>
      <c r="P960" s="60" t="n">
        <f aca="false">MAX(0,F960-N960)</f>
        <v>0</v>
      </c>
      <c r="Q960" s="32" t="n">
        <f aca="false">(F960+Settings!$B$7*Settings!$B$3)/(E960+Settings!$B$7)</f>
        <v>0.0290495166373316</v>
      </c>
      <c r="R960" s="61" t="n">
        <f aca="false">PERCENTRANK($H$2:$H$1780,H960,6)</f>
        <v>0</v>
      </c>
      <c r="S960" s="61" t="n">
        <f aca="false">PERCENTRANK($Q$2:$Q$1780,Q960,6)</f>
        <v>0.365579</v>
      </c>
      <c r="T960" s="61" t="n">
        <f aca="false">PERCENTRANK($F$2:$F$1780,F960,6)</f>
        <v>0</v>
      </c>
      <c r="U960" s="62" t="n">
        <f aca="false">IF(F960&gt;0,(Settings!$B$8*T960+Settings!$B$9*R960+Settings!$B$10*S960)/SUM(Settings!$B$8:$B$10),0)</f>
        <v>0</v>
      </c>
      <c r="V960" s="56" t="str">
        <f aca="false">IF(U960&gt;0,RANK(U960,$U$2:$U$1780)+COUNTIF($U$2:U960,U960)-1,"")</f>
        <v/>
      </c>
      <c r="W960" s="56" t="str">
        <f aca="false">IF(V960="","",IF(V960&lt;=Settings!$B$11,"1 - Fix first",IF(V960&lt;=Settings!$B$12,"2 - Review","3 - Monitor")))</f>
        <v/>
      </c>
      <c r="X960" s="56" t="str">
        <f aca="false">IF(AND(E960&gt;=Settings!$B$4,F960&gt;=Settings!$B$5,O960&gt;=Settings!$B$6),"HIGH RATE","")</f>
        <v/>
      </c>
      <c r="Y960" s="56" t="str">
        <f aca="false">IF(F960&gt;0,RANK(F960,$F$2:$F$1780)+COUNTIF($F$2:F960,F960)-1,"")</f>
        <v/>
      </c>
      <c r="Z960" s="56" t="str">
        <f aca="false">IF(H960&gt;0,RANK(H960,$H$2:$H$1780)+COUNTIF($H$2:H960,H960)-1,"")</f>
        <v/>
      </c>
      <c r="AA960" s="56" t="str">
        <f aca="false">IF(AC960="","",RANK(AC960,$AC$2:$AC$1780)+COUNTIF($AC$2:AC960,AC960)-1)</f>
        <v/>
      </c>
      <c r="AB960" s="56" t="str">
        <f aca="false">IF(AD960="","",RANK(AD960,$AD$2:$AD$1780)+COUNTIF($AD$2:AD960,AD960)-1)</f>
        <v/>
      </c>
      <c r="AC960" s="56" t="str">
        <f aca="false">IF(AND(F960&gt;0,E960&gt;=Settings!$B$4),J960,"")</f>
        <v/>
      </c>
      <c r="AD960" s="56" t="str">
        <f aca="false">IF(X960="HIGH RATE",O960,"")</f>
        <v/>
      </c>
    </row>
    <row r="961" customFormat="false" ht="15" hidden="false" customHeight="false" outlineLevel="0" collapsed="false">
      <c r="A961" s="56" t="s">
        <v>2289</v>
      </c>
      <c r="B961" s="56" t="s">
        <v>2287</v>
      </c>
      <c r="C961" s="56" t="s">
        <v>51</v>
      </c>
      <c r="D961" s="56" t="str">
        <f aca="false">IFERROR(INDEX('Brand Map'!$B$4:$B$124,MATCH(C961,'Brand Map'!$A$4:$A$124,0)),"Other")</f>
        <v>AU</v>
      </c>
      <c r="E961" s="57" t="n">
        <v>1</v>
      </c>
      <c r="F961" s="57" t="n">
        <v>0</v>
      </c>
      <c r="G961" s="58" t="n">
        <v>79.49</v>
      </c>
      <c r="H961" s="58" t="n">
        <v>0</v>
      </c>
      <c r="I961" s="58" t="n">
        <v>79.49</v>
      </c>
      <c r="J961" s="32" t="n">
        <f aca="false">IF(E961&gt;0,F961/E961,0)</f>
        <v>0</v>
      </c>
      <c r="K961" s="32" t="n">
        <f aca="false">IF(G961&gt;0,H961/G961,0)</f>
        <v>-0</v>
      </c>
      <c r="L961" s="59" t="n">
        <f aca="false">H961/Settings!$B$16</f>
        <v>-0</v>
      </c>
      <c r="M961" s="59" t="n">
        <f aca="false">H961/Settings!$B$20</f>
        <v>-0</v>
      </c>
      <c r="N961" s="60" t="n">
        <f aca="false">E961*Settings!$B$3</f>
        <v>0.0309861510798204</v>
      </c>
      <c r="O961" s="60" t="n">
        <f aca="false">IF(E961&gt;0,(F961-N961)/SQRT(E961*Settings!$B$3*(1-Settings!$B$3)),0)</f>
        <v>-0.178821125934444</v>
      </c>
      <c r="P961" s="60" t="n">
        <f aca="false">MAX(0,F961-N961)</f>
        <v>0</v>
      </c>
      <c r="Q961" s="32" t="n">
        <f aca="false">(F961+Settings!$B$7*Settings!$B$3)/(E961+Settings!$B$7)</f>
        <v>0.0299865978191811</v>
      </c>
      <c r="R961" s="61" t="n">
        <f aca="false">PERCENTRANK($H$2:$H$1780,H961,6)</f>
        <v>0</v>
      </c>
      <c r="S961" s="61" t="n">
        <f aca="false">PERCENTRANK($Q$2:$Q$1780,Q961,6)</f>
        <v>0.486502</v>
      </c>
      <c r="T961" s="61" t="n">
        <f aca="false">PERCENTRANK($F$2:$F$1780,F961,6)</f>
        <v>0</v>
      </c>
      <c r="U961" s="62" t="n">
        <f aca="false">IF(F961&gt;0,(Settings!$B$8*T961+Settings!$B$9*R961+Settings!$B$10*S961)/SUM(Settings!$B$8:$B$10),0)</f>
        <v>0</v>
      </c>
      <c r="V961" s="56" t="str">
        <f aca="false">IF(U961&gt;0,RANK(U961,$U$2:$U$1780)+COUNTIF($U$2:U961,U961)-1,"")</f>
        <v/>
      </c>
      <c r="W961" s="56" t="str">
        <f aca="false">IF(V961="","",IF(V961&lt;=Settings!$B$11,"1 - Fix first",IF(V961&lt;=Settings!$B$12,"2 - Review","3 - Monitor")))</f>
        <v/>
      </c>
      <c r="X961" s="56" t="str">
        <f aca="false">IF(AND(E961&gt;=Settings!$B$4,F961&gt;=Settings!$B$5,O961&gt;=Settings!$B$6),"HIGH RATE","")</f>
        <v/>
      </c>
      <c r="Y961" s="56" t="str">
        <f aca="false">IF(F961&gt;0,RANK(F961,$F$2:$F$1780)+COUNTIF($F$2:F961,F961)-1,"")</f>
        <v/>
      </c>
      <c r="Z961" s="56" t="str">
        <f aca="false">IF(H961&gt;0,RANK(H961,$H$2:$H$1780)+COUNTIF($H$2:H961,H961)-1,"")</f>
        <v/>
      </c>
      <c r="AA961" s="56" t="str">
        <f aca="false">IF(AC961="","",RANK(AC961,$AC$2:$AC$1780)+COUNTIF($AC$2:AC961,AC961)-1)</f>
        <v/>
      </c>
      <c r="AB961" s="56" t="str">
        <f aca="false">IF(AD961="","",RANK(AD961,$AD$2:$AD$1780)+COUNTIF($AD$2:AD961,AD961)-1)</f>
        <v/>
      </c>
      <c r="AC961" s="56" t="str">
        <f aca="false">IF(AND(F961&gt;0,E961&gt;=Settings!$B$4),J961,"")</f>
        <v/>
      </c>
      <c r="AD961" s="56" t="str">
        <f aca="false">IF(X961="HIGH RATE",O961,"")</f>
        <v/>
      </c>
    </row>
    <row r="962" customFormat="false" ht="15" hidden="false" customHeight="false" outlineLevel="0" collapsed="false">
      <c r="A962" s="56" t="s">
        <v>2290</v>
      </c>
      <c r="B962" s="56" t="s">
        <v>2287</v>
      </c>
      <c r="C962" s="56" t="s">
        <v>51</v>
      </c>
      <c r="D962" s="56" t="str">
        <f aca="false">IFERROR(INDEX('Brand Map'!$B$4:$B$124,MATCH(C962,'Brand Map'!$A$4:$A$124,0)),"Other")</f>
        <v>AU</v>
      </c>
      <c r="E962" s="57" t="n">
        <v>3</v>
      </c>
      <c r="F962" s="57" t="n">
        <v>0</v>
      </c>
      <c r="G962" s="58" t="n">
        <v>148.47</v>
      </c>
      <c r="H962" s="58" t="n">
        <v>0</v>
      </c>
      <c r="I962" s="58" t="n">
        <v>148.47</v>
      </c>
      <c r="J962" s="32" t="n">
        <f aca="false">IF(E962&gt;0,F962/E962,0)</f>
        <v>0</v>
      </c>
      <c r="K962" s="32" t="n">
        <f aca="false">IF(G962&gt;0,H962/G962,0)</f>
        <v>-0</v>
      </c>
      <c r="L962" s="59" t="n">
        <f aca="false">H962/Settings!$B$16</f>
        <v>-0</v>
      </c>
      <c r="M962" s="59" t="n">
        <f aca="false">H962/Settings!$B$20</f>
        <v>-0</v>
      </c>
      <c r="N962" s="60" t="n">
        <f aca="false">E962*Settings!$B$3</f>
        <v>0.0929584532394613</v>
      </c>
      <c r="O962" s="60" t="n">
        <f aca="false">IF(E962&gt;0,(F962-N962)/SQRT(E962*Settings!$B$3*(1-Settings!$B$3)),0)</f>
        <v>-0.30972727558513</v>
      </c>
      <c r="P962" s="60" t="n">
        <f aca="false">MAX(0,F962-N962)</f>
        <v>0</v>
      </c>
      <c r="Q962" s="32" t="n">
        <f aca="false">(F962+Settings!$B$7*Settings!$B$3)/(E962+Settings!$B$7)</f>
        <v>0.0281692282543822</v>
      </c>
      <c r="R962" s="61" t="n">
        <f aca="false">PERCENTRANK($H$2:$H$1780,H962,6)</f>
        <v>0</v>
      </c>
      <c r="S962" s="61" t="n">
        <f aca="false">PERCENTRANK($Q$2:$Q$1780,Q962,6)</f>
        <v>0.294151</v>
      </c>
      <c r="T962" s="61" t="n">
        <f aca="false">PERCENTRANK($F$2:$F$1780,F962,6)</f>
        <v>0</v>
      </c>
      <c r="U962" s="62" t="n">
        <f aca="false">IF(F962&gt;0,(Settings!$B$8*T962+Settings!$B$9*R962+Settings!$B$10*S962)/SUM(Settings!$B$8:$B$10),0)</f>
        <v>0</v>
      </c>
      <c r="V962" s="56" t="str">
        <f aca="false">IF(U962&gt;0,RANK(U962,$U$2:$U$1780)+COUNTIF($U$2:U962,U962)-1,"")</f>
        <v/>
      </c>
      <c r="W962" s="56" t="str">
        <f aca="false">IF(V962="","",IF(V962&lt;=Settings!$B$11,"1 - Fix first",IF(V962&lt;=Settings!$B$12,"2 - Review","3 - Monitor")))</f>
        <v/>
      </c>
      <c r="X962" s="56" t="str">
        <f aca="false">IF(AND(E962&gt;=Settings!$B$4,F962&gt;=Settings!$B$5,O962&gt;=Settings!$B$6),"HIGH RATE","")</f>
        <v/>
      </c>
      <c r="Y962" s="56" t="str">
        <f aca="false">IF(F962&gt;0,RANK(F962,$F$2:$F$1780)+COUNTIF($F$2:F962,F962)-1,"")</f>
        <v/>
      </c>
      <c r="Z962" s="56" t="str">
        <f aca="false">IF(H962&gt;0,RANK(H962,$H$2:$H$1780)+COUNTIF($H$2:H962,H962)-1,"")</f>
        <v/>
      </c>
      <c r="AA962" s="56" t="str">
        <f aca="false">IF(AC962="","",RANK(AC962,$AC$2:$AC$1780)+COUNTIF($AC$2:AC962,AC962)-1)</f>
        <v/>
      </c>
      <c r="AB962" s="56" t="str">
        <f aca="false">IF(AD962="","",RANK(AD962,$AD$2:$AD$1780)+COUNTIF($AD$2:AD962,AD962)-1)</f>
        <v/>
      </c>
      <c r="AC962" s="56" t="str">
        <f aca="false">IF(AND(F962&gt;0,E962&gt;=Settings!$B$4),J962,"")</f>
        <v/>
      </c>
      <c r="AD962" s="56" t="str">
        <f aca="false">IF(X962="HIGH RATE",O962,"")</f>
        <v/>
      </c>
    </row>
    <row r="963" customFormat="false" ht="15" hidden="false" customHeight="false" outlineLevel="0" collapsed="false">
      <c r="A963" s="56" t="s">
        <v>2291</v>
      </c>
      <c r="B963" s="56" t="s">
        <v>2292</v>
      </c>
      <c r="C963" s="56" t="s">
        <v>51</v>
      </c>
      <c r="D963" s="56" t="str">
        <f aca="false">IFERROR(INDEX('Brand Map'!$B$4:$B$124,MATCH(C963,'Brand Map'!$A$4:$A$124,0)),"Other")</f>
        <v>AU</v>
      </c>
      <c r="E963" s="57" t="n">
        <v>9</v>
      </c>
      <c r="F963" s="57" t="n">
        <v>0</v>
      </c>
      <c r="G963" s="58" t="n">
        <v>1008.12</v>
      </c>
      <c r="H963" s="58" t="n">
        <v>0</v>
      </c>
      <c r="I963" s="58" t="n">
        <v>992.45</v>
      </c>
      <c r="J963" s="32" t="n">
        <f aca="false">IF(E963&gt;0,F963/E963,0)</f>
        <v>0</v>
      </c>
      <c r="K963" s="32" t="n">
        <f aca="false">IF(G963&gt;0,H963/G963,0)</f>
        <v>-0</v>
      </c>
      <c r="L963" s="59" t="n">
        <f aca="false">H963/Settings!$B$16</f>
        <v>-0</v>
      </c>
      <c r="M963" s="59" t="n">
        <f aca="false">H963/Settings!$B$20</f>
        <v>-0</v>
      </c>
      <c r="N963" s="60" t="n">
        <f aca="false">E963*Settings!$B$3</f>
        <v>0.278875359718384</v>
      </c>
      <c r="O963" s="60" t="n">
        <f aca="false">IF(E963&gt;0,(F963-N963)/SQRT(E963*Settings!$B$3*(1-Settings!$B$3)),0)</f>
        <v>-0.536463377803332</v>
      </c>
      <c r="P963" s="60" t="n">
        <f aca="false">MAX(0,F963-N963)</f>
        <v>0</v>
      </c>
      <c r="Q963" s="32" t="n">
        <f aca="false">(F963+Settings!$B$7*Settings!$B$3)/(E963+Settings!$B$7)</f>
        <v>0.0238355008306311</v>
      </c>
      <c r="R963" s="61" t="n">
        <f aca="false">PERCENTRANK($H$2:$H$1780,H963,6)</f>
        <v>0</v>
      </c>
      <c r="S963" s="61" t="n">
        <f aca="false">PERCENTRANK($Q$2:$Q$1780,Q963,6)</f>
        <v>0.142857</v>
      </c>
      <c r="T963" s="61" t="n">
        <f aca="false">PERCENTRANK($F$2:$F$1780,F963,6)</f>
        <v>0</v>
      </c>
      <c r="U963" s="62" t="n">
        <f aca="false">IF(F963&gt;0,(Settings!$B$8*T963+Settings!$B$9*R963+Settings!$B$10*S963)/SUM(Settings!$B$8:$B$10),0)</f>
        <v>0</v>
      </c>
      <c r="V963" s="56" t="str">
        <f aca="false">IF(U963&gt;0,RANK(U963,$U$2:$U$1780)+COUNTIF($U$2:U963,U963)-1,"")</f>
        <v/>
      </c>
      <c r="W963" s="56" t="str">
        <f aca="false">IF(V963="","",IF(V963&lt;=Settings!$B$11,"1 - Fix first",IF(V963&lt;=Settings!$B$12,"2 - Review","3 - Monitor")))</f>
        <v/>
      </c>
      <c r="X963" s="56" t="str">
        <f aca="false">IF(AND(E963&gt;=Settings!$B$4,F963&gt;=Settings!$B$5,O963&gt;=Settings!$B$6),"HIGH RATE","")</f>
        <v/>
      </c>
      <c r="Y963" s="56" t="str">
        <f aca="false">IF(F963&gt;0,RANK(F963,$F$2:$F$1780)+COUNTIF($F$2:F963,F963)-1,"")</f>
        <v/>
      </c>
      <c r="Z963" s="56" t="str">
        <f aca="false">IF(H963&gt;0,RANK(H963,$H$2:$H$1780)+COUNTIF($H$2:H963,H963)-1,"")</f>
        <v/>
      </c>
      <c r="AA963" s="56" t="str">
        <f aca="false">IF(AC963="","",RANK(AC963,$AC$2:$AC$1780)+COUNTIF($AC$2:AC963,AC963)-1)</f>
        <v/>
      </c>
      <c r="AB963" s="56" t="str">
        <f aca="false">IF(AD963="","",RANK(AD963,$AD$2:$AD$1780)+COUNTIF($AD$2:AD963,AD963)-1)</f>
        <v/>
      </c>
      <c r="AC963" s="56" t="str">
        <f aca="false">IF(AND(F963&gt;0,E963&gt;=Settings!$B$4),J963,"")</f>
        <v/>
      </c>
      <c r="AD963" s="56" t="str">
        <f aca="false">IF(X963="HIGH RATE",O963,"")</f>
        <v/>
      </c>
    </row>
    <row r="964" customFormat="false" ht="15" hidden="false" customHeight="false" outlineLevel="0" collapsed="false">
      <c r="A964" s="56" t="s">
        <v>2293</v>
      </c>
      <c r="B964" s="56" t="s">
        <v>2294</v>
      </c>
      <c r="C964" s="56" t="s">
        <v>51</v>
      </c>
      <c r="D964" s="56" t="str">
        <f aca="false">IFERROR(INDEX('Brand Map'!$B$4:$B$124,MATCH(C964,'Brand Map'!$A$4:$A$124,0)),"Other")</f>
        <v>AU</v>
      </c>
      <c r="E964" s="57" t="n">
        <v>1</v>
      </c>
      <c r="F964" s="57" t="n">
        <v>0</v>
      </c>
      <c r="G964" s="58" t="n">
        <v>64.89</v>
      </c>
      <c r="H964" s="58" t="n">
        <v>0</v>
      </c>
      <c r="I964" s="58" t="n">
        <v>64.89</v>
      </c>
      <c r="J964" s="32" t="n">
        <f aca="false">IF(E964&gt;0,F964/E964,0)</f>
        <v>0</v>
      </c>
      <c r="K964" s="32" t="n">
        <f aca="false">IF(G964&gt;0,H964/G964,0)</f>
        <v>-0</v>
      </c>
      <c r="L964" s="59" t="n">
        <f aca="false">H964/Settings!$B$16</f>
        <v>-0</v>
      </c>
      <c r="M964" s="59" t="n">
        <f aca="false">H964/Settings!$B$20</f>
        <v>-0</v>
      </c>
      <c r="N964" s="60" t="n">
        <f aca="false">E964*Settings!$B$3</f>
        <v>0.0309861510798204</v>
      </c>
      <c r="O964" s="60" t="n">
        <f aca="false">IF(E964&gt;0,(F964-N964)/SQRT(E964*Settings!$B$3*(1-Settings!$B$3)),0)</f>
        <v>-0.178821125934444</v>
      </c>
      <c r="P964" s="60" t="n">
        <f aca="false">MAX(0,F964-N964)</f>
        <v>0</v>
      </c>
      <c r="Q964" s="32" t="n">
        <f aca="false">(F964+Settings!$B$7*Settings!$B$3)/(E964+Settings!$B$7)</f>
        <v>0.0299865978191811</v>
      </c>
      <c r="R964" s="61" t="n">
        <f aca="false">PERCENTRANK($H$2:$H$1780,H964,6)</f>
        <v>0</v>
      </c>
      <c r="S964" s="61" t="n">
        <f aca="false">PERCENTRANK($Q$2:$Q$1780,Q964,6)</f>
        <v>0.486502</v>
      </c>
      <c r="T964" s="61" t="n">
        <f aca="false">PERCENTRANK($F$2:$F$1780,F964,6)</f>
        <v>0</v>
      </c>
      <c r="U964" s="62" t="n">
        <f aca="false">IF(F964&gt;0,(Settings!$B$8*T964+Settings!$B$9*R964+Settings!$B$10*S964)/SUM(Settings!$B$8:$B$10),0)</f>
        <v>0</v>
      </c>
      <c r="V964" s="56" t="str">
        <f aca="false">IF(U964&gt;0,RANK(U964,$U$2:$U$1780)+COUNTIF($U$2:U964,U964)-1,"")</f>
        <v/>
      </c>
      <c r="W964" s="56" t="str">
        <f aca="false">IF(V964="","",IF(V964&lt;=Settings!$B$11,"1 - Fix first",IF(V964&lt;=Settings!$B$12,"2 - Review","3 - Monitor")))</f>
        <v/>
      </c>
      <c r="X964" s="56" t="str">
        <f aca="false">IF(AND(E964&gt;=Settings!$B$4,F964&gt;=Settings!$B$5,O964&gt;=Settings!$B$6),"HIGH RATE","")</f>
        <v/>
      </c>
      <c r="Y964" s="56" t="str">
        <f aca="false">IF(F964&gt;0,RANK(F964,$F$2:$F$1780)+COUNTIF($F$2:F964,F964)-1,"")</f>
        <v/>
      </c>
      <c r="Z964" s="56" t="str">
        <f aca="false">IF(H964&gt;0,RANK(H964,$H$2:$H$1780)+COUNTIF($H$2:H964,H964)-1,"")</f>
        <v/>
      </c>
      <c r="AA964" s="56" t="str">
        <f aca="false">IF(AC964="","",RANK(AC964,$AC$2:$AC$1780)+COUNTIF($AC$2:AC964,AC964)-1)</f>
        <v/>
      </c>
      <c r="AB964" s="56" t="str">
        <f aca="false">IF(AD964="","",RANK(AD964,$AD$2:$AD$1780)+COUNTIF($AD$2:AD964,AD964)-1)</f>
        <v/>
      </c>
      <c r="AC964" s="56" t="str">
        <f aca="false">IF(AND(F964&gt;0,E964&gt;=Settings!$B$4),J964,"")</f>
        <v/>
      </c>
      <c r="AD964" s="56" t="str">
        <f aca="false">IF(X964="HIGH RATE",O964,"")</f>
        <v/>
      </c>
    </row>
    <row r="965" customFormat="false" ht="15" hidden="false" customHeight="false" outlineLevel="0" collapsed="false">
      <c r="A965" s="56" t="s">
        <v>2295</v>
      </c>
      <c r="B965" s="56" t="s">
        <v>1666</v>
      </c>
      <c r="C965" s="56" t="s">
        <v>51</v>
      </c>
      <c r="D965" s="56" t="str">
        <f aca="false">IFERROR(INDEX('Brand Map'!$B$4:$B$124,MATCH(C965,'Brand Map'!$A$4:$A$124,0)),"Other")</f>
        <v>AU</v>
      </c>
      <c r="E965" s="57" t="n">
        <v>2</v>
      </c>
      <c r="F965" s="57" t="n">
        <v>0</v>
      </c>
      <c r="G965" s="58" t="n">
        <v>371.2</v>
      </c>
      <c r="H965" s="58" t="n">
        <v>0</v>
      </c>
      <c r="I965" s="58" t="n">
        <v>371.2</v>
      </c>
      <c r="J965" s="32" t="n">
        <f aca="false">IF(E965&gt;0,F965/E965,0)</f>
        <v>0</v>
      </c>
      <c r="K965" s="32" t="n">
        <f aca="false">IF(G965&gt;0,H965/G965,0)</f>
        <v>-0</v>
      </c>
      <c r="L965" s="59" t="n">
        <f aca="false">H965/Settings!$B$16</f>
        <v>-0</v>
      </c>
      <c r="M965" s="59" t="n">
        <f aca="false">H965/Settings!$B$20</f>
        <v>-0</v>
      </c>
      <c r="N965" s="60" t="n">
        <f aca="false">E965*Settings!$B$3</f>
        <v>0.0619723021596408</v>
      </c>
      <c r="O965" s="60" t="n">
        <f aca="false">IF(E965&gt;0,(F965-N965)/SQRT(E965*Settings!$B$3*(1-Settings!$B$3)),0)</f>
        <v>-0.252891261535318</v>
      </c>
      <c r="P965" s="60" t="n">
        <f aca="false">MAX(0,F965-N965)</f>
        <v>0</v>
      </c>
      <c r="Q965" s="32" t="n">
        <f aca="false">(F965+Settings!$B$7*Settings!$B$3)/(E965+Settings!$B$7)</f>
        <v>0.0290495166373316</v>
      </c>
      <c r="R965" s="61" t="n">
        <f aca="false">PERCENTRANK($H$2:$H$1780,H965,6)</f>
        <v>0</v>
      </c>
      <c r="S965" s="61" t="n">
        <f aca="false">PERCENTRANK($Q$2:$Q$1780,Q965,6)</f>
        <v>0.365579</v>
      </c>
      <c r="T965" s="61" t="n">
        <f aca="false">PERCENTRANK($F$2:$F$1780,F965,6)</f>
        <v>0</v>
      </c>
      <c r="U965" s="62" t="n">
        <f aca="false">IF(F965&gt;0,(Settings!$B$8*T965+Settings!$B$9*R965+Settings!$B$10*S965)/SUM(Settings!$B$8:$B$10),0)</f>
        <v>0</v>
      </c>
      <c r="V965" s="56" t="str">
        <f aca="false">IF(U965&gt;0,RANK(U965,$U$2:$U$1780)+COUNTIF($U$2:U965,U965)-1,"")</f>
        <v/>
      </c>
      <c r="W965" s="56" t="str">
        <f aca="false">IF(V965="","",IF(V965&lt;=Settings!$B$11,"1 - Fix first",IF(V965&lt;=Settings!$B$12,"2 - Review","3 - Monitor")))</f>
        <v/>
      </c>
      <c r="X965" s="56" t="str">
        <f aca="false">IF(AND(E965&gt;=Settings!$B$4,F965&gt;=Settings!$B$5,O965&gt;=Settings!$B$6),"HIGH RATE","")</f>
        <v/>
      </c>
      <c r="Y965" s="56" t="str">
        <f aca="false">IF(F965&gt;0,RANK(F965,$F$2:$F$1780)+COUNTIF($F$2:F965,F965)-1,"")</f>
        <v/>
      </c>
      <c r="Z965" s="56" t="str">
        <f aca="false">IF(H965&gt;0,RANK(H965,$H$2:$H$1780)+COUNTIF($H$2:H965,H965)-1,"")</f>
        <v/>
      </c>
      <c r="AA965" s="56" t="str">
        <f aca="false">IF(AC965="","",RANK(AC965,$AC$2:$AC$1780)+COUNTIF($AC$2:AC965,AC965)-1)</f>
        <v/>
      </c>
      <c r="AB965" s="56" t="str">
        <f aca="false">IF(AD965="","",RANK(AD965,$AD$2:$AD$1780)+COUNTIF($AD$2:AD965,AD965)-1)</f>
        <v/>
      </c>
      <c r="AC965" s="56" t="str">
        <f aca="false">IF(AND(F965&gt;0,E965&gt;=Settings!$B$4),J965,"")</f>
        <v/>
      </c>
      <c r="AD965" s="56" t="str">
        <f aca="false">IF(X965="HIGH RATE",O965,"")</f>
        <v/>
      </c>
    </row>
    <row r="966" customFormat="false" ht="15" hidden="false" customHeight="false" outlineLevel="0" collapsed="false">
      <c r="A966" s="56" t="s">
        <v>2296</v>
      </c>
      <c r="B966" s="56" t="s">
        <v>1071</v>
      </c>
      <c r="C966" s="56" t="s">
        <v>51</v>
      </c>
      <c r="D966" s="56" t="str">
        <f aca="false">IFERROR(INDEX('Brand Map'!$B$4:$B$124,MATCH(C966,'Brand Map'!$A$4:$A$124,0)),"Other")</f>
        <v>AU</v>
      </c>
      <c r="E966" s="57" t="n">
        <v>4</v>
      </c>
      <c r="F966" s="57" t="n">
        <v>0</v>
      </c>
      <c r="G966" s="58" t="n">
        <v>505.8</v>
      </c>
      <c r="H966" s="58" t="n">
        <v>0</v>
      </c>
      <c r="I966" s="58" t="n">
        <v>505.8</v>
      </c>
      <c r="J966" s="32" t="n">
        <f aca="false">IF(E966&gt;0,F966/E966,0)</f>
        <v>0</v>
      </c>
      <c r="K966" s="32" t="n">
        <f aca="false">IF(G966&gt;0,H966/G966,0)</f>
        <v>-0</v>
      </c>
      <c r="L966" s="59" t="n">
        <f aca="false">H966/Settings!$B$16</f>
        <v>-0</v>
      </c>
      <c r="M966" s="59" t="n">
        <f aca="false">H966/Settings!$B$20</f>
        <v>-0</v>
      </c>
      <c r="N966" s="60" t="n">
        <f aca="false">E966*Settings!$B$3</f>
        <v>0.123944604319282</v>
      </c>
      <c r="O966" s="60" t="n">
        <f aca="false">IF(E966&gt;0,(F966-N966)/SQRT(E966*Settings!$B$3*(1-Settings!$B$3)),0)</f>
        <v>-0.357642251868888</v>
      </c>
      <c r="P966" s="60" t="n">
        <f aca="false">MAX(0,F966-N966)</f>
        <v>0</v>
      </c>
      <c r="Q966" s="32" t="n">
        <f aca="false">(F966+Settings!$B$7*Settings!$B$3)/(E966+Settings!$B$7)</f>
        <v>0.027340721541018</v>
      </c>
      <c r="R966" s="61" t="n">
        <f aca="false">PERCENTRANK($H$2:$H$1780,H966,6)</f>
        <v>0</v>
      </c>
      <c r="S966" s="61" t="n">
        <f aca="false">PERCENTRANK($Q$2:$Q$1780,Q966,6)</f>
        <v>0.253656</v>
      </c>
      <c r="T966" s="61" t="n">
        <f aca="false">PERCENTRANK($F$2:$F$1780,F966,6)</f>
        <v>0</v>
      </c>
      <c r="U966" s="62" t="n">
        <f aca="false">IF(F966&gt;0,(Settings!$B$8*T966+Settings!$B$9*R966+Settings!$B$10*S966)/SUM(Settings!$B$8:$B$10),0)</f>
        <v>0</v>
      </c>
      <c r="V966" s="56" t="str">
        <f aca="false">IF(U966&gt;0,RANK(U966,$U$2:$U$1780)+COUNTIF($U$2:U966,U966)-1,"")</f>
        <v/>
      </c>
      <c r="W966" s="56" t="str">
        <f aca="false">IF(V966="","",IF(V966&lt;=Settings!$B$11,"1 - Fix first",IF(V966&lt;=Settings!$B$12,"2 - Review","3 - Monitor")))</f>
        <v/>
      </c>
      <c r="X966" s="56" t="str">
        <f aca="false">IF(AND(E966&gt;=Settings!$B$4,F966&gt;=Settings!$B$5,O966&gt;=Settings!$B$6),"HIGH RATE","")</f>
        <v/>
      </c>
      <c r="Y966" s="56" t="str">
        <f aca="false">IF(F966&gt;0,RANK(F966,$F$2:$F$1780)+COUNTIF($F$2:F966,F966)-1,"")</f>
        <v/>
      </c>
      <c r="Z966" s="56" t="str">
        <f aca="false">IF(H966&gt;0,RANK(H966,$H$2:$H$1780)+COUNTIF($H$2:H966,H966)-1,"")</f>
        <v/>
      </c>
      <c r="AA966" s="56" t="str">
        <f aca="false">IF(AC966="","",RANK(AC966,$AC$2:$AC$1780)+COUNTIF($AC$2:AC966,AC966)-1)</f>
        <v/>
      </c>
      <c r="AB966" s="56" t="str">
        <f aca="false">IF(AD966="","",RANK(AD966,$AD$2:$AD$1780)+COUNTIF($AD$2:AD966,AD966)-1)</f>
        <v/>
      </c>
      <c r="AC966" s="56" t="str">
        <f aca="false">IF(AND(F966&gt;0,E966&gt;=Settings!$B$4),J966,"")</f>
        <v/>
      </c>
      <c r="AD966" s="56" t="str">
        <f aca="false">IF(X966="HIGH RATE",O966,"")</f>
        <v/>
      </c>
    </row>
    <row r="967" customFormat="false" ht="15" hidden="false" customHeight="false" outlineLevel="0" collapsed="false">
      <c r="A967" s="56" t="s">
        <v>2297</v>
      </c>
      <c r="B967" s="56" t="s">
        <v>1071</v>
      </c>
      <c r="C967" s="56" t="s">
        <v>51</v>
      </c>
      <c r="D967" s="56" t="str">
        <f aca="false">IFERROR(INDEX('Brand Map'!$B$4:$B$124,MATCH(C967,'Brand Map'!$A$4:$A$124,0)),"Other")</f>
        <v>AU</v>
      </c>
      <c r="E967" s="57" t="n">
        <v>3</v>
      </c>
      <c r="F967" s="57" t="n">
        <v>0</v>
      </c>
      <c r="G967" s="58" t="n">
        <v>481.21</v>
      </c>
      <c r="H967" s="58" t="n">
        <v>0</v>
      </c>
      <c r="I967" s="58" t="n">
        <v>481.21</v>
      </c>
      <c r="J967" s="32" t="n">
        <f aca="false">IF(E967&gt;0,F967/E967,0)</f>
        <v>0</v>
      </c>
      <c r="K967" s="32" t="n">
        <f aca="false">IF(G967&gt;0,H967/G967,0)</f>
        <v>-0</v>
      </c>
      <c r="L967" s="59" t="n">
        <f aca="false">H967/Settings!$B$16</f>
        <v>-0</v>
      </c>
      <c r="M967" s="59" t="n">
        <f aca="false">H967/Settings!$B$20</f>
        <v>-0</v>
      </c>
      <c r="N967" s="60" t="n">
        <f aca="false">E967*Settings!$B$3</f>
        <v>0.0929584532394613</v>
      </c>
      <c r="O967" s="60" t="n">
        <f aca="false">IF(E967&gt;0,(F967-N967)/SQRT(E967*Settings!$B$3*(1-Settings!$B$3)),0)</f>
        <v>-0.30972727558513</v>
      </c>
      <c r="P967" s="60" t="n">
        <f aca="false">MAX(0,F967-N967)</f>
        <v>0</v>
      </c>
      <c r="Q967" s="32" t="n">
        <f aca="false">(F967+Settings!$B$7*Settings!$B$3)/(E967+Settings!$B$7)</f>
        <v>0.0281692282543822</v>
      </c>
      <c r="R967" s="61" t="n">
        <f aca="false">PERCENTRANK($H$2:$H$1780,H967,6)</f>
        <v>0</v>
      </c>
      <c r="S967" s="61" t="n">
        <f aca="false">PERCENTRANK($Q$2:$Q$1780,Q967,6)</f>
        <v>0.294151</v>
      </c>
      <c r="T967" s="61" t="n">
        <f aca="false">PERCENTRANK($F$2:$F$1780,F967,6)</f>
        <v>0</v>
      </c>
      <c r="U967" s="62" t="n">
        <f aca="false">IF(F967&gt;0,(Settings!$B$8*T967+Settings!$B$9*R967+Settings!$B$10*S967)/SUM(Settings!$B$8:$B$10),0)</f>
        <v>0</v>
      </c>
      <c r="V967" s="56" t="str">
        <f aca="false">IF(U967&gt;0,RANK(U967,$U$2:$U$1780)+COUNTIF($U$2:U967,U967)-1,"")</f>
        <v/>
      </c>
      <c r="W967" s="56" t="str">
        <f aca="false">IF(V967="","",IF(V967&lt;=Settings!$B$11,"1 - Fix first",IF(V967&lt;=Settings!$B$12,"2 - Review","3 - Monitor")))</f>
        <v/>
      </c>
      <c r="X967" s="56" t="str">
        <f aca="false">IF(AND(E967&gt;=Settings!$B$4,F967&gt;=Settings!$B$5,O967&gt;=Settings!$B$6),"HIGH RATE","")</f>
        <v/>
      </c>
      <c r="Y967" s="56" t="str">
        <f aca="false">IF(F967&gt;0,RANK(F967,$F$2:$F$1780)+COUNTIF($F$2:F967,F967)-1,"")</f>
        <v/>
      </c>
      <c r="Z967" s="56" t="str">
        <f aca="false">IF(H967&gt;0,RANK(H967,$H$2:$H$1780)+COUNTIF($H$2:H967,H967)-1,"")</f>
        <v/>
      </c>
      <c r="AA967" s="56" t="str">
        <f aca="false">IF(AC967="","",RANK(AC967,$AC$2:$AC$1780)+COUNTIF($AC$2:AC967,AC967)-1)</f>
        <v/>
      </c>
      <c r="AB967" s="56" t="str">
        <f aca="false">IF(AD967="","",RANK(AD967,$AD$2:$AD$1780)+COUNTIF($AD$2:AD967,AD967)-1)</f>
        <v/>
      </c>
      <c r="AC967" s="56" t="str">
        <f aca="false">IF(AND(F967&gt;0,E967&gt;=Settings!$B$4),J967,"")</f>
        <v/>
      </c>
      <c r="AD967" s="56" t="str">
        <f aca="false">IF(X967="HIGH RATE",O967,"")</f>
        <v/>
      </c>
    </row>
    <row r="968" customFormat="false" ht="15" hidden="false" customHeight="false" outlineLevel="0" collapsed="false">
      <c r="A968" s="56" t="s">
        <v>2298</v>
      </c>
      <c r="B968" s="56" t="s">
        <v>2299</v>
      </c>
      <c r="C968" s="56" t="s">
        <v>51</v>
      </c>
      <c r="D968" s="56" t="str">
        <f aca="false">IFERROR(INDEX('Brand Map'!$B$4:$B$124,MATCH(C968,'Brand Map'!$A$4:$A$124,0)),"Other")</f>
        <v>AU</v>
      </c>
      <c r="E968" s="57" t="n">
        <v>64</v>
      </c>
      <c r="F968" s="57" t="n">
        <v>0</v>
      </c>
      <c r="G968" s="58" t="n">
        <v>7758.73</v>
      </c>
      <c r="H968" s="58" t="n">
        <v>0</v>
      </c>
      <c r="I968" s="58" t="n">
        <v>7574.66</v>
      </c>
      <c r="J968" s="32" t="n">
        <f aca="false">IF(E968&gt;0,F968/E968,0)</f>
        <v>0</v>
      </c>
      <c r="K968" s="32" t="n">
        <f aca="false">IF(G968&gt;0,H968/G968,0)</f>
        <v>-0</v>
      </c>
      <c r="L968" s="59" t="n">
        <f aca="false">H968/Settings!$B$16</f>
        <v>-0</v>
      </c>
      <c r="M968" s="59" t="n">
        <f aca="false">H968/Settings!$B$20</f>
        <v>-0</v>
      </c>
      <c r="N968" s="60" t="n">
        <f aca="false">E968*Settings!$B$3</f>
        <v>1.98311366910851</v>
      </c>
      <c r="O968" s="60" t="n">
        <f aca="false">IF(E968&gt;0,(F968-N968)/SQRT(E968*Settings!$B$3*(1-Settings!$B$3)),0)</f>
        <v>-1.43056900747555</v>
      </c>
      <c r="P968" s="60" t="n">
        <f aca="false">MAX(0,F968-N968)</f>
        <v>0</v>
      </c>
      <c r="Q968" s="32" t="n">
        <f aca="false">(F968+Settings!$B$7*Settings!$B$3)/(E968+Settings!$B$7)</f>
        <v>0.00988919715313418</v>
      </c>
      <c r="R968" s="61" t="n">
        <f aca="false">PERCENTRANK($H$2:$H$1780,H968,6)</f>
        <v>0</v>
      </c>
      <c r="S968" s="61" t="n">
        <f aca="false">PERCENTRANK($Q$2:$Q$1780,Q968,6)</f>
        <v>0.0129359</v>
      </c>
      <c r="T968" s="61" t="n">
        <f aca="false">PERCENTRANK($F$2:$F$1780,F968,6)</f>
        <v>0</v>
      </c>
      <c r="U968" s="62" t="n">
        <f aca="false">IF(F968&gt;0,(Settings!$B$8*T968+Settings!$B$9*R968+Settings!$B$10*S968)/SUM(Settings!$B$8:$B$10),0)</f>
        <v>0</v>
      </c>
      <c r="V968" s="56" t="str">
        <f aca="false">IF(U968&gt;0,RANK(U968,$U$2:$U$1780)+COUNTIF($U$2:U968,U968)-1,"")</f>
        <v/>
      </c>
      <c r="W968" s="56" t="str">
        <f aca="false">IF(V968="","",IF(V968&lt;=Settings!$B$11,"1 - Fix first",IF(V968&lt;=Settings!$B$12,"2 - Review","3 - Monitor")))</f>
        <v/>
      </c>
      <c r="X968" s="56" t="str">
        <f aca="false">IF(AND(E968&gt;=Settings!$B$4,F968&gt;=Settings!$B$5,O968&gt;=Settings!$B$6),"HIGH RATE","")</f>
        <v/>
      </c>
      <c r="Y968" s="56" t="str">
        <f aca="false">IF(F968&gt;0,RANK(F968,$F$2:$F$1780)+COUNTIF($F$2:F968,F968)-1,"")</f>
        <v/>
      </c>
      <c r="Z968" s="56" t="str">
        <f aca="false">IF(H968&gt;0,RANK(H968,$H$2:$H$1780)+COUNTIF($H$2:H968,H968)-1,"")</f>
        <v/>
      </c>
      <c r="AA968" s="56" t="str">
        <f aca="false">IF(AC968="","",RANK(AC968,$AC$2:$AC$1780)+COUNTIF($AC$2:AC968,AC968)-1)</f>
        <v/>
      </c>
      <c r="AB968" s="56" t="str">
        <f aca="false">IF(AD968="","",RANK(AD968,$AD$2:$AD$1780)+COUNTIF($AD$2:AD968,AD968)-1)</f>
        <v/>
      </c>
      <c r="AC968" s="56" t="str">
        <f aca="false">IF(AND(F968&gt;0,E968&gt;=Settings!$B$4),J968,"")</f>
        <v/>
      </c>
      <c r="AD968" s="56" t="str">
        <f aca="false">IF(X968="HIGH RATE",O968,"")</f>
        <v/>
      </c>
    </row>
    <row r="969" customFormat="false" ht="15" hidden="false" customHeight="false" outlineLevel="0" collapsed="false">
      <c r="A969" s="56" t="s">
        <v>2300</v>
      </c>
      <c r="B969" s="56" t="s">
        <v>2299</v>
      </c>
      <c r="C969" s="56" t="s">
        <v>51</v>
      </c>
      <c r="D969" s="56" t="str">
        <f aca="false">IFERROR(INDEX('Brand Map'!$B$4:$B$124,MATCH(C969,'Brand Map'!$A$4:$A$124,0)),"Other")</f>
        <v>AU</v>
      </c>
      <c r="E969" s="57" t="n">
        <v>2</v>
      </c>
      <c r="F969" s="57" t="n">
        <v>0</v>
      </c>
      <c r="G969" s="58" t="n">
        <v>399.9</v>
      </c>
      <c r="H969" s="58" t="n">
        <v>0</v>
      </c>
      <c r="I969" s="58" t="n">
        <v>399.9</v>
      </c>
      <c r="J969" s="32" t="n">
        <f aca="false">IF(E969&gt;0,F969/E969,0)</f>
        <v>0</v>
      </c>
      <c r="K969" s="32" t="n">
        <f aca="false">IF(G969&gt;0,H969/G969,0)</f>
        <v>-0</v>
      </c>
      <c r="L969" s="59" t="n">
        <f aca="false">H969/Settings!$B$16</f>
        <v>-0</v>
      </c>
      <c r="M969" s="59" t="n">
        <f aca="false">H969/Settings!$B$20</f>
        <v>-0</v>
      </c>
      <c r="N969" s="60" t="n">
        <f aca="false">E969*Settings!$B$3</f>
        <v>0.0619723021596408</v>
      </c>
      <c r="O969" s="60" t="n">
        <f aca="false">IF(E969&gt;0,(F969-N969)/SQRT(E969*Settings!$B$3*(1-Settings!$B$3)),0)</f>
        <v>-0.252891261535318</v>
      </c>
      <c r="P969" s="60" t="n">
        <f aca="false">MAX(0,F969-N969)</f>
        <v>0</v>
      </c>
      <c r="Q969" s="32" t="n">
        <f aca="false">(F969+Settings!$B$7*Settings!$B$3)/(E969+Settings!$B$7)</f>
        <v>0.0290495166373316</v>
      </c>
      <c r="R969" s="61" t="n">
        <f aca="false">PERCENTRANK($H$2:$H$1780,H969,6)</f>
        <v>0</v>
      </c>
      <c r="S969" s="61" t="n">
        <f aca="false">PERCENTRANK($Q$2:$Q$1780,Q969,6)</f>
        <v>0.365579</v>
      </c>
      <c r="T969" s="61" t="n">
        <f aca="false">PERCENTRANK($F$2:$F$1780,F969,6)</f>
        <v>0</v>
      </c>
      <c r="U969" s="62" t="n">
        <f aca="false">IF(F969&gt;0,(Settings!$B$8*T969+Settings!$B$9*R969+Settings!$B$10*S969)/SUM(Settings!$B$8:$B$10),0)</f>
        <v>0</v>
      </c>
      <c r="V969" s="56" t="str">
        <f aca="false">IF(U969&gt;0,RANK(U969,$U$2:$U$1780)+COUNTIF($U$2:U969,U969)-1,"")</f>
        <v/>
      </c>
      <c r="W969" s="56" t="str">
        <f aca="false">IF(V969="","",IF(V969&lt;=Settings!$B$11,"1 - Fix first",IF(V969&lt;=Settings!$B$12,"2 - Review","3 - Monitor")))</f>
        <v/>
      </c>
      <c r="X969" s="56" t="str">
        <f aca="false">IF(AND(E969&gt;=Settings!$B$4,F969&gt;=Settings!$B$5,O969&gt;=Settings!$B$6),"HIGH RATE","")</f>
        <v/>
      </c>
      <c r="Y969" s="56" t="str">
        <f aca="false">IF(F969&gt;0,RANK(F969,$F$2:$F$1780)+COUNTIF($F$2:F969,F969)-1,"")</f>
        <v/>
      </c>
      <c r="Z969" s="56" t="str">
        <f aca="false">IF(H969&gt;0,RANK(H969,$H$2:$H$1780)+COUNTIF($H$2:H969,H969)-1,"")</f>
        <v/>
      </c>
      <c r="AA969" s="56" t="str">
        <f aca="false">IF(AC969="","",RANK(AC969,$AC$2:$AC$1780)+COUNTIF($AC$2:AC969,AC969)-1)</f>
        <v/>
      </c>
      <c r="AB969" s="56" t="str">
        <f aca="false">IF(AD969="","",RANK(AD969,$AD$2:$AD$1780)+COUNTIF($AD$2:AD969,AD969)-1)</f>
        <v/>
      </c>
      <c r="AC969" s="56" t="str">
        <f aca="false">IF(AND(F969&gt;0,E969&gt;=Settings!$B$4),J969,"")</f>
        <v/>
      </c>
      <c r="AD969" s="56" t="str">
        <f aca="false">IF(X969="HIGH RATE",O969,"")</f>
        <v/>
      </c>
    </row>
    <row r="970" customFormat="false" ht="15" hidden="false" customHeight="false" outlineLevel="0" collapsed="false">
      <c r="A970" s="56" t="s">
        <v>2301</v>
      </c>
      <c r="B970" s="56" t="s">
        <v>1467</v>
      </c>
      <c r="C970" s="56" t="s">
        <v>51</v>
      </c>
      <c r="D970" s="56" t="str">
        <f aca="false">IFERROR(INDEX('Brand Map'!$B$4:$B$124,MATCH(C970,'Brand Map'!$A$4:$A$124,0)),"Other")</f>
        <v>AU</v>
      </c>
      <c r="E970" s="57" t="n">
        <v>1</v>
      </c>
      <c r="F970" s="57" t="n">
        <v>0</v>
      </c>
      <c r="G970" s="58" t="n">
        <v>198.95</v>
      </c>
      <c r="H970" s="58" t="n">
        <v>0</v>
      </c>
      <c r="I970" s="58" t="n">
        <v>198.95</v>
      </c>
      <c r="J970" s="32" t="n">
        <f aca="false">IF(E970&gt;0,F970/E970,0)</f>
        <v>0</v>
      </c>
      <c r="K970" s="32" t="n">
        <f aca="false">IF(G970&gt;0,H970/G970,0)</f>
        <v>-0</v>
      </c>
      <c r="L970" s="59" t="n">
        <f aca="false">H970/Settings!$B$16</f>
        <v>-0</v>
      </c>
      <c r="M970" s="59" t="n">
        <f aca="false">H970/Settings!$B$20</f>
        <v>-0</v>
      </c>
      <c r="N970" s="60" t="n">
        <f aca="false">E970*Settings!$B$3</f>
        <v>0.0309861510798204</v>
      </c>
      <c r="O970" s="60" t="n">
        <f aca="false">IF(E970&gt;0,(F970-N970)/SQRT(E970*Settings!$B$3*(1-Settings!$B$3)),0)</f>
        <v>-0.178821125934444</v>
      </c>
      <c r="P970" s="60" t="n">
        <f aca="false">MAX(0,F970-N970)</f>
        <v>0</v>
      </c>
      <c r="Q970" s="32" t="n">
        <f aca="false">(F970+Settings!$B$7*Settings!$B$3)/(E970+Settings!$B$7)</f>
        <v>0.0299865978191811</v>
      </c>
      <c r="R970" s="61" t="n">
        <f aca="false">PERCENTRANK($H$2:$H$1780,H970,6)</f>
        <v>0</v>
      </c>
      <c r="S970" s="61" t="n">
        <f aca="false">PERCENTRANK($Q$2:$Q$1780,Q970,6)</f>
        <v>0.486502</v>
      </c>
      <c r="T970" s="61" t="n">
        <f aca="false">PERCENTRANK($F$2:$F$1780,F970,6)</f>
        <v>0</v>
      </c>
      <c r="U970" s="62" t="n">
        <f aca="false">IF(F970&gt;0,(Settings!$B$8*T970+Settings!$B$9*R970+Settings!$B$10*S970)/SUM(Settings!$B$8:$B$10),0)</f>
        <v>0</v>
      </c>
      <c r="V970" s="56" t="str">
        <f aca="false">IF(U970&gt;0,RANK(U970,$U$2:$U$1780)+COUNTIF($U$2:U970,U970)-1,"")</f>
        <v/>
      </c>
      <c r="W970" s="56" t="str">
        <f aca="false">IF(V970="","",IF(V970&lt;=Settings!$B$11,"1 - Fix first",IF(V970&lt;=Settings!$B$12,"2 - Review","3 - Monitor")))</f>
        <v/>
      </c>
      <c r="X970" s="56" t="str">
        <f aca="false">IF(AND(E970&gt;=Settings!$B$4,F970&gt;=Settings!$B$5,O970&gt;=Settings!$B$6),"HIGH RATE","")</f>
        <v/>
      </c>
      <c r="Y970" s="56" t="str">
        <f aca="false">IF(F970&gt;0,RANK(F970,$F$2:$F$1780)+COUNTIF($F$2:F970,F970)-1,"")</f>
        <v/>
      </c>
      <c r="Z970" s="56" t="str">
        <f aca="false">IF(H970&gt;0,RANK(H970,$H$2:$H$1780)+COUNTIF($H$2:H970,H970)-1,"")</f>
        <v/>
      </c>
      <c r="AA970" s="56" t="str">
        <f aca="false">IF(AC970="","",RANK(AC970,$AC$2:$AC$1780)+COUNTIF($AC$2:AC970,AC970)-1)</f>
        <v/>
      </c>
      <c r="AB970" s="56" t="str">
        <f aca="false">IF(AD970="","",RANK(AD970,$AD$2:$AD$1780)+COUNTIF($AD$2:AD970,AD970)-1)</f>
        <v/>
      </c>
      <c r="AC970" s="56" t="str">
        <f aca="false">IF(AND(F970&gt;0,E970&gt;=Settings!$B$4),J970,"")</f>
        <v/>
      </c>
      <c r="AD970" s="56" t="str">
        <f aca="false">IF(X970="HIGH RATE",O970,"")</f>
        <v/>
      </c>
    </row>
    <row r="971" customFormat="false" ht="15" hidden="false" customHeight="false" outlineLevel="0" collapsed="false">
      <c r="A971" s="56" t="s">
        <v>2302</v>
      </c>
      <c r="B971" s="56" t="s">
        <v>1660</v>
      </c>
      <c r="C971" s="56" t="s">
        <v>51</v>
      </c>
      <c r="D971" s="56" t="str">
        <f aca="false">IFERROR(INDEX('Brand Map'!$B$4:$B$124,MATCH(C971,'Brand Map'!$A$4:$A$124,0)),"Other")</f>
        <v>AU</v>
      </c>
      <c r="E971" s="57" t="n">
        <v>1</v>
      </c>
      <c r="F971" s="57" t="n">
        <v>0</v>
      </c>
      <c r="G971" s="58" t="n">
        <v>154.59</v>
      </c>
      <c r="H971" s="58" t="n">
        <v>0</v>
      </c>
      <c r="I971" s="58" t="n">
        <v>154.59</v>
      </c>
      <c r="J971" s="32" t="n">
        <f aca="false">IF(E971&gt;0,F971/E971,0)</f>
        <v>0</v>
      </c>
      <c r="K971" s="32" t="n">
        <f aca="false">IF(G971&gt;0,H971/G971,0)</f>
        <v>-0</v>
      </c>
      <c r="L971" s="59" t="n">
        <f aca="false">H971/Settings!$B$16</f>
        <v>-0</v>
      </c>
      <c r="M971" s="59" t="n">
        <f aca="false">H971/Settings!$B$20</f>
        <v>-0</v>
      </c>
      <c r="N971" s="60" t="n">
        <f aca="false">E971*Settings!$B$3</f>
        <v>0.0309861510798204</v>
      </c>
      <c r="O971" s="60" t="n">
        <f aca="false">IF(E971&gt;0,(F971-N971)/SQRT(E971*Settings!$B$3*(1-Settings!$B$3)),0)</f>
        <v>-0.178821125934444</v>
      </c>
      <c r="P971" s="60" t="n">
        <f aca="false">MAX(0,F971-N971)</f>
        <v>0</v>
      </c>
      <c r="Q971" s="32" t="n">
        <f aca="false">(F971+Settings!$B$7*Settings!$B$3)/(E971+Settings!$B$7)</f>
        <v>0.0299865978191811</v>
      </c>
      <c r="R971" s="61" t="n">
        <f aca="false">PERCENTRANK($H$2:$H$1780,H971,6)</f>
        <v>0</v>
      </c>
      <c r="S971" s="61" t="n">
        <f aca="false">PERCENTRANK($Q$2:$Q$1780,Q971,6)</f>
        <v>0.486502</v>
      </c>
      <c r="T971" s="61" t="n">
        <f aca="false">PERCENTRANK($F$2:$F$1780,F971,6)</f>
        <v>0</v>
      </c>
      <c r="U971" s="62" t="n">
        <f aca="false">IF(F971&gt;0,(Settings!$B$8*T971+Settings!$B$9*R971+Settings!$B$10*S971)/SUM(Settings!$B$8:$B$10),0)</f>
        <v>0</v>
      </c>
      <c r="V971" s="56" t="str">
        <f aca="false">IF(U971&gt;0,RANK(U971,$U$2:$U$1780)+COUNTIF($U$2:U971,U971)-1,"")</f>
        <v/>
      </c>
      <c r="W971" s="56" t="str">
        <f aca="false">IF(V971="","",IF(V971&lt;=Settings!$B$11,"1 - Fix first",IF(V971&lt;=Settings!$B$12,"2 - Review","3 - Monitor")))</f>
        <v/>
      </c>
      <c r="X971" s="56" t="str">
        <f aca="false">IF(AND(E971&gt;=Settings!$B$4,F971&gt;=Settings!$B$5,O971&gt;=Settings!$B$6),"HIGH RATE","")</f>
        <v/>
      </c>
      <c r="Y971" s="56" t="str">
        <f aca="false">IF(F971&gt;0,RANK(F971,$F$2:$F$1780)+COUNTIF($F$2:F971,F971)-1,"")</f>
        <v/>
      </c>
      <c r="Z971" s="56" t="str">
        <f aca="false">IF(H971&gt;0,RANK(H971,$H$2:$H$1780)+COUNTIF($H$2:H971,H971)-1,"")</f>
        <v/>
      </c>
      <c r="AA971" s="56" t="str">
        <f aca="false">IF(AC971="","",RANK(AC971,$AC$2:$AC$1780)+COUNTIF($AC$2:AC971,AC971)-1)</f>
        <v/>
      </c>
      <c r="AB971" s="56" t="str">
        <f aca="false">IF(AD971="","",RANK(AD971,$AD$2:$AD$1780)+COUNTIF($AD$2:AD971,AD971)-1)</f>
        <v/>
      </c>
      <c r="AC971" s="56" t="str">
        <f aca="false">IF(AND(F971&gt;0,E971&gt;=Settings!$B$4),J971,"")</f>
        <v/>
      </c>
      <c r="AD971" s="56" t="str">
        <f aca="false">IF(X971="HIGH RATE",O971,"")</f>
        <v/>
      </c>
    </row>
    <row r="972" customFormat="false" ht="15" hidden="false" customHeight="false" outlineLevel="0" collapsed="false">
      <c r="A972" s="56" t="s">
        <v>2303</v>
      </c>
      <c r="B972" s="56" t="s">
        <v>1542</v>
      </c>
      <c r="C972" s="56" t="s">
        <v>51</v>
      </c>
      <c r="D972" s="56" t="str">
        <f aca="false">IFERROR(INDEX('Brand Map'!$B$4:$B$124,MATCH(C972,'Brand Map'!$A$4:$A$124,0)),"Other")</f>
        <v>AU</v>
      </c>
      <c r="E972" s="57" t="n">
        <v>1</v>
      </c>
      <c r="F972" s="57" t="n">
        <v>0</v>
      </c>
      <c r="G972" s="58" t="n">
        <v>152.95</v>
      </c>
      <c r="H972" s="58" t="n">
        <v>0</v>
      </c>
      <c r="I972" s="58" t="n">
        <v>152.95</v>
      </c>
      <c r="J972" s="32" t="n">
        <f aca="false">IF(E972&gt;0,F972/E972,0)</f>
        <v>0</v>
      </c>
      <c r="K972" s="32" t="n">
        <f aca="false">IF(G972&gt;0,H972/G972,0)</f>
        <v>-0</v>
      </c>
      <c r="L972" s="59" t="n">
        <f aca="false">H972/Settings!$B$16</f>
        <v>-0</v>
      </c>
      <c r="M972" s="59" t="n">
        <f aca="false">H972/Settings!$B$20</f>
        <v>-0</v>
      </c>
      <c r="N972" s="60" t="n">
        <f aca="false">E972*Settings!$B$3</f>
        <v>0.0309861510798204</v>
      </c>
      <c r="O972" s="60" t="n">
        <f aca="false">IF(E972&gt;0,(F972-N972)/SQRT(E972*Settings!$B$3*(1-Settings!$B$3)),0)</f>
        <v>-0.178821125934444</v>
      </c>
      <c r="P972" s="60" t="n">
        <f aca="false">MAX(0,F972-N972)</f>
        <v>0</v>
      </c>
      <c r="Q972" s="32" t="n">
        <f aca="false">(F972+Settings!$B$7*Settings!$B$3)/(E972+Settings!$B$7)</f>
        <v>0.0299865978191811</v>
      </c>
      <c r="R972" s="61" t="n">
        <f aca="false">PERCENTRANK($H$2:$H$1780,H972,6)</f>
        <v>0</v>
      </c>
      <c r="S972" s="61" t="n">
        <f aca="false">PERCENTRANK($Q$2:$Q$1780,Q972,6)</f>
        <v>0.486502</v>
      </c>
      <c r="T972" s="61" t="n">
        <f aca="false">PERCENTRANK($F$2:$F$1780,F972,6)</f>
        <v>0</v>
      </c>
      <c r="U972" s="62" t="n">
        <f aca="false">IF(F972&gt;0,(Settings!$B$8*T972+Settings!$B$9*R972+Settings!$B$10*S972)/SUM(Settings!$B$8:$B$10),0)</f>
        <v>0</v>
      </c>
      <c r="V972" s="56" t="str">
        <f aca="false">IF(U972&gt;0,RANK(U972,$U$2:$U$1780)+COUNTIF($U$2:U972,U972)-1,"")</f>
        <v/>
      </c>
      <c r="W972" s="56" t="str">
        <f aca="false">IF(V972="","",IF(V972&lt;=Settings!$B$11,"1 - Fix first",IF(V972&lt;=Settings!$B$12,"2 - Review","3 - Monitor")))</f>
        <v/>
      </c>
      <c r="X972" s="56" t="str">
        <f aca="false">IF(AND(E972&gt;=Settings!$B$4,F972&gt;=Settings!$B$5,O972&gt;=Settings!$B$6),"HIGH RATE","")</f>
        <v/>
      </c>
      <c r="Y972" s="56" t="str">
        <f aca="false">IF(F972&gt;0,RANK(F972,$F$2:$F$1780)+COUNTIF($F$2:F972,F972)-1,"")</f>
        <v/>
      </c>
      <c r="Z972" s="56" t="str">
        <f aca="false">IF(H972&gt;0,RANK(H972,$H$2:$H$1780)+COUNTIF($H$2:H972,H972)-1,"")</f>
        <v/>
      </c>
      <c r="AA972" s="56" t="str">
        <f aca="false">IF(AC972="","",RANK(AC972,$AC$2:$AC$1780)+COUNTIF($AC$2:AC972,AC972)-1)</f>
        <v/>
      </c>
      <c r="AB972" s="56" t="str">
        <f aca="false">IF(AD972="","",RANK(AD972,$AD$2:$AD$1780)+COUNTIF($AD$2:AD972,AD972)-1)</f>
        <v/>
      </c>
      <c r="AC972" s="56" t="str">
        <f aca="false">IF(AND(F972&gt;0,E972&gt;=Settings!$B$4),J972,"")</f>
        <v/>
      </c>
      <c r="AD972" s="56" t="str">
        <f aca="false">IF(X972="HIGH RATE",O972,"")</f>
        <v/>
      </c>
    </row>
    <row r="973" customFormat="false" ht="15" hidden="false" customHeight="false" outlineLevel="0" collapsed="false">
      <c r="A973" s="56" t="s">
        <v>2304</v>
      </c>
      <c r="B973" s="56" t="s">
        <v>1542</v>
      </c>
      <c r="C973" s="56" t="s">
        <v>51</v>
      </c>
      <c r="D973" s="56" t="str">
        <f aca="false">IFERROR(INDEX('Brand Map'!$B$4:$B$124,MATCH(C973,'Brand Map'!$A$4:$A$124,0)),"Other")</f>
        <v>AU</v>
      </c>
      <c r="E973" s="57" t="n">
        <v>1</v>
      </c>
      <c r="F973" s="57" t="n">
        <v>0</v>
      </c>
      <c r="G973" s="58" t="n">
        <v>184.95</v>
      </c>
      <c r="H973" s="58" t="n">
        <v>0</v>
      </c>
      <c r="I973" s="58" t="n">
        <v>184.95</v>
      </c>
      <c r="J973" s="32" t="n">
        <f aca="false">IF(E973&gt;0,F973/E973,0)</f>
        <v>0</v>
      </c>
      <c r="K973" s="32" t="n">
        <f aca="false">IF(G973&gt;0,H973/G973,0)</f>
        <v>-0</v>
      </c>
      <c r="L973" s="59" t="n">
        <f aca="false">H973/Settings!$B$16</f>
        <v>-0</v>
      </c>
      <c r="M973" s="59" t="n">
        <f aca="false">H973/Settings!$B$20</f>
        <v>-0</v>
      </c>
      <c r="N973" s="60" t="n">
        <f aca="false">E973*Settings!$B$3</f>
        <v>0.0309861510798204</v>
      </c>
      <c r="O973" s="60" t="n">
        <f aca="false">IF(E973&gt;0,(F973-N973)/SQRT(E973*Settings!$B$3*(1-Settings!$B$3)),0)</f>
        <v>-0.178821125934444</v>
      </c>
      <c r="P973" s="60" t="n">
        <f aca="false">MAX(0,F973-N973)</f>
        <v>0</v>
      </c>
      <c r="Q973" s="32" t="n">
        <f aca="false">(F973+Settings!$B$7*Settings!$B$3)/(E973+Settings!$B$7)</f>
        <v>0.0299865978191811</v>
      </c>
      <c r="R973" s="61" t="n">
        <f aca="false">PERCENTRANK($H$2:$H$1780,H973,6)</f>
        <v>0</v>
      </c>
      <c r="S973" s="61" t="n">
        <f aca="false">PERCENTRANK($Q$2:$Q$1780,Q973,6)</f>
        <v>0.486502</v>
      </c>
      <c r="T973" s="61" t="n">
        <f aca="false">PERCENTRANK($F$2:$F$1780,F973,6)</f>
        <v>0</v>
      </c>
      <c r="U973" s="62" t="n">
        <f aca="false">IF(F973&gt;0,(Settings!$B$8*T973+Settings!$B$9*R973+Settings!$B$10*S973)/SUM(Settings!$B$8:$B$10),0)</f>
        <v>0</v>
      </c>
      <c r="V973" s="56" t="str">
        <f aca="false">IF(U973&gt;0,RANK(U973,$U$2:$U$1780)+COUNTIF($U$2:U973,U973)-1,"")</f>
        <v/>
      </c>
      <c r="W973" s="56" t="str">
        <f aca="false">IF(V973="","",IF(V973&lt;=Settings!$B$11,"1 - Fix first",IF(V973&lt;=Settings!$B$12,"2 - Review","3 - Monitor")))</f>
        <v/>
      </c>
      <c r="X973" s="56" t="str">
        <f aca="false">IF(AND(E973&gt;=Settings!$B$4,F973&gt;=Settings!$B$5,O973&gt;=Settings!$B$6),"HIGH RATE","")</f>
        <v/>
      </c>
      <c r="Y973" s="56" t="str">
        <f aca="false">IF(F973&gt;0,RANK(F973,$F$2:$F$1780)+COUNTIF($F$2:F973,F973)-1,"")</f>
        <v/>
      </c>
      <c r="Z973" s="56" t="str">
        <f aca="false">IF(H973&gt;0,RANK(H973,$H$2:$H$1780)+COUNTIF($H$2:H973,H973)-1,"")</f>
        <v/>
      </c>
      <c r="AA973" s="56" t="str">
        <f aca="false">IF(AC973="","",RANK(AC973,$AC$2:$AC$1780)+COUNTIF($AC$2:AC973,AC973)-1)</f>
        <v/>
      </c>
      <c r="AB973" s="56" t="str">
        <f aca="false">IF(AD973="","",RANK(AD973,$AD$2:$AD$1780)+COUNTIF($AD$2:AD973,AD973)-1)</f>
        <v/>
      </c>
      <c r="AC973" s="56" t="str">
        <f aca="false">IF(AND(F973&gt;0,E973&gt;=Settings!$B$4),J973,"")</f>
        <v/>
      </c>
      <c r="AD973" s="56" t="str">
        <f aca="false">IF(X973="HIGH RATE",O973,"")</f>
        <v/>
      </c>
    </row>
    <row r="974" customFormat="false" ht="15" hidden="false" customHeight="false" outlineLevel="0" collapsed="false">
      <c r="A974" s="56" t="s">
        <v>2305</v>
      </c>
      <c r="B974" s="56" t="s">
        <v>2306</v>
      </c>
      <c r="C974" s="56" t="s">
        <v>51</v>
      </c>
      <c r="D974" s="56" t="str">
        <f aca="false">IFERROR(INDEX('Brand Map'!$B$4:$B$124,MATCH(C974,'Brand Map'!$A$4:$A$124,0)),"Other")</f>
        <v>AU</v>
      </c>
      <c r="E974" s="57" t="n">
        <v>2</v>
      </c>
      <c r="F974" s="57" t="n">
        <v>0</v>
      </c>
      <c r="G974" s="58" t="n">
        <v>99.9</v>
      </c>
      <c r="H974" s="58" t="n">
        <v>0</v>
      </c>
      <c r="I974" s="58" t="n">
        <v>99.9</v>
      </c>
      <c r="J974" s="32" t="n">
        <f aca="false">IF(E974&gt;0,F974/E974,0)</f>
        <v>0</v>
      </c>
      <c r="K974" s="32" t="n">
        <f aca="false">IF(G974&gt;0,H974/G974,0)</f>
        <v>-0</v>
      </c>
      <c r="L974" s="59" t="n">
        <f aca="false">H974/Settings!$B$16</f>
        <v>-0</v>
      </c>
      <c r="M974" s="59" t="n">
        <f aca="false">H974/Settings!$B$20</f>
        <v>-0</v>
      </c>
      <c r="N974" s="60" t="n">
        <f aca="false">E974*Settings!$B$3</f>
        <v>0.0619723021596408</v>
      </c>
      <c r="O974" s="60" t="n">
        <f aca="false">IF(E974&gt;0,(F974-N974)/SQRT(E974*Settings!$B$3*(1-Settings!$B$3)),0)</f>
        <v>-0.252891261535318</v>
      </c>
      <c r="P974" s="60" t="n">
        <f aca="false">MAX(0,F974-N974)</f>
        <v>0</v>
      </c>
      <c r="Q974" s="32" t="n">
        <f aca="false">(F974+Settings!$B$7*Settings!$B$3)/(E974+Settings!$B$7)</f>
        <v>0.0290495166373316</v>
      </c>
      <c r="R974" s="61" t="n">
        <f aca="false">PERCENTRANK($H$2:$H$1780,H974,6)</f>
        <v>0</v>
      </c>
      <c r="S974" s="61" t="n">
        <f aca="false">PERCENTRANK($Q$2:$Q$1780,Q974,6)</f>
        <v>0.365579</v>
      </c>
      <c r="T974" s="61" t="n">
        <f aca="false">PERCENTRANK($F$2:$F$1780,F974,6)</f>
        <v>0</v>
      </c>
      <c r="U974" s="62" t="n">
        <f aca="false">IF(F974&gt;0,(Settings!$B$8*T974+Settings!$B$9*R974+Settings!$B$10*S974)/SUM(Settings!$B$8:$B$10),0)</f>
        <v>0</v>
      </c>
      <c r="V974" s="56" t="str">
        <f aca="false">IF(U974&gt;0,RANK(U974,$U$2:$U$1780)+COUNTIF($U$2:U974,U974)-1,"")</f>
        <v/>
      </c>
      <c r="W974" s="56" t="str">
        <f aca="false">IF(V974="","",IF(V974&lt;=Settings!$B$11,"1 - Fix first",IF(V974&lt;=Settings!$B$12,"2 - Review","3 - Monitor")))</f>
        <v/>
      </c>
      <c r="X974" s="56" t="str">
        <f aca="false">IF(AND(E974&gt;=Settings!$B$4,F974&gt;=Settings!$B$5,O974&gt;=Settings!$B$6),"HIGH RATE","")</f>
        <v/>
      </c>
      <c r="Y974" s="56" t="str">
        <f aca="false">IF(F974&gt;0,RANK(F974,$F$2:$F$1780)+COUNTIF($F$2:F974,F974)-1,"")</f>
        <v/>
      </c>
      <c r="Z974" s="56" t="str">
        <f aca="false">IF(H974&gt;0,RANK(H974,$H$2:$H$1780)+COUNTIF($H$2:H974,H974)-1,"")</f>
        <v/>
      </c>
      <c r="AA974" s="56" t="str">
        <f aca="false">IF(AC974="","",RANK(AC974,$AC$2:$AC$1780)+COUNTIF($AC$2:AC974,AC974)-1)</f>
        <v/>
      </c>
      <c r="AB974" s="56" t="str">
        <f aca="false">IF(AD974="","",RANK(AD974,$AD$2:$AD$1780)+COUNTIF($AD$2:AD974,AD974)-1)</f>
        <v/>
      </c>
      <c r="AC974" s="56" t="str">
        <f aca="false">IF(AND(F974&gt;0,E974&gt;=Settings!$B$4),J974,"")</f>
        <v/>
      </c>
      <c r="AD974" s="56" t="str">
        <f aca="false">IF(X974="HIGH RATE",O974,"")</f>
        <v/>
      </c>
    </row>
    <row r="975" customFormat="false" ht="15" hidden="false" customHeight="false" outlineLevel="0" collapsed="false">
      <c r="A975" s="56" t="s">
        <v>2307</v>
      </c>
      <c r="B975" s="56" t="s">
        <v>1480</v>
      </c>
      <c r="C975" s="56" t="s">
        <v>51</v>
      </c>
      <c r="D975" s="56" t="str">
        <f aca="false">IFERROR(INDEX('Brand Map'!$B$4:$B$124,MATCH(C975,'Brand Map'!$A$4:$A$124,0)),"Other")</f>
        <v>AU</v>
      </c>
      <c r="E975" s="57" t="n">
        <v>3</v>
      </c>
      <c r="F975" s="57" t="n">
        <v>0</v>
      </c>
      <c r="G975" s="58" t="n">
        <v>509.85</v>
      </c>
      <c r="H975" s="58" t="n">
        <v>0</v>
      </c>
      <c r="I975" s="58" t="n">
        <v>509.85</v>
      </c>
      <c r="J975" s="32" t="n">
        <f aca="false">IF(E975&gt;0,F975/E975,0)</f>
        <v>0</v>
      </c>
      <c r="K975" s="32" t="n">
        <f aca="false">IF(G975&gt;0,H975/G975,0)</f>
        <v>-0</v>
      </c>
      <c r="L975" s="59" t="n">
        <f aca="false">H975/Settings!$B$16</f>
        <v>-0</v>
      </c>
      <c r="M975" s="59" t="n">
        <f aca="false">H975/Settings!$B$20</f>
        <v>-0</v>
      </c>
      <c r="N975" s="60" t="n">
        <f aca="false">E975*Settings!$B$3</f>
        <v>0.0929584532394613</v>
      </c>
      <c r="O975" s="60" t="n">
        <f aca="false">IF(E975&gt;0,(F975-N975)/SQRT(E975*Settings!$B$3*(1-Settings!$B$3)),0)</f>
        <v>-0.30972727558513</v>
      </c>
      <c r="P975" s="60" t="n">
        <f aca="false">MAX(0,F975-N975)</f>
        <v>0</v>
      </c>
      <c r="Q975" s="32" t="n">
        <f aca="false">(F975+Settings!$B$7*Settings!$B$3)/(E975+Settings!$B$7)</f>
        <v>0.0281692282543822</v>
      </c>
      <c r="R975" s="61" t="n">
        <f aca="false">PERCENTRANK($H$2:$H$1780,H975,6)</f>
        <v>0</v>
      </c>
      <c r="S975" s="61" t="n">
        <f aca="false">PERCENTRANK($Q$2:$Q$1780,Q975,6)</f>
        <v>0.294151</v>
      </c>
      <c r="T975" s="61" t="n">
        <f aca="false">PERCENTRANK($F$2:$F$1780,F975,6)</f>
        <v>0</v>
      </c>
      <c r="U975" s="62" t="n">
        <f aca="false">IF(F975&gt;0,(Settings!$B$8*T975+Settings!$B$9*R975+Settings!$B$10*S975)/SUM(Settings!$B$8:$B$10),0)</f>
        <v>0</v>
      </c>
      <c r="V975" s="56" t="str">
        <f aca="false">IF(U975&gt;0,RANK(U975,$U$2:$U$1780)+COUNTIF($U$2:U975,U975)-1,"")</f>
        <v/>
      </c>
      <c r="W975" s="56" t="str">
        <f aca="false">IF(V975="","",IF(V975&lt;=Settings!$B$11,"1 - Fix first",IF(V975&lt;=Settings!$B$12,"2 - Review","3 - Monitor")))</f>
        <v/>
      </c>
      <c r="X975" s="56" t="str">
        <f aca="false">IF(AND(E975&gt;=Settings!$B$4,F975&gt;=Settings!$B$5,O975&gt;=Settings!$B$6),"HIGH RATE","")</f>
        <v/>
      </c>
      <c r="Y975" s="56" t="str">
        <f aca="false">IF(F975&gt;0,RANK(F975,$F$2:$F$1780)+COUNTIF($F$2:F975,F975)-1,"")</f>
        <v/>
      </c>
      <c r="Z975" s="56" t="str">
        <f aca="false">IF(H975&gt;0,RANK(H975,$H$2:$H$1780)+COUNTIF($H$2:H975,H975)-1,"")</f>
        <v/>
      </c>
      <c r="AA975" s="56" t="str">
        <f aca="false">IF(AC975="","",RANK(AC975,$AC$2:$AC$1780)+COUNTIF($AC$2:AC975,AC975)-1)</f>
        <v/>
      </c>
      <c r="AB975" s="56" t="str">
        <f aca="false">IF(AD975="","",RANK(AD975,$AD$2:$AD$1780)+COUNTIF($AD$2:AD975,AD975)-1)</f>
        <v/>
      </c>
      <c r="AC975" s="56" t="str">
        <f aca="false">IF(AND(F975&gt;0,E975&gt;=Settings!$B$4),J975,"")</f>
        <v/>
      </c>
      <c r="AD975" s="56" t="str">
        <f aca="false">IF(X975="HIGH RATE",O975,"")</f>
        <v/>
      </c>
    </row>
    <row r="976" customFormat="false" ht="15" hidden="false" customHeight="false" outlineLevel="0" collapsed="false">
      <c r="A976" s="56" t="s">
        <v>2308</v>
      </c>
      <c r="B976" s="56" t="s">
        <v>1480</v>
      </c>
      <c r="C976" s="56" t="s">
        <v>51</v>
      </c>
      <c r="D976" s="56" t="str">
        <f aca="false">IFERROR(INDEX('Brand Map'!$B$4:$B$124,MATCH(C976,'Brand Map'!$A$4:$A$124,0)),"Other")</f>
        <v>AU</v>
      </c>
      <c r="E976" s="57" t="n">
        <v>2</v>
      </c>
      <c r="F976" s="57" t="n">
        <v>0</v>
      </c>
      <c r="G976" s="58" t="n">
        <v>385.9</v>
      </c>
      <c r="H976" s="58" t="n">
        <v>0</v>
      </c>
      <c r="I976" s="58" t="n">
        <v>385.9</v>
      </c>
      <c r="J976" s="32" t="n">
        <f aca="false">IF(E976&gt;0,F976/E976,0)</f>
        <v>0</v>
      </c>
      <c r="K976" s="32" t="n">
        <f aca="false">IF(G976&gt;0,H976/G976,0)</f>
        <v>-0</v>
      </c>
      <c r="L976" s="59" t="n">
        <f aca="false">H976/Settings!$B$16</f>
        <v>-0</v>
      </c>
      <c r="M976" s="59" t="n">
        <f aca="false">H976/Settings!$B$20</f>
        <v>-0</v>
      </c>
      <c r="N976" s="60" t="n">
        <f aca="false">E976*Settings!$B$3</f>
        <v>0.0619723021596408</v>
      </c>
      <c r="O976" s="60" t="n">
        <f aca="false">IF(E976&gt;0,(F976-N976)/SQRT(E976*Settings!$B$3*(1-Settings!$B$3)),0)</f>
        <v>-0.252891261535318</v>
      </c>
      <c r="P976" s="60" t="n">
        <f aca="false">MAX(0,F976-N976)</f>
        <v>0</v>
      </c>
      <c r="Q976" s="32" t="n">
        <f aca="false">(F976+Settings!$B$7*Settings!$B$3)/(E976+Settings!$B$7)</f>
        <v>0.0290495166373316</v>
      </c>
      <c r="R976" s="61" t="n">
        <f aca="false">PERCENTRANK($H$2:$H$1780,H976,6)</f>
        <v>0</v>
      </c>
      <c r="S976" s="61" t="n">
        <f aca="false">PERCENTRANK($Q$2:$Q$1780,Q976,6)</f>
        <v>0.365579</v>
      </c>
      <c r="T976" s="61" t="n">
        <f aca="false">PERCENTRANK($F$2:$F$1780,F976,6)</f>
        <v>0</v>
      </c>
      <c r="U976" s="62" t="n">
        <f aca="false">IF(F976&gt;0,(Settings!$B$8*T976+Settings!$B$9*R976+Settings!$B$10*S976)/SUM(Settings!$B$8:$B$10),0)</f>
        <v>0</v>
      </c>
      <c r="V976" s="56" t="str">
        <f aca="false">IF(U976&gt;0,RANK(U976,$U$2:$U$1780)+COUNTIF($U$2:U976,U976)-1,"")</f>
        <v/>
      </c>
      <c r="W976" s="56" t="str">
        <f aca="false">IF(V976="","",IF(V976&lt;=Settings!$B$11,"1 - Fix first",IF(V976&lt;=Settings!$B$12,"2 - Review","3 - Monitor")))</f>
        <v/>
      </c>
      <c r="X976" s="56" t="str">
        <f aca="false">IF(AND(E976&gt;=Settings!$B$4,F976&gt;=Settings!$B$5,O976&gt;=Settings!$B$6),"HIGH RATE","")</f>
        <v/>
      </c>
      <c r="Y976" s="56" t="str">
        <f aca="false">IF(F976&gt;0,RANK(F976,$F$2:$F$1780)+COUNTIF($F$2:F976,F976)-1,"")</f>
        <v/>
      </c>
      <c r="Z976" s="56" t="str">
        <f aca="false">IF(H976&gt;0,RANK(H976,$H$2:$H$1780)+COUNTIF($H$2:H976,H976)-1,"")</f>
        <v/>
      </c>
      <c r="AA976" s="56" t="str">
        <f aca="false">IF(AC976="","",RANK(AC976,$AC$2:$AC$1780)+COUNTIF($AC$2:AC976,AC976)-1)</f>
        <v/>
      </c>
      <c r="AB976" s="56" t="str">
        <f aca="false">IF(AD976="","",RANK(AD976,$AD$2:$AD$1780)+COUNTIF($AD$2:AD976,AD976)-1)</f>
        <v/>
      </c>
      <c r="AC976" s="56" t="str">
        <f aca="false">IF(AND(F976&gt;0,E976&gt;=Settings!$B$4),J976,"")</f>
        <v/>
      </c>
      <c r="AD976" s="56" t="str">
        <f aca="false">IF(X976="HIGH RATE",O976,"")</f>
        <v/>
      </c>
    </row>
    <row r="977" customFormat="false" ht="15" hidden="false" customHeight="false" outlineLevel="0" collapsed="false">
      <c r="A977" s="56" t="s">
        <v>2309</v>
      </c>
      <c r="B977" s="56" t="s">
        <v>2310</v>
      </c>
      <c r="C977" s="56" t="s">
        <v>51</v>
      </c>
      <c r="D977" s="56" t="str">
        <f aca="false">IFERROR(INDEX('Brand Map'!$B$4:$B$124,MATCH(C977,'Brand Map'!$A$4:$A$124,0)),"Other")</f>
        <v>AU</v>
      </c>
      <c r="E977" s="57" t="n">
        <v>2</v>
      </c>
      <c r="F977" s="57" t="n">
        <v>0</v>
      </c>
      <c r="G977" s="58" t="n">
        <v>172.64</v>
      </c>
      <c r="H977" s="58" t="n">
        <v>0</v>
      </c>
      <c r="I977" s="58" t="n">
        <v>172.64</v>
      </c>
      <c r="J977" s="32" t="n">
        <f aca="false">IF(E977&gt;0,F977/E977,0)</f>
        <v>0</v>
      </c>
      <c r="K977" s="32" t="n">
        <f aca="false">IF(G977&gt;0,H977/G977,0)</f>
        <v>-0</v>
      </c>
      <c r="L977" s="59" t="n">
        <f aca="false">H977/Settings!$B$16</f>
        <v>-0</v>
      </c>
      <c r="M977" s="59" t="n">
        <f aca="false">H977/Settings!$B$20</f>
        <v>-0</v>
      </c>
      <c r="N977" s="60" t="n">
        <f aca="false">E977*Settings!$B$3</f>
        <v>0.0619723021596408</v>
      </c>
      <c r="O977" s="60" t="n">
        <f aca="false">IF(E977&gt;0,(F977-N977)/SQRT(E977*Settings!$B$3*(1-Settings!$B$3)),0)</f>
        <v>-0.252891261535318</v>
      </c>
      <c r="P977" s="60" t="n">
        <f aca="false">MAX(0,F977-N977)</f>
        <v>0</v>
      </c>
      <c r="Q977" s="32" t="n">
        <f aca="false">(F977+Settings!$B$7*Settings!$B$3)/(E977+Settings!$B$7)</f>
        <v>0.0290495166373316</v>
      </c>
      <c r="R977" s="61" t="n">
        <f aca="false">PERCENTRANK($H$2:$H$1780,H977,6)</f>
        <v>0</v>
      </c>
      <c r="S977" s="61" t="n">
        <f aca="false">PERCENTRANK($Q$2:$Q$1780,Q977,6)</f>
        <v>0.365579</v>
      </c>
      <c r="T977" s="61" t="n">
        <f aca="false">PERCENTRANK($F$2:$F$1780,F977,6)</f>
        <v>0</v>
      </c>
      <c r="U977" s="62" t="n">
        <f aca="false">IF(F977&gt;0,(Settings!$B$8*T977+Settings!$B$9*R977+Settings!$B$10*S977)/SUM(Settings!$B$8:$B$10),0)</f>
        <v>0</v>
      </c>
      <c r="V977" s="56" t="str">
        <f aca="false">IF(U977&gt;0,RANK(U977,$U$2:$U$1780)+COUNTIF($U$2:U977,U977)-1,"")</f>
        <v/>
      </c>
      <c r="W977" s="56" t="str">
        <f aca="false">IF(V977="","",IF(V977&lt;=Settings!$B$11,"1 - Fix first",IF(V977&lt;=Settings!$B$12,"2 - Review","3 - Monitor")))</f>
        <v/>
      </c>
      <c r="X977" s="56" t="str">
        <f aca="false">IF(AND(E977&gt;=Settings!$B$4,F977&gt;=Settings!$B$5,O977&gt;=Settings!$B$6),"HIGH RATE","")</f>
        <v/>
      </c>
      <c r="Y977" s="56" t="str">
        <f aca="false">IF(F977&gt;0,RANK(F977,$F$2:$F$1780)+COUNTIF($F$2:F977,F977)-1,"")</f>
        <v/>
      </c>
      <c r="Z977" s="56" t="str">
        <f aca="false">IF(H977&gt;0,RANK(H977,$H$2:$H$1780)+COUNTIF($H$2:H977,H977)-1,"")</f>
        <v/>
      </c>
      <c r="AA977" s="56" t="str">
        <f aca="false">IF(AC977="","",RANK(AC977,$AC$2:$AC$1780)+COUNTIF($AC$2:AC977,AC977)-1)</f>
        <v/>
      </c>
      <c r="AB977" s="56" t="str">
        <f aca="false">IF(AD977="","",RANK(AD977,$AD$2:$AD$1780)+COUNTIF($AD$2:AD977,AD977)-1)</f>
        <v/>
      </c>
      <c r="AC977" s="56" t="str">
        <f aca="false">IF(AND(F977&gt;0,E977&gt;=Settings!$B$4),J977,"")</f>
        <v/>
      </c>
      <c r="AD977" s="56" t="str">
        <f aca="false">IF(X977="HIGH RATE",O977,"")</f>
        <v/>
      </c>
    </row>
    <row r="978" customFormat="false" ht="15" hidden="false" customHeight="false" outlineLevel="0" collapsed="false">
      <c r="A978" s="56" t="s">
        <v>2311</v>
      </c>
      <c r="B978" s="56" t="s">
        <v>1115</v>
      </c>
      <c r="C978" s="56" t="s">
        <v>51</v>
      </c>
      <c r="D978" s="56" t="str">
        <f aca="false">IFERROR(INDEX('Brand Map'!$B$4:$B$124,MATCH(C978,'Brand Map'!$A$4:$A$124,0)),"Other")</f>
        <v>AU</v>
      </c>
      <c r="E978" s="57" t="n">
        <v>3</v>
      </c>
      <c r="F978" s="57" t="n">
        <v>0</v>
      </c>
      <c r="G978" s="58" t="n">
        <v>404.85</v>
      </c>
      <c r="H978" s="58" t="n">
        <v>0</v>
      </c>
      <c r="I978" s="58" t="n">
        <v>404.85</v>
      </c>
      <c r="J978" s="32" t="n">
        <f aca="false">IF(E978&gt;0,F978/E978,0)</f>
        <v>0</v>
      </c>
      <c r="K978" s="32" t="n">
        <f aca="false">IF(G978&gt;0,H978/G978,0)</f>
        <v>-0</v>
      </c>
      <c r="L978" s="59" t="n">
        <f aca="false">H978/Settings!$B$16</f>
        <v>-0</v>
      </c>
      <c r="M978" s="59" t="n">
        <f aca="false">H978/Settings!$B$20</f>
        <v>-0</v>
      </c>
      <c r="N978" s="60" t="n">
        <f aca="false">E978*Settings!$B$3</f>
        <v>0.0929584532394613</v>
      </c>
      <c r="O978" s="60" t="n">
        <f aca="false">IF(E978&gt;0,(F978-N978)/SQRT(E978*Settings!$B$3*(1-Settings!$B$3)),0)</f>
        <v>-0.30972727558513</v>
      </c>
      <c r="P978" s="60" t="n">
        <f aca="false">MAX(0,F978-N978)</f>
        <v>0</v>
      </c>
      <c r="Q978" s="32" t="n">
        <f aca="false">(F978+Settings!$B$7*Settings!$B$3)/(E978+Settings!$B$7)</f>
        <v>0.0281692282543822</v>
      </c>
      <c r="R978" s="61" t="n">
        <f aca="false">PERCENTRANK($H$2:$H$1780,H978,6)</f>
        <v>0</v>
      </c>
      <c r="S978" s="61" t="n">
        <f aca="false">PERCENTRANK($Q$2:$Q$1780,Q978,6)</f>
        <v>0.294151</v>
      </c>
      <c r="T978" s="61" t="n">
        <f aca="false">PERCENTRANK($F$2:$F$1780,F978,6)</f>
        <v>0</v>
      </c>
      <c r="U978" s="62" t="n">
        <f aca="false">IF(F978&gt;0,(Settings!$B$8*T978+Settings!$B$9*R978+Settings!$B$10*S978)/SUM(Settings!$B$8:$B$10),0)</f>
        <v>0</v>
      </c>
      <c r="V978" s="56" t="str">
        <f aca="false">IF(U978&gt;0,RANK(U978,$U$2:$U$1780)+COUNTIF($U$2:U978,U978)-1,"")</f>
        <v/>
      </c>
      <c r="W978" s="56" t="str">
        <f aca="false">IF(V978="","",IF(V978&lt;=Settings!$B$11,"1 - Fix first",IF(V978&lt;=Settings!$B$12,"2 - Review","3 - Monitor")))</f>
        <v/>
      </c>
      <c r="X978" s="56" t="str">
        <f aca="false">IF(AND(E978&gt;=Settings!$B$4,F978&gt;=Settings!$B$5,O978&gt;=Settings!$B$6),"HIGH RATE","")</f>
        <v/>
      </c>
      <c r="Y978" s="56" t="str">
        <f aca="false">IF(F978&gt;0,RANK(F978,$F$2:$F$1780)+COUNTIF($F$2:F978,F978)-1,"")</f>
        <v/>
      </c>
      <c r="Z978" s="56" t="str">
        <f aca="false">IF(H978&gt;0,RANK(H978,$H$2:$H$1780)+COUNTIF($H$2:H978,H978)-1,"")</f>
        <v/>
      </c>
      <c r="AA978" s="56" t="str">
        <f aca="false">IF(AC978="","",RANK(AC978,$AC$2:$AC$1780)+COUNTIF($AC$2:AC978,AC978)-1)</f>
        <v/>
      </c>
      <c r="AB978" s="56" t="str">
        <f aca="false">IF(AD978="","",RANK(AD978,$AD$2:$AD$1780)+COUNTIF($AD$2:AD978,AD978)-1)</f>
        <v/>
      </c>
      <c r="AC978" s="56" t="str">
        <f aca="false">IF(AND(F978&gt;0,E978&gt;=Settings!$B$4),J978,"")</f>
        <v/>
      </c>
      <c r="AD978" s="56" t="str">
        <f aca="false">IF(X978="HIGH RATE",O978,"")</f>
        <v/>
      </c>
    </row>
    <row r="979" customFormat="false" ht="15" hidden="false" customHeight="false" outlineLevel="0" collapsed="false">
      <c r="A979" s="56" t="s">
        <v>2312</v>
      </c>
      <c r="B979" s="56" t="s">
        <v>2313</v>
      </c>
      <c r="C979" s="56" t="s">
        <v>51</v>
      </c>
      <c r="D979" s="56" t="str">
        <f aca="false">IFERROR(INDEX('Brand Map'!$B$4:$B$124,MATCH(C979,'Brand Map'!$A$4:$A$124,0)),"Other")</f>
        <v>AU</v>
      </c>
      <c r="E979" s="57" t="n">
        <v>11</v>
      </c>
      <c r="F979" s="57" t="n">
        <v>0</v>
      </c>
      <c r="G979" s="58" t="n">
        <v>1300.6</v>
      </c>
      <c r="H979" s="58" t="n">
        <v>0</v>
      </c>
      <c r="I979" s="58" t="n">
        <v>1300.6</v>
      </c>
      <c r="J979" s="32" t="n">
        <f aca="false">IF(E979&gt;0,F979/E979,0)</f>
        <v>0</v>
      </c>
      <c r="K979" s="32" t="n">
        <f aca="false">IF(G979&gt;0,H979/G979,0)</f>
        <v>-0</v>
      </c>
      <c r="L979" s="59" t="n">
        <f aca="false">H979/Settings!$B$16</f>
        <v>-0</v>
      </c>
      <c r="M979" s="59" t="n">
        <f aca="false">H979/Settings!$B$20</f>
        <v>-0</v>
      </c>
      <c r="N979" s="60" t="n">
        <f aca="false">E979*Settings!$B$3</f>
        <v>0.340847661878025</v>
      </c>
      <c r="O979" s="60" t="n">
        <f aca="false">IF(E979&gt;0,(F979-N979)/SQRT(E979*Settings!$B$3*(1-Settings!$B$3)),0)</f>
        <v>-0.593082579313442</v>
      </c>
      <c r="P979" s="60" t="n">
        <f aca="false">MAX(0,F979-N979)</f>
        <v>0</v>
      </c>
      <c r="Q979" s="32" t="n">
        <f aca="false">(F979+Settings!$B$7*Settings!$B$3)/(E979+Settings!$B$7)</f>
        <v>0.0226727934730393</v>
      </c>
      <c r="R979" s="61" t="n">
        <f aca="false">PERCENTRANK($H$2:$H$1780,H979,6)</f>
        <v>0</v>
      </c>
      <c r="S979" s="61" t="n">
        <f aca="false">PERCENTRANK($Q$2:$Q$1780,Q979,6)</f>
        <v>0.117548</v>
      </c>
      <c r="T979" s="61" t="n">
        <f aca="false">PERCENTRANK($F$2:$F$1780,F979,6)</f>
        <v>0</v>
      </c>
      <c r="U979" s="62" t="n">
        <f aca="false">IF(F979&gt;0,(Settings!$B$8*T979+Settings!$B$9*R979+Settings!$B$10*S979)/SUM(Settings!$B$8:$B$10),0)</f>
        <v>0</v>
      </c>
      <c r="V979" s="56" t="str">
        <f aca="false">IF(U979&gt;0,RANK(U979,$U$2:$U$1780)+COUNTIF($U$2:U979,U979)-1,"")</f>
        <v/>
      </c>
      <c r="W979" s="56" t="str">
        <f aca="false">IF(V979="","",IF(V979&lt;=Settings!$B$11,"1 - Fix first",IF(V979&lt;=Settings!$B$12,"2 - Review","3 - Monitor")))</f>
        <v/>
      </c>
      <c r="X979" s="56" t="str">
        <f aca="false">IF(AND(E979&gt;=Settings!$B$4,F979&gt;=Settings!$B$5,O979&gt;=Settings!$B$6),"HIGH RATE","")</f>
        <v/>
      </c>
      <c r="Y979" s="56" t="str">
        <f aca="false">IF(F979&gt;0,RANK(F979,$F$2:$F$1780)+COUNTIF($F$2:F979,F979)-1,"")</f>
        <v/>
      </c>
      <c r="Z979" s="56" t="str">
        <f aca="false">IF(H979&gt;0,RANK(H979,$H$2:$H$1780)+COUNTIF($H$2:H979,H979)-1,"")</f>
        <v/>
      </c>
      <c r="AA979" s="56" t="str">
        <f aca="false">IF(AC979="","",RANK(AC979,$AC$2:$AC$1780)+COUNTIF($AC$2:AC979,AC979)-1)</f>
        <v/>
      </c>
      <c r="AB979" s="56" t="str">
        <f aca="false">IF(AD979="","",RANK(AD979,$AD$2:$AD$1780)+COUNTIF($AD$2:AD979,AD979)-1)</f>
        <v/>
      </c>
      <c r="AC979" s="56" t="str">
        <f aca="false">IF(AND(F979&gt;0,E979&gt;=Settings!$B$4),J979,"")</f>
        <v/>
      </c>
      <c r="AD979" s="56" t="str">
        <f aca="false">IF(X979="HIGH RATE",O979,"")</f>
        <v/>
      </c>
    </row>
    <row r="980" customFormat="false" ht="15" hidden="false" customHeight="false" outlineLevel="0" collapsed="false">
      <c r="A980" s="56" t="s">
        <v>2314</v>
      </c>
      <c r="B980" s="56" t="s">
        <v>2315</v>
      </c>
      <c r="C980" s="56" t="s">
        <v>51</v>
      </c>
      <c r="D980" s="56" t="str">
        <f aca="false">IFERROR(INDEX('Brand Map'!$B$4:$B$124,MATCH(C980,'Brand Map'!$A$4:$A$124,0)),"Other")</f>
        <v>AU</v>
      </c>
      <c r="E980" s="57" t="n">
        <v>1</v>
      </c>
      <c r="F980" s="57" t="n">
        <v>0</v>
      </c>
      <c r="G980" s="58" t="n">
        <v>40.69</v>
      </c>
      <c r="H980" s="58" t="n">
        <v>0</v>
      </c>
      <c r="I980" s="58" t="n">
        <v>40.69</v>
      </c>
      <c r="J980" s="32" t="n">
        <f aca="false">IF(E980&gt;0,F980/E980,0)</f>
        <v>0</v>
      </c>
      <c r="K980" s="32" t="n">
        <f aca="false">IF(G980&gt;0,H980/G980,0)</f>
        <v>-0</v>
      </c>
      <c r="L980" s="59" t="n">
        <f aca="false">H980/Settings!$B$16</f>
        <v>-0</v>
      </c>
      <c r="M980" s="59" t="n">
        <f aca="false">H980/Settings!$B$20</f>
        <v>-0</v>
      </c>
      <c r="N980" s="60" t="n">
        <f aca="false">E980*Settings!$B$3</f>
        <v>0.0309861510798204</v>
      </c>
      <c r="O980" s="60" t="n">
        <f aca="false">IF(E980&gt;0,(F980-N980)/SQRT(E980*Settings!$B$3*(1-Settings!$B$3)),0)</f>
        <v>-0.178821125934444</v>
      </c>
      <c r="P980" s="60" t="n">
        <f aca="false">MAX(0,F980-N980)</f>
        <v>0</v>
      </c>
      <c r="Q980" s="32" t="n">
        <f aca="false">(F980+Settings!$B$7*Settings!$B$3)/(E980+Settings!$B$7)</f>
        <v>0.0299865978191811</v>
      </c>
      <c r="R980" s="61" t="n">
        <f aca="false">PERCENTRANK($H$2:$H$1780,H980,6)</f>
        <v>0</v>
      </c>
      <c r="S980" s="61" t="n">
        <f aca="false">PERCENTRANK($Q$2:$Q$1780,Q980,6)</f>
        <v>0.486502</v>
      </c>
      <c r="T980" s="61" t="n">
        <f aca="false">PERCENTRANK($F$2:$F$1780,F980,6)</f>
        <v>0</v>
      </c>
      <c r="U980" s="62" t="n">
        <f aca="false">IF(F980&gt;0,(Settings!$B$8*T980+Settings!$B$9*R980+Settings!$B$10*S980)/SUM(Settings!$B$8:$B$10),0)</f>
        <v>0</v>
      </c>
      <c r="V980" s="56" t="str">
        <f aca="false">IF(U980&gt;0,RANK(U980,$U$2:$U$1780)+COUNTIF($U$2:U980,U980)-1,"")</f>
        <v/>
      </c>
      <c r="W980" s="56" t="str">
        <f aca="false">IF(V980="","",IF(V980&lt;=Settings!$B$11,"1 - Fix first",IF(V980&lt;=Settings!$B$12,"2 - Review","3 - Monitor")))</f>
        <v/>
      </c>
      <c r="X980" s="56" t="str">
        <f aca="false">IF(AND(E980&gt;=Settings!$B$4,F980&gt;=Settings!$B$5,O980&gt;=Settings!$B$6),"HIGH RATE","")</f>
        <v/>
      </c>
      <c r="Y980" s="56" t="str">
        <f aca="false">IF(F980&gt;0,RANK(F980,$F$2:$F$1780)+COUNTIF($F$2:F980,F980)-1,"")</f>
        <v/>
      </c>
      <c r="Z980" s="56" t="str">
        <f aca="false">IF(H980&gt;0,RANK(H980,$H$2:$H$1780)+COUNTIF($H$2:H980,H980)-1,"")</f>
        <v/>
      </c>
      <c r="AA980" s="56" t="str">
        <f aca="false">IF(AC980="","",RANK(AC980,$AC$2:$AC$1780)+COUNTIF($AC$2:AC980,AC980)-1)</f>
        <v/>
      </c>
      <c r="AB980" s="56" t="str">
        <f aca="false">IF(AD980="","",RANK(AD980,$AD$2:$AD$1780)+COUNTIF($AD$2:AD980,AD980)-1)</f>
        <v/>
      </c>
      <c r="AC980" s="56" t="str">
        <f aca="false">IF(AND(F980&gt;0,E980&gt;=Settings!$B$4),J980,"")</f>
        <v/>
      </c>
      <c r="AD980" s="56" t="str">
        <f aca="false">IF(X980="HIGH RATE",O980,"")</f>
        <v/>
      </c>
    </row>
    <row r="981" customFormat="false" ht="15" hidden="false" customHeight="false" outlineLevel="0" collapsed="false">
      <c r="A981" s="56" t="s">
        <v>2316</v>
      </c>
      <c r="B981" s="56" t="s">
        <v>2317</v>
      </c>
      <c r="C981" s="56" t="s">
        <v>51</v>
      </c>
      <c r="D981" s="56" t="str">
        <f aca="false">IFERROR(INDEX('Brand Map'!$B$4:$B$124,MATCH(C981,'Brand Map'!$A$4:$A$124,0)),"Other")</f>
        <v>AU</v>
      </c>
      <c r="E981" s="57" t="n">
        <v>45</v>
      </c>
      <c r="F981" s="57" t="n">
        <v>0</v>
      </c>
      <c r="G981" s="58" t="n">
        <v>3958.39</v>
      </c>
      <c r="H981" s="58" t="n">
        <v>0</v>
      </c>
      <c r="I981" s="58" t="n">
        <v>3899.84</v>
      </c>
      <c r="J981" s="32" t="n">
        <f aca="false">IF(E981&gt;0,F981/E981,0)</f>
        <v>0</v>
      </c>
      <c r="K981" s="32" t="n">
        <f aca="false">IF(G981&gt;0,H981/G981,0)</f>
        <v>-0</v>
      </c>
      <c r="L981" s="59" t="n">
        <f aca="false">H981/Settings!$B$16</f>
        <v>-0</v>
      </c>
      <c r="M981" s="59" t="n">
        <f aca="false">H981/Settings!$B$20</f>
        <v>-0</v>
      </c>
      <c r="N981" s="60" t="n">
        <f aca="false">E981*Settings!$B$3</f>
        <v>1.39437679859192</v>
      </c>
      <c r="O981" s="60" t="n">
        <f aca="false">IF(E981&gt;0,(F981-N981)/SQRT(E981*Settings!$B$3*(1-Settings!$B$3)),0)</f>
        <v>-1.1995685802074</v>
      </c>
      <c r="P981" s="60" t="n">
        <f aca="false">MAX(0,F981-N981)</f>
        <v>0</v>
      </c>
      <c r="Q981" s="32" t="n">
        <f aca="false">(F981+Settings!$B$7*Settings!$B$3)/(E981+Settings!$B$7)</f>
        <v>0.0123944604319282</v>
      </c>
      <c r="R981" s="61" t="n">
        <f aca="false">PERCENTRANK($H$2:$H$1780,H981,6)</f>
        <v>0</v>
      </c>
      <c r="S981" s="61" t="n">
        <f aca="false">PERCENTRANK($Q$2:$Q$1780,Q981,6)</f>
        <v>0.023622</v>
      </c>
      <c r="T981" s="61" t="n">
        <f aca="false">PERCENTRANK($F$2:$F$1780,F981,6)</f>
        <v>0</v>
      </c>
      <c r="U981" s="62" t="n">
        <f aca="false">IF(F981&gt;0,(Settings!$B$8*T981+Settings!$B$9*R981+Settings!$B$10*S981)/SUM(Settings!$B$8:$B$10),0)</f>
        <v>0</v>
      </c>
      <c r="V981" s="56" t="str">
        <f aca="false">IF(U981&gt;0,RANK(U981,$U$2:$U$1780)+COUNTIF($U$2:U981,U981)-1,"")</f>
        <v/>
      </c>
      <c r="W981" s="56" t="str">
        <f aca="false">IF(V981="","",IF(V981&lt;=Settings!$B$11,"1 - Fix first",IF(V981&lt;=Settings!$B$12,"2 - Review","3 - Monitor")))</f>
        <v/>
      </c>
      <c r="X981" s="56" t="str">
        <f aca="false">IF(AND(E981&gt;=Settings!$B$4,F981&gt;=Settings!$B$5,O981&gt;=Settings!$B$6),"HIGH RATE","")</f>
        <v/>
      </c>
      <c r="Y981" s="56" t="str">
        <f aca="false">IF(F981&gt;0,RANK(F981,$F$2:$F$1780)+COUNTIF($F$2:F981,F981)-1,"")</f>
        <v/>
      </c>
      <c r="Z981" s="56" t="str">
        <f aca="false">IF(H981&gt;0,RANK(H981,$H$2:$H$1780)+COUNTIF($H$2:H981,H981)-1,"")</f>
        <v/>
      </c>
      <c r="AA981" s="56" t="str">
        <f aca="false">IF(AC981="","",RANK(AC981,$AC$2:$AC$1780)+COUNTIF($AC$2:AC981,AC981)-1)</f>
        <v/>
      </c>
      <c r="AB981" s="56" t="str">
        <f aca="false">IF(AD981="","",RANK(AD981,$AD$2:$AD$1780)+COUNTIF($AD$2:AD981,AD981)-1)</f>
        <v/>
      </c>
      <c r="AC981" s="56" t="str">
        <f aca="false">IF(AND(F981&gt;0,E981&gt;=Settings!$B$4),J981,"")</f>
        <v/>
      </c>
      <c r="AD981" s="56" t="str">
        <f aca="false">IF(X981="HIGH RATE",O981,"")</f>
        <v/>
      </c>
    </row>
    <row r="982" customFormat="false" ht="15" hidden="false" customHeight="false" outlineLevel="0" collapsed="false">
      <c r="A982" s="56" t="s">
        <v>2318</v>
      </c>
      <c r="B982" s="56" t="s">
        <v>1156</v>
      </c>
      <c r="C982" s="56" t="s">
        <v>51</v>
      </c>
      <c r="D982" s="56" t="str">
        <f aca="false">IFERROR(INDEX('Brand Map'!$B$4:$B$124,MATCH(C982,'Brand Map'!$A$4:$A$124,0)),"Other")</f>
        <v>AU</v>
      </c>
      <c r="E982" s="57" t="n">
        <v>1</v>
      </c>
      <c r="F982" s="57" t="n">
        <v>0</v>
      </c>
      <c r="G982" s="58" t="n">
        <v>94.95</v>
      </c>
      <c r="H982" s="58" t="n">
        <v>0</v>
      </c>
      <c r="I982" s="58" t="n">
        <v>94.95</v>
      </c>
      <c r="J982" s="32" t="n">
        <f aca="false">IF(E982&gt;0,F982/E982,0)</f>
        <v>0</v>
      </c>
      <c r="K982" s="32" t="n">
        <f aca="false">IF(G982&gt;0,H982/G982,0)</f>
        <v>-0</v>
      </c>
      <c r="L982" s="59" t="n">
        <f aca="false">H982/Settings!$B$16</f>
        <v>-0</v>
      </c>
      <c r="M982" s="59" t="n">
        <f aca="false">H982/Settings!$B$20</f>
        <v>-0</v>
      </c>
      <c r="N982" s="60" t="n">
        <f aca="false">E982*Settings!$B$3</f>
        <v>0.0309861510798204</v>
      </c>
      <c r="O982" s="60" t="n">
        <f aca="false">IF(E982&gt;0,(F982-N982)/SQRT(E982*Settings!$B$3*(1-Settings!$B$3)),0)</f>
        <v>-0.178821125934444</v>
      </c>
      <c r="P982" s="60" t="n">
        <f aca="false">MAX(0,F982-N982)</f>
        <v>0</v>
      </c>
      <c r="Q982" s="32" t="n">
        <f aca="false">(F982+Settings!$B$7*Settings!$B$3)/(E982+Settings!$B$7)</f>
        <v>0.0299865978191811</v>
      </c>
      <c r="R982" s="61" t="n">
        <f aca="false">PERCENTRANK($H$2:$H$1780,H982,6)</f>
        <v>0</v>
      </c>
      <c r="S982" s="61" t="n">
        <f aca="false">PERCENTRANK($Q$2:$Q$1780,Q982,6)</f>
        <v>0.486502</v>
      </c>
      <c r="T982" s="61" t="n">
        <f aca="false">PERCENTRANK($F$2:$F$1780,F982,6)</f>
        <v>0</v>
      </c>
      <c r="U982" s="62" t="n">
        <f aca="false">IF(F982&gt;0,(Settings!$B$8*T982+Settings!$B$9*R982+Settings!$B$10*S982)/SUM(Settings!$B$8:$B$10),0)</f>
        <v>0</v>
      </c>
      <c r="V982" s="56" t="str">
        <f aca="false">IF(U982&gt;0,RANK(U982,$U$2:$U$1780)+COUNTIF($U$2:U982,U982)-1,"")</f>
        <v/>
      </c>
      <c r="W982" s="56" t="str">
        <f aca="false">IF(V982="","",IF(V982&lt;=Settings!$B$11,"1 - Fix first",IF(V982&lt;=Settings!$B$12,"2 - Review","3 - Monitor")))</f>
        <v/>
      </c>
      <c r="X982" s="56" t="str">
        <f aca="false">IF(AND(E982&gt;=Settings!$B$4,F982&gt;=Settings!$B$5,O982&gt;=Settings!$B$6),"HIGH RATE","")</f>
        <v/>
      </c>
      <c r="Y982" s="56" t="str">
        <f aca="false">IF(F982&gt;0,RANK(F982,$F$2:$F$1780)+COUNTIF($F$2:F982,F982)-1,"")</f>
        <v/>
      </c>
      <c r="Z982" s="56" t="str">
        <f aca="false">IF(H982&gt;0,RANK(H982,$H$2:$H$1780)+COUNTIF($H$2:H982,H982)-1,"")</f>
        <v/>
      </c>
      <c r="AA982" s="56" t="str">
        <f aca="false">IF(AC982="","",RANK(AC982,$AC$2:$AC$1780)+COUNTIF($AC$2:AC982,AC982)-1)</f>
        <v/>
      </c>
      <c r="AB982" s="56" t="str">
        <f aca="false">IF(AD982="","",RANK(AD982,$AD$2:$AD$1780)+COUNTIF($AD$2:AD982,AD982)-1)</f>
        <v/>
      </c>
      <c r="AC982" s="56" t="str">
        <f aca="false">IF(AND(F982&gt;0,E982&gt;=Settings!$B$4),J982,"")</f>
        <v/>
      </c>
      <c r="AD982" s="56" t="str">
        <f aca="false">IF(X982="HIGH RATE",O982,"")</f>
        <v/>
      </c>
    </row>
    <row r="983" customFormat="false" ht="15" hidden="false" customHeight="false" outlineLevel="0" collapsed="false">
      <c r="A983" s="56" t="s">
        <v>2319</v>
      </c>
      <c r="B983" s="56" t="s">
        <v>1156</v>
      </c>
      <c r="C983" s="56" t="s">
        <v>51</v>
      </c>
      <c r="D983" s="56" t="str">
        <f aca="false">IFERROR(INDEX('Brand Map'!$B$4:$B$124,MATCH(C983,'Brand Map'!$A$4:$A$124,0)),"Other")</f>
        <v>AU</v>
      </c>
      <c r="E983" s="57" t="n">
        <v>4</v>
      </c>
      <c r="F983" s="57" t="n">
        <v>0</v>
      </c>
      <c r="G983" s="58" t="n">
        <v>199.8</v>
      </c>
      <c r="H983" s="58" t="n">
        <v>0</v>
      </c>
      <c r="I983" s="58" t="n">
        <v>199.8</v>
      </c>
      <c r="J983" s="32" t="n">
        <f aca="false">IF(E983&gt;0,F983/E983,0)</f>
        <v>0</v>
      </c>
      <c r="K983" s="32" t="n">
        <f aca="false">IF(G983&gt;0,H983/G983,0)</f>
        <v>-0</v>
      </c>
      <c r="L983" s="59" t="n">
        <f aca="false">H983/Settings!$B$16</f>
        <v>-0</v>
      </c>
      <c r="M983" s="59" t="n">
        <f aca="false">H983/Settings!$B$20</f>
        <v>-0</v>
      </c>
      <c r="N983" s="60" t="n">
        <f aca="false">E983*Settings!$B$3</f>
        <v>0.123944604319282</v>
      </c>
      <c r="O983" s="60" t="n">
        <f aca="false">IF(E983&gt;0,(F983-N983)/SQRT(E983*Settings!$B$3*(1-Settings!$B$3)),0)</f>
        <v>-0.357642251868888</v>
      </c>
      <c r="P983" s="60" t="n">
        <f aca="false">MAX(0,F983-N983)</f>
        <v>0</v>
      </c>
      <c r="Q983" s="32" t="n">
        <f aca="false">(F983+Settings!$B$7*Settings!$B$3)/(E983+Settings!$B$7)</f>
        <v>0.027340721541018</v>
      </c>
      <c r="R983" s="61" t="n">
        <f aca="false">PERCENTRANK($H$2:$H$1780,H983,6)</f>
        <v>0</v>
      </c>
      <c r="S983" s="61" t="n">
        <f aca="false">PERCENTRANK($Q$2:$Q$1780,Q983,6)</f>
        <v>0.253656</v>
      </c>
      <c r="T983" s="61" t="n">
        <f aca="false">PERCENTRANK($F$2:$F$1780,F983,6)</f>
        <v>0</v>
      </c>
      <c r="U983" s="62" t="n">
        <f aca="false">IF(F983&gt;0,(Settings!$B$8*T983+Settings!$B$9*R983+Settings!$B$10*S983)/SUM(Settings!$B$8:$B$10),0)</f>
        <v>0</v>
      </c>
      <c r="V983" s="56" t="str">
        <f aca="false">IF(U983&gt;0,RANK(U983,$U$2:$U$1780)+COUNTIF($U$2:U983,U983)-1,"")</f>
        <v/>
      </c>
      <c r="W983" s="56" t="str">
        <f aca="false">IF(V983="","",IF(V983&lt;=Settings!$B$11,"1 - Fix first",IF(V983&lt;=Settings!$B$12,"2 - Review","3 - Monitor")))</f>
        <v/>
      </c>
      <c r="X983" s="56" t="str">
        <f aca="false">IF(AND(E983&gt;=Settings!$B$4,F983&gt;=Settings!$B$5,O983&gt;=Settings!$B$6),"HIGH RATE","")</f>
        <v/>
      </c>
      <c r="Y983" s="56" t="str">
        <f aca="false">IF(F983&gt;0,RANK(F983,$F$2:$F$1780)+COUNTIF($F$2:F983,F983)-1,"")</f>
        <v/>
      </c>
      <c r="Z983" s="56" t="str">
        <f aca="false">IF(H983&gt;0,RANK(H983,$H$2:$H$1780)+COUNTIF($H$2:H983,H983)-1,"")</f>
        <v/>
      </c>
      <c r="AA983" s="56" t="str">
        <f aca="false">IF(AC983="","",RANK(AC983,$AC$2:$AC$1780)+COUNTIF($AC$2:AC983,AC983)-1)</f>
        <v/>
      </c>
      <c r="AB983" s="56" t="str">
        <f aca="false">IF(AD983="","",RANK(AD983,$AD$2:$AD$1780)+COUNTIF($AD$2:AD983,AD983)-1)</f>
        <v/>
      </c>
      <c r="AC983" s="56" t="str">
        <f aca="false">IF(AND(F983&gt;0,E983&gt;=Settings!$B$4),J983,"")</f>
        <v/>
      </c>
      <c r="AD983" s="56" t="str">
        <f aca="false">IF(X983="HIGH RATE",O983,"")</f>
        <v/>
      </c>
    </row>
    <row r="984" customFormat="false" ht="15" hidden="false" customHeight="false" outlineLevel="0" collapsed="false">
      <c r="A984" s="56" t="s">
        <v>2320</v>
      </c>
      <c r="B984" s="56" t="s">
        <v>2321</v>
      </c>
      <c r="C984" s="56" t="s">
        <v>51</v>
      </c>
      <c r="D984" s="56" t="str">
        <f aca="false">IFERROR(INDEX('Brand Map'!$B$4:$B$124,MATCH(C984,'Brand Map'!$A$4:$A$124,0)),"Other")</f>
        <v>AU</v>
      </c>
      <c r="E984" s="57" t="n">
        <v>6</v>
      </c>
      <c r="F984" s="57" t="n">
        <v>0</v>
      </c>
      <c r="G984" s="58" t="n">
        <v>731.54</v>
      </c>
      <c r="H984" s="58" t="n">
        <v>0</v>
      </c>
      <c r="I984" s="58" t="n">
        <v>695.44</v>
      </c>
      <c r="J984" s="32" t="n">
        <f aca="false">IF(E984&gt;0,F984/E984,0)</f>
        <v>0</v>
      </c>
      <c r="K984" s="32" t="n">
        <f aca="false">IF(G984&gt;0,H984/G984,0)</f>
        <v>-0</v>
      </c>
      <c r="L984" s="59" t="n">
        <f aca="false">H984/Settings!$B$16</f>
        <v>-0</v>
      </c>
      <c r="M984" s="59" t="n">
        <f aca="false">H984/Settings!$B$20</f>
        <v>-0</v>
      </c>
      <c r="N984" s="60" t="n">
        <f aca="false">E984*Settings!$B$3</f>
        <v>0.185916906478923</v>
      </c>
      <c r="O984" s="60" t="n">
        <f aca="false">IF(E984&gt;0,(F984-N984)/SQRT(E984*Settings!$B$3*(1-Settings!$B$3)),0)</f>
        <v>-0.43802051376936</v>
      </c>
      <c r="P984" s="60" t="n">
        <f aca="false">MAX(0,F984-N984)</f>
        <v>0</v>
      </c>
      <c r="Q984" s="32" t="n">
        <f aca="false">(F984+Settings!$B$7*Settings!$B$3)/(E984+Settings!$B$7)</f>
        <v>0.025821792566517</v>
      </c>
      <c r="R984" s="61" t="n">
        <f aca="false">PERCENTRANK($H$2:$H$1780,H984,6)</f>
        <v>0</v>
      </c>
      <c r="S984" s="61" t="n">
        <f aca="false">PERCENTRANK($Q$2:$Q$1780,Q984,6)</f>
        <v>0.189539</v>
      </c>
      <c r="T984" s="61" t="n">
        <f aca="false">PERCENTRANK($F$2:$F$1780,F984,6)</f>
        <v>0</v>
      </c>
      <c r="U984" s="62" t="n">
        <f aca="false">IF(F984&gt;0,(Settings!$B$8*T984+Settings!$B$9*R984+Settings!$B$10*S984)/SUM(Settings!$B$8:$B$10),0)</f>
        <v>0</v>
      </c>
      <c r="V984" s="56" t="str">
        <f aca="false">IF(U984&gt;0,RANK(U984,$U$2:$U$1780)+COUNTIF($U$2:U984,U984)-1,"")</f>
        <v/>
      </c>
      <c r="W984" s="56" t="str">
        <f aca="false">IF(V984="","",IF(V984&lt;=Settings!$B$11,"1 - Fix first",IF(V984&lt;=Settings!$B$12,"2 - Review","3 - Monitor")))</f>
        <v/>
      </c>
      <c r="X984" s="56" t="str">
        <f aca="false">IF(AND(E984&gt;=Settings!$B$4,F984&gt;=Settings!$B$5,O984&gt;=Settings!$B$6),"HIGH RATE","")</f>
        <v/>
      </c>
      <c r="Y984" s="56" t="str">
        <f aca="false">IF(F984&gt;0,RANK(F984,$F$2:$F$1780)+COUNTIF($F$2:F984,F984)-1,"")</f>
        <v/>
      </c>
      <c r="Z984" s="56" t="str">
        <f aca="false">IF(H984&gt;0,RANK(H984,$H$2:$H$1780)+COUNTIF($H$2:H984,H984)-1,"")</f>
        <v/>
      </c>
      <c r="AA984" s="56" t="str">
        <f aca="false">IF(AC984="","",RANK(AC984,$AC$2:$AC$1780)+COUNTIF($AC$2:AC984,AC984)-1)</f>
        <v/>
      </c>
      <c r="AB984" s="56" t="str">
        <f aca="false">IF(AD984="","",RANK(AD984,$AD$2:$AD$1780)+COUNTIF($AD$2:AD984,AD984)-1)</f>
        <v/>
      </c>
      <c r="AC984" s="56" t="str">
        <f aca="false">IF(AND(F984&gt;0,E984&gt;=Settings!$B$4),J984,"")</f>
        <v/>
      </c>
      <c r="AD984" s="56" t="str">
        <f aca="false">IF(X984="HIGH RATE",O984,"")</f>
        <v/>
      </c>
    </row>
    <row r="985" customFormat="false" ht="15" hidden="false" customHeight="false" outlineLevel="0" collapsed="false">
      <c r="A985" s="56" t="s">
        <v>2322</v>
      </c>
      <c r="B985" s="56" t="s">
        <v>950</v>
      </c>
      <c r="C985" s="56" t="s">
        <v>51</v>
      </c>
      <c r="D985" s="56" t="str">
        <f aca="false">IFERROR(INDEX('Brand Map'!$B$4:$B$124,MATCH(C985,'Brand Map'!$A$4:$A$124,0)),"Other")</f>
        <v>AU</v>
      </c>
      <c r="E985" s="57" t="n">
        <v>1</v>
      </c>
      <c r="F985" s="57" t="n">
        <v>0</v>
      </c>
      <c r="G985" s="58" t="n">
        <v>84.95</v>
      </c>
      <c r="H985" s="58" t="n">
        <v>0</v>
      </c>
      <c r="I985" s="58" t="n">
        <v>84.95</v>
      </c>
      <c r="J985" s="32" t="n">
        <f aca="false">IF(E985&gt;0,F985/E985,0)</f>
        <v>0</v>
      </c>
      <c r="K985" s="32" t="n">
        <f aca="false">IF(G985&gt;0,H985/G985,0)</f>
        <v>-0</v>
      </c>
      <c r="L985" s="59" t="n">
        <f aca="false">H985/Settings!$B$16</f>
        <v>-0</v>
      </c>
      <c r="M985" s="59" t="n">
        <f aca="false">H985/Settings!$B$20</f>
        <v>-0</v>
      </c>
      <c r="N985" s="60" t="n">
        <f aca="false">E985*Settings!$B$3</f>
        <v>0.0309861510798204</v>
      </c>
      <c r="O985" s="60" t="n">
        <f aca="false">IF(E985&gt;0,(F985-N985)/SQRT(E985*Settings!$B$3*(1-Settings!$B$3)),0)</f>
        <v>-0.178821125934444</v>
      </c>
      <c r="P985" s="60" t="n">
        <f aca="false">MAX(0,F985-N985)</f>
        <v>0</v>
      </c>
      <c r="Q985" s="32" t="n">
        <f aca="false">(F985+Settings!$B$7*Settings!$B$3)/(E985+Settings!$B$7)</f>
        <v>0.0299865978191811</v>
      </c>
      <c r="R985" s="61" t="n">
        <f aca="false">PERCENTRANK($H$2:$H$1780,H985,6)</f>
        <v>0</v>
      </c>
      <c r="S985" s="61" t="n">
        <f aca="false">PERCENTRANK($Q$2:$Q$1780,Q985,6)</f>
        <v>0.486502</v>
      </c>
      <c r="T985" s="61" t="n">
        <f aca="false">PERCENTRANK($F$2:$F$1780,F985,6)</f>
        <v>0</v>
      </c>
      <c r="U985" s="62" t="n">
        <f aca="false">IF(F985&gt;0,(Settings!$B$8*T985+Settings!$B$9*R985+Settings!$B$10*S985)/SUM(Settings!$B$8:$B$10),0)</f>
        <v>0</v>
      </c>
      <c r="V985" s="56" t="str">
        <f aca="false">IF(U985&gt;0,RANK(U985,$U$2:$U$1780)+COUNTIF($U$2:U985,U985)-1,"")</f>
        <v/>
      </c>
      <c r="W985" s="56" t="str">
        <f aca="false">IF(V985="","",IF(V985&lt;=Settings!$B$11,"1 - Fix first",IF(V985&lt;=Settings!$B$12,"2 - Review","3 - Monitor")))</f>
        <v/>
      </c>
      <c r="X985" s="56" t="str">
        <f aca="false">IF(AND(E985&gt;=Settings!$B$4,F985&gt;=Settings!$B$5,O985&gt;=Settings!$B$6),"HIGH RATE","")</f>
        <v/>
      </c>
      <c r="Y985" s="56" t="str">
        <f aca="false">IF(F985&gt;0,RANK(F985,$F$2:$F$1780)+COUNTIF($F$2:F985,F985)-1,"")</f>
        <v/>
      </c>
      <c r="Z985" s="56" t="str">
        <f aca="false">IF(H985&gt;0,RANK(H985,$H$2:$H$1780)+COUNTIF($H$2:H985,H985)-1,"")</f>
        <v/>
      </c>
      <c r="AA985" s="56" t="str">
        <f aca="false">IF(AC985="","",RANK(AC985,$AC$2:$AC$1780)+COUNTIF($AC$2:AC985,AC985)-1)</f>
        <v/>
      </c>
      <c r="AB985" s="56" t="str">
        <f aca="false">IF(AD985="","",RANK(AD985,$AD$2:$AD$1780)+COUNTIF($AD$2:AD985,AD985)-1)</f>
        <v/>
      </c>
      <c r="AC985" s="56" t="str">
        <f aca="false">IF(AND(F985&gt;0,E985&gt;=Settings!$B$4),J985,"")</f>
        <v/>
      </c>
      <c r="AD985" s="56" t="str">
        <f aca="false">IF(X985="HIGH RATE",O985,"")</f>
        <v/>
      </c>
    </row>
    <row r="986" customFormat="false" ht="15" hidden="false" customHeight="false" outlineLevel="0" collapsed="false">
      <c r="A986" s="56" t="s">
        <v>2323</v>
      </c>
      <c r="B986" s="56" t="s">
        <v>950</v>
      </c>
      <c r="C986" s="56" t="s">
        <v>51</v>
      </c>
      <c r="D986" s="56" t="str">
        <f aca="false">IFERROR(INDEX('Brand Map'!$B$4:$B$124,MATCH(C986,'Brand Map'!$A$4:$A$124,0)),"Other")</f>
        <v>AU</v>
      </c>
      <c r="E986" s="57" t="n">
        <v>5</v>
      </c>
      <c r="F986" s="57" t="n">
        <v>0</v>
      </c>
      <c r="G986" s="58" t="n">
        <v>349.75</v>
      </c>
      <c r="H986" s="58" t="n">
        <v>0</v>
      </c>
      <c r="I986" s="58" t="n">
        <v>349.75</v>
      </c>
      <c r="J986" s="32" t="n">
        <f aca="false">IF(E986&gt;0,F986/E986,0)</f>
        <v>0</v>
      </c>
      <c r="K986" s="32" t="n">
        <f aca="false">IF(G986&gt;0,H986/G986,0)</f>
        <v>-0</v>
      </c>
      <c r="L986" s="59" t="n">
        <f aca="false">H986/Settings!$B$16</f>
        <v>-0</v>
      </c>
      <c r="M986" s="59" t="n">
        <f aca="false">H986/Settings!$B$20</f>
        <v>-0</v>
      </c>
      <c r="N986" s="60" t="n">
        <f aca="false">E986*Settings!$B$3</f>
        <v>0.154930755399102</v>
      </c>
      <c r="O986" s="60" t="n">
        <f aca="false">IF(E986&gt;0,(F986-N986)/SQRT(E986*Settings!$B$3*(1-Settings!$B$3)),0)</f>
        <v>-0.399856193402468</v>
      </c>
      <c r="P986" s="60" t="n">
        <f aca="false">MAX(0,F986-N986)</f>
        <v>0</v>
      </c>
      <c r="Q986" s="32" t="n">
        <f aca="false">(F986+Settings!$B$7*Settings!$B$3)/(E986+Settings!$B$7)</f>
        <v>0.0265595580684175</v>
      </c>
      <c r="R986" s="61" t="n">
        <f aca="false">PERCENTRANK($H$2:$H$1780,H986,6)</f>
        <v>0</v>
      </c>
      <c r="S986" s="61" t="n">
        <f aca="false">PERCENTRANK($Q$2:$Q$1780,Q986,6)</f>
        <v>0.220472</v>
      </c>
      <c r="T986" s="61" t="n">
        <f aca="false">PERCENTRANK($F$2:$F$1780,F986,6)</f>
        <v>0</v>
      </c>
      <c r="U986" s="62" t="n">
        <f aca="false">IF(F986&gt;0,(Settings!$B$8*T986+Settings!$B$9*R986+Settings!$B$10*S986)/SUM(Settings!$B$8:$B$10),0)</f>
        <v>0</v>
      </c>
      <c r="V986" s="56" t="str">
        <f aca="false">IF(U986&gt;0,RANK(U986,$U$2:$U$1780)+COUNTIF($U$2:U986,U986)-1,"")</f>
        <v/>
      </c>
      <c r="W986" s="56" t="str">
        <f aca="false">IF(V986="","",IF(V986&lt;=Settings!$B$11,"1 - Fix first",IF(V986&lt;=Settings!$B$12,"2 - Review","3 - Monitor")))</f>
        <v/>
      </c>
      <c r="X986" s="56" t="str">
        <f aca="false">IF(AND(E986&gt;=Settings!$B$4,F986&gt;=Settings!$B$5,O986&gt;=Settings!$B$6),"HIGH RATE","")</f>
        <v/>
      </c>
      <c r="Y986" s="56" t="str">
        <f aca="false">IF(F986&gt;0,RANK(F986,$F$2:$F$1780)+COUNTIF($F$2:F986,F986)-1,"")</f>
        <v/>
      </c>
      <c r="Z986" s="56" t="str">
        <f aca="false">IF(H986&gt;0,RANK(H986,$H$2:$H$1780)+COUNTIF($H$2:H986,H986)-1,"")</f>
        <v/>
      </c>
      <c r="AA986" s="56" t="str">
        <f aca="false">IF(AC986="","",RANK(AC986,$AC$2:$AC$1780)+COUNTIF($AC$2:AC986,AC986)-1)</f>
        <v/>
      </c>
      <c r="AB986" s="56" t="str">
        <f aca="false">IF(AD986="","",RANK(AD986,$AD$2:$AD$1780)+COUNTIF($AD$2:AD986,AD986)-1)</f>
        <v/>
      </c>
      <c r="AC986" s="56" t="str">
        <f aca="false">IF(AND(F986&gt;0,E986&gt;=Settings!$B$4),J986,"")</f>
        <v/>
      </c>
      <c r="AD986" s="56" t="str">
        <f aca="false">IF(X986="HIGH RATE",O986,"")</f>
        <v/>
      </c>
    </row>
    <row r="987" customFormat="false" ht="15" hidden="false" customHeight="false" outlineLevel="0" collapsed="false">
      <c r="A987" s="56" t="s">
        <v>2324</v>
      </c>
      <c r="B987" s="56" t="s">
        <v>1308</v>
      </c>
      <c r="C987" s="56" t="s">
        <v>51</v>
      </c>
      <c r="D987" s="56" t="str">
        <f aca="false">IFERROR(INDEX('Brand Map'!$B$4:$B$124,MATCH(C987,'Brand Map'!$A$4:$A$124,0)),"Other")</f>
        <v>AU</v>
      </c>
      <c r="E987" s="57" t="n">
        <v>1</v>
      </c>
      <c r="F987" s="57" t="n">
        <v>0</v>
      </c>
      <c r="G987" s="58" t="n">
        <v>69.95</v>
      </c>
      <c r="H987" s="58" t="n">
        <v>0</v>
      </c>
      <c r="I987" s="58" t="n">
        <v>69.95</v>
      </c>
      <c r="J987" s="32" t="n">
        <f aca="false">IF(E987&gt;0,F987/E987,0)</f>
        <v>0</v>
      </c>
      <c r="K987" s="32" t="n">
        <f aca="false">IF(G987&gt;0,H987/G987,0)</f>
        <v>-0</v>
      </c>
      <c r="L987" s="59" t="n">
        <f aca="false">H987/Settings!$B$16</f>
        <v>-0</v>
      </c>
      <c r="M987" s="59" t="n">
        <f aca="false">H987/Settings!$B$20</f>
        <v>-0</v>
      </c>
      <c r="N987" s="60" t="n">
        <f aca="false">E987*Settings!$B$3</f>
        <v>0.0309861510798204</v>
      </c>
      <c r="O987" s="60" t="n">
        <f aca="false">IF(E987&gt;0,(F987-N987)/SQRT(E987*Settings!$B$3*(1-Settings!$B$3)),0)</f>
        <v>-0.178821125934444</v>
      </c>
      <c r="P987" s="60" t="n">
        <f aca="false">MAX(0,F987-N987)</f>
        <v>0</v>
      </c>
      <c r="Q987" s="32" t="n">
        <f aca="false">(F987+Settings!$B$7*Settings!$B$3)/(E987+Settings!$B$7)</f>
        <v>0.0299865978191811</v>
      </c>
      <c r="R987" s="61" t="n">
        <f aca="false">PERCENTRANK($H$2:$H$1780,H987,6)</f>
        <v>0</v>
      </c>
      <c r="S987" s="61" t="n">
        <f aca="false">PERCENTRANK($Q$2:$Q$1780,Q987,6)</f>
        <v>0.486502</v>
      </c>
      <c r="T987" s="61" t="n">
        <f aca="false">PERCENTRANK($F$2:$F$1780,F987,6)</f>
        <v>0</v>
      </c>
      <c r="U987" s="62" t="n">
        <f aca="false">IF(F987&gt;0,(Settings!$B$8*T987+Settings!$B$9*R987+Settings!$B$10*S987)/SUM(Settings!$B$8:$B$10),0)</f>
        <v>0</v>
      </c>
      <c r="V987" s="56" t="str">
        <f aca="false">IF(U987&gt;0,RANK(U987,$U$2:$U$1780)+COUNTIF($U$2:U987,U987)-1,"")</f>
        <v/>
      </c>
      <c r="W987" s="56" t="str">
        <f aca="false">IF(V987="","",IF(V987&lt;=Settings!$B$11,"1 - Fix first",IF(V987&lt;=Settings!$B$12,"2 - Review","3 - Monitor")))</f>
        <v/>
      </c>
      <c r="X987" s="56" t="str">
        <f aca="false">IF(AND(E987&gt;=Settings!$B$4,F987&gt;=Settings!$B$5,O987&gt;=Settings!$B$6),"HIGH RATE","")</f>
        <v/>
      </c>
      <c r="Y987" s="56" t="str">
        <f aca="false">IF(F987&gt;0,RANK(F987,$F$2:$F$1780)+COUNTIF($F$2:F987,F987)-1,"")</f>
        <v/>
      </c>
      <c r="Z987" s="56" t="str">
        <f aca="false">IF(H987&gt;0,RANK(H987,$H$2:$H$1780)+COUNTIF($H$2:H987,H987)-1,"")</f>
        <v/>
      </c>
      <c r="AA987" s="56" t="str">
        <f aca="false">IF(AC987="","",RANK(AC987,$AC$2:$AC$1780)+COUNTIF($AC$2:AC987,AC987)-1)</f>
        <v/>
      </c>
      <c r="AB987" s="56" t="str">
        <f aca="false">IF(AD987="","",RANK(AD987,$AD$2:$AD$1780)+COUNTIF($AD$2:AD987,AD987)-1)</f>
        <v/>
      </c>
      <c r="AC987" s="56" t="str">
        <f aca="false">IF(AND(F987&gt;0,E987&gt;=Settings!$B$4),J987,"")</f>
        <v/>
      </c>
      <c r="AD987" s="56" t="str">
        <f aca="false">IF(X987="HIGH RATE",O987,"")</f>
        <v/>
      </c>
    </row>
    <row r="988" customFormat="false" ht="15" hidden="false" customHeight="false" outlineLevel="0" collapsed="false">
      <c r="A988" s="56" t="s">
        <v>2325</v>
      </c>
      <c r="B988" s="56" t="s">
        <v>1531</v>
      </c>
      <c r="C988" s="56" t="s">
        <v>51</v>
      </c>
      <c r="D988" s="56" t="str">
        <f aca="false">IFERROR(INDEX('Brand Map'!$B$4:$B$124,MATCH(C988,'Brand Map'!$A$4:$A$124,0)),"Other")</f>
        <v>AU</v>
      </c>
      <c r="E988" s="57" t="n">
        <v>22</v>
      </c>
      <c r="F988" s="57" t="n">
        <v>0</v>
      </c>
      <c r="G988" s="58" t="n">
        <v>1968.9</v>
      </c>
      <c r="H988" s="58" t="n">
        <v>0</v>
      </c>
      <c r="I988" s="58" t="n">
        <v>1968.9</v>
      </c>
      <c r="J988" s="32" t="n">
        <f aca="false">IF(E988&gt;0,F988/E988,0)</f>
        <v>0</v>
      </c>
      <c r="K988" s="32" t="n">
        <f aca="false">IF(G988&gt;0,H988/G988,0)</f>
        <v>-0</v>
      </c>
      <c r="L988" s="59" t="n">
        <f aca="false">H988/Settings!$B$16</f>
        <v>-0</v>
      </c>
      <c r="M988" s="59" t="n">
        <f aca="false">H988/Settings!$B$20</f>
        <v>-0</v>
      </c>
      <c r="N988" s="60" t="n">
        <f aca="false">E988*Settings!$B$3</f>
        <v>0.681695323756049</v>
      </c>
      <c r="O988" s="60" t="n">
        <f aca="false">IF(E988&gt;0,(F988-N988)/SQRT(E988*Settings!$B$3*(1-Settings!$B$3)),0)</f>
        <v>-0.838745427272287</v>
      </c>
      <c r="P988" s="60" t="n">
        <f aca="false">MAX(0,F988-N988)</f>
        <v>0</v>
      </c>
      <c r="Q988" s="32" t="n">
        <f aca="false">(F988+Settings!$B$7*Settings!$B$3)/(E988+Settings!$B$7)</f>
        <v>0.0178766256229733</v>
      </c>
      <c r="R988" s="61" t="n">
        <f aca="false">PERCENTRANK($H$2:$H$1780,H988,6)</f>
        <v>0</v>
      </c>
      <c r="S988" s="61" t="n">
        <f aca="false">PERCENTRANK($Q$2:$Q$1780,Q988,6)</f>
        <v>0.0658043</v>
      </c>
      <c r="T988" s="61" t="n">
        <f aca="false">PERCENTRANK($F$2:$F$1780,F988,6)</f>
        <v>0</v>
      </c>
      <c r="U988" s="62" t="n">
        <f aca="false">IF(F988&gt;0,(Settings!$B$8*T988+Settings!$B$9*R988+Settings!$B$10*S988)/SUM(Settings!$B$8:$B$10),0)</f>
        <v>0</v>
      </c>
      <c r="V988" s="56" t="str">
        <f aca="false">IF(U988&gt;0,RANK(U988,$U$2:$U$1780)+COUNTIF($U$2:U988,U988)-1,"")</f>
        <v/>
      </c>
      <c r="W988" s="56" t="str">
        <f aca="false">IF(V988="","",IF(V988&lt;=Settings!$B$11,"1 - Fix first",IF(V988&lt;=Settings!$B$12,"2 - Review","3 - Monitor")))</f>
        <v/>
      </c>
      <c r="X988" s="56" t="str">
        <f aca="false">IF(AND(E988&gt;=Settings!$B$4,F988&gt;=Settings!$B$5,O988&gt;=Settings!$B$6),"HIGH RATE","")</f>
        <v/>
      </c>
      <c r="Y988" s="56" t="str">
        <f aca="false">IF(F988&gt;0,RANK(F988,$F$2:$F$1780)+COUNTIF($F$2:F988,F988)-1,"")</f>
        <v/>
      </c>
      <c r="Z988" s="56" t="str">
        <f aca="false">IF(H988&gt;0,RANK(H988,$H$2:$H$1780)+COUNTIF($H$2:H988,H988)-1,"")</f>
        <v/>
      </c>
      <c r="AA988" s="56" t="str">
        <f aca="false">IF(AC988="","",RANK(AC988,$AC$2:$AC$1780)+COUNTIF($AC$2:AC988,AC988)-1)</f>
        <v/>
      </c>
      <c r="AB988" s="56" t="str">
        <f aca="false">IF(AD988="","",RANK(AD988,$AD$2:$AD$1780)+COUNTIF($AD$2:AD988,AD988)-1)</f>
        <v/>
      </c>
      <c r="AC988" s="56" t="str">
        <f aca="false">IF(AND(F988&gt;0,E988&gt;=Settings!$B$4),J988,"")</f>
        <v/>
      </c>
      <c r="AD988" s="56" t="str">
        <f aca="false">IF(X988="HIGH RATE",O988,"")</f>
        <v/>
      </c>
    </row>
    <row r="989" customFormat="false" ht="15" hidden="false" customHeight="false" outlineLevel="0" collapsed="false">
      <c r="A989" s="56" t="s">
        <v>2326</v>
      </c>
      <c r="B989" s="56" t="s">
        <v>1531</v>
      </c>
      <c r="C989" s="56" t="s">
        <v>51</v>
      </c>
      <c r="D989" s="56" t="str">
        <f aca="false">IFERROR(INDEX('Brand Map'!$B$4:$B$124,MATCH(C989,'Brand Map'!$A$4:$A$124,0)),"Other")</f>
        <v>AU</v>
      </c>
      <c r="E989" s="57" t="n">
        <v>5</v>
      </c>
      <c r="F989" s="57" t="n">
        <v>0</v>
      </c>
      <c r="G989" s="58" t="n">
        <v>474.75</v>
      </c>
      <c r="H989" s="58" t="n">
        <v>0</v>
      </c>
      <c r="I989" s="58" t="n">
        <v>474.75</v>
      </c>
      <c r="J989" s="32" t="n">
        <f aca="false">IF(E989&gt;0,F989/E989,0)</f>
        <v>0</v>
      </c>
      <c r="K989" s="32" t="n">
        <f aca="false">IF(G989&gt;0,H989/G989,0)</f>
        <v>-0</v>
      </c>
      <c r="L989" s="59" t="n">
        <f aca="false">H989/Settings!$B$16</f>
        <v>-0</v>
      </c>
      <c r="M989" s="59" t="n">
        <f aca="false">H989/Settings!$B$20</f>
        <v>-0</v>
      </c>
      <c r="N989" s="60" t="n">
        <f aca="false">E989*Settings!$B$3</f>
        <v>0.154930755399102</v>
      </c>
      <c r="O989" s="60" t="n">
        <f aca="false">IF(E989&gt;0,(F989-N989)/SQRT(E989*Settings!$B$3*(1-Settings!$B$3)),0)</f>
        <v>-0.399856193402468</v>
      </c>
      <c r="P989" s="60" t="n">
        <f aca="false">MAX(0,F989-N989)</f>
        <v>0</v>
      </c>
      <c r="Q989" s="32" t="n">
        <f aca="false">(F989+Settings!$B$7*Settings!$B$3)/(E989+Settings!$B$7)</f>
        <v>0.0265595580684175</v>
      </c>
      <c r="R989" s="61" t="n">
        <f aca="false">PERCENTRANK($H$2:$H$1780,H989,6)</f>
        <v>0</v>
      </c>
      <c r="S989" s="61" t="n">
        <f aca="false">PERCENTRANK($Q$2:$Q$1780,Q989,6)</f>
        <v>0.220472</v>
      </c>
      <c r="T989" s="61" t="n">
        <f aca="false">PERCENTRANK($F$2:$F$1780,F989,6)</f>
        <v>0</v>
      </c>
      <c r="U989" s="62" t="n">
        <f aca="false">IF(F989&gt;0,(Settings!$B$8*T989+Settings!$B$9*R989+Settings!$B$10*S989)/SUM(Settings!$B$8:$B$10),0)</f>
        <v>0</v>
      </c>
      <c r="V989" s="56" t="str">
        <f aca="false">IF(U989&gt;0,RANK(U989,$U$2:$U$1780)+COUNTIF($U$2:U989,U989)-1,"")</f>
        <v/>
      </c>
      <c r="W989" s="56" t="str">
        <f aca="false">IF(V989="","",IF(V989&lt;=Settings!$B$11,"1 - Fix first",IF(V989&lt;=Settings!$B$12,"2 - Review","3 - Monitor")))</f>
        <v/>
      </c>
      <c r="X989" s="56" t="str">
        <f aca="false">IF(AND(E989&gt;=Settings!$B$4,F989&gt;=Settings!$B$5,O989&gt;=Settings!$B$6),"HIGH RATE","")</f>
        <v/>
      </c>
      <c r="Y989" s="56" t="str">
        <f aca="false">IF(F989&gt;0,RANK(F989,$F$2:$F$1780)+COUNTIF($F$2:F989,F989)-1,"")</f>
        <v/>
      </c>
      <c r="Z989" s="56" t="str">
        <f aca="false">IF(H989&gt;0,RANK(H989,$H$2:$H$1780)+COUNTIF($H$2:H989,H989)-1,"")</f>
        <v/>
      </c>
      <c r="AA989" s="56" t="str">
        <f aca="false">IF(AC989="","",RANK(AC989,$AC$2:$AC$1780)+COUNTIF($AC$2:AC989,AC989)-1)</f>
        <v/>
      </c>
      <c r="AB989" s="56" t="str">
        <f aca="false">IF(AD989="","",RANK(AD989,$AD$2:$AD$1780)+COUNTIF($AD$2:AD989,AD989)-1)</f>
        <v/>
      </c>
      <c r="AC989" s="56" t="str">
        <f aca="false">IF(AND(F989&gt;0,E989&gt;=Settings!$B$4),J989,"")</f>
        <v/>
      </c>
      <c r="AD989" s="56" t="str">
        <f aca="false">IF(X989="HIGH RATE",O989,"")</f>
        <v/>
      </c>
    </row>
    <row r="990" customFormat="false" ht="15" hidden="false" customHeight="false" outlineLevel="0" collapsed="false">
      <c r="A990" s="56" t="s">
        <v>2327</v>
      </c>
      <c r="B990" s="56" t="s">
        <v>1531</v>
      </c>
      <c r="C990" s="56" t="s">
        <v>51</v>
      </c>
      <c r="D990" s="56" t="str">
        <f aca="false">IFERROR(INDEX('Brand Map'!$B$4:$B$124,MATCH(C990,'Brand Map'!$A$4:$A$124,0)),"Other")</f>
        <v>AU</v>
      </c>
      <c r="E990" s="57" t="n">
        <v>1</v>
      </c>
      <c r="F990" s="57" t="n">
        <v>0</v>
      </c>
      <c r="G990" s="58" t="n">
        <v>109.95</v>
      </c>
      <c r="H990" s="58" t="n">
        <v>0</v>
      </c>
      <c r="I990" s="58" t="n">
        <v>109.95</v>
      </c>
      <c r="J990" s="32" t="n">
        <f aca="false">IF(E990&gt;0,F990/E990,0)</f>
        <v>0</v>
      </c>
      <c r="K990" s="32" t="n">
        <f aca="false">IF(G990&gt;0,H990/G990,0)</f>
        <v>-0</v>
      </c>
      <c r="L990" s="59" t="n">
        <f aca="false">H990/Settings!$B$16</f>
        <v>-0</v>
      </c>
      <c r="M990" s="59" t="n">
        <f aca="false">H990/Settings!$B$20</f>
        <v>-0</v>
      </c>
      <c r="N990" s="60" t="n">
        <f aca="false">E990*Settings!$B$3</f>
        <v>0.0309861510798204</v>
      </c>
      <c r="O990" s="60" t="n">
        <f aca="false">IF(E990&gt;0,(F990-N990)/SQRT(E990*Settings!$B$3*(1-Settings!$B$3)),0)</f>
        <v>-0.178821125934444</v>
      </c>
      <c r="P990" s="60" t="n">
        <f aca="false">MAX(0,F990-N990)</f>
        <v>0</v>
      </c>
      <c r="Q990" s="32" t="n">
        <f aca="false">(F990+Settings!$B$7*Settings!$B$3)/(E990+Settings!$B$7)</f>
        <v>0.0299865978191811</v>
      </c>
      <c r="R990" s="61" t="n">
        <f aca="false">PERCENTRANK($H$2:$H$1780,H990,6)</f>
        <v>0</v>
      </c>
      <c r="S990" s="61" t="n">
        <f aca="false">PERCENTRANK($Q$2:$Q$1780,Q990,6)</f>
        <v>0.486502</v>
      </c>
      <c r="T990" s="61" t="n">
        <f aca="false">PERCENTRANK($F$2:$F$1780,F990,6)</f>
        <v>0</v>
      </c>
      <c r="U990" s="62" t="n">
        <f aca="false">IF(F990&gt;0,(Settings!$B$8*T990+Settings!$B$9*R990+Settings!$B$10*S990)/SUM(Settings!$B$8:$B$10),0)</f>
        <v>0</v>
      </c>
      <c r="V990" s="56" t="str">
        <f aca="false">IF(U990&gt;0,RANK(U990,$U$2:$U$1780)+COUNTIF($U$2:U990,U990)-1,"")</f>
        <v/>
      </c>
      <c r="W990" s="56" t="str">
        <f aca="false">IF(V990="","",IF(V990&lt;=Settings!$B$11,"1 - Fix first",IF(V990&lt;=Settings!$B$12,"2 - Review","3 - Monitor")))</f>
        <v/>
      </c>
      <c r="X990" s="56" t="str">
        <f aca="false">IF(AND(E990&gt;=Settings!$B$4,F990&gt;=Settings!$B$5,O990&gt;=Settings!$B$6),"HIGH RATE","")</f>
        <v/>
      </c>
      <c r="Y990" s="56" t="str">
        <f aca="false">IF(F990&gt;0,RANK(F990,$F$2:$F$1780)+COUNTIF($F$2:F990,F990)-1,"")</f>
        <v/>
      </c>
      <c r="Z990" s="56" t="str">
        <f aca="false">IF(H990&gt;0,RANK(H990,$H$2:$H$1780)+COUNTIF($H$2:H990,H990)-1,"")</f>
        <v/>
      </c>
      <c r="AA990" s="56" t="str">
        <f aca="false">IF(AC990="","",RANK(AC990,$AC$2:$AC$1780)+COUNTIF($AC$2:AC990,AC990)-1)</f>
        <v/>
      </c>
      <c r="AB990" s="56" t="str">
        <f aca="false">IF(AD990="","",RANK(AD990,$AD$2:$AD$1780)+COUNTIF($AD$2:AD990,AD990)-1)</f>
        <v/>
      </c>
      <c r="AC990" s="56" t="str">
        <f aca="false">IF(AND(F990&gt;0,E990&gt;=Settings!$B$4),J990,"")</f>
        <v/>
      </c>
      <c r="AD990" s="56" t="str">
        <f aca="false">IF(X990="HIGH RATE",O990,"")</f>
        <v/>
      </c>
    </row>
    <row r="991" customFormat="false" ht="15" hidden="false" customHeight="false" outlineLevel="0" collapsed="false">
      <c r="A991" s="56" t="s">
        <v>2328</v>
      </c>
      <c r="B991" s="56" t="s">
        <v>875</v>
      </c>
      <c r="C991" s="56" t="s">
        <v>51</v>
      </c>
      <c r="D991" s="56" t="str">
        <f aca="false">IFERROR(INDEX('Brand Map'!$B$4:$B$124,MATCH(C991,'Brand Map'!$A$4:$A$124,0)),"Other")</f>
        <v>AU</v>
      </c>
      <c r="E991" s="57" t="n">
        <v>2</v>
      </c>
      <c r="F991" s="57" t="n">
        <v>0</v>
      </c>
      <c r="G991" s="58" t="n">
        <v>199.9</v>
      </c>
      <c r="H991" s="58" t="n">
        <v>0</v>
      </c>
      <c r="I991" s="58" t="n">
        <v>199.9</v>
      </c>
      <c r="J991" s="32" t="n">
        <f aca="false">IF(E991&gt;0,F991/E991,0)</f>
        <v>0</v>
      </c>
      <c r="K991" s="32" t="n">
        <f aca="false">IF(G991&gt;0,H991/G991,0)</f>
        <v>-0</v>
      </c>
      <c r="L991" s="59" t="n">
        <f aca="false">H991/Settings!$B$16</f>
        <v>-0</v>
      </c>
      <c r="M991" s="59" t="n">
        <f aca="false">H991/Settings!$B$20</f>
        <v>-0</v>
      </c>
      <c r="N991" s="60" t="n">
        <f aca="false">E991*Settings!$B$3</f>
        <v>0.0619723021596408</v>
      </c>
      <c r="O991" s="60" t="n">
        <f aca="false">IF(E991&gt;0,(F991-N991)/SQRT(E991*Settings!$B$3*(1-Settings!$B$3)),0)</f>
        <v>-0.252891261535318</v>
      </c>
      <c r="P991" s="60" t="n">
        <f aca="false">MAX(0,F991-N991)</f>
        <v>0</v>
      </c>
      <c r="Q991" s="32" t="n">
        <f aca="false">(F991+Settings!$B$7*Settings!$B$3)/(E991+Settings!$B$7)</f>
        <v>0.0290495166373316</v>
      </c>
      <c r="R991" s="61" t="n">
        <f aca="false">PERCENTRANK($H$2:$H$1780,H991,6)</f>
        <v>0</v>
      </c>
      <c r="S991" s="61" t="n">
        <f aca="false">PERCENTRANK($Q$2:$Q$1780,Q991,6)</f>
        <v>0.365579</v>
      </c>
      <c r="T991" s="61" t="n">
        <f aca="false">PERCENTRANK($F$2:$F$1780,F991,6)</f>
        <v>0</v>
      </c>
      <c r="U991" s="62" t="n">
        <f aca="false">IF(F991&gt;0,(Settings!$B$8*T991+Settings!$B$9*R991+Settings!$B$10*S991)/SUM(Settings!$B$8:$B$10),0)</f>
        <v>0</v>
      </c>
      <c r="V991" s="56" t="str">
        <f aca="false">IF(U991&gt;0,RANK(U991,$U$2:$U$1780)+COUNTIF($U$2:U991,U991)-1,"")</f>
        <v/>
      </c>
      <c r="W991" s="56" t="str">
        <f aca="false">IF(V991="","",IF(V991&lt;=Settings!$B$11,"1 - Fix first",IF(V991&lt;=Settings!$B$12,"2 - Review","3 - Monitor")))</f>
        <v/>
      </c>
      <c r="X991" s="56" t="str">
        <f aca="false">IF(AND(E991&gt;=Settings!$B$4,F991&gt;=Settings!$B$5,O991&gt;=Settings!$B$6),"HIGH RATE","")</f>
        <v/>
      </c>
      <c r="Y991" s="56" t="str">
        <f aca="false">IF(F991&gt;0,RANK(F991,$F$2:$F$1780)+COUNTIF($F$2:F991,F991)-1,"")</f>
        <v/>
      </c>
      <c r="Z991" s="56" t="str">
        <f aca="false">IF(H991&gt;0,RANK(H991,$H$2:$H$1780)+COUNTIF($H$2:H991,H991)-1,"")</f>
        <v/>
      </c>
      <c r="AA991" s="56" t="str">
        <f aca="false">IF(AC991="","",RANK(AC991,$AC$2:$AC$1780)+COUNTIF($AC$2:AC991,AC991)-1)</f>
        <v/>
      </c>
      <c r="AB991" s="56" t="str">
        <f aca="false">IF(AD991="","",RANK(AD991,$AD$2:$AD$1780)+COUNTIF($AD$2:AD991,AD991)-1)</f>
        <v/>
      </c>
      <c r="AC991" s="56" t="str">
        <f aca="false">IF(AND(F991&gt;0,E991&gt;=Settings!$B$4),J991,"")</f>
        <v/>
      </c>
      <c r="AD991" s="56" t="str">
        <f aca="false">IF(X991="HIGH RATE",O991,"")</f>
        <v/>
      </c>
    </row>
    <row r="992" customFormat="false" ht="15" hidden="false" customHeight="false" outlineLevel="0" collapsed="false">
      <c r="A992" s="56" t="s">
        <v>2329</v>
      </c>
      <c r="B992" s="56" t="s">
        <v>1554</v>
      </c>
      <c r="C992" s="56" t="s">
        <v>51</v>
      </c>
      <c r="D992" s="56" t="str">
        <f aca="false">IFERROR(INDEX('Brand Map'!$B$4:$B$124,MATCH(C992,'Brand Map'!$A$4:$A$124,0)),"Other")</f>
        <v>AU</v>
      </c>
      <c r="E992" s="57" t="n">
        <v>2</v>
      </c>
      <c r="F992" s="57" t="n">
        <v>0</v>
      </c>
      <c r="G992" s="58" t="n">
        <v>189.9</v>
      </c>
      <c r="H992" s="58" t="n">
        <v>0</v>
      </c>
      <c r="I992" s="58" t="n">
        <v>189.9</v>
      </c>
      <c r="J992" s="32" t="n">
        <f aca="false">IF(E992&gt;0,F992/E992,0)</f>
        <v>0</v>
      </c>
      <c r="K992" s="32" t="n">
        <f aca="false">IF(G992&gt;0,H992/G992,0)</f>
        <v>-0</v>
      </c>
      <c r="L992" s="59" t="n">
        <f aca="false">H992/Settings!$B$16</f>
        <v>-0</v>
      </c>
      <c r="M992" s="59" t="n">
        <f aca="false">H992/Settings!$B$20</f>
        <v>-0</v>
      </c>
      <c r="N992" s="60" t="n">
        <f aca="false">E992*Settings!$B$3</f>
        <v>0.0619723021596408</v>
      </c>
      <c r="O992" s="60" t="n">
        <f aca="false">IF(E992&gt;0,(F992-N992)/SQRT(E992*Settings!$B$3*(1-Settings!$B$3)),0)</f>
        <v>-0.252891261535318</v>
      </c>
      <c r="P992" s="60" t="n">
        <f aca="false">MAX(0,F992-N992)</f>
        <v>0</v>
      </c>
      <c r="Q992" s="32" t="n">
        <f aca="false">(F992+Settings!$B$7*Settings!$B$3)/(E992+Settings!$B$7)</f>
        <v>0.0290495166373316</v>
      </c>
      <c r="R992" s="61" t="n">
        <f aca="false">PERCENTRANK($H$2:$H$1780,H992,6)</f>
        <v>0</v>
      </c>
      <c r="S992" s="61" t="n">
        <f aca="false">PERCENTRANK($Q$2:$Q$1780,Q992,6)</f>
        <v>0.365579</v>
      </c>
      <c r="T992" s="61" t="n">
        <f aca="false">PERCENTRANK($F$2:$F$1780,F992,6)</f>
        <v>0</v>
      </c>
      <c r="U992" s="62" t="n">
        <f aca="false">IF(F992&gt;0,(Settings!$B$8*T992+Settings!$B$9*R992+Settings!$B$10*S992)/SUM(Settings!$B$8:$B$10),0)</f>
        <v>0</v>
      </c>
      <c r="V992" s="56" t="str">
        <f aca="false">IF(U992&gt;0,RANK(U992,$U$2:$U$1780)+COUNTIF($U$2:U992,U992)-1,"")</f>
        <v/>
      </c>
      <c r="W992" s="56" t="str">
        <f aca="false">IF(V992="","",IF(V992&lt;=Settings!$B$11,"1 - Fix first",IF(V992&lt;=Settings!$B$12,"2 - Review","3 - Monitor")))</f>
        <v/>
      </c>
      <c r="X992" s="56" t="str">
        <f aca="false">IF(AND(E992&gt;=Settings!$B$4,F992&gt;=Settings!$B$5,O992&gt;=Settings!$B$6),"HIGH RATE","")</f>
        <v/>
      </c>
      <c r="Y992" s="56" t="str">
        <f aca="false">IF(F992&gt;0,RANK(F992,$F$2:$F$1780)+COUNTIF($F$2:F992,F992)-1,"")</f>
        <v/>
      </c>
      <c r="Z992" s="56" t="str">
        <f aca="false">IF(H992&gt;0,RANK(H992,$H$2:$H$1780)+COUNTIF($H$2:H992,H992)-1,"")</f>
        <v/>
      </c>
      <c r="AA992" s="56" t="str">
        <f aca="false">IF(AC992="","",RANK(AC992,$AC$2:$AC$1780)+COUNTIF($AC$2:AC992,AC992)-1)</f>
        <v/>
      </c>
      <c r="AB992" s="56" t="str">
        <f aca="false">IF(AD992="","",RANK(AD992,$AD$2:$AD$1780)+COUNTIF($AD$2:AD992,AD992)-1)</f>
        <v/>
      </c>
      <c r="AC992" s="56" t="str">
        <f aca="false">IF(AND(F992&gt;0,E992&gt;=Settings!$B$4),J992,"")</f>
        <v/>
      </c>
      <c r="AD992" s="56" t="str">
        <f aca="false">IF(X992="HIGH RATE",O992,"")</f>
        <v/>
      </c>
    </row>
    <row r="993" customFormat="false" ht="15" hidden="false" customHeight="false" outlineLevel="0" collapsed="false">
      <c r="A993" s="56" t="s">
        <v>2330</v>
      </c>
      <c r="B993" s="56" t="s">
        <v>1452</v>
      </c>
      <c r="C993" s="56" t="s">
        <v>51</v>
      </c>
      <c r="D993" s="56" t="str">
        <f aca="false">IFERROR(INDEX('Brand Map'!$B$4:$B$124,MATCH(C993,'Brand Map'!$A$4:$A$124,0)),"Other")</f>
        <v>AU</v>
      </c>
      <c r="E993" s="57" t="n">
        <v>3</v>
      </c>
      <c r="F993" s="57" t="n">
        <v>0</v>
      </c>
      <c r="G993" s="58" t="n">
        <v>329.85</v>
      </c>
      <c r="H993" s="58" t="n">
        <v>0</v>
      </c>
      <c r="I993" s="58" t="n">
        <v>329.85</v>
      </c>
      <c r="J993" s="32" t="n">
        <f aca="false">IF(E993&gt;0,F993/E993,0)</f>
        <v>0</v>
      </c>
      <c r="K993" s="32" t="n">
        <f aca="false">IF(G993&gt;0,H993/G993,0)</f>
        <v>-0</v>
      </c>
      <c r="L993" s="59" t="n">
        <f aca="false">H993/Settings!$B$16</f>
        <v>-0</v>
      </c>
      <c r="M993" s="59" t="n">
        <f aca="false">H993/Settings!$B$20</f>
        <v>-0</v>
      </c>
      <c r="N993" s="60" t="n">
        <f aca="false">E993*Settings!$B$3</f>
        <v>0.0929584532394613</v>
      </c>
      <c r="O993" s="60" t="n">
        <f aca="false">IF(E993&gt;0,(F993-N993)/SQRT(E993*Settings!$B$3*(1-Settings!$B$3)),0)</f>
        <v>-0.30972727558513</v>
      </c>
      <c r="P993" s="60" t="n">
        <f aca="false">MAX(0,F993-N993)</f>
        <v>0</v>
      </c>
      <c r="Q993" s="32" t="n">
        <f aca="false">(F993+Settings!$B$7*Settings!$B$3)/(E993+Settings!$B$7)</f>
        <v>0.0281692282543822</v>
      </c>
      <c r="R993" s="61" t="n">
        <f aca="false">PERCENTRANK($H$2:$H$1780,H993,6)</f>
        <v>0</v>
      </c>
      <c r="S993" s="61" t="n">
        <f aca="false">PERCENTRANK($Q$2:$Q$1780,Q993,6)</f>
        <v>0.294151</v>
      </c>
      <c r="T993" s="61" t="n">
        <f aca="false">PERCENTRANK($F$2:$F$1780,F993,6)</f>
        <v>0</v>
      </c>
      <c r="U993" s="62" t="n">
        <f aca="false">IF(F993&gt;0,(Settings!$B$8*T993+Settings!$B$9*R993+Settings!$B$10*S993)/SUM(Settings!$B$8:$B$10),0)</f>
        <v>0</v>
      </c>
      <c r="V993" s="56" t="str">
        <f aca="false">IF(U993&gt;0,RANK(U993,$U$2:$U$1780)+COUNTIF($U$2:U993,U993)-1,"")</f>
        <v/>
      </c>
      <c r="W993" s="56" t="str">
        <f aca="false">IF(V993="","",IF(V993&lt;=Settings!$B$11,"1 - Fix first",IF(V993&lt;=Settings!$B$12,"2 - Review","3 - Monitor")))</f>
        <v/>
      </c>
      <c r="X993" s="56" t="str">
        <f aca="false">IF(AND(E993&gt;=Settings!$B$4,F993&gt;=Settings!$B$5,O993&gt;=Settings!$B$6),"HIGH RATE","")</f>
        <v/>
      </c>
      <c r="Y993" s="56" t="str">
        <f aca="false">IF(F993&gt;0,RANK(F993,$F$2:$F$1780)+COUNTIF($F$2:F993,F993)-1,"")</f>
        <v/>
      </c>
      <c r="Z993" s="56" t="str">
        <f aca="false">IF(H993&gt;0,RANK(H993,$H$2:$H$1780)+COUNTIF($H$2:H993,H993)-1,"")</f>
        <v/>
      </c>
      <c r="AA993" s="56" t="str">
        <f aca="false">IF(AC993="","",RANK(AC993,$AC$2:$AC$1780)+COUNTIF($AC$2:AC993,AC993)-1)</f>
        <v/>
      </c>
      <c r="AB993" s="56" t="str">
        <f aca="false">IF(AD993="","",RANK(AD993,$AD$2:$AD$1780)+COUNTIF($AD$2:AD993,AD993)-1)</f>
        <v/>
      </c>
      <c r="AC993" s="56" t="str">
        <f aca="false">IF(AND(F993&gt;0,E993&gt;=Settings!$B$4),J993,"")</f>
        <v/>
      </c>
      <c r="AD993" s="56" t="str">
        <f aca="false">IF(X993="HIGH RATE",O993,"")</f>
        <v/>
      </c>
    </row>
    <row r="994" customFormat="false" ht="15" hidden="false" customHeight="false" outlineLevel="0" collapsed="false">
      <c r="A994" s="56" t="s">
        <v>2331</v>
      </c>
      <c r="B994" s="56" t="s">
        <v>2332</v>
      </c>
      <c r="C994" s="56" t="s">
        <v>51</v>
      </c>
      <c r="D994" s="56" t="str">
        <f aca="false">IFERROR(INDEX('Brand Map'!$B$4:$B$124,MATCH(C994,'Brand Map'!$A$4:$A$124,0)),"Other")</f>
        <v>AU</v>
      </c>
      <c r="E994" s="57" t="n">
        <v>13</v>
      </c>
      <c r="F994" s="57" t="n">
        <v>0</v>
      </c>
      <c r="G994" s="58" t="n">
        <v>1949.35</v>
      </c>
      <c r="H994" s="58" t="n">
        <v>0</v>
      </c>
      <c r="I994" s="58" t="n">
        <v>1949.35</v>
      </c>
      <c r="J994" s="32" t="n">
        <f aca="false">IF(E994&gt;0,F994/E994,0)</f>
        <v>0</v>
      </c>
      <c r="K994" s="32" t="n">
        <f aca="false">IF(G994&gt;0,H994/G994,0)</f>
        <v>-0</v>
      </c>
      <c r="L994" s="59" t="n">
        <f aca="false">H994/Settings!$B$16</f>
        <v>-0</v>
      </c>
      <c r="M994" s="59" t="n">
        <f aca="false">H994/Settings!$B$20</f>
        <v>-0</v>
      </c>
      <c r="N994" s="60" t="n">
        <f aca="false">E994*Settings!$B$3</f>
        <v>0.402819964037665</v>
      </c>
      <c r="O994" s="60" t="n">
        <f aca="false">IF(E994&gt;0,(F994-N994)/SQRT(E994*Settings!$B$3*(1-Settings!$B$3)),0)</f>
        <v>-0.644748738692841</v>
      </c>
      <c r="P994" s="60" t="n">
        <f aca="false">MAX(0,F994-N994)</f>
        <v>0</v>
      </c>
      <c r="Q994" s="32" t="n">
        <f aca="false">(F994+Settings!$B$7*Settings!$B$3)/(E994+Settings!$B$7)</f>
        <v>0.0216182449394096</v>
      </c>
      <c r="R994" s="61" t="n">
        <f aca="false">PERCENTRANK($H$2:$H$1780,H994,6)</f>
        <v>0</v>
      </c>
      <c r="S994" s="61" t="n">
        <f aca="false">PERCENTRANK($Q$2:$Q$1780,Q994,6)</f>
        <v>0.104049</v>
      </c>
      <c r="T994" s="61" t="n">
        <f aca="false">PERCENTRANK($F$2:$F$1780,F994,6)</f>
        <v>0</v>
      </c>
      <c r="U994" s="62" t="n">
        <f aca="false">IF(F994&gt;0,(Settings!$B$8*T994+Settings!$B$9*R994+Settings!$B$10*S994)/SUM(Settings!$B$8:$B$10),0)</f>
        <v>0</v>
      </c>
      <c r="V994" s="56" t="str">
        <f aca="false">IF(U994&gt;0,RANK(U994,$U$2:$U$1780)+COUNTIF($U$2:U994,U994)-1,"")</f>
        <v/>
      </c>
      <c r="W994" s="56" t="str">
        <f aca="false">IF(V994="","",IF(V994&lt;=Settings!$B$11,"1 - Fix first",IF(V994&lt;=Settings!$B$12,"2 - Review","3 - Monitor")))</f>
        <v/>
      </c>
      <c r="X994" s="56" t="str">
        <f aca="false">IF(AND(E994&gt;=Settings!$B$4,F994&gt;=Settings!$B$5,O994&gt;=Settings!$B$6),"HIGH RATE","")</f>
        <v/>
      </c>
      <c r="Y994" s="56" t="str">
        <f aca="false">IF(F994&gt;0,RANK(F994,$F$2:$F$1780)+COUNTIF($F$2:F994,F994)-1,"")</f>
        <v/>
      </c>
      <c r="Z994" s="56" t="str">
        <f aca="false">IF(H994&gt;0,RANK(H994,$H$2:$H$1780)+COUNTIF($H$2:H994,H994)-1,"")</f>
        <v/>
      </c>
      <c r="AA994" s="56" t="str">
        <f aca="false">IF(AC994="","",RANK(AC994,$AC$2:$AC$1780)+COUNTIF($AC$2:AC994,AC994)-1)</f>
        <v/>
      </c>
      <c r="AB994" s="56" t="str">
        <f aca="false">IF(AD994="","",RANK(AD994,$AD$2:$AD$1780)+COUNTIF($AD$2:AD994,AD994)-1)</f>
        <v/>
      </c>
      <c r="AC994" s="56" t="str">
        <f aca="false">IF(AND(F994&gt;0,E994&gt;=Settings!$B$4),J994,"")</f>
        <v/>
      </c>
      <c r="AD994" s="56" t="str">
        <f aca="false">IF(X994="HIGH RATE",O994,"")</f>
        <v/>
      </c>
    </row>
    <row r="995" customFormat="false" ht="15" hidden="false" customHeight="false" outlineLevel="0" collapsed="false">
      <c r="A995" s="56" t="s">
        <v>2333</v>
      </c>
      <c r="B995" s="56" t="s">
        <v>2334</v>
      </c>
      <c r="C995" s="56" t="s">
        <v>51</v>
      </c>
      <c r="D995" s="56" t="str">
        <f aca="false">IFERROR(INDEX('Brand Map'!$B$4:$B$124,MATCH(C995,'Brand Map'!$A$4:$A$124,0)),"Other")</f>
        <v>AU</v>
      </c>
      <c r="E995" s="57" t="n">
        <v>7</v>
      </c>
      <c r="F995" s="57" t="n">
        <v>0</v>
      </c>
      <c r="G995" s="58" t="n">
        <v>1169.65</v>
      </c>
      <c r="H995" s="58" t="n">
        <v>0</v>
      </c>
      <c r="I995" s="58" t="n">
        <v>1169.65</v>
      </c>
      <c r="J995" s="32" t="n">
        <f aca="false">IF(E995&gt;0,F995/E995,0)</f>
        <v>0</v>
      </c>
      <c r="K995" s="32" t="n">
        <f aca="false">IF(G995&gt;0,H995/G995,0)</f>
        <v>-0</v>
      </c>
      <c r="L995" s="59" t="n">
        <f aca="false">H995/Settings!$B$16</f>
        <v>-0</v>
      </c>
      <c r="M995" s="59" t="n">
        <f aca="false">H995/Settings!$B$20</f>
        <v>-0</v>
      </c>
      <c r="N995" s="60" t="n">
        <f aca="false">E995*Settings!$B$3</f>
        <v>0.216903057558743</v>
      </c>
      <c r="O995" s="60" t="n">
        <f aca="false">IF(E995&gt;0,(F995-N995)/SQRT(E995*Settings!$B$3*(1-Settings!$B$3)),0)</f>
        <v>-0.473116228387102</v>
      </c>
      <c r="P995" s="60" t="n">
        <f aca="false">MAX(0,F995-N995)</f>
        <v>0</v>
      </c>
      <c r="Q995" s="32" t="n">
        <f aca="false">(F995+Settings!$B$7*Settings!$B$3)/(E995+Settings!$B$7)</f>
        <v>0.0251239062809355</v>
      </c>
      <c r="R995" s="61" t="n">
        <f aca="false">PERCENTRANK($H$2:$H$1780,H995,6)</f>
        <v>0</v>
      </c>
      <c r="S995" s="61" t="n">
        <f aca="false">PERCENTRANK($Q$2:$Q$1780,Q995,6)</f>
        <v>0.168166</v>
      </c>
      <c r="T995" s="61" t="n">
        <f aca="false">PERCENTRANK($F$2:$F$1780,F995,6)</f>
        <v>0</v>
      </c>
      <c r="U995" s="62" t="n">
        <f aca="false">IF(F995&gt;0,(Settings!$B$8*T995+Settings!$B$9*R995+Settings!$B$10*S995)/SUM(Settings!$B$8:$B$10),0)</f>
        <v>0</v>
      </c>
      <c r="V995" s="56" t="str">
        <f aca="false">IF(U995&gt;0,RANK(U995,$U$2:$U$1780)+COUNTIF($U$2:U995,U995)-1,"")</f>
        <v/>
      </c>
      <c r="W995" s="56" t="str">
        <f aca="false">IF(V995="","",IF(V995&lt;=Settings!$B$11,"1 - Fix first",IF(V995&lt;=Settings!$B$12,"2 - Review","3 - Monitor")))</f>
        <v/>
      </c>
      <c r="X995" s="56" t="str">
        <f aca="false">IF(AND(E995&gt;=Settings!$B$4,F995&gt;=Settings!$B$5,O995&gt;=Settings!$B$6),"HIGH RATE","")</f>
        <v/>
      </c>
      <c r="Y995" s="56" t="str">
        <f aca="false">IF(F995&gt;0,RANK(F995,$F$2:$F$1780)+COUNTIF($F$2:F995,F995)-1,"")</f>
        <v/>
      </c>
      <c r="Z995" s="56" t="str">
        <f aca="false">IF(H995&gt;0,RANK(H995,$H$2:$H$1780)+COUNTIF($H$2:H995,H995)-1,"")</f>
        <v/>
      </c>
      <c r="AA995" s="56" t="str">
        <f aca="false">IF(AC995="","",RANK(AC995,$AC$2:$AC$1780)+COUNTIF($AC$2:AC995,AC995)-1)</f>
        <v/>
      </c>
      <c r="AB995" s="56" t="str">
        <f aca="false">IF(AD995="","",RANK(AD995,$AD$2:$AD$1780)+COUNTIF($AD$2:AD995,AD995)-1)</f>
        <v/>
      </c>
      <c r="AC995" s="56" t="str">
        <f aca="false">IF(AND(F995&gt;0,E995&gt;=Settings!$B$4),J995,"")</f>
        <v/>
      </c>
      <c r="AD995" s="56" t="str">
        <f aca="false">IF(X995="HIGH RATE",O995,"")</f>
        <v/>
      </c>
    </row>
    <row r="996" customFormat="false" ht="15" hidden="false" customHeight="false" outlineLevel="0" collapsed="false">
      <c r="A996" s="56" t="s">
        <v>2335</v>
      </c>
      <c r="B996" s="56" t="s">
        <v>2334</v>
      </c>
      <c r="C996" s="56" t="s">
        <v>51</v>
      </c>
      <c r="D996" s="56" t="str">
        <f aca="false">IFERROR(INDEX('Brand Map'!$B$4:$B$124,MATCH(C996,'Brand Map'!$A$4:$A$124,0)),"Other")</f>
        <v>AU</v>
      </c>
      <c r="E996" s="57" t="n">
        <v>4</v>
      </c>
      <c r="F996" s="57" t="n">
        <v>0</v>
      </c>
      <c r="G996" s="58" t="n">
        <v>659.8</v>
      </c>
      <c r="H996" s="58" t="n">
        <v>0</v>
      </c>
      <c r="I996" s="58" t="n">
        <v>659.8</v>
      </c>
      <c r="J996" s="32" t="n">
        <f aca="false">IF(E996&gt;0,F996/E996,0)</f>
        <v>0</v>
      </c>
      <c r="K996" s="32" t="n">
        <f aca="false">IF(G996&gt;0,H996/G996,0)</f>
        <v>-0</v>
      </c>
      <c r="L996" s="59" t="n">
        <f aca="false">H996/Settings!$B$16</f>
        <v>-0</v>
      </c>
      <c r="M996" s="59" t="n">
        <f aca="false">H996/Settings!$B$20</f>
        <v>-0</v>
      </c>
      <c r="N996" s="60" t="n">
        <f aca="false">E996*Settings!$B$3</f>
        <v>0.123944604319282</v>
      </c>
      <c r="O996" s="60" t="n">
        <f aca="false">IF(E996&gt;0,(F996-N996)/SQRT(E996*Settings!$B$3*(1-Settings!$B$3)),0)</f>
        <v>-0.357642251868888</v>
      </c>
      <c r="P996" s="60" t="n">
        <f aca="false">MAX(0,F996-N996)</f>
        <v>0</v>
      </c>
      <c r="Q996" s="32" t="n">
        <f aca="false">(F996+Settings!$B$7*Settings!$B$3)/(E996+Settings!$B$7)</f>
        <v>0.027340721541018</v>
      </c>
      <c r="R996" s="61" t="n">
        <f aca="false">PERCENTRANK($H$2:$H$1780,H996,6)</f>
        <v>0</v>
      </c>
      <c r="S996" s="61" t="n">
        <f aca="false">PERCENTRANK($Q$2:$Q$1780,Q996,6)</f>
        <v>0.253656</v>
      </c>
      <c r="T996" s="61" t="n">
        <f aca="false">PERCENTRANK($F$2:$F$1780,F996,6)</f>
        <v>0</v>
      </c>
      <c r="U996" s="62" t="n">
        <f aca="false">IF(F996&gt;0,(Settings!$B$8*T996+Settings!$B$9*R996+Settings!$B$10*S996)/SUM(Settings!$B$8:$B$10),0)</f>
        <v>0</v>
      </c>
      <c r="V996" s="56" t="str">
        <f aca="false">IF(U996&gt;0,RANK(U996,$U$2:$U$1780)+COUNTIF($U$2:U996,U996)-1,"")</f>
        <v/>
      </c>
      <c r="W996" s="56" t="str">
        <f aca="false">IF(V996="","",IF(V996&lt;=Settings!$B$11,"1 - Fix first",IF(V996&lt;=Settings!$B$12,"2 - Review","3 - Monitor")))</f>
        <v/>
      </c>
      <c r="X996" s="56" t="str">
        <f aca="false">IF(AND(E996&gt;=Settings!$B$4,F996&gt;=Settings!$B$5,O996&gt;=Settings!$B$6),"HIGH RATE","")</f>
        <v/>
      </c>
      <c r="Y996" s="56" t="str">
        <f aca="false">IF(F996&gt;0,RANK(F996,$F$2:$F$1780)+COUNTIF($F$2:F996,F996)-1,"")</f>
        <v/>
      </c>
      <c r="Z996" s="56" t="str">
        <f aca="false">IF(H996&gt;0,RANK(H996,$H$2:$H$1780)+COUNTIF($H$2:H996,H996)-1,"")</f>
        <v/>
      </c>
      <c r="AA996" s="56" t="str">
        <f aca="false">IF(AC996="","",RANK(AC996,$AC$2:$AC$1780)+COUNTIF($AC$2:AC996,AC996)-1)</f>
        <v/>
      </c>
      <c r="AB996" s="56" t="str">
        <f aca="false">IF(AD996="","",RANK(AD996,$AD$2:$AD$1780)+COUNTIF($AD$2:AD996,AD996)-1)</f>
        <v/>
      </c>
      <c r="AC996" s="56" t="str">
        <f aca="false">IF(AND(F996&gt;0,E996&gt;=Settings!$B$4),J996,"")</f>
        <v/>
      </c>
      <c r="AD996" s="56" t="str">
        <f aca="false">IF(X996="HIGH RATE",O996,"")</f>
        <v/>
      </c>
    </row>
    <row r="997" customFormat="false" ht="15" hidden="false" customHeight="false" outlineLevel="0" collapsed="false">
      <c r="A997" s="56" t="s">
        <v>2336</v>
      </c>
      <c r="B997" s="56" t="s">
        <v>2334</v>
      </c>
      <c r="C997" s="56" t="s">
        <v>51</v>
      </c>
      <c r="D997" s="56" t="str">
        <f aca="false">IFERROR(INDEX('Brand Map'!$B$4:$B$124,MATCH(C997,'Brand Map'!$A$4:$A$124,0)),"Other")</f>
        <v>AU</v>
      </c>
      <c r="E997" s="57" t="n">
        <v>1</v>
      </c>
      <c r="F997" s="57" t="n">
        <v>0</v>
      </c>
      <c r="G997" s="58" t="n">
        <v>179.95</v>
      </c>
      <c r="H997" s="58" t="n">
        <v>0</v>
      </c>
      <c r="I997" s="58" t="n">
        <v>179.95</v>
      </c>
      <c r="J997" s="32" t="n">
        <f aca="false">IF(E997&gt;0,F997/E997,0)</f>
        <v>0</v>
      </c>
      <c r="K997" s="32" t="n">
        <f aca="false">IF(G997&gt;0,H997/G997,0)</f>
        <v>-0</v>
      </c>
      <c r="L997" s="59" t="n">
        <f aca="false">H997/Settings!$B$16</f>
        <v>-0</v>
      </c>
      <c r="M997" s="59" t="n">
        <f aca="false">H997/Settings!$B$20</f>
        <v>-0</v>
      </c>
      <c r="N997" s="60" t="n">
        <f aca="false">E997*Settings!$B$3</f>
        <v>0.0309861510798204</v>
      </c>
      <c r="O997" s="60" t="n">
        <f aca="false">IF(E997&gt;0,(F997-N997)/SQRT(E997*Settings!$B$3*(1-Settings!$B$3)),0)</f>
        <v>-0.178821125934444</v>
      </c>
      <c r="P997" s="60" t="n">
        <f aca="false">MAX(0,F997-N997)</f>
        <v>0</v>
      </c>
      <c r="Q997" s="32" t="n">
        <f aca="false">(F997+Settings!$B$7*Settings!$B$3)/(E997+Settings!$B$7)</f>
        <v>0.0299865978191811</v>
      </c>
      <c r="R997" s="61" t="n">
        <f aca="false">PERCENTRANK($H$2:$H$1780,H997,6)</f>
        <v>0</v>
      </c>
      <c r="S997" s="61" t="n">
        <f aca="false">PERCENTRANK($Q$2:$Q$1780,Q997,6)</f>
        <v>0.486502</v>
      </c>
      <c r="T997" s="61" t="n">
        <f aca="false">PERCENTRANK($F$2:$F$1780,F997,6)</f>
        <v>0</v>
      </c>
      <c r="U997" s="62" t="n">
        <f aca="false">IF(F997&gt;0,(Settings!$B$8*T997+Settings!$B$9*R997+Settings!$B$10*S997)/SUM(Settings!$B$8:$B$10),0)</f>
        <v>0</v>
      </c>
      <c r="V997" s="56" t="str">
        <f aca="false">IF(U997&gt;0,RANK(U997,$U$2:$U$1780)+COUNTIF($U$2:U997,U997)-1,"")</f>
        <v/>
      </c>
      <c r="W997" s="56" t="str">
        <f aca="false">IF(V997="","",IF(V997&lt;=Settings!$B$11,"1 - Fix first",IF(V997&lt;=Settings!$B$12,"2 - Review","3 - Monitor")))</f>
        <v/>
      </c>
      <c r="X997" s="56" t="str">
        <f aca="false">IF(AND(E997&gt;=Settings!$B$4,F997&gt;=Settings!$B$5,O997&gt;=Settings!$B$6),"HIGH RATE","")</f>
        <v/>
      </c>
      <c r="Y997" s="56" t="str">
        <f aca="false">IF(F997&gt;0,RANK(F997,$F$2:$F$1780)+COUNTIF($F$2:F997,F997)-1,"")</f>
        <v/>
      </c>
      <c r="Z997" s="56" t="str">
        <f aca="false">IF(H997&gt;0,RANK(H997,$H$2:$H$1780)+COUNTIF($H$2:H997,H997)-1,"")</f>
        <v/>
      </c>
      <c r="AA997" s="56" t="str">
        <f aca="false">IF(AC997="","",RANK(AC997,$AC$2:$AC$1780)+COUNTIF($AC$2:AC997,AC997)-1)</f>
        <v/>
      </c>
      <c r="AB997" s="56" t="str">
        <f aca="false">IF(AD997="","",RANK(AD997,$AD$2:$AD$1780)+COUNTIF($AD$2:AD997,AD997)-1)</f>
        <v/>
      </c>
      <c r="AC997" s="56" t="str">
        <f aca="false">IF(AND(F997&gt;0,E997&gt;=Settings!$B$4),J997,"")</f>
        <v/>
      </c>
      <c r="AD997" s="56" t="str">
        <f aca="false">IF(X997="HIGH RATE",O997,"")</f>
        <v/>
      </c>
    </row>
    <row r="998" customFormat="false" ht="15" hidden="false" customHeight="false" outlineLevel="0" collapsed="false">
      <c r="A998" s="56" t="s">
        <v>2337</v>
      </c>
      <c r="B998" s="56" t="s">
        <v>2334</v>
      </c>
      <c r="C998" s="56" t="s">
        <v>51</v>
      </c>
      <c r="D998" s="56" t="str">
        <f aca="false">IFERROR(INDEX('Brand Map'!$B$4:$B$124,MATCH(C998,'Brand Map'!$A$4:$A$124,0)),"Other")</f>
        <v>AU</v>
      </c>
      <c r="E998" s="57" t="n">
        <v>4</v>
      </c>
      <c r="F998" s="57" t="n">
        <v>0</v>
      </c>
      <c r="G998" s="58" t="n">
        <v>779.8</v>
      </c>
      <c r="H998" s="58" t="n">
        <v>0</v>
      </c>
      <c r="I998" s="58" t="n">
        <v>779.8</v>
      </c>
      <c r="J998" s="32" t="n">
        <f aca="false">IF(E998&gt;0,F998/E998,0)</f>
        <v>0</v>
      </c>
      <c r="K998" s="32" t="n">
        <f aca="false">IF(G998&gt;0,H998/G998,0)</f>
        <v>-0</v>
      </c>
      <c r="L998" s="59" t="n">
        <f aca="false">H998/Settings!$B$16</f>
        <v>-0</v>
      </c>
      <c r="M998" s="59" t="n">
        <f aca="false">H998/Settings!$B$20</f>
        <v>-0</v>
      </c>
      <c r="N998" s="60" t="n">
        <f aca="false">E998*Settings!$B$3</f>
        <v>0.123944604319282</v>
      </c>
      <c r="O998" s="60" t="n">
        <f aca="false">IF(E998&gt;0,(F998-N998)/SQRT(E998*Settings!$B$3*(1-Settings!$B$3)),0)</f>
        <v>-0.357642251868888</v>
      </c>
      <c r="P998" s="60" t="n">
        <f aca="false">MAX(0,F998-N998)</f>
        <v>0</v>
      </c>
      <c r="Q998" s="32" t="n">
        <f aca="false">(F998+Settings!$B$7*Settings!$B$3)/(E998+Settings!$B$7)</f>
        <v>0.027340721541018</v>
      </c>
      <c r="R998" s="61" t="n">
        <f aca="false">PERCENTRANK($H$2:$H$1780,H998,6)</f>
        <v>0</v>
      </c>
      <c r="S998" s="61" t="n">
        <f aca="false">PERCENTRANK($Q$2:$Q$1780,Q998,6)</f>
        <v>0.253656</v>
      </c>
      <c r="T998" s="61" t="n">
        <f aca="false">PERCENTRANK($F$2:$F$1780,F998,6)</f>
        <v>0</v>
      </c>
      <c r="U998" s="62" t="n">
        <f aca="false">IF(F998&gt;0,(Settings!$B$8*T998+Settings!$B$9*R998+Settings!$B$10*S998)/SUM(Settings!$B$8:$B$10),0)</f>
        <v>0</v>
      </c>
      <c r="V998" s="56" t="str">
        <f aca="false">IF(U998&gt;0,RANK(U998,$U$2:$U$1780)+COUNTIF($U$2:U998,U998)-1,"")</f>
        <v/>
      </c>
      <c r="W998" s="56" t="str">
        <f aca="false">IF(V998="","",IF(V998&lt;=Settings!$B$11,"1 - Fix first",IF(V998&lt;=Settings!$B$12,"2 - Review","3 - Monitor")))</f>
        <v/>
      </c>
      <c r="X998" s="56" t="str">
        <f aca="false">IF(AND(E998&gt;=Settings!$B$4,F998&gt;=Settings!$B$5,O998&gt;=Settings!$B$6),"HIGH RATE","")</f>
        <v/>
      </c>
      <c r="Y998" s="56" t="str">
        <f aca="false">IF(F998&gt;0,RANK(F998,$F$2:$F$1780)+COUNTIF($F$2:F998,F998)-1,"")</f>
        <v/>
      </c>
      <c r="Z998" s="56" t="str">
        <f aca="false">IF(H998&gt;0,RANK(H998,$H$2:$H$1780)+COUNTIF($H$2:H998,H998)-1,"")</f>
        <v/>
      </c>
      <c r="AA998" s="56" t="str">
        <f aca="false">IF(AC998="","",RANK(AC998,$AC$2:$AC$1780)+COUNTIF($AC$2:AC998,AC998)-1)</f>
        <v/>
      </c>
      <c r="AB998" s="56" t="str">
        <f aca="false">IF(AD998="","",RANK(AD998,$AD$2:$AD$1780)+COUNTIF($AD$2:AD998,AD998)-1)</f>
        <v/>
      </c>
      <c r="AC998" s="56" t="str">
        <f aca="false">IF(AND(F998&gt;0,E998&gt;=Settings!$B$4),J998,"")</f>
        <v/>
      </c>
      <c r="AD998" s="56" t="str">
        <f aca="false">IF(X998="HIGH RATE",O998,"")</f>
        <v/>
      </c>
    </row>
    <row r="999" customFormat="false" ht="15" hidden="false" customHeight="false" outlineLevel="0" collapsed="false">
      <c r="A999" s="56" t="s">
        <v>2338</v>
      </c>
      <c r="B999" s="56" t="s">
        <v>2334</v>
      </c>
      <c r="C999" s="56" t="s">
        <v>51</v>
      </c>
      <c r="D999" s="56" t="str">
        <f aca="false">IFERROR(INDEX('Brand Map'!$B$4:$B$124,MATCH(C999,'Brand Map'!$A$4:$A$124,0)),"Other")</f>
        <v>AU</v>
      </c>
      <c r="E999" s="57" t="n">
        <v>1</v>
      </c>
      <c r="F999" s="57" t="n">
        <v>0</v>
      </c>
      <c r="G999" s="58" t="n">
        <v>149.95</v>
      </c>
      <c r="H999" s="58" t="n">
        <v>0</v>
      </c>
      <c r="I999" s="58" t="n">
        <v>149.95</v>
      </c>
      <c r="J999" s="32" t="n">
        <f aca="false">IF(E999&gt;0,F999/E999,0)</f>
        <v>0</v>
      </c>
      <c r="K999" s="32" t="n">
        <f aca="false">IF(G999&gt;0,H999/G999,0)</f>
        <v>-0</v>
      </c>
      <c r="L999" s="59" t="n">
        <f aca="false">H999/Settings!$B$16</f>
        <v>-0</v>
      </c>
      <c r="M999" s="59" t="n">
        <f aca="false">H999/Settings!$B$20</f>
        <v>-0</v>
      </c>
      <c r="N999" s="60" t="n">
        <f aca="false">E999*Settings!$B$3</f>
        <v>0.0309861510798204</v>
      </c>
      <c r="O999" s="60" t="n">
        <f aca="false">IF(E999&gt;0,(F999-N999)/SQRT(E999*Settings!$B$3*(1-Settings!$B$3)),0)</f>
        <v>-0.178821125934444</v>
      </c>
      <c r="P999" s="60" t="n">
        <f aca="false">MAX(0,F999-N999)</f>
        <v>0</v>
      </c>
      <c r="Q999" s="32" t="n">
        <f aca="false">(F999+Settings!$B$7*Settings!$B$3)/(E999+Settings!$B$7)</f>
        <v>0.0299865978191811</v>
      </c>
      <c r="R999" s="61" t="n">
        <f aca="false">PERCENTRANK($H$2:$H$1780,H999,6)</f>
        <v>0</v>
      </c>
      <c r="S999" s="61" t="n">
        <f aca="false">PERCENTRANK($Q$2:$Q$1780,Q999,6)</f>
        <v>0.486502</v>
      </c>
      <c r="T999" s="61" t="n">
        <f aca="false">PERCENTRANK($F$2:$F$1780,F999,6)</f>
        <v>0</v>
      </c>
      <c r="U999" s="62" t="n">
        <f aca="false">IF(F999&gt;0,(Settings!$B$8*T999+Settings!$B$9*R999+Settings!$B$10*S999)/SUM(Settings!$B$8:$B$10),0)</f>
        <v>0</v>
      </c>
      <c r="V999" s="56" t="str">
        <f aca="false">IF(U999&gt;0,RANK(U999,$U$2:$U$1780)+COUNTIF($U$2:U999,U999)-1,"")</f>
        <v/>
      </c>
      <c r="W999" s="56" t="str">
        <f aca="false">IF(V999="","",IF(V999&lt;=Settings!$B$11,"1 - Fix first",IF(V999&lt;=Settings!$B$12,"2 - Review","3 - Monitor")))</f>
        <v/>
      </c>
      <c r="X999" s="56" t="str">
        <f aca="false">IF(AND(E999&gt;=Settings!$B$4,F999&gt;=Settings!$B$5,O999&gt;=Settings!$B$6),"HIGH RATE","")</f>
        <v/>
      </c>
      <c r="Y999" s="56" t="str">
        <f aca="false">IF(F999&gt;0,RANK(F999,$F$2:$F$1780)+COUNTIF($F$2:F999,F999)-1,"")</f>
        <v/>
      </c>
      <c r="Z999" s="56" t="str">
        <f aca="false">IF(H999&gt;0,RANK(H999,$H$2:$H$1780)+COUNTIF($H$2:H999,H999)-1,"")</f>
        <v/>
      </c>
      <c r="AA999" s="56" t="str">
        <f aca="false">IF(AC999="","",RANK(AC999,$AC$2:$AC$1780)+COUNTIF($AC$2:AC999,AC999)-1)</f>
        <v/>
      </c>
      <c r="AB999" s="56" t="str">
        <f aca="false">IF(AD999="","",RANK(AD999,$AD$2:$AD$1780)+COUNTIF($AD$2:AD999,AD999)-1)</f>
        <v/>
      </c>
      <c r="AC999" s="56" t="str">
        <f aca="false">IF(AND(F999&gt;0,E999&gt;=Settings!$B$4),J999,"")</f>
        <v/>
      </c>
      <c r="AD999" s="56" t="str">
        <f aca="false">IF(X999="HIGH RATE",O999,"")</f>
        <v/>
      </c>
    </row>
    <row r="1000" customFormat="false" ht="15" hidden="false" customHeight="false" outlineLevel="0" collapsed="false">
      <c r="A1000" s="56" t="s">
        <v>2339</v>
      </c>
      <c r="B1000" s="56" t="s">
        <v>2340</v>
      </c>
      <c r="C1000" s="56" t="s">
        <v>51</v>
      </c>
      <c r="D1000" s="56" t="str">
        <f aca="false">IFERROR(INDEX('Brand Map'!$B$4:$B$124,MATCH(C1000,'Brand Map'!$A$4:$A$124,0)),"Other")</f>
        <v>AU</v>
      </c>
      <c r="E1000" s="57" t="n">
        <v>5</v>
      </c>
      <c r="F1000" s="57" t="n">
        <v>0</v>
      </c>
      <c r="G1000" s="58" t="n">
        <v>824.75</v>
      </c>
      <c r="H1000" s="58" t="n">
        <v>0</v>
      </c>
      <c r="I1000" s="58" t="n">
        <v>824.75</v>
      </c>
      <c r="J1000" s="32" t="n">
        <f aca="false">IF(E1000&gt;0,F1000/E1000,0)</f>
        <v>0</v>
      </c>
      <c r="K1000" s="32" t="n">
        <f aca="false">IF(G1000&gt;0,H1000/G1000,0)</f>
        <v>-0</v>
      </c>
      <c r="L1000" s="59" t="n">
        <f aca="false">H1000/Settings!$B$16</f>
        <v>-0</v>
      </c>
      <c r="M1000" s="59" t="n">
        <f aca="false">H1000/Settings!$B$20</f>
        <v>-0</v>
      </c>
      <c r="N1000" s="60" t="n">
        <f aca="false">E1000*Settings!$B$3</f>
        <v>0.154930755399102</v>
      </c>
      <c r="O1000" s="60" t="n">
        <f aca="false">IF(E1000&gt;0,(F1000-N1000)/SQRT(E1000*Settings!$B$3*(1-Settings!$B$3)),0)</f>
        <v>-0.399856193402468</v>
      </c>
      <c r="P1000" s="60" t="n">
        <f aca="false">MAX(0,F1000-N1000)</f>
        <v>0</v>
      </c>
      <c r="Q1000" s="32" t="n">
        <f aca="false">(F1000+Settings!$B$7*Settings!$B$3)/(E1000+Settings!$B$7)</f>
        <v>0.0265595580684175</v>
      </c>
      <c r="R1000" s="61" t="n">
        <f aca="false">PERCENTRANK($H$2:$H$1780,H1000,6)</f>
        <v>0</v>
      </c>
      <c r="S1000" s="61" t="n">
        <f aca="false">PERCENTRANK($Q$2:$Q$1780,Q1000,6)</f>
        <v>0.220472</v>
      </c>
      <c r="T1000" s="61" t="n">
        <f aca="false">PERCENTRANK($F$2:$F$1780,F1000,6)</f>
        <v>0</v>
      </c>
      <c r="U1000" s="62" t="n">
        <f aca="false">IF(F1000&gt;0,(Settings!$B$8*T1000+Settings!$B$9*R1000+Settings!$B$10*S1000)/SUM(Settings!$B$8:$B$10),0)</f>
        <v>0</v>
      </c>
      <c r="V1000" s="56" t="str">
        <f aca="false">IF(U1000&gt;0,RANK(U1000,$U$2:$U$1780)+COUNTIF($U$2:U1000,U1000)-1,"")</f>
        <v/>
      </c>
      <c r="W1000" s="56" t="str">
        <f aca="false">IF(V1000="","",IF(V1000&lt;=Settings!$B$11,"1 - Fix first",IF(V1000&lt;=Settings!$B$12,"2 - Review","3 - Monitor")))</f>
        <v/>
      </c>
      <c r="X1000" s="56" t="str">
        <f aca="false">IF(AND(E1000&gt;=Settings!$B$4,F1000&gt;=Settings!$B$5,O1000&gt;=Settings!$B$6),"HIGH RATE","")</f>
        <v/>
      </c>
      <c r="Y1000" s="56" t="str">
        <f aca="false">IF(F1000&gt;0,RANK(F1000,$F$2:$F$1780)+COUNTIF($F$2:F1000,F1000)-1,"")</f>
        <v/>
      </c>
      <c r="Z1000" s="56" t="str">
        <f aca="false">IF(H1000&gt;0,RANK(H1000,$H$2:$H$1780)+COUNTIF($H$2:H1000,H1000)-1,"")</f>
        <v/>
      </c>
      <c r="AA1000" s="56" t="str">
        <f aca="false">IF(AC1000="","",RANK(AC1000,$AC$2:$AC$1780)+COUNTIF($AC$2:AC1000,AC1000)-1)</f>
        <v/>
      </c>
      <c r="AB1000" s="56" t="str">
        <f aca="false">IF(AD1000="","",RANK(AD1000,$AD$2:$AD$1780)+COUNTIF($AD$2:AD1000,AD1000)-1)</f>
        <v/>
      </c>
      <c r="AC1000" s="56" t="str">
        <f aca="false">IF(AND(F1000&gt;0,E1000&gt;=Settings!$B$4),J1000,"")</f>
        <v/>
      </c>
      <c r="AD1000" s="56" t="str">
        <f aca="false">IF(X1000="HIGH RATE",O1000,"")</f>
        <v/>
      </c>
    </row>
    <row r="1001" customFormat="false" ht="15" hidden="false" customHeight="false" outlineLevel="0" collapsed="false">
      <c r="A1001" s="56" t="s">
        <v>2341</v>
      </c>
      <c r="B1001" s="56" t="s">
        <v>1169</v>
      </c>
      <c r="C1001" s="56" t="s">
        <v>51</v>
      </c>
      <c r="D1001" s="56" t="str">
        <f aca="false">IFERROR(INDEX('Brand Map'!$B$4:$B$124,MATCH(C1001,'Brand Map'!$A$4:$A$124,0)),"Other")</f>
        <v>AU</v>
      </c>
      <c r="E1001" s="57" t="n">
        <v>1</v>
      </c>
      <c r="F1001" s="57" t="n">
        <v>0</v>
      </c>
      <c r="G1001" s="58" t="n">
        <v>107.95</v>
      </c>
      <c r="H1001" s="58" t="n">
        <v>0</v>
      </c>
      <c r="I1001" s="58" t="n">
        <v>107.95</v>
      </c>
      <c r="J1001" s="32" t="n">
        <f aca="false">IF(E1001&gt;0,F1001/E1001,0)</f>
        <v>0</v>
      </c>
      <c r="K1001" s="32" t="n">
        <f aca="false">IF(G1001&gt;0,H1001/G1001,0)</f>
        <v>-0</v>
      </c>
      <c r="L1001" s="59" t="n">
        <f aca="false">H1001/Settings!$B$16</f>
        <v>-0</v>
      </c>
      <c r="M1001" s="59" t="n">
        <f aca="false">H1001/Settings!$B$20</f>
        <v>-0</v>
      </c>
      <c r="N1001" s="60" t="n">
        <f aca="false">E1001*Settings!$B$3</f>
        <v>0.0309861510798204</v>
      </c>
      <c r="O1001" s="60" t="n">
        <f aca="false">IF(E1001&gt;0,(F1001-N1001)/SQRT(E1001*Settings!$B$3*(1-Settings!$B$3)),0)</f>
        <v>-0.178821125934444</v>
      </c>
      <c r="P1001" s="60" t="n">
        <f aca="false">MAX(0,F1001-N1001)</f>
        <v>0</v>
      </c>
      <c r="Q1001" s="32" t="n">
        <f aca="false">(F1001+Settings!$B$7*Settings!$B$3)/(E1001+Settings!$B$7)</f>
        <v>0.0299865978191811</v>
      </c>
      <c r="R1001" s="61" t="n">
        <f aca="false">PERCENTRANK($H$2:$H$1780,H1001,6)</f>
        <v>0</v>
      </c>
      <c r="S1001" s="61" t="n">
        <f aca="false">PERCENTRANK($Q$2:$Q$1780,Q1001,6)</f>
        <v>0.486502</v>
      </c>
      <c r="T1001" s="61" t="n">
        <f aca="false">PERCENTRANK($F$2:$F$1780,F1001,6)</f>
        <v>0</v>
      </c>
      <c r="U1001" s="62" t="n">
        <f aca="false">IF(F1001&gt;0,(Settings!$B$8*T1001+Settings!$B$9*R1001+Settings!$B$10*S1001)/SUM(Settings!$B$8:$B$10),0)</f>
        <v>0</v>
      </c>
      <c r="V1001" s="56" t="str">
        <f aca="false">IF(U1001&gt;0,RANK(U1001,$U$2:$U$1780)+COUNTIF($U$2:U1001,U1001)-1,"")</f>
        <v/>
      </c>
      <c r="W1001" s="56" t="str">
        <f aca="false">IF(V1001="","",IF(V1001&lt;=Settings!$B$11,"1 - Fix first",IF(V1001&lt;=Settings!$B$12,"2 - Review","3 - Monitor")))</f>
        <v/>
      </c>
      <c r="X1001" s="56" t="str">
        <f aca="false">IF(AND(E1001&gt;=Settings!$B$4,F1001&gt;=Settings!$B$5,O1001&gt;=Settings!$B$6),"HIGH RATE","")</f>
        <v/>
      </c>
      <c r="Y1001" s="56" t="str">
        <f aca="false">IF(F1001&gt;0,RANK(F1001,$F$2:$F$1780)+COUNTIF($F$2:F1001,F1001)-1,"")</f>
        <v/>
      </c>
      <c r="Z1001" s="56" t="str">
        <f aca="false">IF(H1001&gt;0,RANK(H1001,$H$2:$H$1780)+COUNTIF($H$2:H1001,H1001)-1,"")</f>
        <v/>
      </c>
      <c r="AA1001" s="56" t="str">
        <f aca="false">IF(AC1001="","",RANK(AC1001,$AC$2:$AC$1780)+COUNTIF($AC$2:AC1001,AC1001)-1)</f>
        <v/>
      </c>
      <c r="AB1001" s="56" t="str">
        <f aca="false">IF(AD1001="","",RANK(AD1001,$AD$2:$AD$1780)+COUNTIF($AD$2:AD1001,AD1001)-1)</f>
        <v/>
      </c>
      <c r="AC1001" s="56" t="str">
        <f aca="false">IF(AND(F1001&gt;0,E1001&gt;=Settings!$B$4),J1001,"")</f>
        <v/>
      </c>
      <c r="AD1001" s="56" t="str">
        <f aca="false">IF(X1001="HIGH RATE",O1001,"")</f>
        <v/>
      </c>
    </row>
    <row r="1002" customFormat="false" ht="15" hidden="false" customHeight="false" outlineLevel="0" collapsed="false">
      <c r="A1002" s="56" t="s">
        <v>2342</v>
      </c>
      <c r="B1002" s="56" t="s">
        <v>1324</v>
      </c>
      <c r="C1002" s="56" t="s">
        <v>51</v>
      </c>
      <c r="D1002" s="56" t="str">
        <f aca="false">IFERROR(INDEX('Brand Map'!$B$4:$B$124,MATCH(C1002,'Brand Map'!$A$4:$A$124,0)),"Other")</f>
        <v>AU</v>
      </c>
      <c r="E1002" s="57" t="n">
        <v>9</v>
      </c>
      <c r="F1002" s="57" t="n">
        <v>0</v>
      </c>
      <c r="G1002" s="58" t="n">
        <v>1168.55</v>
      </c>
      <c r="H1002" s="58" t="n">
        <v>0</v>
      </c>
      <c r="I1002" s="58" t="n">
        <v>1127.17</v>
      </c>
      <c r="J1002" s="32" t="n">
        <f aca="false">IF(E1002&gt;0,F1002/E1002,0)</f>
        <v>0</v>
      </c>
      <c r="K1002" s="32" t="n">
        <f aca="false">IF(G1002&gt;0,H1002/G1002,0)</f>
        <v>-0</v>
      </c>
      <c r="L1002" s="59" t="n">
        <f aca="false">H1002/Settings!$B$16</f>
        <v>-0</v>
      </c>
      <c r="M1002" s="59" t="n">
        <f aca="false">H1002/Settings!$B$20</f>
        <v>-0</v>
      </c>
      <c r="N1002" s="60" t="n">
        <f aca="false">E1002*Settings!$B$3</f>
        <v>0.278875359718384</v>
      </c>
      <c r="O1002" s="60" t="n">
        <f aca="false">IF(E1002&gt;0,(F1002-N1002)/SQRT(E1002*Settings!$B$3*(1-Settings!$B$3)),0)</f>
        <v>-0.536463377803332</v>
      </c>
      <c r="P1002" s="60" t="n">
        <f aca="false">MAX(0,F1002-N1002)</f>
        <v>0</v>
      </c>
      <c r="Q1002" s="32" t="n">
        <f aca="false">(F1002+Settings!$B$7*Settings!$B$3)/(E1002+Settings!$B$7)</f>
        <v>0.0238355008306311</v>
      </c>
      <c r="R1002" s="61" t="n">
        <f aca="false">PERCENTRANK($H$2:$H$1780,H1002,6)</f>
        <v>0</v>
      </c>
      <c r="S1002" s="61" t="n">
        <f aca="false">PERCENTRANK($Q$2:$Q$1780,Q1002,6)</f>
        <v>0.142857</v>
      </c>
      <c r="T1002" s="61" t="n">
        <f aca="false">PERCENTRANK($F$2:$F$1780,F1002,6)</f>
        <v>0</v>
      </c>
      <c r="U1002" s="62" t="n">
        <f aca="false">IF(F1002&gt;0,(Settings!$B$8*T1002+Settings!$B$9*R1002+Settings!$B$10*S1002)/SUM(Settings!$B$8:$B$10),0)</f>
        <v>0</v>
      </c>
      <c r="V1002" s="56" t="str">
        <f aca="false">IF(U1002&gt;0,RANK(U1002,$U$2:$U$1780)+COUNTIF($U$2:U1002,U1002)-1,"")</f>
        <v/>
      </c>
      <c r="W1002" s="56" t="str">
        <f aca="false">IF(V1002="","",IF(V1002&lt;=Settings!$B$11,"1 - Fix first",IF(V1002&lt;=Settings!$B$12,"2 - Review","3 - Monitor")))</f>
        <v/>
      </c>
      <c r="X1002" s="56" t="str">
        <f aca="false">IF(AND(E1002&gt;=Settings!$B$4,F1002&gt;=Settings!$B$5,O1002&gt;=Settings!$B$6),"HIGH RATE","")</f>
        <v/>
      </c>
      <c r="Y1002" s="56" t="str">
        <f aca="false">IF(F1002&gt;0,RANK(F1002,$F$2:$F$1780)+COUNTIF($F$2:F1002,F1002)-1,"")</f>
        <v/>
      </c>
      <c r="Z1002" s="56" t="str">
        <f aca="false">IF(H1002&gt;0,RANK(H1002,$H$2:$H$1780)+COUNTIF($H$2:H1002,H1002)-1,"")</f>
        <v/>
      </c>
      <c r="AA1002" s="56" t="str">
        <f aca="false">IF(AC1002="","",RANK(AC1002,$AC$2:$AC$1780)+COUNTIF($AC$2:AC1002,AC1002)-1)</f>
        <v/>
      </c>
      <c r="AB1002" s="56" t="str">
        <f aca="false">IF(AD1002="","",RANK(AD1002,$AD$2:$AD$1780)+COUNTIF($AD$2:AD1002,AD1002)-1)</f>
        <v/>
      </c>
      <c r="AC1002" s="56" t="str">
        <f aca="false">IF(AND(F1002&gt;0,E1002&gt;=Settings!$B$4),J1002,"")</f>
        <v/>
      </c>
      <c r="AD1002" s="56" t="str">
        <f aca="false">IF(X1002="HIGH RATE",O1002,"")</f>
        <v/>
      </c>
    </row>
    <row r="1003" customFormat="false" ht="15" hidden="false" customHeight="false" outlineLevel="0" collapsed="false">
      <c r="A1003" s="56" t="s">
        <v>2343</v>
      </c>
      <c r="B1003" s="56" t="s">
        <v>2344</v>
      </c>
      <c r="C1003" s="56" t="s">
        <v>51</v>
      </c>
      <c r="D1003" s="56" t="str">
        <f aca="false">IFERROR(INDEX('Brand Map'!$B$4:$B$124,MATCH(C1003,'Brand Map'!$A$4:$A$124,0)),"Other")</f>
        <v>AU</v>
      </c>
      <c r="E1003" s="57" t="n">
        <v>1</v>
      </c>
      <c r="F1003" s="57" t="n">
        <v>0</v>
      </c>
      <c r="G1003" s="58" t="n">
        <v>94.95</v>
      </c>
      <c r="H1003" s="58" t="n">
        <v>0</v>
      </c>
      <c r="I1003" s="58" t="n">
        <v>94.95</v>
      </c>
      <c r="J1003" s="32" t="n">
        <f aca="false">IF(E1003&gt;0,F1003/E1003,0)</f>
        <v>0</v>
      </c>
      <c r="K1003" s="32" t="n">
        <f aca="false">IF(G1003&gt;0,H1003/G1003,0)</f>
        <v>-0</v>
      </c>
      <c r="L1003" s="59" t="n">
        <f aca="false">H1003/Settings!$B$16</f>
        <v>-0</v>
      </c>
      <c r="M1003" s="59" t="n">
        <f aca="false">H1003/Settings!$B$20</f>
        <v>-0</v>
      </c>
      <c r="N1003" s="60" t="n">
        <f aca="false">E1003*Settings!$B$3</f>
        <v>0.0309861510798204</v>
      </c>
      <c r="O1003" s="60" t="n">
        <f aca="false">IF(E1003&gt;0,(F1003-N1003)/SQRT(E1003*Settings!$B$3*(1-Settings!$B$3)),0)</f>
        <v>-0.178821125934444</v>
      </c>
      <c r="P1003" s="60" t="n">
        <f aca="false">MAX(0,F1003-N1003)</f>
        <v>0</v>
      </c>
      <c r="Q1003" s="32" t="n">
        <f aca="false">(F1003+Settings!$B$7*Settings!$B$3)/(E1003+Settings!$B$7)</f>
        <v>0.0299865978191811</v>
      </c>
      <c r="R1003" s="61" t="n">
        <f aca="false">PERCENTRANK($H$2:$H$1780,H1003,6)</f>
        <v>0</v>
      </c>
      <c r="S1003" s="61" t="n">
        <f aca="false">PERCENTRANK($Q$2:$Q$1780,Q1003,6)</f>
        <v>0.486502</v>
      </c>
      <c r="T1003" s="61" t="n">
        <f aca="false">PERCENTRANK($F$2:$F$1780,F1003,6)</f>
        <v>0</v>
      </c>
      <c r="U1003" s="62" t="n">
        <f aca="false">IF(F1003&gt;0,(Settings!$B$8*T1003+Settings!$B$9*R1003+Settings!$B$10*S1003)/SUM(Settings!$B$8:$B$10),0)</f>
        <v>0</v>
      </c>
      <c r="V1003" s="56" t="str">
        <f aca="false">IF(U1003&gt;0,RANK(U1003,$U$2:$U$1780)+COUNTIF($U$2:U1003,U1003)-1,"")</f>
        <v/>
      </c>
      <c r="W1003" s="56" t="str">
        <f aca="false">IF(V1003="","",IF(V1003&lt;=Settings!$B$11,"1 - Fix first",IF(V1003&lt;=Settings!$B$12,"2 - Review","3 - Monitor")))</f>
        <v/>
      </c>
      <c r="X1003" s="56" t="str">
        <f aca="false">IF(AND(E1003&gt;=Settings!$B$4,F1003&gt;=Settings!$B$5,O1003&gt;=Settings!$B$6),"HIGH RATE","")</f>
        <v/>
      </c>
      <c r="Y1003" s="56" t="str">
        <f aca="false">IF(F1003&gt;0,RANK(F1003,$F$2:$F$1780)+COUNTIF($F$2:F1003,F1003)-1,"")</f>
        <v/>
      </c>
      <c r="Z1003" s="56" t="str">
        <f aca="false">IF(H1003&gt;0,RANK(H1003,$H$2:$H$1780)+COUNTIF($H$2:H1003,H1003)-1,"")</f>
        <v/>
      </c>
      <c r="AA1003" s="56" t="str">
        <f aca="false">IF(AC1003="","",RANK(AC1003,$AC$2:$AC$1780)+COUNTIF($AC$2:AC1003,AC1003)-1)</f>
        <v/>
      </c>
      <c r="AB1003" s="56" t="str">
        <f aca="false">IF(AD1003="","",RANK(AD1003,$AD$2:$AD$1780)+COUNTIF($AD$2:AD1003,AD1003)-1)</f>
        <v/>
      </c>
      <c r="AC1003" s="56" t="str">
        <f aca="false">IF(AND(F1003&gt;0,E1003&gt;=Settings!$B$4),J1003,"")</f>
        <v/>
      </c>
      <c r="AD1003" s="56" t="str">
        <f aca="false">IF(X1003="HIGH RATE",O1003,"")</f>
        <v/>
      </c>
    </row>
    <row r="1004" customFormat="false" ht="15" hidden="false" customHeight="false" outlineLevel="0" collapsed="false">
      <c r="A1004" s="56" t="s">
        <v>2345</v>
      </c>
      <c r="B1004" s="56" t="s">
        <v>2344</v>
      </c>
      <c r="C1004" s="56" t="s">
        <v>51</v>
      </c>
      <c r="D1004" s="56" t="str">
        <f aca="false">IFERROR(INDEX('Brand Map'!$B$4:$B$124,MATCH(C1004,'Brand Map'!$A$4:$A$124,0)),"Other")</f>
        <v>AU</v>
      </c>
      <c r="E1004" s="57" t="n">
        <v>1</v>
      </c>
      <c r="F1004" s="57" t="n">
        <v>0</v>
      </c>
      <c r="G1004" s="58" t="n">
        <v>79.95</v>
      </c>
      <c r="H1004" s="58" t="n">
        <v>0</v>
      </c>
      <c r="I1004" s="58" t="n">
        <v>79.95</v>
      </c>
      <c r="J1004" s="32" t="n">
        <f aca="false">IF(E1004&gt;0,F1004/E1004,0)</f>
        <v>0</v>
      </c>
      <c r="K1004" s="32" t="n">
        <f aca="false">IF(G1004&gt;0,H1004/G1004,0)</f>
        <v>-0</v>
      </c>
      <c r="L1004" s="59" t="n">
        <f aca="false">H1004/Settings!$B$16</f>
        <v>-0</v>
      </c>
      <c r="M1004" s="59" t="n">
        <f aca="false">H1004/Settings!$B$20</f>
        <v>-0</v>
      </c>
      <c r="N1004" s="60" t="n">
        <f aca="false">E1004*Settings!$B$3</f>
        <v>0.0309861510798204</v>
      </c>
      <c r="O1004" s="60" t="n">
        <f aca="false">IF(E1004&gt;0,(F1004-N1004)/SQRT(E1004*Settings!$B$3*(1-Settings!$B$3)),0)</f>
        <v>-0.178821125934444</v>
      </c>
      <c r="P1004" s="60" t="n">
        <f aca="false">MAX(0,F1004-N1004)</f>
        <v>0</v>
      </c>
      <c r="Q1004" s="32" t="n">
        <f aca="false">(F1004+Settings!$B$7*Settings!$B$3)/(E1004+Settings!$B$7)</f>
        <v>0.0299865978191811</v>
      </c>
      <c r="R1004" s="61" t="n">
        <f aca="false">PERCENTRANK($H$2:$H$1780,H1004,6)</f>
        <v>0</v>
      </c>
      <c r="S1004" s="61" t="n">
        <f aca="false">PERCENTRANK($Q$2:$Q$1780,Q1004,6)</f>
        <v>0.486502</v>
      </c>
      <c r="T1004" s="61" t="n">
        <f aca="false">PERCENTRANK($F$2:$F$1780,F1004,6)</f>
        <v>0</v>
      </c>
      <c r="U1004" s="62" t="n">
        <f aca="false">IF(F1004&gt;0,(Settings!$B$8*T1004+Settings!$B$9*R1004+Settings!$B$10*S1004)/SUM(Settings!$B$8:$B$10),0)</f>
        <v>0</v>
      </c>
      <c r="V1004" s="56" t="str">
        <f aca="false">IF(U1004&gt;0,RANK(U1004,$U$2:$U$1780)+COUNTIF($U$2:U1004,U1004)-1,"")</f>
        <v/>
      </c>
      <c r="W1004" s="56" t="str">
        <f aca="false">IF(V1004="","",IF(V1004&lt;=Settings!$B$11,"1 - Fix first",IF(V1004&lt;=Settings!$B$12,"2 - Review","3 - Monitor")))</f>
        <v/>
      </c>
      <c r="X1004" s="56" t="str">
        <f aca="false">IF(AND(E1004&gt;=Settings!$B$4,F1004&gt;=Settings!$B$5,O1004&gt;=Settings!$B$6),"HIGH RATE","")</f>
        <v/>
      </c>
      <c r="Y1004" s="56" t="str">
        <f aca="false">IF(F1004&gt;0,RANK(F1004,$F$2:$F$1780)+COUNTIF($F$2:F1004,F1004)-1,"")</f>
        <v/>
      </c>
      <c r="Z1004" s="56" t="str">
        <f aca="false">IF(H1004&gt;0,RANK(H1004,$H$2:$H$1780)+COUNTIF($H$2:H1004,H1004)-1,"")</f>
        <v/>
      </c>
      <c r="AA1004" s="56" t="str">
        <f aca="false">IF(AC1004="","",RANK(AC1004,$AC$2:$AC$1780)+COUNTIF($AC$2:AC1004,AC1004)-1)</f>
        <v/>
      </c>
      <c r="AB1004" s="56" t="str">
        <f aca="false">IF(AD1004="","",RANK(AD1004,$AD$2:$AD$1780)+COUNTIF($AD$2:AD1004,AD1004)-1)</f>
        <v/>
      </c>
      <c r="AC1004" s="56" t="str">
        <f aca="false">IF(AND(F1004&gt;0,E1004&gt;=Settings!$B$4),J1004,"")</f>
        <v/>
      </c>
      <c r="AD1004" s="56" t="str">
        <f aca="false">IF(X1004="HIGH RATE",O1004,"")</f>
        <v/>
      </c>
    </row>
    <row r="1005" customFormat="false" ht="15" hidden="false" customHeight="false" outlineLevel="0" collapsed="false">
      <c r="A1005" s="56" t="s">
        <v>2346</v>
      </c>
      <c r="B1005" s="56" t="s">
        <v>2347</v>
      </c>
      <c r="C1005" s="56" t="s">
        <v>51</v>
      </c>
      <c r="D1005" s="56" t="str">
        <f aca="false">IFERROR(INDEX('Brand Map'!$B$4:$B$124,MATCH(C1005,'Brand Map'!$A$4:$A$124,0)),"Other")</f>
        <v>AU</v>
      </c>
      <c r="E1005" s="57" t="n">
        <v>1</v>
      </c>
      <c r="F1005" s="57" t="n">
        <v>0</v>
      </c>
      <c r="G1005" s="58" t="n">
        <v>109.95</v>
      </c>
      <c r="H1005" s="58" t="n">
        <v>0</v>
      </c>
      <c r="I1005" s="58" t="n">
        <v>109.95</v>
      </c>
      <c r="J1005" s="32" t="n">
        <f aca="false">IF(E1005&gt;0,F1005/E1005,0)</f>
        <v>0</v>
      </c>
      <c r="K1005" s="32" t="n">
        <f aca="false">IF(G1005&gt;0,H1005/G1005,0)</f>
        <v>-0</v>
      </c>
      <c r="L1005" s="59" t="n">
        <f aca="false">H1005/Settings!$B$16</f>
        <v>-0</v>
      </c>
      <c r="M1005" s="59" t="n">
        <f aca="false">H1005/Settings!$B$20</f>
        <v>-0</v>
      </c>
      <c r="N1005" s="60" t="n">
        <f aca="false">E1005*Settings!$B$3</f>
        <v>0.0309861510798204</v>
      </c>
      <c r="O1005" s="60" t="n">
        <f aca="false">IF(E1005&gt;0,(F1005-N1005)/SQRT(E1005*Settings!$B$3*(1-Settings!$B$3)),0)</f>
        <v>-0.178821125934444</v>
      </c>
      <c r="P1005" s="60" t="n">
        <f aca="false">MAX(0,F1005-N1005)</f>
        <v>0</v>
      </c>
      <c r="Q1005" s="32" t="n">
        <f aca="false">(F1005+Settings!$B$7*Settings!$B$3)/(E1005+Settings!$B$7)</f>
        <v>0.0299865978191811</v>
      </c>
      <c r="R1005" s="61" t="n">
        <f aca="false">PERCENTRANK($H$2:$H$1780,H1005,6)</f>
        <v>0</v>
      </c>
      <c r="S1005" s="61" t="n">
        <f aca="false">PERCENTRANK($Q$2:$Q$1780,Q1005,6)</f>
        <v>0.486502</v>
      </c>
      <c r="T1005" s="61" t="n">
        <f aca="false">PERCENTRANK($F$2:$F$1780,F1005,6)</f>
        <v>0</v>
      </c>
      <c r="U1005" s="62" t="n">
        <f aca="false">IF(F1005&gt;0,(Settings!$B$8*T1005+Settings!$B$9*R1005+Settings!$B$10*S1005)/SUM(Settings!$B$8:$B$10),0)</f>
        <v>0</v>
      </c>
      <c r="V1005" s="56" t="str">
        <f aca="false">IF(U1005&gt;0,RANK(U1005,$U$2:$U$1780)+COUNTIF($U$2:U1005,U1005)-1,"")</f>
        <v/>
      </c>
      <c r="W1005" s="56" t="str">
        <f aca="false">IF(V1005="","",IF(V1005&lt;=Settings!$B$11,"1 - Fix first",IF(V1005&lt;=Settings!$B$12,"2 - Review","3 - Monitor")))</f>
        <v/>
      </c>
      <c r="X1005" s="56" t="str">
        <f aca="false">IF(AND(E1005&gt;=Settings!$B$4,F1005&gt;=Settings!$B$5,O1005&gt;=Settings!$B$6),"HIGH RATE","")</f>
        <v/>
      </c>
      <c r="Y1005" s="56" t="str">
        <f aca="false">IF(F1005&gt;0,RANK(F1005,$F$2:$F$1780)+COUNTIF($F$2:F1005,F1005)-1,"")</f>
        <v/>
      </c>
      <c r="Z1005" s="56" t="str">
        <f aca="false">IF(H1005&gt;0,RANK(H1005,$H$2:$H$1780)+COUNTIF($H$2:H1005,H1005)-1,"")</f>
        <v/>
      </c>
      <c r="AA1005" s="56" t="str">
        <f aca="false">IF(AC1005="","",RANK(AC1005,$AC$2:$AC$1780)+COUNTIF($AC$2:AC1005,AC1005)-1)</f>
        <v/>
      </c>
      <c r="AB1005" s="56" t="str">
        <f aca="false">IF(AD1005="","",RANK(AD1005,$AD$2:$AD$1780)+COUNTIF($AD$2:AD1005,AD1005)-1)</f>
        <v/>
      </c>
      <c r="AC1005" s="56" t="str">
        <f aca="false">IF(AND(F1005&gt;0,E1005&gt;=Settings!$B$4),J1005,"")</f>
        <v/>
      </c>
      <c r="AD1005" s="56" t="str">
        <f aca="false">IF(X1005="HIGH RATE",O1005,"")</f>
        <v/>
      </c>
    </row>
    <row r="1006" customFormat="false" ht="15" hidden="false" customHeight="false" outlineLevel="0" collapsed="false">
      <c r="A1006" s="56" t="s">
        <v>2348</v>
      </c>
      <c r="B1006" s="56" t="s">
        <v>2349</v>
      </c>
      <c r="C1006" s="56" t="s">
        <v>51</v>
      </c>
      <c r="D1006" s="56" t="str">
        <f aca="false">IFERROR(INDEX('Brand Map'!$B$4:$B$124,MATCH(C1006,'Brand Map'!$A$4:$A$124,0)),"Other")</f>
        <v>AU</v>
      </c>
      <c r="E1006" s="57" t="n">
        <v>3</v>
      </c>
      <c r="F1006" s="57" t="n">
        <v>0</v>
      </c>
      <c r="G1006" s="58" t="n">
        <v>239.85</v>
      </c>
      <c r="H1006" s="58" t="n">
        <v>0</v>
      </c>
      <c r="I1006" s="58" t="n">
        <v>239.85</v>
      </c>
      <c r="J1006" s="32" t="n">
        <f aca="false">IF(E1006&gt;0,F1006/E1006,0)</f>
        <v>0</v>
      </c>
      <c r="K1006" s="32" t="n">
        <f aca="false">IF(G1006&gt;0,H1006/G1006,0)</f>
        <v>-0</v>
      </c>
      <c r="L1006" s="59" t="n">
        <f aca="false">H1006/Settings!$B$16</f>
        <v>-0</v>
      </c>
      <c r="M1006" s="59" t="n">
        <f aca="false">H1006/Settings!$B$20</f>
        <v>-0</v>
      </c>
      <c r="N1006" s="60" t="n">
        <f aca="false">E1006*Settings!$B$3</f>
        <v>0.0929584532394613</v>
      </c>
      <c r="O1006" s="60" t="n">
        <f aca="false">IF(E1006&gt;0,(F1006-N1006)/SQRT(E1006*Settings!$B$3*(1-Settings!$B$3)),0)</f>
        <v>-0.30972727558513</v>
      </c>
      <c r="P1006" s="60" t="n">
        <f aca="false">MAX(0,F1006-N1006)</f>
        <v>0</v>
      </c>
      <c r="Q1006" s="32" t="n">
        <f aca="false">(F1006+Settings!$B$7*Settings!$B$3)/(E1006+Settings!$B$7)</f>
        <v>0.0281692282543822</v>
      </c>
      <c r="R1006" s="61" t="n">
        <f aca="false">PERCENTRANK($H$2:$H$1780,H1006,6)</f>
        <v>0</v>
      </c>
      <c r="S1006" s="61" t="n">
        <f aca="false">PERCENTRANK($Q$2:$Q$1780,Q1006,6)</f>
        <v>0.294151</v>
      </c>
      <c r="T1006" s="61" t="n">
        <f aca="false">PERCENTRANK($F$2:$F$1780,F1006,6)</f>
        <v>0</v>
      </c>
      <c r="U1006" s="62" t="n">
        <f aca="false">IF(F1006&gt;0,(Settings!$B$8*T1006+Settings!$B$9*R1006+Settings!$B$10*S1006)/SUM(Settings!$B$8:$B$10),0)</f>
        <v>0</v>
      </c>
      <c r="V1006" s="56" t="str">
        <f aca="false">IF(U1006&gt;0,RANK(U1006,$U$2:$U$1780)+COUNTIF($U$2:U1006,U1006)-1,"")</f>
        <v/>
      </c>
      <c r="W1006" s="56" t="str">
        <f aca="false">IF(V1006="","",IF(V1006&lt;=Settings!$B$11,"1 - Fix first",IF(V1006&lt;=Settings!$B$12,"2 - Review","3 - Monitor")))</f>
        <v/>
      </c>
      <c r="X1006" s="56" t="str">
        <f aca="false">IF(AND(E1006&gt;=Settings!$B$4,F1006&gt;=Settings!$B$5,O1006&gt;=Settings!$B$6),"HIGH RATE","")</f>
        <v/>
      </c>
      <c r="Y1006" s="56" t="str">
        <f aca="false">IF(F1006&gt;0,RANK(F1006,$F$2:$F$1780)+COUNTIF($F$2:F1006,F1006)-1,"")</f>
        <v/>
      </c>
      <c r="Z1006" s="56" t="str">
        <f aca="false">IF(H1006&gt;0,RANK(H1006,$H$2:$H$1780)+COUNTIF($H$2:H1006,H1006)-1,"")</f>
        <v/>
      </c>
      <c r="AA1006" s="56" t="str">
        <f aca="false">IF(AC1006="","",RANK(AC1006,$AC$2:$AC$1780)+COUNTIF($AC$2:AC1006,AC1006)-1)</f>
        <v/>
      </c>
      <c r="AB1006" s="56" t="str">
        <f aca="false">IF(AD1006="","",RANK(AD1006,$AD$2:$AD$1780)+COUNTIF($AD$2:AD1006,AD1006)-1)</f>
        <v/>
      </c>
      <c r="AC1006" s="56" t="str">
        <f aca="false">IF(AND(F1006&gt;0,E1006&gt;=Settings!$B$4),J1006,"")</f>
        <v/>
      </c>
      <c r="AD1006" s="56" t="str">
        <f aca="false">IF(X1006="HIGH RATE",O1006,"")</f>
        <v/>
      </c>
    </row>
    <row r="1007" customFormat="false" ht="15" hidden="false" customHeight="false" outlineLevel="0" collapsed="false">
      <c r="A1007" s="56" t="s">
        <v>2350</v>
      </c>
      <c r="B1007" s="56" t="s">
        <v>2351</v>
      </c>
      <c r="C1007" s="56" t="s">
        <v>51</v>
      </c>
      <c r="D1007" s="56" t="str">
        <f aca="false">IFERROR(INDEX('Brand Map'!$B$4:$B$124,MATCH(C1007,'Brand Map'!$A$4:$A$124,0)),"Other")</f>
        <v>AU</v>
      </c>
      <c r="E1007" s="57" t="n">
        <v>1</v>
      </c>
      <c r="F1007" s="57" t="n">
        <v>0</v>
      </c>
      <c r="G1007" s="58" t="n">
        <v>29.95</v>
      </c>
      <c r="H1007" s="58" t="n">
        <v>0</v>
      </c>
      <c r="I1007" s="58" t="n">
        <v>29.95</v>
      </c>
      <c r="J1007" s="32" t="n">
        <f aca="false">IF(E1007&gt;0,F1007/E1007,0)</f>
        <v>0</v>
      </c>
      <c r="K1007" s="32" t="n">
        <f aca="false">IF(G1007&gt;0,H1007/G1007,0)</f>
        <v>-0</v>
      </c>
      <c r="L1007" s="59" t="n">
        <f aca="false">H1007/Settings!$B$16</f>
        <v>-0</v>
      </c>
      <c r="M1007" s="59" t="n">
        <f aca="false">H1007/Settings!$B$20</f>
        <v>-0</v>
      </c>
      <c r="N1007" s="60" t="n">
        <f aca="false">E1007*Settings!$B$3</f>
        <v>0.0309861510798204</v>
      </c>
      <c r="O1007" s="60" t="n">
        <f aca="false">IF(E1007&gt;0,(F1007-N1007)/SQRT(E1007*Settings!$B$3*(1-Settings!$B$3)),0)</f>
        <v>-0.178821125934444</v>
      </c>
      <c r="P1007" s="60" t="n">
        <f aca="false">MAX(0,F1007-N1007)</f>
        <v>0</v>
      </c>
      <c r="Q1007" s="32" t="n">
        <f aca="false">(F1007+Settings!$B$7*Settings!$B$3)/(E1007+Settings!$B$7)</f>
        <v>0.0299865978191811</v>
      </c>
      <c r="R1007" s="61" t="n">
        <f aca="false">PERCENTRANK($H$2:$H$1780,H1007,6)</f>
        <v>0</v>
      </c>
      <c r="S1007" s="61" t="n">
        <f aca="false">PERCENTRANK($Q$2:$Q$1780,Q1007,6)</f>
        <v>0.486502</v>
      </c>
      <c r="T1007" s="61" t="n">
        <f aca="false">PERCENTRANK($F$2:$F$1780,F1007,6)</f>
        <v>0</v>
      </c>
      <c r="U1007" s="62" t="n">
        <f aca="false">IF(F1007&gt;0,(Settings!$B$8*T1007+Settings!$B$9*R1007+Settings!$B$10*S1007)/SUM(Settings!$B$8:$B$10),0)</f>
        <v>0</v>
      </c>
      <c r="V1007" s="56" t="str">
        <f aca="false">IF(U1007&gt;0,RANK(U1007,$U$2:$U$1780)+COUNTIF($U$2:U1007,U1007)-1,"")</f>
        <v/>
      </c>
      <c r="W1007" s="56" t="str">
        <f aca="false">IF(V1007="","",IF(V1007&lt;=Settings!$B$11,"1 - Fix first",IF(V1007&lt;=Settings!$B$12,"2 - Review","3 - Monitor")))</f>
        <v/>
      </c>
      <c r="X1007" s="56" t="str">
        <f aca="false">IF(AND(E1007&gt;=Settings!$B$4,F1007&gt;=Settings!$B$5,O1007&gt;=Settings!$B$6),"HIGH RATE","")</f>
        <v/>
      </c>
      <c r="Y1007" s="56" t="str">
        <f aca="false">IF(F1007&gt;0,RANK(F1007,$F$2:$F$1780)+COUNTIF($F$2:F1007,F1007)-1,"")</f>
        <v/>
      </c>
      <c r="Z1007" s="56" t="str">
        <f aca="false">IF(H1007&gt;0,RANK(H1007,$H$2:$H$1780)+COUNTIF($H$2:H1007,H1007)-1,"")</f>
        <v/>
      </c>
      <c r="AA1007" s="56" t="str">
        <f aca="false">IF(AC1007="","",RANK(AC1007,$AC$2:$AC$1780)+COUNTIF($AC$2:AC1007,AC1007)-1)</f>
        <v/>
      </c>
      <c r="AB1007" s="56" t="str">
        <f aca="false">IF(AD1007="","",RANK(AD1007,$AD$2:$AD$1780)+COUNTIF($AD$2:AD1007,AD1007)-1)</f>
        <v/>
      </c>
      <c r="AC1007" s="56" t="str">
        <f aca="false">IF(AND(F1007&gt;0,E1007&gt;=Settings!$B$4),J1007,"")</f>
        <v/>
      </c>
      <c r="AD1007" s="56" t="str">
        <f aca="false">IF(X1007="HIGH RATE",O1007,"")</f>
        <v/>
      </c>
    </row>
    <row r="1008" customFormat="false" ht="15" hidden="false" customHeight="false" outlineLevel="0" collapsed="false">
      <c r="A1008" s="56" t="s">
        <v>2352</v>
      </c>
      <c r="B1008" s="56" t="s">
        <v>2353</v>
      </c>
      <c r="C1008" s="56" t="s">
        <v>51</v>
      </c>
      <c r="D1008" s="56" t="str">
        <f aca="false">IFERROR(INDEX('Brand Map'!$B$4:$B$124,MATCH(C1008,'Brand Map'!$A$4:$A$124,0)),"Other")</f>
        <v>AU</v>
      </c>
      <c r="E1008" s="57" t="n">
        <v>3</v>
      </c>
      <c r="F1008" s="57" t="n">
        <v>0</v>
      </c>
      <c r="G1008" s="58" t="n">
        <v>209.85</v>
      </c>
      <c r="H1008" s="58" t="n">
        <v>0</v>
      </c>
      <c r="I1008" s="58" t="n">
        <v>209.85</v>
      </c>
      <c r="J1008" s="32" t="n">
        <f aca="false">IF(E1008&gt;0,F1008/E1008,0)</f>
        <v>0</v>
      </c>
      <c r="K1008" s="32" t="n">
        <f aca="false">IF(G1008&gt;0,H1008/G1008,0)</f>
        <v>-0</v>
      </c>
      <c r="L1008" s="59" t="n">
        <f aca="false">H1008/Settings!$B$16</f>
        <v>-0</v>
      </c>
      <c r="M1008" s="59" t="n">
        <f aca="false">H1008/Settings!$B$20</f>
        <v>-0</v>
      </c>
      <c r="N1008" s="60" t="n">
        <f aca="false">E1008*Settings!$B$3</f>
        <v>0.0929584532394613</v>
      </c>
      <c r="O1008" s="60" t="n">
        <f aca="false">IF(E1008&gt;0,(F1008-N1008)/SQRT(E1008*Settings!$B$3*(1-Settings!$B$3)),0)</f>
        <v>-0.30972727558513</v>
      </c>
      <c r="P1008" s="60" t="n">
        <f aca="false">MAX(0,F1008-N1008)</f>
        <v>0</v>
      </c>
      <c r="Q1008" s="32" t="n">
        <f aca="false">(F1008+Settings!$B$7*Settings!$B$3)/(E1008+Settings!$B$7)</f>
        <v>0.0281692282543822</v>
      </c>
      <c r="R1008" s="61" t="n">
        <f aca="false">PERCENTRANK($H$2:$H$1780,H1008,6)</f>
        <v>0</v>
      </c>
      <c r="S1008" s="61" t="n">
        <f aca="false">PERCENTRANK($Q$2:$Q$1780,Q1008,6)</f>
        <v>0.294151</v>
      </c>
      <c r="T1008" s="61" t="n">
        <f aca="false">PERCENTRANK($F$2:$F$1780,F1008,6)</f>
        <v>0</v>
      </c>
      <c r="U1008" s="62" t="n">
        <f aca="false">IF(F1008&gt;0,(Settings!$B$8*T1008+Settings!$B$9*R1008+Settings!$B$10*S1008)/SUM(Settings!$B$8:$B$10),0)</f>
        <v>0</v>
      </c>
      <c r="V1008" s="56" t="str">
        <f aca="false">IF(U1008&gt;0,RANK(U1008,$U$2:$U$1780)+COUNTIF($U$2:U1008,U1008)-1,"")</f>
        <v/>
      </c>
      <c r="W1008" s="56" t="str">
        <f aca="false">IF(V1008="","",IF(V1008&lt;=Settings!$B$11,"1 - Fix first",IF(V1008&lt;=Settings!$B$12,"2 - Review","3 - Monitor")))</f>
        <v/>
      </c>
      <c r="X1008" s="56" t="str">
        <f aca="false">IF(AND(E1008&gt;=Settings!$B$4,F1008&gt;=Settings!$B$5,O1008&gt;=Settings!$B$6),"HIGH RATE","")</f>
        <v/>
      </c>
      <c r="Y1008" s="56" t="str">
        <f aca="false">IF(F1008&gt;0,RANK(F1008,$F$2:$F$1780)+COUNTIF($F$2:F1008,F1008)-1,"")</f>
        <v/>
      </c>
      <c r="Z1008" s="56" t="str">
        <f aca="false">IF(H1008&gt;0,RANK(H1008,$H$2:$H$1780)+COUNTIF($H$2:H1008,H1008)-1,"")</f>
        <v/>
      </c>
      <c r="AA1008" s="56" t="str">
        <f aca="false">IF(AC1008="","",RANK(AC1008,$AC$2:$AC$1780)+COUNTIF($AC$2:AC1008,AC1008)-1)</f>
        <v/>
      </c>
      <c r="AB1008" s="56" t="str">
        <f aca="false">IF(AD1008="","",RANK(AD1008,$AD$2:$AD$1780)+COUNTIF($AD$2:AD1008,AD1008)-1)</f>
        <v/>
      </c>
      <c r="AC1008" s="56" t="str">
        <f aca="false">IF(AND(F1008&gt;0,E1008&gt;=Settings!$B$4),J1008,"")</f>
        <v/>
      </c>
      <c r="AD1008" s="56" t="str">
        <f aca="false">IF(X1008="HIGH RATE",O1008,"")</f>
        <v/>
      </c>
    </row>
    <row r="1009" customFormat="false" ht="15" hidden="false" customHeight="false" outlineLevel="0" collapsed="false">
      <c r="A1009" s="56" t="s">
        <v>2354</v>
      </c>
      <c r="B1009" s="56" t="s">
        <v>2355</v>
      </c>
      <c r="C1009" s="56" t="s">
        <v>51</v>
      </c>
      <c r="D1009" s="56" t="str">
        <f aca="false">IFERROR(INDEX('Brand Map'!$B$4:$B$124,MATCH(C1009,'Brand Map'!$A$4:$A$124,0)),"Other")</f>
        <v>AU</v>
      </c>
      <c r="E1009" s="57" t="n">
        <v>2</v>
      </c>
      <c r="F1009" s="57" t="n">
        <v>0</v>
      </c>
      <c r="G1009" s="58" t="n">
        <v>119.9</v>
      </c>
      <c r="H1009" s="58" t="n">
        <v>0</v>
      </c>
      <c r="I1009" s="58" t="n">
        <v>119.9</v>
      </c>
      <c r="J1009" s="32" t="n">
        <f aca="false">IF(E1009&gt;0,F1009/E1009,0)</f>
        <v>0</v>
      </c>
      <c r="K1009" s="32" t="n">
        <f aca="false">IF(G1009&gt;0,H1009/G1009,0)</f>
        <v>-0</v>
      </c>
      <c r="L1009" s="59" t="n">
        <f aca="false">H1009/Settings!$B$16</f>
        <v>-0</v>
      </c>
      <c r="M1009" s="59" t="n">
        <f aca="false">H1009/Settings!$B$20</f>
        <v>-0</v>
      </c>
      <c r="N1009" s="60" t="n">
        <f aca="false">E1009*Settings!$B$3</f>
        <v>0.0619723021596408</v>
      </c>
      <c r="O1009" s="60" t="n">
        <f aca="false">IF(E1009&gt;0,(F1009-N1009)/SQRT(E1009*Settings!$B$3*(1-Settings!$B$3)),0)</f>
        <v>-0.252891261535318</v>
      </c>
      <c r="P1009" s="60" t="n">
        <f aca="false">MAX(0,F1009-N1009)</f>
        <v>0</v>
      </c>
      <c r="Q1009" s="32" t="n">
        <f aca="false">(F1009+Settings!$B$7*Settings!$B$3)/(E1009+Settings!$B$7)</f>
        <v>0.0290495166373316</v>
      </c>
      <c r="R1009" s="61" t="n">
        <f aca="false">PERCENTRANK($H$2:$H$1780,H1009,6)</f>
        <v>0</v>
      </c>
      <c r="S1009" s="61" t="n">
        <f aca="false">PERCENTRANK($Q$2:$Q$1780,Q1009,6)</f>
        <v>0.365579</v>
      </c>
      <c r="T1009" s="61" t="n">
        <f aca="false">PERCENTRANK($F$2:$F$1780,F1009,6)</f>
        <v>0</v>
      </c>
      <c r="U1009" s="62" t="n">
        <f aca="false">IF(F1009&gt;0,(Settings!$B$8*T1009+Settings!$B$9*R1009+Settings!$B$10*S1009)/SUM(Settings!$B$8:$B$10),0)</f>
        <v>0</v>
      </c>
      <c r="V1009" s="56" t="str">
        <f aca="false">IF(U1009&gt;0,RANK(U1009,$U$2:$U$1780)+COUNTIF($U$2:U1009,U1009)-1,"")</f>
        <v/>
      </c>
      <c r="W1009" s="56" t="str">
        <f aca="false">IF(V1009="","",IF(V1009&lt;=Settings!$B$11,"1 - Fix first",IF(V1009&lt;=Settings!$B$12,"2 - Review","3 - Monitor")))</f>
        <v/>
      </c>
      <c r="X1009" s="56" t="str">
        <f aca="false">IF(AND(E1009&gt;=Settings!$B$4,F1009&gt;=Settings!$B$5,O1009&gt;=Settings!$B$6),"HIGH RATE","")</f>
        <v/>
      </c>
      <c r="Y1009" s="56" t="str">
        <f aca="false">IF(F1009&gt;0,RANK(F1009,$F$2:$F$1780)+COUNTIF($F$2:F1009,F1009)-1,"")</f>
        <v/>
      </c>
      <c r="Z1009" s="56" t="str">
        <f aca="false">IF(H1009&gt;0,RANK(H1009,$H$2:$H$1780)+COUNTIF($H$2:H1009,H1009)-1,"")</f>
        <v/>
      </c>
      <c r="AA1009" s="56" t="str">
        <f aca="false">IF(AC1009="","",RANK(AC1009,$AC$2:$AC$1780)+COUNTIF($AC$2:AC1009,AC1009)-1)</f>
        <v/>
      </c>
      <c r="AB1009" s="56" t="str">
        <f aca="false">IF(AD1009="","",RANK(AD1009,$AD$2:$AD$1780)+COUNTIF($AD$2:AD1009,AD1009)-1)</f>
        <v/>
      </c>
      <c r="AC1009" s="56" t="str">
        <f aca="false">IF(AND(F1009&gt;0,E1009&gt;=Settings!$B$4),J1009,"")</f>
        <v/>
      </c>
      <c r="AD1009" s="56" t="str">
        <f aca="false">IF(X1009="HIGH RATE",O1009,"")</f>
        <v/>
      </c>
    </row>
    <row r="1010" customFormat="false" ht="15" hidden="false" customHeight="false" outlineLevel="0" collapsed="false">
      <c r="A1010" s="56" t="s">
        <v>2356</v>
      </c>
      <c r="B1010" s="56" t="s">
        <v>2355</v>
      </c>
      <c r="C1010" s="56" t="s">
        <v>51</v>
      </c>
      <c r="D1010" s="56" t="str">
        <f aca="false">IFERROR(INDEX('Brand Map'!$B$4:$B$124,MATCH(C1010,'Brand Map'!$A$4:$A$124,0)),"Other")</f>
        <v>AU</v>
      </c>
      <c r="E1010" s="57" t="n">
        <v>1</v>
      </c>
      <c r="F1010" s="57" t="n">
        <v>0</v>
      </c>
      <c r="G1010" s="58" t="n">
        <v>44.95</v>
      </c>
      <c r="H1010" s="58" t="n">
        <v>0</v>
      </c>
      <c r="I1010" s="58" t="n">
        <v>44.95</v>
      </c>
      <c r="J1010" s="32" t="n">
        <f aca="false">IF(E1010&gt;0,F1010/E1010,0)</f>
        <v>0</v>
      </c>
      <c r="K1010" s="32" t="n">
        <f aca="false">IF(G1010&gt;0,H1010/G1010,0)</f>
        <v>-0</v>
      </c>
      <c r="L1010" s="59" t="n">
        <f aca="false">H1010/Settings!$B$16</f>
        <v>-0</v>
      </c>
      <c r="M1010" s="59" t="n">
        <f aca="false">H1010/Settings!$B$20</f>
        <v>-0</v>
      </c>
      <c r="N1010" s="60" t="n">
        <f aca="false">E1010*Settings!$B$3</f>
        <v>0.0309861510798204</v>
      </c>
      <c r="O1010" s="60" t="n">
        <f aca="false">IF(E1010&gt;0,(F1010-N1010)/SQRT(E1010*Settings!$B$3*(1-Settings!$B$3)),0)</f>
        <v>-0.178821125934444</v>
      </c>
      <c r="P1010" s="60" t="n">
        <f aca="false">MAX(0,F1010-N1010)</f>
        <v>0</v>
      </c>
      <c r="Q1010" s="32" t="n">
        <f aca="false">(F1010+Settings!$B$7*Settings!$B$3)/(E1010+Settings!$B$7)</f>
        <v>0.0299865978191811</v>
      </c>
      <c r="R1010" s="61" t="n">
        <f aca="false">PERCENTRANK($H$2:$H$1780,H1010,6)</f>
        <v>0</v>
      </c>
      <c r="S1010" s="61" t="n">
        <f aca="false">PERCENTRANK($Q$2:$Q$1780,Q1010,6)</f>
        <v>0.486502</v>
      </c>
      <c r="T1010" s="61" t="n">
        <f aca="false">PERCENTRANK($F$2:$F$1780,F1010,6)</f>
        <v>0</v>
      </c>
      <c r="U1010" s="62" t="n">
        <f aca="false">IF(F1010&gt;0,(Settings!$B$8*T1010+Settings!$B$9*R1010+Settings!$B$10*S1010)/SUM(Settings!$B$8:$B$10),0)</f>
        <v>0</v>
      </c>
      <c r="V1010" s="56" t="str">
        <f aca="false">IF(U1010&gt;0,RANK(U1010,$U$2:$U$1780)+COUNTIF($U$2:U1010,U1010)-1,"")</f>
        <v/>
      </c>
      <c r="W1010" s="56" t="str">
        <f aca="false">IF(V1010="","",IF(V1010&lt;=Settings!$B$11,"1 - Fix first",IF(V1010&lt;=Settings!$B$12,"2 - Review","3 - Monitor")))</f>
        <v/>
      </c>
      <c r="X1010" s="56" t="str">
        <f aca="false">IF(AND(E1010&gt;=Settings!$B$4,F1010&gt;=Settings!$B$5,O1010&gt;=Settings!$B$6),"HIGH RATE","")</f>
        <v/>
      </c>
      <c r="Y1010" s="56" t="str">
        <f aca="false">IF(F1010&gt;0,RANK(F1010,$F$2:$F$1780)+COUNTIF($F$2:F1010,F1010)-1,"")</f>
        <v/>
      </c>
      <c r="Z1010" s="56" t="str">
        <f aca="false">IF(H1010&gt;0,RANK(H1010,$H$2:$H$1780)+COUNTIF($H$2:H1010,H1010)-1,"")</f>
        <v/>
      </c>
      <c r="AA1010" s="56" t="str">
        <f aca="false">IF(AC1010="","",RANK(AC1010,$AC$2:$AC$1780)+COUNTIF($AC$2:AC1010,AC1010)-1)</f>
        <v/>
      </c>
      <c r="AB1010" s="56" t="str">
        <f aca="false">IF(AD1010="","",RANK(AD1010,$AD$2:$AD$1780)+COUNTIF($AD$2:AD1010,AD1010)-1)</f>
        <v/>
      </c>
      <c r="AC1010" s="56" t="str">
        <f aca="false">IF(AND(F1010&gt;0,E1010&gt;=Settings!$B$4),J1010,"")</f>
        <v/>
      </c>
      <c r="AD1010" s="56" t="str">
        <f aca="false">IF(X1010="HIGH RATE",O1010,"")</f>
        <v/>
      </c>
    </row>
    <row r="1011" customFormat="false" ht="15" hidden="false" customHeight="false" outlineLevel="0" collapsed="false">
      <c r="A1011" s="56" t="s">
        <v>2357</v>
      </c>
      <c r="B1011" s="56" t="s">
        <v>2358</v>
      </c>
      <c r="C1011" s="56" t="s">
        <v>51</v>
      </c>
      <c r="D1011" s="56" t="str">
        <f aca="false">IFERROR(INDEX('Brand Map'!$B$4:$B$124,MATCH(C1011,'Brand Map'!$A$4:$A$124,0)),"Other")</f>
        <v>AU</v>
      </c>
      <c r="E1011" s="57" t="n">
        <v>1</v>
      </c>
      <c r="F1011" s="57" t="n">
        <v>0</v>
      </c>
      <c r="G1011" s="58" t="n">
        <v>74.95</v>
      </c>
      <c r="H1011" s="58" t="n">
        <v>0</v>
      </c>
      <c r="I1011" s="58" t="n">
        <v>74.95</v>
      </c>
      <c r="J1011" s="32" t="n">
        <f aca="false">IF(E1011&gt;0,F1011/E1011,0)</f>
        <v>0</v>
      </c>
      <c r="K1011" s="32" t="n">
        <f aca="false">IF(G1011&gt;0,H1011/G1011,0)</f>
        <v>-0</v>
      </c>
      <c r="L1011" s="59" t="n">
        <f aca="false">H1011/Settings!$B$16</f>
        <v>-0</v>
      </c>
      <c r="M1011" s="59" t="n">
        <f aca="false">H1011/Settings!$B$20</f>
        <v>-0</v>
      </c>
      <c r="N1011" s="60" t="n">
        <f aca="false">E1011*Settings!$B$3</f>
        <v>0.0309861510798204</v>
      </c>
      <c r="O1011" s="60" t="n">
        <f aca="false">IF(E1011&gt;0,(F1011-N1011)/SQRT(E1011*Settings!$B$3*(1-Settings!$B$3)),0)</f>
        <v>-0.178821125934444</v>
      </c>
      <c r="P1011" s="60" t="n">
        <f aca="false">MAX(0,F1011-N1011)</f>
        <v>0</v>
      </c>
      <c r="Q1011" s="32" t="n">
        <f aca="false">(F1011+Settings!$B$7*Settings!$B$3)/(E1011+Settings!$B$7)</f>
        <v>0.0299865978191811</v>
      </c>
      <c r="R1011" s="61" t="n">
        <f aca="false">PERCENTRANK($H$2:$H$1780,H1011,6)</f>
        <v>0</v>
      </c>
      <c r="S1011" s="61" t="n">
        <f aca="false">PERCENTRANK($Q$2:$Q$1780,Q1011,6)</f>
        <v>0.486502</v>
      </c>
      <c r="T1011" s="61" t="n">
        <f aca="false">PERCENTRANK($F$2:$F$1780,F1011,6)</f>
        <v>0</v>
      </c>
      <c r="U1011" s="62" t="n">
        <f aca="false">IF(F1011&gt;0,(Settings!$B$8*T1011+Settings!$B$9*R1011+Settings!$B$10*S1011)/SUM(Settings!$B$8:$B$10),0)</f>
        <v>0</v>
      </c>
      <c r="V1011" s="56" t="str">
        <f aca="false">IF(U1011&gt;0,RANK(U1011,$U$2:$U$1780)+COUNTIF($U$2:U1011,U1011)-1,"")</f>
        <v/>
      </c>
      <c r="W1011" s="56" t="str">
        <f aca="false">IF(V1011="","",IF(V1011&lt;=Settings!$B$11,"1 - Fix first",IF(V1011&lt;=Settings!$B$12,"2 - Review","3 - Monitor")))</f>
        <v/>
      </c>
      <c r="X1011" s="56" t="str">
        <f aca="false">IF(AND(E1011&gt;=Settings!$B$4,F1011&gt;=Settings!$B$5,O1011&gt;=Settings!$B$6),"HIGH RATE","")</f>
        <v/>
      </c>
      <c r="Y1011" s="56" t="str">
        <f aca="false">IF(F1011&gt;0,RANK(F1011,$F$2:$F$1780)+COUNTIF($F$2:F1011,F1011)-1,"")</f>
        <v/>
      </c>
      <c r="Z1011" s="56" t="str">
        <f aca="false">IF(H1011&gt;0,RANK(H1011,$H$2:$H$1780)+COUNTIF($H$2:H1011,H1011)-1,"")</f>
        <v/>
      </c>
      <c r="AA1011" s="56" t="str">
        <f aca="false">IF(AC1011="","",RANK(AC1011,$AC$2:$AC$1780)+COUNTIF($AC$2:AC1011,AC1011)-1)</f>
        <v/>
      </c>
      <c r="AB1011" s="56" t="str">
        <f aca="false">IF(AD1011="","",RANK(AD1011,$AD$2:$AD$1780)+COUNTIF($AD$2:AD1011,AD1011)-1)</f>
        <v/>
      </c>
      <c r="AC1011" s="56" t="str">
        <f aca="false">IF(AND(F1011&gt;0,E1011&gt;=Settings!$B$4),J1011,"")</f>
        <v/>
      </c>
      <c r="AD1011" s="56" t="str">
        <f aca="false">IF(X1011="HIGH RATE",O1011,"")</f>
        <v/>
      </c>
    </row>
    <row r="1012" customFormat="false" ht="15" hidden="false" customHeight="false" outlineLevel="0" collapsed="false">
      <c r="A1012" s="56" t="s">
        <v>2359</v>
      </c>
      <c r="B1012" s="56" t="s">
        <v>2358</v>
      </c>
      <c r="C1012" s="56" t="s">
        <v>51</v>
      </c>
      <c r="D1012" s="56" t="str">
        <f aca="false">IFERROR(INDEX('Brand Map'!$B$4:$B$124,MATCH(C1012,'Brand Map'!$A$4:$A$124,0)),"Other")</f>
        <v>AU</v>
      </c>
      <c r="E1012" s="57" t="n">
        <v>1</v>
      </c>
      <c r="F1012" s="57" t="n">
        <v>0</v>
      </c>
      <c r="G1012" s="58" t="n">
        <v>89.95</v>
      </c>
      <c r="H1012" s="58" t="n">
        <v>0</v>
      </c>
      <c r="I1012" s="58" t="n">
        <v>89.95</v>
      </c>
      <c r="J1012" s="32" t="n">
        <f aca="false">IF(E1012&gt;0,F1012/E1012,0)</f>
        <v>0</v>
      </c>
      <c r="K1012" s="32" t="n">
        <f aca="false">IF(G1012&gt;0,H1012/G1012,0)</f>
        <v>-0</v>
      </c>
      <c r="L1012" s="59" t="n">
        <f aca="false">H1012/Settings!$B$16</f>
        <v>-0</v>
      </c>
      <c r="M1012" s="59" t="n">
        <f aca="false">H1012/Settings!$B$20</f>
        <v>-0</v>
      </c>
      <c r="N1012" s="60" t="n">
        <f aca="false">E1012*Settings!$B$3</f>
        <v>0.0309861510798204</v>
      </c>
      <c r="O1012" s="60" t="n">
        <f aca="false">IF(E1012&gt;0,(F1012-N1012)/SQRT(E1012*Settings!$B$3*(1-Settings!$B$3)),0)</f>
        <v>-0.178821125934444</v>
      </c>
      <c r="P1012" s="60" t="n">
        <f aca="false">MAX(0,F1012-N1012)</f>
        <v>0</v>
      </c>
      <c r="Q1012" s="32" t="n">
        <f aca="false">(F1012+Settings!$B$7*Settings!$B$3)/(E1012+Settings!$B$7)</f>
        <v>0.0299865978191811</v>
      </c>
      <c r="R1012" s="61" t="n">
        <f aca="false">PERCENTRANK($H$2:$H$1780,H1012,6)</f>
        <v>0</v>
      </c>
      <c r="S1012" s="61" t="n">
        <f aca="false">PERCENTRANK($Q$2:$Q$1780,Q1012,6)</f>
        <v>0.486502</v>
      </c>
      <c r="T1012" s="61" t="n">
        <f aca="false">PERCENTRANK($F$2:$F$1780,F1012,6)</f>
        <v>0</v>
      </c>
      <c r="U1012" s="62" t="n">
        <f aca="false">IF(F1012&gt;0,(Settings!$B$8*T1012+Settings!$B$9*R1012+Settings!$B$10*S1012)/SUM(Settings!$B$8:$B$10),0)</f>
        <v>0</v>
      </c>
      <c r="V1012" s="56" t="str">
        <f aca="false">IF(U1012&gt;0,RANK(U1012,$U$2:$U$1780)+COUNTIF($U$2:U1012,U1012)-1,"")</f>
        <v/>
      </c>
      <c r="W1012" s="56" t="str">
        <f aca="false">IF(V1012="","",IF(V1012&lt;=Settings!$B$11,"1 - Fix first",IF(V1012&lt;=Settings!$B$12,"2 - Review","3 - Monitor")))</f>
        <v/>
      </c>
      <c r="X1012" s="56" t="str">
        <f aca="false">IF(AND(E1012&gt;=Settings!$B$4,F1012&gt;=Settings!$B$5,O1012&gt;=Settings!$B$6),"HIGH RATE","")</f>
        <v/>
      </c>
      <c r="Y1012" s="56" t="str">
        <f aca="false">IF(F1012&gt;0,RANK(F1012,$F$2:$F$1780)+COUNTIF($F$2:F1012,F1012)-1,"")</f>
        <v/>
      </c>
      <c r="Z1012" s="56" t="str">
        <f aca="false">IF(H1012&gt;0,RANK(H1012,$H$2:$H$1780)+COUNTIF($H$2:H1012,H1012)-1,"")</f>
        <v/>
      </c>
      <c r="AA1012" s="56" t="str">
        <f aca="false">IF(AC1012="","",RANK(AC1012,$AC$2:$AC$1780)+COUNTIF($AC$2:AC1012,AC1012)-1)</f>
        <v/>
      </c>
      <c r="AB1012" s="56" t="str">
        <f aca="false">IF(AD1012="","",RANK(AD1012,$AD$2:$AD$1780)+COUNTIF($AD$2:AD1012,AD1012)-1)</f>
        <v/>
      </c>
      <c r="AC1012" s="56" t="str">
        <f aca="false">IF(AND(F1012&gt;0,E1012&gt;=Settings!$B$4),J1012,"")</f>
        <v/>
      </c>
      <c r="AD1012" s="56" t="str">
        <f aca="false">IF(X1012="HIGH RATE",O1012,"")</f>
        <v/>
      </c>
    </row>
    <row r="1013" customFormat="false" ht="15" hidden="false" customHeight="false" outlineLevel="0" collapsed="false">
      <c r="A1013" s="56" t="s">
        <v>2360</v>
      </c>
      <c r="B1013" s="56" t="s">
        <v>2358</v>
      </c>
      <c r="C1013" s="56" t="s">
        <v>51</v>
      </c>
      <c r="D1013" s="56" t="str">
        <f aca="false">IFERROR(INDEX('Brand Map'!$B$4:$B$124,MATCH(C1013,'Brand Map'!$A$4:$A$124,0)),"Other")</f>
        <v>AU</v>
      </c>
      <c r="E1013" s="57" t="n">
        <v>3</v>
      </c>
      <c r="F1013" s="57" t="n">
        <v>0</v>
      </c>
      <c r="G1013" s="58" t="n">
        <v>314.85</v>
      </c>
      <c r="H1013" s="58" t="n">
        <v>0</v>
      </c>
      <c r="I1013" s="58" t="n">
        <v>314.85</v>
      </c>
      <c r="J1013" s="32" t="n">
        <f aca="false">IF(E1013&gt;0,F1013/E1013,0)</f>
        <v>0</v>
      </c>
      <c r="K1013" s="32" t="n">
        <f aca="false">IF(G1013&gt;0,H1013/G1013,0)</f>
        <v>-0</v>
      </c>
      <c r="L1013" s="59" t="n">
        <f aca="false">H1013/Settings!$B$16</f>
        <v>-0</v>
      </c>
      <c r="M1013" s="59" t="n">
        <f aca="false">H1013/Settings!$B$20</f>
        <v>-0</v>
      </c>
      <c r="N1013" s="60" t="n">
        <f aca="false">E1013*Settings!$B$3</f>
        <v>0.0929584532394613</v>
      </c>
      <c r="O1013" s="60" t="n">
        <f aca="false">IF(E1013&gt;0,(F1013-N1013)/SQRT(E1013*Settings!$B$3*(1-Settings!$B$3)),0)</f>
        <v>-0.30972727558513</v>
      </c>
      <c r="P1013" s="60" t="n">
        <f aca="false">MAX(0,F1013-N1013)</f>
        <v>0</v>
      </c>
      <c r="Q1013" s="32" t="n">
        <f aca="false">(F1013+Settings!$B$7*Settings!$B$3)/(E1013+Settings!$B$7)</f>
        <v>0.0281692282543822</v>
      </c>
      <c r="R1013" s="61" t="n">
        <f aca="false">PERCENTRANK($H$2:$H$1780,H1013,6)</f>
        <v>0</v>
      </c>
      <c r="S1013" s="61" t="n">
        <f aca="false">PERCENTRANK($Q$2:$Q$1780,Q1013,6)</f>
        <v>0.294151</v>
      </c>
      <c r="T1013" s="61" t="n">
        <f aca="false">PERCENTRANK($F$2:$F$1780,F1013,6)</f>
        <v>0</v>
      </c>
      <c r="U1013" s="62" t="n">
        <f aca="false">IF(F1013&gt;0,(Settings!$B$8*T1013+Settings!$B$9*R1013+Settings!$B$10*S1013)/SUM(Settings!$B$8:$B$10),0)</f>
        <v>0</v>
      </c>
      <c r="V1013" s="56" t="str">
        <f aca="false">IF(U1013&gt;0,RANK(U1013,$U$2:$U$1780)+COUNTIF($U$2:U1013,U1013)-1,"")</f>
        <v/>
      </c>
      <c r="W1013" s="56" t="str">
        <f aca="false">IF(V1013="","",IF(V1013&lt;=Settings!$B$11,"1 - Fix first",IF(V1013&lt;=Settings!$B$12,"2 - Review","3 - Monitor")))</f>
        <v/>
      </c>
      <c r="X1013" s="56" t="str">
        <f aca="false">IF(AND(E1013&gt;=Settings!$B$4,F1013&gt;=Settings!$B$5,O1013&gt;=Settings!$B$6),"HIGH RATE","")</f>
        <v/>
      </c>
      <c r="Y1013" s="56" t="str">
        <f aca="false">IF(F1013&gt;0,RANK(F1013,$F$2:$F$1780)+COUNTIF($F$2:F1013,F1013)-1,"")</f>
        <v/>
      </c>
      <c r="Z1013" s="56" t="str">
        <f aca="false">IF(H1013&gt;0,RANK(H1013,$H$2:$H$1780)+COUNTIF($H$2:H1013,H1013)-1,"")</f>
        <v/>
      </c>
      <c r="AA1013" s="56" t="str">
        <f aca="false">IF(AC1013="","",RANK(AC1013,$AC$2:$AC$1780)+COUNTIF($AC$2:AC1013,AC1013)-1)</f>
        <v/>
      </c>
      <c r="AB1013" s="56" t="str">
        <f aca="false">IF(AD1013="","",RANK(AD1013,$AD$2:$AD$1780)+COUNTIF($AD$2:AD1013,AD1013)-1)</f>
        <v/>
      </c>
      <c r="AC1013" s="56" t="str">
        <f aca="false">IF(AND(F1013&gt;0,E1013&gt;=Settings!$B$4),J1013,"")</f>
        <v/>
      </c>
      <c r="AD1013" s="56" t="str">
        <f aca="false">IF(X1013="HIGH RATE",O1013,"")</f>
        <v/>
      </c>
    </row>
    <row r="1014" customFormat="false" ht="15" hidden="false" customHeight="false" outlineLevel="0" collapsed="false">
      <c r="A1014" s="56" t="s">
        <v>2361</v>
      </c>
      <c r="B1014" s="56" t="s">
        <v>2358</v>
      </c>
      <c r="C1014" s="56" t="s">
        <v>51</v>
      </c>
      <c r="D1014" s="56" t="str">
        <f aca="false">IFERROR(INDEX('Brand Map'!$B$4:$B$124,MATCH(C1014,'Brand Map'!$A$4:$A$124,0)),"Other")</f>
        <v>AU</v>
      </c>
      <c r="E1014" s="57" t="n">
        <v>4</v>
      </c>
      <c r="F1014" s="57" t="n">
        <v>0</v>
      </c>
      <c r="G1014" s="58" t="n">
        <v>239.8</v>
      </c>
      <c r="H1014" s="58" t="n">
        <v>0</v>
      </c>
      <c r="I1014" s="58" t="n">
        <v>239.8</v>
      </c>
      <c r="J1014" s="32" t="n">
        <f aca="false">IF(E1014&gt;0,F1014/E1014,0)</f>
        <v>0</v>
      </c>
      <c r="K1014" s="32" t="n">
        <f aca="false">IF(G1014&gt;0,H1014/G1014,0)</f>
        <v>-0</v>
      </c>
      <c r="L1014" s="59" t="n">
        <f aca="false">H1014/Settings!$B$16</f>
        <v>-0</v>
      </c>
      <c r="M1014" s="59" t="n">
        <f aca="false">H1014/Settings!$B$20</f>
        <v>-0</v>
      </c>
      <c r="N1014" s="60" t="n">
        <f aca="false">E1014*Settings!$B$3</f>
        <v>0.123944604319282</v>
      </c>
      <c r="O1014" s="60" t="n">
        <f aca="false">IF(E1014&gt;0,(F1014-N1014)/SQRT(E1014*Settings!$B$3*(1-Settings!$B$3)),0)</f>
        <v>-0.357642251868888</v>
      </c>
      <c r="P1014" s="60" t="n">
        <f aca="false">MAX(0,F1014-N1014)</f>
        <v>0</v>
      </c>
      <c r="Q1014" s="32" t="n">
        <f aca="false">(F1014+Settings!$B$7*Settings!$B$3)/(E1014+Settings!$B$7)</f>
        <v>0.027340721541018</v>
      </c>
      <c r="R1014" s="61" t="n">
        <f aca="false">PERCENTRANK($H$2:$H$1780,H1014,6)</f>
        <v>0</v>
      </c>
      <c r="S1014" s="61" t="n">
        <f aca="false">PERCENTRANK($Q$2:$Q$1780,Q1014,6)</f>
        <v>0.253656</v>
      </c>
      <c r="T1014" s="61" t="n">
        <f aca="false">PERCENTRANK($F$2:$F$1780,F1014,6)</f>
        <v>0</v>
      </c>
      <c r="U1014" s="62" t="n">
        <f aca="false">IF(F1014&gt;0,(Settings!$B$8*T1014+Settings!$B$9*R1014+Settings!$B$10*S1014)/SUM(Settings!$B$8:$B$10),0)</f>
        <v>0</v>
      </c>
      <c r="V1014" s="56" t="str">
        <f aca="false">IF(U1014&gt;0,RANK(U1014,$U$2:$U$1780)+COUNTIF($U$2:U1014,U1014)-1,"")</f>
        <v/>
      </c>
      <c r="W1014" s="56" t="str">
        <f aca="false">IF(V1014="","",IF(V1014&lt;=Settings!$B$11,"1 - Fix first",IF(V1014&lt;=Settings!$B$12,"2 - Review","3 - Monitor")))</f>
        <v/>
      </c>
      <c r="X1014" s="56" t="str">
        <f aca="false">IF(AND(E1014&gt;=Settings!$B$4,F1014&gt;=Settings!$B$5,O1014&gt;=Settings!$B$6),"HIGH RATE","")</f>
        <v/>
      </c>
      <c r="Y1014" s="56" t="str">
        <f aca="false">IF(F1014&gt;0,RANK(F1014,$F$2:$F$1780)+COUNTIF($F$2:F1014,F1014)-1,"")</f>
        <v/>
      </c>
      <c r="Z1014" s="56" t="str">
        <f aca="false">IF(H1014&gt;0,RANK(H1014,$H$2:$H$1780)+COUNTIF($H$2:H1014,H1014)-1,"")</f>
        <v/>
      </c>
      <c r="AA1014" s="56" t="str">
        <f aca="false">IF(AC1014="","",RANK(AC1014,$AC$2:$AC$1780)+COUNTIF($AC$2:AC1014,AC1014)-1)</f>
        <v/>
      </c>
      <c r="AB1014" s="56" t="str">
        <f aca="false">IF(AD1014="","",RANK(AD1014,$AD$2:$AD$1780)+COUNTIF($AD$2:AD1014,AD1014)-1)</f>
        <v/>
      </c>
      <c r="AC1014" s="56" t="str">
        <f aca="false">IF(AND(F1014&gt;0,E1014&gt;=Settings!$B$4),J1014,"")</f>
        <v/>
      </c>
      <c r="AD1014" s="56" t="str">
        <f aca="false">IF(X1014="HIGH RATE",O1014,"")</f>
        <v/>
      </c>
    </row>
    <row r="1015" customFormat="false" ht="15" hidden="false" customHeight="false" outlineLevel="0" collapsed="false">
      <c r="A1015" s="56" t="s">
        <v>2362</v>
      </c>
      <c r="B1015" s="56" t="s">
        <v>2363</v>
      </c>
      <c r="C1015" s="56" t="s">
        <v>51</v>
      </c>
      <c r="D1015" s="56" t="str">
        <f aca="false">IFERROR(INDEX('Brand Map'!$B$4:$B$124,MATCH(C1015,'Brand Map'!$A$4:$A$124,0)),"Other")</f>
        <v>AU</v>
      </c>
      <c r="E1015" s="57" t="n">
        <v>3</v>
      </c>
      <c r="F1015" s="57" t="n">
        <v>0</v>
      </c>
      <c r="G1015" s="58" t="n">
        <v>434.85</v>
      </c>
      <c r="H1015" s="58" t="n">
        <v>0</v>
      </c>
      <c r="I1015" s="58" t="n">
        <v>434.85</v>
      </c>
      <c r="J1015" s="32" t="n">
        <f aca="false">IF(E1015&gt;0,F1015/E1015,0)</f>
        <v>0</v>
      </c>
      <c r="K1015" s="32" t="n">
        <f aca="false">IF(G1015&gt;0,H1015/G1015,0)</f>
        <v>-0</v>
      </c>
      <c r="L1015" s="59" t="n">
        <f aca="false">H1015/Settings!$B$16</f>
        <v>-0</v>
      </c>
      <c r="M1015" s="59" t="n">
        <f aca="false">H1015/Settings!$B$20</f>
        <v>-0</v>
      </c>
      <c r="N1015" s="60" t="n">
        <f aca="false">E1015*Settings!$B$3</f>
        <v>0.0929584532394613</v>
      </c>
      <c r="O1015" s="60" t="n">
        <f aca="false">IF(E1015&gt;0,(F1015-N1015)/SQRT(E1015*Settings!$B$3*(1-Settings!$B$3)),0)</f>
        <v>-0.30972727558513</v>
      </c>
      <c r="P1015" s="60" t="n">
        <f aca="false">MAX(0,F1015-N1015)</f>
        <v>0</v>
      </c>
      <c r="Q1015" s="32" t="n">
        <f aca="false">(F1015+Settings!$B$7*Settings!$B$3)/(E1015+Settings!$B$7)</f>
        <v>0.0281692282543822</v>
      </c>
      <c r="R1015" s="61" t="n">
        <f aca="false">PERCENTRANK($H$2:$H$1780,H1015,6)</f>
        <v>0</v>
      </c>
      <c r="S1015" s="61" t="n">
        <f aca="false">PERCENTRANK($Q$2:$Q$1780,Q1015,6)</f>
        <v>0.294151</v>
      </c>
      <c r="T1015" s="61" t="n">
        <f aca="false">PERCENTRANK($F$2:$F$1780,F1015,6)</f>
        <v>0</v>
      </c>
      <c r="U1015" s="62" t="n">
        <f aca="false">IF(F1015&gt;0,(Settings!$B$8*T1015+Settings!$B$9*R1015+Settings!$B$10*S1015)/SUM(Settings!$B$8:$B$10),0)</f>
        <v>0</v>
      </c>
      <c r="V1015" s="56" t="str">
        <f aca="false">IF(U1015&gt;0,RANK(U1015,$U$2:$U$1780)+COUNTIF($U$2:U1015,U1015)-1,"")</f>
        <v/>
      </c>
      <c r="W1015" s="56" t="str">
        <f aca="false">IF(V1015="","",IF(V1015&lt;=Settings!$B$11,"1 - Fix first",IF(V1015&lt;=Settings!$B$12,"2 - Review","3 - Monitor")))</f>
        <v/>
      </c>
      <c r="X1015" s="56" t="str">
        <f aca="false">IF(AND(E1015&gt;=Settings!$B$4,F1015&gt;=Settings!$B$5,O1015&gt;=Settings!$B$6),"HIGH RATE","")</f>
        <v/>
      </c>
      <c r="Y1015" s="56" t="str">
        <f aca="false">IF(F1015&gt;0,RANK(F1015,$F$2:$F$1780)+COUNTIF($F$2:F1015,F1015)-1,"")</f>
        <v/>
      </c>
      <c r="Z1015" s="56" t="str">
        <f aca="false">IF(H1015&gt;0,RANK(H1015,$H$2:$H$1780)+COUNTIF($H$2:H1015,H1015)-1,"")</f>
        <v/>
      </c>
      <c r="AA1015" s="56" t="str">
        <f aca="false">IF(AC1015="","",RANK(AC1015,$AC$2:$AC$1780)+COUNTIF($AC$2:AC1015,AC1015)-1)</f>
        <v/>
      </c>
      <c r="AB1015" s="56" t="str">
        <f aca="false">IF(AD1015="","",RANK(AD1015,$AD$2:$AD$1780)+COUNTIF($AD$2:AD1015,AD1015)-1)</f>
        <v/>
      </c>
      <c r="AC1015" s="56" t="str">
        <f aca="false">IF(AND(F1015&gt;0,E1015&gt;=Settings!$B$4),J1015,"")</f>
        <v/>
      </c>
      <c r="AD1015" s="56" t="str">
        <f aca="false">IF(X1015="HIGH RATE",O1015,"")</f>
        <v/>
      </c>
    </row>
    <row r="1016" customFormat="false" ht="15" hidden="false" customHeight="false" outlineLevel="0" collapsed="false">
      <c r="A1016" s="56" t="s">
        <v>2364</v>
      </c>
      <c r="B1016" s="56" t="s">
        <v>2365</v>
      </c>
      <c r="C1016" s="56" t="s">
        <v>51</v>
      </c>
      <c r="D1016" s="56" t="str">
        <f aca="false">IFERROR(INDEX('Brand Map'!$B$4:$B$124,MATCH(C1016,'Brand Map'!$A$4:$A$124,0)),"Other")</f>
        <v>AU</v>
      </c>
      <c r="E1016" s="57" t="n">
        <v>1</v>
      </c>
      <c r="F1016" s="57" t="n">
        <v>0</v>
      </c>
      <c r="G1016" s="58" t="n">
        <v>54.99</v>
      </c>
      <c r="H1016" s="58" t="n">
        <v>0</v>
      </c>
      <c r="I1016" s="58" t="n">
        <v>54.99</v>
      </c>
      <c r="J1016" s="32" t="n">
        <f aca="false">IF(E1016&gt;0,F1016/E1016,0)</f>
        <v>0</v>
      </c>
      <c r="K1016" s="32" t="n">
        <f aca="false">IF(G1016&gt;0,H1016/G1016,0)</f>
        <v>-0</v>
      </c>
      <c r="L1016" s="59" t="n">
        <f aca="false">H1016/Settings!$B$16</f>
        <v>-0</v>
      </c>
      <c r="M1016" s="59" t="n">
        <f aca="false">H1016/Settings!$B$20</f>
        <v>-0</v>
      </c>
      <c r="N1016" s="60" t="n">
        <f aca="false">E1016*Settings!$B$3</f>
        <v>0.0309861510798204</v>
      </c>
      <c r="O1016" s="60" t="n">
        <f aca="false">IF(E1016&gt;0,(F1016-N1016)/SQRT(E1016*Settings!$B$3*(1-Settings!$B$3)),0)</f>
        <v>-0.178821125934444</v>
      </c>
      <c r="P1016" s="60" t="n">
        <f aca="false">MAX(0,F1016-N1016)</f>
        <v>0</v>
      </c>
      <c r="Q1016" s="32" t="n">
        <f aca="false">(F1016+Settings!$B$7*Settings!$B$3)/(E1016+Settings!$B$7)</f>
        <v>0.0299865978191811</v>
      </c>
      <c r="R1016" s="61" t="n">
        <f aca="false">PERCENTRANK($H$2:$H$1780,H1016,6)</f>
        <v>0</v>
      </c>
      <c r="S1016" s="61" t="n">
        <f aca="false">PERCENTRANK($Q$2:$Q$1780,Q1016,6)</f>
        <v>0.486502</v>
      </c>
      <c r="T1016" s="61" t="n">
        <f aca="false">PERCENTRANK($F$2:$F$1780,F1016,6)</f>
        <v>0</v>
      </c>
      <c r="U1016" s="62" t="n">
        <f aca="false">IF(F1016&gt;0,(Settings!$B$8*T1016+Settings!$B$9*R1016+Settings!$B$10*S1016)/SUM(Settings!$B$8:$B$10),0)</f>
        <v>0</v>
      </c>
      <c r="V1016" s="56" t="str">
        <f aca="false">IF(U1016&gt;0,RANK(U1016,$U$2:$U$1780)+COUNTIF($U$2:U1016,U1016)-1,"")</f>
        <v/>
      </c>
      <c r="W1016" s="56" t="str">
        <f aca="false">IF(V1016="","",IF(V1016&lt;=Settings!$B$11,"1 - Fix first",IF(V1016&lt;=Settings!$B$12,"2 - Review","3 - Monitor")))</f>
        <v/>
      </c>
      <c r="X1016" s="56" t="str">
        <f aca="false">IF(AND(E1016&gt;=Settings!$B$4,F1016&gt;=Settings!$B$5,O1016&gt;=Settings!$B$6),"HIGH RATE","")</f>
        <v/>
      </c>
      <c r="Y1016" s="56" t="str">
        <f aca="false">IF(F1016&gt;0,RANK(F1016,$F$2:$F$1780)+COUNTIF($F$2:F1016,F1016)-1,"")</f>
        <v/>
      </c>
      <c r="Z1016" s="56" t="str">
        <f aca="false">IF(H1016&gt;0,RANK(H1016,$H$2:$H$1780)+COUNTIF($H$2:H1016,H1016)-1,"")</f>
        <v/>
      </c>
      <c r="AA1016" s="56" t="str">
        <f aca="false">IF(AC1016="","",RANK(AC1016,$AC$2:$AC$1780)+COUNTIF($AC$2:AC1016,AC1016)-1)</f>
        <v/>
      </c>
      <c r="AB1016" s="56" t="str">
        <f aca="false">IF(AD1016="","",RANK(AD1016,$AD$2:$AD$1780)+COUNTIF($AD$2:AD1016,AD1016)-1)</f>
        <v/>
      </c>
      <c r="AC1016" s="56" t="str">
        <f aca="false">IF(AND(F1016&gt;0,E1016&gt;=Settings!$B$4),J1016,"")</f>
        <v/>
      </c>
      <c r="AD1016" s="56" t="str">
        <f aca="false">IF(X1016="HIGH RATE",O1016,"")</f>
        <v/>
      </c>
    </row>
    <row r="1017" customFormat="false" ht="15" hidden="false" customHeight="false" outlineLevel="0" collapsed="false">
      <c r="A1017" s="56" t="s">
        <v>2366</v>
      </c>
      <c r="B1017" s="56" t="s">
        <v>2367</v>
      </c>
      <c r="C1017" s="56" t="s">
        <v>51</v>
      </c>
      <c r="D1017" s="56" t="str">
        <f aca="false">IFERROR(INDEX('Brand Map'!$B$4:$B$124,MATCH(C1017,'Brand Map'!$A$4:$A$124,0)),"Other")</f>
        <v>AU</v>
      </c>
      <c r="E1017" s="57" t="n">
        <v>3</v>
      </c>
      <c r="F1017" s="57" t="n">
        <v>0</v>
      </c>
      <c r="G1017" s="58" t="n">
        <v>244.77</v>
      </c>
      <c r="H1017" s="58" t="n">
        <v>0</v>
      </c>
      <c r="I1017" s="58" t="n">
        <v>244.77</v>
      </c>
      <c r="J1017" s="32" t="n">
        <f aca="false">IF(E1017&gt;0,F1017/E1017,0)</f>
        <v>0</v>
      </c>
      <c r="K1017" s="32" t="n">
        <f aca="false">IF(G1017&gt;0,H1017/G1017,0)</f>
        <v>-0</v>
      </c>
      <c r="L1017" s="59" t="n">
        <f aca="false">H1017/Settings!$B$16</f>
        <v>-0</v>
      </c>
      <c r="M1017" s="59" t="n">
        <f aca="false">H1017/Settings!$B$20</f>
        <v>-0</v>
      </c>
      <c r="N1017" s="60" t="n">
        <f aca="false">E1017*Settings!$B$3</f>
        <v>0.0929584532394613</v>
      </c>
      <c r="O1017" s="60" t="n">
        <f aca="false">IF(E1017&gt;0,(F1017-N1017)/SQRT(E1017*Settings!$B$3*(1-Settings!$B$3)),0)</f>
        <v>-0.30972727558513</v>
      </c>
      <c r="P1017" s="60" t="n">
        <f aca="false">MAX(0,F1017-N1017)</f>
        <v>0</v>
      </c>
      <c r="Q1017" s="32" t="n">
        <f aca="false">(F1017+Settings!$B$7*Settings!$B$3)/(E1017+Settings!$B$7)</f>
        <v>0.0281692282543822</v>
      </c>
      <c r="R1017" s="61" t="n">
        <f aca="false">PERCENTRANK($H$2:$H$1780,H1017,6)</f>
        <v>0</v>
      </c>
      <c r="S1017" s="61" t="n">
        <f aca="false">PERCENTRANK($Q$2:$Q$1780,Q1017,6)</f>
        <v>0.294151</v>
      </c>
      <c r="T1017" s="61" t="n">
        <f aca="false">PERCENTRANK($F$2:$F$1780,F1017,6)</f>
        <v>0</v>
      </c>
      <c r="U1017" s="62" t="n">
        <f aca="false">IF(F1017&gt;0,(Settings!$B$8*T1017+Settings!$B$9*R1017+Settings!$B$10*S1017)/SUM(Settings!$B$8:$B$10),0)</f>
        <v>0</v>
      </c>
      <c r="V1017" s="56" t="str">
        <f aca="false">IF(U1017&gt;0,RANK(U1017,$U$2:$U$1780)+COUNTIF($U$2:U1017,U1017)-1,"")</f>
        <v/>
      </c>
      <c r="W1017" s="56" t="str">
        <f aca="false">IF(V1017="","",IF(V1017&lt;=Settings!$B$11,"1 - Fix first",IF(V1017&lt;=Settings!$B$12,"2 - Review","3 - Monitor")))</f>
        <v/>
      </c>
      <c r="X1017" s="56" t="str">
        <f aca="false">IF(AND(E1017&gt;=Settings!$B$4,F1017&gt;=Settings!$B$5,O1017&gt;=Settings!$B$6),"HIGH RATE","")</f>
        <v/>
      </c>
      <c r="Y1017" s="56" t="str">
        <f aca="false">IF(F1017&gt;0,RANK(F1017,$F$2:$F$1780)+COUNTIF($F$2:F1017,F1017)-1,"")</f>
        <v/>
      </c>
      <c r="Z1017" s="56" t="str">
        <f aca="false">IF(H1017&gt;0,RANK(H1017,$H$2:$H$1780)+COUNTIF($H$2:H1017,H1017)-1,"")</f>
        <v/>
      </c>
      <c r="AA1017" s="56" t="str">
        <f aca="false">IF(AC1017="","",RANK(AC1017,$AC$2:$AC$1780)+COUNTIF($AC$2:AC1017,AC1017)-1)</f>
        <v/>
      </c>
      <c r="AB1017" s="56" t="str">
        <f aca="false">IF(AD1017="","",RANK(AD1017,$AD$2:$AD$1780)+COUNTIF($AD$2:AD1017,AD1017)-1)</f>
        <v/>
      </c>
      <c r="AC1017" s="56" t="str">
        <f aca="false">IF(AND(F1017&gt;0,E1017&gt;=Settings!$B$4),J1017,"")</f>
        <v/>
      </c>
      <c r="AD1017" s="56" t="str">
        <f aca="false">IF(X1017="HIGH RATE",O1017,"")</f>
        <v/>
      </c>
    </row>
    <row r="1018" customFormat="false" ht="15" hidden="false" customHeight="false" outlineLevel="0" collapsed="false">
      <c r="A1018" s="56" t="s">
        <v>2368</v>
      </c>
      <c r="B1018" s="56" t="s">
        <v>2367</v>
      </c>
      <c r="C1018" s="56" t="s">
        <v>51</v>
      </c>
      <c r="D1018" s="56" t="str">
        <f aca="false">IFERROR(INDEX('Brand Map'!$B$4:$B$124,MATCH(C1018,'Brand Map'!$A$4:$A$124,0)),"Other")</f>
        <v>AU</v>
      </c>
      <c r="E1018" s="57" t="n">
        <v>1</v>
      </c>
      <c r="F1018" s="57" t="n">
        <v>0</v>
      </c>
      <c r="G1018" s="58" t="n">
        <v>91.59</v>
      </c>
      <c r="H1018" s="58" t="n">
        <v>0</v>
      </c>
      <c r="I1018" s="58" t="n">
        <v>91.59</v>
      </c>
      <c r="J1018" s="32" t="n">
        <f aca="false">IF(E1018&gt;0,F1018/E1018,0)</f>
        <v>0</v>
      </c>
      <c r="K1018" s="32" t="n">
        <f aca="false">IF(G1018&gt;0,H1018/G1018,0)</f>
        <v>-0</v>
      </c>
      <c r="L1018" s="59" t="n">
        <f aca="false">H1018/Settings!$B$16</f>
        <v>-0</v>
      </c>
      <c r="M1018" s="59" t="n">
        <f aca="false">H1018/Settings!$B$20</f>
        <v>-0</v>
      </c>
      <c r="N1018" s="60" t="n">
        <f aca="false">E1018*Settings!$B$3</f>
        <v>0.0309861510798204</v>
      </c>
      <c r="O1018" s="60" t="n">
        <f aca="false">IF(E1018&gt;0,(F1018-N1018)/SQRT(E1018*Settings!$B$3*(1-Settings!$B$3)),0)</f>
        <v>-0.178821125934444</v>
      </c>
      <c r="P1018" s="60" t="n">
        <f aca="false">MAX(0,F1018-N1018)</f>
        <v>0</v>
      </c>
      <c r="Q1018" s="32" t="n">
        <f aca="false">(F1018+Settings!$B$7*Settings!$B$3)/(E1018+Settings!$B$7)</f>
        <v>0.0299865978191811</v>
      </c>
      <c r="R1018" s="61" t="n">
        <f aca="false">PERCENTRANK($H$2:$H$1780,H1018,6)</f>
        <v>0</v>
      </c>
      <c r="S1018" s="61" t="n">
        <f aca="false">PERCENTRANK($Q$2:$Q$1780,Q1018,6)</f>
        <v>0.486502</v>
      </c>
      <c r="T1018" s="61" t="n">
        <f aca="false">PERCENTRANK($F$2:$F$1780,F1018,6)</f>
        <v>0</v>
      </c>
      <c r="U1018" s="62" t="n">
        <f aca="false">IF(F1018&gt;0,(Settings!$B$8*T1018+Settings!$B$9*R1018+Settings!$B$10*S1018)/SUM(Settings!$B$8:$B$10),0)</f>
        <v>0</v>
      </c>
      <c r="V1018" s="56" t="str">
        <f aca="false">IF(U1018&gt;0,RANK(U1018,$U$2:$U$1780)+COUNTIF($U$2:U1018,U1018)-1,"")</f>
        <v/>
      </c>
      <c r="W1018" s="56" t="str">
        <f aca="false">IF(V1018="","",IF(V1018&lt;=Settings!$B$11,"1 - Fix first",IF(V1018&lt;=Settings!$B$12,"2 - Review","3 - Monitor")))</f>
        <v/>
      </c>
      <c r="X1018" s="56" t="str">
        <f aca="false">IF(AND(E1018&gt;=Settings!$B$4,F1018&gt;=Settings!$B$5,O1018&gt;=Settings!$B$6),"HIGH RATE","")</f>
        <v/>
      </c>
      <c r="Y1018" s="56" t="str">
        <f aca="false">IF(F1018&gt;0,RANK(F1018,$F$2:$F$1780)+COUNTIF($F$2:F1018,F1018)-1,"")</f>
        <v/>
      </c>
      <c r="Z1018" s="56" t="str">
        <f aca="false">IF(H1018&gt;0,RANK(H1018,$H$2:$H$1780)+COUNTIF($H$2:H1018,H1018)-1,"")</f>
        <v/>
      </c>
      <c r="AA1018" s="56" t="str">
        <f aca="false">IF(AC1018="","",RANK(AC1018,$AC$2:$AC$1780)+COUNTIF($AC$2:AC1018,AC1018)-1)</f>
        <v/>
      </c>
      <c r="AB1018" s="56" t="str">
        <f aca="false">IF(AD1018="","",RANK(AD1018,$AD$2:$AD$1780)+COUNTIF($AD$2:AD1018,AD1018)-1)</f>
        <v/>
      </c>
      <c r="AC1018" s="56" t="str">
        <f aca="false">IF(AND(F1018&gt;0,E1018&gt;=Settings!$B$4),J1018,"")</f>
        <v/>
      </c>
      <c r="AD1018" s="56" t="str">
        <f aca="false">IF(X1018="HIGH RATE",O1018,"")</f>
        <v/>
      </c>
    </row>
    <row r="1019" customFormat="false" ht="15" hidden="false" customHeight="false" outlineLevel="0" collapsed="false">
      <c r="A1019" s="56" t="s">
        <v>2369</v>
      </c>
      <c r="B1019" s="56" t="s">
        <v>2367</v>
      </c>
      <c r="C1019" s="56" t="s">
        <v>51</v>
      </c>
      <c r="D1019" s="56" t="str">
        <f aca="false">IFERROR(INDEX('Brand Map'!$B$4:$B$124,MATCH(C1019,'Brand Map'!$A$4:$A$124,0)),"Other")</f>
        <v>AU</v>
      </c>
      <c r="E1019" s="57" t="n">
        <v>1</v>
      </c>
      <c r="F1019" s="57" t="n">
        <v>0</v>
      </c>
      <c r="G1019" s="58" t="n">
        <v>61.59</v>
      </c>
      <c r="H1019" s="58" t="n">
        <v>0</v>
      </c>
      <c r="I1019" s="58" t="n">
        <v>61.59</v>
      </c>
      <c r="J1019" s="32" t="n">
        <f aca="false">IF(E1019&gt;0,F1019/E1019,0)</f>
        <v>0</v>
      </c>
      <c r="K1019" s="32" t="n">
        <f aca="false">IF(G1019&gt;0,H1019/G1019,0)</f>
        <v>-0</v>
      </c>
      <c r="L1019" s="59" t="n">
        <f aca="false">H1019/Settings!$B$16</f>
        <v>-0</v>
      </c>
      <c r="M1019" s="59" t="n">
        <f aca="false">H1019/Settings!$B$20</f>
        <v>-0</v>
      </c>
      <c r="N1019" s="60" t="n">
        <f aca="false">E1019*Settings!$B$3</f>
        <v>0.0309861510798204</v>
      </c>
      <c r="O1019" s="60" t="n">
        <f aca="false">IF(E1019&gt;0,(F1019-N1019)/SQRT(E1019*Settings!$B$3*(1-Settings!$B$3)),0)</f>
        <v>-0.178821125934444</v>
      </c>
      <c r="P1019" s="60" t="n">
        <f aca="false">MAX(0,F1019-N1019)</f>
        <v>0</v>
      </c>
      <c r="Q1019" s="32" t="n">
        <f aca="false">(F1019+Settings!$B$7*Settings!$B$3)/(E1019+Settings!$B$7)</f>
        <v>0.0299865978191811</v>
      </c>
      <c r="R1019" s="61" t="n">
        <f aca="false">PERCENTRANK($H$2:$H$1780,H1019,6)</f>
        <v>0</v>
      </c>
      <c r="S1019" s="61" t="n">
        <f aca="false">PERCENTRANK($Q$2:$Q$1780,Q1019,6)</f>
        <v>0.486502</v>
      </c>
      <c r="T1019" s="61" t="n">
        <f aca="false">PERCENTRANK($F$2:$F$1780,F1019,6)</f>
        <v>0</v>
      </c>
      <c r="U1019" s="62" t="n">
        <f aca="false">IF(F1019&gt;0,(Settings!$B$8*T1019+Settings!$B$9*R1019+Settings!$B$10*S1019)/SUM(Settings!$B$8:$B$10),0)</f>
        <v>0</v>
      </c>
      <c r="V1019" s="56" t="str">
        <f aca="false">IF(U1019&gt;0,RANK(U1019,$U$2:$U$1780)+COUNTIF($U$2:U1019,U1019)-1,"")</f>
        <v/>
      </c>
      <c r="W1019" s="56" t="str">
        <f aca="false">IF(V1019="","",IF(V1019&lt;=Settings!$B$11,"1 - Fix first",IF(V1019&lt;=Settings!$B$12,"2 - Review","3 - Monitor")))</f>
        <v/>
      </c>
      <c r="X1019" s="56" t="str">
        <f aca="false">IF(AND(E1019&gt;=Settings!$B$4,F1019&gt;=Settings!$B$5,O1019&gt;=Settings!$B$6),"HIGH RATE","")</f>
        <v/>
      </c>
      <c r="Y1019" s="56" t="str">
        <f aca="false">IF(F1019&gt;0,RANK(F1019,$F$2:$F$1780)+COUNTIF($F$2:F1019,F1019)-1,"")</f>
        <v/>
      </c>
      <c r="Z1019" s="56" t="str">
        <f aca="false">IF(H1019&gt;0,RANK(H1019,$H$2:$H$1780)+COUNTIF($H$2:H1019,H1019)-1,"")</f>
        <v/>
      </c>
      <c r="AA1019" s="56" t="str">
        <f aca="false">IF(AC1019="","",RANK(AC1019,$AC$2:$AC$1780)+COUNTIF($AC$2:AC1019,AC1019)-1)</f>
        <v/>
      </c>
      <c r="AB1019" s="56" t="str">
        <f aca="false">IF(AD1019="","",RANK(AD1019,$AD$2:$AD$1780)+COUNTIF($AD$2:AD1019,AD1019)-1)</f>
        <v/>
      </c>
      <c r="AC1019" s="56" t="str">
        <f aca="false">IF(AND(F1019&gt;0,E1019&gt;=Settings!$B$4),J1019,"")</f>
        <v/>
      </c>
      <c r="AD1019" s="56" t="str">
        <f aca="false">IF(X1019="HIGH RATE",O1019,"")</f>
        <v/>
      </c>
    </row>
    <row r="1020" customFormat="false" ht="15" hidden="false" customHeight="false" outlineLevel="0" collapsed="false">
      <c r="A1020" s="56" t="s">
        <v>2370</v>
      </c>
      <c r="B1020" s="56" t="s">
        <v>970</v>
      </c>
      <c r="C1020" s="56" t="s">
        <v>51</v>
      </c>
      <c r="D1020" s="56" t="str">
        <f aca="false">IFERROR(INDEX('Brand Map'!$B$4:$B$124,MATCH(C1020,'Brand Map'!$A$4:$A$124,0)),"Other")</f>
        <v>AU</v>
      </c>
      <c r="E1020" s="57" t="n">
        <v>1</v>
      </c>
      <c r="F1020" s="57" t="n">
        <v>0</v>
      </c>
      <c r="G1020" s="58" t="n">
        <v>54.95</v>
      </c>
      <c r="H1020" s="58" t="n">
        <v>0</v>
      </c>
      <c r="I1020" s="58" t="n">
        <v>54.95</v>
      </c>
      <c r="J1020" s="32" t="n">
        <f aca="false">IF(E1020&gt;0,F1020/E1020,0)</f>
        <v>0</v>
      </c>
      <c r="K1020" s="32" t="n">
        <f aca="false">IF(G1020&gt;0,H1020/G1020,0)</f>
        <v>-0</v>
      </c>
      <c r="L1020" s="59" t="n">
        <f aca="false">H1020/Settings!$B$16</f>
        <v>-0</v>
      </c>
      <c r="M1020" s="59" t="n">
        <f aca="false">H1020/Settings!$B$20</f>
        <v>-0</v>
      </c>
      <c r="N1020" s="60" t="n">
        <f aca="false">E1020*Settings!$B$3</f>
        <v>0.0309861510798204</v>
      </c>
      <c r="O1020" s="60" t="n">
        <f aca="false">IF(E1020&gt;0,(F1020-N1020)/SQRT(E1020*Settings!$B$3*(1-Settings!$B$3)),0)</f>
        <v>-0.178821125934444</v>
      </c>
      <c r="P1020" s="60" t="n">
        <f aca="false">MAX(0,F1020-N1020)</f>
        <v>0</v>
      </c>
      <c r="Q1020" s="32" t="n">
        <f aca="false">(F1020+Settings!$B$7*Settings!$B$3)/(E1020+Settings!$B$7)</f>
        <v>0.0299865978191811</v>
      </c>
      <c r="R1020" s="61" t="n">
        <f aca="false">PERCENTRANK($H$2:$H$1780,H1020,6)</f>
        <v>0</v>
      </c>
      <c r="S1020" s="61" t="n">
        <f aca="false">PERCENTRANK($Q$2:$Q$1780,Q1020,6)</f>
        <v>0.486502</v>
      </c>
      <c r="T1020" s="61" t="n">
        <f aca="false">PERCENTRANK($F$2:$F$1780,F1020,6)</f>
        <v>0</v>
      </c>
      <c r="U1020" s="62" t="n">
        <f aca="false">IF(F1020&gt;0,(Settings!$B$8*T1020+Settings!$B$9*R1020+Settings!$B$10*S1020)/SUM(Settings!$B$8:$B$10),0)</f>
        <v>0</v>
      </c>
      <c r="V1020" s="56" t="str">
        <f aca="false">IF(U1020&gt;0,RANK(U1020,$U$2:$U$1780)+COUNTIF($U$2:U1020,U1020)-1,"")</f>
        <v/>
      </c>
      <c r="W1020" s="56" t="str">
        <f aca="false">IF(V1020="","",IF(V1020&lt;=Settings!$B$11,"1 - Fix first",IF(V1020&lt;=Settings!$B$12,"2 - Review","3 - Monitor")))</f>
        <v/>
      </c>
      <c r="X1020" s="56" t="str">
        <f aca="false">IF(AND(E1020&gt;=Settings!$B$4,F1020&gt;=Settings!$B$5,O1020&gt;=Settings!$B$6),"HIGH RATE","")</f>
        <v/>
      </c>
      <c r="Y1020" s="56" t="str">
        <f aca="false">IF(F1020&gt;0,RANK(F1020,$F$2:$F$1780)+COUNTIF($F$2:F1020,F1020)-1,"")</f>
        <v/>
      </c>
      <c r="Z1020" s="56" t="str">
        <f aca="false">IF(H1020&gt;0,RANK(H1020,$H$2:$H$1780)+COUNTIF($H$2:H1020,H1020)-1,"")</f>
        <v/>
      </c>
      <c r="AA1020" s="56" t="str">
        <f aca="false">IF(AC1020="","",RANK(AC1020,$AC$2:$AC$1780)+COUNTIF($AC$2:AC1020,AC1020)-1)</f>
        <v/>
      </c>
      <c r="AB1020" s="56" t="str">
        <f aca="false">IF(AD1020="","",RANK(AD1020,$AD$2:$AD$1780)+COUNTIF($AD$2:AD1020,AD1020)-1)</f>
        <v/>
      </c>
      <c r="AC1020" s="56" t="str">
        <f aca="false">IF(AND(F1020&gt;0,E1020&gt;=Settings!$B$4),J1020,"")</f>
        <v/>
      </c>
      <c r="AD1020" s="56" t="str">
        <f aca="false">IF(X1020="HIGH RATE",O1020,"")</f>
        <v/>
      </c>
    </row>
    <row r="1021" customFormat="false" ht="15" hidden="false" customHeight="false" outlineLevel="0" collapsed="false">
      <c r="A1021" s="56" t="s">
        <v>2371</v>
      </c>
      <c r="B1021" s="56" t="s">
        <v>970</v>
      </c>
      <c r="C1021" s="56" t="s">
        <v>51</v>
      </c>
      <c r="D1021" s="56" t="str">
        <f aca="false">IFERROR(INDEX('Brand Map'!$B$4:$B$124,MATCH(C1021,'Brand Map'!$A$4:$A$124,0)),"Other")</f>
        <v>AU</v>
      </c>
      <c r="E1021" s="57" t="n">
        <v>1</v>
      </c>
      <c r="F1021" s="57" t="n">
        <v>0</v>
      </c>
      <c r="G1021" s="58" t="n">
        <v>84.95</v>
      </c>
      <c r="H1021" s="58" t="n">
        <v>0</v>
      </c>
      <c r="I1021" s="58" t="n">
        <v>84.95</v>
      </c>
      <c r="J1021" s="32" t="n">
        <f aca="false">IF(E1021&gt;0,F1021/E1021,0)</f>
        <v>0</v>
      </c>
      <c r="K1021" s="32" t="n">
        <f aca="false">IF(G1021&gt;0,H1021/G1021,0)</f>
        <v>-0</v>
      </c>
      <c r="L1021" s="59" t="n">
        <f aca="false">H1021/Settings!$B$16</f>
        <v>-0</v>
      </c>
      <c r="M1021" s="59" t="n">
        <f aca="false">H1021/Settings!$B$20</f>
        <v>-0</v>
      </c>
      <c r="N1021" s="60" t="n">
        <f aca="false">E1021*Settings!$B$3</f>
        <v>0.0309861510798204</v>
      </c>
      <c r="O1021" s="60" t="n">
        <f aca="false">IF(E1021&gt;0,(F1021-N1021)/SQRT(E1021*Settings!$B$3*(1-Settings!$B$3)),0)</f>
        <v>-0.178821125934444</v>
      </c>
      <c r="P1021" s="60" t="n">
        <f aca="false">MAX(0,F1021-N1021)</f>
        <v>0</v>
      </c>
      <c r="Q1021" s="32" t="n">
        <f aca="false">(F1021+Settings!$B$7*Settings!$B$3)/(E1021+Settings!$B$7)</f>
        <v>0.0299865978191811</v>
      </c>
      <c r="R1021" s="61" t="n">
        <f aca="false">PERCENTRANK($H$2:$H$1780,H1021,6)</f>
        <v>0</v>
      </c>
      <c r="S1021" s="61" t="n">
        <f aca="false">PERCENTRANK($Q$2:$Q$1780,Q1021,6)</f>
        <v>0.486502</v>
      </c>
      <c r="T1021" s="61" t="n">
        <f aca="false">PERCENTRANK($F$2:$F$1780,F1021,6)</f>
        <v>0</v>
      </c>
      <c r="U1021" s="62" t="n">
        <f aca="false">IF(F1021&gt;0,(Settings!$B$8*T1021+Settings!$B$9*R1021+Settings!$B$10*S1021)/SUM(Settings!$B$8:$B$10),0)</f>
        <v>0</v>
      </c>
      <c r="V1021" s="56" t="str">
        <f aca="false">IF(U1021&gt;0,RANK(U1021,$U$2:$U$1780)+COUNTIF($U$2:U1021,U1021)-1,"")</f>
        <v/>
      </c>
      <c r="W1021" s="56" t="str">
        <f aca="false">IF(V1021="","",IF(V1021&lt;=Settings!$B$11,"1 - Fix first",IF(V1021&lt;=Settings!$B$12,"2 - Review","3 - Monitor")))</f>
        <v/>
      </c>
      <c r="X1021" s="56" t="str">
        <f aca="false">IF(AND(E1021&gt;=Settings!$B$4,F1021&gt;=Settings!$B$5,O1021&gt;=Settings!$B$6),"HIGH RATE","")</f>
        <v/>
      </c>
      <c r="Y1021" s="56" t="str">
        <f aca="false">IF(F1021&gt;0,RANK(F1021,$F$2:$F$1780)+COUNTIF($F$2:F1021,F1021)-1,"")</f>
        <v/>
      </c>
      <c r="Z1021" s="56" t="str">
        <f aca="false">IF(H1021&gt;0,RANK(H1021,$H$2:$H$1780)+COUNTIF($H$2:H1021,H1021)-1,"")</f>
        <v/>
      </c>
      <c r="AA1021" s="56" t="str">
        <f aca="false">IF(AC1021="","",RANK(AC1021,$AC$2:$AC$1780)+COUNTIF($AC$2:AC1021,AC1021)-1)</f>
        <v/>
      </c>
      <c r="AB1021" s="56" t="str">
        <f aca="false">IF(AD1021="","",RANK(AD1021,$AD$2:$AD$1780)+COUNTIF($AD$2:AD1021,AD1021)-1)</f>
        <v/>
      </c>
      <c r="AC1021" s="56" t="str">
        <f aca="false">IF(AND(F1021&gt;0,E1021&gt;=Settings!$B$4),J1021,"")</f>
        <v/>
      </c>
      <c r="AD1021" s="56" t="str">
        <f aca="false">IF(X1021="HIGH RATE",O1021,"")</f>
        <v/>
      </c>
    </row>
    <row r="1022" customFormat="false" ht="15" hidden="false" customHeight="false" outlineLevel="0" collapsed="false">
      <c r="A1022" s="56" t="s">
        <v>2372</v>
      </c>
      <c r="B1022" s="56" t="s">
        <v>970</v>
      </c>
      <c r="C1022" s="56" t="s">
        <v>51</v>
      </c>
      <c r="D1022" s="56" t="str">
        <f aca="false">IFERROR(INDEX('Brand Map'!$B$4:$B$124,MATCH(C1022,'Brand Map'!$A$4:$A$124,0)),"Other")</f>
        <v>AU</v>
      </c>
      <c r="E1022" s="57" t="n">
        <v>1</v>
      </c>
      <c r="F1022" s="57" t="n">
        <v>0</v>
      </c>
      <c r="G1022" s="58" t="n">
        <v>99.95</v>
      </c>
      <c r="H1022" s="58" t="n">
        <v>0</v>
      </c>
      <c r="I1022" s="58" t="n">
        <v>99.95</v>
      </c>
      <c r="J1022" s="32" t="n">
        <f aca="false">IF(E1022&gt;0,F1022/E1022,0)</f>
        <v>0</v>
      </c>
      <c r="K1022" s="32" t="n">
        <f aca="false">IF(G1022&gt;0,H1022/G1022,0)</f>
        <v>-0</v>
      </c>
      <c r="L1022" s="59" t="n">
        <f aca="false">H1022/Settings!$B$16</f>
        <v>-0</v>
      </c>
      <c r="M1022" s="59" t="n">
        <f aca="false">H1022/Settings!$B$20</f>
        <v>-0</v>
      </c>
      <c r="N1022" s="60" t="n">
        <f aca="false">E1022*Settings!$B$3</f>
        <v>0.0309861510798204</v>
      </c>
      <c r="O1022" s="60" t="n">
        <f aca="false">IF(E1022&gt;0,(F1022-N1022)/SQRT(E1022*Settings!$B$3*(1-Settings!$B$3)),0)</f>
        <v>-0.178821125934444</v>
      </c>
      <c r="P1022" s="60" t="n">
        <f aca="false">MAX(0,F1022-N1022)</f>
        <v>0</v>
      </c>
      <c r="Q1022" s="32" t="n">
        <f aca="false">(F1022+Settings!$B$7*Settings!$B$3)/(E1022+Settings!$B$7)</f>
        <v>0.0299865978191811</v>
      </c>
      <c r="R1022" s="61" t="n">
        <f aca="false">PERCENTRANK($H$2:$H$1780,H1022,6)</f>
        <v>0</v>
      </c>
      <c r="S1022" s="61" t="n">
        <f aca="false">PERCENTRANK($Q$2:$Q$1780,Q1022,6)</f>
        <v>0.486502</v>
      </c>
      <c r="T1022" s="61" t="n">
        <f aca="false">PERCENTRANK($F$2:$F$1780,F1022,6)</f>
        <v>0</v>
      </c>
      <c r="U1022" s="62" t="n">
        <f aca="false">IF(F1022&gt;0,(Settings!$B$8*T1022+Settings!$B$9*R1022+Settings!$B$10*S1022)/SUM(Settings!$B$8:$B$10),0)</f>
        <v>0</v>
      </c>
      <c r="V1022" s="56" t="str">
        <f aca="false">IF(U1022&gt;0,RANK(U1022,$U$2:$U$1780)+COUNTIF($U$2:U1022,U1022)-1,"")</f>
        <v/>
      </c>
      <c r="W1022" s="56" t="str">
        <f aca="false">IF(V1022="","",IF(V1022&lt;=Settings!$B$11,"1 - Fix first",IF(V1022&lt;=Settings!$B$12,"2 - Review","3 - Monitor")))</f>
        <v/>
      </c>
      <c r="X1022" s="56" t="str">
        <f aca="false">IF(AND(E1022&gt;=Settings!$B$4,F1022&gt;=Settings!$B$5,O1022&gt;=Settings!$B$6),"HIGH RATE","")</f>
        <v/>
      </c>
      <c r="Y1022" s="56" t="str">
        <f aca="false">IF(F1022&gt;0,RANK(F1022,$F$2:$F$1780)+COUNTIF($F$2:F1022,F1022)-1,"")</f>
        <v/>
      </c>
      <c r="Z1022" s="56" t="str">
        <f aca="false">IF(H1022&gt;0,RANK(H1022,$H$2:$H$1780)+COUNTIF($H$2:H1022,H1022)-1,"")</f>
        <v/>
      </c>
      <c r="AA1022" s="56" t="str">
        <f aca="false">IF(AC1022="","",RANK(AC1022,$AC$2:$AC$1780)+COUNTIF($AC$2:AC1022,AC1022)-1)</f>
        <v/>
      </c>
      <c r="AB1022" s="56" t="str">
        <f aca="false">IF(AD1022="","",RANK(AD1022,$AD$2:$AD$1780)+COUNTIF($AD$2:AD1022,AD1022)-1)</f>
        <v/>
      </c>
      <c r="AC1022" s="56" t="str">
        <f aca="false">IF(AND(F1022&gt;0,E1022&gt;=Settings!$B$4),J1022,"")</f>
        <v/>
      </c>
      <c r="AD1022" s="56" t="str">
        <f aca="false">IF(X1022="HIGH RATE",O1022,"")</f>
        <v/>
      </c>
    </row>
    <row r="1023" customFormat="false" ht="15" hidden="false" customHeight="false" outlineLevel="0" collapsed="false">
      <c r="A1023" s="56" t="s">
        <v>2373</v>
      </c>
      <c r="B1023" s="56" t="s">
        <v>970</v>
      </c>
      <c r="C1023" s="56" t="s">
        <v>51</v>
      </c>
      <c r="D1023" s="56" t="str">
        <f aca="false">IFERROR(INDEX('Brand Map'!$B$4:$B$124,MATCH(C1023,'Brand Map'!$A$4:$A$124,0)),"Other")</f>
        <v>AU</v>
      </c>
      <c r="E1023" s="57" t="n">
        <v>24</v>
      </c>
      <c r="F1023" s="57" t="n">
        <v>0</v>
      </c>
      <c r="G1023" s="58" t="n">
        <v>1318.8</v>
      </c>
      <c r="H1023" s="58" t="n">
        <v>0</v>
      </c>
      <c r="I1023" s="58" t="n">
        <v>1318.8</v>
      </c>
      <c r="J1023" s="32" t="n">
        <f aca="false">IF(E1023&gt;0,F1023/E1023,0)</f>
        <v>0</v>
      </c>
      <c r="K1023" s="32" t="n">
        <f aca="false">IF(G1023&gt;0,H1023/G1023,0)</f>
        <v>-0</v>
      </c>
      <c r="L1023" s="59" t="n">
        <f aca="false">H1023/Settings!$B$16</f>
        <v>-0</v>
      </c>
      <c r="M1023" s="59" t="n">
        <f aca="false">H1023/Settings!$B$20</f>
        <v>-0</v>
      </c>
      <c r="N1023" s="60" t="n">
        <f aca="false">E1023*Settings!$B$3</f>
        <v>0.74366762591569</v>
      </c>
      <c r="O1023" s="60" t="n">
        <f aca="false">IF(E1023&gt;0,(F1023-N1023)/SQRT(E1023*Settings!$B$3*(1-Settings!$B$3)),0)</f>
        <v>-0.876041027538719</v>
      </c>
      <c r="P1023" s="60" t="n">
        <f aca="false">MAX(0,F1023-N1023)</f>
        <v>0</v>
      </c>
      <c r="Q1023" s="32" t="n">
        <f aca="false">(F1023+Settings!$B$7*Settings!$B$3)/(E1023+Settings!$B$7)</f>
        <v>0.017214528377678</v>
      </c>
      <c r="R1023" s="61" t="n">
        <f aca="false">PERCENTRANK($H$2:$H$1780,H1023,6)</f>
        <v>0</v>
      </c>
      <c r="S1023" s="61" t="n">
        <f aca="false">PERCENTRANK($Q$2:$Q$1780,Q1023,6)</f>
        <v>0.0556805</v>
      </c>
      <c r="T1023" s="61" t="n">
        <f aca="false">PERCENTRANK($F$2:$F$1780,F1023,6)</f>
        <v>0</v>
      </c>
      <c r="U1023" s="62" t="n">
        <f aca="false">IF(F1023&gt;0,(Settings!$B$8*T1023+Settings!$B$9*R1023+Settings!$B$10*S1023)/SUM(Settings!$B$8:$B$10),0)</f>
        <v>0</v>
      </c>
      <c r="V1023" s="56" t="str">
        <f aca="false">IF(U1023&gt;0,RANK(U1023,$U$2:$U$1780)+COUNTIF($U$2:U1023,U1023)-1,"")</f>
        <v/>
      </c>
      <c r="W1023" s="56" t="str">
        <f aca="false">IF(V1023="","",IF(V1023&lt;=Settings!$B$11,"1 - Fix first",IF(V1023&lt;=Settings!$B$12,"2 - Review","3 - Monitor")))</f>
        <v/>
      </c>
      <c r="X1023" s="56" t="str">
        <f aca="false">IF(AND(E1023&gt;=Settings!$B$4,F1023&gt;=Settings!$B$5,O1023&gt;=Settings!$B$6),"HIGH RATE","")</f>
        <v/>
      </c>
      <c r="Y1023" s="56" t="str">
        <f aca="false">IF(F1023&gt;0,RANK(F1023,$F$2:$F$1780)+COUNTIF($F$2:F1023,F1023)-1,"")</f>
        <v/>
      </c>
      <c r="Z1023" s="56" t="str">
        <f aca="false">IF(H1023&gt;0,RANK(H1023,$H$2:$H$1780)+COUNTIF($H$2:H1023,H1023)-1,"")</f>
        <v/>
      </c>
      <c r="AA1023" s="56" t="str">
        <f aca="false">IF(AC1023="","",RANK(AC1023,$AC$2:$AC$1780)+COUNTIF($AC$2:AC1023,AC1023)-1)</f>
        <v/>
      </c>
      <c r="AB1023" s="56" t="str">
        <f aca="false">IF(AD1023="","",RANK(AD1023,$AD$2:$AD$1780)+COUNTIF($AD$2:AD1023,AD1023)-1)</f>
        <v/>
      </c>
      <c r="AC1023" s="56" t="str">
        <f aca="false">IF(AND(F1023&gt;0,E1023&gt;=Settings!$B$4),J1023,"")</f>
        <v/>
      </c>
      <c r="AD1023" s="56" t="str">
        <f aca="false">IF(X1023="HIGH RATE",O1023,"")</f>
        <v/>
      </c>
    </row>
    <row r="1024" customFormat="false" ht="15" hidden="false" customHeight="false" outlineLevel="0" collapsed="false">
      <c r="A1024" s="56" t="s">
        <v>2374</v>
      </c>
      <c r="B1024" s="56" t="s">
        <v>2375</v>
      </c>
      <c r="C1024" s="56" t="s">
        <v>51</v>
      </c>
      <c r="D1024" s="56" t="str">
        <f aca="false">IFERROR(INDEX('Brand Map'!$B$4:$B$124,MATCH(C1024,'Brand Map'!$A$4:$A$124,0)),"Other")</f>
        <v>AU</v>
      </c>
      <c r="E1024" s="57" t="n">
        <v>1</v>
      </c>
      <c r="F1024" s="57" t="n">
        <v>0</v>
      </c>
      <c r="G1024" s="58" t="n">
        <v>54.95</v>
      </c>
      <c r="H1024" s="58" t="n">
        <v>0</v>
      </c>
      <c r="I1024" s="58" t="n">
        <v>54.95</v>
      </c>
      <c r="J1024" s="32" t="n">
        <f aca="false">IF(E1024&gt;0,F1024/E1024,0)</f>
        <v>0</v>
      </c>
      <c r="K1024" s="32" t="n">
        <f aca="false">IF(G1024&gt;0,H1024/G1024,0)</f>
        <v>-0</v>
      </c>
      <c r="L1024" s="59" t="n">
        <f aca="false">H1024/Settings!$B$16</f>
        <v>-0</v>
      </c>
      <c r="M1024" s="59" t="n">
        <f aca="false">H1024/Settings!$B$20</f>
        <v>-0</v>
      </c>
      <c r="N1024" s="60" t="n">
        <f aca="false">E1024*Settings!$B$3</f>
        <v>0.0309861510798204</v>
      </c>
      <c r="O1024" s="60" t="n">
        <f aca="false">IF(E1024&gt;0,(F1024-N1024)/SQRT(E1024*Settings!$B$3*(1-Settings!$B$3)),0)</f>
        <v>-0.178821125934444</v>
      </c>
      <c r="P1024" s="60" t="n">
        <f aca="false">MAX(0,F1024-N1024)</f>
        <v>0</v>
      </c>
      <c r="Q1024" s="32" t="n">
        <f aca="false">(F1024+Settings!$B$7*Settings!$B$3)/(E1024+Settings!$B$7)</f>
        <v>0.0299865978191811</v>
      </c>
      <c r="R1024" s="61" t="n">
        <f aca="false">PERCENTRANK($H$2:$H$1780,H1024,6)</f>
        <v>0</v>
      </c>
      <c r="S1024" s="61" t="n">
        <f aca="false">PERCENTRANK($Q$2:$Q$1780,Q1024,6)</f>
        <v>0.486502</v>
      </c>
      <c r="T1024" s="61" t="n">
        <f aca="false">PERCENTRANK($F$2:$F$1780,F1024,6)</f>
        <v>0</v>
      </c>
      <c r="U1024" s="62" t="n">
        <f aca="false">IF(F1024&gt;0,(Settings!$B$8*T1024+Settings!$B$9*R1024+Settings!$B$10*S1024)/SUM(Settings!$B$8:$B$10),0)</f>
        <v>0</v>
      </c>
      <c r="V1024" s="56" t="str">
        <f aca="false">IF(U1024&gt;0,RANK(U1024,$U$2:$U$1780)+COUNTIF($U$2:U1024,U1024)-1,"")</f>
        <v/>
      </c>
      <c r="W1024" s="56" t="str">
        <f aca="false">IF(V1024="","",IF(V1024&lt;=Settings!$B$11,"1 - Fix first",IF(V1024&lt;=Settings!$B$12,"2 - Review","3 - Monitor")))</f>
        <v/>
      </c>
      <c r="X1024" s="56" t="str">
        <f aca="false">IF(AND(E1024&gt;=Settings!$B$4,F1024&gt;=Settings!$B$5,O1024&gt;=Settings!$B$6),"HIGH RATE","")</f>
        <v/>
      </c>
      <c r="Y1024" s="56" t="str">
        <f aca="false">IF(F1024&gt;0,RANK(F1024,$F$2:$F$1780)+COUNTIF($F$2:F1024,F1024)-1,"")</f>
        <v/>
      </c>
      <c r="Z1024" s="56" t="str">
        <f aca="false">IF(H1024&gt;0,RANK(H1024,$H$2:$H$1780)+COUNTIF($H$2:H1024,H1024)-1,"")</f>
        <v/>
      </c>
      <c r="AA1024" s="56" t="str">
        <f aca="false">IF(AC1024="","",RANK(AC1024,$AC$2:$AC$1780)+COUNTIF($AC$2:AC1024,AC1024)-1)</f>
        <v/>
      </c>
      <c r="AB1024" s="56" t="str">
        <f aca="false">IF(AD1024="","",RANK(AD1024,$AD$2:$AD$1780)+COUNTIF($AD$2:AD1024,AD1024)-1)</f>
        <v/>
      </c>
      <c r="AC1024" s="56" t="str">
        <f aca="false">IF(AND(F1024&gt;0,E1024&gt;=Settings!$B$4),J1024,"")</f>
        <v/>
      </c>
      <c r="AD1024" s="56" t="str">
        <f aca="false">IF(X1024="HIGH RATE",O1024,"")</f>
        <v/>
      </c>
    </row>
    <row r="1025" customFormat="false" ht="15" hidden="false" customHeight="false" outlineLevel="0" collapsed="false">
      <c r="A1025" s="56" t="s">
        <v>2376</v>
      </c>
      <c r="B1025" s="56" t="s">
        <v>2375</v>
      </c>
      <c r="C1025" s="56" t="s">
        <v>51</v>
      </c>
      <c r="D1025" s="56" t="str">
        <f aca="false">IFERROR(INDEX('Brand Map'!$B$4:$B$124,MATCH(C1025,'Brand Map'!$A$4:$A$124,0)),"Other")</f>
        <v>AU</v>
      </c>
      <c r="E1025" s="57" t="n">
        <v>10</v>
      </c>
      <c r="F1025" s="57" t="n">
        <v>0</v>
      </c>
      <c r="G1025" s="58" t="n">
        <v>699.5</v>
      </c>
      <c r="H1025" s="58" t="n">
        <v>0</v>
      </c>
      <c r="I1025" s="58" t="n">
        <v>699.5</v>
      </c>
      <c r="J1025" s="32" t="n">
        <f aca="false">IF(E1025&gt;0,F1025/E1025,0)</f>
        <v>0</v>
      </c>
      <c r="K1025" s="32" t="n">
        <f aca="false">IF(G1025&gt;0,H1025/G1025,0)</f>
        <v>-0</v>
      </c>
      <c r="L1025" s="59" t="n">
        <f aca="false">H1025/Settings!$B$16</f>
        <v>-0</v>
      </c>
      <c r="M1025" s="59" t="n">
        <f aca="false">H1025/Settings!$B$20</f>
        <v>-0</v>
      </c>
      <c r="N1025" s="60" t="n">
        <f aca="false">E1025*Settings!$B$3</f>
        <v>0.309861510798204</v>
      </c>
      <c r="O1025" s="60" t="n">
        <f aca="false">IF(E1025&gt;0,(F1025-N1025)/SQRT(E1025*Settings!$B$3*(1-Settings!$B$3)),0)</f>
        <v>-0.565482051708649</v>
      </c>
      <c r="P1025" s="60" t="n">
        <f aca="false">MAX(0,F1025-N1025)</f>
        <v>0</v>
      </c>
      <c r="Q1025" s="32" t="n">
        <f aca="false">(F1025+Settings!$B$7*Settings!$B$3)/(E1025+Settings!$B$7)</f>
        <v>0.0232396133098653</v>
      </c>
      <c r="R1025" s="61" t="n">
        <f aca="false">PERCENTRANK($H$2:$H$1780,H1025,6)</f>
        <v>0</v>
      </c>
      <c r="S1025" s="61" t="n">
        <f aca="false">PERCENTRANK($Q$2:$Q$1780,Q1025,6)</f>
        <v>0.131046</v>
      </c>
      <c r="T1025" s="61" t="n">
        <f aca="false">PERCENTRANK($F$2:$F$1780,F1025,6)</f>
        <v>0</v>
      </c>
      <c r="U1025" s="62" t="n">
        <f aca="false">IF(F1025&gt;0,(Settings!$B$8*T1025+Settings!$B$9*R1025+Settings!$B$10*S1025)/SUM(Settings!$B$8:$B$10),0)</f>
        <v>0</v>
      </c>
      <c r="V1025" s="56" t="str">
        <f aca="false">IF(U1025&gt;0,RANK(U1025,$U$2:$U$1780)+COUNTIF($U$2:U1025,U1025)-1,"")</f>
        <v/>
      </c>
      <c r="W1025" s="56" t="str">
        <f aca="false">IF(V1025="","",IF(V1025&lt;=Settings!$B$11,"1 - Fix first",IF(V1025&lt;=Settings!$B$12,"2 - Review","3 - Monitor")))</f>
        <v/>
      </c>
      <c r="X1025" s="56" t="str">
        <f aca="false">IF(AND(E1025&gt;=Settings!$B$4,F1025&gt;=Settings!$B$5,O1025&gt;=Settings!$B$6),"HIGH RATE","")</f>
        <v/>
      </c>
      <c r="Y1025" s="56" t="str">
        <f aca="false">IF(F1025&gt;0,RANK(F1025,$F$2:$F$1780)+COUNTIF($F$2:F1025,F1025)-1,"")</f>
        <v/>
      </c>
      <c r="Z1025" s="56" t="str">
        <f aca="false">IF(H1025&gt;0,RANK(H1025,$H$2:$H$1780)+COUNTIF($H$2:H1025,H1025)-1,"")</f>
        <v/>
      </c>
      <c r="AA1025" s="56" t="str">
        <f aca="false">IF(AC1025="","",RANK(AC1025,$AC$2:$AC$1780)+COUNTIF($AC$2:AC1025,AC1025)-1)</f>
        <v/>
      </c>
      <c r="AB1025" s="56" t="str">
        <f aca="false">IF(AD1025="","",RANK(AD1025,$AD$2:$AD$1780)+COUNTIF($AD$2:AD1025,AD1025)-1)</f>
        <v/>
      </c>
      <c r="AC1025" s="56" t="str">
        <f aca="false">IF(AND(F1025&gt;0,E1025&gt;=Settings!$B$4),J1025,"")</f>
        <v/>
      </c>
      <c r="AD1025" s="56" t="str">
        <f aca="false">IF(X1025="HIGH RATE",O1025,"")</f>
        <v/>
      </c>
    </row>
    <row r="1026" customFormat="false" ht="15" hidden="false" customHeight="false" outlineLevel="0" collapsed="false">
      <c r="A1026" s="56" t="s">
        <v>2377</v>
      </c>
      <c r="B1026" s="56" t="s">
        <v>2375</v>
      </c>
      <c r="C1026" s="56" t="s">
        <v>51</v>
      </c>
      <c r="D1026" s="56" t="str">
        <f aca="false">IFERROR(INDEX('Brand Map'!$B$4:$B$124,MATCH(C1026,'Brand Map'!$A$4:$A$124,0)),"Other")</f>
        <v>AU</v>
      </c>
      <c r="E1026" s="57" t="n">
        <v>1</v>
      </c>
      <c r="F1026" s="57" t="n">
        <v>0</v>
      </c>
      <c r="G1026" s="58" t="n">
        <v>84.95</v>
      </c>
      <c r="H1026" s="58" t="n">
        <v>0</v>
      </c>
      <c r="I1026" s="58" t="n">
        <v>84.95</v>
      </c>
      <c r="J1026" s="32" t="n">
        <f aca="false">IF(E1026&gt;0,F1026/E1026,0)</f>
        <v>0</v>
      </c>
      <c r="K1026" s="32" t="n">
        <f aca="false">IF(G1026&gt;0,H1026/G1026,0)</f>
        <v>-0</v>
      </c>
      <c r="L1026" s="59" t="n">
        <f aca="false">H1026/Settings!$B$16</f>
        <v>-0</v>
      </c>
      <c r="M1026" s="59" t="n">
        <f aca="false">H1026/Settings!$B$20</f>
        <v>-0</v>
      </c>
      <c r="N1026" s="60" t="n">
        <f aca="false">E1026*Settings!$B$3</f>
        <v>0.0309861510798204</v>
      </c>
      <c r="O1026" s="60" t="n">
        <f aca="false">IF(E1026&gt;0,(F1026-N1026)/SQRT(E1026*Settings!$B$3*(1-Settings!$B$3)),0)</f>
        <v>-0.178821125934444</v>
      </c>
      <c r="P1026" s="60" t="n">
        <f aca="false">MAX(0,F1026-N1026)</f>
        <v>0</v>
      </c>
      <c r="Q1026" s="32" t="n">
        <f aca="false">(F1026+Settings!$B$7*Settings!$B$3)/(E1026+Settings!$B$7)</f>
        <v>0.0299865978191811</v>
      </c>
      <c r="R1026" s="61" t="n">
        <f aca="false">PERCENTRANK($H$2:$H$1780,H1026,6)</f>
        <v>0</v>
      </c>
      <c r="S1026" s="61" t="n">
        <f aca="false">PERCENTRANK($Q$2:$Q$1780,Q1026,6)</f>
        <v>0.486502</v>
      </c>
      <c r="T1026" s="61" t="n">
        <f aca="false">PERCENTRANK($F$2:$F$1780,F1026,6)</f>
        <v>0</v>
      </c>
      <c r="U1026" s="62" t="n">
        <f aca="false">IF(F1026&gt;0,(Settings!$B$8*T1026+Settings!$B$9*R1026+Settings!$B$10*S1026)/SUM(Settings!$B$8:$B$10),0)</f>
        <v>0</v>
      </c>
      <c r="V1026" s="56" t="str">
        <f aca="false">IF(U1026&gt;0,RANK(U1026,$U$2:$U$1780)+COUNTIF($U$2:U1026,U1026)-1,"")</f>
        <v/>
      </c>
      <c r="W1026" s="56" t="str">
        <f aca="false">IF(V1026="","",IF(V1026&lt;=Settings!$B$11,"1 - Fix first",IF(V1026&lt;=Settings!$B$12,"2 - Review","3 - Monitor")))</f>
        <v/>
      </c>
      <c r="X1026" s="56" t="str">
        <f aca="false">IF(AND(E1026&gt;=Settings!$B$4,F1026&gt;=Settings!$B$5,O1026&gt;=Settings!$B$6),"HIGH RATE","")</f>
        <v/>
      </c>
      <c r="Y1026" s="56" t="str">
        <f aca="false">IF(F1026&gt;0,RANK(F1026,$F$2:$F$1780)+COUNTIF($F$2:F1026,F1026)-1,"")</f>
        <v/>
      </c>
      <c r="Z1026" s="56" t="str">
        <f aca="false">IF(H1026&gt;0,RANK(H1026,$H$2:$H$1780)+COUNTIF($H$2:H1026,H1026)-1,"")</f>
        <v/>
      </c>
      <c r="AA1026" s="56" t="str">
        <f aca="false">IF(AC1026="","",RANK(AC1026,$AC$2:$AC$1780)+COUNTIF($AC$2:AC1026,AC1026)-1)</f>
        <v/>
      </c>
      <c r="AB1026" s="56" t="str">
        <f aca="false">IF(AD1026="","",RANK(AD1026,$AD$2:$AD$1780)+COUNTIF($AD$2:AD1026,AD1026)-1)</f>
        <v/>
      </c>
      <c r="AC1026" s="56" t="str">
        <f aca="false">IF(AND(F1026&gt;0,E1026&gt;=Settings!$B$4),J1026,"")</f>
        <v/>
      </c>
      <c r="AD1026" s="56" t="str">
        <f aca="false">IF(X1026="HIGH RATE",O1026,"")</f>
        <v/>
      </c>
    </row>
    <row r="1027" customFormat="false" ht="15" hidden="false" customHeight="false" outlineLevel="0" collapsed="false">
      <c r="A1027" s="56" t="s">
        <v>2378</v>
      </c>
      <c r="B1027" s="56" t="s">
        <v>2375</v>
      </c>
      <c r="C1027" s="56" t="s">
        <v>51</v>
      </c>
      <c r="D1027" s="56" t="str">
        <f aca="false">IFERROR(INDEX('Brand Map'!$B$4:$B$124,MATCH(C1027,'Brand Map'!$A$4:$A$124,0)),"Other")</f>
        <v>AU</v>
      </c>
      <c r="E1027" s="57" t="n">
        <v>2</v>
      </c>
      <c r="F1027" s="57" t="n">
        <v>0</v>
      </c>
      <c r="G1027" s="58" t="n">
        <v>199.9</v>
      </c>
      <c r="H1027" s="58" t="n">
        <v>0</v>
      </c>
      <c r="I1027" s="58" t="n">
        <v>199.9</v>
      </c>
      <c r="J1027" s="32" t="n">
        <f aca="false">IF(E1027&gt;0,F1027/E1027,0)</f>
        <v>0</v>
      </c>
      <c r="K1027" s="32" t="n">
        <f aca="false">IF(G1027&gt;0,H1027/G1027,0)</f>
        <v>-0</v>
      </c>
      <c r="L1027" s="59" t="n">
        <f aca="false">H1027/Settings!$B$16</f>
        <v>-0</v>
      </c>
      <c r="M1027" s="59" t="n">
        <f aca="false">H1027/Settings!$B$20</f>
        <v>-0</v>
      </c>
      <c r="N1027" s="60" t="n">
        <f aca="false">E1027*Settings!$B$3</f>
        <v>0.0619723021596408</v>
      </c>
      <c r="O1027" s="60" t="n">
        <f aca="false">IF(E1027&gt;0,(F1027-N1027)/SQRT(E1027*Settings!$B$3*(1-Settings!$B$3)),0)</f>
        <v>-0.252891261535318</v>
      </c>
      <c r="P1027" s="60" t="n">
        <f aca="false">MAX(0,F1027-N1027)</f>
        <v>0</v>
      </c>
      <c r="Q1027" s="32" t="n">
        <f aca="false">(F1027+Settings!$B$7*Settings!$B$3)/(E1027+Settings!$B$7)</f>
        <v>0.0290495166373316</v>
      </c>
      <c r="R1027" s="61" t="n">
        <f aca="false">PERCENTRANK($H$2:$H$1780,H1027,6)</f>
        <v>0</v>
      </c>
      <c r="S1027" s="61" t="n">
        <f aca="false">PERCENTRANK($Q$2:$Q$1780,Q1027,6)</f>
        <v>0.365579</v>
      </c>
      <c r="T1027" s="61" t="n">
        <f aca="false">PERCENTRANK($F$2:$F$1780,F1027,6)</f>
        <v>0</v>
      </c>
      <c r="U1027" s="62" t="n">
        <f aca="false">IF(F1027&gt;0,(Settings!$B$8*T1027+Settings!$B$9*R1027+Settings!$B$10*S1027)/SUM(Settings!$B$8:$B$10),0)</f>
        <v>0</v>
      </c>
      <c r="V1027" s="56" t="str">
        <f aca="false">IF(U1027&gt;0,RANK(U1027,$U$2:$U$1780)+COUNTIF($U$2:U1027,U1027)-1,"")</f>
        <v/>
      </c>
      <c r="W1027" s="56" t="str">
        <f aca="false">IF(V1027="","",IF(V1027&lt;=Settings!$B$11,"1 - Fix first",IF(V1027&lt;=Settings!$B$12,"2 - Review","3 - Monitor")))</f>
        <v/>
      </c>
      <c r="X1027" s="56" t="str">
        <f aca="false">IF(AND(E1027&gt;=Settings!$B$4,F1027&gt;=Settings!$B$5,O1027&gt;=Settings!$B$6),"HIGH RATE","")</f>
        <v/>
      </c>
      <c r="Y1027" s="56" t="str">
        <f aca="false">IF(F1027&gt;0,RANK(F1027,$F$2:$F$1780)+COUNTIF($F$2:F1027,F1027)-1,"")</f>
        <v/>
      </c>
      <c r="Z1027" s="56" t="str">
        <f aca="false">IF(H1027&gt;0,RANK(H1027,$H$2:$H$1780)+COUNTIF($H$2:H1027,H1027)-1,"")</f>
        <v/>
      </c>
      <c r="AA1027" s="56" t="str">
        <f aca="false">IF(AC1027="","",RANK(AC1027,$AC$2:$AC$1780)+COUNTIF($AC$2:AC1027,AC1027)-1)</f>
        <v/>
      </c>
      <c r="AB1027" s="56" t="str">
        <f aca="false">IF(AD1027="","",RANK(AD1027,$AD$2:$AD$1780)+COUNTIF($AD$2:AD1027,AD1027)-1)</f>
        <v/>
      </c>
      <c r="AC1027" s="56" t="str">
        <f aca="false">IF(AND(F1027&gt;0,E1027&gt;=Settings!$B$4),J1027,"")</f>
        <v/>
      </c>
      <c r="AD1027" s="56" t="str">
        <f aca="false">IF(X1027="HIGH RATE",O1027,"")</f>
        <v/>
      </c>
    </row>
    <row r="1028" customFormat="false" ht="15" hidden="false" customHeight="false" outlineLevel="0" collapsed="false">
      <c r="A1028" s="56" t="s">
        <v>2379</v>
      </c>
      <c r="B1028" s="56" t="s">
        <v>2375</v>
      </c>
      <c r="C1028" s="56" t="s">
        <v>51</v>
      </c>
      <c r="D1028" s="56" t="str">
        <f aca="false">IFERROR(INDEX('Brand Map'!$B$4:$B$124,MATCH(C1028,'Brand Map'!$A$4:$A$124,0)),"Other")</f>
        <v>AU</v>
      </c>
      <c r="E1028" s="57" t="n">
        <v>19</v>
      </c>
      <c r="F1028" s="57" t="n">
        <v>0</v>
      </c>
      <c r="G1028" s="58" t="n">
        <v>1044.05</v>
      </c>
      <c r="H1028" s="58" t="n">
        <v>0</v>
      </c>
      <c r="I1028" s="58" t="n">
        <v>1044.05</v>
      </c>
      <c r="J1028" s="32" t="n">
        <f aca="false">IF(E1028&gt;0,F1028/E1028,0)</f>
        <v>0</v>
      </c>
      <c r="K1028" s="32" t="n">
        <f aca="false">IF(G1028&gt;0,H1028/G1028,0)</f>
        <v>-0</v>
      </c>
      <c r="L1028" s="59" t="n">
        <f aca="false">H1028/Settings!$B$16</f>
        <v>-0</v>
      </c>
      <c r="M1028" s="59" t="n">
        <f aca="false">H1028/Settings!$B$20</f>
        <v>-0</v>
      </c>
      <c r="N1028" s="60" t="n">
        <f aca="false">E1028*Settings!$B$3</f>
        <v>0.588736870516588</v>
      </c>
      <c r="O1028" s="60" t="n">
        <f aca="false">IF(E1028&gt;0,(F1028-N1028)/SQRT(E1028*Settings!$B$3*(1-Settings!$B$3)),0)</f>
        <v>-0.779463216918402</v>
      </c>
      <c r="P1028" s="60" t="n">
        <f aca="false">MAX(0,F1028-N1028)</f>
        <v>0</v>
      </c>
      <c r="Q1028" s="32" t="n">
        <f aca="false">(F1028+Settings!$B$7*Settings!$B$3)/(E1028+Settings!$B$7)</f>
        <v>0.0189711129060125</v>
      </c>
      <c r="R1028" s="61" t="n">
        <f aca="false">PERCENTRANK($H$2:$H$1780,H1028,6)</f>
        <v>0</v>
      </c>
      <c r="S1028" s="61" t="n">
        <f aca="false">PERCENTRANK($Q$2:$Q$1780,Q1028,6)</f>
        <v>0.0776153</v>
      </c>
      <c r="T1028" s="61" t="n">
        <f aca="false">PERCENTRANK($F$2:$F$1780,F1028,6)</f>
        <v>0</v>
      </c>
      <c r="U1028" s="62" t="n">
        <f aca="false">IF(F1028&gt;0,(Settings!$B$8*T1028+Settings!$B$9*R1028+Settings!$B$10*S1028)/SUM(Settings!$B$8:$B$10),0)</f>
        <v>0</v>
      </c>
      <c r="V1028" s="56" t="str">
        <f aca="false">IF(U1028&gt;0,RANK(U1028,$U$2:$U$1780)+COUNTIF($U$2:U1028,U1028)-1,"")</f>
        <v/>
      </c>
      <c r="W1028" s="56" t="str">
        <f aca="false">IF(V1028="","",IF(V1028&lt;=Settings!$B$11,"1 - Fix first",IF(V1028&lt;=Settings!$B$12,"2 - Review","3 - Monitor")))</f>
        <v/>
      </c>
      <c r="X1028" s="56" t="str">
        <f aca="false">IF(AND(E1028&gt;=Settings!$B$4,F1028&gt;=Settings!$B$5,O1028&gt;=Settings!$B$6),"HIGH RATE","")</f>
        <v/>
      </c>
      <c r="Y1028" s="56" t="str">
        <f aca="false">IF(F1028&gt;0,RANK(F1028,$F$2:$F$1780)+COUNTIF($F$2:F1028,F1028)-1,"")</f>
        <v/>
      </c>
      <c r="Z1028" s="56" t="str">
        <f aca="false">IF(H1028&gt;0,RANK(H1028,$H$2:$H$1780)+COUNTIF($H$2:H1028,H1028)-1,"")</f>
        <v/>
      </c>
      <c r="AA1028" s="56" t="str">
        <f aca="false">IF(AC1028="","",RANK(AC1028,$AC$2:$AC$1780)+COUNTIF($AC$2:AC1028,AC1028)-1)</f>
        <v/>
      </c>
      <c r="AB1028" s="56" t="str">
        <f aca="false">IF(AD1028="","",RANK(AD1028,$AD$2:$AD$1780)+COUNTIF($AD$2:AD1028,AD1028)-1)</f>
        <v/>
      </c>
      <c r="AC1028" s="56" t="str">
        <f aca="false">IF(AND(F1028&gt;0,E1028&gt;=Settings!$B$4),J1028,"")</f>
        <v/>
      </c>
      <c r="AD1028" s="56" t="str">
        <f aca="false">IF(X1028="HIGH RATE",O1028,"")</f>
        <v/>
      </c>
    </row>
    <row r="1029" customFormat="false" ht="15" hidden="false" customHeight="false" outlineLevel="0" collapsed="false">
      <c r="A1029" s="56" t="s">
        <v>2380</v>
      </c>
      <c r="B1029" s="56" t="s">
        <v>1371</v>
      </c>
      <c r="C1029" s="56" t="s">
        <v>51</v>
      </c>
      <c r="D1029" s="56" t="str">
        <f aca="false">IFERROR(INDEX('Brand Map'!$B$4:$B$124,MATCH(C1029,'Brand Map'!$A$4:$A$124,0)),"Other")</f>
        <v>AU</v>
      </c>
      <c r="E1029" s="57" t="n">
        <v>14</v>
      </c>
      <c r="F1029" s="57" t="n">
        <v>0</v>
      </c>
      <c r="G1029" s="58" t="n">
        <v>1539.3</v>
      </c>
      <c r="H1029" s="58" t="n">
        <v>0</v>
      </c>
      <c r="I1029" s="58" t="n">
        <v>1539.3</v>
      </c>
      <c r="J1029" s="32" t="n">
        <f aca="false">IF(E1029&gt;0,F1029/E1029,0)</f>
        <v>0</v>
      </c>
      <c r="K1029" s="32" t="n">
        <f aca="false">IF(G1029&gt;0,H1029/G1029,0)</f>
        <v>-0</v>
      </c>
      <c r="L1029" s="59" t="n">
        <f aca="false">H1029/Settings!$B$16</f>
        <v>-0</v>
      </c>
      <c r="M1029" s="59" t="n">
        <f aca="false">H1029/Settings!$B$20</f>
        <v>-0</v>
      </c>
      <c r="N1029" s="60" t="n">
        <f aca="false">E1029*Settings!$B$3</f>
        <v>0.433806115117486</v>
      </c>
      <c r="O1029" s="60" t="n">
        <f aca="false">IF(E1029&gt;0,(F1029-N1029)/SQRT(E1029*Settings!$B$3*(1-Settings!$B$3)),0)</f>
        <v>-0.669087386763846</v>
      </c>
      <c r="P1029" s="60" t="n">
        <f aca="false">MAX(0,F1029-N1029)</f>
        <v>0</v>
      </c>
      <c r="Q1029" s="32" t="n">
        <f aca="false">(F1029+Settings!$B$7*Settings!$B$3)/(E1029+Settings!$B$7)</f>
        <v>0.0211269211907867</v>
      </c>
      <c r="R1029" s="61" t="n">
        <f aca="false">PERCENTRANK($H$2:$H$1780,H1029,6)</f>
        <v>0</v>
      </c>
      <c r="S1029" s="61" t="n">
        <f aca="false">PERCENTRANK($Q$2:$Q$1780,Q1029,6)</f>
        <v>0.0995501</v>
      </c>
      <c r="T1029" s="61" t="n">
        <f aca="false">PERCENTRANK($F$2:$F$1780,F1029,6)</f>
        <v>0</v>
      </c>
      <c r="U1029" s="62" t="n">
        <f aca="false">IF(F1029&gt;0,(Settings!$B$8*T1029+Settings!$B$9*R1029+Settings!$B$10*S1029)/SUM(Settings!$B$8:$B$10),0)</f>
        <v>0</v>
      </c>
      <c r="V1029" s="56" t="str">
        <f aca="false">IF(U1029&gt;0,RANK(U1029,$U$2:$U$1780)+COUNTIF($U$2:U1029,U1029)-1,"")</f>
        <v/>
      </c>
      <c r="W1029" s="56" t="str">
        <f aca="false">IF(V1029="","",IF(V1029&lt;=Settings!$B$11,"1 - Fix first",IF(V1029&lt;=Settings!$B$12,"2 - Review","3 - Monitor")))</f>
        <v/>
      </c>
      <c r="X1029" s="56" t="str">
        <f aca="false">IF(AND(E1029&gt;=Settings!$B$4,F1029&gt;=Settings!$B$5,O1029&gt;=Settings!$B$6),"HIGH RATE","")</f>
        <v/>
      </c>
      <c r="Y1029" s="56" t="str">
        <f aca="false">IF(F1029&gt;0,RANK(F1029,$F$2:$F$1780)+COUNTIF($F$2:F1029,F1029)-1,"")</f>
        <v/>
      </c>
      <c r="Z1029" s="56" t="str">
        <f aca="false">IF(H1029&gt;0,RANK(H1029,$H$2:$H$1780)+COUNTIF($H$2:H1029,H1029)-1,"")</f>
        <v/>
      </c>
      <c r="AA1029" s="56" t="str">
        <f aca="false">IF(AC1029="","",RANK(AC1029,$AC$2:$AC$1780)+COUNTIF($AC$2:AC1029,AC1029)-1)</f>
        <v/>
      </c>
      <c r="AB1029" s="56" t="str">
        <f aca="false">IF(AD1029="","",RANK(AD1029,$AD$2:$AD$1780)+COUNTIF($AD$2:AD1029,AD1029)-1)</f>
        <v/>
      </c>
      <c r="AC1029" s="56" t="str">
        <f aca="false">IF(AND(F1029&gt;0,E1029&gt;=Settings!$B$4),J1029,"")</f>
        <v/>
      </c>
      <c r="AD1029" s="56" t="str">
        <f aca="false">IF(X1029="HIGH RATE",O1029,"")</f>
        <v/>
      </c>
    </row>
    <row r="1030" customFormat="false" ht="15" hidden="false" customHeight="false" outlineLevel="0" collapsed="false">
      <c r="A1030" s="56" t="s">
        <v>2381</v>
      </c>
      <c r="B1030" s="56" t="s">
        <v>1371</v>
      </c>
      <c r="C1030" s="56" t="s">
        <v>51</v>
      </c>
      <c r="D1030" s="56" t="str">
        <f aca="false">IFERROR(INDEX('Brand Map'!$B$4:$B$124,MATCH(C1030,'Brand Map'!$A$4:$A$124,0)),"Other")</f>
        <v>AU</v>
      </c>
      <c r="E1030" s="57" t="n">
        <v>58</v>
      </c>
      <c r="F1030" s="57" t="n">
        <v>0</v>
      </c>
      <c r="G1030" s="58" t="n">
        <v>4637.1</v>
      </c>
      <c r="H1030" s="58" t="n">
        <v>0</v>
      </c>
      <c r="I1030" s="58" t="n">
        <v>4637.1</v>
      </c>
      <c r="J1030" s="32" t="n">
        <f aca="false">IF(E1030&gt;0,F1030/E1030,0)</f>
        <v>0</v>
      </c>
      <c r="K1030" s="32" t="n">
        <f aca="false">IF(G1030&gt;0,H1030/G1030,0)</f>
        <v>-0</v>
      </c>
      <c r="L1030" s="59" t="n">
        <f aca="false">H1030/Settings!$B$16</f>
        <v>-0</v>
      </c>
      <c r="M1030" s="59" t="n">
        <f aca="false">H1030/Settings!$B$20</f>
        <v>-0</v>
      </c>
      <c r="N1030" s="60" t="n">
        <f aca="false">E1030*Settings!$B$3</f>
        <v>1.79719676262958</v>
      </c>
      <c r="O1030" s="60" t="n">
        <f aca="false">IF(E1030&gt;0,(F1030-N1030)/SQRT(E1030*Settings!$B$3*(1-Settings!$B$3)),0)</f>
        <v>-1.36186112165184</v>
      </c>
      <c r="P1030" s="60" t="n">
        <f aca="false">MAX(0,F1030-N1030)</f>
        <v>0</v>
      </c>
      <c r="Q1030" s="32" t="n">
        <f aca="false">(F1030+Settings!$B$7*Settings!$B$3)/(E1030+Settings!$B$7)</f>
        <v>0.0105634605953933</v>
      </c>
      <c r="R1030" s="61" t="n">
        <f aca="false">PERCENTRANK($H$2:$H$1780,H1030,6)</f>
        <v>0</v>
      </c>
      <c r="S1030" s="61" t="n">
        <f aca="false">PERCENTRANK($Q$2:$Q$1780,Q1030,6)</f>
        <v>0.0174353</v>
      </c>
      <c r="T1030" s="61" t="n">
        <f aca="false">PERCENTRANK($F$2:$F$1780,F1030,6)</f>
        <v>0</v>
      </c>
      <c r="U1030" s="62" t="n">
        <f aca="false">IF(F1030&gt;0,(Settings!$B$8*T1030+Settings!$B$9*R1030+Settings!$B$10*S1030)/SUM(Settings!$B$8:$B$10),0)</f>
        <v>0</v>
      </c>
      <c r="V1030" s="56" t="str">
        <f aca="false">IF(U1030&gt;0,RANK(U1030,$U$2:$U$1780)+COUNTIF($U$2:U1030,U1030)-1,"")</f>
        <v/>
      </c>
      <c r="W1030" s="56" t="str">
        <f aca="false">IF(V1030="","",IF(V1030&lt;=Settings!$B$11,"1 - Fix first",IF(V1030&lt;=Settings!$B$12,"2 - Review","3 - Monitor")))</f>
        <v/>
      </c>
      <c r="X1030" s="56" t="str">
        <f aca="false">IF(AND(E1030&gt;=Settings!$B$4,F1030&gt;=Settings!$B$5,O1030&gt;=Settings!$B$6),"HIGH RATE","")</f>
        <v/>
      </c>
      <c r="Y1030" s="56" t="str">
        <f aca="false">IF(F1030&gt;0,RANK(F1030,$F$2:$F$1780)+COUNTIF($F$2:F1030,F1030)-1,"")</f>
        <v/>
      </c>
      <c r="Z1030" s="56" t="str">
        <f aca="false">IF(H1030&gt;0,RANK(H1030,$H$2:$H$1780)+COUNTIF($H$2:H1030,H1030)-1,"")</f>
        <v/>
      </c>
      <c r="AA1030" s="56" t="str">
        <f aca="false">IF(AC1030="","",RANK(AC1030,$AC$2:$AC$1780)+COUNTIF($AC$2:AC1030,AC1030)-1)</f>
        <v/>
      </c>
      <c r="AB1030" s="56" t="str">
        <f aca="false">IF(AD1030="","",RANK(AD1030,$AD$2:$AD$1780)+COUNTIF($AD$2:AD1030,AD1030)-1)</f>
        <v/>
      </c>
      <c r="AC1030" s="56" t="str">
        <f aca="false">IF(AND(F1030&gt;0,E1030&gt;=Settings!$B$4),J1030,"")</f>
        <v/>
      </c>
      <c r="AD1030" s="56" t="str">
        <f aca="false">IF(X1030="HIGH RATE",O1030,"")</f>
        <v/>
      </c>
    </row>
    <row r="1031" customFormat="false" ht="15" hidden="false" customHeight="false" outlineLevel="0" collapsed="false">
      <c r="A1031" s="56" t="s">
        <v>2382</v>
      </c>
      <c r="B1031" s="56" t="s">
        <v>1302</v>
      </c>
      <c r="C1031" s="56" t="s">
        <v>51</v>
      </c>
      <c r="D1031" s="56" t="str">
        <f aca="false">IFERROR(INDEX('Brand Map'!$B$4:$B$124,MATCH(C1031,'Brand Map'!$A$4:$A$124,0)),"Other")</f>
        <v>AU</v>
      </c>
      <c r="E1031" s="57" t="n">
        <v>6</v>
      </c>
      <c r="F1031" s="57" t="n">
        <v>0</v>
      </c>
      <c r="G1031" s="58" t="n">
        <v>839.7</v>
      </c>
      <c r="H1031" s="58" t="n">
        <v>0</v>
      </c>
      <c r="I1031" s="58" t="n">
        <v>839.7</v>
      </c>
      <c r="J1031" s="32" t="n">
        <f aca="false">IF(E1031&gt;0,F1031/E1031,0)</f>
        <v>0</v>
      </c>
      <c r="K1031" s="32" t="n">
        <f aca="false">IF(G1031&gt;0,H1031/G1031,0)</f>
        <v>-0</v>
      </c>
      <c r="L1031" s="59" t="n">
        <f aca="false">H1031/Settings!$B$16</f>
        <v>-0</v>
      </c>
      <c r="M1031" s="59" t="n">
        <f aca="false">H1031/Settings!$B$20</f>
        <v>-0</v>
      </c>
      <c r="N1031" s="60" t="n">
        <f aca="false">E1031*Settings!$B$3</f>
        <v>0.185916906478923</v>
      </c>
      <c r="O1031" s="60" t="n">
        <f aca="false">IF(E1031&gt;0,(F1031-N1031)/SQRT(E1031*Settings!$B$3*(1-Settings!$B$3)),0)</f>
        <v>-0.43802051376936</v>
      </c>
      <c r="P1031" s="60" t="n">
        <f aca="false">MAX(0,F1031-N1031)</f>
        <v>0</v>
      </c>
      <c r="Q1031" s="32" t="n">
        <f aca="false">(F1031+Settings!$B$7*Settings!$B$3)/(E1031+Settings!$B$7)</f>
        <v>0.025821792566517</v>
      </c>
      <c r="R1031" s="61" t="n">
        <f aca="false">PERCENTRANK($H$2:$H$1780,H1031,6)</f>
        <v>0</v>
      </c>
      <c r="S1031" s="61" t="n">
        <f aca="false">PERCENTRANK($Q$2:$Q$1780,Q1031,6)</f>
        <v>0.189539</v>
      </c>
      <c r="T1031" s="61" t="n">
        <f aca="false">PERCENTRANK($F$2:$F$1780,F1031,6)</f>
        <v>0</v>
      </c>
      <c r="U1031" s="62" t="n">
        <f aca="false">IF(F1031&gt;0,(Settings!$B$8*T1031+Settings!$B$9*R1031+Settings!$B$10*S1031)/SUM(Settings!$B$8:$B$10),0)</f>
        <v>0</v>
      </c>
      <c r="V1031" s="56" t="str">
        <f aca="false">IF(U1031&gt;0,RANK(U1031,$U$2:$U$1780)+COUNTIF($U$2:U1031,U1031)-1,"")</f>
        <v/>
      </c>
      <c r="W1031" s="56" t="str">
        <f aca="false">IF(V1031="","",IF(V1031&lt;=Settings!$B$11,"1 - Fix first",IF(V1031&lt;=Settings!$B$12,"2 - Review","3 - Monitor")))</f>
        <v/>
      </c>
      <c r="X1031" s="56" t="str">
        <f aca="false">IF(AND(E1031&gt;=Settings!$B$4,F1031&gt;=Settings!$B$5,O1031&gt;=Settings!$B$6),"HIGH RATE","")</f>
        <v/>
      </c>
      <c r="Y1031" s="56" t="str">
        <f aca="false">IF(F1031&gt;0,RANK(F1031,$F$2:$F$1780)+COUNTIF($F$2:F1031,F1031)-1,"")</f>
        <v/>
      </c>
      <c r="Z1031" s="56" t="str">
        <f aca="false">IF(H1031&gt;0,RANK(H1031,$H$2:$H$1780)+COUNTIF($H$2:H1031,H1031)-1,"")</f>
        <v/>
      </c>
      <c r="AA1031" s="56" t="str">
        <f aca="false">IF(AC1031="","",RANK(AC1031,$AC$2:$AC$1780)+COUNTIF($AC$2:AC1031,AC1031)-1)</f>
        <v/>
      </c>
      <c r="AB1031" s="56" t="str">
        <f aca="false">IF(AD1031="","",RANK(AD1031,$AD$2:$AD$1780)+COUNTIF($AD$2:AD1031,AD1031)-1)</f>
        <v/>
      </c>
      <c r="AC1031" s="56" t="str">
        <f aca="false">IF(AND(F1031&gt;0,E1031&gt;=Settings!$B$4),J1031,"")</f>
        <v/>
      </c>
      <c r="AD1031" s="56" t="str">
        <f aca="false">IF(X1031="HIGH RATE",O1031,"")</f>
        <v/>
      </c>
    </row>
    <row r="1032" customFormat="false" ht="15" hidden="false" customHeight="false" outlineLevel="0" collapsed="false">
      <c r="A1032" s="56" t="s">
        <v>2383</v>
      </c>
      <c r="B1032" s="56" t="s">
        <v>1302</v>
      </c>
      <c r="C1032" s="56" t="s">
        <v>51</v>
      </c>
      <c r="D1032" s="56" t="str">
        <f aca="false">IFERROR(INDEX('Brand Map'!$B$4:$B$124,MATCH(C1032,'Brand Map'!$A$4:$A$124,0)),"Other")</f>
        <v>AU</v>
      </c>
      <c r="E1032" s="57" t="n">
        <v>19</v>
      </c>
      <c r="F1032" s="57" t="n">
        <v>0</v>
      </c>
      <c r="G1032" s="58" t="n">
        <v>2944.05</v>
      </c>
      <c r="H1032" s="58" t="n">
        <v>0</v>
      </c>
      <c r="I1032" s="58" t="n">
        <v>2944.05</v>
      </c>
      <c r="J1032" s="32" t="n">
        <f aca="false">IF(E1032&gt;0,F1032/E1032,0)</f>
        <v>0</v>
      </c>
      <c r="K1032" s="32" t="n">
        <f aca="false">IF(G1032&gt;0,H1032/G1032,0)</f>
        <v>-0</v>
      </c>
      <c r="L1032" s="59" t="n">
        <f aca="false">H1032/Settings!$B$16</f>
        <v>-0</v>
      </c>
      <c r="M1032" s="59" t="n">
        <f aca="false">H1032/Settings!$B$20</f>
        <v>-0</v>
      </c>
      <c r="N1032" s="60" t="n">
        <f aca="false">E1032*Settings!$B$3</f>
        <v>0.588736870516588</v>
      </c>
      <c r="O1032" s="60" t="n">
        <f aca="false">IF(E1032&gt;0,(F1032-N1032)/SQRT(E1032*Settings!$B$3*(1-Settings!$B$3)),0)</f>
        <v>-0.779463216918402</v>
      </c>
      <c r="P1032" s="60" t="n">
        <f aca="false">MAX(0,F1032-N1032)</f>
        <v>0</v>
      </c>
      <c r="Q1032" s="32" t="n">
        <f aca="false">(F1032+Settings!$B$7*Settings!$B$3)/(E1032+Settings!$B$7)</f>
        <v>0.0189711129060125</v>
      </c>
      <c r="R1032" s="61" t="n">
        <f aca="false">PERCENTRANK($H$2:$H$1780,H1032,6)</f>
        <v>0</v>
      </c>
      <c r="S1032" s="61" t="n">
        <f aca="false">PERCENTRANK($Q$2:$Q$1780,Q1032,6)</f>
        <v>0.0776153</v>
      </c>
      <c r="T1032" s="61" t="n">
        <f aca="false">PERCENTRANK($F$2:$F$1780,F1032,6)</f>
        <v>0</v>
      </c>
      <c r="U1032" s="62" t="n">
        <f aca="false">IF(F1032&gt;0,(Settings!$B$8*T1032+Settings!$B$9*R1032+Settings!$B$10*S1032)/SUM(Settings!$B$8:$B$10),0)</f>
        <v>0</v>
      </c>
      <c r="V1032" s="56" t="str">
        <f aca="false">IF(U1032&gt;0,RANK(U1032,$U$2:$U$1780)+COUNTIF($U$2:U1032,U1032)-1,"")</f>
        <v/>
      </c>
      <c r="W1032" s="56" t="str">
        <f aca="false">IF(V1032="","",IF(V1032&lt;=Settings!$B$11,"1 - Fix first",IF(V1032&lt;=Settings!$B$12,"2 - Review","3 - Monitor")))</f>
        <v/>
      </c>
      <c r="X1032" s="56" t="str">
        <f aca="false">IF(AND(E1032&gt;=Settings!$B$4,F1032&gt;=Settings!$B$5,O1032&gt;=Settings!$B$6),"HIGH RATE","")</f>
        <v/>
      </c>
      <c r="Y1032" s="56" t="str">
        <f aca="false">IF(F1032&gt;0,RANK(F1032,$F$2:$F$1780)+COUNTIF($F$2:F1032,F1032)-1,"")</f>
        <v/>
      </c>
      <c r="Z1032" s="56" t="str">
        <f aca="false">IF(H1032&gt;0,RANK(H1032,$H$2:$H$1780)+COUNTIF($H$2:H1032,H1032)-1,"")</f>
        <v/>
      </c>
      <c r="AA1032" s="56" t="str">
        <f aca="false">IF(AC1032="","",RANK(AC1032,$AC$2:$AC$1780)+COUNTIF($AC$2:AC1032,AC1032)-1)</f>
        <v/>
      </c>
      <c r="AB1032" s="56" t="str">
        <f aca="false">IF(AD1032="","",RANK(AD1032,$AD$2:$AD$1780)+COUNTIF($AD$2:AD1032,AD1032)-1)</f>
        <v/>
      </c>
      <c r="AC1032" s="56" t="str">
        <f aca="false">IF(AND(F1032&gt;0,E1032&gt;=Settings!$B$4),J1032,"")</f>
        <v/>
      </c>
      <c r="AD1032" s="56" t="str">
        <f aca="false">IF(X1032="HIGH RATE",O1032,"")</f>
        <v/>
      </c>
    </row>
    <row r="1033" customFormat="false" ht="15" hidden="false" customHeight="false" outlineLevel="0" collapsed="false">
      <c r="A1033" s="56" t="s">
        <v>2384</v>
      </c>
      <c r="B1033" s="56" t="s">
        <v>2385</v>
      </c>
      <c r="C1033" s="56" t="s">
        <v>51</v>
      </c>
      <c r="D1033" s="56" t="str">
        <f aca="false">IFERROR(INDEX('Brand Map'!$B$4:$B$124,MATCH(C1033,'Brand Map'!$A$4:$A$124,0)),"Other")</f>
        <v>AU</v>
      </c>
      <c r="E1033" s="57" t="n">
        <v>1</v>
      </c>
      <c r="F1033" s="57" t="n">
        <v>0</v>
      </c>
      <c r="G1033" s="58" t="n">
        <v>49.95</v>
      </c>
      <c r="H1033" s="58" t="n">
        <v>0</v>
      </c>
      <c r="I1033" s="58" t="n">
        <v>49.95</v>
      </c>
      <c r="J1033" s="32" t="n">
        <f aca="false">IF(E1033&gt;0,F1033/E1033,0)</f>
        <v>0</v>
      </c>
      <c r="K1033" s="32" t="n">
        <f aca="false">IF(G1033&gt;0,H1033/G1033,0)</f>
        <v>-0</v>
      </c>
      <c r="L1033" s="59" t="n">
        <f aca="false">H1033/Settings!$B$16</f>
        <v>-0</v>
      </c>
      <c r="M1033" s="59" t="n">
        <f aca="false">H1033/Settings!$B$20</f>
        <v>-0</v>
      </c>
      <c r="N1033" s="60" t="n">
        <f aca="false">E1033*Settings!$B$3</f>
        <v>0.0309861510798204</v>
      </c>
      <c r="O1033" s="60" t="n">
        <f aca="false">IF(E1033&gt;0,(F1033-N1033)/SQRT(E1033*Settings!$B$3*(1-Settings!$B$3)),0)</f>
        <v>-0.178821125934444</v>
      </c>
      <c r="P1033" s="60" t="n">
        <f aca="false">MAX(0,F1033-N1033)</f>
        <v>0</v>
      </c>
      <c r="Q1033" s="32" t="n">
        <f aca="false">(F1033+Settings!$B$7*Settings!$B$3)/(E1033+Settings!$B$7)</f>
        <v>0.0299865978191811</v>
      </c>
      <c r="R1033" s="61" t="n">
        <f aca="false">PERCENTRANK($H$2:$H$1780,H1033,6)</f>
        <v>0</v>
      </c>
      <c r="S1033" s="61" t="n">
        <f aca="false">PERCENTRANK($Q$2:$Q$1780,Q1033,6)</f>
        <v>0.486502</v>
      </c>
      <c r="T1033" s="61" t="n">
        <f aca="false">PERCENTRANK($F$2:$F$1780,F1033,6)</f>
        <v>0</v>
      </c>
      <c r="U1033" s="62" t="n">
        <f aca="false">IF(F1033&gt;0,(Settings!$B$8*T1033+Settings!$B$9*R1033+Settings!$B$10*S1033)/SUM(Settings!$B$8:$B$10),0)</f>
        <v>0</v>
      </c>
      <c r="V1033" s="56" t="str">
        <f aca="false">IF(U1033&gt;0,RANK(U1033,$U$2:$U$1780)+COUNTIF($U$2:U1033,U1033)-1,"")</f>
        <v/>
      </c>
      <c r="W1033" s="56" t="str">
        <f aca="false">IF(V1033="","",IF(V1033&lt;=Settings!$B$11,"1 - Fix first",IF(V1033&lt;=Settings!$B$12,"2 - Review","3 - Monitor")))</f>
        <v/>
      </c>
      <c r="X1033" s="56" t="str">
        <f aca="false">IF(AND(E1033&gt;=Settings!$B$4,F1033&gt;=Settings!$B$5,O1033&gt;=Settings!$B$6),"HIGH RATE","")</f>
        <v/>
      </c>
      <c r="Y1033" s="56" t="str">
        <f aca="false">IF(F1033&gt;0,RANK(F1033,$F$2:$F$1780)+COUNTIF($F$2:F1033,F1033)-1,"")</f>
        <v/>
      </c>
      <c r="Z1033" s="56" t="str">
        <f aca="false">IF(H1033&gt;0,RANK(H1033,$H$2:$H$1780)+COUNTIF($H$2:H1033,H1033)-1,"")</f>
        <v/>
      </c>
      <c r="AA1033" s="56" t="str">
        <f aca="false">IF(AC1033="","",RANK(AC1033,$AC$2:$AC$1780)+COUNTIF($AC$2:AC1033,AC1033)-1)</f>
        <v/>
      </c>
      <c r="AB1033" s="56" t="str">
        <f aca="false">IF(AD1033="","",RANK(AD1033,$AD$2:$AD$1780)+COUNTIF($AD$2:AD1033,AD1033)-1)</f>
        <v/>
      </c>
      <c r="AC1033" s="56" t="str">
        <f aca="false">IF(AND(F1033&gt;0,E1033&gt;=Settings!$B$4),J1033,"")</f>
        <v/>
      </c>
      <c r="AD1033" s="56" t="str">
        <f aca="false">IF(X1033="HIGH RATE",O1033,"")</f>
        <v/>
      </c>
    </row>
    <row r="1034" customFormat="false" ht="15" hidden="false" customHeight="false" outlineLevel="0" collapsed="false">
      <c r="A1034" s="56" t="s">
        <v>2386</v>
      </c>
      <c r="B1034" s="56" t="s">
        <v>2387</v>
      </c>
      <c r="C1034" s="56" t="s">
        <v>51</v>
      </c>
      <c r="D1034" s="56" t="str">
        <f aca="false">IFERROR(INDEX('Brand Map'!$B$4:$B$124,MATCH(C1034,'Brand Map'!$A$4:$A$124,0)),"Other")</f>
        <v>AU</v>
      </c>
      <c r="E1034" s="57" t="n">
        <v>3</v>
      </c>
      <c r="F1034" s="57" t="n">
        <v>0</v>
      </c>
      <c r="G1034" s="58" t="n">
        <v>194.85</v>
      </c>
      <c r="H1034" s="58" t="n">
        <v>0</v>
      </c>
      <c r="I1034" s="58" t="n">
        <v>194.85</v>
      </c>
      <c r="J1034" s="32" t="n">
        <f aca="false">IF(E1034&gt;0,F1034/E1034,0)</f>
        <v>0</v>
      </c>
      <c r="K1034" s="32" t="n">
        <f aca="false">IF(G1034&gt;0,H1034/G1034,0)</f>
        <v>-0</v>
      </c>
      <c r="L1034" s="59" t="n">
        <f aca="false">H1034/Settings!$B$16</f>
        <v>-0</v>
      </c>
      <c r="M1034" s="59" t="n">
        <f aca="false">H1034/Settings!$B$20</f>
        <v>-0</v>
      </c>
      <c r="N1034" s="60" t="n">
        <f aca="false">E1034*Settings!$B$3</f>
        <v>0.0929584532394613</v>
      </c>
      <c r="O1034" s="60" t="n">
        <f aca="false">IF(E1034&gt;0,(F1034-N1034)/SQRT(E1034*Settings!$B$3*(1-Settings!$B$3)),0)</f>
        <v>-0.30972727558513</v>
      </c>
      <c r="P1034" s="60" t="n">
        <f aca="false">MAX(0,F1034-N1034)</f>
        <v>0</v>
      </c>
      <c r="Q1034" s="32" t="n">
        <f aca="false">(F1034+Settings!$B$7*Settings!$B$3)/(E1034+Settings!$B$7)</f>
        <v>0.0281692282543822</v>
      </c>
      <c r="R1034" s="61" t="n">
        <f aca="false">PERCENTRANK($H$2:$H$1780,H1034,6)</f>
        <v>0</v>
      </c>
      <c r="S1034" s="61" t="n">
        <f aca="false">PERCENTRANK($Q$2:$Q$1780,Q1034,6)</f>
        <v>0.294151</v>
      </c>
      <c r="T1034" s="61" t="n">
        <f aca="false">PERCENTRANK($F$2:$F$1780,F1034,6)</f>
        <v>0</v>
      </c>
      <c r="U1034" s="62" t="n">
        <f aca="false">IF(F1034&gt;0,(Settings!$B$8*T1034+Settings!$B$9*R1034+Settings!$B$10*S1034)/SUM(Settings!$B$8:$B$10),0)</f>
        <v>0</v>
      </c>
      <c r="V1034" s="56" t="str">
        <f aca="false">IF(U1034&gt;0,RANK(U1034,$U$2:$U$1780)+COUNTIF($U$2:U1034,U1034)-1,"")</f>
        <v/>
      </c>
      <c r="W1034" s="56" t="str">
        <f aca="false">IF(V1034="","",IF(V1034&lt;=Settings!$B$11,"1 - Fix first",IF(V1034&lt;=Settings!$B$12,"2 - Review","3 - Monitor")))</f>
        <v/>
      </c>
      <c r="X1034" s="56" t="str">
        <f aca="false">IF(AND(E1034&gt;=Settings!$B$4,F1034&gt;=Settings!$B$5,O1034&gt;=Settings!$B$6),"HIGH RATE","")</f>
        <v/>
      </c>
      <c r="Y1034" s="56" t="str">
        <f aca="false">IF(F1034&gt;0,RANK(F1034,$F$2:$F$1780)+COUNTIF($F$2:F1034,F1034)-1,"")</f>
        <v/>
      </c>
      <c r="Z1034" s="56" t="str">
        <f aca="false">IF(H1034&gt;0,RANK(H1034,$H$2:$H$1780)+COUNTIF($H$2:H1034,H1034)-1,"")</f>
        <v/>
      </c>
      <c r="AA1034" s="56" t="str">
        <f aca="false">IF(AC1034="","",RANK(AC1034,$AC$2:$AC$1780)+COUNTIF($AC$2:AC1034,AC1034)-1)</f>
        <v/>
      </c>
      <c r="AB1034" s="56" t="str">
        <f aca="false">IF(AD1034="","",RANK(AD1034,$AD$2:$AD$1780)+COUNTIF($AD$2:AD1034,AD1034)-1)</f>
        <v/>
      </c>
      <c r="AC1034" s="56" t="str">
        <f aca="false">IF(AND(F1034&gt;0,E1034&gt;=Settings!$B$4),J1034,"")</f>
        <v/>
      </c>
      <c r="AD1034" s="56" t="str">
        <f aca="false">IF(X1034="HIGH RATE",O1034,"")</f>
        <v/>
      </c>
    </row>
    <row r="1035" customFormat="false" ht="15" hidden="false" customHeight="false" outlineLevel="0" collapsed="false">
      <c r="A1035" s="56" t="s">
        <v>2388</v>
      </c>
      <c r="B1035" s="56" t="s">
        <v>2389</v>
      </c>
      <c r="C1035" s="56" t="s">
        <v>51</v>
      </c>
      <c r="D1035" s="56" t="str">
        <f aca="false">IFERROR(INDEX('Brand Map'!$B$4:$B$124,MATCH(C1035,'Brand Map'!$A$4:$A$124,0)),"Other")</f>
        <v>AU</v>
      </c>
      <c r="E1035" s="57" t="n">
        <v>4</v>
      </c>
      <c r="F1035" s="57" t="n">
        <v>0</v>
      </c>
      <c r="G1035" s="58" t="n">
        <v>244.8</v>
      </c>
      <c r="H1035" s="58" t="n">
        <v>0</v>
      </c>
      <c r="I1035" s="58" t="n">
        <v>244.8</v>
      </c>
      <c r="J1035" s="32" t="n">
        <f aca="false">IF(E1035&gt;0,F1035/E1035,0)</f>
        <v>0</v>
      </c>
      <c r="K1035" s="32" t="n">
        <f aca="false">IF(G1035&gt;0,H1035/G1035,0)</f>
        <v>-0</v>
      </c>
      <c r="L1035" s="59" t="n">
        <f aca="false">H1035/Settings!$B$16</f>
        <v>-0</v>
      </c>
      <c r="M1035" s="59" t="n">
        <f aca="false">H1035/Settings!$B$20</f>
        <v>-0</v>
      </c>
      <c r="N1035" s="60" t="n">
        <f aca="false">E1035*Settings!$B$3</f>
        <v>0.123944604319282</v>
      </c>
      <c r="O1035" s="60" t="n">
        <f aca="false">IF(E1035&gt;0,(F1035-N1035)/SQRT(E1035*Settings!$B$3*(1-Settings!$B$3)),0)</f>
        <v>-0.357642251868888</v>
      </c>
      <c r="P1035" s="60" t="n">
        <f aca="false">MAX(0,F1035-N1035)</f>
        <v>0</v>
      </c>
      <c r="Q1035" s="32" t="n">
        <f aca="false">(F1035+Settings!$B$7*Settings!$B$3)/(E1035+Settings!$B$7)</f>
        <v>0.027340721541018</v>
      </c>
      <c r="R1035" s="61" t="n">
        <f aca="false">PERCENTRANK($H$2:$H$1780,H1035,6)</f>
        <v>0</v>
      </c>
      <c r="S1035" s="61" t="n">
        <f aca="false">PERCENTRANK($Q$2:$Q$1780,Q1035,6)</f>
        <v>0.253656</v>
      </c>
      <c r="T1035" s="61" t="n">
        <f aca="false">PERCENTRANK($F$2:$F$1780,F1035,6)</f>
        <v>0</v>
      </c>
      <c r="U1035" s="62" t="n">
        <f aca="false">IF(F1035&gt;0,(Settings!$B$8*T1035+Settings!$B$9*R1035+Settings!$B$10*S1035)/SUM(Settings!$B$8:$B$10),0)</f>
        <v>0</v>
      </c>
      <c r="V1035" s="56" t="str">
        <f aca="false">IF(U1035&gt;0,RANK(U1035,$U$2:$U$1780)+COUNTIF($U$2:U1035,U1035)-1,"")</f>
        <v/>
      </c>
      <c r="W1035" s="56" t="str">
        <f aca="false">IF(V1035="","",IF(V1035&lt;=Settings!$B$11,"1 - Fix first",IF(V1035&lt;=Settings!$B$12,"2 - Review","3 - Monitor")))</f>
        <v/>
      </c>
      <c r="X1035" s="56" t="str">
        <f aca="false">IF(AND(E1035&gt;=Settings!$B$4,F1035&gt;=Settings!$B$5,O1035&gt;=Settings!$B$6),"HIGH RATE","")</f>
        <v/>
      </c>
      <c r="Y1035" s="56" t="str">
        <f aca="false">IF(F1035&gt;0,RANK(F1035,$F$2:$F$1780)+COUNTIF($F$2:F1035,F1035)-1,"")</f>
        <v/>
      </c>
      <c r="Z1035" s="56" t="str">
        <f aca="false">IF(H1035&gt;0,RANK(H1035,$H$2:$H$1780)+COUNTIF($H$2:H1035,H1035)-1,"")</f>
        <v/>
      </c>
      <c r="AA1035" s="56" t="str">
        <f aca="false">IF(AC1035="","",RANK(AC1035,$AC$2:$AC$1780)+COUNTIF($AC$2:AC1035,AC1035)-1)</f>
        <v/>
      </c>
      <c r="AB1035" s="56" t="str">
        <f aca="false">IF(AD1035="","",RANK(AD1035,$AD$2:$AD$1780)+COUNTIF($AD$2:AD1035,AD1035)-1)</f>
        <v/>
      </c>
      <c r="AC1035" s="56" t="str">
        <f aca="false">IF(AND(F1035&gt;0,E1035&gt;=Settings!$B$4),J1035,"")</f>
        <v/>
      </c>
      <c r="AD1035" s="56" t="str">
        <f aca="false">IF(X1035="HIGH RATE",O1035,"")</f>
        <v/>
      </c>
    </row>
    <row r="1036" customFormat="false" ht="15" hidden="false" customHeight="false" outlineLevel="0" collapsed="false">
      <c r="A1036" s="56" t="s">
        <v>2390</v>
      </c>
      <c r="B1036" s="56" t="s">
        <v>2389</v>
      </c>
      <c r="C1036" s="56" t="s">
        <v>51</v>
      </c>
      <c r="D1036" s="56" t="str">
        <f aca="false">IFERROR(INDEX('Brand Map'!$B$4:$B$124,MATCH(C1036,'Brand Map'!$A$4:$A$124,0)),"Other")</f>
        <v>AU</v>
      </c>
      <c r="E1036" s="57" t="n">
        <v>4</v>
      </c>
      <c r="F1036" s="57" t="n">
        <v>0</v>
      </c>
      <c r="G1036" s="58" t="n">
        <v>259.8</v>
      </c>
      <c r="H1036" s="58" t="n">
        <v>0</v>
      </c>
      <c r="I1036" s="58" t="n">
        <v>259.8</v>
      </c>
      <c r="J1036" s="32" t="n">
        <f aca="false">IF(E1036&gt;0,F1036/E1036,0)</f>
        <v>0</v>
      </c>
      <c r="K1036" s="32" t="n">
        <f aca="false">IF(G1036&gt;0,H1036/G1036,0)</f>
        <v>-0</v>
      </c>
      <c r="L1036" s="59" t="n">
        <f aca="false">H1036/Settings!$B$16</f>
        <v>-0</v>
      </c>
      <c r="M1036" s="59" t="n">
        <f aca="false">H1036/Settings!$B$20</f>
        <v>-0</v>
      </c>
      <c r="N1036" s="60" t="n">
        <f aca="false">E1036*Settings!$B$3</f>
        <v>0.123944604319282</v>
      </c>
      <c r="O1036" s="60" t="n">
        <f aca="false">IF(E1036&gt;0,(F1036-N1036)/SQRT(E1036*Settings!$B$3*(1-Settings!$B$3)),0)</f>
        <v>-0.357642251868888</v>
      </c>
      <c r="P1036" s="60" t="n">
        <f aca="false">MAX(0,F1036-N1036)</f>
        <v>0</v>
      </c>
      <c r="Q1036" s="32" t="n">
        <f aca="false">(F1036+Settings!$B$7*Settings!$B$3)/(E1036+Settings!$B$7)</f>
        <v>0.027340721541018</v>
      </c>
      <c r="R1036" s="61" t="n">
        <f aca="false">PERCENTRANK($H$2:$H$1780,H1036,6)</f>
        <v>0</v>
      </c>
      <c r="S1036" s="61" t="n">
        <f aca="false">PERCENTRANK($Q$2:$Q$1780,Q1036,6)</f>
        <v>0.253656</v>
      </c>
      <c r="T1036" s="61" t="n">
        <f aca="false">PERCENTRANK($F$2:$F$1780,F1036,6)</f>
        <v>0</v>
      </c>
      <c r="U1036" s="62" t="n">
        <f aca="false">IF(F1036&gt;0,(Settings!$B$8*T1036+Settings!$B$9*R1036+Settings!$B$10*S1036)/SUM(Settings!$B$8:$B$10),0)</f>
        <v>0</v>
      </c>
      <c r="V1036" s="56" t="str">
        <f aca="false">IF(U1036&gt;0,RANK(U1036,$U$2:$U$1780)+COUNTIF($U$2:U1036,U1036)-1,"")</f>
        <v/>
      </c>
      <c r="W1036" s="56" t="str">
        <f aca="false">IF(V1036="","",IF(V1036&lt;=Settings!$B$11,"1 - Fix first",IF(V1036&lt;=Settings!$B$12,"2 - Review","3 - Monitor")))</f>
        <v/>
      </c>
      <c r="X1036" s="56" t="str">
        <f aca="false">IF(AND(E1036&gt;=Settings!$B$4,F1036&gt;=Settings!$B$5,O1036&gt;=Settings!$B$6),"HIGH RATE","")</f>
        <v/>
      </c>
      <c r="Y1036" s="56" t="str">
        <f aca="false">IF(F1036&gt;0,RANK(F1036,$F$2:$F$1780)+COUNTIF($F$2:F1036,F1036)-1,"")</f>
        <v/>
      </c>
      <c r="Z1036" s="56" t="str">
        <f aca="false">IF(H1036&gt;0,RANK(H1036,$H$2:$H$1780)+COUNTIF($H$2:H1036,H1036)-1,"")</f>
        <v/>
      </c>
      <c r="AA1036" s="56" t="str">
        <f aca="false">IF(AC1036="","",RANK(AC1036,$AC$2:$AC$1780)+COUNTIF($AC$2:AC1036,AC1036)-1)</f>
        <v/>
      </c>
      <c r="AB1036" s="56" t="str">
        <f aca="false">IF(AD1036="","",RANK(AD1036,$AD$2:$AD$1780)+COUNTIF($AD$2:AD1036,AD1036)-1)</f>
        <v/>
      </c>
      <c r="AC1036" s="56" t="str">
        <f aca="false">IF(AND(F1036&gt;0,E1036&gt;=Settings!$B$4),J1036,"")</f>
        <v/>
      </c>
      <c r="AD1036" s="56" t="str">
        <f aca="false">IF(X1036="HIGH RATE",O1036,"")</f>
        <v/>
      </c>
    </row>
    <row r="1037" customFormat="false" ht="15" hidden="false" customHeight="false" outlineLevel="0" collapsed="false">
      <c r="A1037" s="56" t="s">
        <v>2391</v>
      </c>
      <c r="B1037" s="56" t="s">
        <v>2389</v>
      </c>
      <c r="C1037" s="56" t="s">
        <v>51</v>
      </c>
      <c r="D1037" s="56" t="str">
        <f aca="false">IFERROR(INDEX('Brand Map'!$B$4:$B$124,MATCH(C1037,'Brand Map'!$A$4:$A$124,0)),"Other")</f>
        <v>AU</v>
      </c>
      <c r="E1037" s="57" t="n">
        <v>5</v>
      </c>
      <c r="F1037" s="57" t="n">
        <v>0</v>
      </c>
      <c r="G1037" s="58" t="n">
        <v>249.75</v>
      </c>
      <c r="H1037" s="58" t="n">
        <v>0</v>
      </c>
      <c r="I1037" s="58" t="n">
        <v>249.75</v>
      </c>
      <c r="J1037" s="32" t="n">
        <f aca="false">IF(E1037&gt;0,F1037/E1037,0)</f>
        <v>0</v>
      </c>
      <c r="K1037" s="32" t="n">
        <f aca="false">IF(G1037&gt;0,H1037/G1037,0)</f>
        <v>-0</v>
      </c>
      <c r="L1037" s="59" t="n">
        <f aca="false">H1037/Settings!$B$16</f>
        <v>-0</v>
      </c>
      <c r="M1037" s="59" t="n">
        <f aca="false">H1037/Settings!$B$20</f>
        <v>-0</v>
      </c>
      <c r="N1037" s="60" t="n">
        <f aca="false">E1037*Settings!$B$3</f>
        <v>0.154930755399102</v>
      </c>
      <c r="O1037" s="60" t="n">
        <f aca="false">IF(E1037&gt;0,(F1037-N1037)/SQRT(E1037*Settings!$B$3*(1-Settings!$B$3)),0)</f>
        <v>-0.399856193402468</v>
      </c>
      <c r="P1037" s="60" t="n">
        <f aca="false">MAX(0,F1037-N1037)</f>
        <v>0</v>
      </c>
      <c r="Q1037" s="32" t="n">
        <f aca="false">(F1037+Settings!$B$7*Settings!$B$3)/(E1037+Settings!$B$7)</f>
        <v>0.0265595580684175</v>
      </c>
      <c r="R1037" s="61" t="n">
        <f aca="false">PERCENTRANK($H$2:$H$1780,H1037,6)</f>
        <v>0</v>
      </c>
      <c r="S1037" s="61" t="n">
        <f aca="false">PERCENTRANK($Q$2:$Q$1780,Q1037,6)</f>
        <v>0.220472</v>
      </c>
      <c r="T1037" s="61" t="n">
        <f aca="false">PERCENTRANK($F$2:$F$1780,F1037,6)</f>
        <v>0</v>
      </c>
      <c r="U1037" s="62" t="n">
        <f aca="false">IF(F1037&gt;0,(Settings!$B$8*T1037+Settings!$B$9*R1037+Settings!$B$10*S1037)/SUM(Settings!$B$8:$B$10),0)</f>
        <v>0</v>
      </c>
      <c r="V1037" s="56" t="str">
        <f aca="false">IF(U1037&gt;0,RANK(U1037,$U$2:$U$1780)+COUNTIF($U$2:U1037,U1037)-1,"")</f>
        <v/>
      </c>
      <c r="W1037" s="56" t="str">
        <f aca="false">IF(V1037="","",IF(V1037&lt;=Settings!$B$11,"1 - Fix first",IF(V1037&lt;=Settings!$B$12,"2 - Review","3 - Monitor")))</f>
        <v/>
      </c>
      <c r="X1037" s="56" t="str">
        <f aca="false">IF(AND(E1037&gt;=Settings!$B$4,F1037&gt;=Settings!$B$5,O1037&gt;=Settings!$B$6),"HIGH RATE","")</f>
        <v/>
      </c>
      <c r="Y1037" s="56" t="str">
        <f aca="false">IF(F1037&gt;0,RANK(F1037,$F$2:$F$1780)+COUNTIF($F$2:F1037,F1037)-1,"")</f>
        <v/>
      </c>
      <c r="Z1037" s="56" t="str">
        <f aca="false">IF(H1037&gt;0,RANK(H1037,$H$2:$H$1780)+COUNTIF($H$2:H1037,H1037)-1,"")</f>
        <v/>
      </c>
      <c r="AA1037" s="56" t="str">
        <f aca="false">IF(AC1037="","",RANK(AC1037,$AC$2:$AC$1780)+COUNTIF($AC$2:AC1037,AC1037)-1)</f>
        <v/>
      </c>
      <c r="AB1037" s="56" t="str">
        <f aca="false">IF(AD1037="","",RANK(AD1037,$AD$2:$AD$1780)+COUNTIF($AD$2:AD1037,AD1037)-1)</f>
        <v/>
      </c>
      <c r="AC1037" s="56" t="str">
        <f aca="false">IF(AND(F1037&gt;0,E1037&gt;=Settings!$B$4),J1037,"")</f>
        <v/>
      </c>
      <c r="AD1037" s="56" t="str">
        <f aca="false">IF(X1037="HIGH RATE",O1037,"")</f>
        <v/>
      </c>
    </row>
    <row r="1038" customFormat="false" ht="15" hidden="false" customHeight="false" outlineLevel="0" collapsed="false">
      <c r="A1038" s="56" t="s">
        <v>2392</v>
      </c>
      <c r="B1038" s="56" t="s">
        <v>2393</v>
      </c>
      <c r="C1038" s="56" t="s">
        <v>51</v>
      </c>
      <c r="D1038" s="56" t="str">
        <f aca="false">IFERROR(INDEX('Brand Map'!$B$4:$B$124,MATCH(C1038,'Brand Map'!$A$4:$A$124,0)),"Other")</f>
        <v>AU</v>
      </c>
      <c r="E1038" s="57" t="n">
        <v>43</v>
      </c>
      <c r="F1038" s="57" t="n">
        <v>0</v>
      </c>
      <c r="G1038" s="58" t="n">
        <v>3352.55</v>
      </c>
      <c r="H1038" s="58" t="n">
        <v>0</v>
      </c>
      <c r="I1038" s="58" t="n">
        <v>3352.55</v>
      </c>
      <c r="J1038" s="32" t="n">
        <f aca="false">IF(E1038&gt;0,F1038/E1038,0)</f>
        <v>0</v>
      </c>
      <c r="K1038" s="32" t="n">
        <f aca="false">IF(G1038&gt;0,H1038/G1038,0)</f>
        <v>-0</v>
      </c>
      <c r="L1038" s="59" t="n">
        <f aca="false">H1038/Settings!$B$16</f>
        <v>-0</v>
      </c>
      <c r="M1038" s="59" t="n">
        <f aca="false">H1038/Settings!$B$20</f>
        <v>-0</v>
      </c>
      <c r="N1038" s="60" t="n">
        <f aca="false">E1038*Settings!$B$3</f>
        <v>1.33240449643228</v>
      </c>
      <c r="O1038" s="60" t="n">
        <f aca="false">IF(E1038&gt;0,(F1038-N1038)/SQRT(E1038*Settings!$B$3*(1-Settings!$B$3)),0)</f>
        <v>-1.17260854016158</v>
      </c>
      <c r="P1038" s="60" t="n">
        <f aca="false">MAX(0,F1038-N1038)</f>
        <v>0</v>
      </c>
      <c r="Q1038" s="32" t="n">
        <f aca="false">(F1038+Settings!$B$7*Settings!$B$3)/(E1038+Settings!$B$7)</f>
        <v>0.0127340346903372</v>
      </c>
      <c r="R1038" s="61" t="n">
        <f aca="false">PERCENTRANK($H$2:$H$1780,H1038,6)</f>
        <v>0</v>
      </c>
      <c r="S1038" s="61" t="n">
        <f aca="false">PERCENTRANK($Q$2:$Q$1780,Q1038,6)</f>
        <v>0.0264342</v>
      </c>
      <c r="T1038" s="61" t="n">
        <f aca="false">PERCENTRANK($F$2:$F$1780,F1038,6)</f>
        <v>0</v>
      </c>
      <c r="U1038" s="62" t="n">
        <f aca="false">IF(F1038&gt;0,(Settings!$B$8*T1038+Settings!$B$9*R1038+Settings!$B$10*S1038)/SUM(Settings!$B$8:$B$10),0)</f>
        <v>0</v>
      </c>
      <c r="V1038" s="56" t="str">
        <f aca="false">IF(U1038&gt;0,RANK(U1038,$U$2:$U$1780)+COUNTIF($U$2:U1038,U1038)-1,"")</f>
        <v/>
      </c>
      <c r="W1038" s="56" t="str">
        <f aca="false">IF(V1038="","",IF(V1038&lt;=Settings!$B$11,"1 - Fix first",IF(V1038&lt;=Settings!$B$12,"2 - Review","3 - Monitor")))</f>
        <v/>
      </c>
      <c r="X1038" s="56" t="str">
        <f aca="false">IF(AND(E1038&gt;=Settings!$B$4,F1038&gt;=Settings!$B$5,O1038&gt;=Settings!$B$6),"HIGH RATE","")</f>
        <v/>
      </c>
      <c r="Y1038" s="56" t="str">
        <f aca="false">IF(F1038&gt;0,RANK(F1038,$F$2:$F$1780)+COUNTIF($F$2:F1038,F1038)-1,"")</f>
        <v/>
      </c>
      <c r="Z1038" s="56" t="str">
        <f aca="false">IF(H1038&gt;0,RANK(H1038,$H$2:$H$1780)+COUNTIF($H$2:H1038,H1038)-1,"")</f>
        <v/>
      </c>
      <c r="AA1038" s="56" t="str">
        <f aca="false">IF(AC1038="","",RANK(AC1038,$AC$2:$AC$1780)+COUNTIF($AC$2:AC1038,AC1038)-1)</f>
        <v/>
      </c>
      <c r="AB1038" s="56" t="str">
        <f aca="false">IF(AD1038="","",RANK(AD1038,$AD$2:$AD$1780)+COUNTIF($AD$2:AD1038,AD1038)-1)</f>
        <v/>
      </c>
      <c r="AC1038" s="56" t="str">
        <f aca="false">IF(AND(F1038&gt;0,E1038&gt;=Settings!$B$4),J1038,"")</f>
        <v/>
      </c>
      <c r="AD1038" s="56" t="str">
        <f aca="false">IF(X1038="HIGH RATE",O1038,"")</f>
        <v/>
      </c>
    </row>
    <row r="1039" customFormat="false" ht="15" hidden="false" customHeight="false" outlineLevel="0" collapsed="false">
      <c r="A1039" s="56" t="s">
        <v>2394</v>
      </c>
      <c r="B1039" s="56" t="s">
        <v>2395</v>
      </c>
      <c r="C1039" s="56" t="s">
        <v>51</v>
      </c>
      <c r="D1039" s="56" t="str">
        <f aca="false">IFERROR(INDEX('Brand Map'!$B$4:$B$124,MATCH(C1039,'Brand Map'!$A$4:$A$124,0)),"Other")</f>
        <v>AU</v>
      </c>
      <c r="E1039" s="57" t="n">
        <v>4</v>
      </c>
      <c r="F1039" s="57" t="n">
        <v>0</v>
      </c>
      <c r="G1039" s="58" t="n">
        <v>313.17</v>
      </c>
      <c r="H1039" s="58" t="n">
        <v>0</v>
      </c>
      <c r="I1039" s="58" t="n">
        <v>313.17</v>
      </c>
      <c r="J1039" s="32" t="n">
        <f aca="false">IF(E1039&gt;0,F1039/E1039,0)</f>
        <v>0</v>
      </c>
      <c r="K1039" s="32" t="n">
        <f aca="false">IF(G1039&gt;0,H1039/G1039,0)</f>
        <v>-0</v>
      </c>
      <c r="L1039" s="59" t="n">
        <f aca="false">H1039/Settings!$B$16</f>
        <v>-0</v>
      </c>
      <c r="M1039" s="59" t="n">
        <f aca="false">H1039/Settings!$B$20</f>
        <v>-0</v>
      </c>
      <c r="N1039" s="60" t="n">
        <f aca="false">E1039*Settings!$B$3</f>
        <v>0.123944604319282</v>
      </c>
      <c r="O1039" s="60" t="n">
        <f aca="false">IF(E1039&gt;0,(F1039-N1039)/SQRT(E1039*Settings!$B$3*(1-Settings!$B$3)),0)</f>
        <v>-0.357642251868888</v>
      </c>
      <c r="P1039" s="60" t="n">
        <f aca="false">MAX(0,F1039-N1039)</f>
        <v>0</v>
      </c>
      <c r="Q1039" s="32" t="n">
        <f aca="false">(F1039+Settings!$B$7*Settings!$B$3)/(E1039+Settings!$B$7)</f>
        <v>0.027340721541018</v>
      </c>
      <c r="R1039" s="61" t="n">
        <f aca="false">PERCENTRANK($H$2:$H$1780,H1039,6)</f>
        <v>0</v>
      </c>
      <c r="S1039" s="61" t="n">
        <f aca="false">PERCENTRANK($Q$2:$Q$1780,Q1039,6)</f>
        <v>0.253656</v>
      </c>
      <c r="T1039" s="61" t="n">
        <f aca="false">PERCENTRANK($F$2:$F$1780,F1039,6)</f>
        <v>0</v>
      </c>
      <c r="U1039" s="62" t="n">
        <f aca="false">IF(F1039&gt;0,(Settings!$B$8*T1039+Settings!$B$9*R1039+Settings!$B$10*S1039)/SUM(Settings!$B$8:$B$10),0)</f>
        <v>0</v>
      </c>
      <c r="V1039" s="56" t="str">
        <f aca="false">IF(U1039&gt;0,RANK(U1039,$U$2:$U$1780)+COUNTIF($U$2:U1039,U1039)-1,"")</f>
        <v/>
      </c>
      <c r="W1039" s="56" t="str">
        <f aca="false">IF(V1039="","",IF(V1039&lt;=Settings!$B$11,"1 - Fix first",IF(V1039&lt;=Settings!$B$12,"2 - Review","3 - Monitor")))</f>
        <v/>
      </c>
      <c r="X1039" s="56" t="str">
        <f aca="false">IF(AND(E1039&gt;=Settings!$B$4,F1039&gt;=Settings!$B$5,O1039&gt;=Settings!$B$6),"HIGH RATE","")</f>
        <v/>
      </c>
      <c r="Y1039" s="56" t="str">
        <f aca="false">IF(F1039&gt;0,RANK(F1039,$F$2:$F$1780)+COUNTIF($F$2:F1039,F1039)-1,"")</f>
        <v/>
      </c>
      <c r="Z1039" s="56" t="str">
        <f aca="false">IF(H1039&gt;0,RANK(H1039,$H$2:$H$1780)+COUNTIF($H$2:H1039,H1039)-1,"")</f>
        <v/>
      </c>
      <c r="AA1039" s="56" t="str">
        <f aca="false">IF(AC1039="","",RANK(AC1039,$AC$2:$AC$1780)+COUNTIF($AC$2:AC1039,AC1039)-1)</f>
        <v/>
      </c>
      <c r="AB1039" s="56" t="str">
        <f aca="false">IF(AD1039="","",RANK(AD1039,$AD$2:$AD$1780)+COUNTIF($AD$2:AD1039,AD1039)-1)</f>
        <v/>
      </c>
      <c r="AC1039" s="56" t="str">
        <f aca="false">IF(AND(F1039&gt;0,E1039&gt;=Settings!$B$4),J1039,"")</f>
        <v/>
      </c>
      <c r="AD1039" s="56" t="str">
        <f aca="false">IF(X1039="HIGH RATE",O1039,"")</f>
        <v/>
      </c>
    </row>
    <row r="1040" customFormat="false" ht="15" hidden="false" customHeight="false" outlineLevel="0" collapsed="false">
      <c r="A1040" s="56" t="s">
        <v>2396</v>
      </c>
      <c r="B1040" s="56" t="s">
        <v>2397</v>
      </c>
      <c r="C1040" s="56" t="s">
        <v>51</v>
      </c>
      <c r="D1040" s="56" t="str">
        <f aca="false">IFERROR(INDEX('Brand Map'!$B$4:$B$124,MATCH(C1040,'Brand Map'!$A$4:$A$124,0)),"Other")</f>
        <v>AU</v>
      </c>
      <c r="E1040" s="57" t="n">
        <v>2</v>
      </c>
      <c r="F1040" s="57" t="n">
        <v>0</v>
      </c>
      <c r="G1040" s="58" t="n">
        <v>89.9</v>
      </c>
      <c r="H1040" s="58" t="n">
        <v>0</v>
      </c>
      <c r="I1040" s="58" t="n">
        <v>89.9</v>
      </c>
      <c r="J1040" s="32" t="n">
        <f aca="false">IF(E1040&gt;0,F1040/E1040,0)</f>
        <v>0</v>
      </c>
      <c r="K1040" s="32" t="n">
        <f aca="false">IF(G1040&gt;0,H1040/G1040,0)</f>
        <v>-0</v>
      </c>
      <c r="L1040" s="59" t="n">
        <f aca="false">H1040/Settings!$B$16</f>
        <v>-0</v>
      </c>
      <c r="M1040" s="59" t="n">
        <f aca="false">H1040/Settings!$B$20</f>
        <v>-0</v>
      </c>
      <c r="N1040" s="60" t="n">
        <f aca="false">E1040*Settings!$B$3</f>
        <v>0.0619723021596408</v>
      </c>
      <c r="O1040" s="60" t="n">
        <f aca="false">IF(E1040&gt;0,(F1040-N1040)/SQRT(E1040*Settings!$B$3*(1-Settings!$B$3)),0)</f>
        <v>-0.252891261535318</v>
      </c>
      <c r="P1040" s="60" t="n">
        <f aca="false">MAX(0,F1040-N1040)</f>
        <v>0</v>
      </c>
      <c r="Q1040" s="32" t="n">
        <f aca="false">(F1040+Settings!$B$7*Settings!$B$3)/(E1040+Settings!$B$7)</f>
        <v>0.0290495166373316</v>
      </c>
      <c r="R1040" s="61" t="n">
        <f aca="false">PERCENTRANK($H$2:$H$1780,H1040,6)</f>
        <v>0</v>
      </c>
      <c r="S1040" s="61" t="n">
        <f aca="false">PERCENTRANK($Q$2:$Q$1780,Q1040,6)</f>
        <v>0.365579</v>
      </c>
      <c r="T1040" s="61" t="n">
        <f aca="false">PERCENTRANK($F$2:$F$1780,F1040,6)</f>
        <v>0</v>
      </c>
      <c r="U1040" s="62" t="n">
        <f aca="false">IF(F1040&gt;0,(Settings!$B$8*T1040+Settings!$B$9*R1040+Settings!$B$10*S1040)/SUM(Settings!$B$8:$B$10),0)</f>
        <v>0</v>
      </c>
      <c r="V1040" s="56" t="str">
        <f aca="false">IF(U1040&gt;0,RANK(U1040,$U$2:$U$1780)+COUNTIF($U$2:U1040,U1040)-1,"")</f>
        <v/>
      </c>
      <c r="W1040" s="56" t="str">
        <f aca="false">IF(V1040="","",IF(V1040&lt;=Settings!$B$11,"1 - Fix first",IF(V1040&lt;=Settings!$B$12,"2 - Review","3 - Monitor")))</f>
        <v/>
      </c>
      <c r="X1040" s="56" t="str">
        <f aca="false">IF(AND(E1040&gt;=Settings!$B$4,F1040&gt;=Settings!$B$5,O1040&gt;=Settings!$B$6),"HIGH RATE","")</f>
        <v/>
      </c>
      <c r="Y1040" s="56" t="str">
        <f aca="false">IF(F1040&gt;0,RANK(F1040,$F$2:$F$1780)+COUNTIF($F$2:F1040,F1040)-1,"")</f>
        <v/>
      </c>
      <c r="Z1040" s="56" t="str">
        <f aca="false">IF(H1040&gt;0,RANK(H1040,$H$2:$H$1780)+COUNTIF($H$2:H1040,H1040)-1,"")</f>
        <v/>
      </c>
      <c r="AA1040" s="56" t="str">
        <f aca="false">IF(AC1040="","",RANK(AC1040,$AC$2:$AC$1780)+COUNTIF($AC$2:AC1040,AC1040)-1)</f>
        <v/>
      </c>
      <c r="AB1040" s="56" t="str">
        <f aca="false">IF(AD1040="","",RANK(AD1040,$AD$2:$AD$1780)+COUNTIF($AD$2:AD1040,AD1040)-1)</f>
        <v/>
      </c>
      <c r="AC1040" s="56" t="str">
        <f aca="false">IF(AND(F1040&gt;0,E1040&gt;=Settings!$B$4),J1040,"")</f>
        <v/>
      </c>
      <c r="AD1040" s="56" t="str">
        <f aca="false">IF(X1040="HIGH RATE",O1040,"")</f>
        <v/>
      </c>
    </row>
    <row r="1041" customFormat="false" ht="15" hidden="false" customHeight="false" outlineLevel="0" collapsed="false">
      <c r="A1041" s="56" t="s">
        <v>2398</v>
      </c>
      <c r="B1041" s="56" t="s">
        <v>2397</v>
      </c>
      <c r="C1041" s="56" t="s">
        <v>51</v>
      </c>
      <c r="D1041" s="56" t="str">
        <f aca="false">IFERROR(INDEX('Brand Map'!$B$4:$B$124,MATCH(C1041,'Brand Map'!$A$4:$A$124,0)),"Other")</f>
        <v>AU</v>
      </c>
      <c r="E1041" s="57" t="n">
        <v>1</v>
      </c>
      <c r="F1041" s="57" t="n">
        <v>0</v>
      </c>
      <c r="G1041" s="58" t="n">
        <v>59.95</v>
      </c>
      <c r="H1041" s="58" t="n">
        <v>0</v>
      </c>
      <c r="I1041" s="58" t="n">
        <v>59.95</v>
      </c>
      <c r="J1041" s="32" t="n">
        <f aca="false">IF(E1041&gt;0,F1041/E1041,0)</f>
        <v>0</v>
      </c>
      <c r="K1041" s="32" t="n">
        <f aca="false">IF(G1041&gt;0,H1041/G1041,0)</f>
        <v>-0</v>
      </c>
      <c r="L1041" s="59" t="n">
        <f aca="false">H1041/Settings!$B$16</f>
        <v>-0</v>
      </c>
      <c r="M1041" s="59" t="n">
        <f aca="false">H1041/Settings!$B$20</f>
        <v>-0</v>
      </c>
      <c r="N1041" s="60" t="n">
        <f aca="false">E1041*Settings!$B$3</f>
        <v>0.0309861510798204</v>
      </c>
      <c r="O1041" s="60" t="n">
        <f aca="false">IF(E1041&gt;0,(F1041-N1041)/SQRT(E1041*Settings!$B$3*(1-Settings!$B$3)),0)</f>
        <v>-0.178821125934444</v>
      </c>
      <c r="P1041" s="60" t="n">
        <f aca="false">MAX(0,F1041-N1041)</f>
        <v>0</v>
      </c>
      <c r="Q1041" s="32" t="n">
        <f aca="false">(F1041+Settings!$B$7*Settings!$B$3)/(E1041+Settings!$B$7)</f>
        <v>0.0299865978191811</v>
      </c>
      <c r="R1041" s="61" t="n">
        <f aca="false">PERCENTRANK($H$2:$H$1780,H1041,6)</f>
        <v>0</v>
      </c>
      <c r="S1041" s="61" t="n">
        <f aca="false">PERCENTRANK($Q$2:$Q$1780,Q1041,6)</f>
        <v>0.486502</v>
      </c>
      <c r="T1041" s="61" t="n">
        <f aca="false">PERCENTRANK($F$2:$F$1780,F1041,6)</f>
        <v>0</v>
      </c>
      <c r="U1041" s="62" t="n">
        <f aca="false">IF(F1041&gt;0,(Settings!$B$8*T1041+Settings!$B$9*R1041+Settings!$B$10*S1041)/SUM(Settings!$B$8:$B$10),0)</f>
        <v>0</v>
      </c>
      <c r="V1041" s="56" t="str">
        <f aca="false">IF(U1041&gt;0,RANK(U1041,$U$2:$U$1780)+COUNTIF($U$2:U1041,U1041)-1,"")</f>
        <v/>
      </c>
      <c r="W1041" s="56" t="str">
        <f aca="false">IF(V1041="","",IF(V1041&lt;=Settings!$B$11,"1 - Fix first",IF(V1041&lt;=Settings!$B$12,"2 - Review","3 - Monitor")))</f>
        <v/>
      </c>
      <c r="X1041" s="56" t="str">
        <f aca="false">IF(AND(E1041&gt;=Settings!$B$4,F1041&gt;=Settings!$B$5,O1041&gt;=Settings!$B$6),"HIGH RATE","")</f>
        <v/>
      </c>
      <c r="Y1041" s="56" t="str">
        <f aca="false">IF(F1041&gt;0,RANK(F1041,$F$2:$F$1780)+COUNTIF($F$2:F1041,F1041)-1,"")</f>
        <v/>
      </c>
      <c r="Z1041" s="56" t="str">
        <f aca="false">IF(H1041&gt;0,RANK(H1041,$H$2:$H$1780)+COUNTIF($H$2:H1041,H1041)-1,"")</f>
        <v/>
      </c>
      <c r="AA1041" s="56" t="str">
        <f aca="false">IF(AC1041="","",RANK(AC1041,$AC$2:$AC$1780)+COUNTIF($AC$2:AC1041,AC1041)-1)</f>
        <v/>
      </c>
      <c r="AB1041" s="56" t="str">
        <f aca="false">IF(AD1041="","",RANK(AD1041,$AD$2:$AD$1780)+COUNTIF($AD$2:AD1041,AD1041)-1)</f>
        <v/>
      </c>
      <c r="AC1041" s="56" t="str">
        <f aca="false">IF(AND(F1041&gt;0,E1041&gt;=Settings!$B$4),J1041,"")</f>
        <v/>
      </c>
      <c r="AD1041" s="56" t="str">
        <f aca="false">IF(X1041="HIGH RATE",O1041,"")</f>
        <v/>
      </c>
    </row>
    <row r="1042" customFormat="false" ht="15" hidden="false" customHeight="false" outlineLevel="0" collapsed="false">
      <c r="A1042" s="56" t="s">
        <v>2399</v>
      </c>
      <c r="B1042" s="56" t="s">
        <v>2397</v>
      </c>
      <c r="C1042" s="56" t="s">
        <v>51</v>
      </c>
      <c r="D1042" s="56" t="str">
        <f aca="false">IFERROR(INDEX('Brand Map'!$B$4:$B$124,MATCH(C1042,'Brand Map'!$A$4:$A$124,0)),"Other")</f>
        <v>AU</v>
      </c>
      <c r="E1042" s="57" t="n">
        <v>1</v>
      </c>
      <c r="F1042" s="57" t="n">
        <v>0</v>
      </c>
      <c r="G1042" s="58" t="n">
        <v>74.95</v>
      </c>
      <c r="H1042" s="58" t="n">
        <v>0</v>
      </c>
      <c r="I1042" s="58" t="n">
        <v>74.95</v>
      </c>
      <c r="J1042" s="32" t="n">
        <f aca="false">IF(E1042&gt;0,F1042/E1042,0)</f>
        <v>0</v>
      </c>
      <c r="K1042" s="32" t="n">
        <f aca="false">IF(G1042&gt;0,H1042/G1042,0)</f>
        <v>-0</v>
      </c>
      <c r="L1042" s="59" t="n">
        <f aca="false">H1042/Settings!$B$16</f>
        <v>-0</v>
      </c>
      <c r="M1042" s="59" t="n">
        <f aca="false">H1042/Settings!$B$20</f>
        <v>-0</v>
      </c>
      <c r="N1042" s="60" t="n">
        <f aca="false">E1042*Settings!$B$3</f>
        <v>0.0309861510798204</v>
      </c>
      <c r="O1042" s="60" t="n">
        <f aca="false">IF(E1042&gt;0,(F1042-N1042)/SQRT(E1042*Settings!$B$3*(1-Settings!$B$3)),0)</f>
        <v>-0.178821125934444</v>
      </c>
      <c r="P1042" s="60" t="n">
        <f aca="false">MAX(0,F1042-N1042)</f>
        <v>0</v>
      </c>
      <c r="Q1042" s="32" t="n">
        <f aca="false">(F1042+Settings!$B$7*Settings!$B$3)/(E1042+Settings!$B$7)</f>
        <v>0.0299865978191811</v>
      </c>
      <c r="R1042" s="61" t="n">
        <f aca="false">PERCENTRANK($H$2:$H$1780,H1042,6)</f>
        <v>0</v>
      </c>
      <c r="S1042" s="61" t="n">
        <f aca="false">PERCENTRANK($Q$2:$Q$1780,Q1042,6)</f>
        <v>0.486502</v>
      </c>
      <c r="T1042" s="61" t="n">
        <f aca="false">PERCENTRANK($F$2:$F$1780,F1042,6)</f>
        <v>0</v>
      </c>
      <c r="U1042" s="62" t="n">
        <f aca="false">IF(F1042&gt;0,(Settings!$B$8*T1042+Settings!$B$9*R1042+Settings!$B$10*S1042)/SUM(Settings!$B$8:$B$10),0)</f>
        <v>0</v>
      </c>
      <c r="V1042" s="56" t="str">
        <f aca="false">IF(U1042&gt;0,RANK(U1042,$U$2:$U$1780)+COUNTIF($U$2:U1042,U1042)-1,"")</f>
        <v/>
      </c>
      <c r="W1042" s="56" t="str">
        <f aca="false">IF(V1042="","",IF(V1042&lt;=Settings!$B$11,"1 - Fix first",IF(V1042&lt;=Settings!$B$12,"2 - Review","3 - Monitor")))</f>
        <v/>
      </c>
      <c r="X1042" s="56" t="str">
        <f aca="false">IF(AND(E1042&gt;=Settings!$B$4,F1042&gt;=Settings!$B$5,O1042&gt;=Settings!$B$6),"HIGH RATE","")</f>
        <v/>
      </c>
      <c r="Y1042" s="56" t="str">
        <f aca="false">IF(F1042&gt;0,RANK(F1042,$F$2:$F$1780)+COUNTIF($F$2:F1042,F1042)-1,"")</f>
        <v/>
      </c>
      <c r="Z1042" s="56" t="str">
        <f aca="false">IF(H1042&gt;0,RANK(H1042,$H$2:$H$1780)+COUNTIF($H$2:H1042,H1042)-1,"")</f>
        <v/>
      </c>
      <c r="AA1042" s="56" t="str">
        <f aca="false">IF(AC1042="","",RANK(AC1042,$AC$2:$AC$1780)+COUNTIF($AC$2:AC1042,AC1042)-1)</f>
        <v/>
      </c>
      <c r="AB1042" s="56" t="str">
        <f aca="false">IF(AD1042="","",RANK(AD1042,$AD$2:$AD$1780)+COUNTIF($AD$2:AD1042,AD1042)-1)</f>
        <v/>
      </c>
      <c r="AC1042" s="56" t="str">
        <f aca="false">IF(AND(F1042&gt;0,E1042&gt;=Settings!$B$4),J1042,"")</f>
        <v/>
      </c>
      <c r="AD1042" s="56" t="str">
        <f aca="false">IF(X1042="HIGH RATE",O1042,"")</f>
        <v/>
      </c>
    </row>
    <row r="1043" customFormat="false" ht="15" hidden="false" customHeight="false" outlineLevel="0" collapsed="false">
      <c r="A1043" s="56" t="s">
        <v>2400</v>
      </c>
      <c r="B1043" s="56" t="s">
        <v>2401</v>
      </c>
      <c r="C1043" s="56" t="s">
        <v>51</v>
      </c>
      <c r="D1043" s="56" t="str">
        <f aca="false">IFERROR(INDEX('Brand Map'!$B$4:$B$124,MATCH(C1043,'Brand Map'!$A$4:$A$124,0)),"Other")</f>
        <v>AU</v>
      </c>
      <c r="E1043" s="57" t="n">
        <v>1</v>
      </c>
      <c r="F1043" s="57" t="n">
        <v>0</v>
      </c>
      <c r="G1043" s="58" t="n">
        <v>29.95</v>
      </c>
      <c r="H1043" s="58" t="n">
        <v>0</v>
      </c>
      <c r="I1043" s="58" t="n">
        <v>29.95</v>
      </c>
      <c r="J1043" s="32" t="n">
        <f aca="false">IF(E1043&gt;0,F1043/E1043,0)</f>
        <v>0</v>
      </c>
      <c r="K1043" s="32" t="n">
        <f aca="false">IF(G1043&gt;0,H1043/G1043,0)</f>
        <v>-0</v>
      </c>
      <c r="L1043" s="59" t="n">
        <f aca="false">H1043/Settings!$B$16</f>
        <v>-0</v>
      </c>
      <c r="M1043" s="59" t="n">
        <f aca="false">H1043/Settings!$B$20</f>
        <v>-0</v>
      </c>
      <c r="N1043" s="60" t="n">
        <f aca="false">E1043*Settings!$B$3</f>
        <v>0.0309861510798204</v>
      </c>
      <c r="O1043" s="60" t="n">
        <f aca="false">IF(E1043&gt;0,(F1043-N1043)/SQRT(E1043*Settings!$B$3*(1-Settings!$B$3)),0)</f>
        <v>-0.178821125934444</v>
      </c>
      <c r="P1043" s="60" t="n">
        <f aca="false">MAX(0,F1043-N1043)</f>
        <v>0</v>
      </c>
      <c r="Q1043" s="32" t="n">
        <f aca="false">(F1043+Settings!$B$7*Settings!$B$3)/(E1043+Settings!$B$7)</f>
        <v>0.0299865978191811</v>
      </c>
      <c r="R1043" s="61" t="n">
        <f aca="false">PERCENTRANK($H$2:$H$1780,H1043,6)</f>
        <v>0</v>
      </c>
      <c r="S1043" s="61" t="n">
        <f aca="false">PERCENTRANK($Q$2:$Q$1780,Q1043,6)</f>
        <v>0.486502</v>
      </c>
      <c r="T1043" s="61" t="n">
        <f aca="false">PERCENTRANK($F$2:$F$1780,F1043,6)</f>
        <v>0</v>
      </c>
      <c r="U1043" s="62" t="n">
        <f aca="false">IF(F1043&gt;0,(Settings!$B$8*T1043+Settings!$B$9*R1043+Settings!$B$10*S1043)/SUM(Settings!$B$8:$B$10),0)</f>
        <v>0</v>
      </c>
      <c r="V1043" s="56" t="str">
        <f aca="false">IF(U1043&gt;0,RANK(U1043,$U$2:$U$1780)+COUNTIF($U$2:U1043,U1043)-1,"")</f>
        <v/>
      </c>
      <c r="W1043" s="56" t="str">
        <f aca="false">IF(V1043="","",IF(V1043&lt;=Settings!$B$11,"1 - Fix first",IF(V1043&lt;=Settings!$B$12,"2 - Review","3 - Monitor")))</f>
        <v/>
      </c>
      <c r="X1043" s="56" t="str">
        <f aca="false">IF(AND(E1043&gt;=Settings!$B$4,F1043&gt;=Settings!$B$5,O1043&gt;=Settings!$B$6),"HIGH RATE","")</f>
        <v/>
      </c>
      <c r="Y1043" s="56" t="str">
        <f aca="false">IF(F1043&gt;0,RANK(F1043,$F$2:$F$1780)+COUNTIF($F$2:F1043,F1043)-1,"")</f>
        <v/>
      </c>
      <c r="Z1043" s="56" t="str">
        <f aca="false">IF(H1043&gt;0,RANK(H1043,$H$2:$H$1780)+COUNTIF($H$2:H1043,H1043)-1,"")</f>
        <v/>
      </c>
      <c r="AA1043" s="56" t="str">
        <f aca="false">IF(AC1043="","",RANK(AC1043,$AC$2:$AC$1780)+COUNTIF($AC$2:AC1043,AC1043)-1)</f>
        <v/>
      </c>
      <c r="AB1043" s="56" t="str">
        <f aca="false">IF(AD1043="","",RANK(AD1043,$AD$2:$AD$1780)+COUNTIF($AD$2:AD1043,AD1043)-1)</f>
        <v/>
      </c>
      <c r="AC1043" s="56" t="str">
        <f aca="false">IF(AND(F1043&gt;0,E1043&gt;=Settings!$B$4),J1043,"")</f>
        <v/>
      </c>
      <c r="AD1043" s="56" t="str">
        <f aca="false">IF(X1043="HIGH RATE",O1043,"")</f>
        <v/>
      </c>
    </row>
    <row r="1044" customFormat="false" ht="15" hidden="false" customHeight="false" outlineLevel="0" collapsed="false">
      <c r="A1044" s="56" t="s">
        <v>2402</v>
      </c>
      <c r="B1044" s="56" t="s">
        <v>2403</v>
      </c>
      <c r="C1044" s="56" t="s">
        <v>51</v>
      </c>
      <c r="D1044" s="56" t="str">
        <f aca="false">IFERROR(INDEX('Brand Map'!$B$4:$B$124,MATCH(C1044,'Brand Map'!$A$4:$A$124,0)),"Other")</f>
        <v>AU</v>
      </c>
      <c r="E1044" s="57" t="n">
        <v>1</v>
      </c>
      <c r="F1044" s="57" t="n">
        <v>0</v>
      </c>
      <c r="G1044" s="58" t="n">
        <v>241.95</v>
      </c>
      <c r="H1044" s="58" t="n">
        <v>0</v>
      </c>
      <c r="I1044" s="58" t="n">
        <v>241.95</v>
      </c>
      <c r="J1044" s="32" t="n">
        <f aca="false">IF(E1044&gt;0,F1044/E1044,0)</f>
        <v>0</v>
      </c>
      <c r="K1044" s="32" t="n">
        <f aca="false">IF(G1044&gt;0,H1044/G1044,0)</f>
        <v>-0</v>
      </c>
      <c r="L1044" s="59" t="n">
        <f aca="false">H1044/Settings!$B$16</f>
        <v>-0</v>
      </c>
      <c r="M1044" s="59" t="n">
        <f aca="false">H1044/Settings!$B$20</f>
        <v>-0</v>
      </c>
      <c r="N1044" s="60" t="n">
        <f aca="false">E1044*Settings!$B$3</f>
        <v>0.0309861510798204</v>
      </c>
      <c r="O1044" s="60" t="n">
        <f aca="false">IF(E1044&gt;0,(F1044-N1044)/SQRT(E1044*Settings!$B$3*(1-Settings!$B$3)),0)</f>
        <v>-0.178821125934444</v>
      </c>
      <c r="P1044" s="60" t="n">
        <f aca="false">MAX(0,F1044-N1044)</f>
        <v>0</v>
      </c>
      <c r="Q1044" s="32" t="n">
        <f aca="false">(F1044+Settings!$B$7*Settings!$B$3)/(E1044+Settings!$B$7)</f>
        <v>0.0299865978191811</v>
      </c>
      <c r="R1044" s="61" t="n">
        <f aca="false">PERCENTRANK($H$2:$H$1780,H1044,6)</f>
        <v>0</v>
      </c>
      <c r="S1044" s="61" t="n">
        <f aca="false">PERCENTRANK($Q$2:$Q$1780,Q1044,6)</f>
        <v>0.486502</v>
      </c>
      <c r="T1044" s="61" t="n">
        <f aca="false">PERCENTRANK($F$2:$F$1780,F1044,6)</f>
        <v>0</v>
      </c>
      <c r="U1044" s="62" t="n">
        <f aca="false">IF(F1044&gt;0,(Settings!$B$8*T1044+Settings!$B$9*R1044+Settings!$B$10*S1044)/SUM(Settings!$B$8:$B$10),0)</f>
        <v>0</v>
      </c>
      <c r="V1044" s="56" t="str">
        <f aca="false">IF(U1044&gt;0,RANK(U1044,$U$2:$U$1780)+COUNTIF($U$2:U1044,U1044)-1,"")</f>
        <v/>
      </c>
      <c r="W1044" s="56" t="str">
        <f aca="false">IF(V1044="","",IF(V1044&lt;=Settings!$B$11,"1 - Fix first",IF(V1044&lt;=Settings!$B$12,"2 - Review","3 - Monitor")))</f>
        <v/>
      </c>
      <c r="X1044" s="56" t="str">
        <f aca="false">IF(AND(E1044&gt;=Settings!$B$4,F1044&gt;=Settings!$B$5,O1044&gt;=Settings!$B$6),"HIGH RATE","")</f>
        <v/>
      </c>
      <c r="Y1044" s="56" t="str">
        <f aca="false">IF(F1044&gt;0,RANK(F1044,$F$2:$F$1780)+COUNTIF($F$2:F1044,F1044)-1,"")</f>
        <v/>
      </c>
      <c r="Z1044" s="56" t="str">
        <f aca="false">IF(H1044&gt;0,RANK(H1044,$H$2:$H$1780)+COUNTIF($H$2:H1044,H1044)-1,"")</f>
        <v/>
      </c>
      <c r="AA1044" s="56" t="str">
        <f aca="false">IF(AC1044="","",RANK(AC1044,$AC$2:$AC$1780)+COUNTIF($AC$2:AC1044,AC1044)-1)</f>
        <v/>
      </c>
      <c r="AB1044" s="56" t="str">
        <f aca="false">IF(AD1044="","",RANK(AD1044,$AD$2:$AD$1780)+COUNTIF($AD$2:AD1044,AD1044)-1)</f>
        <v/>
      </c>
      <c r="AC1044" s="56" t="str">
        <f aca="false">IF(AND(F1044&gt;0,E1044&gt;=Settings!$B$4),J1044,"")</f>
        <v/>
      </c>
      <c r="AD1044" s="56" t="str">
        <f aca="false">IF(X1044="HIGH RATE",O1044,"")</f>
        <v/>
      </c>
    </row>
    <row r="1045" customFormat="false" ht="15" hidden="false" customHeight="false" outlineLevel="0" collapsed="false">
      <c r="A1045" s="56" t="s">
        <v>2404</v>
      </c>
      <c r="B1045" s="56" t="s">
        <v>2405</v>
      </c>
      <c r="C1045" s="56" t="s">
        <v>51</v>
      </c>
      <c r="D1045" s="56" t="str">
        <f aca="false">IFERROR(INDEX('Brand Map'!$B$4:$B$124,MATCH(C1045,'Brand Map'!$A$4:$A$124,0)),"Other")</f>
        <v>AU</v>
      </c>
      <c r="E1045" s="57" t="n">
        <v>11</v>
      </c>
      <c r="F1045" s="57" t="n">
        <v>0</v>
      </c>
      <c r="G1045" s="58" t="n">
        <v>2183.46</v>
      </c>
      <c r="H1045" s="58" t="n">
        <v>0</v>
      </c>
      <c r="I1045" s="58" t="n">
        <v>2124.03</v>
      </c>
      <c r="J1045" s="32" t="n">
        <f aca="false">IF(E1045&gt;0,F1045/E1045,0)</f>
        <v>0</v>
      </c>
      <c r="K1045" s="32" t="n">
        <f aca="false">IF(G1045&gt;0,H1045/G1045,0)</f>
        <v>-0</v>
      </c>
      <c r="L1045" s="59" t="n">
        <f aca="false">H1045/Settings!$B$16</f>
        <v>-0</v>
      </c>
      <c r="M1045" s="59" t="n">
        <f aca="false">H1045/Settings!$B$20</f>
        <v>-0</v>
      </c>
      <c r="N1045" s="60" t="n">
        <f aca="false">E1045*Settings!$B$3</f>
        <v>0.340847661878025</v>
      </c>
      <c r="O1045" s="60" t="n">
        <f aca="false">IF(E1045&gt;0,(F1045-N1045)/SQRT(E1045*Settings!$B$3*(1-Settings!$B$3)),0)</f>
        <v>-0.593082579313442</v>
      </c>
      <c r="P1045" s="60" t="n">
        <f aca="false">MAX(0,F1045-N1045)</f>
        <v>0</v>
      </c>
      <c r="Q1045" s="32" t="n">
        <f aca="false">(F1045+Settings!$B$7*Settings!$B$3)/(E1045+Settings!$B$7)</f>
        <v>0.0226727934730393</v>
      </c>
      <c r="R1045" s="61" t="n">
        <f aca="false">PERCENTRANK($H$2:$H$1780,H1045,6)</f>
        <v>0</v>
      </c>
      <c r="S1045" s="61" t="n">
        <f aca="false">PERCENTRANK($Q$2:$Q$1780,Q1045,6)</f>
        <v>0.117548</v>
      </c>
      <c r="T1045" s="61" t="n">
        <f aca="false">PERCENTRANK($F$2:$F$1780,F1045,6)</f>
        <v>0</v>
      </c>
      <c r="U1045" s="62" t="n">
        <f aca="false">IF(F1045&gt;0,(Settings!$B$8*T1045+Settings!$B$9*R1045+Settings!$B$10*S1045)/SUM(Settings!$B$8:$B$10),0)</f>
        <v>0</v>
      </c>
      <c r="V1045" s="56" t="str">
        <f aca="false">IF(U1045&gt;0,RANK(U1045,$U$2:$U$1780)+COUNTIF($U$2:U1045,U1045)-1,"")</f>
        <v/>
      </c>
      <c r="W1045" s="56" t="str">
        <f aca="false">IF(V1045="","",IF(V1045&lt;=Settings!$B$11,"1 - Fix first",IF(V1045&lt;=Settings!$B$12,"2 - Review","3 - Monitor")))</f>
        <v/>
      </c>
      <c r="X1045" s="56" t="str">
        <f aca="false">IF(AND(E1045&gt;=Settings!$B$4,F1045&gt;=Settings!$B$5,O1045&gt;=Settings!$B$6),"HIGH RATE","")</f>
        <v/>
      </c>
      <c r="Y1045" s="56" t="str">
        <f aca="false">IF(F1045&gt;0,RANK(F1045,$F$2:$F$1780)+COUNTIF($F$2:F1045,F1045)-1,"")</f>
        <v/>
      </c>
      <c r="Z1045" s="56" t="str">
        <f aca="false">IF(H1045&gt;0,RANK(H1045,$H$2:$H$1780)+COUNTIF($H$2:H1045,H1045)-1,"")</f>
        <v/>
      </c>
      <c r="AA1045" s="56" t="str">
        <f aca="false">IF(AC1045="","",RANK(AC1045,$AC$2:$AC$1780)+COUNTIF($AC$2:AC1045,AC1045)-1)</f>
        <v/>
      </c>
      <c r="AB1045" s="56" t="str">
        <f aca="false">IF(AD1045="","",RANK(AD1045,$AD$2:$AD$1780)+COUNTIF($AD$2:AD1045,AD1045)-1)</f>
        <v/>
      </c>
      <c r="AC1045" s="56" t="str">
        <f aca="false">IF(AND(F1045&gt;0,E1045&gt;=Settings!$B$4),J1045,"")</f>
        <v/>
      </c>
      <c r="AD1045" s="56" t="str">
        <f aca="false">IF(X1045="HIGH RATE",O1045,"")</f>
        <v/>
      </c>
    </row>
    <row r="1046" customFormat="false" ht="15" hidden="false" customHeight="false" outlineLevel="0" collapsed="false">
      <c r="A1046" s="56" t="s">
        <v>2406</v>
      </c>
      <c r="B1046" s="56" t="s">
        <v>2405</v>
      </c>
      <c r="C1046" s="56" t="s">
        <v>51</v>
      </c>
      <c r="D1046" s="56" t="str">
        <f aca="false">IFERROR(INDEX('Brand Map'!$B$4:$B$124,MATCH(C1046,'Brand Map'!$A$4:$A$124,0)),"Other")</f>
        <v>AU</v>
      </c>
      <c r="E1046" s="57" t="n">
        <v>1</v>
      </c>
      <c r="F1046" s="57" t="n">
        <v>0</v>
      </c>
      <c r="G1046" s="58" t="n">
        <v>187.95</v>
      </c>
      <c r="H1046" s="58" t="n">
        <v>0</v>
      </c>
      <c r="I1046" s="58" t="n">
        <v>187.95</v>
      </c>
      <c r="J1046" s="32" t="n">
        <f aca="false">IF(E1046&gt;0,F1046/E1046,0)</f>
        <v>0</v>
      </c>
      <c r="K1046" s="32" t="n">
        <f aca="false">IF(G1046&gt;0,H1046/G1046,0)</f>
        <v>-0</v>
      </c>
      <c r="L1046" s="59" t="n">
        <f aca="false">H1046/Settings!$B$16</f>
        <v>-0</v>
      </c>
      <c r="M1046" s="59" t="n">
        <f aca="false">H1046/Settings!$B$20</f>
        <v>-0</v>
      </c>
      <c r="N1046" s="60" t="n">
        <f aca="false">E1046*Settings!$B$3</f>
        <v>0.0309861510798204</v>
      </c>
      <c r="O1046" s="60" t="n">
        <f aca="false">IF(E1046&gt;0,(F1046-N1046)/SQRT(E1046*Settings!$B$3*(1-Settings!$B$3)),0)</f>
        <v>-0.178821125934444</v>
      </c>
      <c r="P1046" s="60" t="n">
        <f aca="false">MAX(0,F1046-N1046)</f>
        <v>0</v>
      </c>
      <c r="Q1046" s="32" t="n">
        <f aca="false">(F1046+Settings!$B$7*Settings!$B$3)/(E1046+Settings!$B$7)</f>
        <v>0.0299865978191811</v>
      </c>
      <c r="R1046" s="61" t="n">
        <f aca="false">PERCENTRANK($H$2:$H$1780,H1046,6)</f>
        <v>0</v>
      </c>
      <c r="S1046" s="61" t="n">
        <f aca="false">PERCENTRANK($Q$2:$Q$1780,Q1046,6)</f>
        <v>0.486502</v>
      </c>
      <c r="T1046" s="61" t="n">
        <f aca="false">PERCENTRANK($F$2:$F$1780,F1046,6)</f>
        <v>0</v>
      </c>
      <c r="U1046" s="62" t="n">
        <f aca="false">IF(F1046&gt;0,(Settings!$B$8*T1046+Settings!$B$9*R1046+Settings!$B$10*S1046)/SUM(Settings!$B$8:$B$10),0)</f>
        <v>0</v>
      </c>
      <c r="V1046" s="56" t="str">
        <f aca="false">IF(U1046&gt;0,RANK(U1046,$U$2:$U$1780)+COUNTIF($U$2:U1046,U1046)-1,"")</f>
        <v/>
      </c>
      <c r="W1046" s="56" t="str">
        <f aca="false">IF(V1046="","",IF(V1046&lt;=Settings!$B$11,"1 - Fix first",IF(V1046&lt;=Settings!$B$12,"2 - Review","3 - Monitor")))</f>
        <v/>
      </c>
      <c r="X1046" s="56" t="str">
        <f aca="false">IF(AND(E1046&gt;=Settings!$B$4,F1046&gt;=Settings!$B$5,O1046&gt;=Settings!$B$6),"HIGH RATE","")</f>
        <v/>
      </c>
      <c r="Y1046" s="56" t="str">
        <f aca="false">IF(F1046&gt;0,RANK(F1046,$F$2:$F$1780)+COUNTIF($F$2:F1046,F1046)-1,"")</f>
        <v/>
      </c>
      <c r="Z1046" s="56" t="str">
        <f aca="false">IF(H1046&gt;0,RANK(H1046,$H$2:$H$1780)+COUNTIF($H$2:H1046,H1046)-1,"")</f>
        <v/>
      </c>
      <c r="AA1046" s="56" t="str">
        <f aca="false">IF(AC1046="","",RANK(AC1046,$AC$2:$AC$1780)+COUNTIF($AC$2:AC1046,AC1046)-1)</f>
        <v/>
      </c>
      <c r="AB1046" s="56" t="str">
        <f aca="false">IF(AD1046="","",RANK(AD1046,$AD$2:$AD$1780)+COUNTIF($AD$2:AD1046,AD1046)-1)</f>
        <v/>
      </c>
      <c r="AC1046" s="56" t="str">
        <f aca="false">IF(AND(F1046&gt;0,E1046&gt;=Settings!$B$4),J1046,"")</f>
        <v/>
      </c>
      <c r="AD1046" s="56" t="str">
        <f aca="false">IF(X1046="HIGH RATE",O1046,"")</f>
        <v/>
      </c>
    </row>
    <row r="1047" customFormat="false" ht="15" hidden="false" customHeight="false" outlineLevel="0" collapsed="false">
      <c r="A1047" s="56" t="s">
        <v>2407</v>
      </c>
      <c r="B1047" s="56" t="s">
        <v>2408</v>
      </c>
      <c r="C1047" s="56" t="s">
        <v>51</v>
      </c>
      <c r="D1047" s="56" t="str">
        <f aca="false">IFERROR(INDEX('Brand Map'!$B$4:$B$124,MATCH(C1047,'Brand Map'!$A$4:$A$124,0)),"Other")</f>
        <v>AU</v>
      </c>
      <c r="E1047" s="57" t="n">
        <v>1</v>
      </c>
      <c r="F1047" s="57" t="n">
        <v>0</v>
      </c>
      <c r="G1047" s="58" t="n">
        <v>54.95</v>
      </c>
      <c r="H1047" s="58" t="n">
        <v>0</v>
      </c>
      <c r="I1047" s="58" t="n">
        <v>54.95</v>
      </c>
      <c r="J1047" s="32" t="n">
        <f aca="false">IF(E1047&gt;0,F1047/E1047,0)</f>
        <v>0</v>
      </c>
      <c r="K1047" s="32" t="n">
        <f aca="false">IF(G1047&gt;0,H1047/G1047,0)</f>
        <v>-0</v>
      </c>
      <c r="L1047" s="59" t="n">
        <f aca="false">H1047/Settings!$B$16</f>
        <v>-0</v>
      </c>
      <c r="M1047" s="59" t="n">
        <f aca="false">H1047/Settings!$B$20</f>
        <v>-0</v>
      </c>
      <c r="N1047" s="60" t="n">
        <f aca="false">E1047*Settings!$B$3</f>
        <v>0.0309861510798204</v>
      </c>
      <c r="O1047" s="60" t="n">
        <f aca="false">IF(E1047&gt;0,(F1047-N1047)/SQRT(E1047*Settings!$B$3*(1-Settings!$B$3)),0)</f>
        <v>-0.178821125934444</v>
      </c>
      <c r="P1047" s="60" t="n">
        <f aca="false">MAX(0,F1047-N1047)</f>
        <v>0</v>
      </c>
      <c r="Q1047" s="32" t="n">
        <f aca="false">(F1047+Settings!$B$7*Settings!$B$3)/(E1047+Settings!$B$7)</f>
        <v>0.0299865978191811</v>
      </c>
      <c r="R1047" s="61" t="n">
        <f aca="false">PERCENTRANK($H$2:$H$1780,H1047,6)</f>
        <v>0</v>
      </c>
      <c r="S1047" s="61" t="n">
        <f aca="false">PERCENTRANK($Q$2:$Q$1780,Q1047,6)</f>
        <v>0.486502</v>
      </c>
      <c r="T1047" s="61" t="n">
        <f aca="false">PERCENTRANK($F$2:$F$1780,F1047,6)</f>
        <v>0</v>
      </c>
      <c r="U1047" s="62" t="n">
        <f aca="false">IF(F1047&gt;0,(Settings!$B$8*T1047+Settings!$B$9*R1047+Settings!$B$10*S1047)/SUM(Settings!$B$8:$B$10),0)</f>
        <v>0</v>
      </c>
      <c r="V1047" s="56" t="str">
        <f aca="false">IF(U1047&gt;0,RANK(U1047,$U$2:$U$1780)+COUNTIF($U$2:U1047,U1047)-1,"")</f>
        <v/>
      </c>
      <c r="W1047" s="56" t="str">
        <f aca="false">IF(V1047="","",IF(V1047&lt;=Settings!$B$11,"1 - Fix first",IF(V1047&lt;=Settings!$B$12,"2 - Review","3 - Monitor")))</f>
        <v/>
      </c>
      <c r="X1047" s="56" t="str">
        <f aca="false">IF(AND(E1047&gt;=Settings!$B$4,F1047&gt;=Settings!$B$5,O1047&gt;=Settings!$B$6),"HIGH RATE","")</f>
        <v/>
      </c>
      <c r="Y1047" s="56" t="str">
        <f aca="false">IF(F1047&gt;0,RANK(F1047,$F$2:$F$1780)+COUNTIF($F$2:F1047,F1047)-1,"")</f>
        <v/>
      </c>
      <c r="Z1047" s="56" t="str">
        <f aca="false">IF(H1047&gt;0,RANK(H1047,$H$2:$H$1780)+COUNTIF($H$2:H1047,H1047)-1,"")</f>
        <v/>
      </c>
      <c r="AA1047" s="56" t="str">
        <f aca="false">IF(AC1047="","",RANK(AC1047,$AC$2:$AC$1780)+COUNTIF($AC$2:AC1047,AC1047)-1)</f>
        <v/>
      </c>
      <c r="AB1047" s="56" t="str">
        <f aca="false">IF(AD1047="","",RANK(AD1047,$AD$2:$AD$1780)+COUNTIF($AD$2:AD1047,AD1047)-1)</f>
        <v/>
      </c>
      <c r="AC1047" s="56" t="str">
        <f aca="false">IF(AND(F1047&gt;0,E1047&gt;=Settings!$B$4),J1047,"")</f>
        <v/>
      </c>
      <c r="AD1047" s="56" t="str">
        <f aca="false">IF(X1047="HIGH RATE",O1047,"")</f>
        <v/>
      </c>
    </row>
    <row r="1048" customFormat="false" ht="15" hidden="false" customHeight="false" outlineLevel="0" collapsed="false">
      <c r="A1048" s="56" t="s">
        <v>2409</v>
      </c>
      <c r="B1048" s="56" t="s">
        <v>2410</v>
      </c>
      <c r="C1048" s="56" t="s">
        <v>51</v>
      </c>
      <c r="D1048" s="56" t="str">
        <f aca="false">IFERROR(INDEX('Brand Map'!$B$4:$B$124,MATCH(C1048,'Brand Map'!$A$4:$A$124,0)),"Other")</f>
        <v>AU</v>
      </c>
      <c r="E1048" s="57" t="n">
        <v>1</v>
      </c>
      <c r="F1048" s="57" t="n">
        <v>0</v>
      </c>
      <c r="G1048" s="58" t="n">
        <v>54.95</v>
      </c>
      <c r="H1048" s="58" t="n">
        <v>0</v>
      </c>
      <c r="I1048" s="58" t="n">
        <v>54.95</v>
      </c>
      <c r="J1048" s="32" t="n">
        <f aca="false">IF(E1048&gt;0,F1048/E1048,0)</f>
        <v>0</v>
      </c>
      <c r="K1048" s="32" t="n">
        <f aca="false">IF(G1048&gt;0,H1048/G1048,0)</f>
        <v>-0</v>
      </c>
      <c r="L1048" s="59" t="n">
        <f aca="false">H1048/Settings!$B$16</f>
        <v>-0</v>
      </c>
      <c r="M1048" s="59" t="n">
        <f aca="false">H1048/Settings!$B$20</f>
        <v>-0</v>
      </c>
      <c r="N1048" s="60" t="n">
        <f aca="false">E1048*Settings!$B$3</f>
        <v>0.0309861510798204</v>
      </c>
      <c r="O1048" s="60" t="n">
        <f aca="false">IF(E1048&gt;0,(F1048-N1048)/SQRT(E1048*Settings!$B$3*(1-Settings!$B$3)),0)</f>
        <v>-0.178821125934444</v>
      </c>
      <c r="P1048" s="60" t="n">
        <f aca="false">MAX(0,F1048-N1048)</f>
        <v>0</v>
      </c>
      <c r="Q1048" s="32" t="n">
        <f aca="false">(F1048+Settings!$B$7*Settings!$B$3)/(E1048+Settings!$B$7)</f>
        <v>0.0299865978191811</v>
      </c>
      <c r="R1048" s="61" t="n">
        <f aca="false">PERCENTRANK($H$2:$H$1780,H1048,6)</f>
        <v>0</v>
      </c>
      <c r="S1048" s="61" t="n">
        <f aca="false">PERCENTRANK($Q$2:$Q$1780,Q1048,6)</f>
        <v>0.486502</v>
      </c>
      <c r="T1048" s="61" t="n">
        <f aca="false">PERCENTRANK($F$2:$F$1780,F1048,6)</f>
        <v>0</v>
      </c>
      <c r="U1048" s="62" t="n">
        <f aca="false">IF(F1048&gt;0,(Settings!$B$8*T1048+Settings!$B$9*R1048+Settings!$B$10*S1048)/SUM(Settings!$B$8:$B$10),0)</f>
        <v>0</v>
      </c>
      <c r="V1048" s="56" t="str">
        <f aca="false">IF(U1048&gt;0,RANK(U1048,$U$2:$U$1780)+COUNTIF($U$2:U1048,U1048)-1,"")</f>
        <v/>
      </c>
      <c r="W1048" s="56" t="str">
        <f aca="false">IF(V1048="","",IF(V1048&lt;=Settings!$B$11,"1 - Fix first",IF(V1048&lt;=Settings!$B$12,"2 - Review","3 - Monitor")))</f>
        <v/>
      </c>
      <c r="X1048" s="56" t="str">
        <f aca="false">IF(AND(E1048&gt;=Settings!$B$4,F1048&gt;=Settings!$B$5,O1048&gt;=Settings!$B$6),"HIGH RATE","")</f>
        <v/>
      </c>
      <c r="Y1048" s="56" t="str">
        <f aca="false">IF(F1048&gt;0,RANK(F1048,$F$2:$F$1780)+COUNTIF($F$2:F1048,F1048)-1,"")</f>
        <v/>
      </c>
      <c r="Z1048" s="56" t="str">
        <f aca="false">IF(H1048&gt;0,RANK(H1048,$H$2:$H$1780)+COUNTIF($H$2:H1048,H1048)-1,"")</f>
        <v/>
      </c>
      <c r="AA1048" s="56" t="str">
        <f aca="false">IF(AC1048="","",RANK(AC1048,$AC$2:$AC$1780)+COUNTIF($AC$2:AC1048,AC1048)-1)</f>
        <v/>
      </c>
      <c r="AB1048" s="56" t="str">
        <f aca="false">IF(AD1048="","",RANK(AD1048,$AD$2:$AD$1780)+COUNTIF($AD$2:AD1048,AD1048)-1)</f>
        <v/>
      </c>
      <c r="AC1048" s="56" t="str">
        <f aca="false">IF(AND(F1048&gt;0,E1048&gt;=Settings!$B$4),J1048,"")</f>
        <v/>
      </c>
      <c r="AD1048" s="56" t="str">
        <f aca="false">IF(X1048="HIGH RATE",O1048,"")</f>
        <v/>
      </c>
    </row>
    <row r="1049" customFormat="false" ht="15" hidden="false" customHeight="false" outlineLevel="0" collapsed="false">
      <c r="A1049" s="56" t="s">
        <v>2411</v>
      </c>
      <c r="B1049" s="56" t="s">
        <v>2410</v>
      </c>
      <c r="C1049" s="56" t="s">
        <v>51</v>
      </c>
      <c r="D1049" s="56" t="str">
        <f aca="false">IFERROR(INDEX('Brand Map'!$B$4:$B$124,MATCH(C1049,'Brand Map'!$A$4:$A$124,0)),"Other")</f>
        <v>AU</v>
      </c>
      <c r="E1049" s="57" t="n">
        <v>1</v>
      </c>
      <c r="F1049" s="57" t="n">
        <v>0</v>
      </c>
      <c r="G1049" s="58" t="n">
        <v>69.95</v>
      </c>
      <c r="H1049" s="58" t="n">
        <v>0</v>
      </c>
      <c r="I1049" s="58" t="n">
        <v>69.95</v>
      </c>
      <c r="J1049" s="32" t="n">
        <f aca="false">IF(E1049&gt;0,F1049/E1049,0)</f>
        <v>0</v>
      </c>
      <c r="K1049" s="32" t="n">
        <f aca="false">IF(G1049&gt;0,H1049/G1049,0)</f>
        <v>-0</v>
      </c>
      <c r="L1049" s="59" t="n">
        <f aca="false">H1049/Settings!$B$16</f>
        <v>-0</v>
      </c>
      <c r="M1049" s="59" t="n">
        <f aca="false">H1049/Settings!$B$20</f>
        <v>-0</v>
      </c>
      <c r="N1049" s="60" t="n">
        <f aca="false">E1049*Settings!$B$3</f>
        <v>0.0309861510798204</v>
      </c>
      <c r="O1049" s="60" t="n">
        <f aca="false">IF(E1049&gt;0,(F1049-N1049)/SQRT(E1049*Settings!$B$3*(1-Settings!$B$3)),0)</f>
        <v>-0.178821125934444</v>
      </c>
      <c r="P1049" s="60" t="n">
        <f aca="false">MAX(0,F1049-N1049)</f>
        <v>0</v>
      </c>
      <c r="Q1049" s="32" t="n">
        <f aca="false">(F1049+Settings!$B$7*Settings!$B$3)/(E1049+Settings!$B$7)</f>
        <v>0.0299865978191811</v>
      </c>
      <c r="R1049" s="61" t="n">
        <f aca="false">PERCENTRANK($H$2:$H$1780,H1049,6)</f>
        <v>0</v>
      </c>
      <c r="S1049" s="61" t="n">
        <f aca="false">PERCENTRANK($Q$2:$Q$1780,Q1049,6)</f>
        <v>0.486502</v>
      </c>
      <c r="T1049" s="61" t="n">
        <f aca="false">PERCENTRANK($F$2:$F$1780,F1049,6)</f>
        <v>0</v>
      </c>
      <c r="U1049" s="62" t="n">
        <f aca="false">IF(F1049&gt;0,(Settings!$B$8*T1049+Settings!$B$9*R1049+Settings!$B$10*S1049)/SUM(Settings!$B$8:$B$10),0)</f>
        <v>0</v>
      </c>
      <c r="V1049" s="56" t="str">
        <f aca="false">IF(U1049&gt;0,RANK(U1049,$U$2:$U$1780)+COUNTIF($U$2:U1049,U1049)-1,"")</f>
        <v/>
      </c>
      <c r="W1049" s="56" t="str">
        <f aca="false">IF(V1049="","",IF(V1049&lt;=Settings!$B$11,"1 - Fix first",IF(V1049&lt;=Settings!$B$12,"2 - Review","3 - Monitor")))</f>
        <v/>
      </c>
      <c r="X1049" s="56" t="str">
        <f aca="false">IF(AND(E1049&gt;=Settings!$B$4,F1049&gt;=Settings!$B$5,O1049&gt;=Settings!$B$6),"HIGH RATE","")</f>
        <v/>
      </c>
      <c r="Y1049" s="56" t="str">
        <f aca="false">IF(F1049&gt;0,RANK(F1049,$F$2:$F$1780)+COUNTIF($F$2:F1049,F1049)-1,"")</f>
        <v/>
      </c>
      <c r="Z1049" s="56" t="str">
        <f aca="false">IF(H1049&gt;0,RANK(H1049,$H$2:$H$1780)+COUNTIF($H$2:H1049,H1049)-1,"")</f>
        <v/>
      </c>
      <c r="AA1049" s="56" t="str">
        <f aca="false">IF(AC1049="","",RANK(AC1049,$AC$2:$AC$1780)+COUNTIF($AC$2:AC1049,AC1049)-1)</f>
        <v/>
      </c>
      <c r="AB1049" s="56" t="str">
        <f aca="false">IF(AD1049="","",RANK(AD1049,$AD$2:$AD$1780)+COUNTIF($AD$2:AD1049,AD1049)-1)</f>
        <v/>
      </c>
      <c r="AC1049" s="56" t="str">
        <f aca="false">IF(AND(F1049&gt;0,E1049&gt;=Settings!$B$4),J1049,"")</f>
        <v/>
      </c>
      <c r="AD1049" s="56" t="str">
        <f aca="false">IF(X1049="HIGH RATE",O1049,"")</f>
        <v/>
      </c>
    </row>
    <row r="1050" customFormat="false" ht="15" hidden="false" customHeight="false" outlineLevel="0" collapsed="false">
      <c r="A1050" s="56" t="s">
        <v>2412</v>
      </c>
      <c r="B1050" s="56" t="s">
        <v>2410</v>
      </c>
      <c r="C1050" s="56" t="s">
        <v>51</v>
      </c>
      <c r="D1050" s="56" t="str">
        <f aca="false">IFERROR(INDEX('Brand Map'!$B$4:$B$124,MATCH(C1050,'Brand Map'!$A$4:$A$124,0)),"Other")</f>
        <v>AU</v>
      </c>
      <c r="E1050" s="57" t="n">
        <v>1</v>
      </c>
      <c r="F1050" s="57" t="n">
        <v>0</v>
      </c>
      <c r="G1050" s="58" t="n">
        <v>54.95</v>
      </c>
      <c r="H1050" s="58" t="n">
        <v>0</v>
      </c>
      <c r="I1050" s="58" t="n">
        <v>54.95</v>
      </c>
      <c r="J1050" s="32" t="n">
        <f aca="false">IF(E1050&gt;0,F1050/E1050,0)</f>
        <v>0</v>
      </c>
      <c r="K1050" s="32" t="n">
        <f aca="false">IF(G1050&gt;0,H1050/G1050,0)</f>
        <v>-0</v>
      </c>
      <c r="L1050" s="59" t="n">
        <f aca="false">H1050/Settings!$B$16</f>
        <v>-0</v>
      </c>
      <c r="M1050" s="59" t="n">
        <f aca="false">H1050/Settings!$B$20</f>
        <v>-0</v>
      </c>
      <c r="N1050" s="60" t="n">
        <f aca="false">E1050*Settings!$B$3</f>
        <v>0.0309861510798204</v>
      </c>
      <c r="O1050" s="60" t="n">
        <f aca="false">IF(E1050&gt;0,(F1050-N1050)/SQRT(E1050*Settings!$B$3*(1-Settings!$B$3)),0)</f>
        <v>-0.178821125934444</v>
      </c>
      <c r="P1050" s="60" t="n">
        <f aca="false">MAX(0,F1050-N1050)</f>
        <v>0</v>
      </c>
      <c r="Q1050" s="32" t="n">
        <f aca="false">(F1050+Settings!$B$7*Settings!$B$3)/(E1050+Settings!$B$7)</f>
        <v>0.0299865978191811</v>
      </c>
      <c r="R1050" s="61" t="n">
        <f aca="false">PERCENTRANK($H$2:$H$1780,H1050,6)</f>
        <v>0</v>
      </c>
      <c r="S1050" s="61" t="n">
        <f aca="false">PERCENTRANK($Q$2:$Q$1780,Q1050,6)</f>
        <v>0.486502</v>
      </c>
      <c r="T1050" s="61" t="n">
        <f aca="false">PERCENTRANK($F$2:$F$1780,F1050,6)</f>
        <v>0</v>
      </c>
      <c r="U1050" s="62" t="n">
        <f aca="false">IF(F1050&gt;0,(Settings!$B$8*T1050+Settings!$B$9*R1050+Settings!$B$10*S1050)/SUM(Settings!$B$8:$B$10),0)</f>
        <v>0</v>
      </c>
      <c r="V1050" s="56" t="str">
        <f aca="false">IF(U1050&gt;0,RANK(U1050,$U$2:$U$1780)+COUNTIF($U$2:U1050,U1050)-1,"")</f>
        <v/>
      </c>
      <c r="W1050" s="56" t="str">
        <f aca="false">IF(V1050="","",IF(V1050&lt;=Settings!$B$11,"1 - Fix first",IF(V1050&lt;=Settings!$B$12,"2 - Review","3 - Monitor")))</f>
        <v/>
      </c>
      <c r="X1050" s="56" t="str">
        <f aca="false">IF(AND(E1050&gt;=Settings!$B$4,F1050&gt;=Settings!$B$5,O1050&gt;=Settings!$B$6),"HIGH RATE","")</f>
        <v/>
      </c>
      <c r="Y1050" s="56" t="str">
        <f aca="false">IF(F1050&gt;0,RANK(F1050,$F$2:$F$1780)+COUNTIF($F$2:F1050,F1050)-1,"")</f>
        <v/>
      </c>
      <c r="Z1050" s="56" t="str">
        <f aca="false">IF(H1050&gt;0,RANK(H1050,$H$2:$H$1780)+COUNTIF($H$2:H1050,H1050)-1,"")</f>
        <v/>
      </c>
      <c r="AA1050" s="56" t="str">
        <f aca="false">IF(AC1050="","",RANK(AC1050,$AC$2:$AC$1780)+COUNTIF($AC$2:AC1050,AC1050)-1)</f>
        <v/>
      </c>
      <c r="AB1050" s="56" t="str">
        <f aca="false">IF(AD1050="","",RANK(AD1050,$AD$2:$AD$1780)+COUNTIF($AD$2:AD1050,AD1050)-1)</f>
        <v/>
      </c>
      <c r="AC1050" s="56" t="str">
        <f aca="false">IF(AND(F1050&gt;0,E1050&gt;=Settings!$B$4),J1050,"")</f>
        <v/>
      </c>
      <c r="AD1050" s="56" t="str">
        <f aca="false">IF(X1050="HIGH RATE",O1050,"")</f>
        <v/>
      </c>
    </row>
    <row r="1051" customFormat="false" ht="15" hidden="false" customHeight="false" outlineLevel="0" collapsed="false">
      <c r="A1051" s="56" t="s">
        <v>2413</v>
      </c>
      <c r="B1051" s="56" t="s">
        <v>1634</v>
      </c>
      <c r="C1051" s="56" t="s">
        <v>51</v>
      </c>
      <c r="D1051" s="56" t="str">
        <f aca="false">IFERROR(INDEX('Brand Map'!$B$4:$B$124,MATCH(C1051,'Brand Map'!$A$4:$A$124,0)),"Other")</f>
        <v>AU</v>
      </c>
      <c r="E1051" s="57" t="n">
        <v>5</v>
      </c>
      <c r="F1051" s="57" t="n">
        <v>0</v>
      </c>
      <c r="G1051" s="58" t="n">
        <v>591</v>
      </c>
      <c r="H1051" s="58" t="n">
        <v>0</v>
      </c>
      <c r="I1051" s="58" t="n">
        <v>591</v>
      </c>
      <c r="J1051" s="32" t="n">
        <f aca="false">IF(E1051&gt;0,F1051/E1051,0)</f>
        <v>0</v>
      </c>
      <c r="K1051" s="32" t="n">
        <f aca="false">IF(G1051&gt;0,H1051/G1051,0)</f>
        <v>-0</v>
      </c>
      <c r="L1051" s="59" t="n">
        <f aca="false">H1051/Settings!$B$16</f>
        <v>-0</v>
      </c>
      <c r="M1051" s="59" t="n">
        <f aca="false">H1051/Settings!$B$20</f>
        <v>-0</v>
      </c>
      <c r="N1051" s="60" t="n">
        <f aca="false">E1051*Settings!$B$3</f>
        <v>0.154930755399102</v>
      </c>
      <c r="O1051" s="60" t="n">
        <f aca="false">IF(E1051&gt;0,(F1051-N1051)/SQRT(E1051*Settings!$B$3*(1-Settings!$B$3)),0)</f>
        <v>-0.399856193402468</v>
      </c>
      <c r="P1051" s="60" t="n">
        <f aca="false">MAX(0,F1051-N1051)</f>
        <v>0</v>
      </c>
      <c r="Q1051" s="32" t="n">
        <f aca="false">(F1051+Settings!$B$7*Settings!$B$3)/(E1051+Settings!$B$7)</f>
        <v>0.0265595580684175</v>
      </c>
      <c r="R1051" s="61" t="n">
        <f aca="false">PERCENTRANK($H$2:$H$1780,H1051,6)</f>
        <v>0</v>
      </c>
      <c r="S1051" s="61" t="n">
        <f aca="false">PERCENTRANK($Q$2:$Q$1780,Q1051,6)</f>
        <v>0.220472</v>
      </c>
      <c r="T1051" s="61" t="n">
        <f aca="false">PERCENTRANK($F$2:$F$1780,F1051,6)</f>
        <v>0</v>
      </c>
      <c r="U1051" s="62" t="n">
        <f aca="false">IF(F1051&gt;0,(Settings!$B$8*T1051+Settings!$B$9*R1051+Settings!$B$10*S1051)/SUM(Settings!$B$8:$B$10),0)</f>
        <v>0</v>
      </c>
      <c r="V1051" s="56" t="str">
        <f aca="false">IF(U1051&gt;0,RANK(U1051,$U$2:$U$1780)+COUNTIF($U$2:U1051,U1051)-1,"")</f>
        <v/>
      </c>
      <c r="W1051" s="56" t="str">
        <f aca="false">IF(V1051="","",IF(V1051&lt;=Settings!$B$11,"1 - Fix first",IF(V1051&lt;=Settings!$B$12,"2 - Review","3 - Monitor")))</f>
        <v/>
      </c>
      <c r="X1051" s="56" t="str">
        <f aca="false">IF(AND(E1051&gt;=Settings!$B$4,F1051&gt;=Settings!$B$5,O1051&gt;=Settings!$B$6),"HIGH RATE","")</f>
        <v/>
      </c>
      <c r="Y1051" s="56" t="str">
        <f aca="false">IF(F1051&gt;0,RANK(F1051,$F$2:$F$1780)+COUNTIF($F$2:F1051,F1051)-1,"")</f>
        <v/>
      </c>
      <c r="Z1051" s="56" t="str">
        <f aca="false">IF(H1051&gt;0,RANK(H1051,$H$2:$H$1780)+COUNTIF($H$2:H1051,H1051)-1,"")</f>
        <v/>
      </c>
      <c r="AA1051" s="56" t="str">
        <f aca="false">IF(AC1051="","",RANK(AC1051,$AC$2:$AC$1780)+COUNTIF($AC$2:AC1051,AC1051)-1)</f>
        <v/>
      </c>
      <c r="AB1051" s="56" t="str">
        <f aca="false">IF(AD1051="","",RANK(AD1051,$AD$2:$AD$1780)+COUNTIF($AD$2:AD1051,AD1051)-1)</f>
        <v/>
      </c>
      <c r="AC1051" s="56" t="str">
        <f aca="false">IF(AND(F1051&gt;0,E1051&gt;=Settings!$B$4),J1051,"")</f>
        <v/>
      </c>
      <c r="AD1051" s="56" t="str">
        <f aca="false">IF(X1051="HIGH RATE",O1051,"")</f>
        <v/>
      </c>
    </row>
    <row r="1052" customFormat="false" ht="15" hidden="false" customHeight="false" outlineLevel="0" collapsed="false">
      <c r="A1052" s="56" t="s">
        <v>2414</v>
      </c>
      <c r="B1052" s="56" t="s">
        <v>1634</v>
      </c>
      <c r="C1052" s="56" t="s">
        <v>51</v>
      </c>
      <c r="D1052" s="56" t="str">
        <f aca="false">IFERROR(INDEX('Brand Map'!$B$4:$B$124,MATCH(C1052,'Brand Map'!$A$4:$A$124,0)),"Other")</f>
        <v>AU</v>
      </c>
      <c r="E1052" s="57" t="n">
        <v>3</v>
      </c>
      <c r="F1052" s="57" t="n">
        <v>0</v>
      </c>
      <c r="G1052" s="58" t="n">
        <v>549.9</v>
      </c>
      <c r="H1052" s="58" t="n">
        <v>0</v>
      </c>
      <c r="I1052" s="58" t="n">
        <v>549.9</v>
      </c>
      <c r="J1052" s="32" t="n">
        <f aca="false">IF(E1052&gt;0,F1052/E1052,0)</f>
        <v>0</v>
      </c>
      <c r="K1052" s="32" t="n">
        <f aca="false">IF(G1052&gt;0,H1052/G1052,0)</f>
        <v>-0</v>
      </c>
      <c r="L1052" s="59" t="n">
        <f aca="false">H1052/Settings!$B$16</f>
        <v>-0</v>
      </c>
      <c r="M1052" s="59" t="n">
        <f aca="false">H1052/Settings!$B$20</f>
        <v>-0</v>
      </c>
      <c r="N1052" s="60" t="n">
        <f aca="false">E1052*Settings!$B$3</f>
        <v>0.0929584532394613</v>
      </c>
      <c r="O1052" s="60" t="n">
        <f aca="false">IF(E1052&gt;0,(F1052-N1052)/SQRT(E1052*Settings!$B$3*(1-Settings!$B$3)),0)</f>
        <v>-0.30972727558513</v>
      </c>
      <c r="P1052" s="60" t="n">
        <f aca="false">MAX(0,F1052-N1052)</f>
        <v>0</v>
      </c>
      <c r="Q1052" s="32" t="n">
        <f aca="false">(F1052+Settings!$B$7*Settings!$B$3)/(E1052+Settings!$B$7)</f>
        <v>0.0281692282543822</v>
      </c>
      <c r="R1052" s="61" t="n">
        <f aca="false">PERCENTRANK($H$2:$H$1780,H1052,6)</f>
        <v>0</v>
      </c>
      <c r="S1052" s="61" t="n">
        <f aca="false">PERCENTRANK($Q$2:$Q$1780,Q1052,6)</f>
        <v>0.294151</v>
      </c>
      <c r="T1052" s="61" t="n">
        <f aca="false">PERCENTRANK($F$2:$F$1780,F1052,6)</f>
        <v>0</v>
      </c>
      <c r="U1052" s="62" t="n">
        <f aca="false">IF(F1052&gt;0,(Settings!$B$8*T1052+Settings!$B$9*R1052+Settings!$B$10*S1052)/SUM(Settings!$B$8:$B$10),0)</f>
        <v>0</v>
      </c>
      <c r="V1052" s="56" t="str">
        <f aca="false">IF(U1052&gt;0,RANK(U1052,$U$2:$U$1780)+COUNTIF($U$2:U1052,U1052)-1,"")</f>
        <v/>
      </c>
      <c r="W1052" s="56" t="str">
        <f aca="false">IF(V1052="","",IF(V1052&lt;=Settings!$B$11,"1 - Fix first",IF(V1052&lt;=Settings!$B$12,"2 - Review","3 - Monitor")))</f>
        <v/>
      </c>
      <c r="X1052" s="56" t="str">
        <f aca="false">IF(AND(E1052&gt;=Settings!$B$4,F1052&gt;=Settings!$B$5,O1052&gt;=Settings!$B$6),"HIGH RATE","")</f>
        <v/>
      </c>
      <c r="Y1052" s="56" t="str">
        <f aca="false">IF(F1052&gt;0,RANK(F1052,$F$2:$F$1780)+COUNTIF($F$2:F1052,F1052)-1,"")</f>
        <v/>
      </c>
      <c r="Z1052" s="56" t="str">
        <f aca="false">IF(H1052&gt;0,RANK(H1052,$H$2:$H$1780)+COUNTIF($H$2:H1052,H1052)-1,"")</f>
        <v/>
      </c>
      <c r="AA1052" s="56" t="str">
        <f aca="false">IF(AC1052="","",RANK(AC1052,$AC$2:$AC$1780)+COUNTIF($AC$2:AC1052,AC1052)-1)</f>
        <v/>
      </c>
      <c r="AB1052" s="56" t="str">
        <f aca="false">IF(AD1052="","",RANK(AD1052,$AD$2:$AD$1780)+COUNTIF($AD$2:AD1052,AD1052)-1)</f>
        <v/>
      </c>
      <c r="AC1052" s="56" t="str">
        <f aca="false">IF(AND(F1052&gt;0,E1052&gt;=Settings!$B$4),J1052,"")</f>
        <v/>
      </c>
      <c r="AD1052" s="56" t="str">
        <f aca="false">IF(X1052="HIGH RATE",O1052,"")</f>
        <v/>
      </c>
    </row>
    <row r="1053" customFormat="false" ht="15" hidden="false" customHeight="false" outlineLevel="0" collapsed="false">
      <c r="A1053" s="56" t="s">
        <v>2415</v>
      </c>
      <c r="B1053" s="56" t="s">
        <v>961</v>
      </c>
      <c r="C1053" s="56" t="s">
        <v>91</v>
      </c>
      <c r="D1053" s="56" t="str">
        <f aca="false">IFERROR(INDEX('Brand Map'!$B$4:$B$124,MATCH(C1053,'Brand Map'!$A$4:$A$124,0)),"Other")</f>
        <v>AUBC</v>
      </c>
      <c r="E1053" s="57" t="n">
        <v>1</v>
      </c>
      <c r="F1053" s="57" t="n">
        <v>0</v>
      </c>
      <c r="G1053" s="58" t="n">
        <v>119.95</v>
      </c>
      <c r="H1053" s="58" t="n">
        <v>0</v>
      </c>
      <c r="I1053" s="58" t="n">
        <v>119.95</v>
      </c>
      <c r="J1053" s="32" t="n">
        <f aca="false">IF(E1053&gt;0,F1053/E1053,0)</f>
        <v>0</v>
      </c>
      <c r="K1053" s="32" t="n">
        <f aca="false">IF(G1053&gt;0,H1053/G1053,0)</f>
        <v>-0</v>
      </c>
      <c r="L1053" s="59" t="n">
        <f aca="false">H1053/Settings!$B$16</f>
        <v>-0</v>
      </c>
      <c r="M1053" s="59" t="n">
        <f aca="false">H1053/Settings!$B$20</f>
        <v>-0</v>
      </c>
      <c r="N1053" s="60" t="n">
        <f aca="false">E1053*Settings!$B$3</f>
        <v>0.0309861510798204</v>
      </c>
      <c r="O1053" s="60" t="n">
        <f aca="false">IF(E1053&gt;0,(F1053-N1053)/SQRT(E1053*Settings!$B$3*(1-Settings!$B$3)),0)</f>
        <v>-0.178821125934444</v>
      </c>
      <c r="P1053" s="60" t="n">
        <f aca="false">MAX(0,F1053-N1053)</f>
        <v>0</v>
      </c>
      <c r="Q1053" s="32" t="n">
        <f aca="false">(F1053+Settings!$B$7*Settings!$B$3)/(E1053+Settings!$B$7)</f>
        <v>0.0299865978191811</v>
      </c>
      <c r="R1053" s="61" t="n">
        <f aca="false">PERCENTRANK($H$2:$H$1780,H1053,6)</f>
        <v>0</v>
      </c>
      <c r="S1053" s="61" t="n">
        <f aca="false">PERCENTRANK($Q$2:$Q$1780,Q1053,6)</f>
        <v>0.486502</v>
      </c>
      <c r="T1053" s="61" t="n">
        <f aca="false">PERCENTRANK($F$2:$F$1780,F1053,6)</f>
        <v>0</v>
      </c>
      <c r="U1053" s="62" t="n">
        <f aca="false">IF(F1053&gt;0,(Settings!$B$8*T1053+Settings!$B$9*R1053+Settings!$B$10*S1053)/SUM(Settings!$B$8:$B$10),0)</f>
        <v>0</v>
      </c>
      <c r="V1053" s="56" t="str">
        <f aca="false">IF(U1053&gt;0,RANK(U1053,$U$2:$U$1780)+COUNTIF($U$2:U1053,U1053)-1,"")</f>
        <v/>
      </c>
      <c r="W1053" s="56" t="str">
        <f aca="false">IF(V1053="","",IF(V1053&lt;=Settings!$B$11,"1 - Fix first",IF(V1053&lt;=Settings!$B$12,"2 - Review","3 - Monitor")))</f>
        <v/>
      </c>
      <c r="X1053" s="56" t="str">
        <f aca="false">IF(AND(E1053&gt;=Settings!$B$4,F1053&gt;=Settings!$B$5,O1053&gt;=Settings!$B$6),"HIGH RATE","")</f>
        <v/>
      </c>
      <c r="Y1053" s="56" t="str">
        <f aca="false">IF(F1053&gt;0,RANK(F1053,$F$2:$F$1780)+COUNTIF($F$2:F1053,F1053)-1,"")</f>
        <v/>
      </c>
      <c r="Z1053" s="56" t="str">
        <f aca="false">IF(H1053&gt;0,RANK(H1053,$H$2:$H$1780)+COUNTIF($H$2:H1053,H1053)-1,"")</f>
        <v/>
      </c>
      <c r="AA1053" s="56" t="str">
        <f aca="false">IF(AC1053="","",RANK(AC1053,$AC$2:$AC$1780)+COUNTIF($AC$2:AC1053,AC1053)-1)</f>
        <v/>
      </c>
      <c r="AB1053" s="56" t="str">
        <f aca="false">IF(AD1053="","",RANK(AD1053,$AD$2:$AD$1780)+COUNTIF($AD$2:AD1053,AD1053)-1)</f>
        <v/>
      </c>
      <c r="AC1053" s="56" t="str">
        <f aca="false">IF(AND(F1053&gt;0,E1053&gt;=Settings!$B$4),J1053,"")</f>
        <v/>
      </c>
      <c r="AD1053" s="56" t="str">
        <f aca="false">IF(X1053="HIGH RATE",O1053,"")</f>
        <v/>
      </c>
    </row>
    <row r="1054" customFormat="false" ht="15" hidden="false" customHeight="false" outlineLevel="0" collapsed="false">
      <c r="A1054" s="56" t="s">
        <v>2416</v>
      </c>
      <c r="B1054" s="56" t="s">
        <v>554</v>
      </c>
      <c r="C1054" s="56" t="s">
        <v>91</v>
      </c>
      <c r="D1054" s="56" t="str">
        <f aca="false">IFERROR(INDEX('Brand Map'!$B$4:$B$124,MATCH(C1054,'Brand Map'!$A$4:$A$124,0)),"Other")</f>
        <v>AUBC</v>
      </c>
      <c r="E1054" s="57" t="n">
        <v>1</v>
      </c>
      <c r="F1054" s="57" t="n">
        <v>0</v>
      </c>
      <c r="G1054" s="58" t="n">
        <v>129.95</v>
      </c>
      <c r="H1054" s="58" t="n">
        <v>0</v>
      </c>
      <c r="I1054" s="58" t="n">
        <v>129.95</v>
      </c>
      <c r="J1054" s="32" t="n">
        <f aca="false">IF(E1054&gt;0,F1054/E1054,0)</f>
        <v>0</v>
      </c>
      <c r="K1054" s="32" t="n">
        <f aca="false">IF(G1054&gt;0,H1054/G1054,0)</f>
        <v>-0</v>
      </c>
      <c r="L1054" s="59" t="n">
        <f aca="false">H1054/Settings!$B$16</f>
        <v>-0</v>
      </c>
      <c r="M1054" s="59" t="n">
        <f aca="false">H1054/Settings!$B$20</f>
        <v>-0</v>
      </c>
      <c r="N1054" s="60" t="n">
        <f aca="false">E1054*Settings!$B$3</f>
        <v>0.0309861510798204</v>
      </c>
      <c r="O1054" s="60" t="n">
        <f aca="false">IF(E1054&gt;0,(F1054-N1054)/SQRT(E1054*Settings!$B$3*(1-Settings!$B$3)),0)</f>
        <v>-0.178821125934444</v>
      </c>
      <c r="P1054" s="60" t="n">
        <f aca="false">MAX(0,F1054-N1054)</f>
        <v>0</v>
      </c>
      <c r="Q1054" s="32" t="n">
        <f aca="false">(F1054+Settings!$B$7*Settings!$B$3)/(E1054+Settings!$B$7)</f>
        <v>0.0299865978191811</v>
      </c>
      <c r="R1054" s="61" t="n">
        <f aca="false">PERCENTRANK($H$2:$H$1780,H1054,6)</f>
        <v>0</v>
      </c>
      <c r="S1054" s="61" t="n">
        <f aca="false">PERCENTRANK($Q$2:$Q$1780,Q1054,6)</f>
        <v>0.486502</v>
      </c>
      <c r="T1054" s="61" t="n">
        <f aca="false">PERCENTRANK($F$2:$F$1780,F1054,6)</f>
        <v>0</v>
      </c>
      <c r="U1054" s="62" t="n">
        <f aca="false">IF(F1054&gt;0,(Settings!$B$8*T1054+Settings!$B$9*R1054+Settings!$B$10*S1054)/SUM(Settings!$B$8:$B$10),0)</f>
        <v>0</v>
      </c>
      <c r="V1054" s="56" t="str">
        <f aca="false">IF(U1054&gt;0,RANK(U1054,$U$2:$U$1780)+COUNTIF($U$2:U1054,U1054)-1,"")</f>
        <v/>
      </c>
      <c r="W1054" s="56" t="str">
        <f aca="false">IF(V1054="","",IF(V1054&lt;=Settings!$B$11,"1 - Fix first",IF(V1054&lt;=Settings!$B$12,"2 - Review","3 - Monitor")))</f>
        <v/>
      </c>
      <c r="X1054" s="56" t="str">
        <f aca="false">IF(AND(E1054&gt;=Settings!$B$4,F1054&gt;=Settings!$B$5,O1054&gt;=Settings!$B$6),"HIGH RATE","")</f>
        <v/>
      </c>
      <c r="Y1054" s="56" t="str">
        <f aca="false">IF(F1054&gt;0,RANK(F1054,$F$2:$F$1780)+COUNTIF($F$2:F1054,F1054)-1,"")</f>
        <v/>
      </c>
      <c r="Z1054" s="56" t="str">
        <f aca="false">IF(H1054&gt;0,RANK(H1054,$H$2:$H$1780)+COUNTIF($H$2:H1054,H1054)-1,"")</f>
        <v/>
      </c>
      <c r="AA1054" s="56" t="str">
        <f aca="false">IF(AC1054="","",RANK(AC1054,$AC$2:$AC$1780)+COUNTIF($AC$2:AC1054,AC1054)-1)</f>
        <v/>
      </c>
      <c r="AB1054" s="56" t="str">
        <f aca="false">IF(AD1054="","",RANK(AD1054,$AD$2:$AD$1780)+COUNTIF($AD$2:AD1054,AD1054)-1)</f>
        <v/>
      </c>
      <c r="AC1054" s="56" t="str">
        <f aca="false">IF(AND(F1054&gt;0,E1054&gt;=Settings!$B$4),J1054,"")</f>
        <v/>
      </c>
      <c r="AD1054" s="56" t="str">
        <f aca="false">IF(X1054="HIGH RATE",O1054,"")</f>
        <v/>
      </c>
    </row>
    <row r="1055" customFormat="false" ht="15" hidden="false" customHeight="false" outlineLevel="0" collapsed="false">
      <c r="A1055" s="56" t="s">
        <v>2417</v>
      </c>
      <c r="B1055" s="56" t="s">
        <v>1076</v>
      </c>
      <c r="C1055" s="56" t="s">
        <v>91</v>
      </c>
      <c r="D1055" s="56" t="str">
        <f aca="false">IFERROR(INDEX('Brand Map'!$B$4:$B$124,MATCH(C1055,'Brand Map'!$A$4:$A$124,0)),"Other")</f>
        <v>AUBC</v>
      </c>
      <c r="E1055" s="57" t="n">
        <v>1</v>
      </c>
      <c r="F1055" s="57" t="n">
        <v>0</v>
      </c>
      <c r="G1055" s="58" t="n">
        <v>187.05</v>
      </c>
      <c r="H1055" s="58" t="n">
        <v>0</v>
      </c>
      <c r="I1055" s="58" t="n">
        <v>187.05</v>
      </c>
      <c r="J1055" s="32" t="n">
        <f aca="false">IF(E1055&gt;0,F1055/E1055,0)</f>
        <v>0</v>
      </c>
      <c r="K1055" s="32" t="n">
        <f aca="false">IF(G1055&gt;0,H1055/G1055,0)</f>
        <v>-0</v>
      </c>
      <c r="L1055" s="59" t="n">
        <f aca="false">H1055/Settings!$B$16</f>
        <v>-0</v>
      </c>
      <c r="M1055" s="59" t="n">
        <f aca="false">H1055/Settings!$B$20</f>
        <v>-0</v>
      </c>
      <c r="N1055" s="60" t="n">
        <f aca="false">E1055*Settings!$B$3</f>
        <v>0.0309861510798204</v>
      </c>
      <c r="O1055" s="60" t="n">
        <f aca="false">IF(E1055&gt;0,(F1055-N1055)/SQRT(E1055*Settings!$B$3*(1-Settings!$B$3)),0)</f>
        <v>-0.178821125934444</v>
      </c>
      <c r="P1055" s="60" t="n">
        <f aca="false">MAX(0,F1055-N1055)</f>
        <v>0</v>
      </c>
      <c r="Q1055" s="32" t="n">
        <f aca="false">(F1055+Settings!$B$7*Settings!$B$3)/(E1055+Settings!$B$7)</f>
        <v>0.0299865978191811</v>
      </c>
      <c r="R1055" s="61" t="n">
        <f aca="false">PERCENTRANK($H$2:$H$1780,H1055,6)</f>
        <v>0</v>
      </c>
      <c r="S1055" s="61" t="n">
        <f aca="false">PERCENTRANK($Q$2:$Q$1780,Q1055,6)</f>
        <v>0.486502</v>
      </c>
      <c r="T1055" s="61" t="n">
        <f aca="false">PERCENTRANK($F$2:$F$1780,F1055,6)</f>
        <v>0</v>
      </c>
      <c r="U1055" s="62" t="n">
        <f aca="false">IF(F1055&gt;0,(Settings!$B$8*T1055+Settings!$B$9*R1055+Settings!$B$10*S1055)/SUM(Settings!$B$8:$B$10),0)</f>
        <v>0</v>
      </c>
      <c r="V1055" s="56" t="str">
        <f aca="false">IF(U1055&gt;0,RANK(U1055,$U$2:$U$1780)+COUNTIF($U$2:U1055,U1055)-1,"")</f>
        <v/>
      </c>
      <c r="W1055" s="56" t="str">
        <f aca="false">IF(V1055="","",IF(V1055&lt;=Settings!$B$11,"1 - Fix first",IF(V1055&lt;=Settings!$B$12,"2 - Review","3 - Monitor")))</f>
        <v/>
      </c>
      <c r="X1055" s="56" t="str">
        <f aca="false">IF(AND(E1055&gt;=Settings!$B$4,F1055&gt;=Settings!$B$5,O1055&gt;=Settings!$B$6),"HIGH RATE","")</f>
        <v/>
      </c>
      <c r="Y1055" s="56" t="str">
        <f aca="false">IF(F1055&gt;0,RANK(F1055,$F$2:$F$1780)+COUNTIF($F$2:F1055,F1055)-1,"")</f>
        <v/>
      </c>
      <c r="Z1055" s="56" t="str">
        <f aca="false">IF(H1055&gt;0,RANK(H1055,$H$2:$H$1780)+COUNTIF($H$2:H1055,H1055)-1,"")</f>
        <v/>
      </c>
      <c r="AA1055" s="56" t="str">
        <f aca="false">IF(AC1055="","",RANK(AC1055,$AC$2:$AC$1780)+COUNTIF($AC$2:AC1055,AC1055)-1)</f>
        <v/>
      </c>
      <c r="AB1055" s="56" t="str">
        <f aca="false">IF(AD1055="","",RANK(AD1055,$AD$2:$AD$1780)+COUNTIF($AD$2:AD1055,AD1055)-1)</f>
        <v/>
      </c>
      <c r="AC1055" s="56" t="str">
        <f aca="false">IF(AND(F1055&gt;0,E1055&gt;=Settings!$B$4),J1055,"")</f>
        <v/>
      </c>
      <c r="AD1055" s="56" t="str">
        <f aca="false">IF(X1055="HIGH RATE",O1055,"")</f>
        <v/>
      </c>
    </row>
    <row r="1056" customFormat="false" ht="15" hidden="false" customHeight="false" outlineLevel="0" collapsed="false">
      <c r="A1056" s="56" t="s">
        <v>2418</v>
      </c>
      <c r="B1056" s="56" t="s">
        <v>1076</v>
      </c>
      <c r="C1056" s="56" t="s">
        <v>91</v>
      </c>
      <c r="D1056" s="56" t="str">
        <f aca="false">IFERROR(INDEX('Brand Map'!$B$4:$B$124,MATCH(C1056,'Brand Map'!$A$4:$A$124,0)),"Other")</f>
        <v>AUBC</v>
      </c>
      <c r="E1056" s="57" t="n">
        <v>1</v>
      </c>
      <c r="F1056" s="57" t="n">
        <v>0</v>
      </c>
      <c r="G1056" s="58" t="n">
        <v>202.05</v>
      </c>
      <c r="H1056" s="58" t="n">
        <v>0</v>
      </c>
      <c r="I1056" s="58" t="n">
        <v>202.05</v>
      </c>
      <c r="J1056" s="32" t="n">
        <f aca="false">IF(E1056&gt;0,F1056/E1056,0)</f>
        <v>0</v>
      </c>
      <c r="K1056" s="32" t="n">
        <f aca="false">IF(G1056&gt;0,H1056/G1056,0)</f>
        <v>-0</v>
      </c>
      <c r="L1056" s="59" t="n">
        <f aca="false">H1056/Settings!$B$16</f>
        <v>-0</v>
      </c>
      <c r="M1056" s="59" t="n">
        <f aca="false">H1056/Settings!$B$20</f>
        <v>-0</v>
      </c>
      <c r="N1056" s="60" t="n">
        <f aca="false">E1056*Settings!$B$3</f>
        <v>0.0309861510798204</v>
      </c>
      <c r="O1056" s="60" t="n">
        <f aca="false">IF(E1056&gt;0,(F1056-N1056)/SQRT(E1056*Settings!$B$3*(1-Settings!$B$3)),0)</f>
        <v>-0.178821125934444</v>
      </c>
      <c r="P1056" s="60" t="n">
        <f aca="false">MAX(0,F1056-N1056)</f>
        <v>0</v>
      </c>
      <c r="Q1056" s="32" t="n">
        <f aca="false">(F1056+Settings!$B$7*Settings!$B$3)/(E1056+Settings!$B$7)</f>
        <v>0.0299865978191811</v>
      </c>
      <c r="R1056" s="61" t="n">
        <f aca="false">PERCENTRANK($H$2:$H$1780,H1056,6)</f>
        <v>0</v>
      </c>
      <c r="S1056" s="61" t="n">
        <f aca="false">PERCENTRANK($Q$2:$Q$1780,Q1056,6)</f>
        <v>0.486502</v>
      </c>
      <c r="T1056" s="61" t="n">
        <f aca="false">PERCENTRANK($F$2:$F$1780,F1056,6)</f>
        <v>0</v>
      </c>
      <c r="U1056" s="62" t="n">
        <f aca="false">IF(F1056&gt;0,(Settings!$B$8*T1056+Settings!$B$9*R1056+Settings!$B$10*S1056)/SUM(Settings!$B$8:$B$10),0)</f>
        <v>0</v>
      </c>
      <c r="V1056" s="56" t="str">
        <f aca="false">IF(U1056&gt;0,RANK(U1056,$U$2:$U$1780)+COUNTIF($U$2:U1056,U1056)-1,"")</f>
        <v/>
      </c>
      <c r="W1056" s="56" t="str">
        <f aca="false">IF(V1056="","",IF(V1056&lt;=Settings!$B$11,"1 - Fix first",IF(V1056&lt;=Settings!$B$12,"2 - Review","3 - Monitor")))</f>
        <v/>
      </c>
      <c r="X1056" s="56" t="str">
        <f aca="false">IF(AND(E1056&gt;=Settings!$B$4,F1056&gt;=Settings!$B$5,O1056&gt;=Settings!$B$6),"HIGH RATE","")</f>
        <v/>
      </c>
      <c r="Y1056" s="56" t="str">
        <f aca="false">IF(F1056&gt;0,RANK(F1056,$F$2:$F$1780)+COUNTIF($F$2:F1056,F1056)-1,"")</f>
        <v/>
      </c>
      <c r="Z1056" s="56" t="str">
        <f aca="false">IF(H1056&gt;0,RANK(H1056,$H$2:$H$1780)+COUNTIF($H$2:H1056,H1056)-1,"")</f>
        <v/>
      </c>
      <c r="AA1056" s="56" t="str">
        <f aca="false">IF(AC1056="","",RANK(AC1056,$AC$2:$AC$1780)+COUNTIF($AC$2:AC1056,AC1056)-1)</f>
        <v/>
      </c>
      <c r="AB1056" s="56" t="str">
        <f aca="false">IF(AD1056="","",RANK(AD1056,$AD$2:$AD$1780)+COUNTIF($AD$2:AD1056,AD1056)-1)</f>
        <v/>
      </c>
      <c r="AC1056" s="56" t="str">
        <f aca="false">IF(AND(F1056&gt;0,E1056&gt;=Settings!$B$4),J1056,"")</f>
        <v/>
      </c>
      <c r="AD1056" s="56" t="str">
        <f aca="false">IF(X1056="HIGH RATE",O1056,"")</f>
        <v/>
      </c>
    </row>
    <row r="1057" customFormat="false" ht="15" hidden="false" customHeight="false" outlineLevel="0" collapsed="false">
      <c r="A1057" s="56" t="s">
        <v>2419</v>
      </c>
      <c r="B1057" s="56" t="s">
        <v>572</v>
      </c>
      <c r="C1057" s="56" t="s">
        <v>650</v>
      </c>
      <c r="D1057" s="56" t="str">
        <f aca="false">IFERROR(INDEX('Brand Map'!$B$4:$B$124,MATCH(C1057,'Brand Map'!$A$4:$A$124,0)),"Other")</f>
        <v>Other (small prefixes)</v>
      </c>
      <c r="E1057" s="57" t="n">
        <v>28</v>
      </c>
      <c r="F1057" s="57" t="n">
        <v>0</v>
      </c>
      <c r="G1057" s="58" t="n">
        <v>2979.14</v>
      </c>
      <c r="H1057" s="58" t="n">
        <v>0</v>
      </c>
      <c r="I1057" s="58" t="n">
        <v>2953.15</v>
      </c>
      <c r="J1057" s="32" t="n">
        <f aca="false">IF(E1057&gt;0,F1057/E1057,0)</f>
        <v>0</v>
      </c>
      <c r="K1057" s="32" t="n">
        <f aca="false">IF(G1057&gt;0,H1057/G1057,0)</f>
        <v>-0</v>
      </c>
      <c r="L1057" s="59" t="n">
        <f aca="false">H1057/Settings!$B$16</f>
        <v>-0</v>
      </c>
      <c r="M1057" s="59" t="n">
        <f aca="false">H1057/Settings!$B$20</f>
        <v>-0</v>
      </c>
      <c r="N1057" s="60" t="n">
        <f aca="false">E1057*Settings!$B$3</f>
        <v>0.867612230234972</v>
      </c>
      <c r="O1057" s="60" t="n">
        <f aca="false">IF(E1057&gt;0,(F1057-N1057)/SQRT(E1057*Settings!$B$3*(1-Settings!$B$3)),0)</f>
        <v>-0.946232456774203</v>
      </c>
      <c r="P1057" s="60" t="n">
        <f aca="false">MAX(0,F1057-N1057)</f>
        <v>0</v>
      </c>
      <c r="Q1057" s="32" t="n">
        <f aca="false">(F1057+Settings!$B$7*Settings!$B$3)/(E1057+Settings!$B$7)</f>
        <v>0.016027319524045</v>
      </c>
      <c r="R1057" s="61" t="n">
        <f aca="false">PERCENTRANK($H$2:$H$1780,H1057,6)</f>
        <v>0</v>
      </c>
      <c r="S1057" s="61" t="n">
        <f aca="false">PERCENTRANK($Q$2:$Q$1780,Q1057,6)</f>
        <v>0.0449944</v>
      </c>
      <c r="T1057" s="61" t="n">
        <f aca="false">PERCENTRANK($F$2:$F$1780,F1057,6)</f>
        <v>0</v>
      </c>
      <c r="U1057" s="62" t="n">
        <f aca="false">IF(F1057&gt;0,(Settings!$B$8*T1057+Settings!$B$9*R1057+Settings!$B$10*S1057)/SUM(Settings!$B$8:$B$10),0)</f>
        <v>0</v>
      </c>
      <c r="V1057" s="56" t="str">
        <f aca="false">IF(U1057&gt;0,RANK(U1057,$U$2:$U$1780)+COUNTIF($U$2:U1057,U1057)-1,"")</f>
        <v/>
      </c>
      <c r="W1057" s="56" t="str">
        <f aca="false">IF(V1057="","",IF(V1057&lt;=Settings!$B$11,"1 - Fix first",IF(V1057&lt;=Settings!$B$12,"2 - Review","3 - Monitor")))</f>
        <v/>
      </c>
      <c r="X1057" s="56" t="str">
        <f aca="false">IF(AND(E1057&gt;=Settings!$B$4,F1057&gt;=Settings!$B$5,O1057&gt;=Settings!$B$6),"HIGH RATE","")</f>
        <v/>
      </c>
      <c r="Y1057" s="56" t="str">
        <f aca="false">IF(F1057&gt;0,RANK(F1057,$F$2:$F$1780)+COUNTIF($F$2:F1057,F1057)-1,"")</f>
        <v/>
      </c>
      <c r="Z1057" s="56" t="str">
        <f aca="false">IF(H1057&gt;0,RANK(H1057,$H$2:$H$1780)+COUNTIF($H$2:H1057,H1057)-1,"")</f>
        <v/>
      </c>
      <c r="AA1057" s="56" t="str">
        <f aca="false">IF(AC1057="","",RANK(AC1057,$AC$2:$AC$1780)+COUNTIF($AC$2:AC1057,AC1057)-1)</f>
        <v/>
      </c>
      <c r="AB1057" s="56" t="str">
        <f aca="false">IF(AD1057="","",RANK(AD1057,$AD$2:$AD$1780)+COUNTIF($AD$2:AD1057,AD1057)-1)</f>
        <v/>
      </c>
      <c r="AC1057" s="56" t="str">
        <f aca="false">IF(AND(F1057&gt;0,E1057&gt;=Settings!$B$4),J1057,"")</f>
        <v/>
      </c>
      <c r="AD1057" s="56" t="str">
        <f aca="false">IF(X1057="HIGH RATE",O1057,"")</f>
        <v/>
      </c>
    </row>
    <row r="1058" customFormat="false" ht="15" hidden="false" customHeight="false" outlineLevel="0" collapsed="false">
      <c r="A1058" s="56" t="s">
        <v>2420</v>
      </c>
      <c r="B1058" s="56" t="s">
        <v>652</v>
      </c>
      <c r="C1058" s="56" t="s">
        <v>650</v>
      </c>
      <c r="D1058" s="56" t="str">
        <f aca="false">IFERROR(INDEX('Brand Map'!$B$4:$B$124,MATCH(C1058,'Brand Map'!$A$4:$A$124,0)),"Other")</f>
        <v>Other (small prefixes)</v>
      </c>
      <c r="E1058" s="57" t="n">
        <v>2</v>
      </c>
      <c r="F1058" s="57" t="n">
        <v>0</v>
      </c>
      <c r="G1058" s="58" t="n">
        <v>189.9</v>
      </c>
      <c r="H1058" s="58" t="n">
        <v>0</v>
      </c>
      <c r="I1058" s="58" t="n">
        <v>189.9</v>
      </c>
      <c r="J1058" s="32" t="n">
        <f aca="false">IF(E1058&gt;0,F1058/E1058,0)</f>
        <v>0</v>
      </c>
      <c r="K1058" s="32" t="n">
        <f aca="false">IF(G1058&gt;0,H1058/G1058,0)</f>
        <v>-0</v>
      </c>
      <c r="L1058" s="59" t="n">
        <f aca="false">H1058/Settings!$B$16</f>
        <v>-0</v>
      </c>
      <c r="M1058" s="59" t="n">
        <f aca="false">H1058/Settings!$B$20</f>
        <v>-0</v>
      </c>
      <c r="N1058" s="60" t="n">
        <f aca="false">E1058*Settings!$B$3</f>
        <v>0.0619723021596408</v>
      </c>
      <c r="O1058" s="60" t="n">
        <f aca="false">IF(E1058&gt;0,(F1058-N1058)/SQRT(E1058*Settings!$B$3*(1-Settings!$B$3)),0)</f>
        <v>-0.252891261535318</v>
      </c>
      <c r="P1058" s="60" t="n">
        <f aca="false">MAX(0,F1058-N1058)</f>
        <v>0</v>
      </c>
      <c r="Q1058" s="32" t="n">
        <f aca="false">(F1058+Settings!$B$7*Settings!$B$3)/(E1058+Settings!$B$7)</f>
        <v>0.0290495166373316</v>
      </c>
      <c r="R1058" s="61" t="n">
        <f aca="false">PERCENTRANK($H$2:$H$1780,H1058,6)</f>
        <v>0</v>
      </c>
      <c r="S1058" s="61" t="n">
        <f aca="false">PERCENTRANK($Q$2:$Q$1780,Q1058,6)</f>
        <v>0.365579</v>
      </c>
      <c r="T1058" s="61" t="n">
        <f aca="false">PERCENTRANK($F$2:$F$1780,F1058,6)</f>
        <v>0</v>
      </c>
      <c r="U1058" s="62" t="n">
        <f aca="false">IF(F1058&gt;0,(Settings!$B$8*T1058+Settings!$B$9*R1058+Settings!$B$10*S1058)/SUM(Settings!$B$8:$B$10),0)</f>
        <v>0</v>
      </c>
      <c r="V1058" s="56" t="str">
        <f aca="false">IF(U1058&gt;0,RANK(U1058,$U$2:$U$1780)+COUNTIF($U$2:U1058,U1058)-1,"")</f>
        <v/>
      </c>
      <c r="W1058" s="56" t="str">
        <f aca="false">IF(V1058="","",IF(V1058&lt;=Settings!$B$11,"1 - Fix first",IF(V1058&lt;=Settings!$B$12,"2 - Review","3 - Monitor")))</f>
        <v/>
      </c>
      <c r="X1058" s="56" t="str">
        <f aca="false">IF(AND(E1058&gt;=Settings!$B$4,F1058&gt;=Settings!$B$5,O1058&gt;=Settings!$B$6),"HIGH RATE","")</f>
        <v/>
      </c>
      <c r="Y1058" s="56" t="str">
        <f aca="false">IF(F1058&gt;0,RANK(F1058,$F$2:$F$1780)+COUNTIF($F$2:F1058,F1058)-1,"")</f>
        <v/>
      </c>
      <c r="Z1058" s="56" t="str">
        <f aca="false">IF(H1058&gt;0,RANK(H1058,$H$2:$H$1780)+COUNTIF($H$2:H1058,H1058)-1,"")</f>
        <v/>
      </c>
      <c r="AA1058" s="56" t="str">
        <f aca="false">IF(AC1058="","",RANK(AC1058,$AC$2:$AC$1780)+COUNTIF($AC$2:AC1058,AC1058)-1)</f>
        <v/>
      </c>
      <c r="AB1058" s="56" t="str">
        <f aca="false">IF(AD1058="","",RANK(AD1058,$AD$2:$AD$1780)+COUNTIF($AD$2:AD1058,AD1058)-1)</f>
        <v/>
      </c>
      <c r="AC1058" s="56" t="str">
        <f aca="false">IF(AND(F1058&gt;0,E1058&gt;=Settings!$B$4),J1058,"")</f>
        <v/>
      </c>
      <c r="AD1058" s="56" t="str">
        <f aca="false">IF(X1058="HIGH RATE",O1058,"")</f>
        <v/>
      </c>
    </row>
    <row r="1059" customFormat="false" ht="15" hidden="false" customHeight="false" outlineLevel="0" collapsed="false">
      <c r="A1059" s="56" t="s">
        <v>2421</v>
      </c>
      <c r="B1059" s="56" t="s">
        <v>652</v>
      </c>
      <c r="C1059" s="56" t="s">
        <v>650</v>
      </c>
      <c r="D1059" s="56" t="str">
        <f aca="false">IFERROR(INDEX('Brand Map'!$B$4:$B$124,MATCH(C1059,'Brand Map'!$A$4:$A$124,0)),"Other")</f>
        <v>Other (small prefixes)</v>
      </c>
      <c r="E1059" s="57" t="n">
        <v>2</v>
      </c>
      <c r="F1059" s="57" t="n">
        <v>0</v>
      </c>
      <c r="G1059" s="58" t="n">
        <v>159.9</v>
      </c>
      <c r="H1059" s="58" t="n">
        <v>0</v>
      </c>
      <c r="I1059" s="58" t="n">
        <v>159.9</v>
      </c>
      <c r="J1059" s="32" t="n">
        <f aca="false">IF(E1059&gt;0,F1059/E1059,0)</f>
        <v>0</v>
      </c>
      <c r="K1059" s="32" t="n">
        <f aca="false">IF(G1059&gt;0,H1059/G1059,0)</f>
        <v>-0</v>
      </c>
      <c r="L1059" s="59" t="n">
        <f aca="false">H1059/Settings!$B$16</f>
        <v>-0</v>
      </c>
      <c r="M1059" s="59" t="n">
        <f aca="false">H1059/Settings!$B$20</f>
        <v>-0</v>
      </c>
      <c r="N1059" s="60" t="n">
        <f aca="false">E1059*Settings!$B$3</f>
        <v>0.0619723021596408</v>
      </c>
      <c r="O1059" s="60" t="n">
        <f aca="false">IF(E1059&gt;0,(F1059-N1059)/SQRT(E1059*Settings!$B$3*(1-Settings!$B$3)),0)</f>
        <v>-0.252891261535318</v>
      </c>
      <c r="P1059" s="60" t="n">
        <f aca="false">MAX(0,F1059-N1059)</f>
        <v>0</v>
      </c>
      <c r="Q1059" s="32" t="n">
        <f aca="false">(F1059+Settings!$B$7*Settings!$B$3)/(E1059+Settings!$B$7)</f>
        <v>0.0290495166373316</v>
      </c>
      <c r="R1059" s="61" t="n">
        <f aca="false">PERCENTRANK($H$2:$H$1780,H1059,6)</f>
        <v>0</v>
      </c>
      <c r="S1059" s="61" t="n">
        <f aca="false">PERCENTRANK($Q$2:$Q$1780,Q1059,6)</f>
        <v>0.365579</v>
      </c>
      <c r="T1059" s="61" t="n">
        <f aca="false">PERCENTRANK($F$2:$F$1780,F1059,6)</f>
        <v>0</v>
      </c>
      <c r="U1059" s="62" t="n">
        <f aca="false">IF(F1059&gt;0,(Settings!$B$8*T1059+Settings!$B$9*R1059+Settings!$B$10*S1059)/SUM(Settings!$B$8:$B$10),0)</f>
        <v>0</v>
      </c>
      <c r="V1059" s="56" t="str">
        <f aca="false">IF(U1059&gt;0,RANK(U1059,$U$2:$U$1780)+COUNTIF($U$2:U1059,U1059)-1,"")</f>
        <v/>
      </c>
      <c r="W1059" s="56" t="str">
        <f aca="false">IF(V1059="","",IF(V1059&lt;=Settings!$B$11,"1 - Fix first",IF(V1059&lt;=Settings!$B$12,"2 - Review","3 - Monitor")))</f>
        <v/>
      </c>
      <c r="X1059" s="56" t="str">
        <f aca="false">IF(AND(E1059&gt;=Settings!$B$4,F1059&gt;=Settings!$B$5,O1059&gt;=Settings!$B$6),"HIGH RATE","")</f>
        <v/>
      </c>
      <c r="Y1059" s="56" t="str">
        <f aca="false">IF(F1059&gt;0,RANK(F1059,$F$2:$F$1780)+COUNTIF($F$2:F1059,F1059)-1,"")</f>
        <v/>
      </c>
      <c r="Z1059" s="56" t="str">
        <f aca="false">IF(H1059&gt;0,RANK(H1059,$H$2:$H$1780)+COUNTIF($H$2:H1059,H1059)-1,"")</f>
        <v/>
      </c>
      <c r="AA1059" s="56" t="str">
        <f aca="false">IF(AC1059="","",RANK(AC1059,$AC$2:$AC$1780)+COUNTIF($AC$2:AC1059,AC1059)-1)</f>
        <v/>
      </c>
      <c r="AB1059" s="56" t="str">
        <f aca="false">IF(AD1059="","",RANK(AD1059,$AD$2:$AD$1780)+COUNTIF($AD$2:AD1059,AD1059)-1)</f>
        <v/>
      </c>
      <c r="AC1059" s="56" t="str">
        <f aca="false">IF(AND(F1059&gt;0,E1059&gt;=Settings!$B$4),J1059,"")</f>
        <v/>
      </c>
      <c r="AD1059" s="56" t="str">
        <f aca="false">IF(X1059="HIGH RATE",O1059,"")</f>
        <v/>
      </c>
    </row>
    <row r="1060" customFormat="false" ht="15" hidden="false" customHeight="false" outlineLevel="0" collapsed="false">
      <c r="A1060" s="56" t="s">
        <v>2422</v>
      </c>
      <c r="B1060" s="56" t="s">
        <v>2423</v>
      </c>
      <c r="C1060" s="56" t="s">
        <v>99</v>
      </c>
      <c r="D1060" s="56" t="str">
        <f aca="false">IFERROR(INDEX('Brand Map'!$B$4:$B$124,MATCH(C1060,'Brand Map'!$A$4:$A$124,0)),"Other")</f>
        <v>AUCH</v>
      </c>
      <c r="E1060" s="57" t="n">
        <v>11</v>
      </c>
      <c r="F1060" s="57" t="n">
        <v>0</v>
      </c>
      <c r="G1060" s="58" t="n">
        <v>536.06</v>
      </c>
      <c r="H1060" s="58" t="n">
        <v>0</v>
      </c>
      <c r="I1060" s="58" t="n">
        <v>494.85</v>
      </c>
      <c r="J1060" s="32" t="n">
        <f aca="false">IF(E1060&gt;0,F1060/E1060,0)</f>
        <v>0</v>
      </c>
      <c r="K1060" s="32" t="n">
        <f aca="false">IF(G1060&gt;0,H1060/G1060,0)</f>
        <v>-0</v>
      </c>
      <c r="L1060" s="59" t="n">
        <f aca="false">H1060/Settings!$B$16</f>
        <v>-0</v>
      </c>
      <c r="M1060" s="59" t="n">
        <f aca="false">H1060/Settings!$B$20</f>
        <v>-0</v>
      </c>
      <c r="N1060" s="60" t="n">
        <f aca="false">E1060*Settings!$B$3</f>
        <v>0.340847661878025</v>
      </c>
      <c r="O1060" s="60" t="n">
        <f aca="false">IF(E1060&gt;0,(F1060-N1060)/SQRT(E1060*Settings!$B$3*(1-Settings!$B$3)),0)</f>
        <v>-0.593082579313442</v>
      </c>
      <c r="P1060" s="60" t="n">
        <f aca="false">MAX(0,F1060-N1060)</f>
        <v>0</v>
      </c>
      <c r="Q1060" s="32" t="n">
        <f aca="false">(F1060+Settings!$B$7*Settings!$B$3)/(E1060+Settings!$B$7)</f>
        <v>0.0226727934730393</v>
      </c>
      <c r="R1060" s="61" t="n">
        <f aca="false">PERCENTRANK($H$2:$H$1780,H1060,6)</f>
        <v>0</v>
      </c>
      <c r="S1060" s="61" t="n">
        <f aca="false">PERCENTRANK($Q$2:$Q$1780,Q1060,6)</f>
        <v>0.117548</v>
      </c>
      <c r="T1060" s="61" t="n">
        <f aca="false">PERCENTRANK($F$2:$F$1780,F1060,6)</f>
        <v>0</v>
      </c>
      <c r="U1060" s="62" t="n">
        <f aca="false">IF(F1060&gt;0,(Settings!$B$8*T1060+Settings!$B$9*R1060+Settings!$B$10*S1060)/SUM(Settings!$B$8:$B$10),0)</f>
        <v>0</v>
      </c>
      <c r="V1060" s="56" t="str">
        <f aca="false">IF(U1060&gt;0,RANK(U1060,$U$2:$U$1780)+COUNTIF($U$2:U1060,U1060)-1,"")</f>
        <v/>
      </c>
      <c r="W1060" s="56" t="str">
        <f aca="false">IF(V1060="","",IF(V1060&lt;=Settings!$B$11,"1 - Fix first",IF(V1060&lt;=Settings!$B$12,"2 - Review","3 - Monitor")))</f>
        <v/>
      </c>
      <c r="X1060" s="56" t="str">
        <f aca="false">IF(AND(E1060&gt;=Settings!$B$4,F1060&gt;=Settings!$B$5,O1060&gt;=Settings!$B$6),"HIGH RATE","")</f>
        <v/>
      </c>
      <c r="Y1060" s="56" t="str">
        <f aca="false">IF(F1060&gt;0,RANK(F1060,$F$2:$F$1780)+COUNTIF($F$2:F1060,F1060)-1,"")</f>
        <v/>
      </c>
      <c r="Z1060" s="56" t="str">
        <f aca="false">IF(H1060&gt;0,RANK(H1060,$H$2:$H$1780)+COUNTIF($H$2:H1060,H1060)-1,"")</f>
        <v/>
      </c>
      <c r="AA1060" s="56" t="str">
        <f aca="false">IF(AC1060="","",RANK(AC1060,$AC$2:$AC$1780)+COUNTIF($AC$2:AC1060,AC1060)-1)</f>
        <v/>
      </c>
      <c r="AB1060" s="56" t="str">
        <f aca="false">IF(AD1060="","",RANK(AD1060,$AD$2:$AD$1780)+COUNTIF($AD$2:AD1060,AD1060)-1)</f>
        <v/>
      </c>
      <c r="AC1060" s="56" t="str">
        <f aca="false">IF(AND(F1060&gt;0,E1060&gt;=Settings!$B$4),J1060,"")</f>
        <v/>
      </c>
      <c r="AD1060" s="56" t="str">
        <f aca="false">IF(X1060="HIGH RATE",O1060,"")</f>
        <v/>
      </c>
    </row>
    <row r="1061" customFormat="false" ht="15" hidden="false" customHeight="false" outlineLevel="0" collapsed="false">
      <c r="A1061" s="56" t="s">
        <v>2424</v>
      </c>
      <c r="B1061" s="56" t="s">
        <v>556</v>
      </c>
      <c r="C1061" s="56" t="s">
        <v>99</v>
      </c>
      <c r="D1061" s="56" t="str">
        <f aca="false">IFERROR(INDEX('Brand Map'!$B$4:$B$124,MATCH(C1061,'Brand Map'!$A$4:$A$124,0)),"Other")</f>
        <v>AUCH</v>
      </c>
      <c r="E1061" s="57" t="n">
        <v>2</v>
      </c>
      <c r="F1061" s="57" t="n">
        <v>0</v>
      </c>
      <c r="G1061" s="58" t="n">
        <v>147.1</v>
      </c>
      <c r="H1061" s="58" t="n">
        <v>0</v>
      </c>
      <c r="I1061" s="58" t="n">
        <v>147.1</v>
      </c>
      <c r="J1061" s="32" t="n">
        <f aca="false">IF(E1061&gt;0,F1061/E1061,0)</f>
        <v>0</v>
      </c>
      <c r="K1061" s="32" t="n">
        <f aca="false">IF(G1061&gt;0,H1061/G1061,0)</f>
        <v>-0</v>
      </c>
      <c r="L1061" s="59" t="n">
        <f aca="false">H1061/Settings!$B$16</f>
        <v>-0</v>
      </c>
      <c r="M1061" s="59" t="n">
        <f aca="false">H1061/Settings!$B$20</f>
        <v>-0</v>
      </c>
      <c r="N1061" s="60" t="n">
        <f aca="false">E1061*Settings!$B$3</f>
        <v>0.0619723021596408</v>
      </c>
      <c r="O1061" s="60" t="n">
        <f aca="false">IF(E1061&gt;0,(F1061-N1061)/SQRT(E1061*Settings!$B$3*(1-Settings!$B$3)),0)</f>
        <v>-0.252891261535318</v>
      </c>
      <c r="P1061" s="60" t="n">
        <f aca="false">MAX(0,F1061-N1061)</f>
        <v>0</v>
      </c>
      <c r="Q1061" s="32" t="n">
        <f aca="false">(F1061+Settings!$B$7*Settings!$B$3)/(E1061+Settings!$B$7)</f>
        <v>0.0290495166373316</v>
      </c>
      <c r="R1061" s="61" t="n">
        <f aca="false">PERCENTRANK($H$2:$H$1780,H1061,6)</f>
        <v>0</v>
      </c>
      <c r="S1061" s="61" t="n">
        <f aca="false">PERCENTRANK($Q$2:$Q$1780,Q1061,6)</f>
        <v>0.365579</v>
      </c>
      <c r="T1061" s="61" t="n">
        <f aca="false">PERCENTRANK($F$2:$F$1780,F1061,6)</f>
        <v>0</v>
      </c>
      <c r="U1061" s="62" t="n">
        <f aca="false">IF(F1061&gt;0,(Settings!$B$8*T1061+Settings!$B$9*R1061+Settings!$B$10*S1061)/SUM(Settings!$B$8:$B$10),0)</f>
        <v>0</v>
      </c>
      <c r="V1061" s="56" t="str">
        <f aca="false">IF(U1061&gt;0,RANK(U1061,$U$2:$U$1780)+COUNTIF($U$2:U1061,U1061)-1,"")</f>
        <v/>
      </c>
      <c r="W1061" s="56" t="str">
        <f aca="false">IF(V1061="","",IF(V1061&lt;=Settings!$B$11,"1 - Fix first",IF(V1061&lt;=Settings!$B$12,"2 - Review","3 - Monitor")))</f>
        <v/>
      </c>
      <c r="X1061" s="56" t="str">
        <f aca="false">IF(AND(E1061&gt;=Settings!$B$4,F1061&gt;=Settings!$B$5,O1061&gt;=Settings!$B$6),"HIGH RATE","")</f>
        <v/>
      </c>
      <c r="Y1061" s="56" t="str">
        <f aca="false">IF(F1061&gt;0,RANK(F1061,$F$2:$F$1780)+COUNTIF($F$2:F1061,F1061)-1,"")</f>
        <v/>
      </c>
      <c r="Z1061" s="56" t="str">
        <f aca="false">IF(H1061&gt;0,RANK(H1061,$H$2:$H$1780)+COUNTIF($H$2:H1061,H1061)-1,"")</f>
        <v/>
      </c>
      <c r="AA1061" s="56" t="str">
        <f aca="false">IF(AC1061="","",RANK(AC1061,$AC$2:$AC$1780)+COUNTIF($AC$2:AC1061,AC1061)-1)</f>
        <v/>
      </c>
      <c r="AB1061" s="56" t="str">
        <f aca="false">IF(AD1061="","",RANK(AD1061,$AD$2:$AD$1780)+COUNTIF($AD$2:AD1061,AD1061)-1)</f>
        <v/>
      </c>
      <c r="AC1061" s="56" t="str">
        <f aca="false">IF(AND(F1061&gt;0,E1061&gt;=Settings!$B$4),J1061,"")</f>
        <v/>
      </c>
      <c r="AD1061" s="56" t="str">
        <f aca="false">IF(X1061="HIGH RATE",O1061,"")</f>
        <v/>
      </c>
    </row>
    <row r="1062" customFormat="false" ht="15" hidden="false" customHeight="false" outlineLevel="0" collapsed="false">
      <c r="A1062" s="56" t="s">
        <v>2425</v>
      </c>
      <c r="B1062" s="56" t="s">
        <v>556</v>
      </c>
      <c r="C1062" s="56" t="s">
        <v>99</v>
      </c>
      <c r="D1062" s="56" t="str">
        <f aca="false">IFERROR(INDEX('Brand Map'!$B$4:$B$124,MATCH(C1062,'Brand Map'!$A$4:$A$124,0)),"Other")</f>
        <v>AUCH</v>
      </c>
      <c r="E1062" s="57" t="n">
        <v>1</v>
      </c>
      <c r="F1062" s="57" t="n">
        <v>0</v>
      </c>
      <c r="G1062" s="58" t="n">
        <v>88.55</v>
      </c>
      <c r="H1062" s="58" t="n">
        <v>0</v>
      </c>
      <c r="I1062" s="58" t="n">
        <v>88.55</v>
      </c>
      <c r="J1062" s="32" t="n">
        <f aca="false">IF(E1062&gt;0,F1062/E1062,0)</f>
        <v>0</v>
      </c>
      <c r="K1062" s="32" t="n">
        <f aca="false">IF(G1062&gt;0,H1062/G1062,0)</f>
        <v>-0</v>
      </c>
      <c r="L1062" s="59" t="n">
        <f aca="false">H1062/Settings!$B$16</f>
        <v>-0</v>
      </c>
      <c r="M1062" s="59" t="n">
        <f aca="false">H1062/Settings!$B$20</f>
        <v>-0</v>
      </c>
      <c r="N1062" s="60" t="n">
        <f aca="false">E1062*Settings!$B$3</f>
        <v>0.0309861510798204</v>
      </c>
      <c r="O1062" s="60" t="n">
        <f aca="false">IF(E1062&gt;0,(F1062-N1062)/SQRT(E1062*Settings!$B$3*(1-Settings!$B$3)),0)</f>
        <v>-0.178821125934444</v>
      </c>
      <c r="P1062" s="60" t="n">
        <f aca="false">MAX(0,F1062-N1062)</f>
        <v>0</v>
      </c>
      <c r="Q1062" s="32" t="n">
        <f aca="false">(F1062+Settings!$B$7*Settings!$B$3)/(E1062+Settings!$B$7)</f>
        <v>0.0299865978191811</v>
      </c>
      <c r="R1062" s="61" t="n">
        <f aca="false">PERCENTRANK($H$2:$H$1780,H1062,6)</f>
        <v>0</v>
      </c>
      <c r="S1062" s="61" t="n">
        <f aca="false">PERCENTRANK($Q$2:$Q$1780,Q1062,6)</f>
        <v>0.486502</v>
      </c>
      <c r="T1062" s="61" t="n">
        <f aca="false">PERCENTRANK($F$2:$F$1780,F1062,6)</f>
        <v>0</v>
      </c>
      <c r="U1062" s="62" t="n">
        <f aca="false">IF(F1062&gt;0,(Settings!$B$8*T1062+Settings!$B$9*R1062+Settings!$B$10*S1062)/SUM(Settings!$B$8:$B$10),0)</f>
        <v>0</v>
      </c>
      <c r="V1062" s="56" t="str">
        <f aca="false">IF(U1062&gt;0,RANK(U1062,$U$2:$U$1780)+COUNTIF($U$2:U1062,U1062)-1,"")</f>
        <v/>
      </c>
      <c r="W1062" s="56" t="str">
        <f aca="false">IF(V1062="","",IF(V1062&lt;=Settings!$B$11,"1 - Fix first",IF(V1062&lt;=Settings!$B$12,"2 - Review","3 - Monitor")))</f>
        <v/>
      </c>
      <c r="X1062" s="56" t="str">
        <f aca="false">IF(AND(E1062&gt;=Settings!$B$4,F1062&gt;=Settings!$B$5,O1062&gt;=Settings!$B$6),"HIGH RATE","")</f>
        <v/>
      </c>
      <c r="Y1062" s="56" t="str">
        <f aca="false">IF(F1062&gt;0,RANK(F1062,$F$2:$F$1780)+COUNTIF($F$2:F1062,F1062)-1,"")</f>
        <v/>
      </c>
      <c r="Z1062" s="56" t="str">
        <f aca="false">IF(H1062&gt;0,RANK(H1062,$H$2:$H$1780)+COUNTIF($H$2:H1062,H1062)-1,"")</f>
        <v/>
      </c>
      <c r="AA1062" s="56" t="str">
        <f aca="false">IF(AC1062="","",RANK(AC1062,$AC$2:$AC$1780)+COUNTIF($AC$2:AC1062,AC1062)-1)</f>
        <v/>
      </c>
      <c r="AB1062" s="56" t="str">
        <f aca="false">IF(AD1062="","",RANK(AD1062,$AD$2:$AD$1780)+COUNTIF($AD$2:AD1062,AD1062)-1)</f>
        <v/>
      </c>
      <c r="AC1062" s="56" t="str">
        <f aca="false">IF(AND(F1062&gt;0,E1062&gt;=Settings!$B$4),J1062,"")</f>
        <v/>
      </c>
      <c r="AD1062" s="56" t="str">
        <f aca="false">IF(X1062="HIGH RATE",O1062,"")</f>
        <v/>
      </c>
    </row>
    <row r="1063" customFormat="false" ht="15" hidden="false" customHeight="false" outlineLevel="0" collapsed="false">
      <c r="A1063" s="56" t="s">
        <v>2426</v>
      </c>
      <c r="B1063" s="56" t="s">
        <v>556</v>
      </c>
      <c r="C1063" s="56" t="s">
        <v>99</v>
      </c>
      <c r="D1063" s="56" t="str">
        <f aca="false">IFERROR(INDEX('Brand Map'!$B$4:$B$124,MATCH(C1063,'Brand Map'!$A$4:$A$124,0)),"Other")</f>
        <v>AUCH</v>
      </c>
      <c r="E1063" s="57" t="n">
        <v>23</v>
      </c>
      <c r="F1063" s="57" t="n">
        <v>0</v>
      </c>
      <c r="G1063" s="58" t="n">
        <v>1001.65</v>
      </c>
      <c r="H1063" s="58" t="n">
        <v>0</v>
      </c>
      <c r="I1063" s="58" t="n">
        <v>1001.65</v>
      </c>
      <c r="J1063" s="32" t="n">
        <f aca="false">IF(E1063&gt;0,F1063/E1063,0)</f>
        <v>0</v>
      </c>
      <c r="K1063" s="32" t="n">
        <f aca="false">IF(G1063&gt;0,H1063/G1063,0)</f>
        <v>-0</v>
      </c>
      <c r="L1063" s="59" t="n">
        <f aca="false">H1063/Settings!$B$16</f>
        <v>-0</v>
      </c>
      <c r="M1063" s="59" t="n">
        <f aca="false">H1063/Settings!$B$20</f>
        <v>-0</v>
      </c>
      <c r="N1063" s="60" t="n">
        <f aca="false">E1063*Settings!$B$3</f>
        <v>0.71268147483587</v>
      </c>
      <c r="O1063" s="60" t="n">
        <f aca="false">IF(E1063&gt;0,(F1063-N1063)/SQRT(E1063*Settings!$B$3*(1-Settings!$B$3)),0)</f>
        <v>-0.85759599279068</v>
      </c>
      <c r="P1063" s="60" t="n">
        <f aca="false">MAX(0,F1063-N1063)</f>
        <v>0</v>
      </c>
      <c r="Q1063" s="32" t="n">
        <f aca="false">(F1063+Settings!$B$7*Settings!$B$3)/(E1063+Settings!$B$7)</f>
        <v>0.0175393307998984</v>
      </c>
      <c r="R1063" s="61" t="n">
        <f aca="false">PERCENTRANK($H$2:$H$1780,H1063,6)</f>
        <v>0</v>
      </c>
      <c r="S1063" s="61" t="n">
        <f aca="false">PERCENTRANK($Q$2:$Q$1780,Q1063,6)</f>
        <v>0.0579303</v>
      </c>
      <c r="T1063" s="61" t="n">
        <f aca="false">PERCENTRANK($F$2:$F$1780,F1063,6)</f>
        <v>0</v>
      </c>
      <c r="U1063" s="62" t="n">
        <f aca="false">IF(F1063&gt;0,(Settings!$B$8*T1063+Settings!$B$9*R1063+Settings!$B$10*S1063)/SUM(Settings!$B$8:$B$10),0)</f>
        <v>0</v>
      </c>
      <c r="V1063" s="56" t="str">
        <f aca="false">IF(U1063&gt;0,RANK(U1063,$U$2:$U$1780)+COUNTIF($U$2:U1063,U1063)-1,"")</f>
        <v/>
      </c>
      <c r="W1063" s="56" t="str">
        <f aca="false">IF(V1063="","",IF(V1063&lt;=Settings!$B$11,"1 - Fix first",IF(V1063&lt;=Settings!$B$12,"2 - Review","3 - Monitor")))</f>
        <v/>
      </c>
      <c r="X1063" s="56" t="str">
        <f aca="false">IF(AND(E1063&gt;=Settings!$B$4,F1063&gt;=Settings!$B$5,O1063&gt;=Settings!$B$6),"HIGH RATE","")</f>
        <v/>
      </c>
      <c r="Y1063" s="56" t="str">
        <f aca="false">IF(F1063&gt;0,RANK(F1063,$F$2:$F$1780)+COUNTIF($F$2:F1063,F1063)-1,"")</f>
        <v/>
      </c>
      <c r="Z1063" s="56" t="str">
        <f aca="false">IF(H1063&gt;0,RANK(H1063,$H$2:$H$1780)+COUNTIF($H$2:H1063,H1063)-1,"")</f>
        <v/>
      </c>
      <c r="AA1063" s="56" t="str">
        <f aca="false">IF(AC1063="","",RANK(AC1063,$AC$2:$AC$1780)+COUNTIF($AC$2:AC1063,AC1063)-1)</f>
        <v/>
      </c>
      <c r="AB1063" s="56" t="str">
        <f aca="false">IF(AD1063="","",RANK(AD1063,$AD$2:$AD$1780)+COUNTIF($AD$2:AD1063,AD1063)-1)</f>
        <v/>
      </c>
      <c r="AC1063" s="56" t="str">
        <f aca="false">IF(AND(F1063&gt;0,E1063&gt;=Settings!$B$4),J1063,"")</f>
        <v/>
      </c>
      <c r="AD1063" s="56" t="str">
        <f aca="false">IF(X1063="HIGH RATE",O1063,"")</f>
        <v/>
      </c>
    </row>
    <row r="1064" customFormat="false" ht="15" hidden="false" customHeight="false" outlineLevel="0" collapsed="false">
      <c r="A1064" s="56" t="s">
        <v>2427</v>
      </c>
      <c r="B1064" s="56" t="s">
        <v>1067</v>
      </c>
      <c r="C1064" s="56" t="s">
        <v>99</v>
      </c>
      <c r="D1064" s="56" t="str">
        <f aca="false">IFERROR(INDEX('Brand Map'!$B$4:$B$124,MATCH(C1064,'Brand Map'!$A$4:$A$124,0)),"Other")</f>
        <v>AUCH</v>
      </c>
      <c r="E1064" s="57" t="n">
        <v>1</v>
      </c>
      <c r="F1064" s="57" t="n">
        <v>0</v>
      </c>
      <c r="G1064" s="58" t="n">
        <v>95.35</v>
      </c>
      <c r="H1064" s="58" t="n">
        <v>0</v>
      </c>
      <c r="I1064" s="58" t="n">
        <v>95.35</v>
      </c>
      <c r="J1064" s="32" t="n">
        <f aca="false">IF(E1064&gt;0,F1064/E1064,0)</f>
        <v>0</v>
      </c>
      <c r="K1064" s="32" t="n">
        <f aca="false">IF(G1064&gt;0,H1064/G1064,0)</f>
        <v>-0</v>
      </c>
      <c r="L1064" s="59" t="n">
        <f aca="false">H1064/Settings!$B$16</f>
        <v>-0</v>
      </c>
      <c r="M1064" s="59" t="n">
        <f aca="false">H1064/Settings!$B$20</f>
        <v>-0</v>
      </c>
      <c r="N1064" s="60" t="n">
        <f aca="false">E1064*Settings!$B$3</f>
        <v>0.0309861510798204</v>
      </c>
      <c r="O1064" s="60" t="n">
        <f aca="false">IF(E1064&gt;0,(F1064-N1064)/SQRT(E1064*Settings!$B$3*(1-Settings!$B$3)),0)</f>
        <v>-0.178821125934444</v>
      </c>
      <c r="P1064" s="60" t="n">
        <f aca="false">MAX(0,F1064-N1064)</f>
        <v>0</v>
      </c>
      <c r="Q1064" s="32" t="n">
        <f aca="false">(F1064+Settings!$B$7*Settings!$B$3)/(E1064+Settings!$B$7)</f>
        <v>0.0299865978191811</v>
      </c>
      <c r="R1064" s="61" t="n">
        <f aca="false">PERCENTRANK($H$2:$H$1780,H1064,6)</f>
        <v>0</v>
      </c>
      <c r="S1064" s="61" t="n">
        <f aca="false">PERCENTRANK($Q$2:$Q$1780,Q1064,6)</f>
        <v>0.486502</v>
      </c>
      <c r="T1064" s="61" t="n">
        <f aca="false">PERCENTRANK($F$2:$F$1780,F1064,6)</f>
        <v>0</v>
      </c>
      <c r="U1064" s="62" t="n">
        <f aca="false">IF(F1064&gt;0,(Settings!$B$8*T1064+Settings!$B$9*R1064+Settings!$B$10*S1064)/SUM(Settings!$B$8:$B$10),0)</f>
        <v>0</v>
      </c>
      <c r="V1064" s="56" t="str">
        <f aca="false">IF(U1064&gt;0,RANK(U1064,$U$2:$U$1780)+COUNTIF($U$2:U1064,U1064)-1,"")</f>
        <v/>
      </c>
      <c r="W1064" s="56" t="str">
        <f aca="false">IF(V1064="","",IF(V1064&lt;=Settings!$B$11,"1 - Fix first",IF(V1064&lt;=Settings!$B$12,"2 - Review","3 - Monitor")))</f>
        <v/>
      </c>
      <c r="X1064" s="56" t="str">
        <f aca="false">IF(AND(E1064&gt;=Settings!$B$4,F1064&gt;=Settings!$B$5,O1064&gt;=Settings!$B$6),"HIGH RATE","")</f>
        <v/>
      </c>
      <c r="Y1064" s="56" t="str">
        <f aca="false">IF(F1064&gt;0,RANK(F1064,$F$2:$F$1780)+COUNTIF($F$2:F1064,F1064)-1,"")</f>
        <v/>
      </c>
      <c r="Z1064" s="56" t="str">
        <f aca="false">IF(H1064&gt;0,RANK(H1064,$H$2:$H$1780)+COUNTIF($H$2:H1064,H1064)-1,"")</f>
        <v/>
      </c>
      <c r="AA1064" s="56" t="str">
        <f aca="false">IF(AC1064="","",RANK(AC1064,$AC$2:$AC$1780)+COUNTIF($AC$2:AC1064,AC1064)-1)</f>
        <v/>
      </c>
      <c r="AB1064" s="56" t="str">
        <f aca="false">IF(AD1064="","",RANK(AD1064,$AD$2:$AD$1780)+COUNTIF($AD$2:AD1064,AD1064)-1)</f>
        <v/>
      </c>
      <c r="AC1064" s="56" t="str">
        <f aca="false">IF(AND(F1064&gt;0,E1064&gt;=Settings!$B$4),J1064,"")</f>
        <v/>
      </c>
      <c r="AD1064" s="56" t="str">
        <f aca="false">IF(X1064="HIGH RATE",O1064,"")</f>
        <v/>
      </c>
    </row>
    <row r="1065" customFormat="false" ht="15" hidden="false" customHeight="false" outlineLevel="0" collapsed="false">
      <c r="A1065" s="56" t="s">
        <v>2428</v>
      </c>
      <c r="B1065" s="56" t="s">
        <v>1067</v>
      </c>
      <c r="C1065" s="56" t="s">
        <v>99</v>
      </c>
      <c r="D1065" s="56" t="str">
        <f aca="false">IFERROR(INDEX('Brand Map'!$B$4:$B$124,MATCH(C1065,'Brand Map'!$A$4:$A$124,0)),"Other")</f>
        <v>AUCH</v>
      </c>
      <c r="E1065" s="57" t="n">
        <v>1</v>
      </c>
      <c r="F1065" s="57" t="n">
        <v>0</v>
      </c>
      <c r="G1065" s="58" t="n">
        <v>65.35</v>
      </c>
      <c r="H1065" s="58" t="n">
        <v>0</v>
      </c>
      <c r="I1065" s="58" t="n">
        <v>65.35</v>
      </c>
      <c r="J1065" s="32" t="n">
        <f aca="false">IF(E1065&gt;0,F1065/E1065,0)</f>
        <v>0</v>
      </c>
      <c r="K1065" s="32" t="n">
        <f aca="false">IF(G1065&gt;0,H1065/G1065,0)</f>
        <v>-0</v>
      </c>
      <c r="L1065" s="59" t="n">
        <f aca="false">H1065/Settings!$B$16</f>
        <v>-0</v>
      </c>
      <c r="M1065" s="59" t="n">
        <f aca="false">H1065/Settings!$B$20</f>
        <v>-0</v>
      </c>
      <c r="N1065" s="60" t="n">
        <f aca="false">E1065*Settings!$B$3</f>
        <v>0.0309861510798204</v>
      </c>
      <c r="O1065" s="60" t="n">
        <f aca="false">IF(E1065&gt;0,(F1065-N1065)/SQRT(E1065*Settings!$B$3*(1-Settings!$B$3)),0)</f>
        <v>-0.178821125934444</v>
      </c>
      <c r="P1065" s="60" t="n">
        <f aca="false">MAX(0,F1065-N1065)</f>
        <v>0</v>
      </c>
      <c r="Q1065" s="32" t="n">
        <f aca="false">(F1065+Settings!$B$7*Settings!$B$3)/(E1065+Settings!$B$7)</f>
        <v>0.0299865978191811</v>
      </c>
      <c r="R1065" s="61" t="n">
        <f aca="false">PERCENTRANK($H$2:$H$1780,H1065,6)</f>
        <v>0</v>
      </c>
      <c r="S1065" s="61" t="n">
        <f aca="false">PERCENTRANK($Q$2:$Q$1780,Q1065,6)</f>
        <v>0.486502</v>
      </c>
      <c r="T1065" s="61" t="n">
        <f aca="false">PERCENTRANK($F$2:$F$1780,F1065,6)</f>
        <v>0</v>
      </c>
      <c r="U1065" s="62" t="n">
        <f aca="false">IF(F1065&gt;0,(Settings!$B$8*T1065+Settings!$B$9*R1065+Settings!$B$10*S1065)/SUM(Settings!$B$8:$B$10),0)</f>
        <v>0</v>
      </c>
      <c r="V1065" s="56" t="str">
        <f aca="false">IF(U1065&gt;0,RANK(U1065,$U$2:$U$1780)+COUNTIF($U$2:U1065,U1065)-1,"")</f>
        <v/>
      </c>
      <c r="W1065" s="56" t="str">
        <f aca="false">IF(V1065="","",IF(V1065&lt;=Settings!$B$11,"1 - Fix first",IF(V1065&lt;=Settings!$B$12,"2 - Review","3 - Monitor")))</f>
        <v/>
      </c>
      <c r="X1065" s="56" t="str">
        <f aca="false">IF(AND(E1065&gt;=Settings!$B$4,F1065&gt;=Settings!$B$5,O1065&gt;=Settings!$B$6),"HIGH RATE","")</f>
        <v/>
      </c>
      <c r="Y1065" s="56" t="str">
        <f aca="false">IF(F1065&gt;0,RANK(F1065,$F$2:$F$1780)+COUNTIF($F$2:F1065,F1065)-1,"")</f>
        <v/>
      </c>
      <c r="Z1065" s="56" t="str">
        <f aca="false">IF(H1065&gt;0,RANK(H1065,$H$2:$H$1780)+COUNTIF($H$2:H1065,H1065)-1,"")</f>
        <v/>
      </c>
      <c r="AA1065" s="56" t="str">
        <f aca="false">IF(AC1065="","",RANK(AC1065,$AC$2:$AC$1780)+COUNTIF($AC$2:AC1065,AC1065)-1)</f>
        <v/>
      </c>
      <c r="AB1065" s="56" t="str">
        <f aca="false">IF(AD1065="","",RANK(AD1065,$AD$2:$AD$1780)+COUNTIF($AD$2:AD1065,AD1065)-1)</f>
        <v/>
      </c>
      <c r="AC1065" s="56" t="str">
        <f aca="false">IF(AND(F1065&gt;0,E1065&gt;=Settings!$B$4),J1065,"")</f>
        <v/>
      </c>
      <c r="AD1065" s="56" t="str">
        <f aca="false">IF(X1065="HIGH RATE",O1065,"")</f>
        <v/>
      </c>
    </row>
    <row r="1066" customFormat="false" ht="15" hidden="false" customHeight="false" outlineLevel="0" collapsed="false">
      <c r="A1066" s="56" t="s">
        <v>2429</v>
      </c>
      <c r="B1066" s="56" t="s">
        <v>1193</v>
      </c>
      <c r="C1066" s="56" t="s">
        <v>145</v>
      </c>
      <c r="D1066" s="56" t="str">
        <f aca="false">IFERROR(INDEX('Brand Map'!$B$4:$B$124,MATCH(C1066,'Brand Map'!$A$4:$A$124,0)),"Other")</f>
        <v>AUDC</v>
      </c>
      <c r="E1066" s="57" t="n">
        <v>2</v>
      </c>
      <c r="F1066" s="57" t="n">
        <v>0</v>
      </c>
      <c r="G1066" s="58" t="n">
        <v>268.2</v>
      </c>
      <c r="H1066" s="58" t="n">
        <v>0</v>
      </c>
      <c r="I1066" s="58" t="n">
        <v>268.2</v>
      </c>
      <c r="J1066" s="32" t="n">
        <f aca="false">IF(E1066&gt;0,F1066/E1066,0)</f>
        <v>0</v>
      </c>
      <c r="K1066" s="32" t="n">
        <f aca="false">IF(G1066&gt;0,H1066/G1066,0)</f>
        <v>-0</v>
      </c>
      <c r="L1066" s="59" t="n">
        <f aca="false">H1066/Settings!$B$16</f>
        <v>-0</v>
      </c>
      <c r="M1066" s="59" t="n">
        <f aca="false">H1066/Settings!$B$20</f>
        <v>-0</v>
      </c>
      <c r="N1066" s="60" t="n">
        <f aca="false">E1066*Settings!$B$3</f>
        <v>0.0619723021596408</v>
      </c>
      <c r="O1066" s="60" t="n">
        <f aca="false">IF(E1066&gt;0,(F1066-N1066)/SQRT(E1066*Settings!$B$3*(1-Settings!$B$3)),0)</f>
        <v>-0.252891261535318</v>
      </c>
      <c r="P1066" s="60" t="n">
        <f aca="false">MAX(0,F1066-N1066)</f>
        <v>0</v>
      </c>
      <c r="Q1066" s="32" t="n">
        <f aca="false">(F1066+Settings!$B$7*Settings!$B$3)/(E1066+Settings!$B$7)</f>
        <v>0.0290495166373316</v>
      </c>
      <c r="R1066" s="61" t="n">
        <f aca="false">PERCENTRANK($H$2:$H$1780,H1066,6)</f>
        <v>0</v>
      </c>
      <c r="S1066" s="61" t="n">
        <f aca="false">PERCENTRANK($Q$2:$Q$1780,Q1066,6)</f>
        <v>0.365579</v>
      </c>
      <c r="T1066" s="61" t="n">
        <f aca="false">PERCENTRANK($F$2:$F$1780,F1066,6)</f>
        <v>0</v>
      </c>
      <c r="U1066" s="62" t="n">
        <f aca="false">IF(F1066&gt;0,(Settings!$B$8*T1066+Settings!$B$9*R1066+Settings!$B$10*S1066)/SUM(Settings!$B$8:$B$10),0)</f>
        <v>0</v>
      </c>
      <c r="V1066" s="56" t="str">
        <f aca="false">IF(U1066&gt;0,RANK(U1066,$U$2:$U$1780)+COUNTIF($U$2:U1066,U1066)-1,"")</f>
        <v/>
      </c>
      <c r="W1066" s="56" t="str">
        <f aca="false">IF(V1066="","",IF(V1066&lt;=Settings!$B$11,"1 - Fix first",IF(V1066&lt;=Settings!$B$12,"2 - Review","3 - Monitor")))</f>
        <v/>
      </c>
      <c r="X1066" s="56" t="str">
        <f aca="false">IF(AND(E1066&gt;=Settings!$B$4,F1066&gt;=Settings!$B$5,O1066&gt;=Settings!$B$6),"HIGH RATE","")</f>
        <v/>
      </c>
      <c r="Y1066" s="56" t="str">
        <f aca="false">IF(F1066&gt;0,RANK(F1066,$F$2:$F$1780)+COUNTIF($F$2:F1066,F1066)-1,"")</f>
        <v/>
      </c>
      <c r="Z1066" s="56" t="str">
        <f aca="false">IF(H1066&gt;0,RANK(H1066,$H$2:$H$1780)+COUNTIF($H$2:H1066,H1066)-1,"")</f>
        <v/>
      </c>
      <c r="AA1066" s="56" t="str">
        <f aca="false">IF(AC1066="","",RANK(AC1066,$AC$2:$AC$1780)+COUNTIF($AC$2:AC1066,AC1066)-1)</f>
        <v/>
      </c>
      <c r="AB1066" s="56" t="str">
        <f aca="false">IF(AD1066="","",RANK(AD1066,$AD$2:$AD$1780)+COUNTIF($AD$2:AD1066,AD1066)-1)</f>
        <v/>
      </c>
      <c r="AC1066" s="56" t="str">
        <f aca="false">IF(AND(F1066&gt;0,E1066&gt;=Settings!$B$4),J1066,"")</f>
        <v/>
      </c>
      <c r="AD1066" s="56" t="str">
        <f aca="false">IF(X1066="HIGH RATE",O1066,"")</f>
        <v/>
      </c>
    </row>
    <row r="1067" customFormat="false" ht="15" hidden="false" customHeight="false" outlineLevel="0" collapsed="false">
      <c r="A1067" s="56" t="s">
        <v>2430</v>
      </c>
      <c r="B1067" s="56" t="s">
        <v>2431</v>
      </c>
      <c r="C1067" s="56" t="s">
        <v>111</v>
      </c>
      <c r="D1067" s="56" t="str">
        <f aca="false">IFERROR(INDEX('Brand Map'!$B$4:$B$124,MATCH(C1067,'Brand Map'!$A$4:$A$124,0)),"Other")</f>
        <v>AUFS</v>
      </c>
      <c r="E1067" s="57" t="n">
        <v>12</v>
      </c>
      <c r="F1067" s="57" t="n">
        <v>0</v>
      </c>
      <c r="G1067" s="58" t="n">
        <v>1913.22</v>
      </c>
      <c r="H1067" s="58" t="n">
        <v>0</v>
      </c>
      <c r="I1067" s="58" t="n">
        <v>1913.22</v>
      </c>
      <c r="J1067" s="32" t="n">
        <f aca="false">IF(E1067&gt;0,F1067/E1067,0)</f>
        <v>0</v>
      </c>
      <c r="K1067" s="32" t="n">
        <f aca="false">IF(G1067&gt;0,H1067/G1067,0)</f>
        <v>-0</v>
      </c>
      <c r="L1067" s="59" t="n">
        <f aca="false">H1067/Settings!$B$16</f>
        <v>-0</v>
      </c>
      <c r="M1067" s="59" t="n">
        <f aca="false">H1067/Settings!$B$20</f>
        <v>-0</v>
      </c>
      <c r="N1067" s="60" t="n">
        <f aca="false">E1067*Settings!$B$3</f>
        <v>0.371833812957845</v>
      </c>
      <c r="O1067" s="60" t="n">
        <f aca="false">IF(E1067&gt;0,(F1067-N1067)/SQRT(E1067*Settings!$B$3*(1-Settings!$B$3)),0)</f>
        <v>-0.61945455117026</v>
      </c>
      <c r="P1067" s="60" t="n">
        <f aca="false">MAX(0,F1067-N1067)</f>
        <v>0</v>
      </c>
      <c r="Q1067" s="32" t="n">
        <f aca="false">(F1067+Settings!$B$7*Settings!$B$3)/(E1067+Settings!$B$7)</f>
        <v>0.0221329650570146</v>
      </c>
      <c r="R1067" s="61" t="n">
        <f aca="false">PERCENTRANK($H$2:$H$1780,H1067,6)</f>
        <v>0</v>
      </c>
      <c r="S1067" s="61" t="n">
        <f aca="false">PERCENTRANK($Q$2:$Q$1780,Q1067,6)</f>
        <v>0.109674</v>
      </c>
      <c r="T1067" s="61" t="n">
        <f aca="false">PERCENTRANK($F$2:$F$1780,F1067,6)</f>
        <v>0</v>
      </c>
      <c r="U1067" s="62" t="n">
        <f aca="false">IF(F1067&gt;0,(Settings!$B$8*T1067+Settings!$B$9*R1067+Settings!$B$10*S1067)/SUM(Settings!$B$8:$B$10),0)</f>
        <v>0</v>
      </c>
      <c r="V1067" s="56" t="str">
        <f aca="false">IF(U1067&gt;0,RANK(U1067,$U$2:$U$1780)+COUNTIF($U$2:U1067,U1067)-1,"")</f>
        <v/>
      </c>
      <c r="W1067" s="56" t="str">
        <f aca="false">IF(V1067="","",IF(V1067&lt;=Settings!$B$11,"1 - Fix first",IF(V1067&lt;=Settings!$B$12,"2 - Review","3 - Monitor")))</f>
        <v/>
      </c>
      <c r="X1067" s="56" t="str">
        <f aca="false">IF(AND(E1067&gt;=Settings!$B$4,F1067&gt;=Settings!$B$5,O1067&gt;=Settings!$B$6),"HIGH RATE","")</f>
        <v/>
      </c>
      <c r="Y1067" s="56" t="str">
        <f aca="false">IF(F1067&gt;0,RANK(F1067,$F$2:$F$1780)+COUNTIF($F$2:F1067,F1067)-1,"")</f>
        <v/>
      </c>
      <c r="Z1067" s="56" t="str">
        <f aca="false">IF(H1067&gt;0,RANK(H1067,$H$2:$H$1780)+COUNTIF($H$2:H1067,H1067)-1,"")</f>
        <v/>
      </c>
      <c r="AA1067" s="56" t="str">
        <f aca="false">IF(AC1067="","",RANK(AC1067,$AC$2:$AC$1780)+COUNTIF($AC$2:AC1067,AC1067)-1)</f>
        <v/>
      </c>
      <c r="AB1067" s="56" t="str">
        <f aca="false">IF(AD1067="","",RANK(AD1067,$AD$2:$AD$1780)+COUNTIF($AD$2:AD1067,AD1067)-1)</f>
        <v/>
      </c>
      <c r="AC1067" s="56" t="str">
        <f aca="false">IF(AND(F1067&gt;0,E1067&gt;=Settings!$B$4),J1067,"")</f>
        <v/>
      </c>
      <c r="AD1067" s="56" t="str">
        <f aca="false">IF(X1067="HIGH RATE",O1067,"")</f>
        <v/>
      </c>
    </row>
    <row r="1068" customFormat="false" ht="15" hidden="false" customHeight="false" outlineLevel="0" collapsed="false">
      <c r="A1068" s="56" t="s">
        <v>2432</v>
      </c>
      <c r="B1068" s="56" t="s">
        <v>1050</v>
      </c>
      <c r="C1068" s="56" t="s">
        <v>111</v>
      </c>
      <c r="D1068" s="56" t="str">
        <f aca="false">IFERROR(INDEX('Brand Map'!$B$4:$B$124,MATCH(C1068,'Brand Map'!$A$4:$A$124,0)),"Other")</f>
        <v>AUFS</v>
      </c>
      <c r="E1068" s="57" t="n">
        <v>1</v>
      </c>
      <c r="F1068" s="57" t="n">
        <v>0</v>
      </c>
      <c r="G1068" s="58" t="n">
        <v>194.95</v>
      </c>
      <c r="H1068" s="58" t="n">
        <v>0</v>
      </c>
      <c r="I1068" s="58" t="n">
        <v>194.95</v>
      </c>
      <c r="J1068" s="32" t="n">
        <f aca="false">IF(E1068&gt;0,F1068/E1068,0)</f>
        <v>0</v>
      </c>
      <c r="K1068" s="32" t="n">
        <f aca="false">IF(G1068&gt;0,H1068/G1068,0)</f>
        <v>-0</v>
      </c>
      <c r="L1068" s="59" t="n">
        <f aca="false">H1068/Settings!$B$16</f>
        <v>-0</v>
      </c>
      <c r="M1068" s="59" t="n">
        <f aca="false">H1068/Settings!$B$20</f>
        <v>-0</v>
      </c>
      <c r="N1068" s="60" t="n">
        <f aca="false">E1068*Settings!$B$3</f>
        <v>0.0309861510798204</v>
      </c>
      <c r="O1068" s="60" t="n">
        <f aca="false">IF(E1068&gt;0,(F1068-N1068)/SQRT(E1068*Settings!$B$3*(1-Settings!$B$3)),0)</f>
        <v>-0.178821125934444</v>
      </c>
      <c r="P1068" s="60" t="n">
        <f aca="false">MAX(0,F1068-N1068)</f>
        <v>0</v>
      </c>
      <c r="Q1068" s="32" t="n">
        <f aca="false">(F1068+Settings!$B$7*Settings!$B$3)/(E1068+Settings!$B$7)</f>
        <v>0.0299865978191811</v>
      </c>
      <c r="R1068" s="61" t="n">
        <f aca="false">PERCENTRANK($H$2:$H$1780,H1068,6)</f>
        <v>0</v>
      </c>
      <c r="S1068" s="61" t="n">
        <f aca="false">PERCENTRANK($Q$2:$Q$1780,Q1068,6)</f>
        <v>0.486502</v>
      </c>
      <c r="T1068" s="61" t="n">
        <f aca="false">PERCENTRANK($F$2:$F$1780,F1068,6)</f>
        <v>0</v>
      </c>
      <c r="U1068" s="62" t="n">
        <f aca="false">IF(F1068&gt;0,(Settings!$B$8*T1068+Settings!$B$9*R1068+Settings!$B$10*S1068)/SUM(Settings!$B$8:$B$10),0)</f>
        <v>0</v>
      </c>
      <c r="V1068" s="56" t="str">
        <f aca="false">IF(U1068&gt;0,RANK(U1068,$U$2:$U$1780)+COUNTIF($U$2:U1068,U1068)-1,"")</f>
        <v/>
      </c>
      <c r="W1068" s="56" t="str">
        <f aca="false">IF(V1068="","",IF(V1068&lt;=Settings!$B$11,"1 - Fix first",IF(V1068&lt;=Settings!$B$12,"2 - Review","3 - Monitor")))</f>
        <v/>
      </c>
      <c r="X1068" s="56" t="str">
        <f aca="false">IF(AND(E1068&gt;=Settings!$B$4,F1068&gt;=Settings!$B$5,O1068&gt;=Settings!$B$6),"HIGH RATE","")</f>
        <v/>
      </c>
      <c r="Y1068" s="56" t="str">
        <f aca="false">IF(F1068&gt;0,RANK(F1068,$F$2:$F$1780)+COUNTIF($F$2:F1068,F1068)-1,"")</f>
        <v/>
      </c>
      <c r="Z1068" s="56" t="str">
        <f aca="false">IF(H1068&gt;0,RANK(H1068,$H$2:$H$1780)+COUNTIF($H$2:H1068,H1068)-1,"")</f>
        <v/>
      </c>
      <c r="AA1068" s="56" t="str">
        <f aca="false">IF(AC1068="","",RANK(AC1068,$AC$2:$AC$1780)+COUNTIF($AC$2:AC1068,AC1068)-1)</f>
        <v/>
      </c>
      <c r="AB1068" s="56" t="str">
        <f aca="false">IF(AD1068="","",RANK(AD1068,$AD$2:$AD$1780)+COUNTIF($AD$2:AD1068,AD1068)-1)</f>
        <v/>
      </c>
      <c r="AC1068" s="56" t="str">
        <f aca="false">IF(AND(F1068&gt;0,E1068&gt;=Settings!$B$4),J1068,"")</f>
        <v/>
      </c>
      <c r="AD1068" s="56" t="str">
        <f aca="false">IF(X1068="HIGH RATE",O1068,"")</f>
        <v/>
      </c>
    </row>
    <row r="1069" customFormat="false" ht="15" hidden="false" customHeight="false" outlineLevel="0" collapsed="false">
      <c r="A1069" s="56" t="s">
        <v>2433</v>
      </c>
      <c r="B1069" s="56" t="s">
        <v>1050</v>
      </c>
      <c r="C1069" s="56" t="s">
        <v>111</v>
      </c>
      <c r="D1069" s="56" t="str">
        <f aca="false">IFERROR(INDEX('Brand Map'!$B$4:$B$124,MATCH(C1069,'Brand Map'!$A$4:$A$124,0)),"Other")</f>
        <v>AUFS</v>
      </c>
      <c r="E1069" s="57" t="n">
        <v>3</v>
      </c>
      <c r="F1069" s="57" t="n">
        <v>0</v>
      </c>
      <c r="G1069" s="58" t="n">
        <v>674.85</v>
      </c>
      <c r="H1069" s="58" t="n">
        <v>0</v>
      </c>
      <c r="I1069" s="58" t="n">
        <v>674.85</v>
      </c>
      <c r="J1069" s="32" t="n">
        <f aca="false">IF(E1069&gt;0,F1069/E1069,0)</f>
        <v>0</v>
      </c>
      <c r="K1069" s="32" t="n">
        <f aca="false">IF(G1069&gt;0,H1069/G1069,0)</f>
        <v>-0</v>
      </c>
      <c r="L1069" s="59" t="n">
        <f aca="false">H1069/Settings!$B$16</f>
        <v>-0</v>
      </c>
      <c r="M1069" s="59" t="n">
        <f aca="false">H1069/Settings!$B$20</f>
        <v>-0</v>
      </c>
      <c r="N1069" s="60" t="n">
        <f aca="false">E1069*Settings!$B$3</f>
        <v>0.0929584532394613</v>
      </c>
      <c r="O1069" s="60" t="n">
        <f aca="false">IF(E1069&gt;0,(F1069-N1069)/SQRT(E1069*Settings!$B$3*(1-Settings!$B$3)),0)</f>
        <v>-0.30972727558513</v>
      </c>
      <c r="P1069" s="60" t="n">
        <f aca="false">MAX(0,F1069-N1069)</f>
        <v>0</v>
      </c>
      <c r="Q1069" s="32" t="n">
        <f aca="false">(F1069+Settings!$B$7*Settings!$B$3)/(E1069+Settings!$B$7)</f>
        <v>0.0281692282543822</v>
      </c>
      <c r="R1069" s="61" t="n">
        <f aca="false">PERCENTRANK($H$2:$H$1780,H1069,6)</f>
        <v>0</v>
      </c>
      <c r="S1069" s="61" t="n">
        <f aca="false">PERCENTRANK($Q$2:$Q$1780,Q1069,6)</f>
        <v>0.294151</v>
      </c>
      <c r="T1069" s="61" t="n">
        <f aca="false">PERCENTRANK($F$2:$F$1780,F1069,6)</f>
        <v>0</v>
      </c>
      <c r="U1069" s="62" t="n">
        <f aca="false">IF(F1069&gt;0,(Settings!$B$8*T1069+Settings!$B$9*R1069+Settings!$B$10*S1069)/SUM(Settings!$B$8:$B$10),0)</f>
        <v>0</v>
      </c>
      <c r="V1069" s="56" t="str">
        <f aca="false">IF(U1069&gt;0,RANK(U1069,$U$2:$U$1780)+COUNTIF($U$2:U1069,U1069)-1,"")</f>
        <v/>
      </c>
      <c r="W1069" s="56" t="str">
        <f aca="false">IF(V1069="","",IF(V1069&lt;=Settings!$B$11,"1 - Fix first",IF(V1069&lt;=Settings!$B$12,"2 - Review","3 - Monitor")))</f>
        <v/>
      </c>
      <c r="X1069" s="56" t="str">
        <f aca="false">IF(AND(E1069&gt;=Settings!$B$4,F1069&gt;=Settings!$B$5,O1069&gt;=Settings!$B$6),"HIGH RATE","")</f>
        <v/>
      </c>
      <c r="Y1069" s="56" t="str">
        <f aca="false">IF(F1069&gt;0,RANK(F1069,$F$2:$F$1780)+COUNTIF($F$2:F1069,F1069)-1,"")</f>
        <v/>
      </c>
      <c r="Z1069" s="56" t="str">
        <f aca="false">IF(H1069&gt;0,RANK(H1069,$H$2:$H$1780)+COUNTIF($H$2:H1069,H1069)-1,"")</f>
        <v/>
      </c>
      <c r="AA1069" s="56" t="str">
        <f aca="false">IF(AC1069="","",RANK(AC1069,$AC$2:$AC$1780)+COUNTIF($AC$2:AC1069,AC1069)-1)</f>
        <v/>
      </c>
      <c r="AB1069" s="56" t="str">
        <f aca="false">IF(AD1069="","",RANK(AD1069,$AD$2:$AD$1780)+COUNTIF($AD$2:AD1069,AD1069)-1)</f>
        <v/>
      </c>
      <c r="AC1069" s="56" t="str">
        <f aca="false">IF(AND(F1069&gt;0,E1069&gt;=Settings!$B$4),J1069,"")</f>
        <v/>
      </c>
      <c r="AD1069" s="56" t="str">
        <f aca="false">IF(X1069="HIGH RATE",O1069,"")</f>
        <v/>
      </c>
    </row>
    <row r="1070" customFormat="false" ht="15" hidden="false" customHeight="false" outlineLevel="0" collapsed="false">
      <c r="A1070" s="56" t="s">
        <v>2434</v>
      </c>
      <c r="B1070" s="56" t="s">
        <v>1050</v>
      </c>
      <c r="C1070" s="56" t="s">
        <v>111</v>
      </c>
      <c r="D1070" s="56" t="str">
        <f aca="false">IFERROR(INDEX('Brand Map'!$B$4:$B$124,MATCH(C1070,'Brand Map'!$A$4:$A$124,0)),"Other")</f>
        <v>AUFS</v>
      </c>
      <c r="E1070" s="57" t="n">
        <v>2</v>
      </c>
      <c r="F1070" s="57" t="n">
        <v>0</v>
      </c>
      <c r="G1070" s="58" t="n">
        <v>359.9</v>
      </c>
      <c r="H1070" s="58" t="n">
        <v>0</v>
      </c>
      <c r="I1070" s="58" t="n">
        <v>359.9</v>
      </c>
      <c r="J1070" s="32" t="n">
        <f aca="false">IF(E1070&gt;0,F1070/E1070,0)</f>
        <v>0</v>
      </c>
      <c r="K1070" s="32" t="n">
        <f aca="false">IF(G1070&gt;0,H1070/G1070,0)</f>
        <v>-0</v>
      </c>
      <c r="L1070" s="59" t="n">
        <f aca="false">H1070/Settings!$B$16</f>
        <v>-0</v>
      </c>
      <c r="M1070" s="59" t="n">
        <f aca="false">H1070/Settings!$B$20</f>
        <v>-0</v>
      </c>
      <c r="N1070" s="60" t="n">
        <f aca="false">E1070*Settings!$B$3</f>
        <v>0.0619723021596408</v>
      </c>
      <c r="O1070" s="60" t="n">
        <f aca="false">IF(E1070&gt;0,(F1070-N1070)/SQRT(E1070*Settings!$B$3*(1-Settings!$B$3)),0)</f>
        <v>-0.252891261535318</v>
      </c>
      <c r="P1070" s="60" t="n">
        <f aca="false">MAX(0,F1070-N1070)</f>
        <v>0</v>
      </c>
      <c r="Q1070" s="32" t="n">
        <f aca="false">(F1070+Settings!$B$7*Settings!$B$3)/(E1070+Settings!$B$7)</f>
        <v>0.0290495166373316</v>
      </c>
      <c r="R1070" s="61" t="n">
        <f aca="false">PERCENTRANK($H$2:$H$1780,H1070,6)</f>
        <v>0</v>
      </c>
      <c r="S1070" s="61" t="n">
        <f aca="false">PERCENTRANK($Q$2:$Q$1780,Q1070,6)</f>
        <v>0.365579</v>
      </c>
      <c r="T1070" s="61" t="n">
        <f aca="false">PERCENTRANK($F$2:$F$1780,F1070,6)</f>
        <v>0</v>
      </c>
      <c r="U1070" s="62" t="n">
        <f aca="false">IF(F1070&gt;0,(Settings!$B$8*T1070+Settings!$B$9*R1070+Settings!$B$10*S1070)/SUM(Settings!$B$8:$B$10),0)</f>
        <v>0</v>
      </c>
      <c r="V1070" s="56" t="str">
        <f aca="false">IF(U1070&gt;0,RANK(U1070,$U$2:$U$1780)+COUNTIF($U$2:U1070,U1070)-1,"")</f>
        <v/>
      </c>
      <c r="W1070" s="56" t="str">
        <f aca="false">IF(V1070="","",IF(V1070&lt;=Settings!$B$11,"1 - Fix first",IF(V1070&lt;=Settings!$B$12,"2 - Review","3 - Monitor")))</f>
        <v/>
      </c>
      <c r="X1070" s="56" t="str">
        <f aca="false">IF(AND(E1070&gt;=Settings!$B$4,F1070&gt;=Settings!$B$5,O1070&gt;=Settings!$B$6),"HIGH RATE","")</f>
        <v/>
      </c>
      <c r="Y1070" s="56" t="str">
        <f aca="false">IF(F1070&gt;0,RANK(F1070,$F$2:$F$1780)+COUNTIF($F$2:F1070,F1070)-1,"")</f>
        <v/>
      </c>
      <c r="Z1070" s="56" t="str">
        <f aca="false">IF(H1070&gt;0,RANK(H1070,$H$2:$H$1780)+COUNTIF($H$2:H1070,H1070)-1,"")</f>
        <v/>
      </c>
      <c r="AA1070" s="56" t="str">
        <f aca="false">IF(AC1070="","",RANK(AC1070,$AC$2:$AC$1780)+COUNTIF($AC$2:AC1070,AC1070)-1)</f>
        <v/>
      </c>
      <c r="AB1070" s="56" t="str">
        <f aca="false">IF(AD1070="","",RANK(AD1070,$AD$2:$AD$1780)+COUNTIF($AD$2:AD1070,AD1070)-1)</f>
        <v/>
      </c>
      <c r="AC1070" s="56" t="str">
        <f aca="false">IF(AND(F1070&gt;0,E1070&gt;=Settings!$B$4),J1070,"")</f>
        <v/>
      </c>
      <c r="AD1070" s="56" t="str">
        <f aca="false">IF(X1070="HIGH RATE",O1070,"")</f>
        <v/>
      </c>
    </row>
    <row r="1071" customFormat="false" ht="15" hidden="false" customHeight="false" outlineLevel="0" collapsed="false">
      <c r="A1071" s="56" t="s">
        <v>2435</v>
      </c>
      <c r="B1071" s="56" t="s">
        <v>2436</v>
      </c>
      <c r="C1071" s="56" t="s">
        <v>111</v>
      </c>
      <c r="D1071" s="56" t="str">
        <f aca="false">IFERROR(INDEX('Brand Map'!$B$4:$B$124,MATCH(C1071,'Brand Map'!$A$4:$A$124,0)),"Other")</f>
        <v>AUFS</v>
      </c>
      <c r="E1071" s="57" t="n">
        <v>2</v>
      </c>
      <c r="F1071" s="57" t="n">
        <v>0</v>
      </c>
      <c r="G1071" s="58" t="n">
        <v>236.28</v>
      </c>
      <c r="H1071" s="58" t="n">
        <v>0</v>
      </c>
      <c r="I1071" s="58" t="n">
        <v>236.28</v>
      </c>
      <c r="J1071" s="32" t="n">
        <f aca="false">IF(E1071&gt;0,F1071/E1071,0)</f>
        <v>0</v>
      </c>
      <c r="K1071" s="32" t="n">
        <f aca="false">IF(G1071&gt;0,H1071/G1071,0)</f>
        <v>-0</v>
      </c>
      <c r="L1071" s="59" t="n">
        <f aca="false">H1071/Settings!$B$16</f>
        <v>-0</v>
      </c>
      <c r="M1071" s="59" t="n">
        <f aca="false">H1071/Settings!$B$20</f>
        <v>-0</v>
      </c>
      <c r="N1071" s="60" t="n">
        <f aca="false">E1071*Settings!$B$3</f>
        <v>0.0619723021596408</v>
      </c>
      <c r="O1071" s="60" t="n">
        <f aca="false">IF(E1071&gt;0,(F1071-N1071)/SQRT(E1071*Settings!$B$3*(1-Settings!$B$3)),0)</f>
        <v>-0.252891261535318</v>
      </c>
      <c r="P1071" s="60" t="n">
        <f aca="false">MAX(0,F1071-N1071)</f>
        <v>0</v>
      </c>
      <c r="Q1071" s="32" t="n">
        <f aca="false">(F1071+Settings!$B$7*Settings!$B$3)/(E1071+Settings!$B$7)</f>
        <v>0.0290495166373316</v>
      </c>
      <c r="R1071" s="61" t="n">
        <f aca="false">PERCENTRANK($H$2:$H$1780,H1071,6)</f>
        <v>0</v>
      </c>
      <c r="S1071" s="61" t="n">
        <f aca="false">PERCENTRANK($Q$2:$Q$1780,Q1071,6)</f>
        <v>0.365579</v>
      </c>
      <c r="T1071" s="61" t="n">
        <f aca="false">PERCENTRANK($F$2:$F$1780,F1071,6)</f>
        <v>0</v>
      </c>
      <c r="U1071" s="62" t="n">
        <f aca="false">IF(F1071&gt;0,(Settings!$B$8*T1071+Settings!$B$9*R1071+Settings!$B$10*S1071)/SUM(Settings!$B$8:$B$10),0)</f>
        <v>0</v>
      </c>
      <c r="V1071" s="56" t="str">
        <f aca="false">IF(U1071&gt;0,RANK(U1071,$U$2:$U$1780)+COUNTIF($U$2:U1071,U1071)-1,"")</f>
        <v/>
      </c>
      <c r="W1071" s="56" t="str">
        <f aca="false">IF(V1071="","",IF(V1071&lt;=Settings!$B$11,"1 - Fix first",IF(V1071&lt;=Settings!$B$12,"2 - Review","3 - Monitor")))</f>
        <v/>
      </c>
      <c r="X1071" s="56" t="str">
        <f aca="false">IF(AND(E1071&gt;=Settings!$B$4,F1071&gt;=Settings!$B$5,O1071&gt;=Settings!$B$6),"HIGH RATE","")</f>
        <v/>
      </c>
      <c r="Y1071" s="56" t="str">
        <f aca="false">IF(F1071&gt;0,RANK(F1071,$F$2:$F$1780)+COUNTIF($F$2:F1071,F1071)-1,"")</f>
        <v/>
      </c>
      <c r="Z1071" s="56" t="str">
        <f aca="false">IF(H1071&gt;0,RANK(H1071,$H$2:$H$1780)+COUNTIF($H$2:H1071,H1071)-1,"")</f>
        <v/>
      </c>
      <c r="AA1071" s="56" t="str">
        <f aca="false">IF(AC1071="","",RANK(AC1071,$AC$2:$AC$1780)+COUNTIF($AC$2:AC1071,AC1071)-1)</f>
        <v/>
      </c>
      <c r="AB1071" s="56" t="str">
        <f aca="false">IF(AD1071="","",RANK(AD1071,$AD$2:$AD$1780)+COUNTIF($AD$2:AD1071,AD1071)-1)</f>
        <v/>
      </c>
      <c r="AC1071" s="56" t="str">
        <f aca="false">IF(AND(F1071&gt;0,E1071&gt;=Settings!$B$4),J1071,"")</f>
        <v/>
      </c>
      <c r="AD1071" s="56" t="str">
        <f aca="false">IF(X1071="HIGH RATE",O1071,"")</f>
        <v/>
      </c>
    </row>
    <row r="1072" customFormat="false" ht="15" hidden="false" customHeight="false" outlineLevel="0" collapsed="false">
      <c r="A1072" s="56" t="s">
        <v>2437</v>
      </c>
      <c r="B1072" s="56" t="s">
        <v>560</v>
      </c>
      <c r="C1072" s="56" t="s">
        <v>111</v>
      </c>
      <c r="D1072" s="56" t="str">
        <f aca="false">IFERROR(INDEX('Brand Map'!$B$4:$B$124,MATCH(C1072,'Brand Map'!$A$4:$A$124,0)),"Other")</f>
        <v>AUFS</v>
      </c>
      <c r="E1072" s="57" t="n">
        <v>1</v>
      </c>
      <c r="F1072" s="57" t="n">
        <v>0</v>
      </c>
      <c r="G1072" s="58" t="n">
        <v>174.95</v>
      </c>
      <c r="H1072" s="58" t="n">
        <v>0</v>
      </c>
      <c r="I1072" s="58" t="n">
        <v>174.95</v>
      </c>
      <c r="J1072" s="32" t="n">
        <f aca="false">IF(E1072&gt;0,F1072/E1072,0)</f>
        <v>0</v>
      </c>
      <c r="K1072" s="32" t="n">
        <f aca="false">IF(G1072&gt;0,H1072/G1072,0)</f>
        <v>-0</v>
      </c>
      <c r="L1072" s="59" t="n">
        <f aca="false">H1072/Settings!$B$16</f>
        <v>-0</v>
      </c>
      <c r="M1072" s="59" t="n">
        <f aca="false">H1072/Settings!$B$20</f>
        <v>-0</v>
      </c>
      <c r="N1072" s="60" t="n">
        <f aca="false">E1072*Settings!$B$3</f>
        <v>0.0309861510798204</v>
      </c>
      <c r="O1072" s="60" t="n">
        <f aca="false">IF(E1072&gt;0,(F1072-N1072)/SQRT(E1072*Settings!$B$3*(1-Settings!$B$3)),0)</f>
        <v>-0.178821125934444</v>
      </c>
      <c r="P1072" s="60" t="n">
        <f aca="false">MAX(0,F1072-N1072)</f>
        <v>0</v>
      </c>
      <c r="Q1072" s="32" t="n">
        <f aca="false">(F1072+Settings!$B$7*Settings!$B$3)/(E1072+Settings!$B$7)</f>
        <v>0.0299865978191811</v>
      </c>
      <c r="R1072" s="61" t="n">
        <f aca="false">PERCENTRANK($H$2:$H$1780,H1072,6)</f>
        <v>0</v>
      </c>
      <c r="S1072" s="61" t="n">
        <f aca="false">PERCENTRANK($Q$2:$Q$1780,Q1072,6)</f>
        <v>0.486502</v>
      </c>
      <c r="T1072" s="61" t="n">
        <f aca="false">PERCENTRANK($F$2:$F$1780,F1072,6)</f>
        <v>0</v>
      </c>
      <c r="U1072" s="62" t="n">
        <f aca="false">IF(F1072&gt;0,(Settings!$B$8*T1072+Settings!$B$9*R1072+Settings!$B$10*S1072)/SUM(Settings!$B$8:$B$10),0)</f>
        <v>0</v>
      </c>
      <c r="V1072" s="56" t="str">
        <f aca="false">IF(U1072&gt;0,RANK(U1072,$U$2:$U$1780)+COUNTIF($U$2:U1072,U1072)-1,"")</f>
        <v/>
      </c>
      <c r="W1072" s="56" t="str">
        <f aca="false">IF(V1072="","",IF(V1072&lt;=Settings!$B$11,"1 - Fix first",IF(V1072&lt;=Settings!$B$12,"2 - Review","3 - Monitor")))</f>
        <v/>
      </c>
      <c r="X1072" s="56" t="str">
        <f aca="false">IF(AND(E1072&gt;=Settings!$B$4,F1072&gt;=Settings!$B$5,O1072&gt;=Settings!$B$6),"HIGH RATE","")</f>
        <v/>
      </c>
      <c r="Y1072" s="56" t="str">
        <f aca="false">IF(F1072&gt;0,RANK(F1072,$F$2:$F$1780)+COUNTIF($F$2:F1072,F1072)-1,"")</f>
        <v/>
      </c>
      <c r="Z1072" s="56" t="str">
        <f aca="false">IF(H1072&gt;0,RANK(H1072,$H$2:$H$1780)+COUNTIF($H$2:H1072,H1072)-1,"")</f>
        <v/>
      </c>
      <c r="AA1072" s="56" t="str">
        <f aca="false">IF(AC1072="","",RANK(AC1072,$AC$2:$AC$1780)+COUNTIF($AC$2:AC1072,AC1072)-1)</f>
        <v/>
      </c>
      <c r="AB1072" s="56" t="str">
        <f aca="false">IF(AD1072="","",RANK(AD1072,$AD$2:$AD$1780)+COUNTIF($AD$2:AD1072,AD1072)-1)</f>
        <v/>
      </c>
      <c r="AC1072" s="56" t="str">
        <f aca="false">IF(AND(F1072&gt;0,E1072&gt;=Settings!$B$4),J1072,"")</f>
        <v/>
      </c>
      <c r="AD1072" s="56" t="str">
        <f aca="false">IF(X1072="HIGH RATE",O1072,"")</f>
        <v/>
      </c>
    </row>
    <row r="1073" customFormat="false" ht="15" hidden="false" customHeight="false" outlineLevel="0" collapsed="false">
      <c r="A1073" s="56" t="s">
        <v>2438</v>
      </c>
      <c r="B1073" s="56" t="s">
        <v>560</v>
      </c>
      <c r="C1073" s="56" t="s">
        <v>111</v>
      </c>
      <c r="D1073" s="56" t="str">
        <f aca="false">IFERROR(INDEX('Brand Map'!$B$4:$B$124,MATCH(C1073,'Brand Map'!$A$4:$A$124,0)),"Other")</f>
        <v>AUFS</v>
      </c>
      <c r="E1073" s="57" t="n">
        <v>5</v>
      </c>
      <c r="F1073" s="57" t="n">
        <v>0</v>
      </c>
      <c r="G1073" s="58" t="n">
        <v>649.75</v>
      </c>
      <c r="H1073" s="58" t="n">
        <v>0</v>
      </c>
      <c r="I1073" s="58" t="n">
        <v>649.75</v>
      </c>
      <c r="J1073" s="32" t="n">
        <f aca="false">IF(E1073&gt;0,F1073/E1073,0)</f>
        <v>0</v>
      </c>
      <c r="K1073" s="32" t="n">
        <f aca="false">IF(G1073&gt;0,H1073/G1073,0)</f>
        <v>-0</v>
      </c>
      <c r="L1073" s="59" t="n">
        <f aca="false">H1073/Settings!$B$16</f>
        <v>-0</v>
      </c>
      <c r="M1073" s="59" t="n">
        <f aca="false">H1073/Settings!$B$20</f>
        <v>-0</v>
      </c>
      <c r="N1073" s="60" t="n">
        <f aca="false">E1073*Settings!$B$3</f>
        <v>0.154930755399102</v>
      </c>
      <c r="O1073" s="60" t="n">
        <f aca="false">IF(E1073&gt;0,(F1073-N1073)/SQRT(E1073*Settings!$B$3*(1-Settings!$B$3)),0)</f>
        <v>-0.399856193402468</v>
      </c>
      <c r="P1073" s="60" t="n">
        <f aca="false">MAX(0,F1073-N1073)</f>
        <v>0</v>
      </c>
      <c r="Q1073" s="32" t="n">
        <f aca="false">(F1073+Settings!$B$7*Settings!$B$3)/(E1073+Settings!$B$7)</f>
        <v>0.0265595580684175</v>
      </c>
      <c r="R1073" s="61" t="n">
        <f aca="false">PERCENTRANK($H$2:$H$1780,H1073,6)</f>
        <v>0</v>
      </c>
      <c r="S1073" s="61" t="n">
        <f aca="false">PERCENTRANK($Q$2:$Q$1780,Q1073,6)</f>
        <v>0.220472</v>
      </c>
      <c r="T1073" s="61" t="n">
        <f aca="false">PERCENTRANK($F$2:$F$1780,F1073,6)</f>
        <v>0</v>
      </c>
      <c r="U1073" s="62" t="n">
        <f aca="false">IF(F1073&gt;0,(Settings!$B$8*T1073+Settings!$B$9*R1073+Settings!$B$10*S1073)/SUM(Settings!$B$8:$B$10),0)</f>
        <v>0</v>
      </c>
      <c r="V1073" s="56" t="str">
        <f aca="false">IF(U1073&gt;0,RANK(U1073,$U$2:$U$1780)+COUNTIF($U$2:U1073,U1073)-1,"")</f>
        <v/>
      </c>
      <c r="W1073" s="56" t="str">
        <f aca="false">IF(V1073="","",IF(V1073&lt;=Settings!$B$11,"1 - Fix first",IF(V1073&lt;=Settings!$B$12,"2 - Review","3 - Monitor")))</f>
        <v/>
      </c>
      <c r="X1073" s="56" t="str">
        <f aca="false">IF(AND(E1073&gt;=Settings!$B$4,F1073&gt;=Settings!$B$5,O1073&gt;=Settings!$B$6),"HIGH RATE","")</f>
        <v/>
      </c>
      <c r="Y1073" s="56" t="str">
        <f aca="false">IF(F1073&gt;0,RANK(F1073,$F$2:$F$1780)+COUNTIF($F$2:F1073,F1073)-1,"")</f>
        <v/>
      </c>
      <c r="Z1073" s="56" t="str">
        <f aca="false">IF(H1073&gt;0,RANK(H1073,$H$2:$H$1780)+COUNTIF($H$2:H1073,H1073)-1,"")</f>
        <v/>
      </c>
      <c r="AA1073" s="56" t="str">
        <f aca="false">IF(AC1073="","",RANK(AC1073,$AC$2:$AC$1780)+COUNTIF($AC$2:AC1073,AC1073)-1)</f>
        <v/>
      </c>
      <c r="AB1073" s="56" t="str">
        <f aca="false">IF(AD1073="","",RANK(AD1073,$AD$2:$AD$1780)+COUNTIF($AD$2:AD1073,AD1073)-1)</f>
        <v/>
      </c>
      <c r="AC1073" s="56" t="str">
        <f aca="false">IF(AND(F1073&gt;0,E1073&gt;=Settings!$B$4),J1073,"")</f>
        <v/>
      </c>
      <c r="AD1073" s="56" t="str">
        <f aca="false">IF(X1073="HIGH RATE",O1073,"")</f>
        <v/>
      </c>
    </row>
    <row r="1074" customFormat="false" ht="15" hidden="false" customHeight="false" outlineLevel="0" collapsed="false">
      <c r="A1074" s="56" t="s">
        <v>2439</v>
      </c>
      <c r="B1074" s="56" t="s">
        <v>1304</v>
      </c>
      <c r="C1074" s="56" t="s">
        <v>111</v>
      </c>
      <c r="D1074" s="56" t="str">
        <f aca="false">IFERROR(INDEX('Brand Map'!$B$4:$B$124,MATCH(C1074,'Brand Map'!$A$4:$A$124,0)),"Other")</f>
        <v>AUFS</v>
      </c>
      <c r="E1074" s="57" t="n">
        <v>19</v>
      </c>
      <c r="F1074" s="57" t="n">
        <v>0</v>
      </c>
      <c r="G1074" s="58" t="n">
        <v>3463.74</v>
      </c>
      <c r="H1074" s="58" t="n">
        <v>0</v>
      </c>
      <c r="I1074" s="58" t="n">
        <v>3463.74</v>
      </c>
      <c r="J1074" s="32" t="n">
        <f aca="false">IF(E1074&gt;0,F1074/E1074,0)</f>
        <v>0</v>
      </c>
      <c r="K1074" s="32" t="n">
        <f aca="false">IF(G1074&gt;0,H1074/G1074,0)</f>
        <v>-0</v>
      </c>
      <c r="L1074" s="59" t="n">
        <f aca="false">H1074/Settings!$B$16</f>
        <v>-0</v>
      </c>
      <c r="M1074" s="59" t="n">
        <f aca="false">H1074/Settings!$B$20</f>
        <v>-0</v>
      </c>
      <c r="N1074" s="60" t="n">
        <f aca="false">E1074*Settings!$B$3</f>
        <v>0.588736870516588</v>
      </c>
      <c r="O1074" s="60" t="n">
        <f aca="false">IF(E1074&gt;0,(F1074-N1074)/SQRT(E1074*Settings!$B$3*(1-Settings!$B$3)),0)</f>
        <v>-0.779463216918402</v>
      </c>
      <c r="P1074" s="60" t="n">
        <f aca="false">MAX(0,F1074-N1074)</f>
        <v>0</v>
      </c>
      <c r="Q1074" s="32" t="n">
        <f aca="false">(F1074+Settings!$B$7*Settings!$B$3)/(E1074+Settings!$B$7)</f>
        <v>0.0189711129060125</v>
      </c>
      <c r="R1074" s="61" t="n">
        <f aca="false">PERCENTRANK($H$2:$H$1780,H1074,6)</f>
        <v>0</v>
      </c>
      <c r="S1074" s="61" t="n">
        <f aca="false">PERCENTRANK($Q$2:$Q$1780,Q1074,6)</f>
        <v>0.0776153</v>
      </c>
      <c r="T1074" s="61" t="n">
        <f aca="false">PERCENTRANK($F$2:$F$1780,F1074,6)</f>
        <v>0</v>
      </c>
      <c r="U1074" s="62" t="n">
        <f aca="false">IF(F1074&gt;0,(Settings!$B$8*T1074+Settings!$B$9*R1074+Settings!$B$10*S1074)/SUM(Settings!$B$8:$B$10),0)</f>
        <v>0</v>
      </c>
      <c r="V1074" s="56" t="str">
        <f aca="false">IF(U1074&gt;0,RANK(U1074,$U$2:$U$1780)+COUNTIF($U$2:U1074,U1074)-1,"")</f>
        <v/>
      </c>
      <c r="W1074" s="56" t="str">
        <f aca="false">IF(V1074="","",IF(V1074&lt;=Settings!$B$11,"1 - Fix first",IF(V1074&lt;=Settings!$B$12,"2 - Review","3 - Monitor")))</f>
        <v/>
      </c>
      <c r="X1074" s="56" t="str">
        <f aca="false">IF(AND(E1074&gt;=Settings!$B$4,F1074&gt;=Settings!$B$5,O1074&gt;=Settings!$B$6),"HIGH RATE","")</f>
        <v/>
      </c>
      <c r="Y1074" s="56" t="str">
        <f aca="false">IF(F1074&gt;0,RANK(F1074,$F$2:$F$1780)+COUNTIF($F$2:F1074,F1074)-1,"")</f>
        <v/>
      </c>
      <c r="Z1074" s="56" t="str">
        <f aca="false">IF(H1074&gt;0,RANK(H1074,$H$2:$H$1780)+COUNTIF($H$2:H1074,H1074)-1,"")</f>
        <v/>
      </c>
      <c r="AA1074" s="56" t="str">
        <f aca="false">IF(AC1074="","",RANK(AC1074,$AC$2:$AC$1780)+COUNTIF($AC$2:AC1074,AC1074)-1)</f>
        <v/>
      </c>
      <c r="AB1074" s="56" t="str">
        <f aca="false">IF(AD1074="","",RANK(AD1074,$AD$2:$AD$1780)+COUNTIF($AD$2:AD1074,AD1074)-1)</f>
        <v/>
      </c>
      <c r="AC1074" s="56" t="str">
        <f aca="false">IF(AND(F1074&gt;0,E1074&gt;=Settings!$B$4),J1074,"")</f>
        <v/>
      </c>
      <c r="AD1074" s="56" t="str">
        <f aca="false">IF(X1074="HIGH RATE",O1074,"")</f>
        <v/>
      </c>
    </row>
    <row r="1075" customFormat="false" ht="15" hidden="false" customHeight="false" outlineLevel="0" collapsed="false">
      <c r="A1075" s="56" t="s">
        <v>2440</v>
      </c>
      <c r="B1075" s="56" t="s">
        <v>1304</v>
      </c>
      <c r="C1075" s="56" t="s">
        <v>111</v>
      </c>
      <c r="D1075" s="56" t="str">
        <f aca="false">IFERROR(INDEX('Brand Map'!$B$4:$B$124,MATCH(C1075,'Brand Map'!$A$4:$A$124,0)),"Other")</f>
        <v>AUFS</v>
      </c>
      <c r="E1075" s="57" t="n">
        <v>2</v>
      </c>
      <c r="F1075" s="57" t="n">
        <v>0</v>
      </c>
      <c r="G1075" s="58" t="n">
        <v>379.9</v>
      </c>
      <c r="H1075" s="58" t="n">
        <v>0</v>
      </c>
      <c r="I1075" s="58" t="n">
        <v>379.9</v>
      </c>
      <c r="J1075" s="32" t="n">
        <f aca="false">IF(E1075&gt;0,F1075/E1075,0)</f>
        <v>0</v>
      </c>
      <c r="K1075" s="32" t="n">
        <f aca="false">IF(G1075&gt;0,H1075/G1075,0)</f>
        <v>-0</v>
      </c>
      <c r="L1075" s="59" t="n">
        <f aca="false">H1075/Settings!$B$16</f>
        <v>-0</v>
      </c>
      <c r="M1075" s="59" t="n">
        <f aca="false">H1075/Settings!$B$20</f>
        <v>-0</v>
      </c>
      <c r="N1075" s="60" t="n">
        <f aca="false">E1075*Settings!$B$3</f>
        <v>0.0619723021596408</v>
      </c>
      <c r="O1075" s="60" t="n">
        <f aca="false">IF(E1075&gt;0,(F1075-N1075)/SQRT(E1075*Settings!$B$3*(1-Settings!$B$3)),0)</f>
        <v>-0.252891261535318</v>
      </c>
      <c r="P1075" s="60" t="n">
        <f aca="false">MAX(0,F1075-N1075)</f>
        <v>0</v>
      </c>
      <c r="Q1075" s="32" t="n">
        <f aca="false">(F1075+Settings!$B$7*Settings!$B$3)/(E1075+Settings!$B$7)</f>
        <v>0.0290495166373316</v>
      </c>
      <c r="R1075" s="61" t="n">
        <f aca="false">PERCENTRANK($H$2:$H$1780,H1075,6)</f>
        <v>0</v>
      </c>
      <c r="S1075" s="61" t="n">
        <f aca="false">PERCENTRANK($Q$2:$Q$1780,Q1075,6)</f>
        <v>0.365579</v>
      </c>
      <c r="T1075" s="61" t="n">
        <f aca="false">PERCENTRANK($F$2:$F$1780,F1075,6)</f>
        <v>0</v>
      </c>
      <c r="U1075" s="62" t="n">
        <f aca="false">IF(F1075&gt;0,(Settings!$B$8*T1075+Settings!$B$9*R1075+Settings!$B$10*S1075)/SUM(Settings!$B$8:$B$10),0)</f>
        <v>0</v>
      </c>
      <c r="V1075" s="56" t="str">
        <f aca="false">IF(U1075&gt;0,RANK(U1075,$U$2:$U$1780)+COUNTIF($U$2:U1075,U1075)-1,"")</f>
        <v/>
      </c>
      <c r="W1075" s="56" t="str">
        <f aca="false">IF(V1075="","",IF(V1075&lt;=Settings!$B$11,"1 - Fix first",IF(V1075&lt;=Settings!$B$12,"2 - Review","3 - Monitor")))</f>
        <v/>
      </c>
      <c r="X1075" s="56" t="str">
        <f aca="false">IF(AND(E1075&gt;=Settings!$B$4,F1075&gt;=Settings!$B$5,O1075&gt;=Settings!$B$6),"HIGH RATE","")</f>
        <v/>
      </c>
      <c r="Y1075" s="56" t="str">
        <f aca="false">IF(F1075&gt;0,RANK(F1075,$F$2:$F$1780)+COUNTIF($F$2:F1075,F1075)-1,"")</f>
        <v/>
      </c>
      <c r="Z1075" s="56" t="str">
        <f aca="false">IF(H1075&gt;0,RANK(H1075,$H$2:$H$1780)+COUNTIF($H$2:H1075,H1075)-1,"")</f>
        <v/>
      </c>
      <c r="AA1075" s="56" t="str">
        <f aca="false">IF(AC1075="","",RANK(AC1075,$AC$2:$AC$1780)+COUNTIF($AC$2:AC1075,AC1075)-1)</f>
        <v/>
      </c>
      <c r="AB1075" s="56" t="str">
        <f aca="false">IF(AD1075="","",RANK(AD1075,$AD$2:$AD$1780)+COUNTIF($AD$2:AD1075,AD1075)-1)</f>
        <v/>
      </c>
      <c r="AC1075" s="56" t="str">
        <f aca="false">IF(AND(F1075&gt;0,E1075&gt;=Settings!$B$4),J1075,"")</f>
        <v/>
      </c>
      <c r="AD1075" s="56" t="str">
        <f aca="false">IF(X1075="HIGH RATE",O1075,"")</f>
        <v/>
      </c>
    </row>
    <row r="1076" customFormat="false" ht="15" hidden="false" customHeight="false" outlineLevel="0" collapsed="false">
      <c r="A1076" s="56" t="s">
        <v>2441</v>
      </c>
      <c r="B1076" s="56" t="s">
        <v>2442</v>
      </c>
      <c r="C1076" s="56" t="s">
        <v>111</v>
      </c>
      <c r="D1076" s="56" t="str">
        <f aca="false">IFERROR(INDEX('Brand Map'!$B$4:$B$124,MATCH(C1076,'Brand Map'!$A$4:$A$124,0)),"Other")</f>
        <v>AUFS</v>
      </c>
      <c r="E1076" s="57" t="n">
        <v>1</v>
      </c>
      <c r="F1076" s="57" t="n">
        <v>0</v>
      </c>
      <c r="G1076" s="58" t="n">
        <v>184.95</v>
      </c>
      <c r="H1076" s="58" t="n">
        <v>0</v>
      </c>
      <c r="I1076" s="58" t="n">
        <v>184.95</v>
      </c>
      <c r="J1076" s="32" t="n">
        <f aca="false">IF(E1076&gt;0,F1076/E1076,0)</f>
        <v>0</v>
      </c>
      <c r="K1076" s="32" t="n">
        <f aca="false">IF(G1076&gt;0,H1076/G1076,0)</f>
        <v>-0</v>
      </c>
      <c r="L1076" s="59" t="n">
        <f aca="false">H1076/Settings!$B$16</f>
        <v>-0</v>
      </c>
      <c r="M1076" s="59" t="n">
        <f aca="false">H1076/Settings!$B$20</f>
        <v>-0</v>
      </c>
      <c r="N1076" s="60" t="n">
        <f aca="false">E1076*Settings!$B$3</f>
        <v>0.0309861510798204</v>
      </c>
      <c r="O1076" s="60" t="n">
        <f aca="false">IF(E1076&gt;0,(F1076-N1076)/SQRT(E1076*Settings!$B$3*(1-Settings!$B$3)),0)</f>
        <v>-0.178821125934444</v>
      </c>
      <c r="P1076" s="60" t="n">
        <f aca="false">MAX(0,F1076-N1076)</f>
        <v>0</v>
      </c>
      <c r="Q1076" s="32" t="n">
        <f aca="false">(F1076+Settings!$B$7*Settings!$B$3)/(E1076+Settings!$B$7)</f>
        <v>0.0299865978191811</v>
      </c>
      <c r="R1076" s="61" t="n">
        <f aca="false">PERCENTRANK($H$2:$H$1780,H1076,6)</f>
        <v>0</v>
      </c>
      <c r="S1076" s="61" t="n">
        <f aca="false">PERCENTRANK($Q$2:$Q$1780,Q1076,6)</f>
        <v>0.486502</v>
      </c>
      <c r="T1076" s="61" t="n">
        <f aca="false">PERCENTRANK($F$2:$F$1780,F1076,6)</f>
        <v>0</v>
      </c>
      <c r="U1076" s="62" t="n">
        <f aca="false">IF(F1076&gt;0,(Settings!$B$8*T1076+Settings!$B$9*R1076+Settings!$B$10*S1076)/SUM(Settings!$B$8:$B$10),0)</f>
        <v>0</v>
      </c>
      <c r="V1076" s="56" t="str">
        <f aca="false">IF(U1076&gt;0,RANK(U1076,$U$2:$U$1780)+COUNTIF($U$2:U1076,U1076)-1,"")</f>
        <v/>
      </c>
      <c r="W1076" s="56" t="str">
        <f aca="false">IF(V1076="","",IF(V1076&lt;=Settings!$B$11,"1 - Fix first",IF(V1076&lt;=Settings!$B$12,"2 - Review","3 - Monitor")))</f>
        <v/>
      </c>
      <c r="X1076" s="56" t="str">
        <f aca="false">IF(AND(E1076&gt;=Settings!$B$4,F1076&gt;=Settings!$B$5,O1076&gt;=Settings!$B$6),"HIGH RATE","")</f>
        <v/>
      </c>
      <c r="Y1076" s="56" t="str">
        <f aca="false">IF(F1076&gt;0,RANK(F1076,$F$2:$F$1780)+COUNTIF($F$2:F1076,F1076)-1,"")</f>
        <v/>
      </c>
      <c r="Z1076" s="56" t="str">
        <f aca="false">IF(H1076&gt;0,RANK(H1076,$H$2:$H$1780)+COUNTIF($H$2:H1076,H1076)-1,"")</f>
        <v/>
      </c>
      <c r="AA1076" s="56" t="str">
        <f aca="false">IF(AC1076="","",RANK(AC1076,$AC$2:$AC$1780)+COUNTIF($AC$2:AC1076,AC1076)-1)</f>
        <v/>
      </c>
      <c r="AB1076" s="56" t="str">
        <f aca="false">IF(AD1076="","",RANK(AD1076,$AD$2:$AD$1780)+COUNTIF($AD$2:AD1076,AD1076)-1)</f>
        <v/>
      </c>
      <c r="AC1076" s="56" t="str">
        <f aca="false">IF(AND(F1076&gt;0,E1076&gt;=Settings!$B$4),J1076,"")</f>
        <v/>
      </c>
      <c r="AD1076" s="56" t="str">
        <f aca="false">IF(X1076="HIGH RATE",O1076,"")</f>
        <v/>
      </c>
    </row>
    <row r="1077" customFormat="false" ht="15" hidden="false" customHeight="false" outlineLevel="0" collapsed="false">
      <c r="A1077" s="56" t="s">
        <v>2443</v>
      </c>
      <c r="B1077" s="56" t="s">
        <v>2442</v>
      </c>
      <c r="C1077" s="56" t="s">
        <v>111</v>
      </c>
      <c r="D1077" s="56" t="str">
        <f aca="false">IFERROR(INDEX('Brand Map'!$B$4:$B$124,MATCH(C1077,'Brand Map'!$A$4:$A$124,0)),"Other")</f>
        <v>AUFS</v>
      </c>
      <c r="E1077" s="57" t="n">
        <v>1</v>
      </c>
      <c r="F1077" s="57" t="n">
        <v>0</v>
      </c>
      <c r="G1077" s="58" t="n">
        <v>214.95</v>
      </c>
      <c r="H1077" s="58" t="n">
        <v>0</v>
      </c>
      <c r="I1077" s="58" t="n">
        <v>214.95</v>
      </c>
      <c r="J1077" s="32" t="n">
        <f aca="false">IF(E1077&gt;0,F1077/E1077,0)</f>
        <v>0</v>
      </c>
      <c r="K1077" s="32" t="n">
        <f aca="false">IF(G1077&gt;0,H1077/G1077,0)</f>
        <v>-0</v>
      </c>
      <c r="L1077" s="59" t="n">
        <f aca="false">H1077/Settings!$B$16</f>
        <v>-0</v>
      </c>
      <c r="M1077" s="59" t="n">
        <f aca="false">H1077/Settings!$B$20</f>
        <v>-0</v>
      </c>
      <c r="N1077" s="60" t="n">
        <f aca="false">E1077*Settings!$B$3</f>
        <v>0.0309861510798204</v>
      </c>
      <c r="O1077" s="60" t="n">
        <f aca="false">IF(E1077&gt;0,(F1077-N1077)/SQRT(E1077*Settings!$B$3*(1-Settings!$B$3)),0)</f>
        <v>-0.178821125934444</v>
      </c>
      <c r="P1077" s="60" t="n">
        <f aca="false">MAX(0,F1077-N1077)</f>
        <v>0</v>
      </c>
      <c r="Q1077" s="32" t="n">
        <f aca="false">(F1077+Settings!$B$7*Settings!$B$3)/(E1077+Settings!$B$7)</f>
        <v>0.0299865978191811</v>
      </c>
      <c r="R1077" s="61" t="n">
        <f aca="false">PERCENTRANK($H$2:$H$1780,H1077,6)</f>
        <v>0</v>
      </c>
      <c r="S1077" s="61" t="n">
        <f aca="false">PERCENTRANK($Q$2:$Q$1780,Q1077,6)</f>
        <v>0.486502</v>
      </c>
      <c r="T1077" s="61" t="n">
        <f aca="false">PERCENTRANK($F$2:$F$1780,F1077,6)</f>
        <v>0</v>
      </c>
      <c r="U1077" s="62" t="n">
        <f aca="false">IF(F1077&gt;0,(Settings!$B$8*T1077+Settings!$B$9*R1077+Settings!$B$10*S1077)/SUM(Settings!$B$8:$B$10),0)</f>
        <v>0</v>
      </c>
      <c r="V1077" s="56" t="str">
        <f aca="false">IF(U1077&gt;0,RANK(U1077,$U$2:$U$1780)+COUNTIF($U$2:U1077,U1077)-1,"")</f>
        <v/>
      </c>
      <c r="W1077" s="56" t="str">
        <f aca="false">IF(V1077="","",IF(V1077&lt;=Settings!$B$11,"1 - Fix first",IF(V1077&lt;=Settings!$B$12,"2 - Review","3 - Monitor")))</f>
        <v/>
      </c>
      <c r="X1077" s="56" t="str">
        <f aca="false">IF(AND(E1077&gt;=Settings!$B$4,F1077&gt;=Settings!$B$5,O1077&gt;=Settings!$B$6),"HIGH RATE","")</f>
        <v/>
      </c>
      <c r="Y1077" s="56" t="str">
        <f aca="false">IF(F1077&gt;0,RANK(F1077,$F$2:$F$1780)+COUNTIF($F$2:F1077,F1077)-1,"")</f>
        <v/>
      </c>
      <c r="Z1077" s="56" t="str">
        <f aca="false">IF(H1077&gt;0,RANK(H1077,$H$2:$H$1780)+COUNTIF($H$2:H1077,H1077)-1,"")</f>
        <v/>
      </c>
      <c r="AA1077" s="56" t="str">
        <f aca="false">IF(AC1077="","",RANK(AC1077,$AC$2:$AC$1780)+COUNTIF($AC$2:AC1077,AC1077)-1)</f>
        <v/>
      </c>
      <c r="AB1077" s="56" t="str">
        <f aca="false">IF(AD1077="","",RANK(AD1077,$AD$2:$AD$1780)+COUNTIF($AD$2:AD1077,AD1077)-1)</f>
        <v/>
      </c>
      <c r="AC1077" s="56" t="str">
        <f aca="false">IF(AND(F1077&gt;0,E1077&gt;=Settings!$B$4),J1077,"")</f>
        <v/>
      </c>
      <c r="AD1077" s="56" t="str">
        <f aca="false">IF(X1077="HIGH RATE",O1077,"")</f>
        <v/>
      </c>
    </row>
    <row r="1078" customFormat="false" ht="15" hidden="false" customHeight="false" outlineLevel="0" collapsed="false">
      <c r="A1078" s="56" t="s">
        <v>2444</v>
      </c>
      <c r="B1078" s="56" t="s">
        <v>2445</v>
      </c>
      <c r="C1078" s="56" t="s">
        <v>111</v>
      </c>
      <c r="D1078" s="56" t="str">
        <f aca="false">IFERROR(INDEX('Brand Map'!$B$4:$B$124,MATCH(C1078,'Brand Map'!$A$4:$A$124,0)),"Other")</f>
        <v>AUFS</v>
      </c>
      <c r="E1078" s="57" t="n">
        <v>9</v>
      </c>
      <c r="F1078" s="57" t="n">
        <v>0</v>
      </c>
      <c r="G1078" s="58" t="n">
        <v>1389.83</v>
      </c>
      <c r="H1078" s="58" t="n">
        <v>0</v>
      </c>
      <c r="I1078" s="58" t="n">
        <v>1341.58</v>
      </c>
      <c r="J1078" s="32" t="n">
        <f aca="false">IF(E1078&gt;0,F1078/E1078,0)</f>
        <v>0</v>
      </c>
      <c r="K1078" s="32" t="n">
        <f aca="false">IF(G1078&gt;0,H1078/G1078,0)</f>
        <v>-0</v>
      </c>
      <c r="L1078" s="59" t="n">
        <f aca="false">H1078/Settings!$B$16</f>
        <v>-0</v>
      </c>
      <c r="M1078" s="59" t="n">
        <f aca="false">H1078/Settings!$B$20</f>
        <v>-0</v>
      </c>
      <c r="N1078" s="60" t="n">
        <f aca="false">E1078*Settings!$B$3</f>
        <v>0.278875359718384</v>
      </c>
      <c r="O1078" s="60" t="n">
        <f aca="false">IF(E1078&gt;0,(F1078-N1078)/SQRT(E1078*Settings!$B$3*(1-Settings!$B$3)),0)</f>
        <v>-0.536463377803332</v>
      </c>
      <c r="P1078" s="60" t="n">
        <f aca="false">MAX(0,F1078-N1078)</f>
        <v>0</v>
      </c>
      <c r="Q1078" s="32" t="n">
        <f aca="false">(F1078+Settings!$B$7*Settings!$B$3)/(E1078+Settings!$B$7)</f>
        <v>0.0238355008306311</v>
      </c>
      <c r="R1078" s="61" t="n">
        <f aca="false">PERCENTRANK($H$2:$H$1780,H1078,6)</f>
        <v>0</v>
      </c>
      <c r="S1078" s="61" t="n">
        <f aca="false">PERCENTRANK($Q$2:$Q$1780,Q1078,6)</f>
        <v>0.142857</v>
      </c>
      <c r="T1078" s="61" t="n">
        <f aca="false">PERCENTRANK($F$2:$F$1780,F1078,6)</f>
        <v>0</v>
      </c>
      <c r="U1078" s="62" t="n">
        <f aca="false">IF(F1078&gt;0,(Settings!$B$8*T1078+Settings!$B$9*R1078+Settings!$B$10*S1078)/SUM(Settings!$B$8:$B$10),0)</f>
        <v>0</v>
      </c>
      <c r="V1078" s="56" t="str">
        <f aca="false">IF(U1078&gt;0,RANK(U1078,$U$2:$U$1780)+COUNTIF($U$2:U1078,U1078)-1,"")</f>
        <v/>
      </c>
      <c r="W1078" s="56" t="str">
        <f aca="false">IF(V1078="","",IF(V1078&lt;=Settings!$B$11,"1 - Fix first",IF(V1078&lt;=Settings!$B$12,"2 - Review","3 - Monitor")))</f>
        <v/>
      </c>
      <c r="X1078" s="56" t="str">
        <f aca="false">IF(AND(E1078&gt;=Settings!$B$4,F1078&gt;=Settings!$B$5,O1078&gt;=Settings!$B$6),"HIGH RATE","")</f>
        <v/>
      </c>
      <c r="Y1078" s="56" t="str">
        <f aca="false">IF(F1078&gt;0,RANK(F1078,$F$2:$F$1780)+COUNTIF($F$2:F1078,F1078)-1,"")</f>
        <v/>
      </c>
      <c r="Z1078" s="56" t="str">
        <f aca="false">IF(H1078&gt;0,RANK(H1078,$H$2:$H$1780)+COUNTIF($H$2:H1078,H1078)-1,"")</f>
        <v/>
      </c>
      <c r="AA1078" s="56" t="str">
        <f aca="false">IF(AC1078="","",RANK(AC1078,$AC$2:$AC$1780)+COUNTIF($AC$2:AC1078,AC1078)-1)</f>
        <v/>
      </c>
      <c r="AB1078" s="56" t="str">
        <f aca="false">IF(AD1078="","",RANK(AD1078,$AD$2:$AD$1780)+COUNTIF($AD$2:AD1078,AD1078)-1)</f>
        <v/>
      </c>
      <c r="AC1078" s="56" t="str">
        <f aca="false">IF(AND(F1078&gt;0,E1078&gt;=Settings!$B$4),J1078,"")</f>
        <v/>
      </c>
      <c r="AD1078" s="56" t="str">
        <f aca="false">IF(X1078="HIGH RATE",O1078,"")</f>
        <v/>
      </c>
    </row>
    <row r="1079" customFormat="false" ht="15" hidden="false" customHeight="false" outlineLevel="0" collapsed="false">
      <c r="A1079" s="56" t="s">
        <v>2446</v>
      </c>
      <c r="B1079" s="56" t="s">
        <v>1657</v>
      </c>
      <c r="C1079" s="56" t="s">
        <v>111</v>
      </c>
      <c r="D1079" s="56" t="str">
        <f aca="false">IFERROR(INDEX('Brand Map'!$B$4:$B$124,MATCH(C1079,'Brand Map'!$A$4:$A$124,0)),"Other")</f>
        <v>AUFS</v>
      </c>
      <c r="E1079" s="57" t="n">
        <v>1</v>
      </c>
      <c r="F1079" s="57" t="n">
        <v>0</v>
      </c>
      <c r="G1079" s="58" t="n">
        <v>174.95</v>
      </c>
      <c r="H1079" s="58" t="n">
        <v>0</v>
      </c>
      <c r="I1079" s="58" t="n">
        <v>174.95</v>
      </c>
      <c r="J1079" s="32" t="n">
        <f aca="false">IF(E1079&gt;0,F1079/E1079,0)</f>
        <v>0</v>
      </c>
      <c r="K1079" s="32" t="n">
        <f aca="false">IF(G1079&gt;0,H1079/G1079,0)</f>
        <v>-0</v>
      </c>
      <c r="L1079" s="59" t="n">
        <f aca="false">H1079/Settings!$B$16</f>
        <v>-0</v>
      </c>
      <c r="M1079" s="59" t="n">
        <f aca="false">H1079/Settings!$B$20</f>
        <v>-0</v>
      </c>
      <c r="N1079" s="60" t="n">
        <f aca="false">E1079*Settings!$B$3</f>
        <v>0.0309861510798204</v>
      </c>
      <c r="O1079" s="60" t="n">
        <f aca="false">IF(E1079&gt;0,(F1079-N1079)/SQRT(E1079*Settings!$B$3*(1-Settings!$B$3)),0)</f>
        <v>-0.178821125934444</v>
      </c>
      <c r="P1079" s="60" t="n">
        <f aca="false">MAX(0,F1079-N1079)</f>
        <v>0</v>
      </c>
      <c r="Q1079" s="32" t="n">
        <f aca="false">(F1079+Settings!$B$7*Settings!$B$3)/(E1079+Settings!$B$7)</f>
        <v>0.0299865978191811</v>
      </c>
      <c r="R1079" s="61" t="n">
        <f aca="false">PERCENTRANK($H$2:$H$1780,H1079,6)</f>
        <v>0</v>
      </c>
      <c r="S1079" s="61" t="n">
        <f aca="false">PERCENTRANK($Q$2:$Q$1780,Q1079,6)</f>
        <v>0.486502</v>
      </c>
      <c r="T1079" s="61" t="n">
        <f aca="false">PERCENTRANK($F$2:$F$1780,F1079,6)</f>
        <v>0</v>
      </c>
      <c r="U1079" s="62" t="n">
        <f aca="false">IF(F1079&gt;0,(Settings!$B$8*T1079+Settings!$B$9*R1079+Settings!$B$10*S1079)/SUM(Settings!$B$8:$B$10),0)</f>
        <v>0</v>
      </c>
      <c r="V1079" s="56" t="str">
        <f aca="false">IF(U1079&gt;0,RANK(U1079,$U$2:$U$1780)+COUNTIF($U$2:U1079,U1079)-1,"")</f>
        <v/>
      </c>
      <c r="W1079" s="56" t="str">
        <f aca="false">IF(V1079="","",IF(V1079&lt;=Settings!$B$11,"1 - Fix first",IF(V1079&lt;=Settings!$B$12,"2 - Review","3 - Monitor")))</f>
        <v/>
      </c>
      <c r="X1079" s="56" t="str">
        <f aca="false">IF(AND(E1079&gt;=Settings!$B$4,F1079&gt;=Settings!$B$5,O1079&gt;=Settings!$B$6),"HIGH RATE","")</f>
        <v/>
      </c>
      <c r="Y1079" s="56" t="str">
        <f aca="false">IF(F1079&gt;0,RANK(F1079,$F$2:$F$1780)+COUNTIF($F$2:F1079,F1079)-1,"")</f>
        <v/>
      </c>
      <c r="Z1079" s="56" t="str">
        <f aca="false">IF(H1079&gt;0,RANK(H1079,$H$2:$H$1780)+COUNTIF($H$2:H1079,H1079)-1,"")</f>
        <v/>
      </c>
      <c r="AA1079" s="56" t="str">
        <f aca="false">IF(AC1079="","",RANK(AC1079,$AC$2:$AC$1780)+COUNTIF($AC$2:AC1079,AC1079)-1)</f>
        <v/>
      </c>
      <c r="AB1079" s="56" t="str">
        <f aca="false">IF(AD1079="","",RANK(AD1079,$AD$2:$AD$1780)+COUNTIF($AD$2:AD1079,AD1079)-1)</f>
        <v/>
      </c>
      <c r="AC1079" s="56" t="str">
        <f aca="false">IF(AND(F1079&gt;0,E1079&gt;=Settings!$B$4),J1079,"")</f>
        <v/>
      </c>
      <c r="AD1079" s="56" t="str">
        <f aca="false">IF(X1079="HIGH RATE",O1079,"")</f>
        <v/>
      </c>
    </row>
    <row r="1080" customFormat="false" ht="15" hidden="false" customHeight="false" outlineLevel="0" collapsed="false">
      <c r="A1080" s="56" t="s">
        <v>2447</v>
      </c>
      <c r="B1080" s="56" t="s">
        <v>1102</v>
      </c>
      <c r="C1080" s="56" t="s">
        <v>111</v>
      </c>
      <c r="D1080" s="56" t="str">
        <f aca="false">IFERROR(INDEX('Brand Map'!$B$4:$B$124,MATCH(C1080,'Brand Map'!$A$4:$A$124,0)),"Other")</f>
        <v>AUFS</v>
      </c>
      <c r="E1080" s="57" t="n">
        <v>1</v>
      </c>
      <c r="F1080" s="57" t="n">
        <v>0</v>
      </c>
      <c r="G1080" s="58" t="n">
        <v>199.95</v>
      </c>
      <c r="H1080" s="58" t="n">
        <v>0</v>
      </c>
      <c r="I1080" s="58" t="n">
        <v>199.95</v>
      </c>
      <c r="J1080" s="32" t="n">
        <f aca="false">IF(E1080&gt;0,F1080/E1080,0)</f>
        <v>0</v>
      </c>
      <c r="K1080" s="32" t="n">
        <f aca="false">IF(G1080&gt;0,H1080/G1080,0)</f>
        <v>-0</v>
      </c>
      <c r="L1080" s="59" t="n">
        <f aca="false">H1080/Settings!$B$16</f>
        <v>-0</v>
      </c>
      <c r="M1080" s="59" t="n">
        <f aca="false">H1080/Settings!$B$20</f>
        <v>-0</v>
      </c>
      <c r="N1080" s="60" t="n">
        <f aca="false">E1080*Settings!$B$3</f>
        <v>0.0309861510798204</v>
      </c>
      <c r="O1080" s="60" t="n">
        <f aca="false">IF(E1080&gt;0,(F1080-N1080)/SQRT(E1080*Settings!$B$3*(1-Settings!$B$3)),0)</f>
        <v>-0.178821125934444</v>
      </c>
      <c r="P1080" s="60" t="n">
        <f aca="false">MAX(0,F1080-N1080)</f>
        <v>0</v>
      </c>
      <c r="Q1080" s="32" t="n">
        <f aca="false">(F1080+Settings!$B$7*Settings!$B$3)/(E1080+Settings!$B$7)</f>
        <v>0.0299865978191811</v>
      </c>
      <c r="R1080" s="61" t="n">
        <f aca="false">PERCENTRANK($H$2:$H$1780,H1080,6)</f>
        <v>0</v>
      </c>
      <c r="S1080" s="61" t="n">
        <f aca="false">PERCENTRANK($Q$2:$Q$1780,Q1080,6)</f>
        <v>0.486502</v>
      </c>
      <c r="T1080" s="61" t="n">
        <f aca="false">PERCENTRANK($F$2:$F$1780,F1080,6)</f>
        <v>0</v>
      </c>
      <c r="U1080" s="62" t="n">
        <f aca="false">IF(F1080&gt;0,(Settings!$B$8*T1080+Settings!$B$9*R1080+Settings!$B$10*S1080)/SUM(Settings!$B$8:$B$10),0)</f>
        <v>0</v>
      </c>
      <c r="V1080" s="56" t="str">
        <f aca="false">IF(U1080&gt;0,RANK(U1080,$U$2:$U$1780)+COUNTIF($U$2:U1080,U1080)-1,"")</f>
        <v/>
      </c>
      <c r="W1080" s="56" t="str">
        <f aca="false">IF(V1080="","",IF(V1080&lt;=Settings!$B$11,"1 - Fix first",IF(V1080&lt;=Settings!$B$12,"2 - Review","3 - Monitor")))</f>
        <v/>
      </c>
      <c r="X1080" s="56" t="str">
        <f aca="false">IF(AND(E1080&gt;=Settings!$B$4,F1080&gt;=Settings!$B$5,O1080&gt;=Settings!$B$6),"HIGH RATE","")</f>
        <v/>
      </c>
      <c r="Y1080" s="56" t="str">
        <f aca="false">IF(F1080&gt;0,RANK(F1080,$F$2:$F$1780)+COUNTIF($F$2:F1080,F1080)-1,"")</f>
        <v/>
      </c>
      <c r="Z1080" s="56" t="str">
        <f aca="false">IF(H1080&gt;0,RANK(H1080,$H$2:$H$1780)+COUNTIF($H$2:H1080,H1080)-1,"")</f>
        <v/>
      </c>
      <c r="AA1080" s="56" t="str">
        <f aca="false">IF(AC1080="","",RANK(AC1080,$AC$2:$AC$1780)+COUNTIF($AC$2:AC1080,AC1080)-1)</f>
        <v/>
      </c>
      <c r="AB1080" s="56" t="str">
        <f aca="false">IF(AD1080="","",RANK(AD1080,$AD$2:$AD$1780)+COUNTIF($AD$2:AD1080,AD1080)-1)</f>
        <v/>
      </c>
      <c r="AC1080" s="56" t="str">
        <f aca="false">IF(AND(F1080&gt;0,E1080&gt;=Settings!$B$4),J1080,"")</f>
        <v/>
      </c>
      <c r="AD1080" s="56" t="str">
        <f aca="false">IF(X1080="HIGH RATE",O1080,"")</f>
        <v/>
      </c>
    </row>
    <row r="1081" customFormat="false" ht="15" hidden="false" customHeight="false" outlineLevel="0" collapsed="false">
      <c r="A1081" s="56" t="s">
        <v>2448</v>
      </c>
      <c r="B1081" s="56" t="s">
        <v>1102</v>
      </c>
      <c r="C1081" s="56" t="s">
        <v>111</v>
      </c>
      <c r="D1081" s="56" t="str">
        <f aca="false">IFERROR(INDEX('Brand Map'!$B$4:$B$124,MATCH(C1081,'Brand Map'!$A$4:$A$124,0)),"Other")</f>
        <v>AUFS</v>
      </c>
      <c r="E1081" s="57" t="n">
        <v>1</v>
      </c>
      <c r="F1081" s="57" t="n">
        <v>0</v>
      </c>
      <c r="G1081" s="58" t="n">
        <v>169.95</v>
      </c>
      <c r="H1081" s="58" t="n">
        <v>0</v>
      </c>
      <c r="I1081" s="58" t="n">
        <v>169.95</v>
      </c>
      <c r="J1081" s="32" t="n">
        <f aca="false">IF(E1081&gt;0,F1081/E1081,0)</f>
        <v>0</v>
      </c>
      <c r="K1081" s="32" t="n">
        <f aca="false">IF(G1081&gt;0,H1081/G1081,0)</f>
        <v>-0</v>
      </c>
      <c r="L1081" s="59" t="n">
        <f aca="false">H1081/Settings!$B$16</f>
        <v>-0</v>
      </c>
      <c r="M1081" s="59" t="n">
        <f aca="false">H1081/Settings!$B$20</f>
        <v>-0</v>
      </c>
      <c r="N1081" s="60" t="n">
        <f aca="false">E1081*Settings!$B$3</f>
        <v>0.0309861510798204</v>
      </c>
      <c r="O1081" s="60" t="n">
        <f aca="false">IF(E1081&gt;0,(F1081-N1081)/SQRT(E1081*Settings!$B$3*(1-Settings!$B$3)),0)</f>
        <v>-0.178821125934444</v>
      </c>
      <c r="P1081" s="60" t="n">
        <f aca="false">MAX(0,F1081-N1081)</f>
        <v>0</v>
      </c>
      <c r="Q1081" s="32" t="n">
        <f aca="false">(F1081+Settings!$B$7*Settings!$B$3)/(E1081+Settings!$B$7)</f>
        <v>0.0299865978191811</v>
      </c>
      <c r="R1081" s="61" t="n">
        <f aca="false">PERCENTRANK($H$2:$H$1780,H1081,6)</f>
        <v>0</v>
      </c>
      <c r="S1081" s="61" t="n">
        <f aca="false">PERCENTRANK($Q$2:$Q$1780,Q1081,6)</f>
        <v>0.486502</v>
      </c>
      <c r="T1081" s="61" t="n">
        <f aca="false">PERCENTRANK($F$2:$F$1780,F1081,6)</f>
        <v>0</v>
      </c>
      <c r="U1081" s="62" t="n">
        <f aca="false">IF(F1081&gt;0,(Settings!$B$8*T1081+Settings!$B$9*R1081+Settings!$B$10*S1081)/SUM(Settings!$B$8:$B$10),0)</f>
        <v>0</v>
      </c>
      <c r="V1081" s="56" t="str">
        <f aca="false">IF(U1081&gt;0,RANK(U1081,$U$2:$U$1780)+COUNTIF($U$2:U1081,U1081)-1,"")</f>
        <v/>
      </c>
      <c r="W1081" s="56" t="str">
        <f aca="false">IF(V1081="","",IF(V1081&lt;=Settings!$B$11,"1 - Fix first",IF(V1081&lt;=Settings!$B$12,"2 - Review","3 - Monitor")))</f>
        <v/>
      </c>
      <c r="X1081" s="56" t="str">
        <f aca="false">IF(AND(E1081&gt;=Settings!$B$4,F1081&gt;=Settings!$B$5,O1081&gt;=Settings!$B$6),"HIGH RATE","")</f>
        <v/>
      </c>
      <c r="Y1081" s="56" t="str">
        <f aca="false">IF(F1081&gt;0,RANK(F1081,$F$2:$F$1780)+COUNTIF($F$2:F1081,F1081)-1,"")</f>
        <v/>
      </c>
      <c r="Z1081" s="56" t="str">
        <f aca="false">IF(H1081&gt;0,RANK(H1081,$H$2:$H$1780)+COUNTIF($H$2:H1081,H1081)-1,"")</f>
        <v/>
      </c>
      <c r="AA1081" s="56" t="str">
        <f aca="false">IF(AC1081="","",RANK(AC1081,$AC$2:$AC$1780)+COUNTIF($AC$2:AC1081,AC1081)-1)</f>
        <v/>
      </c>
      <c r="AB1081" s="56" t="str">
        <f aca="false">IF(AD1081="","",RANK(AD1081,$AD$2:$AD$1780)+COUNTIF($AD$2:AD1081,AD1081)-1)</f>
        <v/>
      </c>
      <c r="AC1081" s="56" t="str">
        <f aca="false">IF(AND(F1081&gt;0,E1081&gt;=Settings!$B$4),J1081,"")</f>
        <v/>
      </c>
      <c r="AD1081" s="56" t="str">
        <f aca="false">IF(X1081="HIGH RATE",O1081,"")</f>
        <v/>
      </c>
    </row>
    <row r="1082" customFormat="false" ht="15" hidden="false" customHeight="false" outlineLevel="0" collapsed="false">
      <c r="A1082" s="56" t="s">
        <v>2449</v>
      </c>
      <c r="B1082" s="56" t="s">
        <v>631</v>
      </c>
      <c r="C1082" s="56" t="s">
        <v>629</v>
      </c>
      <c r="D1082" s="56" t="str">
        <f aca="false">IFERROR(INDEX('Brand Map'!$B$4:$B$124,MATCH(C1082,'Brand Map'!$A$4:$A$124,0)),"Other")</f>
        <v>Other (small prefixes)</v>
      </c>
      <c r="E1082" s="57" t="n">
        <v>1</v>
      </c>
      <c r="F1082" s="57" t="n">
        <v>0</v>
      </c>
      <c r="G1082" s="58" t="n">
        <v>44.95</v>
      </c>
      <c r="H1082" s="58" t="n">
        <v>0</v>
      </c>
      <c r="I1082" s="58" t="n">
        <v>44.95</v>
      </c>
      <c r="J1082" s="32" t="n">
        <f aca="false">IF(E1082&gt;0,F1082/E1082,0)</f>
        <v>0</v>
      </c>
      <c r="K1082" s="32" t="n">
        <f aca="false">IF(G1082&gt;0,H1082/G1082,0)</f>
        <v>-0</v>
      </c>
      <c r="L1082" s="59" t="n">
        <f aca="false">H1082/Settings!$B$16</f>
        <v>-0</v>
      </c>
      <c r="M1082" s="59" t="n">
        <f aca="false">H1082/Settings!$B$20</f>
        <v>-0</v>
      </c>
      <c r="N1082" s="60" t="n">
        <f aca="false">E1082*Settings!$B$3</f>
        <v>0.0309861510798204</v>
      </c>
      <c r="O1082" s="60" t="n">
        <f aca="false">IF(E1082&gt;0,(F1082-N1082)/SQRT(E1082*Settings!$B$3*(1-Settings!$B$3)),0)</f>
        <v>-0.178821125934444</v>
      </c>
      <c r="P1082" s="60" t="n">
        <f aca="false">MAX(0,F1082-N1082)</f>
        <v>0</v>
      </c>
      <c r="Q1082" s="32" t="n">
        <f aca="false">(F1082+Settings!$B$7*Settings!$B$3)/(E1082+Settings!$B$7)</f>
        <v>0.0299865978191811</v>
      </c>
      <c r="R1082" s="61" t="n">
        <f aca="false">PERCENTRANK($H$2:$H$1780,H1082,6)</f>
        <v>0</v>
      </c>
      <c r="S1082" s="61" t="n">
        <f aca="false">PERCENTRANK($Q$2:$Q$1780,Q1082,6)</f>
        <v>0.486502</v>
      </c>
      <c r="T1082" s="61" t="n">
        <f aca="false">PERCENTRANK($F$2:$F$1780,F1082,6)</f>
        <v>0</v>
      </c>
      <c r="U1082" s="62" t="n">
        <f aca="false">IF(F1082&gt;0,(Settings!$B$8*T1082+Settings!$B$9*R1082+Settings!$B$10*S1082)/SUM(Settings!$B$8:$B$10),0)</f>
        <v>0</v>
      </c>
      <c r="V1082" s="56" t="str">
        <f aca="false">IF(U1082&gt;0,RANK(U1082,$U$2:$U$1780)+COUNTIF($U$2:U1082,U1082)-1,"")</f>
        <v/>
      </c>
      <c r="W1082" s="56" t="str">
        <f aca="false">IF(V1082="","",IF(V1082&lt;=Settings!$B$11,"1 - Fix first",IF(V1082&lt;=Settings!$B$12,"2 - Review","3 - Monitor")))</f>
        <v/>
      </c>
      <c r="X1082" s="56" t="str">
        <f aca="false">IF(AND(E1082&gt;=Settings!$B$4,F1082&gt;=Settings!$B$5,O1082&gt;=Settings!$B$6),"HIGH RATE","")</f>
        <v/>
      </c>
      <c r="Y1082" s="56" t="str">
        <f aca="false">IF(F1082&gt;0,RANK(F1082,$F$2:$F$1780)+COUNTIF($F$2:F1082,F1082)-1,"")</f>
        <v/>
      </c>
      <c r="Z1082" s="56" t="str">
        <f aca="false">IF(H1082&gt;0,RANK(H1082,$H$2:$H$1780)+COUNTIF($H$2:H1082,H1082)-1,"")</f>
        <v/>
      </c>
      <c r="AA1082" s="56" t="str">
        <f aca="false">IF(AC1082="","",RANK(AC1082,$AC$2:$AC$1780)+COUNTIF($AC$2:AC1082,AC1082)-1)</f>
        <v/>
      </c>
      <c r="AB1082" s="56" t="str">
        <f aca="false">IF(AD1082="","",RANK(AD1082,$AD$2:$AD$1780)+COUNTIF($AD$2:AD1082,AD1082)-1)</f>
        <v/>
      </c>
      <c r="AC1082" s="56" t="str">
        <f aca="false">IF(AND(F1082&gt;0,E1082&gt;=Settings!$B$4),J1082,"")</f>
        <v/>
      </c>
      <c r="AD1082" s="56" t="str">
        <f aca="false">IF(X1082="HIGH RATE",O1082,"")</f>
        <v/>
      </c>
    </row>
    <row r="1083" customFormat="false" ht="15" hidden="false" customHeight="false" outlineLevel="0" collapsed="false">
      <c r="A1083" s="56" t="s">
        <v>2450</v>
      </c>
      <c r="B1083" s="56" t="s">
        <v>631</v>
      </c>
      <c r="C1083" s="56" t="s">
        <v>629</v>
      </c>
      <c r="D1083" s="56" t="str">
        <f aca="false">IFERROR(INDEX('Brand Map'!$B$4:$B$124,MATCH(C1083,'Brand Map'!$A$4:$A$124,0)),"Other")</f>
        <v>Other (small prefixes)</v>
      </c>
      <c r="E1083" s="57" t="n">
        <v>1</v>
      </c>
      <c r="F1083" s="57" t="n">
        <v>0</v>
      </c>
      <c r="G1083" s="58" t="n">
        <v>59.95</v>
      </c>
      <c r="H1083" s="58" t="n">
        <v>0</v>
      </c>
      <c r="I1083" s="58" t="n">
        <v>59.95</v>
      </c>
      <c r="J1083" s="32" t="n">
        <f aca="false">IF(E1083&gt;0,F1083/E1083,0)</f>
        <v>0</v>
      </c>
      <c r="K1083" s="32" t="n">
        <f aca="false">IF(G1083&gt;0,H1083/G1083,0)</f>
        <v>-0</v>
      </c>
      <c r="L1083" s="59" t="n">
        <f aca="false">H1083/Settings!$B$16</f>
        <v>-0</v>
      </c>
      <c r="M1083" s="59" t="n">
        <f aca="false">H1083/Settings!$B$20</f>
        <v>-0</v>
      </c>
      <c r="N1083" s="60" t="n">
        <f aca="false">E1083*Settings!$B$3</f>
        <v>0.0309861510798204</v>
      </c>
      <c r="O1083" s="60" t="n">
        <f aca="false">IF(E1083&gt;0,(F1083-N1083)/SQRT(E1083*Settings!$B$3*(1-Settings!$B$3)),0)</f>
        <v>-0.178821125934444</v>
      </c>
      <c r="P1083" s="60" t="n">
        <f aca="false">MAX(0,F1083-N1083)</f>
        <v>0</v>
      </c>
      <c r="Q1083" s="32" t="n">
        <f aca="false">(F1083+Settings!$B$7*Settings!$B$3)/(E1083+Settings!$B$7)</f>
        <v>0.0299865978191811</v>
      </c>
      <c r="R1083" s="61" t="n">
        <f aca="false">PERCENTRANK($H$2:$H$1780,H1083,6)</f>
        <v>0</v>
      </c>
      <c r="S1083" s="61" t="n">
        <f aca="false">PERCENTRANK($Q$2:$Q$1780,Q1083,6)</f>
        <v>0.486502</v>
      </c>
      <c r="T1083" s="61" t="n">
        <f aca="false">PERCENTRANK($F$2:$F$1780,F1083,6)</f>
        <v>0</v>
      </c>
      <c r="U1083" s="62" t="n">
        <f aca="false">IF(F1083&gt;0,(Settings!$B$8*T1083+Settings!$B$9*R1083+Settings!$B$10*S1083)/SUM(Settings!$B$8:$B$10),0)</f>
        <v>0</v>
      </c>
      <c r="V1083" s="56" t="str">
        <f aca="false">IF(U1083&gt;0,RANK(U1083,$U$2:$U$1780)+COUNTIF($U$2:U1083,U1083)-1,"")</f>
        <v/>
      </c>
      <c r="W1083" s="56" t="str">
        <f aca="false">IF(V1083="","",IF(V1083&lt;=Settings!$B$11,"1 - Fix first",IF(V1083&lt;=Settings!$B$12,"2 - Review","3 - Monitor")))</f>
        <v/>
      </c>
      <c r="X1083" s="56" t="str">
        <f aca="false">IF(AND(E1083&gt;=Settings!$B$4,F1083&gt;=Settings!$B$5,O1083&gt;=Settings!$B$6),"HIGH RATE","")</f>
        <v/>
      </c>
      <c r="Y1083" s="56" t="str">
        <f aca="false">IF(F1083&gt;0,RANK(F1083,$F$2:$F$1780)+COUNTIF($F$2:F1083,F1083)-1,"")</f>
        <v/>
      </c>
      <c r="Z1083" s="56" t="str">
        <f aca="false">IF(H1083&gt;0,RANK(H1083,$H$2:$H$1780)+COUNTIF($H$2:H1083,H1083)-1,"")</f>
        <v/>
      </c>
      <c r="AA1083" s="56" t="str">
        <f aca="false">IF(AC1083="","",RANK(AC1083,$AC$2:$AC$1780)+COUNTIF($AC$2:AC1083,AC1083)-1)</f>
        <v/>
      </c>
      <c r="AB1083" s="56" t="str">
        <f aca="false">IF(AD1083="","",RANK(AD1083,$AD$2:$AD$1780)+COUNTIF($AD$2:AD1083,AD1083)-1)</f>
        <v/>
      </c>
      <c r="AC1083" s="56" t="str">
        <f aca="false">IF(AND(F1083&gt;0,E1083&gt;=Settings!$B$4),J1083,"")</f>
        <v/>
      </c>
      <c r="AD1083" s="56" t="str">
        <f aca="false">IF(X1083="HIGH RATE",O1083,"")</f>
        <v/>
      </c>
    </row>
    <row r="1084" customFormat="false" ht="15" hidden="false" customHeight="false" outlineLevel="0" collapsed="false">
      <c r="A1084" s="56" t="s">
        <v>2451</v>
      </c>
      <c r="B1084" s="56" t="s">
        <v>631</v>
      </c>
      <c r="C1084" s="56" t="s">
        <v>629</v>
      </c>
      <c r="D1084" s="56" t="str">
        <f aca="false">IFERROR(INDEX('Brand Map'!$B$4:$B$124,MATCH(C1084,'Brand Map'!$A$4:$A$124,0)),"Other")</f>
        <v>Other (small prefixes)</v>
      </c>
      <c r="E1084" s="57" t="n">
        <v>2</v>
      </c>
      <c r="F1084" s="57" t="n">
        <v>0</v>
      </c>
      <c r="G1084" s="58" t="n">
        <v>59.9</v>
      </c>
      <c r="H1084" s="58" t="n">
        <v>0</v>
      </c>
      <c r="I1084" s="58" t="n">
        <v>59.9</v>
      </c>
      <c r="J1084" s="32" t="n">
        <f aca="false">IF(E1084&gt;0,F1084/E1084,0)</f>
        <v>0</v>
      </c>
      <c r="K1084" s="32" t="n">
        <f aca="false">IF(G1084&gt;0,H1084/G1084,0)</f>
        <v>-0</v>
      </c>
      <c r="L1084" s="59" t="n">
        <f aca="false">H1084/Settings!$B$16</f>
        <v>-0</v>
      </c>
      <c r="M1084" s="59" t="n">
        <f aca="false">H1084/Settings!$B$20</f>
        <v>-0</v>
      </c>
      <c r="N1084" s="60" t="n">
        <f aca="false">E1084*Settings!$B$3</f>
        <v>0.0619723021596408</v>
      </c>
      <c r="O1084" s="60" t="n">
        <f aca="false">IF(E1084&gt;0,(F1084-N1084)/SQRT(E1084*Settings!$B$3*(1-Settings!$B$3)),0)</f>
        <v>-0.252891261535318</v>
      </c>
      <c r="P1084" s="60" t="n">
        <f aca="false">MAX(0,F1084-N1084)</f>
        <v>0</v>
      </c>
      <c r="Q1084" s="32" t="n">
        <f aca="false">(F1084+Settings!$B$7*Settings!$B$3)/(E1084+Settings!$B$7)</f>
        <v>0.0290495166373316</v>
      </c>
      <c r="R1084" s="61" t="n">
        <f aca="false">PERCENTRANK($H$2:$H$1780,H1084,6)</f>
        <v>0</v>
      </c>
      <c r="S1084" s="61" t="n">
        <f aca="false">PERCENTRANK($Q$2:$Q$1780,Q1084,6)</f>
        <v>0.365579</v>
      </c>
      <c r="T1084" s="61" t="n">
        <f aca="false">PERCENTRANK($F$2:$F$1780,F1084,6)</f>
        <v>0</v>
      </c>
      <c r="U1084" s="62" t="n">
        <f aca="false">IF(F1084&gt;0,(Settings!$B$8*T1084+Settings!$B$9*R1084+Settings!$B$10*S1084)/SUM(Settings!$B$8:$B$10),0)</f>
        <v>0</v>
      </c>
      <c r="V1084" s="56" t="str">
        <f aca="false">IF(U1084&gt;0,RANK(U1084,$U$2:$U$1780)+COUNTIF($U$2:U1084,U1084)-1,"")</f>
        <v/>
      </c>
      <c r="W1084" s="56" t="str">
        <f aca="false">IF(V1084="","",IF(V1084&lt;=Settings!$B$11,"1 - Fix first",IF(V1084&lt;=Settings!$B$12,"2 - Review","3 - Monitor")))</f>
        <v/>
      </c>
      <c r="X1084" s="56" t="str">
        <f aca="false">IF(AND(E1084&gt;=Settings!$B$4,F1084&gt;=Settings!$B$5,O1084&gt;=Settings!$B$6),"HIGH RATE","")</f>
        <v/>
      </c>
      <c r="Y1084" s="56" t="str">
        <f aca="false">IF(F1084&gt;0,RANK(F1084,$F$2:$F$1780)+COUNTIF($F$2:F1084,F1084)-1,"")</f>
        <v/>
      </c>
      <c r="Z1084" s="56" t="str">
        <f aca="false">IF(H1084&gt;0,RANK(H1084,$H$2:$H$1780)+COUNTIF($H$2:H1084,H1084)-1,"")</f>
        <v/>
      </c>
      <c r="AA1084" s="56" t="str">
        <f aca="false">IF(AC1084="","",RANK(AC1084,$AC$2:$AC$1780)+COUNTIF($AC$2:AC1084,AC1084)-1)</f>
        <v/>
      </c>
      <c r="AB1084" s="56" t="str">
        <f aca="false">IF(AD1084="","",RANK(AD1084,$AD$2:$AD$1780)+COUNTIF($AD$2:AD1084,AD1084)-1)</f>
        <v/>
      </c>
      <c r="AC1084" s="56" t="str">
        <f aca="false">IF(AND(F1084&gt;0,E1084&gt;=Settings!$B$4),J1084,"")</f>
        <v/>
      </c>
      <c r="AD1084" s="56" t="str">
        <f aca="false">IF(X1084="HIGH RATE",O1084,"")</f>
        <v/>
      </c>
    </row>
    <row r="1085" customFormat="false" ht="15" hidden="false" customHeight="false" outlineLevel="0" collapsed="false">
      <c r="A1085" s="56" t="s">
        <v>2452</v>
      </c>
      <c r="B1085" s="56" t="s">
        <v>1464</v>
      </c>
      <c r="C1085" s="56" t="s">
        <v>629</v>
      </c>
      <c r="D1085" s="56" t="str">
        <f aca="false">IFERROR(INDEX('Brand Map'!$B$4:$B$124,MATCH(C1085,'Brand Map'!$A$4:$A$124,0)),"Other")</f>
        <v>Other (small prefixes)</v>
      </c>
      <c r="E1085" s="57" t="n">
        <v>1</v>
      </c>
      <c r="F1085" s="57" t="n">
        <v>0</v>
      </c>
      <c r="G1085" s="58" t="n">
        <v>64.95</v>
      </c>
      <c r="H1085" s="58" t="n">
        <v>0</v>
      </c>
      <c r="I1085" s="58" t="n">
        <v>64.95</v>
      </c>
      <c r="J1085" s="32" t="n">
        <f aca="false">IF(E1085&gt;0,F1085/E1085,0)</f>
        <v>0</v>
      </c>
      <c r="K1085" s="32" t="n">
        <f aca="false">IF(G1085&gt;0,H1085/G1085,0)</f>
        <v>-0</v>
      </c>
      <c r="L1085" s="59" t="n">
        <f aca="false">H1085/Settings!$B$16</f>
        <v>-0</v>
      </c>
      <c r="M1085" s="59" t="n">
        <f aca="false">H1085/Settings!$B$20</f>
        <v>-0</v>
      </c>
      <c r="N1085" s="60" t="n">
        <f aca="false">E1085*Settings!$B$3</f>
        <v>0.0309861510798204</v>
      </c>
      <c r="O1085" s="60" t="n">
        <f aca="false">IF(E1085&gt;0,(F1085-N1085)/SQRT(E1085*Settings!$B$3*(1-Settings!$B$3)),0)</f>
        <v>-0.178821125934444</v>
      </c>
      <c r="P1085" s="60" t="n">
        <f aca="false">MAX(0,F1085-N1085)</f>
        <v>0</v>
      </c>
      <c r="Q1085" s="32" t="n">
        <f aca="false">(F1085+Settings!$B$7*Settings!$B$3)/(E1085+Settings!$B$7)</f>
        <v>0.0299865978191811</v>
      </c>
      <c r="R1085" s="61" t="n">
        <f aca="false">PERCENTRANK($H$2:$H$1780,H1085,6)</f>
        <v>0</v>
      </c>
      <c r="S1085" s="61" t="n">
        <f aca="false">PERCENTRANK($Q$2:$Q$1780,Q1085,6)</f>
        <v>0.486502</v>
      </c>
      <c r="T1085" s="61" t="n">
        <f aca="false">PERCENTRANK($F$2:$F$1780,F1085,6)</f>
        <v>0</v>
      </c>
      <c r="U1085" s="62" t="n">
        <f aca="false">IF(F1085&gt;0,(Settings!$B$8*T1085+Settings!$B$9*R1085+Settings!$B$10*S1085)/SUM(Settings!$B$8:$B$10),0)</f>
        <v>0</v>
      </c>
      <c r="V1085" s="56" t="str">
        <f aca="false">IF(U1085&gt;0,RANK(U1085,$U$2:$U$1780)+COUNTIF($U$2:U1085,U1085)-1,"")</f>
        <v/>
      </c>
      <c r="W1085" s="56" t="str">
        <f aca="false">IF(V1085="","",IF(V1085&lt;=Settings!$B$11,"1 - Fix first",IF(V1085&lt;=Settings!$B$12,"2 - Review","3 - Monitor")))</f>
        <v/>
      </c>
      <c r="X1085" s="56" t="str">
        <f aca="false">IF(AND(E1085&gt;=Settings!$B$4,F1085&gt;=Settings!$B$5,O1085&gt;=Settings!$B$6),"HIGH RATE","")</f>
        <v/>
      </c>
      <c r="Y1085" s="56" t="str">
        <f aca="false">IF(F1085&gt;0,RANK(F1085,$F$2:$F$1780)+COUNTIF($F$2:F1085,F1085)-1,"")</f>
        <v/>
      </c>
      <c r="Z1085" s="56" t="str">
        <f aca="false">IF(H1085&gt;0,RANK(H1085,$H$2:$H$1780)+COUNTIF($H$2:H1085,H1085)-1,"")</f>
        <v/>
      </c>
      <c r="AA1085" s="56" t="str">
        <f aca="false">IF(AC1085="","",RANK(AC1085,$AC$2:$AC$1780)+COUNTIF($AC$2:AC1085,AC1085)-1)</f>
        <v/>
      </c>
      <c r="AB1085" s="56" t="str">
        <f aca="false">IF(AD1085="","",RANK(AD1085,$AD$2:$AD$1780)+COUNTIF($AD$2:AD1085,AD1085)-1)</f>
        <v/>
      </c>
      <c r="AC1085" s="56" t="str">
        <f aca="false">IF(AND(F1085&gt;0,E1085&gt;=Settings!$B$4),J1085,"")</f>
        <v/>
      </c>
      <c r="AD1085" s="56" t="str">
        <f aca="false">IF(X1085="HIGH RATE",O1085,"")</f>
        <v/>
      </c>
    </row>
    <row r="1086" customFormat="false" ht="15" hidden="false" customHeight="false" outlineLevel="0" collapsed="false">
      <c r="A1086" s="56" t="s">
        <v>2453</v>
      </c>
      <c r="B1086" s="56" t="s">
        <v>1464</v>
      </c>
      <c r="C1086" s="56" t="s">
        <v>629</v>
      </c>
      <c r="D1086" s="56" t="str">
        <f aca="false">IFERROR(INDEX('Brand Map'!$B$4:$B$124,MATCH(C1086,'Brand Map'!$A$4:$A$124,0)),"Other")</f>
        <v>Other (small prefixes)</v>
      </c>
      <c r="E1086" s="57" t="n">
        <v>2</v>
      </c>
      <c r="F1086" s="57" t="n">
        <v>0</v>
      </c>
      <c r="G1086" s="58" t="n">
        <v>159.9</v>
      </c>
      <c r="H1086" s="58" t="n">
        <v>0</v>
      </c>
      <c r="I1086" s="58" t="n">
        <v>159.9</v>
      </c>
      <c r="J1086" s="32" t="n">
        <f aca="false">IF(E1086&gt;0,F1086/E1086,0)</f>
        <v>0</v>
      </c>
      <c r="K1086" s="32" t="n">
        <f aca="false">IF(G1086&gt;0,H1086/G1086,0)</f>
        <v>-0</v>
      </c>
      <c r="L1086" s="59" t="n">
        <f aca="false">H1086/Settings!$B$16</f>
        <v>-0</v>
      </c>
      <c r="M1086" s="59" t="n">
        <f aca="false">H1086/Settings!$B$20</f>
        <v>-0</v>
      </c>
      <c r="N1086" s="60" t="n">
        <f aca="false">E1086*Settings!$B$3</f>
        <v>0.0619723021596408</v>
      </c>
      <c r="O1086" s="60" t="n">
        <f aca="false">IF(E1086&gt;0,(F1086-N1086)/SQRT(E1086*Settings!$B$3*(1-Settings!$B$3)),0)</f>
        <v>-0.252891261535318</v>
      </c>
      <c r="P1086" s="60" t="n">
        <f aca="false">MAX(0,F1086-N1086)</f>
        <v>0</v>
      </c>
      <c r="Q1086" s="32" t="n">
        <f aca="false">(F1086+Settings!$B$7*Settings!$B$3)/(E1086+Settings!$B$7)</f>
        <v>0.0290495166373316</v>
      </c>
      <c r="R1086" s="61" t="n">
        <f aca="false">PERCENTRANK($H$2:$H$1780,H1086,6)</f>
        <v>0</v>
      </c>
      <c r="S1086" s="61" t="n">
        <f aca="false">PERCENTRANK($Q$2:$Q$1780,Q1086,6)</f>
        <v>0.365579</v>
      </c>
      <c r="T1086" s="61" t="n">
        <f aca="false">PERCENTRANK($F$2:$F$1780,F1086,6)</f>
        <v>0</v>
      </c>
      <c r="U1086" s="62" t="n">
        <f aca="false">IF(F1086&gt;0,(Settings!$B$8*T1086+Settings!$B$9*R1086+Settings!$B$10*S1086)/SUM(Settings!$B$8:$B$10),0)</f>
        <v>0</v>
      </c>
      <c r="V1086" s="56" t="str">
        <f aca="false">IF(U1086&gt;0,RANK(U1086,$U$2:$U$1780)+COUNTIF($U$2:U1086,U1086)-1,"")</f>
        <v/>
      </c>
      <c r="W1086" s="56" t="str">
        <f aca="false">IF(V1086="","",IF(V1086&lt;=Settings!$B$11,"1 - Fix first",IF(V1086&lt;=Settings!$B$12,"2 - Review","3 - Monitor")))</f>
        <v/>
      </c>
      <c r="X1086" s="56" t="str">
        <f aca="false">IF(AND(E1086&gt;=Settings!$B$4,F1086&gt;=Settings!$B$5,O1086&gt;=Settings!$B$6),"HIGH RATE","")</f>
        <v/>
      </c>
      <c r="Y1086" s="56" t="str">
        <f aca="false">IF(F1086&gt;0,RANK(F1086,$F$2:$F$1780)+COUNTIF($F$2:F1086,F1086)-1,"")</f>
        <v/>
      </c>
      <c r="Z1086" s="56" t="str">
        <f aca="false">IF(H1086&gt;0,RANK(H1086,$H$2:$H$1780)+COUNTIF($H$2:H1086,H1086)-1,"")</f>
        <v/>
      </c>
      <c r="AA1086" s="56" t="str">
        <f aca="false">IF(AC1086="","",RANK(AC1086,$AC$2:$AC$1780)+COUNTIF($AC$2:AC1086,AC1086)-1)</f>
        <v/>
      </c>
      <c r="AB1086" s="56" t="str">
        <f aca="false">IF(AD1086="","",RANK(AD1086,$AD$2:$AD$1780)+COUNTIF($AD$2:AD1086,AD1086)-1)</f>
        <v/>
      </c>
      <c r="AC1086" s="56" t="str">
        <f aca="false">IF(AND(F1086&gt;0,E1086&gt;=Settings!$B$4),J1086,"")</f>
        <v/>
      </c>
      <c r="AD1086" s="56" t="str">
        <f aca="false">IF(X1086="HIGH RATE",O1086,"")</f>
        <v/>
      </c>
    </row>
    <row r="1087" customFormat="false" ht="15" hidden="false" customHeight="false" outlineLevel="0" collapsed="false">
      <c r="A1087" s="56" t="s">
        <v>2454</v>
      </c>
      <c r="B1087" s="56" t="s">
        <v>1464</v>
      </c>
      <c r="C1087" s="56" t="s">
        <v>629</v>
      </c>
      <c r="D1087" s="56" t="str">
        <f aca="false">IFERROR(INDEX('Brand Map'!$B$4:$B$124,MATCH(C1087,'Brand Map'!$A$4:$A$124,0)),"Other")</f>
        <v>Other (small prefixes)</v>
      </c>
      <c r="E1087" s="57" t="n">
        <v>4</v>
      </c>
      <c r="F1087" s="57" t="n">
        <v>0</v>
      </c>
      <c r="G1087" s="58" t="n">
        <v>199.8</v>
      </c>
      <c r="H1087" s="58" t="n">
        <v>0</v>
      </c>
      <c r="I1087" s="58" t="n">
        <v>199.8</v>
      </c>
      <c r="J1087" s="32" t="n">
        <f aca="false">IF(E1087&gt;0,F1087/E1087,0)</f>
        <v>0</v>
      </c>
      <c r="K1087" s="32" t="n">
        <f aca="false">IF(G1087&gt;0,H1087/G1087,0)</f>
        <v>-0</v>
      </c>
      <c r="L1087" s="59" t="n">
        <f aca="false">H1087/Settings!$B$16</f>
        <v>-0</v>
      </c>
      <c r="M1087" s="59" t="n">
        <f aca="false">H1087/Settings!$B$20</f>
        <v>-0</v>
      </c>
      <c r="N1087" s="60" t="n">
        <f aca="false">E1087*Settings!$B$3</f>
        <v>0.123944604319282</v>
      </c>
      <c r="O1087" s="60" t="n">
        <f aca="false">IF(E1087&gt;0,(F1087-N1087)/SQRT(E1087*Settings!$B$3*(1-Settings!$B$3)),0)</f>
        <v>-0.357642251868888</v>
      </c>
      <c r="P1087" s="60" t="n">
        <f aca="false">MAX(0,F1087-N1087)</f>
        <v>0</v>
      </c>
      <c r="Q1087" s="32" t="n">
        <f aca="false">(F1087+Settings!$B$7*Settings!$B$3)/(E1087+Settings!$B$7)</f>
        <v>0.027340721541018</v>
      </c>
      <c r="R1087" s="61" t="n">
        <f aca="false">PERCENTRANK($H$2:$H$1780,H1087,6)</f>
        <v>0</v>
      </c>
      <c r="S1087" s="61" t="n">
        <f aca="false">PERCENTRANK($Q$2:$Q$1780,Q1087,6)</f>
        <v>0.253656</v>
      </c>
      <c r="T1087" s="61" t="n">
        <f aca="false">PERCENTRANK($F$2:$F$1780,F1087,6)</f>
        <v>0</v>
      </c>
      <c r="U1087" s="62" t="n">
        <f aca="false">IF(F1087&gt;0,(Settings!$B$8*T1087+Settings!$B$9*R1087+Settings!$B$10*S1087)/SUM(Settings!$B$8:$B$10),0)</f>
        <v>0</v>
      </c>
      <c r="V1087" s="56" t="str">
        <f aca="false">IF(U1087&gt;0,RANK(U1087,$U$2:$U$1780)+COUNTIF($U$2:U1087,U1087)-1,"")</f>
        <v/>
      </c>
      <c r="W1087" s="56" t="str">
        <f aca="false">IF(V1087="","",IF(V1087&lt;=Settings!$B$11,"1 - Fix first",IF(V1087&lt;=Settings!$B$12,"2 - Review","3 - Monitor")))</f>
        <v/>
      </c>
      <c r="X1087" s="56" t="str">
        <f aca="false">IF(AND(E1087&gt;=Settings!$B$4,F1087&gt;=Settings!$B$5,O1087&gt;=Settings!$B$6),"HIGH RATE","")</f>
        <v/>
      </c>
      <c r="Y1087" s="56" t="str">
        <f aca="false">IF(F1087&gt;0,RANK(F1087,$F$2:$F$1780)+COUNTIF($F$2:F1087,F1087)-1,"")</f>
        <v/>
      </c>
      <c r="Z1087" s="56" t="str">
        <f aca="false">IF(H1087&gt;0,RANK(H1087,$H$2:$H$1780)+COUNTIF($H$2:H1087,H1087)-1,"")</f>
        <v/>
      </c>
      <c r="AA1087" s="56" t="str">
        <f aca="false">IF(AC1087="","",RANK(AC1087,$AC$2:$AC$1780)+COUNTIF($AC$2:AC1087,AC1087)-1)</f>
        <v/>
      </c>
      <c r="AB1087" s="56" t="str">
        <f aca="false">IF(AD1087="","",RANK(AD1087,$AD$2:$AD$1780)+COUNTIF($AD$2:AD1087,AD1087)-1)</f>
        <v/>
      </c>
      <c r="AC1087" s="56" t="str">
        <f aca="false">IF(AND(F1087&gt;0,E1087&gt;=Settings!$B$4),J1087,"")</f>
        <v/>
      </c>
      <c r="AD1087" s="56" t="str">
        <f aca="false">IF(X1087="HIGH RATE",O1087,"")</f>
        <v/>
      </c>
    </row>
    <row r="1088" customFormat="false" ht="15" hidden="false" customHeight="false" outlineLevel="0" collapsed="false">
      <c r="A1088" s="56" t="s">
        <v>2455</v>
      </c>
      <c r="B1088" s="56" t="s">
        <v>640</v>
      </c>
      <c r="C1088" s="56" t="s">
        <v>638</v>
      </c>
      <c r="D1088" s="56" t="str">
        <f aca="false">IFERROR(INDEX('Brand Map'!$B$4:$B$124,MATCH(C1088,'Brand Map'!$A$4:$A$124,0)),"Other")</f>
        <v>Other (small prefixes)</v>
      </c>
      <c r="E1088" s="57" t="n">
        <v>1</v>
      </c>
      <c r="F1088" s="57" t="n">
        <v>0</v>
      </c>
      <c r="G1088" s="58" t="n">
        <v>79.95</v>
      </c>
      <c r="H1088" s="58" t="n">
        <v>0</v>
      </c>
      <c r="I1088" s="58" t="n">
        <v>79.95</v>
      </c>
      <c r="J1088" s="32" t="n">
        <f aca="false">IF(E1088&gt;0,F1088/E1088,0)</f>
        <v>0</v>
      </c>
      <c r="K1088" s="32" t="n">
        <f aca="false">IF(G1088&gt;0,H1088/G1088,0)</f>
        <v>-0</v>
      </c>
      <c r="L1088" s="59" t="n">
        <f aca="false">H1088/Settings!$B$16</f>
        <v>-0</v>
      </c>
      <c r="M1088" s="59" t="n">
        <f aca="false">H1088/Settings!$B$20</f>
        <v>-0</v>
      </c>
      <c r="N1088" s="60" t="n">
        <f aca="false">E1088*Settings!$B$3</f>
        <v>0.0309861510798204</v>
      </c>
      <c r="O1088" s="60" t="n">
        <f aca="false">IF(E1088&gt;0,(F1088-N1088)/SQRT(E1088*Settings!$B$3*(1-Settings!$B$3)),0)</f>
        <v>-0.178821125934444</v>
      </c>
      <c r="P1088" s="60" t="n">
        <f aca="false">MAX(0,F1088-N1088)</f>
        <v>0</v>
      </c>
      <c r="Q1088" s="32" t="n">
        <f aca="false">(F1088+Settings!$B$7*Settings!$B$3)/(E1088+Settings!$B$7)</f>
        <v>0.0299865978191811</v>
      </c>
      <c r="R1088" s="61" t="n">
        <f aca="false">PERCENTRANK($H$2:$H$1780,H1088,6)</f>
        <v>0</v>
      </c>
      <c r="S1088" s="61" t="n">
        <f aca="false">PERCENTRANK($Q$2:$Q$1780,Q1088,6)</f>
        <v>0.486502</v>
      </c>
      <c r="T1088" s="61" t="n">
        <f aca="false">PERCENTRANK($F$2:$F$1780,F1088,6)</f>
        <v>0</v>
      </c>
      <c r="U1088" s="62" t="n">
        <f aca="false">IF(F1088&gt;0,(Settings!$B$8*T1088+Settings!$B$9*R1088+Settings!$B$10*S1088)/SUM(Settings!$B$8:$B$10),0)</f>
        <v>0</v>
      </c>
      <c r="V1088" s="56" t="str">
        <f aca="false">IF(U1088&gt;0,RANK(U1088,$U$2:$U$1780)+COUNTIF($U$2:U1088,U1088)-1,"")</f>
        <v/>
      </c>
      <c r="W1088" s="56" t="str">
        <f aca="false">IF(V1088="","",IF(V1088&lt;=Settings!$B$11,"1 - Fix first",IF(V1088&lt;=Settings!$B$12,"2 - Review","3 - Monitor")))</f>
        <v/>
      </c>
      <c r="X1088" s="56" t="str">
        <f aca="false">IF(AND(E1088&gt;=Settings!$B$4,F1088&gt;=Settings!$B$5,O1088&gt;=Settings!$B$6),"HIGH RATE","")</f>
        <v/>
      </c>
      <c r="Y1088" s="56" t="str">
        <f aca="false">IF(F1088&gt;0,RANK(F1088,$F$2:$F$1780)+COUNTIF($F$2:F1088,F1088)-1,"")</f>
        <v/>
      </c>
      <c r="Z1088" s="56" t="str">
        <f aca="false">IF(H1088&gt;0,RANK(H1088,$H$2:$H$1780)+COUNTIF($H$2:H1088,H1088)-1,"")</f>
        <v/>
      </c>
      <c r="AA1088" s="56" t="str">
        <f aca="false">IF(AC1088="","",RANK(AC1088,$AC$2:$AC$1780)+COUNTIF($AC$2:AC1088,AC1088)-1)</f>
        <v/>
      </c>
      <c r="AB1088" s="56" t="str">
        <f aca="false">IF(AD1088="","",RANK(AD1088,$AD$2:$AD$1780)+COUNTIF($AD$2:AD1088,AD1088)-1)</f>
        <v/>
      </c>
      <c r="AC1088" s="56" t="str">
        <f aca="false">IF(AND(F1088&gt;0,E1088&gt;=Settings!$B$4),J1088,"")</f>
        <v/>
      </c>
      <c r="AD1088" s="56" t="str">
        <f aca="false">IF(X1088="HIGH RATE",O1088,"")</f>
        <v/>
      </c>
    </row>
    <row r="1089" customFormat="false" ht="15" hidden="false" customHeight="false" outlineLevel="0" collapsed="false">
      <c r="A1089" s="56" t="s">
        <v>2456</v>
      </c>
      <c r="B1089" s="56" t="s">
        <v>640</v>
      </c>
      <c r="C1089" s="56" t="s">
        <v>638</v>
      </c>
      <c r="D1089" s="56" t="str">
        <f aca="false">IFERROR(INDEX('Brand Map'!$B$4:$B$124,MATCH(C1089,'Brand Map'!$A$4:$A$124,0)),"Other")</f>
        <v>Other (small prefixes)</v>
      </c>
      <c r="E1089" s="57" t="n">
        <v>1</v>
      </c>
      <c r="F1089" s="57" t="n">
        <v>0</v>
      </c>
      <c r="G1089" s="58" t="n">
        <v>109.95</v>
      </c>
      <c r="H1089" s="58" t="n">
        <v>0</v>
      </c>
      <c r="I1089" s="58" t="n">
        <v>109.95</v>
      </c>
      <c r="J1089" s="32" t="n">
        <f aca="false">IF(E1089&gt;0,F1089/E1089,0)</f>
        <v>0</v>
      </c>
      <c r="K1089" s="32" t="n">
        <f aca="false">IF(G1089&gt;0,H1089/G1089,0)</f>
        <v>-0</v>
      </c>
      <c r="L1089" s="59" t="n">
        <f aca="false">H1089/Settings!$B$16</f>
        <v>-0</v>
      </c>
      <c r="M1089" s="59" t="n">
        <f aca="false">H1089/Settings!$B$20</f>
        <v>-0</v>
      </c>
      <c r="N1089" s="60" t="n">
        <f aca="false">E1089*Settings!$B$3</f>
        <v>0.0309861510798204</v>
      </c>
      <c r="O1089" s="60" t="n">
        <f aca="false">IF(E1089&gt;0,(F1089-N1089)/SQRT(E1089*Settings!$B$3*(1-Settings!$B$3)),0)</f>
        <v>-0.178821125934444</v>
      </c>
      <c r="P1089" s="60" t="n">
        <f aca="false">MAX(0,F1089-N1089)</f>
        <v>0</v>
      </c>
      <c r="Q1089" s="32" t="n">
        <f aca="false">(F1089+Settings!$B$7*Settings!$B$3)/(E1089+Settings!$B$7)</f>
        <v>0.0299865978191811</v>
      </c>
      <c r="R1089" s="61" t="n">
        <f aca="false">PERCENTRANK($H$2:$H$1780,H1089,6)</f>
        <v>0</v>
      </c>
      <c r="S1089" s="61" t="n">
        <f aca="false">PERCENTRANK($Q$2:$Q$1780,Q1089,6)</f>
        <v>0.486502</v>
      </c>
      <c r="T1089" s="61" t="n">
        <f aca="false">PERCENTRANK($F$2:$F$1780,F1089,6)</f>
        <v>0</v>
      </c>
      <c r="U1089" s="62" t="n">
        <f aca="false">IF(F1089&gt;0,(Settings!$B$8*T1089+Settings!$B$9*R1089+Settings!$B$10*S1089)/SUM(Settings!$B$8:$B$10),0)</f>
        <v>0</v>
      </c>
      <c r="V1089" s="56" t="str">
        <f aca="false">IF(U1089&gt;0,RANK(U1089,$U$2:$U$1780)+COUNTIF($U$2:U1089,U1089)-1,"")</f>
        <v/>
      </c>
      <c r="W1089" s="56" t="str">
        <f aca="false">IF(V1089="","",IF(V1089&lt;=Settings!$B$11,"1 - Fix first",IF(V1089&lt;=Settings!$B$12,"2 - Review","3 - Monitor")))</f>
        <v/>
      </c>
      <c r="X1089" s="56" t="str">
        <f aca="false">IF(AND(E1089&gt;=Settings!$B$4,F1089&gt;=Settings!$B$5,O1089&gt;=Settings!$B$6),"HIGH RATE","")</f>
        <v/>
      </c>
      <c r="Y1089" s="56" t="str">
        <f aca="false">IF(F1089&gt;0,RANK(F1089,$F$2:$F$1780)+COUNTIF($F$2:F1089,F1089)-1,"")</f>
        <v/>
      </c>
      <c r="Z1089" s="56" t="str">
        <f aca="false">IF(H1089&gt;0,RANK(H1089,$H$2:$H$1780)+COUNTIF($H$2:H1089,H1089)-1,"")</f>
        <v/>
      </c>
      <c r="AA1089" s="56" t="str">
        <f aca="false">IF(AC1089="","",RANK(AC1089,$AC$2:$AC$1780)+COUNTIF($AC$2:AC1089,AC1089)-1)</f>
        <v/>
      </c>
      <c r="AB1089" s="56" t="str">
        <f aca="false">IF(AD1089="","",RANK(AD1089,$AD$2:$AD$1780)+COUNTIF($AD$2:AD1089,AD1089)-1)</f>
        <v/>
      </c>
      <c r="AC1089" s="56" t="str">
        <f aca="false">IF(AND(F1089&gt;0,E1089&gt;=Settings!$B$4),J1089,"")</f>
        <v/>
      </c>
      <c r="AD1089" s="56" t="str">
        <f aca="false">IF(X1089="HIGH RATE",O1089,"")</f>
        <v/>
      </c>
    </row>
    <row r="1090" customFormat="false" ht="15" hidden="false" customHeight="false" outlineLevel="0" collapsed="false">
      <c r="A1090" s="56" t="s">
        <v>2457</v>
      </c>
      <c r="B1090" s="56" t="s">
        <v>640</v>
      </c>
      <c r="C1090" s="56" t="s">
        <v>638</v>
      </c>
      <c r="D1090" s="56" t="str">
        <f aca="false">IFERROR(INDEX('Brand Map'!$B$4:$B$124,MATCH(C1090,'Brand Map'!$A$4:$A$124,0)),"Other")</f>
        <v>Other (small prefixes)</v>
      </c>
      <c r="E1090" s="57" t="n">
        <v>2</v>
      </c>
      <c r="F1090" s="57" t="n">
        <v>0</v>
      </c>
      <c r="G1090" s="58" t="n">
        <v>129.9</v>
      </c>
      <c r="H1090" s="58" t="n">
        <v>0</v>
      </c>
      <c r="I1090" s="58" t="n">
        <v>129.9</v>
      </c>
      <c r="J1090" s="32" t="n">
        <f aca="false">IF(E1090&gt;0,F1090/E1090,0)</f>
        <v>0</v>
      </c>
      <c r="K1090" s="32" t="n">
        <f aca="false">IF(G1090&gt;0,H1090/G1090,0)</f>
        <v>-0</v>
      </c>
      <c r="L1090" s="59" t="n">
        <f aca="false">H1090/Settings!$B$16</f>
        <v>-0</v>
      </c>
      <c r="M1090" s="59" t="n">
        <f aca="false">H1090/Settings!$B$20</f>
        <v>-0</v>
      </c>
      <c r="N1090" s="60" t="n">
        <f aca="false">E1090*Settings!$B$3</f>
        <v>0.0619723021596408</v>
      </c>
      <c r="O1090" s="60" t="n">
        <f aca="false">IF(E1090&gt;0,(F1090-N1090)/SQRT(E1090*Settings!$B$3*(1-Settings!$B$3)),0)</f>
        <v>-0.252891261535318</v>
      </c>
      <c r="P1090" s="60" t="n">
        <f aca="false">MAX(0,F1090-N1090)</f>
        <v>0</v>
      </c>
      <c r="Q1090" s="32" t="n">
        <f aca="false">(F1090+Settings!$B$7*Settings!$B$3)/(E1090+Settings!$B$7)</f>
        <v>0.0290495166373316</v>
      </c>
      <c r="R1090" s="61" t="n">
        <f aca="false">PERCENTRANK($H$2:$H$1780,H1090,6)</f>
        <v>0</v>
      </c>
      <c r="S1090" s="61" t="n">
        <f aca="false">PERCENTRANK($Q$2:$Q$1780,Q1090,6)</f>
        <v>0.365579</v>
      </c>
      <c r="T1090" s="61" t="n">
        <f aca="false">PERCENTRANK($F$2:$F$1780,F1090,6)</f>
        <v>0</v>
      </c>
      <c r="U1090" s="62" t="n">
        <f aca="false">IF(F1090&gt;0,(Settings!$B$8*T1090+Settings!$B$9*R1090+Settings!$B$10*S1090)/SUM(Settings!$B$8:$B$10),0)</f>
        <v>0</v>
      </c>
      <c r="V1090" s="56" t="str">
        <f aca="false">IF(U1090&gt;0,RANK(U1090,$U$2:$U$1780)+COUNTIF($U$2:U1090,U1090)-1,"")</f>
        <v/>
      </c>
      <c r="W1090" s="56" t="str">
        <f aca="false">IF(V1090="","",IF(V1090&lt;=Settings!$B$11,"1 - Fix first",IF(V1090&lt;=Settings!$B$12,"2 - Review","3 - Monitor")))</f>
        <v/>
      </c>
      <c r="X1090" s="56" t="str">
        <f aca="false">IF(AND(E1090&gt;=Settings!$B$4,F1090&gt;=Settings!$B$5,O1090&gt;=Settings!$B$6),"HIGH RATE","")</f>
        <v/>
      </c>
      <c r="Y1090" s="56" t="str">
        <f aca="false">IF(F1090&gt;0,RANK(F1090,$F$2:$F$1780)+COUNTIF($F$2:F1090,F1090)-1,"")</f>
        <v/>
      </c>
      <c r="Z1090" s="56" t="str">
        <f aca="false">IF(H1090&gt;0,RANK(H1090,$H$2:$H$1780)+COUNTIF($H$2:H1090,H1090)-1,"")</f>
        <v/>
      </c>
      <c r="AA1090" s="56" t="str">
        <f aca="false">IF(AC1090="","",RANK(AC1090,$AC$2:$AC$1780)+COUNTIF($AC$2:AC1090,AC1090)-1)</f>
        <v/>
      </c>
      <c r="AB1090" s="56" t="str">
        <f aca="false">IF(AD1090="","",RANK(AD1090,$AD$2:$AD$1780)+COUNTIF($AD$2:AD1090,AD1090)-1)</f>
        <v/>
      </c>
      <c r="AC1090" s="56" t="str">
        <f aca="false">IF(AND(F1090&gt;0,E1090&gt;=Settings!$B$4),J1090,"")</f>
        <v/>
      </c>
      <c r="AD1090" s="56" t="str">
        <f aca="false">IF(X1090="HIGH RATE",O1090,"")</f>
        <v/>
      </c>
    </row>
    <row r="1091" customFormat="false" ht="15" hidden="false" customHeight="false" outlineLevel="0" collapsed="false">
      <c r="A1091" s="56" t="s">
        <v>2458</v>
      </c>
      <c r="B1091" s="56" t="s">
        <v>2459</v>
      </c>
      <c r="C1091" s="56" t="s">
        <v>638</v>
      </c>
      <c r="D1091" s="56" t="str">
        <f aca="false">IFERROR(INDEX('Brand Map'!$B$4:$B$124,MATCH(C1091,'Brand Map'!$A$4:$A$124,0)),"Other")</f>
        <v>Other (small prefixes)</v>
      </c>
      <c r="E1091" s="57" t="n">
        <v>23</v>
      </c>
      <c r="F1091" s="57" t="n">
        <v>0</v>
      </c>
      <c r="G1091" s="58" t="n">
        <v>1787.95</v>
      </c>
      <c r="H1091" s="58" t="n">
        <v>0</v>
      </c>
      <c r="I1091" s="58" t="n">
        <v>1764.79</v>
      </c>
      <c r="J1091" s="32" t="n">
        <f aca="false">IF(E1091&gt;0,F1091/E1091,0)</f>
        <v>0</v>
      </c>
      <c r="K1091" s="32" t="n">
        <f aca="false">IF(G1091&gt;0,H1091/G1091,0)</f>
        <v>-0</v>
      </c>
      <c r="L1091" s="59" t="n">
        <f aca="false">H1091/Settings!$B$16</f>
        <v>-0</v>
      </c>
      <c r="M1091" s="59" t="n">
        <f aca="false">H1091/Settings!$B$20</f>
        <v>-0</v>
      </c>
      <c r="N1091" s="60" t="n">
        <f aca="false">E1091*Settings!$B$3</f>
        <v>0.71268147483587</v>
      </c>
      <c r="O1091" s="60" t="n">
        <f aca="false">IF(E1091&gt;0,(F1091-N1091)/SQRT(E1091*Settings!$B$3*(1-Settings!$B$3)),0)</f>
        <v>-0.85759599279068</v>
      </c>
      <c r="P1091" s="60" t="n">
        <f aca="false">MAX(0,F1091-N1091)</f>
        <v>0</v>
      </c>
      <c r="Q1091" s="32" t="n">
        <f aca="false">(F1091+Settings!$B$7*Settings!$B$3)/(E1091+Settings!$B$7)</f>
        <v>0.0175393307998984</v>
      </c>
      <c r="R1091" s="61" t="n">
        <f aca="false">PERCENTRANK($H$2:$H$1780,H1091,6)</f>
        <v>0</v>
      </c>
      <c r="S1091" s="61" t="n">
        <f aca="false">PERCENTRANK($Q$2:$Q$1780,Q1091,6)</f>
        <v>0.0579303</v>
      </c>
      <c r="T1091" s="61" t="n">
        <f aca="false">PERCENTRANK($F$2:$F$1780,F1091,6)</f>
        <v>0</v>
      </c>
      <c r="U1091" s="62" t="n">
        <f aca="false">IF(F1091&gt;0,(Settings!$B$8*T1091+Settings!$B$9*R1091+Settings!$B$10*S1091)/SUM(Settings!$B$8:$B$10),0)</f>
        <v>0</v>
      </c>
      <c r="V1091" s="56" t="str">
        <f aca="false">IF(U1091&gt;0,RANK(U1091,$U$2:$U$1780)+COUNTIF($U$2:U1091,U1091)-1,"")</f>
        <v/>
      </c>
      <c r="W1091" s="56" t="str">
        <f aca="false">IF(V1091="","",IF(V1091&lt;=Settings!$B$11,"1 - Fix first",IF(V1091&lt;=Settings!$B$12,"2 - Review","3 - Monitor")))</f>
        <v/>
      </c>
      <c r="X1091" s="56" t="str">
        <f aca="false">IF(AND(E1091&gt;=Settings!$B$4,F1091&gt;=Settings!$B$5,O1091&gt;=Settings!$B$6),"HIGH RATE","")</f>
        <v/>
      </c>
      <c r="Y1091" s="56" t="str">
        <f aca="false">IF(F1091&gt;0,RANK(F1091,$F$2:$F$1780)+COUNTIF($F$2:F1091,F1091)-1,"")</f>
        <v/>
      </c>
      <c r="Z1091" s="56" t="str">
        <f aca="false">IF(H1091&gt;0,RANK(H1091,$H$2:$H$1780)+COUNTIF($H$2:H1091,H1091)-1,"")</f>
        <v/>
      </c>
      <c r="AA1091" s="56" t="str">
        <f aca="false">IF(AC1091="","",RANK(AC1091,$AC$2:$AC$1780)+COUNTIF($AC$2:AC1091,AC1091)-1)</f>
        <v/>
      </c>
      <c r="AB1091" s="56" t="str">
        <f aca="false">IF(AD1091="","",RANK(AD1091,$AD$2:$AD$1780)+COUNTIF($AD$2:AD1091,AD1091)-1)</f>
        <v/>
      </c>
      <c r="AC1091" s="56" t="str">
        <f aca="false">IF(AND(F1091&gt;0,E1091&gt;=Settings!$B$4),J1091,"")</f>
        <v/>
      </c>
      <c r="AD1091" s="56" t="str">
        <f aca="false">IF(X1091="HIGH RATE",O1091,"")</f>
        <v/>
      </c>
    </row>
    <row r="1092" customFormat="false" ht="15" hidden="false" customHeight="false" outlineLevel="0" collapsed="false">
      <c r="A1092" s="56" t="s">
        <v>2460</v>
      </c>
      <c r="B1092" s="56" t="s">
        <v>1270</v>
      </c>
      <c r="C1092" s="56" t="s">
        <v>638</v>
      </c>
      <c r="D1092" s="56" t="str">
        <f aca="false">IFERROR(INDEX('Brand Map'!$B$4:$B$124,MATCH(C1092,'Brand Map'!$A$4:$A$124,0)),"Other")</f>
        <v>Other (small prefixes)</v>
      </c>
      <c r="E1092" s="57" t="n">
        <v>1</v>
      </c>
      <c r="F1092" s="57" t="n">
        <v>0</v>
      </c>
      <c r="G1092" s="58" t="n">
        <v>109.95</v>
      </c>
      <c r="H1092" s="58" t="n">
        <v>0</v>
      </c>
      <c r="I1092" s="58" t="n">
        <v>109.95</v>
      </c>
      <c r="J1092" s="32" t="n">
        <f aca="false">IF(E1092&gt;0,F1092/E1092,0)</f>
        <v>0</v>
      </c>
      <c r="K1092" s="32" t="n">
        <f aca="false">IF(G1092&gt;0,H1092/G1092,0)</f>
        <v>-0</v>
      </c>
      <c r="L1092" s="59" t="n">
        <f aca="false">H1092/Settings!$B$16</f>
        <v>-0</v>
      </c>
      <c r="M1092" s="59" t="n">
        <f aca="false">H1092/Settings!$B$20</f>
        <v>-0</v>
      </c>
      <c r="N1092" s="60" t="n">
        <f aca="false">E1092*Settings!$B$3</f>
        <v>0.0309861510798204</v>
      </c>
      <c r="O1092" s="60" t="n">
        <f aca="false">IF(E1092&gt;0,(F1092-N1092)/SQRT(E1092*Settings!$B$3*(1-Settings!$B$3)),0)</f>
        <v>-0.178821125934444</v>
      </c>
      <c r="P1092" s="60" t="n">
        <f aca="false">MAX(0,F1092-N1092)</f>
        <v>0</v>
      </c>
      <c r="Q1092" s="32" t="n">
        <f aca="false">(F1092+Settings!$B$7*Settings!$B$3)/(E1092+Settings!$B$7)</f>
        <v>0.0299865978191811</v>
      </c>
      <c r="R1092" s="61" t="n">
        <f aca="false">PERCENTRANK($H$2:$H$1780,H1092,6)</f>
        <v>0</v>
      </c>
      <c r="S1092" s="61" t="n">
        <f aca="false">PERCENTRANK($Q$2:$Q$1780,Q1092,6)</f>
        <v>0.486502</v>
      </c>
      <c r="T1092" s="61" t="n">
        <f aca="false">PERCENTRANK($F$2:$F$1780,F1092,6)</f>
        <v>0</v>
      </c>
      <c r="U1092" s="62" t="n">
        <f aca="false">IF(F1092&gt;0,(Settings!$B$8*T1092+Settings!$B$9*R1092+Settings!$B$10*S1092)/SUM(Settings!$B$8:$B$10),0)</f>
        <v>0</v>
      </c>
      <c r="V1092" s="56" t="str">
        <f aca="false">IF(U1092&gt;0,RANK(U1092,$U$2:$U$1780)+COUNTIF($U$2:U1092,U1092)-1,"")</f>
        <v/>
      </c>
      <c r="W1092" s="56" t="str">
        <f aca="false">IF(V1092="","",IF(V1092&lt;=Settings!$B$11,"1 - Fix first",IF(V1092&lt;=Settings!$B$12,"2 - Review","3 - Monitor")))</f>
        <v/>
      </c>
      <c r="X1092" s="56" t="str">
        <f aca="false">IF(AND(E1092&gt;=Settings!$B$4,F1092&gt;=Settings!$B$5,O1092&gt;=Settings!$B$6),"HIGH RATE","")</f>
        <v/>
      </c>
      <c r="Y1092" s="56" t="str">
        <f aca="false">IF(F1092&gt;0,RANK(F1092,$F$2:$F$1780)+COUNTIF($F$2:F1092,F1092)-1,"")</f>
        <v/>
      </c>
      <c r="Z1092" s="56" t="str">
        <f aca="false">IF(H1092&gt;0,RANK(H1092,$H$2:$H$1780)+COUNTIF($H$2:H1092,H1092)-1,"")</f>
        <v/>
      </c>
      <c r="AA1092" s="56" t="str">
        <f aca="false">IF(AC1092="","",RANK(AC1092,$AC$2:$AC$1780)+COUNTIF($AC$2:AC1092,AC1092)-1)</f>
        <v/>
      </c>
      <c r="AB1092" s="56" t="str">
        <f aca="false">IF(AD1092="","",RANK(AD1092,$AD$2:$AD$1780)+COUNTIF($AD$2:AD1092,AD1092)-1)</f>
        <v/>
      </c>
      <c r="AC1092" s="56" t="str">
        <f aca="false">IF(AND(F1092&gt;0,E1092&gt;=Settings!$B$4),J1092,"")</f>
        <v/>
      </c>
      <c r="AD1092" s="56" t="str">
        <f aca="false">IF(X1092="HIGH RATE",O1092,"")</f>
        <v/>
      </c>
    </row>
    <row r="1093" customFormat="false" ht="15" hidden="false" customHeight="false" outlineLevel="0" collapsed="false">
      <c r="A1093" s="56" t="s">
        <v>2461</v>
      </c>
      <c r="B1093" s="56" t="s">
        <v>1027</v>
      </c>
      <c r="C1093" s="56" t="s">
        <v>638</v>
      </c>
      <c r="D1093" s="56" t="str">
        <f aca="false">IFERROR(INDEX('Brand Map'!$B$4:$B$124,MATCH(C1093,'Brand Map'!$A$4:$A$124,0)),"Other")</f>
        <v>Other (small prefixes)</v>
      </c>
      <c r="E1093" s="57" t="n">
        <v>6</v>
      </c>
      <c r="F1093" s="57" t="n">
        <v>0</v>
      </c>
      <c r="G1093" s="58" t="n">
        <v>329.7</v>
      </c>
      <c r="H1093" s="58" t="n">
        <v>0</v>
      </c>
      <c r="I1093" s="58" t="n">
        <v>329.7</v>
      </c>
      <c r="J1093" s="32" t="n">
        <f aca="false">IF(E1093&gt;0,F1093/E1093,0)</f>
        <v>0</v>
      </c>
      <c r="K1093" s="32" t="n">
        <f aca="false">IF(G1093&gt;0,H1093/G1093,0)</f>
        <v>-0</v>
      </c>
      <c r="L1093" s="59" t="n">
        <f aca="false">H1093/Settings!$B$16</f>
        <v>-0</v>
      </c>
      <c r="M1093" s="59" t="n">
        <f aca="false">H1093/Settings!$B$20</f>
        <v>-0</v>
      </c>
      <c r="N1093" s="60" t="n">
        <f aca="false">E1093*Settings!$B$3</f>
        <v>0.185916906478923</v>
      </c>
      <c r="O1093" s="60" t="n">
        <f aca="false">IF(E1093&gt;0,(F1093-N1093)/SQRT(E1093*Settings!$B$3*(1-Settings!$B$3)),0)</f>
        <v>-0.43802051376936</v>
      </c>
      <c r="P1093" s="60" t="n">
        <f aca="false">MAX(0,F1093-N1093)</f>
        <v>0</v>
      </c>
      <c r="Q1093" s="32" t="n">
        <f aca="false">(F1093+Settings!$B$7*Settings!$B$3)/(E1093+Settings!$B$7)</f>
        <v>0.025821792566517</v>
      </c>
      <c r="R1093" s="61" t="n">
        <f aca="false">PERCENTRANK($H$2:$H$1780,H1093,6)</f>
        <v>0</v>
      </c>
      <c r="S1093" s="61" t="n">
        <f aca="false">PERCENTRANK($Q$2:$Q$1780,Q1093,6)</f>
        <v>0.189539</v>
      </c>
      <c r="T1093" s="61" t="n">
        <f aca="false">PERCENTRANK($F$2:$F$1780,F1093,6)</f>
        <v>0</v>
      </c>
      <c r="U1093" s="62" t="n">
        <f aca="false">IF(F1093&gt;0,(Settings!$B$8*T1093+Settings!$B$9*R1093+Settings!$B$10*S1093)/SUM(Settings!$B$8:$B$10),0)</f>
        <v>0</v>
      </c>
      <c r="V1093" s="56" t="str">
        <f aca="false">IF(U1093&gt;0,RANK(U1093,$U$2:$U$1780)+COUNTIF($U$2:U1093,U1093)-1,"")</f>
        <v/>
      </c>
      <c r="W1093" s="56" t="str">
        <f aca="false">IF(V1093="","",IF(V1093&lt;=Settings!$B$11,"1 - Fix first",IF(V1093&lt;=Settings!$B$12,"2 - Review","3 - Monitor")))</f>
        <v/>
      </c>
      <c r="X1093" s="56" t="str">
        <f aca="false">IF(AND(E1093&gt;=Settings!$B$4,F1093&gt;=Settings!$B$5,O1093&gt;=Settings!$B$6),"HIGH RATE","")</f>
        <v/>
      </c>
      <c r="Y1093" s="56" t="str">
        <f aca="false">IF(F1093&gt;0,RANK(F1093,$F$2:$F$1780)+COUNTIF($F$2:F1093,F1093)-1,"")</f>
        <v/>
      </c>
      <c r="Z1093" s="56" t="str">
        <f aca="false">IF(H1093&gt;0,RANK(H1093,$H$2:$H$1780)+COUNTIF($H$2:H1093,H1093)-1,"")</f>
        <v/>
      </c>
      <c r="AA1093" s="56" t="str">
        <f aca="false">IF(AC1093="","",RANK(AC1093,$AC$2:$AC$1780)+COUNTIF($AC$2:AC1093,AC1093)-1)</f>
        <v/>
      </c>
      <c r="AB1093" s="56" t="str">
        <f aca="false">IF(AD1093="","",RANK(AD1093,$AD$2:$AD$1780)+COUNTIF($AD$2:AD1093,AD1093)-1)</f>
        <v/>
      </c>
      <c r="AC1093" s="56" t="str">
        <f aca="false">IF(AND(F1093&gt;0,E1093&gt;=Settings!$B$4),J1093,"")</f>
        <v/>
      </c>
      <c r="AD1093" s="56" t="str">
        <f aca="false">IF(X1093="HIGH RATE",O1093,"")</f>
        <v/>
      </c>
    </row>
    <row r="1094" customFormat="false" ht="15" hidden="false" customHeight="false" outlineLevel="0" collapsed="false">
      <c r="A1094" s="56" t="s">
        <v>2462</v>
      </c>
      <c r="B1094" s="56" t="s">
        <v>2463</v>
      </c>
      <c r="C1094" s="56" t="s">
        <v>638</v>
      </c>
      <c r="D1094" s="56" t="str">
        <f aca="false">IFERROR(INDEX('Brand Map'!$B$4:$B$124,MATCH(C1094,'Brand Map'!$A$4:$A$124,0)),"Other")</f>
        <v>Other (small prefixes)</v>
      </c>
      <c r="E1094" s="57" t="n">
        <v>3</v>
      </c>
      <c r="F1094" s="57" t="n">
        <v>0</v>
      </c>
      <c r="G1094" s="58" t="n">
        <v>363.85</v>
      </c>
      <c r="H1094" s="58" t="n">
        <v>0</v>
      </c>
      <c r="I1094" s="58" t="n">
        <v>363.85</v>
      </c>
      <c r="J1094" s="32" t="n">
        <f aca="false">IF(E1094&gt;0,F1094/E1094,0)</f>
        <v>0</v>
      </c>
      <c r="K1094" s="32" t="n">
        <f aca="false">IF(G1094&gt;0,H1094/G1094,0)</f>
        <v>-0</v>
      </c>
      <c r="L1094" s="59" t="n">
        <f aca="false">H1094/Settings!$B$16</f>
        <v>-0</v>
      </c>
      <c r="M1094" s="59" t="n">
        <f aca="false">H1094/Settings!$B$20</f>
        <v>-0</v>
      </c>
      <c r="N1094" s="60" t="n">
        <f aca="false">E1094*Settings!$B$3</f>
        <v>0.0929584532394613</v>
      </c>
      <c r="O1094" s="60" t="n">
        <f aca="false">IF(E1094&gt;0,(F1094-N1094)/SQRT(E1094*Settings!$B$3*(1-Settings!$B$3)),0)</f>
        <v>-0.30972727558513</v>
      </c>
      <c r="P1094" s="60" t="n">
        <f aca="false">MAX(0,F1094-N1094)</f>
        <v>0</v>
      </c>
      <c r="Q1094" s="32" t="n">
        <f aca="false">(F1094+Settings!$B$7*Settings!$B$3)/(E1094+Settings!$B$7)</f>
        <v>0.0281692282543822</v>
      </c>
      <c r="R1094" s="61" t="n">
        <f aca="false">PERCENTRANK($H$2:$H$1780,H1094,6)</f>
        <v>0</v>
      </c>
      <c r="S1094" s="61" t="n">
        <f aca="false">PERCENTRANK($Q$2:$Q$1780,Q1094,6)</f>
        <v>0.294151</v>
      </c>
      <c r="T1094" s="61" t="n">
        <f aca="false">PERCENTRANK($F$2:$F$1780,F1094,6)</f>
        <v>0</v>
      </c>
      <c r="U1094" s="62" t="n">
        <f aca="false">IF(F1094&gt;0,(Settings!$B$8*T1094+Settings!$B$9*R1094+Settings!$B$10*S1094)/SUM(Settings!$B$8:$B$10),0)</f>
        <v>0</v>
      </c>
      <c r="V1094" s="56" t="str">
        <f aca="false">IF(U1094&gt;0,RANK(U1094,$U$2:$U$1780)+COUNTIF($U$2:U1094,U1094)-1,"")</f>
        <v/>
      </c>
      <c r="W1094" s="56" t="str">
        <f aca="false">IF(V1094="","",IF(V1094&lt;=Settings!$B$11,"1 - Fix first",IF(V1094&lt;=Settings!$B$12,"2 - Review","3 - Monitor")))</f>
        <v/>
      </c>
      <c r="X1094" s="56" t="str">
        <f aca="false">IF(AND(E1094&gt;=Settings!$B$4,F1094&gt;=Settings!$B$5,O1094&gt;=Settings!$B$6),"HIGH RATE","")</f>
        <v/>
      </c>
      <c r="Y1094" s="56" t="str">
        <f aca="false">IF(F1094&gt;0,RANK(F1094,$F$2:$F$1780)+COUNTIF($F$2:F1094,F1094)-1,"")</f>
        <v/>
      </c>
      <c r="Z1094" s="56" t="str">
        <f aca="false">IF(H1094&gt;0,RANK(H1094,$H$2:$H$1780)+COUNTIF($H$2:H1094,H1094)-1,"")</f>
        <v/>
      </c>
      <c r="AA1094" s="56" t="str">
        <f aca="false">IF(AC1094="","",RANK(AC1094,$AC$2:$AC$1780)+COUNTIF($AC$2:AC1094,AC1094)-1)</f>
        <v/>
      </c>
      <c r="AB1094" s="56" t="str">
        <f aca="false">IF(AD1094="","",RANK(AD1094,$AD$2:$AD$1780)+COUNTIF($AD$2:AD1094,AD1094)-1)</f>
        <v/>
      </c>
      <c r="AC1094" s="56" t="str">
        <f aca="false">IF(AND(F1094&gt;0,E1094&gt;=Settings!$B$4),J1094,"")</f>
        <v/>
      </c>
      <c r="AD1094" s="56" t="str">
        <f aca="false">IF(X1094="HIGH RATE",O1094,"")</f>
        <v/>
      </c>
    </row>
    <row r="1095" customFormat="false" ht="15" hidden="false" customHeight="false" outlineLevel="0" collapsed="false">
      <c r="A1095" s="56" t="s">
        <v>696</v>
      </c>
      <c r="B1095" s="56" t="s">
        <v>697</v>
      </c>
      <c r="C1095" s="56" t="s">
        <v>695</v>
      </c>
      <c r="D1095" s="56" t="str">
        <f aca="false">IFERROR(INDEX('Brand Map'!$B$4:$B$124,MATCH(C1095,'Brand Map'!$A$4:$A$124,0)),"Other")</f>
        <v>Other (small prefixes)</v>
      </c>
      <c r="E1095" s="57" t="n">
        <v>31</v>
      </c>
      <c r="F1095" s="57" t="n">
        <v>0</v>
      </c>
      <c r="G1095" s="58" t="n">
        <v>3239.24</v>
      </c>
      <c r="H1095" s="58" t="n">
        <v>0</v>
      </c>
      <c r="I1095" s="58" t="n">
        <v>3239.24</v>
      </c>
      <c r="J1095" s="32" t="n">
        <f aca="false">IF(E1095&gt;0,F1095/E1095,0)</f>
        <v>0</v>
      </c>
      <c r="K1095" s="32" t="n">
        <f aca="false">IF(G1095&gt;0,H1095/G1095,0)</f>
        <v>-0</v>
      </c>
      <c r="L1095" s="59" t="n">
        <f aca="false">H1095/Settings!$B$16</f>
        <v>-0</v>
      </c>
      <c r="M1095" s="59" t="n">
        <f aca="false">H1095/Settings!$B$20</f>
        <v>-0</v>
      </c>
      <c r="N1095" s="60" t="n">
        <f aca="false">E1095*Settings!$B$3</f>
        <v>0.960570683474433</v>
      </c>
      <c r="O1095" s="60" t="n">
        <f aca="false">IF(E1095&gt;0,(F1095-N1095)/SQRT(E1095*Settings!$B$3*(1-Settings!$B$3)),0)</f>
        <v>-0.995633892298937</v>
      </c>
      <c r="P1095" s="60" t="n">
        <f aca="false">MAX(0,F1095-N1095)</f>
        <v>0</v>
      </c>
      <c r="Q1095" s="32" t="n">
        <f aca="false">(F1095+Settings!$B$7*Settings!$B$3)/(E1095+Settings!$B$7)</f>
        <v>0.0152390906949937</v>
      </c>
      <c r="R1095" s="61" t="n">
        <f aca="false">PERCENTRANK($H$2:$H$1780,H1095,6)</f>
        <v>0</v>
      </c>
      <c r="S1095" s="61" t="n">
        <f aca="false">PERCENTRANK($Q$2:$Q$1780,Q1095,6)</f>
        <v>0.0410574</v>
      </c>
      <c r="T1095" s="61" t="n">
        <f aca="false">PERCENTRANK($F$2:$F$1780,F1095,6)</f>
        <v>0</v>
      </c>
      <c r="U1095" s="62" t="n">
        <f aca="false">IF(F1095&gt;0,(Settings!$B$8*T1095+Settings!$B$9*R1095+Settings!$B$10*S1095)/SUM(Settings!$B$8:$B$10),0)</f>
        <v>0</v>
      </c>
      <c r="V1095" s="56" t="str">
        <f aca="false">IF(U1095&gt;0,RANK(U1095,$U$2:$U$1780)+COUNTIF($U$2:U1095,U1095)-1,"")</f>
        <v/>
      </c>
      <c r="W1095" s="56" t="str">
        <f aca="false">IF(V1095="","",IF(V1095&lt;=Settings!$B$11,"1 - Fix first",IF(V1095&lt;=Settings!$B$12,"2 - Review","3 - Monitor")))</f>
        <v/>
      </c>
      <c r="X1095" s="56" t="str">
        <f aca="false">IF(AND(E1095&gt;=Settings!$B$4,F1095&gt;=Settings!$B$5,O1095&gt;=Settings!$B$6),"HIGH RATE","")</f>
        <v/>
      </c>
      <c r="Y1095" s="56" t="str">
        <f aca="false">IF(F1095&gt;0,RANK(F1095,$F$2:$F$1780)+COUNTIF($F$2:F1095,F1095)-1,"")</f>
        <v/>
      </c>
      <c r="Z1095" s="56" t="str">
        <f aca="false">IF(H1095&gt;0,RANK(H1095,$H$2:$H$1780)+COUNTIF($H$2:H1095,H1095)-1,"")</f>
        <v/>
      </c>
      <c r="AA1095" s="56" t="str">
        <f aca="false">IF(AC1095="","",RANK(AC1095,$AC$2:$AC$1780)+COUNTIF($AC$2:AC1095,AC1095)-1)</f>
        <v/>
      </c>
      <c r="AB1095" s="56" t="str">
        <f aca="false">IF(AD1095="","",RANK(AD1095,$AD$2:$AD$1780)+COUNTIF($AD$2:AD1095,AD1095)-1)</f>
        <v/>
      </c>
      <c r="AC1095" s="56" t="str">
        <f aca="false">IF(AND(F1095&gt;0,E1095&gt;=Settings!$B$4),J1095,"")</f>
        <v/>
      </c>
      <c r="AD1095" s="56" t="str">
        <f aca="false">IF(X1095="HIGH RATE",O1095,"")</f>
        <v/>
      </c>
    </row>
    <row r="1096" customFormat="false" ht="15" hidden="false" customHeight="false" outlineLevel="0" collapsed="false">
      <c r="A1096" s="56" t="s">
        <v>672</v>
      </c>
      <c r="B1096" s="56" t="s">
        <v>673</v>
      </c>
      <c r="C1096" s="56" t="s">
        <v>671</v>
      </c>
      <c r="D1096" s="56" t="str">
        <f aca="false">IFERROR(INDEX('Brand Map'!$B$4:$B$124,MATCH(C1096,'Brand Map'!$A$4:$A$124,0)),"Other")</f>
        <v>Other (small prefixes)</v>
      </c>
      <c r="E1096" s="57" t="n">
        <v>63</v>
      </c>
      <c r="F1096" s="57" t="n">
        <v>0</v>
      </c>
      <c r="G1096" s="58" t="n">
        <v>6242.26</v>
      </c>
      <c r="H1096" s="58" t="n">
        <v>0</v>
      </c>
      <c r="I1096" s="58" t="n">
        <v>6242.26</v>
      </c>
      <c r="J1096" s="32" t="n">
        <f aca="false">IF(E1096&gt;0,F1096/E1096,0)</f>
        <v>0</v>
      </c>
      <c r="K1096" s="32" t="n">
        <f aca="false">IF(G1096&gt;0,H1096/G1096,0)</f>
        <v>-0</v>
      </c>
      <c r="L1096" s="59" t="n">
        <f aca="false">H1096/Settings!$B$16</f>
        <v>-0</v>
      </c>
      <c r="M1096" s="59" t="n">
        <f aca="false">H1096/Settings!$B$20</f>
        <v>-0</v>
      </c>
      <c r="N1096" s="60" t="n">
        <f aca="false">E1096*Settings!$B$3</f>
        <v>1.95212751802869</v>
      </c>
      <c r="O1096" s="60" t="n">
        <f aca="false">IF(E1096&gt;0,(F1096-N1096)/SQRT(E1096*Settings!$B$3*(1-Settings!$B$3)),0)</f>
        <v>-1.4193486851613</v>
      </c>
      <c r="P1096" s="60" t="n">
        <f aca="false">MAX(0,F1096-N1096)</f>
        <v>0</v>
      </c>
      <c r="Q1096" s="32" t="n">
        <f aca="false">(F1096+Settings!$B$7*Settings!$B$3)/(E1096+Settings!$B$7)</f>
        <v>0.00999553260639368</v>
      </c>
      <c r="R1096" s="61" t="n">
        <f aca="false">PERCENTRANK($H$2:$H$1780,H1096,6)</f>
        <v>0</v>
      </c>
      <c r="S1096" s="61" t="n">
        <f aca="false">PERCENTRANK($Q$2:$Q$1780,Q1096,6)</f>
        <v>0.0134983</v>
      </c>
      <c r="T1096" s="61" t="n">
        <f aca="false">PERCENTRANK($F$2:$F$1780,F1096,6)</f>
        <v>0</v>
      </c>
      <c r="U1096" s="62" t="n">
        <f aca="false">IF(F1096&gt;0,(Settings!$B$8*T1096+Settings!$B$9*R1096+Settings!$B$10*S1096)/SUM(Settings!$B$8:$B$10),0)</f>
        <v>0</v>
      </c>
      <c r="V1096" s="56" t="str">
        <f aca="false">IF(U1096&gt;0,RANK(U1096,$U$2:$U$1780)+COUNTIF($U$2:U1096,U1096)-1,"")</f>
        <v/>
      </c>
      <c r="W1096" s="56" t="str">
        <f aca="false">IF(V1096="","",IF(V1096&lt;=Settings!$B$11,"1 - Fix first",IF(V1096&lt;=Settings!$B$12,"2 - Review","3 - Monitor")))</f>
        <v/>
      </c>
      <c r="X1096" s="56" t="str">
        <f aca="false">IF(AND(E1096&gt;=Settings!$B$4,F1096&gt;=Settings!$B$5,O1096&gt;=Settings!$B$6),"HIGH RATE","")</f>
        <v/>
      </c>
      <c r="Y1096" s="56" t="str">
        <f aca="false">IF(F1096&gt;0,RANK(F1096,$F$2:$F$1780)+COUNTIF($F$2:F1096,F1096)-1,"")</f>
        <v/>
      </c>
      <c r="Z1096" s="56" t="str">
        <f aca="false">IF(H1096&gt;0,RANK(H1096,$H$2:$H$1780)+COUNTIF($H$2:H1096,H1096)-1,"")</f>
        <v/>
      </c>
      <c r="AA1096" s="56" t="str">
        <f aca="false">IF(AC1096="","",RANK(AC1096,$AC$2:$AC$1780)+COUNTIF($AC$2:AC1096,AC1096)-1)</f>
        <v/>
      </c>
      <c r="AB1096" s="56" t="str">
        <f aca="false">IF(AD1096="","",RANK(AD1096,$AD$2:$AD$1780)+COUNTIF($AD$2:AD1096,AD1096)-1)</f>
        <v/>
      </c>
      <c r="AC1096" s="56" t="str">
        <f aca="false">IF(AND(F1096&gt;0,E1096&gt;=Settings!$B$4),J1096,"")</f>
        <v/>
      </c>
      <c r="AD1096" s="56" t="str">
        <f aca="false">IF(X1096="HIGH RATE",O1096,"")</f>
        <v/>
      </c>
    </row>
    <row r="1097" customFormat="false" ht="15" hidden="false" customHeight="false" outlineLevel="0" collapsed="false">
      <c r="A1097" s="56" t="s">
        <v>720</v>
      </c>
      <c r="B1097" s="56" t="s">
        <v>721</v>
      </c>
      <c r="C1097" s="56" t="s">
        <v>719</v>
      </c>
      <c r="D1097" s="56" t="str">
        <f aca="false">IFERROR(INDEX('Brand Map'!$B$4:$B$124,MATCH(C1097,'Brand Map'!$A$4:$A$124,0)),"Other")</f>
        <v>Other (small prefixes)</v>
      </c>
      <c r="E1097" s="57" t="n">
        <v>7</v>
      </c>
      <c r="F1097" s="57" t="n">
        <v>0</v>
      </c>
      <c r="G1097" s="58" t="n">
        <v>1433.83</v>
      </c>
      <c r="H1097" s="58" t="n">
        <v>0</v>
      </c>
      <c r="I1097" s="58" t="n">
        <v>1433.83</v>
      </c>
      <c r="J1097" s="32" t="n">
        <f aca="false">IF(E1097&gt;0,F1097/E1097,0)</f>
        <v>0</v>
      </c>
      <c r="K1097" s="32" t="n">
        <f aca="false">IF(G1097&gt;0,H1097/G1097,0)</f>
        <v>-0</v>
      </c>
      <c r="L1097" s="59" t="n">
        <f aca="false">H1097/Settings!$B$16</f>
        <v>-0</v>
      </c>
      <c r="M1097" s="59" t="n">
        <f aca="false">H1097/Settings!$B$20</f>
        <v>-0</v>
      </c>
      <c r="N1097" s="60" t="n">
        <f aca="false">E1097*Settings!$B$3</f>
        <v>0.216903057558743</v>
      </c>
      <c r="O1097" s="60" t="n">
        <f aca="false">IF(E1097&gt;0,(F1097-N1097)/SQRT(E1097*Settings!$B$3*(1-Settings!$B$3)),0)</f>
        <v>-0.473116228387102</v>
      </c>
      <c r="P1097" s="60" t="n">
        <f aca="false">MAX(0,F1097-N1097)</f>
        <v>0</v>
      </c>
      <c r="Q1097" s="32" t="n">
        <f aca="false">(F1097+Settings!$B$7*Settings!$B$3)/(E1097+Settings!$B$7)</f>
        <v>0.0251239062809355</v>
      </c>
      <c r="R1097" s="61" t="n">
        <f aca="false">PERCENTRANK($H$2:$H$1780,H1097,6)</f>
        <v>0</v>
      </c>
      <c r="S1097" s="61" t="n">
        <f aca="false">PERCENTRANK($Q$2:$Q$1780,Q1097,6)</f>
        <v>0.168166</v>
      </c>
      <c r="T1097" s="61" t="n">
        <f aca="false">PERCENTRANK($F$2:$F$1780,F1097,6)</f>
        <v>0</v>
      </c>
      <c r="U1097" s="62" t="n">
        <f aca="false">IF(F1097&gt;0,(Settings!$B$8*T1097+Settings!$B$9*R1097+Settings!$B$10*S1097)/SUM(Settings!$B$8:$B$10),0)</f>
        <v>0</v>
      </c>
      <c r="V1097" s="56" t="str">
        <f aca="false">IF(U1097&gt;0,RANK(U1097,$U$2:$U$1780)+COUNTIF($U$2:U1097,U1097)-1,"")</f>
        <v/>
      </c>
      <c r="W1097" s="56" t="str">
        <f aca="false">IF(V1097="","",IF(V1097&lt;=Settings!$B$11,"1 - Fix first",IF(V1097&lt;=Settings!$B$12,"2 - Review","3 - Monitor")))</f>
        <v/>
      </c>
      <c r="X1097" s="56" t="str">
        <f aca="false">IF(AND(E1097&gt;=Settings!$B$4,F1097&gt;=Settings!$B$5,O1097&gt;=Settings!$B$6),"HIGH RATE","")</f>
        <v/>
      </c>
      <c r="Y1097" s="56" t="str">
        <f aca="false">IF(F1097&gt;0,RANK(F1097,$F$2:$F$1780)+COUNTIF($F$2:F1097,F1097)-1,"")</f>
        <v/>
      </c>
      <c r="Z1097" s="56" t="str">
        <f aca="false">IF(H1097&gt;0,RANK(H1097,$H$2:$H$1780)+COUNTIF($H$2:H1097,H1097)-1,"")</f>
        <v/>
      </c>
      <c r="AA1097" s="56" t="str">
        <f aca="false">IF(AC1097="","",RANK(AC1097,$AC$2:$AC$1780)+COUNTIF($AC$2:AC1097,AC1097)-1)</f>
        <v/>
      </c>
      <c r="AB1097" s="56" t="str">
        <f aca="false">IF(AD1097="","",RANK(AD1097,$AD$2:$AD$1780)+COUNTIF($AD$2:AD1097,AD1097)-1)</f>
        <v/>
      </c>
      <c r="AC1097" s="56" t="str">
        <f aca="false">IF(AND(F1097&gt;0,E1097&gt;=Settings!$B$4),J1097,"")</f>
        <v/>
      </c>
      <c r="AD1097" s="56" t="str">
        <f aca="false">IF(X1097="HIGH RATE",O1097,"")</f>
        <v/>
      </c>
    </row>
    <row r="1098" customFormat="false" ht="15" hidden="false" customHeight="false" outlineLevel="0" collapsed="false">
      <c r="A1098" s="56" t="s">
        <v>2464</v>
      </c>
      <c r="B1098" s="56" t="s">
        <v>1123</v>
      </c>
      <c r="C1098" s="56" t="s">
        <v>55</v>
      </c>
      <c r="D1098" s="56" t="str">
        <f aca="false">IFERROR(INDEX('Brand Map'!$B$4:$B$124,MATCH(C1098,'Brand Map'!$A$4:$A$124,0)),"Other")</f>
        <v>AUMJ</v>
      </c>
      <c r="E1098" s="57" t="n">
        <v>1</v>
      </c>
      <c r="F1098" s="57" t="n">
        <v>0</v>
      </c>
      <c r="G1098" s="58" t="n">
        <v>126.95</v>
      </c>
      <c r="H1098" s="58" t="n">
        <v>0</v>
      </c>
      <c r="I1098" s="58" t="n">
        <v>126.95</v>
      </c>
      <c r="J1098" s="32" t="n">
        <f aca="false">IF(E1098&gt;0,F1098/E1098,0)</f>
        <v>0</v>
      </c>
      <c r="K1098" s="32" t="n">
        <f aca="false">IF(G1098&gt;0,H1098/G1098,0)</f>
        <v>-0</v>
      </c>
      <c r="L1098" s="59" t="n">
        <f aca="false">H1098/Settings!$B$16</f>
        <v>-0</v>
      </c>
      <c r="M1098" s="59" t="n">
        <f aca="false">H1098/Settings!$B$20</f>
        <v>-0</v>
      </c>
      <c r="N1098" s="60" t="n">
        <f aca="false">E1098*Settings!$B$3</f>
        <v>0.0309861510798204</v>
      </c>
      <c r="O1098" s="60" t="n">
        <f aca="false">IF(E1098&gt;0,(F1098-N1098)/SQRT(E1098*Settings!$B$3*(1-Settings!$B$3)),0)</f>
        <v>-0.178821125934444</v>
      </c>
      <c r="P1098" s="60" t="n">
        <f aca="false">MAX(0,F1098-N1098)</f>
        <v>0</v>
      </c>
      <c r="Q1098" s="32" t="n">
        <f aca="false">(F1098+Settings!$B$7*Settings!$B$3)/(E1098+Settings!$B$7)</f>
        <v>0.0299865978191811</v>
      </c>
      <c r="R1098" s="61" t="n">
        <f aca="false">PERCENTRANK($H$2:$H$1780,H1098,6)</f>
        <v>0</v>
      </c>
      <c r="S1098" s="61" t="n">
        <f aca="false">PERCENTRANK($Q$2:$Q$1780,Q1098,6)</f>
        <v>0.486502</v>
      </c>
      <c r="T1098" s="61" t="n">
        <f aca="false">PERCENTRANK($F$2:$F$1780,F1098,6)</f>
        <v>0</v>
      </c>
      <c r="U1098" s="62" t="n">
        <f aca="false">IF(F1098&gt;0,(Settings!$B$8*T1098+Settings!$B$9*R1098+Settings!$B$10*S1098)/SUM(Settings!$B$8:$B$10),0)</f>
        <v>0</v>
      </c>
      <c r="V1098" s="56" t="str">
        <f aca="false">IF(U1098&gt;0,RANK(U1098,$U$2:$U$1780)+COUNTIF($U$2:U1098,U1098)-1,"")</f>
        <v/>
      </c>
      <c r="W1098" s="56" t="str">
        <f aca="false">IF(V1098="","",IF(V1098&lt;=Settings!$B$11,"1 - Fix first",IF(V1098&lt;=Settings!$B$12,"2 - Review","3 - Monitor")))</f>
        <v/>
      </c>
      <c r="X1098" s="56" t="str">
        <f aca="false">IF(AND(E1098&gt;=Settings!$B$4,F1098&gt;=Settings!$B$5,O1098&gt;=Settings!$B$6),"HIGH RATE","")</f>
        <v/>
      </c>
      <c r="Y1098" s="56" t="str">
        <f aca="false">IF(F1098&gt;0,RANK(F1098,$F$2:$F$1780)+COUNTIF($F$2:F1098,F1098)-1,"")</f>
        <v/>
      </c>
      <c r="Z1098" s="56" t="str">
        <f aca="false">IF(H1098&gt;0,RANK(H1098,$H$2:$H$1780)+COUNTIF($H$2:H1098,H1098)-1,"")</f>
        <v/>
      </c>
      <c r="AA1098" s="56" t="str">
        <f aca="false">IF(AC1098="","",RANK(AC1098,$AC$2:$AC$1780)+COUNTIF($AC$2:AC1098,AC1098)-1)</f>
        <v/>
      </c>
      <c r="AB1098" s="56" t="str">
        <f aca="false">IF(AD1098="","",RANK(AD1098,$AD$2:$AD$1780)+COUNTIF($AD$2:AD1098,AD1098)-1)</f>
        <v/>
      </c>
      <c r="AC1098" s="56" t="str">
        <f aca="false">IF(AND(F1098&gt;0,E1098&gt;=Settings!$B$4),J1098,"")</f>
        <v/>
      </c>
      <c r="AD1098" s="56" t="str">
        <f aca="false">IF(X1098="HIGH RATE",O1098,"")</f>
        <v/>
      </c>
    </row>
    <row r="1099" customFormat="false" ht="15" hidden="false" customHeight="false" outlineLevel="0" collapsed="false">
      <c r="A1099" s="56" t="s">
        <v>2465</v>
      </c>
      <c r="B1099" s="56" t="s">
        <v>1123</v>
      </c>
      <c r="C1099" s="56" t="s">
        <v>55</v>
      </c>
      <c r="D1099" s="56" t="str">
        <f aca="false">IFERROR(INDEX('Brand Map'!$B$4:$B$124,MATCH(C1099,'Brand Map'!$A$4:$A$124,0)),"Other")</f>
        <v>AUMJ</v>
      </c>
      <c r="E1099" s="57" t="n">
        <v>1</v>
      </c>
      <c r="F1099" s="57" t="n">
        <v>0</v>
      </c>
      <c r="G1099" s="58" t="n">
        <v>68.13</v>
      </c>
      <c r="H1099" s="58" t="n">
        <v>0</v>
      </c>
      <c r="I1099" s="58" t="n">
        <v>57.92</v>
      </c>
      <c r="J1099" s="32" t="n">
        <f aca="false">IF(E1099&gt;0,F1099/E1099,0)</f>
        <v>0</v>
      </c>
      <c r="K1099" s="32" t="n">
        <f aca="false">IF(G1099&gt;0,H1099/G1099,0)</f>
        <v>-0</v>
      </c>
      <c r="L1099" s="59" t="n">
        <f aca="false">H1099/Settings!$B$16</f>
        <v>-0</v>
      </c>
      <c r="M1099" s="59" t="n">
        <f aca="false">H1099/Settings!$B$20</f>
        <v>-0</v>
      </c>
      <c r="N1099" s="60" t="n">
        <f aca="false">E1099*Settings!$B$3</f>
        <v>0.0309861510798204</v>
      </c>
      <c r="O1099" s="60" t="n">
        <f aca="false">IF(E1099&gt;0,(F1099-N1099)/SQRT(E1099*Settings!$B$3*(1-Settings!$B$3)),0)</f>
        <v>-0.178821125934444</v>
      </c>
      <c r="P1099" s="60" t="n">
        <f aca="false">MAX(0,F1099-N1099)</f>
        <v>0</v>
      </c>
      <c r="Q1099" s="32" t="n">
        <f aca="false">(F1099+Settings!$B$7*Settings!$B$3)/(E1099+Settings!$B$7)</f>
        <v>0.0299865978191811</v>
      </c>
      <c r="R1099" s="61" t="n">
        <f aca="false">PERCENTRANK($H$2:$H$1780,H1099,6)</f>
        <v>0</v>
      </c>
      <c r="S1099" s="61" t="n">
        <f aca="false">PERCENTRANK($Q$2:$Q$1780,Q1099,6)</f>
        <v>0.486502</v>
      </c>
      <c r="T1099" s="61" t="n">
        <f aca="false">PERCENTRANK($F$2:$F$1780,F1099,6)</f>
        <v>0</v>
      </c>
      <c r="U1099" s="62" t="n">
        <f aca="false">IF(F1099&gt;0,(Settings!$B$8*T1099+Settings!$B$9*R1099+Settings!$B$10*S1099)/SUM(Settings!$B$8:$B$10),0)</f>
        <v>0</v>
      </c>
      <c r="V1099" s="56" t="str">
        <f aca="false">IF(U1099&gt;0,RANK(U1099,$U$2:$U$1780)+COUNTIF($U$2:U1099,U1099)-1,"")</f>
        <v/>
      </c>
      <c r="W1099" s="56" t="str">
        <f aca="false">IF(V1099="","",IF(V1099&lt;=Settings!$B$11,"1 - Fix first",IF(V1099&lt;=Settings!$B$12,"2 - Review","3 - Monitor")))</f>
        <v/>
      </c>
      <c r="X1099" s="56" t="str">
        <f aca="false">IF(AND(E1099&gt;=Settings!$B$4,F1099&gt;=Settings!$B$5,O1099&gt;=Settings!$B$6),"HIGH RATE","")</f>
        <v/>
      </c>
      <c r="Y1099" s="56" t="str">
        <f aca="false">IF(F1099&gt;0,RANK(F1099,$F$2:$F$1780)+COUNTIF($F$2:F1099,F1099)-1,"")</f>
        <v/>
      </c>
      <c r="Z1099" s="56" t="str">
        <f aca="false">IF(H1099&gt;0,RANK(H1099,$H$2:$H$1780)+COUNTIF($H$2:H1099,H1099)-1,"")</f>
        <v/>
      </c>
      <c r="AA1099" s="56" t="str">
        <f aca="false">IF(AC1099="","",RANK(AC1099,$AC$2:$AC$1780)+COUNTIF($AC$2:AC1099,AC1099)-1)</f>
        <v/>
      </c>
      <c r="AB1099" s="56" t="str">
        <f aca="false">IF(AD1099="","",RANK(AD1099,$AD$2:$AD$1780)+COUNTIF($AD$2:AD1099,AD1099)-1)</f>
        <v/>
      </c>
      <c r="AC1099" s="56" t="str">
        <f aca="false">IF(AND(F1099&gt;0,E1099&gt;=Settings!$B$4),J1099,"")</f>
        <v/>
      </c>
      <c r="AD1099" s="56" t="str">
        <f aca="false">IF(X1099="HIGH RATE",O1099,"")</f>
        <v/>
      </c>
    </row>
    <row r="1100" customFormat="false" ht="15" hidden="false" customHeight="false" outlineLevel="0" collapsed="false">
      <c r="A1100" s="56" t="s">
        <v>2466</v>
      </c>
      <c r="B1100" s="56" t="s">
        <v>1123</v>
      </c>
      <c r="C1100" s="56" t="s">
        <v>55</v>
      </c>
      <c r="D1100" s="56" t="str">
        <f aca="false">IFERROR(INDEX('Brand Map'!$B$4:$B$124,MATCH(C1100,'Brand Map'!$A$4:$A$124,0)),"Other")</f>
        <v>AUMJ</v>
      </c>
      <c r="E1100" s="57" t="n">
        <v>1</v>
      </c>
      <c r="F1100" s="57" t="n">
        <v>0</v>
      </c>
      <c r="G1100" s="58" t="n">
        <v>141.95</v>
      </c>
      <c r="H1100" s="58" t="n">
        <v>0</v>
      </c>
      <c r="I1100" s="58" t="n">
        <v>141.95</v>
      </c>
      <c r="J1100" s="32" t="n">
        <f aca="false">IF(E1100&gt;0,F1100/E1100,0)</f>
        <v>0</v>
      </c>
      <c r="K1100" s="32" t="n">
        <f aca="false">IF(G1100&gt;0,H1100/G1100,0)</f>
        <v>-0</v>
      </c>
      <c r="L1100" s="59" t="n">
        <f aca="false">H1100/Settings!$B$16</f>
        <v>-0</v>
      </c>
      <c r="M1100" s="59" t="n">
        <f aca="false">H1100/Settings!$B$20</f>
        <v>-0</v>
      </c>
      <c r="N1100" s="60" t="n">
        <f aca="false">E1100*Settings!$B$3</f>
        <v>0.0309861510798204</v>
      </c>
      <c r="O1100" s="60" t="n">
        <f aca="false">IF(E1100&gt;0,(F1100-N1100)/SQRT(E1100*Settings!$B$3*(1-Settings!$B$3)),0)</f>
        <v>-0.178821125934444</v>
      </c>
      <c r="P1100" s="60" t="n">
        <f aca="false">MAX(0,F1100-N1100)</f>
        <v>0</v>
      </c>
      <c r="Q1100" s="32" t="n">
        <f aca="false">(F1100+Settings!$B$7*Settings!$B$3)/(E1100+Settings!$B$7)</f>
        <v>0.0299865978191811</v>
      </c>
      <c r="R1100" s="61" t="n">
        <f aca="false">PERCENTRANK($H$2:$H$1780,H1100,6)</f>
        <v>0</v>
      </c>
      <c r="S1100" s="61" t="n">
        <f aca="false">PERCENTRANK($Q$2:$Q$1780,Q1100,6)</f>
        <v>0.486502</v>
      </c>
      <c r="T1100" s="61" t="n">
        <f aca="false">PERCENTRANK($F$2:$F$1780,F1100,6)</f>
        <v>0</v>
      </c>
      <c r="U1100" s="62" t="n">
        <f aca="false">IF(F1100&gt;0,(Settings!$B$8*T1100+Settings!$B$9*R1100+Settings!$B$10*S1100)/SUM(Settings!$B$8:$B$10),0)</f>
        <v>0</v>
      </c>
      <c r="V1100" s="56" t="str">
        <f aca="false">IF(U1100&gt;0,RANK(U1100,$U$2:$U$1780)+COUNTIF($U$2:U1100,U1100)-1,"")</f>
        <v/>
      </c>
      <c r="W1100" s="56" t="str">
        <f aca="false">IF(V1100="","",IF(V1100&lt;=Settings!$B$11,"1 - Fix first",IF(V1100&lt;=Settings!$B$12,"2 - Review","3 - Monitor")))</f>
        <v/>
      </c>
      <c r="X1100" s="56" t="str">
        <f aca="false">IF(AND(E1100&gt;=Settings!$B$4,F1100&gt;=Settings!$B$5,O1100&gt;=Settings!$B$6),"HIGH RATE","")</f>
        <v/>
      </c>
      <c r="Y1100" s="56" t="str">
        <f aca="false">IF(F1100&gt;0,RANK(F1100,$F$2:$F$1780)+COUNTIF($F$2:F1100,F1100)-1,"")</f>
        <v/>
      </c>
      <c r="Z1100" s="56" t="str">
        <f aca="false">IF(H1100&gt;0,RANK(H1100,$H$2:$H$1780)+COUNTIF($H$2:H1100,H1100)-1,"")</f>
        <v/>
      </c>
      <c r="AA1100" s="56" t="str">
        <f aca="false">IF(AC1100="","",RANK(AC1100,$AC$2:$AC$1780)+COUNTIF($AC$2:AC1100,AC1100)-1)</f>
        <v/>
      </c>
      <c r="AB1100" s="56" t="str">
        <f aca="false">IF(AD1100="","",RANK(AD1100,$AD$2:$AD$1780)+COUNTIF($AD$2:AD1100,AD1100)-1)</f>
        <v/>
      </c>
      <c r="AC1100" s="56" t="str">
        <f aca="false">IF(AND(F1100&gt;0,E1100&gt;=Settings!$B$4),J1100,"")</f>
        <v/>
      </c>
      <c r="AD1100" s="56" t="str">
        <f aca="false">IF(X1100="HIGH RATE",O1100,"")</f>
        <v/>
      </c>
    </row>
    <row r="1101" customFormat="false" ht="15" hidden="false" customHeight="false" outlineLevel="0" collapsed="false">
      <c r="A1101" s="56" t="s">
        <v>2467</v>
      </c>
      <c r="B1101" s="56" t="s">
        <v>1123</v>
      </c>
      <c r="C1101" s="56" t="s">
        <v>55</v>
      </c>
      <c r="D1101" s="56" t="str">
        <f aca="false">IFERROR(INDEX('Brand Map'!$B$4:$B$124,MATCH(C1101,'Brand Map'!$A$4:$A$124,0)),"Other")</f>
        <v>AUMJ</v>
      </c>
      <c r="E1101" s="57" t="n">
        <v>1</v>
      </c>
      <c r="F1101" s="57" t="n">
        <v>0</v>
      </c>
      <c r="G1101" s="58" t="n">
        <v>156.95</v>
      </c>
      <c r="H1101" s="58" t="n">
        <v>0</v>
      </c>
      <c r="I1101" s="58" t="n">
        <v>156.95</v>
      </c>
      <c r="J1101" s="32" t="n">
        <f aca="false">IF(E1101&gt;0,F1101/E1101,0)</f>
        <v>0</v>
      </c>
      <c r="K1101" s="32" t="n">
        <f aca="false">IF(G1101&gt;0,H1101/G1101,0)</f>
        <v>-0</v>
      </c>
      <c r="L1101" s="59" t="n">
        <f aca="false">H1101/Settings!$B$16</f>
        <v>-0</v>
      </c>
      <c r="M1101" s="59" t="n">
        <f aca="false">H1101/Settings!$B$20</f>
        <v>-0</v>
      </c>
      <c r="N1101" s="60" t="n">
        <f aca="false">E1101*Settings!$B$3</f>
        <v>0.0309861510798204</v>
      </c>
      <c r="O1101" s="60" t="n">
        <f aca="false">IF(E1101&gt;0,(F1101-N1101)/SQRT(E1101*Settings!$B$3*(1-Settings!$B$3)),0)</f>
        <v>-0.178821125934444</v>
      </c>
      <c r="P1101" s="60" t="n">
        <f aca="false">MAX(0,F1101-N1101)</f>
        <v>0</v>
      </c>
      <c r="Q1101" s="32" t="n">
        <f aca="false">(F1101+Settings!$B$7*Settings!$B$3)/(E1101+Settings!$B$7)</f>
        <v>0.0299865978191811</v>
      </c>
      <c r="R1101" s="61" t="n">
        <f aca="false">PERCENTRANK($H$2:$H$1780,H1101,6)</f>
        <v>0</v>
      </c>
      <c r="S1101" s="61" t="n">
        <f aca="false">PERCENTRANK($Q$2:$Q$1780,Q1101,6)</f>
        <v>0.486502</v>
      </c>
      <c r="T1101" s="61" t="n">
        <f aca="false">PERCENTRANK($F$2:$F$1780,F1101,6)</f>
        <v>0</v>
      </c>
      <c r="U1101" s="62" t="n">
        <f aca="false">IF(F1101&gt;0,(Settings!$B$8*T1101+Settings!$B$9*R1101+Settings!$B$10*S1101)/SUM(Settings!$B$8:$B$10),0)</f>
        <v>0</v>
      </c>
      <c r="V1101" s="56" t="str">
        <f aca="false">IF(U1101&gt;0,RANK(U1101,$U$2:$U$1780)+COUNTIF($U$2:U1101,U1101)-1,"")</f>
        <v/>
      </c>
      <c r="W1101" s="56" t="str">
        <f aca="false">IF(V1101="","",IF(V1101&lt;=Settings!$B$11,"1 - Fix first",IF(V1101&lt;=Settings!$B$12,"2 - Review","3 - Monitor")))</f>
        <v/>
      </c>
      <c r="X1101" s="56" t="str">
        <f aca="false">IF(AND(E1101&gt;=Settings!$B$4,F1101&gt;=Settings!$B$5,O1101&gt;=Settings!$B$6),"HIGH RATE","")</f>
        <v/>
      </c>
      <c r="Y1101" s="56" t="str">
        <f aca="false">IF(F1101&gt;0,RANK(F1101,$F$2:$F$1780)+COUNTIF($F$2:F1101,F1101)-1,"")</f>
        <v/>
      </c>
      <c r="Z1101" s="56" t="str">
        <f aca="false">IF(H1101&gt;0,RANK(H1101,$H$2:$H$1780)+COUNTIF($H$2:H1101,H1101)-1,"")</f>
        <v/>
      </c>
      <c r="AA1101" s="56" t="str">
        <f aca="false">IF(AC1101="","",RANK(AC1101,$AC$2:$AC$1780)+COUNTIF($AC$2:AC1101,AC1101)-1)</f>
        <v/>
      </c>
      <c r="AB1101" s="56" t="str">
        <f aca="false">IF(AD1101="","",RANK(AD1101,$AD$2:$AD$1780)+COUNTIF($AD$2:AD1101,AD1101)-1)</f>
        <v/>
      </c>
      <c r="AC1101" s="56" t="str">
        <f aca="false">IF(AND(F1101&gt;0,E1101&gt;=Settings!$B$4),J1101,"")</f>
        <v/>
      </c>
      <c r="AD1101" s="56" t="str">
        <f aca="false">IF(X1101="HIGH RATE",O1101,"")</f>
        <v/>
      </c>
    </row>
    <row r="1102" customFormat="false" ht="15" hidden="false" customHeight="false" outlineLevel="0" collapsed="false">
      <c r="A1102" s="56" t="s">
        <v>2468</v>
      </c>
      <c r="B1102" s="56" t="s">
        <v>1123</v>
      </c>
      <c r="C1102" s="56" t="s">
        <v>55</v>
      </c>
      <c r="D1102" s="56" t="str">
        <f aca="false">IFERROR(INDEX('Brand Map'!$B$4:$B$124,MATCH(C1102,'Brand Map'!$A$4:$A$124,0)),"Other")</f>
        <v>AUMJ</v>
      </c>
      <c r="E1102" s="57" t="n">
        <v>6</v>
      </c>
      <c r="F1102" s="57" t="n">
        <v>0</v>
      </c>
      <c r="G1102" s="58" t="n">
        <v>384.45</v>
      </c>
      <c r="H1102" s="58" t="n">
        <v>0</v>
      </c>
      <c r="I1102" s="58" t="n">
        <v>365.38</v>
      </c>
      <c r="J1102" s="32" t="n">
        <f aca="false">IF(E1102&gt;0,F1102/E1102,0)</f>
        <v>0</v>
      </c>
      <c r="K1102" s="32" t="n">
        <f aca="false">IF(G1102&gt;0,H1102/G1102,0)</f>
        <v>-0</v>
      </c>
      <c r="L1102" s="59" t="n">
        <f aca="false">H1102/Settings!$B$16</f>
        <v>-0</v>
      </c>
      <c r="M1102" s="59" t="n">
        <f aca="false">H1102/Settings!$B$20</f>
        <v>-0</v>
      </c>
      <c r="N1102" s="60" t="n">
        <f aca="false">E1102*Settings!$B$3</f>
        <v>0.185916906478923</v>
      </c>
      <c r="O1102" s="60" t="n">
        <f aca="false">IF(E1102&gt;0,(F1102-N1102)/SQRT(E1102*Settings!$B$3*(1-Settings!$B$3)),0)</f>
        <v>-0.43802051376936</v>
      </c>
      <c r="P1102" s="60" t="n">
        <f aca="false">MAX(0,F1102-N1102)</f>
        <v>0</v>
      </c>
      <c r="Q1102" s="32" t="n">
        <f aca="false">(F1102+Settings!$B$7*Settings!$B$3)/(E1102+Settings!$B$7)</f>
        <v>0.025821792566517</v>
      </c>
      <c r="R1102" s="61" t="n">
        <f aca="false">PERCENTRANK($H$2:$H$1780,H1102,6)</f>
        <v>0</v>
      </c>
      <c r="S1102" s="61" t="n">
        <f aca="false">PERCENTRANK($Q$2:$Q$1780,Q1102,6)</f>
        <v>0.189539</v>
      </c>
      <c r="T1102" s="61" t="n">
        <f aca="false">PERCENTRANK($F$2:$F$1780,F1102,6)</f>
        <v>0</v>
      </c>
      <c r="U1102" s="62" t="n">
        <f aca="false">IF(F1102&gt;0,(Settings!$B$8*T1102+Settings!$B$9*R1102+Settings!$B$10*S1102)/SUM(Settings!$B$8:$B$10),0)</f>
        <v>0</v>
      </c>
      <c r="V1102" s="56" t="str">
        <f aca="false">IF(U1102&gt;0,RANK(U1102,$U$2:$U$1780)+COUNTIF($U$2:U1102,U1102)-1,"")</f>
        <v/>
      </c>
      <c r="W1102" s="56" t="str">
        <f aca="false">IF(V1102="","",IF(V1102&lt;=Settings!$B$11,"1 - Fix first",IF(V1102&lt;=Settings!$B$12,"2 - Review","3 - Monitor")))</f>
        <v/>
      </c>
      <c r="X1102" s="56" t="str">
        <f aca="false">IF(AND(E1102&gt;=Settings!$B$4,F1102&gt;=Settings!$B$5,O1102&gt;=Settings!$B$6),"HIGH RATE","")</f>
        <v/>
      </c>
      <c r="Y1102" s="56" t="str">
        <f aca="false">IF(F1102&gt;0,RANK(F1102,$F$2:$F$1780)+COUNTIF($F$2:F1102,F1102)-1,"")</f>
        <v/>
      </c>
      <c r="Z1102" s="56" t="str">
        <f aca="false">IF(H1102&gt;0,RANK(H1102,$H$2:$H$1780)+COUNTIF($H$2:H1102,H1102)-1,"")</f>
        <v/>
      </c>
      <c r="AA1102" s="56" t="str">
        <f aca="false">IF(AC1102="","",RANK(AC1102,$AC$2:$AC$1780)+COUNTIF($AC$2:AC1102,AC1102)-1)</f>
        <v/>
      </c>
      <c r="AB1102" s="56" t="str">
        <f aca="false">IF(AD1102="","",RANK(AD1102,$AD$2:$AD$1780)+COUNTIF($AD$2:AD1102,AD1102)-1)</f>
        <v/>
      </c>
      <c r="AC1102" s="56" t="str">
        <f aca="false">IF(AND(F1102&gt;0,E1102&gt;=Settings!$B$4),J1102,"")</f>
        <v/>
      </c>
      <c r="AD1102" s="56" t="str">
        <f aca="false">IF(X1102="HIGH RATE",O1102,"")</f>
        <v/>
      </c>
    </row>
    <row r="1103" customFormat="false" ht="15" hidden="false" customHeight="false" outlineLevel="0" collapsed="false">
      <c r="A1103" s="56" t="s">
        <v>2469</v>
      </c>
      <c r="B1103" s="56" t="s">
        <v>1123</v>
      </c>
      <c r="C1103" s="56" t="s">
        <v>55</v>
      </c>
      <c r="D1103" s="56" t="str">
        <f aca="false">IFERROR(INDEX('Brand Map'!$B$4:$B$124,MATCH(C1103,'Brand Map'!$A$4:$A$124,0)),"Other")</f>
        <v>AUMJ</v>
      </c>
      <c r="E1103" s="57" t="n">
        <v>2</v>
      </c>
      <c r="F1103" s="57" t="n">
        <v>0</v>
      </c>
      <c r="G1103" s="58" t="n">
        <v>145.36</v>
      </c>
      <c r="H1103" s="58" t="n">
        <v>0</v>
      </c>
      <c r="I1103" s="58" t="n">
        <v>145.36</v>
      </c>
      <c r="J1103" s="32" t="n">
        <f aca="false">IF(E1103&gt;0,F1103/E1103,0)</f>
        <v>0</v>
      </c>
      <c r="K1103" s="32" t="n">
        <f aca="false">IF(G1103&gt;0,H1103/G1103,0)</f>
        <v>-0</v>
      </c>
      <c r="L1103" s="59" t="n">
        <f aca="false">H1103/Settings!$B$16</f>
        <v>-0</v>
      </c>
      <c r="M1103" s="59" t="n">
        <f aca="false">H1103/Settings!$B$20</f>
        <v>-0</v>
      </c>
      <c r="N1103" s="60" t="n">
        <f aca="false">E1103*Settings!$B$3</f>
        <v>0.0619723021596408</v>
      </c>
      <c r="O1103" s="60" t="n">
        <f aca="false">IF(E1103&gt;0,(F1103-N1103)/SQRT(E1103*Settings!$B$3*(1-Settings!$B$3)),0)</f>
        <v>-0.252891261535318</v>
      </c>
      <c r="P1103" s="60" t="n">
        <f aca="false">MAX(0,F1103-N1103)</f>
        <v>0</v>
      </c>
      <c r="Q1103" s="32" t="n">
        <f aca="false">(F1103+Settings!$B$7*Settings!$B$3)/(E1103+Settings!$B$7)</f>
        <v>0.0290495166373316</v>
      </c>
      <c r="R1103" s="61" t="n">
        <f aca="false">PERCENTRANK($H$2:$H$1780,H1103,6)</f>
        <v>0</v>
      </c>
      <c r="S1103" s="61" t="n">
        <f aca="false">PERCENTRANK($Q$2:$Q$1780,Q1103,6)</f>
        <v>0.365579</v>
      </c>
      <c r="T1103" s="61" t="n">
        <f aca="false">PERCENTRANK($F$2:$F$1780,F1103,6)</f>
        <v>0</v>
      </c>
      <c r="U1103" s="62" t="n">
        <f aca="false">IF(F1103&gt;0,(Settings!$B$8*T1103+Settings!$B$9*R1103+Settings!$B$10*S1103)/SUM(Settings!$B$8:$B$10),0)</f>
        <v>0</v>
      </c>
      <c r="V1103" s="56" t="str">
        <f aca="false">IF(U1103&gt;0,RANK(U1103,$U$2:$U$1780)+COUNTIF($U$2:U1103,U1103)-1,"")</f>
        <v/>
      </c>
      <c r="W1103" s="56" t="str">
        <f aca="false">IF(V1103="","",IF(V1103&lt;=Settings!$B$11,"1 - Fix first",IF(V1103&lt;=Settings!$B$12,"2 - Review","3 - Monitor")))</f>
        <v/>
      </c>
      <c r="X1103" s="56" t="str">
        <f aca="false">IF(AND(E1103&gt;=Settings!$B$4,F1103&gt;=Settings!$B$5,O1103&gt;=Settings!$B$6),"HIGH RATE","")</f>
        <v/>
      </c>
      <c r="Y1103" s="56" t="str">
        <f aca="false">IF(F1103&gt;0,RANK(F1103,$F$2:$F$1780)+COUNTIF($F$2:F1103,F1103)-1,"")</f>
        <v/>
      </c>
      <c r="Z1103" s="56" t="str">
        <f aca="false">IF(H1103&gt;0,RANK(H1103,$H$2:$H$1780)+COUNTIF($H$2:H1103,H1103)-1,"")</f>
        <v/>
      </c>
      <c r="AA1103" s="56" t="str">
        <f aca="false">IF(AC1103="","",RANK(AC1103,$AC$2:$AC$1780)+COUNTIF($AC$2:AC1103,AC1103)-1)</f>
        <v/>
      </c>
      <c r="AB1103" s="56" t="str">
        <f aca="false">IF(AD1103="","",RANK(AD1103,$AD$2:$AD$1780)+COUNTIF($AD$2:AD1103,AD1103)-1)</f>
        <v/>
      </c>
      <c r="AC1103" s="56" t="str">
        <f aca="false">IF(AND(F1103&gt;0,E1103&gt;=Settings!$B$4),J1103,"")</f>
        <v/>
      </c>
      <c r="AD1103" s="56" t="str">
        <f aca="false">IF(X1103="HIGH RATE",O1103,"")</f>
        <v/>
      </c>
    </row>
    <row r="1104" customFormat="false" ht="15" hidden="false" customHeight="false" outlineLevel="0" collapsed="false">
      <c r="A1104" s="56" t="s">
        <v>2470</v>
      </c>
      <c r="B1104" s="56" t="s">
        <v>1154</v>
      </c>
      <c r="C1104" s="56" t="s">
        <v>55</v>
      </c>
      <c r="D1104" s="56" t="str">
        <f aca="false">IFERROR(INDEX('Brand Map'!$B$4:$B$124,MATCH(C1104,'Brand Map'!$A$4:$A$124,0)),"Other")</f>
        <v>AUMJ</v>
      </c>
      <c r="E1104" s="57" t="n">
        <v>1</v>
      </c>
      <c r="F1104" s="57" t="n">
        <v>0</v>
      </c>
      <c r="G1104" s="58" t="n">
        <v>110.95</v>
      </c>
      <c r="H1104" s="58" t="n">
        <v>0</v>
      </c>
      <c r="I1104" s="58" t="n">
        <v>110.95</v>
      </c>
      <c r="J1104" s="32" t="n">
        <f aca="false">IF(E1104&gt;0,F1104/E1104,0)</f>
        <v>0</v>
      </c>
      <c r="K1104" s="32" t="n">
        <f aca="false">IF(G1104&gt;0,H1104/G1104,0)</f>
        <v>-0</v>
      </c>
      <c r="L1104" s="59" t="n">
        <f aca="false">H1104/Settings!$B$16</f>
        <v>-0</v>
      </c>
      <c r="M1104" s="59" t="n">
        <f aca="false">H1104/Settings!$B$20</f>
        <v>-0</v>
      </c>
      <c r="N1104" s="60" t="n">
        <f aca="false">E1104*Settings!$B$3</f>
        <v>0.0309861510798204</v>
      </c>
      <c r="O1104" s="60" t="n">
        <f aca="false">IF(E1104&gt;0,(F1104-N1104)/SQRT(E1104*Settings!$B$3*(1-Settings!$B$3)),0)</f>
        <v>-0.178821125934444</v>
      </c>
      <c r="P1104" s="60" t="n">
        <f aca="false">MAX(0,F1104-N1104)</f>
        <v>0</v>
      </c>
      <c r="Q1104" s="32" t="n">
        <f aca="false">(F1104+Settings!$B$7*Settings!$B$3)/(E1104+Settings!$B$7)</f>
        <v>0.0299865978191811</v>
      </c>
      <c r="R1104" s="61" t="n">
        <f aca="false">PERCENTRANK($H$2:$H$1780,H1104,6)</f>
        <v>0</v>
      </c>
      <c r="S1104" s="61" t="n">
        <f aca="false">PERCENTRANK($Q$2:$Q$1780,Q1104,6)</f>
        <v>0.486502</v>
      </c>
      <c r="T1104" s="61" t="n">
        <f aca="false">PERCENTRANK($F$2:$F$1780,F1104,6)</f>
        <v>0</v>
      </c>
      <c r="U1104" s="62" t="n">
        <f aca="false">IF(F1104&gt;0,(Settings!$B$8*T1104+Settings!$B$9*R1104+Settings!$B$10*S1104)/SUM(Settings!$B$8:$B$10),0)</f>
        <v>0</v>
      </c>
      <c r="V1104" s="56" t="str">
        <f aca="false">IF(U1104&gt;0,RANK(U1104,$U$2:$U$1780)+COUNTIF($U$2:U1104,U1104)-1,"")</f>
        <v/>
      </c>
      <c r="W1104" s="56" t="str">
        <f aca="false">IF(V1104="","",IF(V1104&lt;=Settings!$B$11,"1 - Fix first",IF(V1104&lt;=Settings!$B$12,"2 - Review","3 - Monitor")))</f>
        <v/>
      </c>
      <c r="X1104" s="56" t="str">
        <f aca="false">IF(AND(E1104&gt;=Settings!$B$4,F1104&gt;=Settings!$B$5,O1104&gt;=Settings!$B$6),"HIGH RATE","")</f>
        <v/>
      </c>
      <c r="Y1104" s="56" t="str">
        <f aca="false">IF(F1104&gt;0,RANK(F1104,$F$2:$F$1780)+COUNTIF($F$2:F1104,F1104)-1,"")</f>
        <v/>
      </c>
      <c r="Z1104" s="56" t="str">
        <f aca="false">IF(H1104&gt;0,RANK(H1104,$H$2:$H$1780)+COUNTIF($H$2:H1104,H1104)-1,"")</f>
        <v/>
      </c>
      <c r="AA1104" s="56" t="str">
        <f aca="false">IF(AC1104="","",RANK(AC1104,$AC$2:$AC$1780)+COUNTIF($AC$2:AC1104,AC1104)-1)</f>
        <v/>
      </c>
      <c r="AB1104" s="56" t="str">
        <f aca="false">IF(AD1104="","",RANK(AD1104,$AD$2:$AD$1780)+COUNTIF($AD$2:AD1104,AD1104)-1)</f>
        <v/>
      </c>
      <c r="AC1104" s="56" t="str">
        <f aca="false">IF(AND(F1104&gt;0,E1104&gt;=Settings!$B$4),J1104,"")</f>
        <v/>
      </c>
      <c r="AD1104" s="56" t="str">
        <f aca="false">IF(X1104="HIGH RATE",O1104,"")</f>
        <v/>
      </c>
    </row>
    <row r="1105" customFormat="false" ht="15" hidden="false" customHeight="false" outlineLevel="0" collapsed="false">
      <c r="A1105" s="56" t="s">
        <v>2471</v>
      </c>
      <c r="B1105" s="56" t="s">
        <v>1154</v>
      </c>
      <c r="C1105" s="56" t="s">
        <v>55</v>
      </c>
      <c r="D1105" s="56" t="str">
        <f aca="false">IFERROR(INDEX('Brand Map'!$B$4:$B$124,MATCH(C1105,'Brand Map'!$A$4:$A$124,0)),"Other")</f>
        <v>AUMJ</v>
      </c>
      <c r="E1105" s="57" t="n">
        <v>1</v>
      </c>
      <c r="F1105" s="57" t="n">
        <v>0</v>
      </c>
      <c r="G1105" s="58" t="n">
        <v>110.95</v>
      </c>
      <c r="H1105" s="58" t="n">
        <v>0</v>
      </c>
      <c r="I1105" s="58" t="n">
        <v>94.31</v>
      </c>
      <c r="J1105" s="32" t="n">
        <f aca="false">IF(E1105&gt;0,F1105/E1105,0)</f>
        <v>0</v>
      </c>
      <c r="K1105" s="32" t="n">
        <f aca="false">IF(G1105&gt;0,H1105/G1105,0)</f>
        <v>-0</v>
      </c>
      <c r="L1105" s="59" t="n">
        <f aca="false">H1105/Settings!$B$16</f>
        <v>-0</v>
      </c>
      <c r="M1105" s="59" t="n">
        <f aca="false">H1105/Settings!$B$20</f>
        <v>-0</v>
      </c>
      <c r="N1105" s="60" t="n">
        <f aca="false">E1105*Settings!$B$3</f>
        <v>0.0309861510798204</v>
      </c>
      <c r="O1105" s="60" t="n">
        <f aca="false">IF(E1105&gt;0,(F1105-N1105)/SQRT(E1105*Settings!$B$3*(1-Settings!$B$3)),0)</f>
        <v>-0.178821125934444</v>
      </c>
      <c r="P1105" s="60" t="n">
        <f aca="false">MAX(0,F1105-N1105)</f>
        <v>0</v>
      </c>
      <c r="Q1105" s="32" t="n">
        <f aca="false">(F1105+Settings!$B$7*Settings!$B$3)/(E1105+Settings!$B$7)</f>
        <v>0.0299865978191811</v>
      </c>
      <c r="R1105" s="61" t="n">
        <f aca="false">PERCENTRANK($H$2:$H$1780,H1105,6)</f>
        <v>0</v>
      </c>
      <c r="S1105" s="61" t="n">
        <f aca="false">PERCENTRANK($Q$2:$Q$1780,Q1105,6)</f>
        <v>0.486502</v>
      </c>
      <c r="T1105" s="61" t="n">
        <f aca="false">PERCENTRANK($F$2:$F$1780,F1105,6)</f>
        <v>0</v>
      </c>
      <c r="U1105" s="62" t="n">
        <f aca="false">IF(F1105&gt;0,(Settings!$B$8*T1105+Settings!$B$9*R1105+Settings!$B$10*S1105)/SUM(Settings!$B$8:$B$10),0)</f>
        <v>0</v>
      </c>
      <c r="V1105" s="56" t="str">
        <f aca="false">IF(U1105&gt;0,RANK(U1105,$U$2:$U$1780)+COUNTIF($U$2:U1105,U1105)-1,"")</f>
        <v/>
      </c>
      <c r="W1105" s="56" t="str">
        <f aca="false">IF(V1105="","",IF(V1105&lt;=Settings!$B$11,"1 - Fix first",IF(V1105&lt;=Settings!$B$12,"2 - Review","3 - Monitor")))</f>
        <v/>
      </c>
      <c r="X1105" s="56" t="str">
        <f aca="false">IF(AND(E1105&gt;=Settings!$B$4,F1105&gt;=Settings!$B$5,O1105&gt;=Settings!$B$6),"HIGH RATE","")</f>
        <v/>
      </c>
      <c r="Y1105" s="56" t="str">
        <f aca="false">IF(F1105&gt;0,RANK(F1105,$F$2:$F$1780)+COUNTIF($F$2:F1105,F1105)-1,"")</f>
        <v/>
      </c>
      <c r="Z1105" s="56" t="str">
        <f aca="false">IF(H1105&gt;0,RANK(H1105,$H$2:$H$1780)+COUNTIF($H$2:H1105,H1105)-1,"")</f>
        <v/>
      </c>
      <c r="AA1105" s="56" t="str">
        <f aca="false">IF(AC1105="","",RANK(AC1105,$AC$2:$AC$1780)+COUNTIF($AC$2:AC1105,AC1105)-1)</f>
        <v/>
      </c>
      <c r="AB1105" s="56" t="str">
        <f aca="false">IF(AD1105="","",RANK(AD1105,$AD$2:$AD$1780)+COUNTIF($AD$2:AD1105,AD1105)-1)</f>
        <v/>
      </c>
      <c r="AC1105" s="56" t="str">
        <f aca="false">IF(AND(F1105&gt;0,E1105&gt;=Settings!$B$4),J1105,"")</f>
        <v/>
      </c>
      <c r="AD1105" s="56" t="str">
        <f aca="false">IF(X1105="HIGH RATE",O1105,"")</f>
        <v/>
      </c>
    </row>
    <row r="1106" customFormat="false" ht="15" hidden="false" customHeight="false" outlineLevel="0" collapsed="false">
      <c r="A1106" s="56" t="s">
        <v>2472</v>
      </c>
      <c r="B1106" s="56" t="s">
        <v>1154</v>
      </c>
      <c r="C1106" s="56" t="s">
        <v>55</v>
      </c>
      <c r="D1106" s="56" t="str">
        <f aca="false">IFERROR(INDEX('Brand Map'!$B$4:$B$124,MATCH(C1106,'Brand Map'!$A$4:$A$124,0)),"Other")</f>
        <v>AUMJ</v>
      </c>
      <c r="E1106" s="57" t="n">
        <v>1</v>
      </c>
      <c r="F1106" s="57" t="n">
        <v>0</v>
      </c>
      <c r="G1106" s="58" t="n">
        <v>140.95</v>
      </c>
      <c r="H1106" s="58" t="n">
        <v>0</v>
      </c>
      <c r="I1106" s="58" t="n">
        <v>140.95</v>
      </c>
      <c r="J1106" s="32" t="n">
        <f aca="false">IF(E1106&gt;0,F1106/E1106,0)</f>
        <v>0</v>
      </c>
      <c r="K1106" s="32" t="n">
        <f aca="false">IF(G1106&gt;0,H1106/G1106,0)</f>
        <v>-0</v>
      </c>
      <c r="L1106" s="59" t="n">
        <f aca="false">H1106/Settings!$B$16</f>
        <v>-0</v>
      </c>
      <c r="M1106" s="59" t="n">
        <f aca="false">H1106/Settings!$B$20</f>
        <v>-0</v>
      </c>
      <c r="N1106" s="60" t="n">
        <f aca="false">E1106*Settings!$B$3</f>
        <v>0.0309861510798204</v>
      </c>
      <c r="O1106" s="60" t="n">
        <f aca="false">IF(E1106&gt;0,(F1106-N1106)/SQRT(E1106*Settings!$B$3*(1-Settings!$B$3)),0)</f>
        <v>-0.178821125934444</v>
      </c>
      <c r="P1106" s="60" t="n">
        <f aca="false">MAX(0,F1106-N1106)</f>
        <v>0</v>
      </c>
      <c r="Q1106" s="32" t="n">
        <f aca="false">(F1106+Settings!$B$7*Settings!$B$3)/(E1106+Settings!$B$7)</f>
        <v>0.0299865978191811</v>
      </c>
      <c r="R1106" s="61" t="n">
        <f aca="false">PERCENTRANK($H$2:$H$1780,H1106,6)</f>
        <v>0</v>
      </c>
      <c r="S1106" s="61" t="n">
        <f aca="false">PERCENTRANK($Q$2:$Q$1780,Q1106,6)</f>
        <v>0.486502</v>
      </c>
      <c r="T1106" s="61" t="n">
        <f aca="false">PERCENTRANK($F$2:$F$1780,F1106,6)</f>
        <v>0</v>
      </c>
      <c r="U1106" s="62" t="n">
        <f aca="false">IF(F1106&gt;0,(Settings!$B$8*T1106+Settings!$B$9*R1106+Settings!$B$10*S1106)/SUM(Settings!$B$8:$B$10),0)</f>
        <v>0</v>
      </c>
      <c r="V1106" s="56" t="str">
        <f aca="false">IF(U1106&gt;0,RANK(U1106,$U$2:$U$1780)+COUNTIF($U$2:U1106,U1106)-1,"")</f>
        <v/>
      </c>
      <c r="W1106" s="56" t="str">
        <f aca="false">IF(V1106="","",IF(V1106&lt;=Settings!$B$11,"1 - Fix first",IF(V1106&lt;=Settings!$B$12,"2 - Review","3 - Monitor")))</f>
        <v/>
      </c>
      <c r="X1106" s="56" t="str">
        <f aca="false">IF(AND(E1106&gt;=Settings!$B$4,F1106&gt;=Settings!$B$5,O1106&gt;=Settings!$B$6),"HIGH RATE","")</f>
        <v/>
      </c>
      <c r="Y1106" s="56" t="str">
        <f aca="false">IF(F1106&gt;0,RANK(F1106,$F$2:$F$1780)+COUNTIF($F$2:F1106,F1106)-1,"")</f>
        <v/>
      </c>
      <c r="Z1106" s="56" t="str">
        <f aca="false">IF(H1106&gt;0,RANK(H1106,$H$2:$H$1780)+COUNTIF($H$2:H1106,H1106)-1,"")</f>
        <v/>
      </c>
      <c r="AA1106" s="56" t="str">
        <f aca="false">IF(AC1106="","",RANK(AC1106,$AC$2:$AC$1780)+COUNTIF($AC$2:AC1106,AC1106)-1)</f>
        <v/>
      </c>
      <c r="AB1106" s="56" t="str">
        <f aca="false">IF(AD1106="","",RANK(AD1106,$AD$2:$AD$1780)+COUNTIF($AD$2:AD1106,AD1106)-1)</f>
        <v/>
      </c>
      <c r="AC1106" s="56" t="str">
        <f aca="false">IF(AND(F1106&gt;0,E1106&gt;=Settings!$B$4),J1106,"")</f>
        <v/>
      </c>
      <c r="AD1106" s="56" t="str">
        <f aca="false">IF(X1106="HIGH RATE",O1106,"")</f>
        <v/>
      </c>
    </row>
    <row r="1107" customFormat="false" ht="15" hidden="false" customHeight="false" outlineLevel="0" collapsed="false">
      <c r="A1107" s="56" t="s">
        <v>2473</v>
      </c>
      <c r="B1107" s="56" t="s">
        <v>1154</v>
      </c>
      <c r="C1107" s="56" t="s">
        <v>55</v>
      </c>
      <c r="D1107" s="56" t="str">
        <f aca="false">IFERROR(INDEX('Brand Map'!$B$4:$B$124,MATCH(C1107,'Brand Map'!$A$4:$A$124,0)),"Other")</f>
        <v>AUMJ</v>
      </c>
      <c r="E1107" s="57" t="n">
        <v>1</v>
      </c>
      <c r="F1107" s="57" t="n">
        <v>0</v>
      </c>
      <c r="G1107" s="58" t="n">
        <v>77.22</v>
      </c>
      <c r="H1107" s="58" t="n">
        <v>0</v>
      </c>
      <c r="I1107" s="58" t="n">
        <v>65.65</v>
      </c>
      <c r="J1107" s="32" t="n">
        <f aca="false">IF(E1107&gt;0,F1107/E1107,0)</f>
        <v>0</v>
      </c>
      <c r="K1107" s="32" t="n">
        <f aca="false">IF(G1107&gt;0,H1107/G1107,0)</f>
        <v>-0</v>
      </c>
      <c r="L1107" s="59" t="n">
        <f aca="false">H1107/Settings!$B$16</f>
        <v>-0</v>
      </c>
      <c r="M1107" s="59" t="n">
        <f aca="false">H1107/Settings!$B$20</f>
        <v>-0</v>
      </c>
      <c r="N1107" s="60" t="n">
        <f aca="false">E1107*Settings!$B$3</f>
        <v>0.0309861510798204</v>
      </c>
      <c r="O1107" s="60" t="n">
        <f aca="false">IF(E1107&gt;0,(F1107-N1107)/SQRT(E1107*Settings!$B$3*(1-Settings!$B$3)),0)</f>
        <v>-0.178821125934444</v>
      </c>
      <c r="P1107" s="60" t="n">
        <f aca="false">MAX(0,F1107-N1107)</f>
        <v>0</v>
      </c>
      <c r="Q1107" s="32" t="n">
        <f aca="false">(F1107+Settings!$B$7*Settings!$B$3)/(E1107+Settings!$B$7)</f>
        <v>0.0299865978191811</v>
      </c>
      <c r="R1107" s="61" t="n">
        <f aca="false">PERCENTRANK($H$2:$H$1780,H1107,6)</f>
        <v>0</v>
      </c>
      <c r="S1107" s="61" t="n">
        <f aca="false">PERCENTRANK($Q$2:$Q$1780,Q1107,6)</f>
        <v>0.486502</v>
      </c>
      <c r="T1107" s="61" t="n">
        <f aca="false">PERCENTRANK($F$2:$F$1780,F1107,6)</f>
        <v>0</v>
      </c>
      <c r="U1107" s="62" t="n">
        <f aca="false">IF(F1107&gt;0,(Settings!$B$8*T1107+Settings!$B$9*R1107+Settings!$B$10*S1107)/SUM(Settings!$B$8:$B$10),0)</f>
        <v>0</v>
      </c>
      <c r="V1107" s="56" t="str">
        <f aca="false">IF(U1107&gt;0,RANK(U1107,$U$2:$U$1780)+COUNTIF($U$2:U1107,U1107)-1,"")</f>
        <v/>
      </c>
      <c r="W1107" s="56" t="str">
        <f aca="false">IF(V1107="","",IF(V1107&lt;=Settings!$B$11,"1 - Fix first",IF(V1107&lt;=Settings!$B$12,"2 - Review","3 - Monitor")))</f>
        <v/>
      </c>
      <c r="X1107" s="56" t="str">
        <f aca="false">IF(AND(E1107&gt;=Settings!$B$4,F1107&gt;=Settings!$B$5,O1107&gt;=Settings!$B$6),"HIGH RATE","")</f>
        <v/>
      </c>
      <c r="Y1107" s="56" t="str">
        <f aca="false">IF(F1107&gt;0,RANK(F1107,$F$2:$F$1780)+COUNTIF($F$2:F1107,F1107)-1,"")</f>
        <v/>
      </c>
      <c r="Z1107" s="56" t="str">
        <f aca="false">IF(H1107&gt;0,RANK(H1107,$H$2:$H$1780)+COUNTIF($H$2:H1107,H1107)-1,"")</f>
        <v/>
      </c>
      <c r="AA1107" s="56" t="str">
        <f aca="false">IF(AC1107="","",RANK(AC1107,$AC$2:$AC$1780)+COUNTIF($AC$2:AC1107,AC1107)-1)</f>
        <v/>
      </c>
      <c r="AB1107" s="56" t="str">
        <f aca="false">IF(AD1107="","",RANK(AD1107,$AD$2:$AD$1780)+COUNTIF($AD$2:AD1107,AD1107)-1)</f>
        <v/>
      </c>
      <c r="AC1107" s="56" t="str">
        <f aca="false">IF(AND(F1107&gt;0,E1107&gt;=Settings!$B$4),J1107,"")</f>
        <v/>
      </c>
      <c r="AD1107" s="56" t="str">
        <f aca="false">IF(X1107="HIGH RATE",O1107,"")</f>
        <v/>
      </c>
    </row>
    <row r="1108" customFormat="false" ht="15" hidden="false" customHeight="false" outlineLevel="0" collapsed="false">
      <c r="A1108" s="56" t="s">
        <v>2474</v>
      </c>
      <c r="B1108" s="56" t="s">
        <v>1154</v>
      </c>
      <c r="C1108" s="56" t="s">
        <v>55</v>
      </c>
      <c r="D1108" s="56" t="str">
        <f aca="false">IFERROR(INDEX('Brand Map'!$B$4:$B$124,MATCH(C1108,'Brand Map'!$A$4:$A$124,0)),"Other")</f>
        <v>AUMJ</v>
      </c>
      <c r="E1108" s="57" t="n">
        <v>3</v>
      </c>
      <c r="F1108" s="57" t="n">
        <v>0</v>
      </c>
      <c r="G1108" s="58" t="n">
        <v>287.85</v>
      </c>
      <c r="H1108" s="58" t="n">
        <v>0</v>
      </c>
      <c r="I1108" s="58" t="n">
        <v>287.85</v>
      </c>
      <c r="J1108" s="32" t="n">
        <f aca="false">IF(E1108&gt;0,F1108/E1108,0)</f>
        <v>0</v>
      </c>
      <c r="K1108" s="32" t="n">
        <f aca="false">IF(G1108&gt;0,H1108/G1108,0)</f>
        <v>-0</v>
      </c>
      <c r="L1108" s="59" t="n">
        <f aca="false">H1108/Settings!$B$16</f>
        <v>-0</v>
      </c>
      <c r="M1108" s="59" t="n">
        <f aca="false">H1108/Settings!$B$20</f>
        <v>-0</v>
      </c>
      <c r="N1108" s="60" t="n">
        <f aca="false">E1108*Settings!$B$3</f>
        <v>0.0929584532394613</v>
      </c>
      <c r="O1108" s="60" t="n">
        <f aca="false">IF(E1108&gt;0,(F1108-N1108)/SQRT(E1108*Settings!$B$3*(1-Settings!$B$3)),0)</f>
        <v>-0.30972727558513</v>
      </c>
      <c r="P1108" s="60" t="n">
        <f aca="false">MAX(0,F1108-N1108)</f>
        <v>0</v>
      </c>
      <c r="Q1108" s="32" t="n">
        <f aca="false">(F1108+Settings!$B$7*Settings!$B$3)/(E1108+Settings!$B$7)</f>
        <v>0.0281692282543822</v>
      </c>
      <c r="R1108" s="61" t="n">
        <f aca="false">PERCENTRANK($H$2:$H$1780,H1108,6)</f>
        <v>0</v>
      </c>
      <c r="S1108" s="61" t="n">
        <f aca="false">PERCENTRANK($Q$2:$Q$1780,Q1108,6)</f>
        <v>0.294151</v>
      </c>
      <c r="T1108" s="61" t="n">
        <f aca="false">PERCENTRANK($F$2:$F$1780,F1108,6)</f>
        <v>0</v>
      </c>
      <c r="U1108" s="62" t="n">
        <f aca="false">IF(F1108&gt;0,(Settings!$B$8*T1108+Settings!$B$9*R1108+Settings!$B$10*S1108)/SUM(Settings!$B$8:$B$10),0)</f>
        <v>0</v>
      </c>
      <c r="V1108" s="56" t="str">
        <f aca="false">IF(U1108&gt;0,RANK(U1108,$U$2:$U$1780)+COUNTIF($U$2:U1108,U1108)-1,"")</f>
        <v/>
      </c>
      <c r="W1108" s="56" t="str">
        <f aca="false">IF(V1108="","",IF(V1108&lt;=Settings!$B$11,"1 - Fix first",IF(V1108&lt;=Settings!$B$12,"2 - Review","3 - Monitor")))</f>
        <v/>
      </c>
      <c r="X1108" s="56" t="str">
        <f aca="false">IF(AND(E1108&gt;=Settings!$B$4,F1108&gt;=Settings!$B$5,O1108&gt;=Settings!$B$6),"HIGH RATE","")</f>
        <v/>
      </c>
      <c r="Y1108" s="56" t="str">
        <f aca="false">IF(F1108&gt;0,RANK(F1108,$F$2:$F$1780)+COUNTIF($F$2:F1108,F1108)-1,"")</f>
        <v/>
      </c>
      <c r="Z1108" s="56" t="str">
        <f aca="false">IF(H1108&gt;0,RANK(H1108,$H$2:$H$1780)+COUNTIF($H$2:H1108,H1108)-1,"")</f>
        <v/>
      </c>
      <c r="AA1108" s="56" t="str">
        <f aca="false">IF(AC1108="","",RANK(AC1108,$AC$2:$AC$1780)+COUNTIF($AC$2:AC1108,AC1108)-1)</f>
        <v/>
      </c>
      <c r="AB1108" s="56" t="str">
        <f aca="false">IF(AD1108="","",RANK(AD1108,$AD$2:$AD$1780)+COUNTIF($AD$2:AD1108,AD1108)-1)</f>
        <v/>
      </c>
      <c r="AC1108" s="56" t="str">
        <f aca="false">IF(AND(F1108&gt;0,E1108&gt;=Settings!$B$4),J1108,"")</f>
        <v/>
      </c>
      <c r="AD1108" s="56" t="str">
        <f aca="false">IF(X1108="HIGH RATE",O1108,"")</f>
        <v/>
      </c>
    </row>
    <row r="1109" customFormat="false" ht="15" hidden="false" customHeight="false" outlineLevel="0" collapsed="false">
      <c r="A1109" s="56" t="s">
        <v>2475</v>
      </c>
      <c r="B1109" s="56" t="s">
        <v>1154</v>
      </c>
      <c r="C1109" s="56" t="s">
        <v>55</v>
      </c>
      <c r="D1109" s="56" t="str">
        <f aca="false">IFERROR(INDEX('Brand Map'!$B$4:$B$124,MATCH(C1109,'Brand Map'!$A$4:$A$124,0)),"Other")</f>
        <v>AUMJ</v>
      </c>
      <c r="E1109" s="57" t="n">
        <v>1</v>
      </c>
      <c r="F1109" s="57" t="n">
        <v>0</v>
      </c>
      <c r="G1109" s="58" t="n">
        <v>77.23</v>
      </c>
      <c r="H1109" s="58" t="n">
        <v>0</v>
      </c>
      <c r="I1109" s="58" t="n">
        <v>77.23</v>
      </c>
      <c r="J1109" s="32" t="n">
        <f aca="false">IF(E1109&gt;0,F1109/E1109,0)</f>
        <v>0</v>
      </c>
      <c r="K1109" s="32" t="n">
        <f aca="false">IF(G1109&gt;0,H1109/G1109,0)</f>
        <v>-0</v>
      </c>
      <c r="L1109" s="59" t="n">
        <f aca="false">H1109/Settings!$B$16</f>
        <v>-0</v>
      </c>
      <c r="M1109" s="59" t="n">
        <f aca="false">H1109/Settings!$B$20</f>
        <v>-0</v>
      </c>
      <c r="N1109" s="60" t="n">
        <f aca="false">E1109*Settings!$B$3</f>
        <v>0.0309861510798204</v>
      </c>
      <c r="O1109" s="60" t="n">
        <f aca="false">IF(E1109&gt;0,(F1109-N1109)/SQRT(E1109*Settings!$B$3*(1-Settings!$B$3)),0)</f>
        <v>-0.178821125934444</v>
      </c>
      <c r="P1109" s="60" t="n">
        <f aca="false">MAX(0,F1109-N1109)</f>
        <v>0</v>
      </c>
      <c r="Q1109" s="32" t="n">
        <f aca="false">(F1109+Settings!$B$7*Settings!$B$3)/(E1109+Settings!$B$7)</f>
        <v>0.0299865978191811</v>
      </c>
      <c r="R1109" s="61" t="n">
        <f aca="false">PERCENTRANK($H$2:$H$1780,H1109,6)</f>
        <v>0</v>
      </c>
      <c r="S1109" s="61" t="n">
        <f aca="false">PERCENTRANK($Q$2:$Q$1780,Q1109,6)</f>
        <v>0.486502</v>
      </c>
      <c r="T1109" s="61" t="n">
        <f aca="false">PERCENTRANK($F$2:$F$1780,F1109,6)</f>
        <v>0</v>
      </c>
      <c r="U1109" s="62" t="n">
        <f aca="false">IF(F1109&gt;0,(Settings!$B$8*T1109+Settings!$B$9*R1109+Settings!$B$10*S1109)/SUM(Settings!$B$8:$B$10),0)</f>
        <v>0</v>
      </c>
      <c r="V1109" s="56" t="str">
        <f aca="false">IF(U1109&gt;0,RANK(U1109,$U$2:$U$1780)+COUNTIF($U$2:U1109,U1109)-1,"")</f>
        <v/>
      </c>
      <c r="W1109" s="56" t="str">
        <f aca="false">IF(V1109="","",IF(V1109&lt;=Settings!$B$11,"1 - Fix first",IF(V1109&lt;=Settings!$B$12,"2 - Review","3 - Monitor")))</f>
        <v/>
      </c>
      <c r="X1109" s="56" t="str">
        <f aca="false">IF(AND(E1109&gt;=Settings!$B$4,F1109&gt;=Settings!$B$5,O1109&gt;=Settings!$B$6),"HIGH RATE","")</f>
        <v/>
      </c>
      <c r="Y1109" s="56" t="str">
        <f aca="false">IF(F1109&gt;0,RANK(F1109,$F$2:$F$1780)+COUNTIF($F$2:F1109,F1109)-1,"")</f>
        <v/>
      </c>
      <c r="Z1109" s="56" t="str">
        <f aca="false">IF(H1109&gt;0,RANK(H1109,$H$2:$H$1780)+COUNTIF($H$2:H1109,H1109)-1,"")</f>
        <v/>
      </c>
      <c r="AA1109" s="56" t="str">
        <f aca="false">IF(AC1109="","",RANK(AC1109,$AC$2:$AC$1780)+COUNTIF($AC$2:AC1109,AC1109)-1)</f>
        <v/>
      </c>
      <c r="AB1109" s="56" t="str">
        <f aca="false">IF(AD1109="","",RANK(AD1109,$AD$2:$AD$1780)+COUNTIF($AD$2:AD1109,AD1109)-1)</f>
        <v/>
      </c>
      <c r="AC1109" s="56" t="str">
        <f aca="false">IF(AND(F1109&gt;0,E1109&gt;=Settings!$B$4),J1109,"")</f>
        <v/>
      </c>
      <c r="AD1109" s="56" t="str">
        <f aca="false">IF(X1109="HIGH RATE",O1109,"")</f>
        <v/>
      </c>
    </row>
    <row r="1110" customFormat="false" ht="15" hidden="false" customHeight="false" outlineLevel="0" collapsed="false">
      <c r="A1110" s="56" t="s">
        <v>2476</v>
      </c>
      <c r="B1110" s="56" t="s">
        <v>958</v>
      </c>
      <c r="C1110" s="56" t="s">
        <v>55</v>
      </c>
      <c r="D1110" s="56" t="str">
        <f aca="false">IFERROR(INDEX('Brand Map'!$B$4:$B$124,MATCH(C1110,'Brand Map'!$A$4:$A$124,0)),"Other")</f>
        <v>AUMJ</v>
      </c>
      <c r="E1110" s="57" t="n">
        <v>6</v>
      </c>
      <c r="F1110" s="57" t="n">
        <v>0</v>
      </c>
      <c r="G1110" s="58" t="n">
        <v>539.7</v>
      </c>
      <c r="H1110" s="58" t="n">
        <v>0</v>
      </c>
      <c r="I1110" s="58" t="n">
        <v>539.7</v>
      </c>
      <c r="J1110" s="32" t="n">
        <f aca="false">IF(E1110&gt;0,F1110/E1110,0)</f>
        <v>0</v>
      </c>
      <c r="K1110" s="32" t="n">
        <f aca="false">IF(G1110&gt;0,H1110/G1110,0)</f>
        <v>-0</v>
      </c>
      <c r="L1110" s="59" t="n">
        <f aca="false">H1110/Settings!$B$16</f>
        <v>-0</v>
      </c>
      <c r="M1110" s="59" t="n">
        <f aca="false">H1110/Settings!$B$20</f>
        <v>-0</v>
      </c>
      <c r="N1110" s="60" t="n">
        <f aca="false">E1110*Settings!$B$3</f>
        <v>0.185916906478923</v>
      </c>
      <c r="O1110" s="60" t="n">
        <f aca="false">IF(E1110&gt;0,(F1110-N1110)/SQRT(E1110*Settings!$B$3*(1-Settings!$B$3)),0)</f>
        <v>-0.43802051376936</v>
      </c>
      <c r="P1110" s="60" t="n">
        <f aca="false">MAX(0,F1110-N1110)</f>
        <v>0</v>
      </c>
      <c r="Q1110" s="32" t="n">
        <f aca="false">(F1110+Settings!$B$7*Settings!$B$3)/(E1110+Settings!$B$7)</f>
        <v>0.025821792566517</v>
      </c>
      <c r="R1110" s="61" t="n">
        <f aca="false">PERCENTRANK($H$2:$H$1780,H1110,6)</f>
        <v>0</v>
      </c>
      <c r="S1110" s="61" t="n">
        <f aca="false">PERCENTRANK($Q$2:$Q$1780,Q1110,6)</f>
        <v>0.189539</v>
      </c>
      <c r="T1110" s="61" t="n">
        <f aca="false">PERCENTRANK($F$2:$F$1780,F1110,6)</f>
        <v>0</v>
      </c>
      <c r="U1110" s="62" t="n">
        <f aca="false">IF(F1110&gt;0,(Settings!$B$8*T1110+Settings!$B$9*R1110+Settings!$B$10*S1110)/SUM(Settings!$B$8:$B$10),0)</f>
        <v>0</v>
      </c>
      <c r="V1110" s="56" t="str">
        <f aca="false">IF(U1110&gt;0,RANK(U1110,$U$2:$U$1780)+COUNTIF($U$2:U1110,U1110)-1,"")</f>
        <v/>
      </c>
      <c r="W1110" s="56" t="str">
        <f aca="false">IF(V1110="","",IF(V1110&lt;=Settings!$B$11,"1 - Fix first",IF(V1110&lt;=Settings!$B$12,"2 - Review","3 - Monitor")))</f>
        <v/>
      </c>
      <c r="X1110" s="56" t="str">
        <f aca="false">IF(AND(E1110&gt;=Settings!$B$4,F1110&gt;=Settings!$B$5,O1110&gt;=Settings!$B$6),"HIGH RATE","")</f>
        <v/>
      </c>
      <c r="Y1110" s="56" t="str">
        <f aca="false">IF(F1110&gt;0,RANK(F1110,$F$2:$F$1780)+COUNTIF($F$2:F1110,F1110)-1,"")</f>
        <v/>
      </c>
      <c r="Z1110" s="56" t="str">
        <f aca="false">IF(H1110&gt;0,RANK(H1110,$H$2:$H$1780)+COUNTIF($H$2:H1110,H1110)-1,"")</f>
        <v/>
      </c>
      <c r="AA1110" s="56" t="str">
        <f aca="false">IF(AC1110="","",RANK(AC1110,$AC$2:$AC$1780)+COUNTIF($AC$2:AC1110,AC1110)-1)</f>
        <v/>
      </c>
      <c r="AB1110" s="56" t="str">
        <f aca="false">IF(AD1110="","",RANK(AD1110,$AD$2:$AD$1780)+COUNTIF($AD$2:AD1110,AD1110)-1)</f>
        <v/>
      </c>
      <c r="AC1110" s="56" t="str">
        <f aca="false">IF(AND(F1110&gt;0,E1110&gt;=Settings!$B$4),J1110,"")</f>
        <v/>
      </c>
      <c r="AD1110" s="56" t="str">
        <f aca="false">IF(X1110="HIGH RATE",O1110,"")</f>
        <v/>
      </c>
    </row>
    <row r="1111" customFormat="false" ht="15" hidden="false" customHeight="false" outlineLevel="0" collapsed="false">
      <c r="A1111" s="56" t="s">
        <v>2477</v>
      </c>
      <c r="B1111" s="56" t="s">
        <v>958</v>
      </c>
      <c r="C1111" s="56" t="s">
        <v>55</v>
      </c>
      <c r="D1111" s="56" t="str">
        <f aca="false">IFERROR(INDEX('Brand Map'!$B$4:$B$124,MATCH(C1111,'Brand Map'!$A$4:$A$124,0)),"Other")</f>
        <v>AUMJ</v>
      </c>
      <c r="E1111" s="57" t="n">
        <v>4</v>
      </c>
      <c r="F1111" s="57" t="n">
        <v>0</v>
      </c>
      <c r="G1111" s="58" t="n">
        <v>351.62</v>
      </c>
      <c r="H1111" s="58" t="n">
        <v>0</v>
      </c>
      <c r="I1111" s="58" t="n">
        <v>338.13</v>
      </c>
      <c r="J1111" s="32" t="n">
        <f aca="false">IF(E1111&gt;0,F1111/E1111,0)</f>
        <v>0</v>
      </c>
      <c r="K1111" s="32" t="n">
        <f aca="false">IF(G1111&gt;0,H1111/G1111,0)</f>
        <v>-0</v>
      </c>
      <c r="L1111" s="59" t="n">
        <f aca="false">H1111/Settings!$B$16</f>
        <v>-0</v>
      </c>
      <c r="M1111" s="59" t="n">
        <f aca="false">H1111/Settings!$B$20</f>
        <v>-0</v>
      </c>
      <c r="N1111" s="60" t="n">
        <f aca="false">E1111*Settings!$B$3</f>
        <v>0.123944604319282</v>
      </c>
      <c r="O1111" s="60" t="n">
        <f aca="false">IF(E1111&gt;0,(F1111-N1111)/SQRT(E1111*Settings!$B$3*(1-Settings!$B$3)),0)</f>
        <v>-0.357642251868888</v>
      </c>
      <c r="P1111" s="60" t="n">
        <f aca="false">MAX(0,F1111-N1111)</f>
        <v>0</v>
      </c>
      <c r="Q1111" s="32" t="n">
        <f aca="false">(F1111+Settings!$B$7*Settings!$B$3)/(E1111+Settings!$B$7)</f>
        <v>0.027340721541018</v>
      </c>
      <c r="R1111" s="61" t="n">
        <f aca="false">PERCENTRANK($H$2:$H$1780,H1111,6)</f>
        <v>0</v>
      </c>
      <c r="S1111" s="61" t="n">
        <f aca="false">PERCENTRANK($Q$2:$Q$1780,Q1111,6)</f>
        <v>0.253656</v>
      </c>
      <c r="T1111" s="61" t="n">
        <f aca="false">PERCENTRANK($F$2:$F$1780,F1111,6)</f>
        <v>0</v>
      </c>
      <c r="U1111" s="62" t="n">
        <f aca="false">IF(F1111&gt;0,(Settings!$B$8*T1111+Settings!$B$9*R1111+Settings!$B$10*S1111)/SUM(Settings!$B$8:$B$10),0)</f>
        <v>0</v>
      </c>
      <c r="V1111" s="56" t="str">
        <f aca="false">IF(U1111&gt;0,RANK(U1111,$U$2:$U$1780)+COUNTIF($U$2:U1111,U1111)-1,"")</f>
        <v/>
      </c>
      <c r="W1111" s="56" t="str">
        <f aca="false">IF(V1111="","",IF(V1111&lt;=Settings!$B$11,"1 - Fix first",IF(V1111&lt;=Settings!$B$12,"2 - Review","3 - Monitor")))</f>
        <v/>
      </c>
      <c r="X1111" s="56" t="str">
        <f aca="false">IF(AND(E1111&gt;=Settings!$B$4,F1111&gt;=Settings!$B$5,O1111&gt;=Settings!$B$6),"HIGH RATE","")</f>
        <v/>
      </c>
      <c r="Y1111" s="56" t="str">
        <f aca="false">IF(F1111&gt;0,RANK(F1111,$F$2:$F$1780)+COUNTIF($F$2:F1111,F1111)-1,"")</f>
        <v/>
      </c>
      <c r="Z1111" s="56" t="str">
        <f aca="false">IF(H1111&gt;0,RANK(H1111,$H$2:$H$1780)+COUNTIF($H$2:H1111,H1111)-1,"")</f>
        <v/>
      </c>
      <c r="AA1111" s="56" t="str">
        <f aca="false">IF(AC1111="","",RANK(AC1111,$AC$2:$AC$1780)+COUNTIF($AC$2:AC1111,AC1111)-1)</f>
        <v/>
      </c>
      <c r="AB1111" s="56" t="str">
        <f aca="false">IF(AD1111="","",RANK(AD1111,$AD$2:$AD$1780)+COUNTIF($AD$2:AD1111,AD1111)-1)</f>
        <v/>
      </c>
      <c r="AC1111" s="56" t="str">
        <f aca="false">IF(AND(F1111&gt;0,E1111&gt;=Settings!$B$4),J1111,"")</f>
        <v/>
      </c>
      <c r="AD1111" s="56" t="str">
        <f aca="false">IF(X1111="HIGH RATE",O1111,"")</f>
        <v/>
      </c>
    </row>
    <row r="1112" customFormat="false" ht="15" hidden="false" customHeight="false" outlineLevel="0" collapsed="false">
      <c r="A1112" s="56" t="s">
        <v>2478</v>
      </c>
      <c r="B1112" s="56" t="s">
        <v>958</v>
      </c>
      <c r="C1112" s="56" t="s">
        <v>55</v>
      </c>
      <c r="D1112" s="56" t="str">
        <f aca="false">IFERROR(INDEX('Brand Map'!$B$4:$B$124,MATCH(C1112,'Brand Map'!$A$4:$A$124,0)),"Other")</f>
        <v>AUMJ</v>
      </c>
      <c r="E1112" s="57" t="n">
        <v>1</v>
      </c>
      <c r="F1112" s="57" t="n">
        <v>0</v>
      </c>
      <c r="G1112" s="58" t="n">
        <v>104.95</v>
      </c>
      <c r="H1112" s="58" t="n">
        <v>0</v>
      </c>
      <c r="I1112" s="58" t="n">
        <v>104.95</v>
      </c>
      <c r="J1112" s="32" t="n">
        <f aca="false">IF(E1112&gt;0,F1112/E1112,0)</f>
        <v>0</v>
      </c>
      <c r="K1112" s="32" t="n">
        <f aca="false">IF(G1112&gt;0,H1112/G1112,0)</f>
        <v>-0</v>
      </c>
      <c r="L1112" s="59" t="n">
        <f aca="false">H1112/Settings!$B$16</f>
        <v>-0</v>
      </c>
      <c r="M1112" s="59" t="n">
        <f aca="false">H1112/Settings!$B$20</f>
        <v>-0</v>
      </c>
      <c r="N1112" s="60" t="n">
        <f aca="false">E1112*Settings!$B$3</f>
        <v>0.0309861510798204</v>
      </c>
      <c r="O1112" s="60" t="n">
        <f aca="false">IF(E1112&gt;0,(F1112-N1112)/SQRT(E1112*Settings!$B$3*(1-Settings!$B$3)),0)</f>
        <v>-0.178821125934444</v>
      </c>
      <c r="P1112" s="60" t="n">
        <f aca="false">MAX(0,F1112-N1112)</f>
        <v>0</v>
      </c>
      <c r="Q1112" s="32" t="n">
        <f aca="false">(F1112+Settings!$B$7*Settings!$B$3)/(E1112+Settings!$B$7)</f>
        <v>0.0299865978191811</v>
      </c>
      <c r="R1112" s="61" t="n">
        <f aca="false">PERCENTRANK($H$2:$H$1780,H1112,6)</f>
        <v>0</v>
      </c>
      <c r="S1112" s="61" t="n">
        <f aca="false">PERCENTRANK($Q$2:$Q$1780,Q1112,6)</f>
        <v>0.486502</v>
      </c>
      <c r="T1112" s="61" t="n">
        <f aca="false">PERCENTRANK($F$2:$F$1780,F1112,6)</f>
        <v>0</v>
      </c>
      <c r="U1112" s="62" t="n">
        <f aca="false">IF(F1112&gt;0,(Settings!$B$8*T1112+Settings!$B$9*R1112+Settings!$B$10*S1112)/SUM(Settings!$B$8:$B$10),0)</f>
        <v>0</v>
      </c>
      <c r="V1112" s="56" t="str">
        <f aca="false">IF(U1112&gt;0,RANK(U1112,$U$2:$U$1780)+COUNTIF($U$2:U1112,U1112)-1,"")</f>
        <v/>
      </c>
      <c r="W1112" s="56" t="str">
        <f aca="false">IF(V1112="","",IF(V1112&lt;=Settings!$B$11,"1 - Fix first",IF(V1112&lt;=Settings!$B$12,"2 - Review","3 - Monitor")))</f>
        <v/>
      </c>
      <c r="X1112" s="56" t="str">
        <f aca="false">IF(AND(E1112&gt;=Settings!$B$4,F1112&gt;=Settings!$B$5,O1112&gt;=Settings!$B$6),"HIGH RATE","")</f>
        <v/>
      </c>
      <c r="Y1112" s="56" t="str">
        <f aca="false">IF(F1112&gt;0,RANK(F1112,$F$2:$F$1780)+COUNTIF($F$2:F1112,F1112)-1,"")</f>
        <v/>
      </c>
      <c r="Z1112" s="56" t="str">
        <f aca="false">IF(H1112&gt;0,RANK(H1112,$H$2:$H$1780)+COUNTIF($H$2:H1112,H1112)-1,"")</f>
        <v/>
      </c>
      <c r="AA1112" s="56" t="str">
        <f aca="false">IF(AC1112="","",RANK(AC1112,$AC$2:$AC$1780)+COUNTIF($AC$2:AC1112,AC1112)-1)</f>
        <v/>
      </c>
      <c r="AB1112" s="56" t="str">
        <f aca="false">IF(AD1112="","",RANK(AD1112,$AD$2:$AD$1780)+COUNTIF($AD$2:AD1112,AD1112)-1)</f>
        <v/>
      </c>
      <c r="AC1112" s="56" t="str">
        <f aca="false">IF(AND(F1112&gt;0,E1112&gt;=Settings!$B$4),J1112,"")</f>
        <v/>
      </c>
      <c r="AD1112" s="56" t="str">
        <f aca="false">IF(X1112="HIGH RATE",O1112,"")</f>
        <v/>
      </c>
    </row>
    <row r="1113" customFormat="false" ht="15" hidden="false" customHeight="false" outlineLevel="0" collapsed="false">
      <c r="A1113" s="56" t="s">
        <v>2479</v>
      </c>
      <c r="B1113" s="56" t="s">
        <v>958</v>
      </c>
      <c r="C1113" s="56" t="s">
        <v>55</v>
      </c>
      <c r="D1113" s="56" t="str">
        <f aca="false">IFERROR(INDEX('Brand Map'!$B$4:$B$124,MATCH(C1113,'Brand Map'!$A$4:$A$124,0)),"Other")</f>
        <v>AUMJ</v>
      </c>
      <c r="E1113" s="57" t="n">
        <v>2</v>
      </c>
      <c r="F1113" s="57" t="n">
        <v>0</v>
      </c>
      <c r="G1113" s="58" t="n">
        <v>239.9</v>
      </c>
      <c r="H1113" s="58" t="n">
        <v>0</v>
      </c>
      <c r="I1113" s="58" t="n">
        <v>239.9</v>
      </c>
      <c r="J1113" s="32" t="n">
        <f aca="false">IF(E1113&gt;0,F1113/E1113,0)</f>
        <v>0</v>
      </c>
      <c r="K1113" s="32" t="n">
        <f aca="false">IF(G1113&gt;0,H1113/G1113,0)</f>
        <v>-0</v>
      </c>
      <c r="L1113" s="59" t="n">
        <f aca="false">H1113/Settings!$B$16</f>
        <v>-0</v>
      </c>
      <c r="M1113" s="59" t="n">
        <f aca="false">H1113/Settings!$B$20</f>
        <v>-0</v>
      </c>
      <c r="N1113" s="60" t="n">
        <f aca="false">E1113*Settings!$B$3</f>
        <v>0.0619723021596408</v>
      </c>
      <c r="O1113" s="60" t="n">
        <f aca="false">IF(E1113&gt;0,(F1113-N1113)/SQRT(E1113*Settings!$B$3*(1-Settings!$B$3)),0)</f>
        <v>-0.252891261535318</v>
      </c>
      <c r="P1113" s="60" t="n">
        <f aca="false">MAX(0,F1113-N1113)</f>
        <v>0</v>
      </c>
      <c r="Q1113" s="32" t="n">
        <f aca="false">(F1113+Settings!$B$7*Settings!$B$3)/(E1113+Settings!$B$7)</f>
        <v>0.0290495166373316</v>
      </c>
      <c r="R1113" s="61" t="n">
        <f aca="false">PERCENTRANK($H$2:$H$1780,H1113,6)</f>
        <v>0</v>
      </c>
      <c r="S1113" s="61" t="n">
        <f aca="false">PERCENTRANK($Q$2:$Q$1780,Q1113,6)</f>
        <v>0.365579</v>
      </c>
      <c r="T1113" s="61" t="n">
        <f aca="false">PERCENTRANK($F$2:$F$1780,F1113,6)</f>
        <v>0</v>
      </c>
      <c r="U1113" s="62" t="n">
        <f aca="false">IF(F1113&gt;0,(Settings!$B$8*T1113+Settings!$B$9*R1113+Settings!$B$10*S1113)/SUM(Settings!$B$8:$B$10),0)</f>
        <v>0</v>
      </c>
      <c r="V1113" s="56" t="str">
        <f aca="false">IF(U1113&gt;0,RANK(U1113,$U$2:$U$1780)+COUNTIF($U$2:U1113,U1113)-1,"")</f>
        <v/>
      </c>
      <c r="W1113" s="56" t="str">
        <f aca="false">IF(V1113="","",IF(V1113&lt;=Settings!$B$11,"1 - Fix first",IF(V1113&lt;=Settings!$B$12,"2 - Review","3 - Monitor")))</f>
        <v/>
      </c>
      <c r="X1113" s="56" t="str">
        <f aca="false">IF(AND(E1113&gt;=Settings!$B$4,F1113&gt;=Settings!$B$5,O1113&gt;=Settings!$B$6),"HIGH RATE","")</f>
        <v/>
      </c>
      <c r="Y1113" s="56" t="str">
        <f aca="false">IF(F1113&gt;0,RANK(F1113,$F$2:$F$1780)+COUNTIF($F$2:F1113,F1113)-1,"")</f>
        <v/>
      </c>
      <c r="Z1113" s="56" t="str">
        <f aca="false">IF(H1113&gt;0,RANK(H1113,$H$2:$H$1780)+COUNTIF($H$2:H1113,H1113)-1,"")</f>
        <v/>
      </c>
      <c r="AA1113" s="56" t="str">
        <f aca="false">IF(AC1113="","",RANK(AC1113,$AC$2:$AC$1780)+COUNTIF($AC$2:AC1113,AC1113)-1)</f>
        <v/>
      </c>
      <c r="AB1113" s="56" t="str">
        <f aca="false">IF(AD1113="","",RANK(AD1113,$AD$2:$AD$1780)+COUNTIF($AD$2:AD1113,AD1113)-1)</f>
        <v/>
      </c>
      <c r="AC1113" s="56" t="str">
        <f aca="false">IF(AND(F1113&gt;0,E1113&gt;=Settings!$B$4),J1113,"")</f>
        <v/>
      </c>
      <c r="AD1113" s="56" t="str">
        <f aca="false">IF(X1113="HIGH RATE",O1113,"")</f>
        <v/>
      </c>
    </row>
    <row r="1114" customFormat="false" ht="15" hidden="false" customHeight="false" outlineLevel="0" collapsed="false">
      <c r="A1114" s="56" t="s">
        <v>2480</v>
      </c>
      <c r="B1114" s="56" t="s">
        <v>958</v>
      </c>
      <c r="C1114" s="56" t="s">
        <v>55</v>
      </c>
      <c r="D1114" s="56" t="str">
        <f aca="false">IFERROR(INDEX('Brand Map'!$B$4:$B$124,MATCH(C1114,'Brand Map'!$A$4:$A$124,0)),"Other")</f>
        <v>AUMJ</v>
      </c>
      <c r="E1114" s="57" t="n">
        <v>1</v>
      </c>
      <c r="F1114" s="57" t="n">
        <v>0</v>
      </c>
      <c r="G1114" s="58" t="n">
        <v>104.5</v>
      </c>
      <c r="H1114" s="58" t="n">
        <v>0</v>
      </c>
      <c r="I1114" s="58" t="n">
        <v>88.84</v>
      </c>
      <c r="J1114" s="32" t="n">
        <f aca="false">IF(E1114&gt;0,F1114/E1114,0)</f>
        <v>0</v>
      </c>
      <c r="K1114" s="32" t="n">
        <f aca="false">IF(G1114&gt;0,H1114/G1114,0)</f>
        <v>-0</v>
      </c>
      <c r="L1114" s="59" t="n">
        <f aca="false">H1114/Settings!$B$16</f>
        <v>-0</v>
      </c>
      <c r="M1114" s="59" t="n">
        <f aca="false">H1114/Settings!$B$20</f>
        <v>-0</v>
      </c>
      <c r="N1114" s="60" t="n">
        <f aca="false">E1114*Settings!$B$3</f>
        <v>0.0309861510798204</v>
      </c>
      <c r="O1114" s="60" t="n">
        <f aca="false">IF(E1114&gt;0,(F1114-N1114)/SQRT(E1114*Settings!$B$3*(1-Settings!$B$3)),0)</f>
        <v>-0.178821125934444</v>
      </c>
      <c r="P1114" s="60" t="n">
        <f aca="false">MAX(0,F1114-N1114)</f>
        <v>0</v>
      </c>
      <c r="Q1114" s="32" t="n">
        <f aca="false">(F1114+Settings!$B$7*Settings!$B$3)/(E1114+Settings!$B$7)</f>
        <v>0.0299865978191811</v>
      </c>
      <c r="R1114" s="61" t="n">
        <f aca="false">PERCENTRANK($H$2:$H$1780,H1114,6)</f>
        <v>0</v>
      </c>
      <c r="S1114" s="61" t="n">
        <f aca="false">PERCENTRANK($Q$2:$Q$1780,Q1114,6)</f>
        <v>0.486502</v>
      </c>
      <c r="T1114" s="61" t="n">
        <f aca="false">PERCENTRANK($F$2:$F$1780,F1114,6)</f>
        <v>0</v>
      </c>
      <c r="U1114" s="62" t="n">
        <f aca="false">IF(F1114&gt;0,(Settings!$B$8*T1114+Settings!$B$9*R1114+Settings!$B$10*S1114)/SUM(Settings!$B$8:$B$10),0)</f>
        <v>0</v>
      </c>
      <c r="V1114" s="56" t="str">
        <f aca="false">IF(U1114&gt;0,RANK(U1114,$U$2:$U$1780)+COUNTIF($U$2:U1114,U1114)-1,"")</f>
        <v/>
      </c>
      <c r="W1114" s="56" t="str">
        <f aca="false">IF(V1114="","",IF(V1114&lt;=Settings!$B$11,"1 - Fix first",IF(V1114&lt;=Settings!$B$12,"2 - Review","3 - Monitor")))</f>
        <v/>
      </c>
      <c r="X1114" s="56" t="str">
        <f aca="false">IF(AND(E1114&gt;=Settings!$B$4,F1114&gt;=Settings!$B$5,O1114&gt;=Settings!$B$6),"HIGH RATE","")</f>
        <v/>
      </c>
      <c r="Y1114" s="56" t="str">
        <f aca="false">IF(F1114&gt;0,RANK(F1114,$F$2:$F$1780)+COUNTIF($F$2:F1114,F1114)-1,"")</f>
        <v/>
      </c>
      <c r="Z1114" s="56" t="str">
        <f aca="false">IF(H1114&gt;0,RANK(H1114,$H$2:$H$1780)+COUNTIF($H$2:H1114,H1114)-1,"")</f>
        <v/>
      </c>
      <c r="AA1114" s="56" t="str">
        <f aca="false">IF(AC1114="","",RANK(AC1114,$AC$2:$AC$1780)+COUNTIF($AC$2:AC1114,AC1114)-1)</f>
        <v/>
      </c>
      <c r="AB1114" s="56" t="str">
        <f aca="false">IF(AD1114="","",RANK(AD1114,$AD$2:$AD$1780)+COUNTIF($AD$2:AD1114,AD1114)-1)</f>
        <v/>
      </c>
      <c r="AC1114" s="56" t="str">
        <f aca="false">IF(AND(F1114&gt;0,E1114&gt;=Settings!$B$4),J1114,"")</f>
        <v/>
      </c>
      <c r="AD1114" s="56" t="str">
        <f aca="false">IF(X1114="HIGH RATE",O1114,"")</f>
        <v/>
      </c>
    </row>
    <row r="1115" customFormat="false" ht="15" hidden="false" customHeight="false" outlineLevel="0" collapsed="false">
      <c r="A1115" s="56" t="s">
        <v>2481</v>
      </c>
      <c r="B1115" s="56" t="s">
        <v>958</v>
      </c>
      <c r="C1115" s="56" t="s">
        <v>55</v>
      </c>
      <c r="D1115" s="56" t="str">
        <f aca="false">IFERROR(INDEX('Brand Map'!$B$4:$B$124,MATCH(C1115,'Brand Map'!$A$4:$A$124,0)),"Other")</f>
        <v>AUMJ</v>
      </c>
      <c r="E1115" s="57" t="n">
        <v>2</v>
      </c>
      <c r="F1115" s="57" t="n">
        <v>0</v>
      </c>
      <c r="G1115" s="58" t="n">
        <v>190.81</v>
      </c>
      <c r="H1115" s="58" t="n">
        <v>0</v>
      </c>
      <c r="I1115" s="58" t="n">
        <v>176.51</v>
      </c>
      <c r="J1115" s="32" t="n">
        <f aca="false">IF(E1115&gt;0,F1115/E1115,0)</f>
        <v>0</v>
      </c>
      <c r="K1115" s="32" t="n">
        <f aca="false">IF(G1115&gt;0,H1115/G1115,0)</f>
        <v>-0</v>
      </c>
      <c r="L1115" s="59" t="n">
        <f aca="false">H1115/Settings!$B$16</f>
        <v>-0</v>
      </c>
      <c r="M1115" s="59" t="n">
        <f aca="false">H1115/Settings!$B$20</f>
        <v>-0</v>
      </c>
      <c r="N1115" s="60" t="n">
        <f aca="false">E1115*Settings!$B$3</f>
        <v>0.0619723021596408</v>
      </c>
      <c r="O1115" s="60" t="n">
        <f aca="false">IF(E1115&gt;0,(F1115-N1115)/SQRT(E1115*Settings!$B$3*(1-Settings!$B$3)),0)</f>
        <v>-0.252891261535318</v>
      </c>
      <c r="P1115" s="60" t="n">
        <f aca="false">MAX(0,F1115-N1115)</f>
        <v>0</v>
      </c>
      <c r="Q1115" s="32" t="n">
        <f aca="false">(F1115+Settings!$B$7*Settings!$B$3)/(E1115+Settings!$B$7)</f>
        <v>0.0290495166373316</v>
      </c>
      <c r="R1115" s="61" t="n">
        <f aca="false">PERCENTRANK($H$2:$H$1780,H1115,6)</f>
        <v>0</v>
      </c>
      <c r="S1115" s="61" t="n">
        <f aca="false">PERCENTRANK($Q$2:$Q$1780,Q1115,6)</f>
        <v>0.365579</v>
      </c>
      <c r="T1115" s="61" t="n">
        <f aca="false">PERCENTRANK($F$2:$F$1780,F1115,6)</f>
        <v>0</v>
      </c>
      <c r="U1115" s="62" t="n">
        <f aca="false">IF(F1115&gt;0,(Settings!$B$8*T1115+Settings!$B$9*R1115+Settings!$B$10*S1115)/SUM(Settings!$B$8:$B$10),0)</f>
        <v>0</v>
      </c>
      <c r="V1115" s="56" t="str">
        <f aca="false">IF(U1115&gt;0,RANK(U1115,$U$2:$U$1780)+COUNTIF($U$2:U1115,U1115)-1,"")</f>
        <v/>
      </c>
      <c r="W1115" s="56" t="str">
        <f aca="false">IF(V1115="","",IF(V1115&lt;=Settings!$B$11,"1 - Fix first",IF(V1115&lt;=Settings!$B$12,"2 - Review","3 - Monitor")))</f>
        <v/>
      </c>
      <c r="X1115" s="56" t="str">
        <f aca="false">IF(AND(E1115&gt;=Settings!$B$4,F1115&gt;=Settings!$B$5,O1115&gt;=Settings!$B$6),"HIGH RATE","")</f>
        <v/>
      </c>
      <c r="Y1115" s="56" t="str">
        <f aca="false">IF(F1115&gt;0,RANK(F1115,$F$2:$F$1780)+COUNTIF($F$2:F1115,F1115)-1,"")</f>
        <v/>
      </c>
      <c r="Z1115" s="56" t="str">
        <f aca="false">IF(H1115&gt;0,RANK(H1115,$H$2:$H$1780)+COUNTIF($H$2:H1115,H1115)-1,"")</f>
        <v/>
      </c>
      <c r="AA1115" s="56" t="str">
        <f aca="false">IF(AC1115="","",RANK(AC1115,$AC$2:$AC$1780)+COUNTIF($AC$2:AC1115,AC1115)-1)</f>
        <v/>
      </c>
      <c r="AB1115" s="56" t="str">
        <f aca="false">IF(AD1115="","",RANK(AD1115,$AD$2:$AD$1780)+COUNTIF($AD$2:AD1115,AD1115)-1)</f>
        <v/>
      </c>
      <c r="AC1115" s="56" t="str">
        <f aca="false">IF(AND(F1115&gt;0,E1115&gt;=Settings!$B$4),J1115,"")</f>
        <v/>
      </c>
      <c r="AD1115" s="56" t="str">
        <f aca="false">IF(X1115="HIGH RATE",O1115,"")</f>
        <v/>
      </c>
    </row>
    <row r="1116" customFormat="false" ht="15" hidden="false" customHeight="false" outlineLevel="0" collapsed="false">
      <c r="A1116" s="56" t="s">
        <v>2482</v>
      </c>
      <c r="B1116" s="56" t="s">
        <v>966</v>
      </c>
      <c r="C1116" s="56" t="s">
        <v>55</v>
      </c>
      <c r="D1116" s="56" t="str">
        <f aca="false">IFERROR(INDEX('Brand Map'!$B$4:$B$124,MATCH(C1116,'Brand Map'!$A$4:$A$124,0)),"Other")</f>
        <v>AUMJ</v>
      </c>
      <c r="E1116" s="57" t="n">
        <v>1</v>
      </c>
      <c r="F1116" s="57" t="n">
        <v>0</v>
      </c>
      <c r="G1116" s="58" t="n">
        <v>94.95</v>
      </c>
      <c r="H1116" s="58" t="n">
        <v>0</v>
      </c>
      <c r="I1116" s="58" t="n">
        <v>94.95</v>
      </c>
      <c r="J1116" s="32" t="n">
        <f aca="false">IF(E1116&gt;0,F1116/E1116,0)</f>
        <v>0</v>
      </c>
      <c r="K1116" s="32" t="n">
        <f aca="false">IF(G1116&gt;0,H1116/G1116,0)</f>
        <v>-0</v>
      </c>
      <c r="L1116" s="59" t="n">
        <f aca="false">H1116/Settings!$B$16</f>
        <v>-0</v>
      </c>
      <c r="M1116" s="59" t="n">
        <f aca="false">H1116/Settings!$B$20</f>
        <v>-0</v>
      </c>
      <c r="N1116" s="60" t="n">
        <f aca="false">E1116*Settings!$B$3</f>
        <v>0.0309861510798204</v>
      </c>
      <c r="O1116" s="60" t="n">
        <f aca="false">IF(E1116&gt;0,(F1116-N1116)/SQRT(E1116*Settings!$B$3*(1-Settings!$B$3)),0)</f>
        <v>-0.178821125934444</v>
      </c>
      <c r="P1116" s="60" t="n">
        <f aca="false">MAX(0,F1116-N1116)</f>
        <v>0</v>
      </c>
      <c r="Q1116" s="32" t="n">
        <f aca="false">(F1116+Settings!$B$7*Settings!$B$3)/(E1116+Settings!$B$7)</f>
        <v>0.0299865978191811</v>
      </c>
      <c r="R1116" s="61" t="n">
        <f aca="false">PERCENTRANK($H$2:$H$1780,H1116,6)</f>
        <v>0</v>
      </c>
      <c r="S1116" s="61" t="n">
        <f aca="false">PERCENTRANK($Q$2:$Q$1780,Q1116,6)</f>
        <v>0.486502</v>
      </c>
      <c r="T1116" s="61" t="n">
        <f aca="false">PERCENTRANK($F$2:$F$1780,F1116,6)</f>
        <v>0</v>
      </c>
      <c r="U1116" s="62" t="n">
        <f aca="false">IF(F1116&gt;0,(Settings!$B$8*T1116+Settings!$B$9*R1116+Settings!$B$10*S1116)/SUM(Settings!$B$8:$B$10),0)</f>
        <v>0</v>
      </c>
      <c r="V1116" s="56" t="str">
        <f aca="false">IF(U1116&gt;0,RANK(U1116,$U$2:$U$1780)+COUNTIF($U$2:U1116,U1116)-1,"")</f>
        <v/>
      </c>
      <c r="W1116" s="56" t="str">
        <f aca="false">IF(V1116="","",IF(V1116&lt;=Settings!$B$11,"1 - Fix first",IF(V1116&lt;=Settings!$B$12,"2 - Review","3 - Monitor")))</f>
        <v/>
      </c>
      <c r="X1116" s="56" t="str">
        <f aca="false">IF(AND(E1116&gt;=Settings!$B$4,F1116&gt;=Settings!$B$5,O1116&gt;=Settings!$B$6),"HIGH RATE","")</f>
        <v/>
      </c>
      <c r="Y1116" s="56" t="str">
        <f aca="false">IF(F1116&gt;0,RANK(F1116,$F$2:$F$1780)+COUNTIF($F$2:F1116,F1116)-1,"")</f>
        <v/>
      </c>
      <c r="Z1116" s="56" t="str">
        <f aca="false">IF(H1116&gt;0,RANK(H1116,$H$2:$H$1780)+COUNTIF($H$2:H1116,H1116)-1,"")</f>
        <v/>
      </c>
      <c r="AA1116" s="56" t="str">
        <f aca="false">IF(AC1116="","",RANK(AC1116,$AC$2:$AC$1780)+COUNTIF($AC$2:AC1116,AC1116)-1)</f>
        <v/>
      </c>
      <c r="AB1116" s="56" t="str">
        <f aca="false">IF(AD1116="","",RANK(AD1116,$AD$2:$AD$1780)+COUNTIF($AD$2:AD1116,AD1116)-1)</f>
        <v/>
      </c>
      <c r="AC1116" s="56" t="str">
        <f aca="false">IF(AND(F1116&gt;0,E1116&gt;=Settings!$B$4),J1116,"")</f>
        <v/>
      </c>
      <c r="AD1116" s="56" t="str">
        <f aca="false">IF(X1116="HIGH RATE",O1116,"")</f>
        <v/>
      </c>
    </row>
    <row r="1117" customFormat="false" ht="15" hidden="false" customHeight="false" outlineLevel="0" collapsed="false">
      <c r="A1117" s="56" t="s">
        <v>2483</v>
      </c>
      <c r="B1117" s="56" t="s">
        <v>966</v>
      </c>
      <c r="C1117" s="56" t="s">
        <v>55</v>
      </c>
      <c r="D1117" s="56" t="str">
        <f aca="false">IFERROR(INDEX('Brand Map'!$B$4:$B$124,MATCH(C1117,'Brand Map'!$A$4:$A$124,0)),"Other")</f>
        <v>AUMJ</v>
      </c>
      <c r="E1117" s="57" t="n">
        <v>1</v>
      </c>
      <c r="F1117" s="57" t="n">
        <v>0</v>
      </c>
      <c r="G1117" s="58" t="n">
        <v>109.95</v>
      </c>
      <c r="H1117" s="58" t="n">
        <v>0</v>
      </c>
      <c r="I1117" s="58" t="n">
        <v>109.95</v>
      </c>
      <c r="J1117" s="32" t="n">
        <f aca="false">IF(E1117&gt;0,F1117/E1117,0)</f>
        <v>0</v>
      </c>
      <c r="K1117" s="32" t="n">
        <f aca="false">IF(G1117&gt;0,H1117/G1117,0)</f>
        <v>-0</v>
      </c>
      <c r="L1117" s="59" t="n">
        <f aca="false">H1117/Settings!$B$16</f>
        <v>-0</v>
      </c>
      <c r="M1117" s="59" t="n">
        <f aca="false">H1117/Settings!$B$20</f>
        <v>-0</v>
      </c>
      <c r="N1117" s="60" t="n">
        <f aca="false">E1117*Settings!$B$3</f>
        <v>0.0309861510798204</v>
      </c>
      <c r="O1117" s="60" t="n">
        <f aca="false">IF(E1117&gt;0,(F1117-N1117)/SQRT(E1117*Settings!$B$3*(1-Settings!$B$3)),0)</f>
        <v>-0.178821125934444</v>
      </c>
      <c r="P1117" s="60" t="n">
        <f aca="false">MAX(0,F1117-N1117)</f>
        <v>0</v>
      </c>
      <c r="Q1117" s="32" t="n">
        <f aca="false">(F1117+Settings!$B$7*Settings!$B$3)/(E1117+Settings!$B$7)</f>
        <v>0.0299865978191811</v>
      </c>
      <c r="R1117" s="61" t="n">
        <f aca="false">PERCENTRANK($H$2:$H$1780,H1117,6)</f>
        <v>0</v>
      </c>
      <c r="S1117" s="61" t="n">
        <f aca="false">PERCENTRANK($Q$2:$Q$1780,Q1117,6)</f>
        <v>0.486502</v>
      </c>
      <c r="T1117" s="61" t="n">
        <f aca="false">PERCENTRANK($F$2:$F$1780,F1117,6)</f>
        <v>0</v>
      </c>
      <c r="U1117" s="62" t="n">
        <f aca="false">IF(F1117&gt;0,(Settings!$B$8*T1117+Settings!$B$9*R1117+Settings!$B$10*S1117)/SUM(Settings!$B$8:$B$10),0)</f>
        <v>0</v>
      </c>
      <c r="V1117" s="56" t="str">
        <f aca="false">IF(U1117&gt;0,RANK(U1117,$U$2:$U$1780)+COUNTIF($U$2:U1117,U1117)-1,"")</f>
        <v/>
      </c>
      <c r="W1117" s="56" t="str">
        <f aca="false">IF(V1117="","",IF(V1117&lt;=Settings!$B$11,"1 - Fix first",IF(V1117&lt;=Settings!$B$12,"2 - Review","3 - Monitor")))</f>
        <v/>
      </c>
      <c r="X1117" s="56" t="str">
        <f aca="false">IF(AND(E1117&gt;=Settings!$B$4,F1117&gt;=Settings!$B$5,O1117&gt;=Settings!$B$6),"HIGH RATE","")</f>
        <v/>
      </c>
      <c r="Y1117" s="56" t="str">
        <f aca="false">IF(F1117&gt;0,RANK(F1117,$F$2:$F$1780)+COUNTIF($F$2:F1117,F1117)-1,"")</f>
        <v/>
      </c>
      <c r="Z1117" s="56" t="str">
        <f aca="false">IF(H1117&gt;0,RANK(H1117,$H$2:$H$1780)+COUNTIF($H$2:H1117,H1117)-1,"")</f>
        <v/>
      </c>
      <c r="AA1117" s="56" t="str">
        <f aca="false">IF(AC1117="","",RANK(AC1117,$AC$2:$AC$1780)+COUNTIF($AC$2:AC1117,AC1117)-1)</f>
        <v/>
      </c>
      <c r="AB1117" s="56" t="str">
        <f aca="false">IF(AD1117="","",RANK(AD1117,$AD$2:$AD$1780)+COUNTIF($AD$2:AD1117,AD1117)-1)</f>
        <v/>
      </c>
      <c r="AC1117" s="56" t="str">
        <f aca="false">IF(AND(F1117&gt;0,E1117&gt;=Settings!$B$4),J1117,"")</f>
        <v/>
      </c>
      <c r="AD1117" s="56" t="str">
        <f aca="false">IF(X1117="HIGH RATE",O1117,"")</f>
        <v/>
      </c>
    </row>
    <row r="1118" customFormat="false" ht="15" hidden="false" customHeight="false" outlineLevel="0" collapsed="false">
      <c r="A1118" s="56" t="s">
        <v>2484</v>
      </c>
      <c r="B1118" s="56" t="s">
        <v>966</v>
      </c>
      <c r="C1118" s="56" t="s">
        <v>55</v>
      </c>
      <c r="D1118" s="56" t="str">
        <f aca="false">IFERROR(INDEX('Brand Map'!$B$4:$B$124,MATCH(C1118,'Brand Map'!$A$4:$A$124,0)),"Other")</f>
        <v>AUMJ</v>
      </c>
      <c r="E1118" s="57" t="n">
        <v>3</v>
      </c>
      <c r="F1118" s="57" t="n">
        <v>0</v>
      </c>
      <c r="G1118" s="58" t="n">
        <v>272.58</v>
      </c>
      <c r="H1118" s="58" t="n">
        <v>0</v>
      </c>
      <c r="I1118" s="58" t="n">
        <v>258.96</v>
      </c>
      <c r="J1118" s="32" t="n">
        <f aca="false">IF(E1118&gt;0,F1118/E1118,0)</f>
        <v>0</v>
      </c>
      <c r="K1118" s="32" t="n">
        <f aca="false">IF(G1118&gt;0,H1118/G1118,0)</f>
        <v>-0</v>
      </c>
      <c r="L1118" s="59" t="n">
        <f aca="false">H1118/Settings!$B$16</f>
        <v>-0</v>
      </c>
      <c r="M1118" s="59" t="n">
        <f aca="false">H1118/Settings!$B$20</f>
        <v>-0</v>
      </c>
      <c r="N1118" s="60" t="n">
        <f aca="false">E1118*Settings!$B$3</f>
        <v>0.0929584532394613</v>
      </c>
      <c r="O1118" s="60" t="n">
        <f aca="false">IF(E1118&gt;0,(F1118-N1118)/SQRT(E1118*Settings!$B$3*(1-Settings!$B$3)),0)</f>
        <v>-0.30972727558513</v>
      </c>
      <c r="P1118" s="60" t="n">
        <f aca="false">MAX(0,F1118-N1118)</f>
        <v>0</v>
      </c>
      <c r="Q1118" s="32" t="n">
        <f aca="false">(F1118+Settings!$B$7*Settings!$B$3)/(E1118+Settings!$B$7)</f>
        <v>0.0281692282543822</v>
      </c>
      <c r="R1118" s="61" t="n">
        <f aca="false">PERCENTRANK($H$2:$H$1780,H1118,6)</f>
        <v>0</v>
      </c>
      <c r="S1118" s="61" t="n">
        <f aca="false">PERCENTRANK($Q$2:$Q$1780,Q1118,6)</f>
        <v>0.294151</v>
      </c>
      <c r="T1118" s="61" t="n">
        <f aca="false">PERCENTRANK($F$2:$F$1780,F1118,6)</f>
        <v>0</v>
      </c>
      <c r="U1118" s="62" t="n">
        <f aca="false">IF(F1118&gt;0,(Settings!$B$8*T1118+Settings!$B$9*R1118+Settings!$B$10*S1118)/SUM(Settings!$B$8:$B$10),0)</f>
        <v>0</v>
      </c>
      <c r="V1118" s="56" t="str">
        <f aca="false">IF(U1118&gt;0,RANK(U1118,$U$2:$U$1780)+COUNTIF($U$2:U1118,U1118)-1,"")</f>
        <v/>
      </c>
      <c r="W1118" s="56" t="str">
        <f aca="false">IF(V1118="","",IF(V1118&lt;=Settings!$B$11,"1 - Fix first",IF(V1118&lt;=Settings!$B$12,"2 - Review","3 - Monitor")))</f>
        <v/>
      </c>
      <c r="X1118" s="56" t="str">
        <f aca="false">IF(AND(E1118&gt;=Settings!$B$4,F1118&gt;=Settings!$B$5,O1118&gt;=Settings!$B$6),"HIGH RATE","")</f>
        <v/>
      </c>
      <c r="Y1118" s="56" t="str">
        <f aca="false">IF(F1118&gt;0,RANK(F1118,$F$2:$F$1780)+COUNTIF($F$2:F1118,F1118)-1,"")</f>
        <v/>
      </c>
      <c r="Z1118" s="56" t="str">
        <f aca="false">IF(H1118&gt;0,RANK(H1118,$H$2:$H$1780)+COUNTIF($H$2:H1118,H1118)-1,"")</f>
        <v/>
      </c>
      <c r="AA1118" s="56" t="str">
        <f aca="false">IF(AC1118="","",RANK(AC1118,$AC$2:$AC$1780)+COUNTIF($AC$2:AC1118,AC1118)-1)</f>
        <v/>
      </c>
      <c r="AB1118" s="56" t="str">
        <f aca="false">IF(AD1118="","",RANK(AD1118,$AD$2:$AD$1780)+COUNTIF($AD$2:AD1118,AD1118)-1)</f>
        <v/>
      </c>
      <c r="AC1118" s="56" t="str">
        <f aca="false">IF(AND(F1118&gt;0,E1118&gt;=Settings!$B$4),J1118,"")</f>
        <v/>
      </c>
      <c r="AD1118" s="56" t="str">
        <f aca="false">IF(X1118="HIGH RATE",O1118,"")</f>
        <v/>
      </c>
    </row>
    <row r="1119" customFormat="false" ht="15" hidden="false" customHeight="false" outlineLevel="0" collapsed="false">
      <c r="A1119" s="56" t="s">
        <v>2485</v>
      </c>
      <c r="B1119" s="56" t="s">
        <v>966</v>
      </c>
      <c r="C1119" s="56" t="s">
        <v>55</v>
      </c>
      <c r="D1119" s="56" t="str">
        <f aca="false">IFERROR(INDEX('Brand Map'!$B$4:$B$124,MATCH(C1119,'Brand Map'!$A$4:$A$124,0)),"Other")</f>
        <v>AUMJ</v>
      </c>
      <c r="E1119" s="57" t="n">
        <v>3</v>
      </c>
      <c r="F1119" s="57" t="n">
        <v>0</v>
      </c>
      <c r="G1119" s="58" t="n">
        <v>218.95</v>
      </c>
      <c r="H1119" s="58" t="n">
        <v>0</v>
      </c>
      <c r="I1119" s="58" t="n">
        <v>218.95</v>
      </c>
      <c r="J1119" s="32" t="n">
        <f aca="false">IF(E1119&gt;0,F1119/E1119,0)</f>
        <v>0</v>
      </c>
      <c r="K1119" s="32" t="n">
        <f aca="false">IF(G1119&gt;0,H1119/G1119,0)</f>
        <v>-0</v>
      </c>
      <c r="L1119" s="59" t="n">
        <f aca="false">H1119/Settings!$B$16</f>
        <v>-0</v>
      </c>
      <c r="M1119" s="59" t="n">
        <f aca="false">H1119/Settings!$B$20</f>
        <v>-0</v>
      </c>
      <c r="N1119" s="60" t="n">
        <f aca="false">E1119*Settings!$B$3</f>
        <v>0.0929584532394613</v>
      </c>
      <c r="O1119" s="60" t="n">
        <f aca="false">IF(E1119&gt;0,(F1119-N1119)/SQRT(E1119*Settings!$B$3*(1-Settings!$B$3)),0)</f>
        <v>-0.30972727558513</v>
      </c>
      <c r="P1119" s="60" t="n">
        <f aca="false">MAX(0,F1119-N1119)</f>
        <v>0</v>
      </c>
      <c r="Q1119" s="32" t="n">
        <f aca="false">(F1119+Settings!$B$7*Settings!$B$3)/(E1119+Settings!$B$7)</f>
        <v>0.0281692282543822</v>
      </c>
      <c r="R1119" s="61" t="n">
        <f aca="false">PERCENTRANK($H$2:$H$1780,H1119,6)</f>
        <v>0</v>
      </c>
      <c r="S1119" s="61" t="n">
        <f aca="false">PERCENTRANK($Q$2:$Q$1780,Q1119,6)</f>
        <v>0.294151</v>
      </c>
      <c r="T1119" s="61" t="n">
        <f aca="false">PERCENTRANK($F$2:$F$1780,F1119,6)</f>
        <v>0</v>
      </c>
      <c r="U1119" s="62" t="n">
        <f aca="false">IF(F1119&gt;0,(Settings!$B$8*T1119+Settings!$B$9*R1119+Settings!$B$10*S1119)/SUM(Settings!$B$8:$B$10),0)</f>
        <v>0</v>
      </c>
      <c r="V1119" s="56" t="str">
        <f aca="false">IF(U1119&gt;0,RANK(U1119,$U$2:$U$1780)+COUNTIF($U$2:U1119,U1119)-1,"")</f>
        <v/>
      </c>
      <c r="W1119" s="56" t="str">
        <f aca="false">IF(V1119="","",IF(V1119&lt;=Settings!$B$11,"1 - Fix first",IF(V1119&lt;=Settings!$B$12,"2 - Review","3 - Monitor")))</f>
        <v/>
      </c>
      <c r="X1119" s="56" t="str">
        <f aca="false">IF(AND(E1119&gt;=Settings!$B$4,F1119&gt;=Settings!$B$5,O1119&gt;=Settings!$B$6),"HIGH RATE","")</f>
        <v/>
      </c>
      <c r="Y1119" s="56" t="str">
        <f aca="false">IF(F1119&gt;0,RANK(F1119,$F$2:$F$1780)+COUNTIF($F$2:F1119,F1119)-1,"")</f>
        <v/>
      </c>
      <c r="Z1119" s="56" t="str">
        <f aca="false">IF(H1119&gt;0,RANK(H1119,$H$2:$H$1780)+COUNTIF($H$2:H1119,H1119)-1,"")</f>
        <v/>
      </c>
      <c r="AA1119" s="56" t="str">
        <f aca="false">IF(AC1119="","",RANK(AC1119,$AC$2:$AC$1780)+COUNTIF($AC$2:AC1119,AC1119)-1)</f>
        <v/>
      </c>
      <c r="AB1119" s="56" t="str">
        <f aca="false">IF(AD1119="","",RANK(AD1119,$AD$2:$AD$1780)+COUNTIF($AD$2:AD1119,AD1119)-1)</f>
        <v/>
      </c>
      <c r="AC1119" s="56" t="str">
        <f aca="false">IF(AND(F1119&gt;0,E1119&gt;=Settings!$B$4),J1119,"")</f>
        <v/>
      </c>
      <c r="AD1119" s="56" t="str">
        <f aca="false">IF(X1119="HIGH RATE",O1119,"")</f>
        <v/>
      </c>
    </row>
    <row r="1120" customFormat="false" ht="15" hidden="false" customHeight="false" outlineLevel="0" collapsed="false">
      <c r="A1120" s="56" t="s">
        <v>2486</v>
      </c>
      <c r="B1120" s="56" t="s">
        <v>966</v>
      </c>
      <c r="C1120" s="56" t="s">
        <v>55</v>
      </c>
      <c r="D1120" s="56" t="str">
        <f aca="false">IFERROR(INDEX('Brand Map'!$B$4:$B$124,MATCH(C1120,'Brand Map'!$A$4:$A$124,0)),"Other")</f>
        <v>AUMJ</v>
      </c>
      <c r="E1120" s="57" t="n">
        <v>3</v>
      </c>
      <c r="F1120" s="57" t="n">
        <v>0</v>
      </c>
      <c r="G1120" s="58" t="n">
        <v>282.58</v>
      </c>
      <c r="H1120" s="58" t="n">
        <v>0</v>
      </c>
      <c r="I1120" s="58" t="n">
        <v>269.64</v>
      </c>
      <c r="J1120" s="32" t="n">
        <f aca="false">IF(E1120&gt;0,F1120/E1120,0)</f>
        <v>0</v>
      </c>
      <c r="K1120" s="32" t="n">
        <f aca="false">IF(G1120&gt;0,H1120/G1120,0)</f>
        <v>-0</v>
      </c>
      <c r="L1120" s="59" t="n">
        <f aca="false">H1120/Settings!$B$16</f>
        <v>-0</v>
      </c>
      <c r="M1120" s="59" t="n">
        <f aca="false">H1120/Settings!$B$20</f>
        <v>-0</v>
      </c>
      <c r="N1120" s="60" t="n">
        <f aca="false">E1120*Settings!$B$3</f>
        <v>0.0929584532394613</v>
      </c>
      <c r="O1120" s="60" t="n">
        <f aca="false">IF(E1120&gt;0,(F1120-N1120)/SQRT(E1120*Settings!$B$3*(1-Settings!$B$3)),0)</f>
        <v>-0.30972727558513</v>
      </c>
      <c r="P1120" s="60" t="n">
        <f aca="false">MAX(0,F1120-N1120)</f>
        <v>0</v>
      </c>
      <c r="Q1120" s="32" t="n">
        <f aca="false">(F1120+Settings!$B$7*Settings!$B$3)/(E1120+Settings!$B$7)</f>
        <v>0.0281692282543822</v>
      </c>
      <c r="R1120" s="61" t="n">
        <f aca="false">PERCENTRANK($H$2:$H$1780,H1120,6)</f>
        <v>0</v>
      </c>
      <c r="S1120" s="61" t="n">
        <f aca="false">PERCENTRANK($Q$2:$Q$1780,Q1120,6)</f>
        <v>0.294151</v>
      </c>
      <c r="T1120" s="61" t="n">
        <f aca="false">PERCENTRANK($F$2:$F$1780,F1120,6)</f>
        <v>0</v>
      </c>
      <c r="U1120" s="62" t="n">
        <f aca="false">IF(F1120&gt;0,(Settings!$B$8*T1120+Settings!$B$9*R1120+Settings!$B$10*S1120)/SUM(Settings!$B$8:$B$10),0)</f>
        <v>0</v>
      </c>
      <c r="V1120" s="56" t="str">
        <f aca="false">IF(U1120&gt;0,RANK(U1120,$U$2:$U$1780)+COUNTIF($U$2:U1120,U1120)-1,"")</f>
        <v/>
      </c>
      <c r="W1120" s="56" t="str">
        <f aca="false">IF(V1120="","",IF(V1120&lt;=Settings!$B$11,"1 - Fix first",IF(V1120&lt;=Settings!$B$12,"2 - Review","3 - Monitor")))</f>
        <v/>
      </c>
      <c r="X1120" s="56" t="str">
        <f aca="false">IF(AND(E1120&gt;=Settings!$B$4,F1120&gt;=Settings!$B$5,O1120&gt;=Settings!$B$6),"HIGH RATE","")</f>
        <v/>
      </c>
      <c r="Y1120" s="56" t="str">
        <f aca="false">IF(F1120&gt;0,RANK(F1120,$F$2:$F$1780)+COUNTIF($F$2:F1120,F1120)-1,"")</f>
        <v/>
      </c>
      <c r="Z1120" s="56" t="str">
        <f aca="false">IF(H1120&gt;0,RANK(H1120,$H$2:$H$1780)+COUNTIF($H$2:H1120,H1120)-1,"")</f>
        <v/>
      </c>
      <c r="AA1120" s="56" t="str">
        <f aca="false">IF(AC1120="","",RANK(AC1120,$AC$2:$AC$1780)+COUNTIF($AC$2:AC1120,AC1120)-1)</f>
        <v/>
      </c>
      <c r="AB1120" s="56" t="str">
        <f aca="false">IF(AD1120="","",RANK(AD1120,$AD$2:$AD$1780)+COUNTIF($AD$2:AD1120,AD1120)-1)</f>
        <v/>
      </c>
      <c r="AC1120" s="56" t="str">
        <f aca="false">IF(AND(F1120&gt;0,E1120&gt;=Settings!$B$4),J1120,"")</f>
        <v/>
      </c>
      <c r="AD1120" s="56" t="str">
        <f aca="false">IF(X1120="HIGH RATE",O1120,"")</f>
        <v/>
      </c>
    </row>
    <row r="1121" customFormat="false" ht="15" hidden="false" customHeight="false" outlineLevel="0" collapsed="false">
      <c r="A1121" s="56" t="s">
        <v>2487</v>
      </c>
      <c r="B1121" s="56" t="s">
        <v>369</v>
      </c>
      <c r="C1121" s="56" t="s">
        <v>55</v>
      </c>
      <c r="D1121" s="56" t="str">
        <f aca="false">IFERROR(INDEX('Brand Map'!$B$4:$B$124,MATCH(C1121,'Brand Map'!$A$4:$A$124,0)),"Other")</f>
        <v>AUMJ</v>
      </c>
      <c r="E1121" s="57" t="n">
        <v>30</v>
      </c>
      <c r="F1121" s="57" t="n">
        <v>0</v>
      </c>
      <c r="G1121" s="58" t="n">
        <v>2848.5</v>
      </c>
      <c r="H1121" s="58" t="n">
        <v>0</v>
      </c>
      <c r="I1121" s="58" t="n">
        <v>2848.5</v>
      </c>
      <c r="J1121" s="32" t="n">
        <f aca="false">IF(E1121&gt;0,F1121/E1121,0)</f>
        <v>0</v>
      </c>
      <c r="K1121" s="32" t="n">
        <f aca="false">IF(G1121&gt;0,H1121/G1121,0)</f>
        <v>-0</v>
      </c>
      <c r="L1121" s="59" t="n">
        <f aca="false">H1121/Settings!$B$16</f>
        <v>-0</v>
      </c>
      <c r="M1121" s="59" t="n">
        <f aca="false">H1121/Settings!$B$20</f>
        <v>-0</v>
      </c>
      <c r="N1121" s="60" t="n">
        <f aca="false">E1121*Settings!$B$3</f>
        <v>0.929584532394613</v>
      </c>
      <c r="O1121" s="60" t="n">
        <f aca="false">IF(E1121&gt;0,(F1121-N1121)/SQRT(E1121*Settings!$B$3*(1-Settings!$B$3)),0)</f>
        <v>-0.979443644327671</v>
      </c>
      <c r="P1121" s="60" t="n">
        <f aca="false">MAX(0,F1121-N1121)</f>
        <v>0</v>
      </c>
      <c r="Q1121" s="32" t="n">
        <f aca="false">(F1121+Settings!$B$7*Settings!$B$3)/(E1121+Settings!$B$7)</f>
        <v>0.0154930755399102</v>
      </c>
      <c r="R1121" s="61" t="n">
        <f aca="false">PERCENTRANK($H$2:$H$1780,H1121,6)</f>
        <v>0</v>
      </c>
      <c r="S1121" s="61" t="n">
        <f aca="false">PERCENTRANK($Q$2:$Q$1780,Q1121,6)</f>
        <v>0.0427447</v>
      </c>
      <c r="T1121" s="61" t="n">
        <f aca="false">PERCENTRANK($F$2:$F$1780,F1121,6)</f>
        <v>0</v>
      </c>
      <c r="U1121" s="62" t="n">
        <f aca="false">IF(F1121&gt;0,(Settings!$B$8*T1121+Settings!$B$9*R1121+Settings!$B$10*S1121)/SUM(Settings!$B$8:$B$10),0)</f>
        <v>0</v>
      </c>
      <c r="V1121" s="56" t="str">
        <f aca="false">IF(U1121&gt;0,RANK(U1121,$U$2:$U$1780)+COUNTIF($U$2:U1121,U1121)-1,"")</f>
        <v/>
      </c>
      <c r="W1121" s="56" t="str">
        <f aca="false">IF(V1121="","",IF(V1121&lt;=Settings!$B$11,"1 - Fix first",IF(V1121&lt;=Settings!$B$12,"2 - Review","3 - Monitor")))</f>
        <v/>
      </c>
      <c r="X1121" s="56" t="str">
        <f aca="false">IF(AND(E1121&gt;=Settings!$B$4,F1121&gt;=Settings!$B$5,O1121&gt;=Settings!$B$6),"HIGH RATE","")</f>
        <v/>
      </c>
      <c r="Y1121" s="56" t="str">
        <f aca="false">IF(F1121&gt;0,RANK(F1121,$F$2:$F$1780)+COUNTIF($F$2:F1121,F1121)-1,"")</f>
        <v/>
      </c>
      <c r="Z1121" s="56" t="str">
        <f aca="false">IF(H1121&gt;0,RANK(H1121,$H$2:$H$1780)+COUNTIF($H$2:H1121,H1121)-1,"")</f>
        <v/>
      </c>
      <c r="AA1121" s="56" t="str">
        <f aca="false">IF(AC1121="","",RANK(AC1121,$AC$2:$AC$1780)+COUNTIF($AC$2:AC1121,AC1121)-1)</f>
        <v/>
      </c>
      <c r="AB1121" s="56" t="str">
        <f aca="false">IF(AD1121="","",RANK(AD1121,$AD$2:$AD$1780)+COUNTIF($AD$2:AD1121,AD1121)-1)</f>
        <v/>
      </c>
      <c r="AC1121" s="56" t="str">
        <f aca="false">IF(AND(F1121&gt;0,E1121&gt;=Settings!$B$4),J1121,"")</f>
        <v/>
      </c>
      <c r="AD1121" s="56" t="str">
        <f aca="false">IF(X1121="HIGH RATE",O1121,"")</f>
        <v/>
      </c>
    </row>
    <row r="1122" customFormat="false" ht="15" hidden="false" customHeight="false" outlineLevel="0" collapsed="false">
      <c r="A1122" s="56" t="s">
        <v>2488</v>
      </c>
      <c r="B1122" s="56" t="s">
        <v>369</v>
      </c>
      <c r="C1122" s="56" t="s">
        <v>55</v>
      </c>
      <c r="D1122" s="56" t="str">
        <f aca="false">IFERROR(INDEX('Brand Map'!$B$4:$B$124,MATCH(C1122,'Brand Map'!$A$4:$A$124,0)),"Other")</f>
        <v>AUMJ</v>
      </c>
      <c r="E1122" s="57" t="n">
        <v>10</v>
      </c>
      <c r="F1122" s="57" t="n">
        <v>0</v>
      </c>
      <c r="G1122" s="58" t="n">
        <v>1099.5</v>
      </c>
      <c r="H1122" s="58" t="n">
        <v>0</v>
      </c>
      <c r="I1122" s="58" t="n">
        <v>1099.5</v>
      </c>
      <c r="J1122" s="32" t="n">
        <f aca="false">IF(E1122&gt;0,F1122/E1122,0)</f>
        <v>0</v>
      </c>
      <c r="K1122" s="32" t="n">
        <f aca="false">IF(G1122&gt;0,H1122/G1122,0)</f>
        <v>-0</v>
      </c>
      <c r="L1122" s="59" t="n">
        <f aca="false">H1122/Settings!$B$16</f>
        <v>-0</v>
      </c>
      <c r="M1122" s="59" t="n">
        <f aca="false">H1122/Settings!$B$20</f>
        <v>-0</v>
      </c>
      <c r="N1122" s="60" t="n">
        <f aca="false">E1122*Settings!$B$3</f>
        <v>0.309861510798204</v>
      </c>
      <c r="O1122" s="60" t="n">
        <f aca="false">IF(E1122&gt;0,(F1122-N1122)/SQRT(E1122*Settings!$B$3*(1-Settings!$B$3)),0)</f>
        <v>-0.565482051708649</v>
      </c>
      <c r="P1122" s="60" t="n">
        <f aca="false">MAX(0,F1122-N1122)</f>
        <v>0</v>
      </c>
      <c r="Q1122" s="32" t="n">
        <f aca="false">(F1122+Settings!$B$7*Settings!$B$3)/(E1122+Settings!$B$7)</f>
        <v>0.0232396133098653</v>
      </c>
      <c r="R1122" s="61" t="n">
        <f aca="false">PERCENTRANK($H$2:$H$1780,H1122,6)</f>
        <v>0</v>
      </c>
      <c r="S1122" s="61" t="n">
        <f aca="false">PERCENTRANK($Q$2:$Q$1780,Q1122,6)</f>
        <v>0.131046</v>
      </c>
      <c r="T1122" s="61" t="n">
        <f aca="false">PERCENTRANK($F$2:$F$1780,F1122,6)</f>
        <v>0</v>
      </c>
      <c r="U1122" s="62" t="n">
        <f aca="false">IF(F1122&gt;0,(Settings!$B$8*T1122+Settings!$B$9*R1122+Settings!$B$10*S1122)/SUM(Settings!$B$8:$B$10),0)</f>
        <v>0</v>
      </c>
      <c r="V1122" s="56" t="str">
        <f aca="false">IF(U1122&gt;0,RANK(U1122,$U$2:$U$1780)+COUNTIF($U$2:U1122,U1122)-1,"")</f>
        <v/>
      </c>
      <c r="W1122" s="56" t="str">
        <f aca="false">IF(V1122="","",IF(V1122&lt;=Settings!$B$11,"1 - Fix first",IF(V1122&lt;=Settings!$B$12,"2 - Review","3 - Monitor")))</f>
        <v/>
      </c>
      <c r="X1122" s="56" t="str">
        <f aca="false">IF(AND(E1122&gt;=Settings!$B$4,F1122&gt;=Settings!$B$5,O1122&gt;=Settings!$B$6),"HIGH RATE","")</f>
        <v/>
      </c>
      <c r="Y1122" s="56" t="str">
        <f aca="false">IF(F1122&gt;0,RANK(F1122,$F$2:$F$1780)+COUNTIF($F$2:F1122,F1122)-1,"")</f>
        <v/>
      </c>
      <c r="Z1122" s="56" t="str">
        <f aca="false">IF(H1122&gt;0,RANK(H1122,$H$2:$H$1780)+COUNTIF($H$2:H1122,H1122)-1,"")</f>
        <v/>
      </c>
      <c r="AA1122" s="56" t="str">
        <f aca="false">IF(AC1122="","",RANK(AC1122,$AC$2:$AC$1780)+COUNTIF($AC$2:AC1122,AC1122)-1)</f>
        <v/>
      </c>
      <c r="AB1122" s="56" t="str">
        <f aca="false">IF(AD1122="","",RANK(AD1122,$AD$2:$AD$1780)+COUNTIF($AD$2:AD1122,AD1122)-1)</f>
        <v/>
      </c>
      <c r="AC1122" s="56" t="str">
        <f aca="false">IF(AND(F1122&gt;0,E1122&gt;=Settings!$B$4),J1122,"")</f>
        <v/>
      </c>
      <c r="AD1122" s="56" t="str">
        <f aca="false">IF(X1122="HIGH RATE",O1122,"")</f>
        <v/>
      </c>
    </row>
    <row r="1123" customFormat="false" ht="15" hidden="false" customHeight="false" outlineLevel="0" collapsed="false">
      <c r="A1123" s="56" t="s">
        <v>2489</v>
      </c>
      <c r="B1123" s="56" t="s">
        <v>369</v>
      </c>
      <c r="C1123" s="56" t="s">
        <v>55</v>
      </c>
      <c r="D1123" s="56" t="str">
        <f aca="false">IFERROR(INDEX('Brand Map'!$B$4:$B$124,MATCH(C1123,'Brand Map'!$A$4:$A$124,0)),"Other")</f>
        <v>AUMJ</v>
      </c>
      <c r="E1123" s="57" t="n">
        <v>14</v>
      </c>
      <c r="F1123" s="57" t="n">
        <v>0</v>
      </c>
      <c r="G1123" s="58" t="n">
        <v>1749.3</v>
      </c>
      <c r="H1123" s="58" t="n">
        <v>0</v>
      </c>
      <c r="I1123" s="58" t="n">
        <v>1749.3</v>
      </c>
      <c r="J1123" s="32" t="n">
        <f aca="false">IF(E1123&gt;0,F1123/E1123,0)</f>
        <v>0</v>
      </c>
      <c r="K1123" s="32" t="n">
        <f aca="false">IF(G1123&gt;0,H1123/G1123,0)</f>
        <v>-0</v>
      </c>
      <c r="L1123" s="59" t="n">
        <f aca="false">H1123/Settings!$B$16</f>
        <v>-0</v>
      </c>
      <c r="M1123" s="59" t="n">
        <f aca="false">H1123/Settings!$B$20</f>
        <v>-0</v>
      </c>
      <c r="N1123" s="60" t="n">
        <f aca="false">E1123*Settings!$B$3</f>
        <v>0.433806115117486</v>
      </c>
      <c r="O1123" s="60" t="n">
        <f aca="false">IF(E1123&gt;0,(F1123-N1123)/SQRT(E1123*Settings!$B$3*(1-Settings!$B$3)),0)</f>
        <v>-0.669087386763846</v>
      </c>
      <c r="P1123" s="60" t="n">
        <f aca="false">MAX(0,F1123-N1123)</f>
        <v>0</v>
      </c>
      <c r="Q1123" s="32" t="n">
        <f aca="false">(F1123+Settings!$B$7*Settings!$B$3)/(E1123+Settings!$B$7)</f>
        <v>0.0211269211907867</v>
      </c>
      <c r="R1123" s="61" t="n">
        <f aca="false">PERCENTRANK($H$2:$H$1780,H1123,6)</f>
        <v>0</v>
      </c>
      <c r="S1123" s="61" t="n">
        <f aca="false">PERCENTRANK($Q$2:$Q$1780,Q1123,6)</f>
        <v>0.0995501</v>
      </c>
      <c r="T1123" s="61" t="n">
        <f aca="false">PERCENTRANK($F$2:$F$1780,F1123,6)</f>
        <v>0</v>
      </c>
      <c r="U1123" s="62" t="n">
        <f aca="false">IF(F1123&gt;0,(Settings!$B$8*T1123+Settings!$B$9*R1123+Settings!$B$10*S1123)/SUM(Settings!$B$8:$B$10),0)</f>
        <v>0</v>
      </c>
      <c r="V1123" s="56" t="str">
        <f aca="false">IF(U1123&gt;0,RANK(U1123,$U$2:$U$1780)+COUNTIF($U$2:U1123,U1123)-1,"")</f>
        <v/>
      </c>
      <c r="W1123" s="56" t="str">
        <f aca="false">IF(V1123="","",IF(V1123&lt;=Settings!$B$11,"1 - Fix first",IF(V1123&lt;=Settings!$B$12,"2 - Review","3 - Monitor")))</f>
        <v/>
      </c>
      <c r="X1123" s="56" t="str">
        <f aca="false">IF(AND(E1123&gt;=Settings!$B$4,F1123&gt;=Settings!$B$5,O1123&gt;=Settings!$B$6),"HIGH RATE","")</f>
        <v/>
      </c>
      <c r="Y1123" s="56" t="str">
        <f aca="false">IF(F1123&gt;0,RANK(F1123,$F$2:$F$1780)+COUNTIF($F$2:F1123,F1123)-1,"")</f>
        <v/>
      </c>
      <c r="Z1123" s="56" t="str">
        <f aca="false">IF(H1123&gt;0,RANK(H1123,$H$2:$H$1780)+COUNTIF($H$2:H1123,H1123)-1,"")</f>
        <v/>
      </c>
      <c r="AA1123" s="56" t="str">
        <f aca="false">IF(AC1123="","",RANK(AC1123,$AC$2:$AC$1780)+COUNTIF($AC$2:AC1123,AC1123)-1)</f>
        <v/>
      </c>
      <c r="AB1123" s="56" t="str">
        <f aca="false">IF(AD1123="","",RANK(AD1123,$AD$2:$AD$1780)+COUNTIF($AD$2:AD1123,AD1123)-1)</f>
        <v/>
      </c>
      <c r="AC1123" s="56" t="str">
        <f aca="false">IF(AND(F1123&gt;0,E1123&gt;=Settings!$B$4),J1123,"")</f>
        <v/>
      </c>
      <c r="AD1123" s="56" t="str">
        <f aca="false">IF(X1123="HIGH RATE",O1123,"")</f>
        <v/>
      </c>
    </row>
    <row r="1124" customFormat="false" ht="15" hidden="false" customHeight="false" outlineLevel="0" collapsed="false">
      <c r="A1124" s="56" t="s">
        <v>2490</v>
      </c>
      <c r="B1124" s="56" t="s">
        <v>369</v>
      </c>
      <c r="C1124" s="56" t="s">
        <v>55</v>
      </c>
      <c r="D1124" s="56" t="str">
        <f aca="false">IFERROR(INDEX('Brand Map'!$B$4:$B$124,MATCH(C1124,'Brand Map'!$A$4:$A$124,0)),"Other")</f>
        <v>AUMJ</v>
      </c>
      <c r="E1124" s="57" t="n">
        <v>15</v>
      </c>
      <c r="F1124" s="57" t="n">
        <v>0</v>
      </c>
      <c r="G1124" s="58" t="n">
        <v>1683.37</v>
      </c>
      <c r="H1124" s="58" t="n">
        <v>0</v>
      </c>
      <c r="I1124" s="58" t="n">
        <v>1515.09</v>
      </c>
      <c r="J1124" s="32" t="n">
        <f aca="false">IF(E1124&gt;0,F1124/E1124,0)</f>
        <v>0</v>
      </c>
      <c r="K1124" s="32" t="n">
        <f aca="false">IF(G1124&gt;0,H1124/G1124,0)</f>
        <v>-0</v>
      </c>
      <c r="L1124" s="59" t="n">
        <f aca="false">H1124/Settings!$B$16</f>
        <v>-0</v>
      </c>
      <c r="M1124" s="59" t="n">
        <f aca="false">H1124/Settings!$B$20</f>
        <v>-0</v>
      </c>
      <c r="N1124" s="60" t="n">
        <f aca="false">E1124*Settings!$B$3</f>
        <v>0.464792266197306</v>
      </c>
      <c r="O1124" s="60" t="n">
        <f aca="false">IF(E1124&gt;0,(F1124-N1124)/SQRT(E1124*Settings!$B$3*(1-Settings!$B$3)),0)</f>
        <v>-0.692571242694161</v>
      </c>
      <c r="P1124" s="60" t="n">
        <f aca="false">MAX(0,F1124-N1124)</f>
        <v>0</v>
      </c>
      <c r="Q1124" s="32" t="n">
        <f aca="false">(F1124+Settings!$B$7*Settings!$B$3)/(E1124+Settings!$B$7)</f>
        <v>0.0206574340532136</v>
      </c>
      <c r="R1124" s="61" t="n">
        <f aca="false">PERCENTRANK($H$2:$H$1780,H1124,6)</f>
        <v>0</v>
      </c>
      <c r="S1124" s="61" t="n">
        <f aca="false">PERCENTRANK($Q$2:$Q$1780,Q1124,6)</f>
        <v>0.0928009</v>
      </c>
      <c r="T1124" s="61" t="n">
        <f aca="false">PERCENTRANK($F$2:$F$1780,F1124,6)</f>
        <v>0</v>
      </c>
      <c r="U1124" s="62" t="n">
        <f aca="false">IF(F1124&gt;0,(Settings!$B$8*T1124+Settings!$B$9*R1124+Settings!$B$10*S1124)/SUM(Settings!$B$8:$B$10),0)</f>
        <v>0</v>
      </c>
      <c r="V1124" s="56" t="str">
        <f aca="false">IF(U1124&gt;0,RANK(U1124,$U$2:$U$1780)+COUNTIF($U$2:U1124,U1124)-1,"")</f>
        <v/>
      </c>
      <c r="W1124" s="56" t="str">
        <f aca="false">IF(V1124="","",IF(V1124&lt;=Settings!$B$11,"1 - Fix first",IF(V1124&lt;=Settings!$B$12,"2 - Review","3 - Monitor")))</f>
        <v/>
      </c>
      <c r="X1124" s="56" t="str">
        <f aca="false">IF(AND(E1124&gt;=Settings!$B$4,F1124&gt;=Settings!$B$5,O1124&gt;=Settings!$B$6),"HIGH RATE","")</f>
        <v/>
      </c>
      <c r="Y1124" s="56" t="str">
        <f aca="false">IF(F1124&gt;0,RANK(F1124,$F$2:$F$1780)+COUNTIF($F$2:F1124,F1124)-1,"")</f>
        <v/>
      </c>
      <c r="Z1124" s="56" t="str">
        <f aca="false">IF(H1124&gt;0,RANK(H1124,$H$2:$H$1780)+COUNTIF($H$2:H1124,H1124)-1,"")</f>
        <v/>
      </c>
      <c r="AA1124" s="56" t="str">
        <f aca="false">IF(AC1124="","",RANK(AC1124,$AC$2:$AC$1780)+COUNTIF($AC$2:AC1124,AC1124)-1)</f>
        <v/>
      </c>
      <c r="AB1124" s="56" t="str">
        <f aca="false">IF(AD1124="","",RANK(AD1124,$AD$2:$AD$1780)+COUNTIF($AD$2:AD1124,AD1124)-1)</f>
        <v/>
      </c>
      <c r="AC1124" s="56" t="str">
        <f aca="false">IF(AND(F1124&gt;0,E1124&gt;=Settings!$B$4),J1124,"")</f>
        <v/>
      </c>
      <c r="AD1124" s="56" t="str">
        <f aca="false">IF(X1124="HIGH RATE",O1124,"")</f>
        <v/>
      </c>
    </row>
    <row r="1125" customFormat="false" ht="15" hidden="false" customHeight="false" outlineLevel="0" collapsed="false">
      <c r="A1125" s="56" t="s">
        <v>2491</v>
      </c>
      <c r="B1125" s="56" t="s">
        <v>1038</v>
      </c>
      <c r="C1125" s="56" t="s">
        <v>55</v>
      </c>
      <c r="D1125" s="56" t="str">
        <f aca="false">IFERROR(INDEX('Brand Map'!$B$4:$B$124,MATCH(C1125,'Brand Map'!$A$4:$A$124,0)),"Other")</f>
        <v>AUMJ</v>
      </c>
      <c r="E1125" s="57" t="n">
        <v>4</v>
      </c>
      <c r="F1125" s="57" t="n">
        <v>0</v>
      </c>
      <c r="G1125" s="58" t="n">
        <v>307.8</v>
      </c>
      <c r="H1125" s="58" t="n">
        <v>0</v>
      </c>
      <c r="I1125" s="58" t="n">
        <v>307.8</v>
      </c>
      <c r="J1125" s="32" t="n">
        <f aca="false">IF(E1125&gt;0,F1125/E1125,0)</f>
        <v>0</v>
      </c>
      <c r="K1125" s="32" t="n">
        <f aca="false">IF(G1125&gt;0,H1125/G1125,0)</f>
        <v>-0</v>
      </c>
      <c r="L1125" s="59" t="n">
        <f aca="false">H1125/Settings!$B$16</f>
        <v>-0</v>
      </c>
      <c r="M1125" s="59" t="n">
        <f aca="false">H1125/Settings!$B$20</f>
        <v>-0</v>
      </c>
      <c r="N1125" s="60" t="n">
        <f aca="false">E1125*Settings!$B$3</f>
        <v>0.123944604319282</v>
      </c>
      <c r="O1125" s="60" t="n">
        <f aca="false">IF(E1125&gt;0,(F1125-N1125)/SQRT(E1125*Settings!$B$3*(1-Settings!$B$3)),0)</f>
        <v>-0.357642251868888</v>
      </c>
      <c r="P1125" s="60" t="n">
        <f aca="false">MAX(0,F1125-N1125)</f>
        <v>0</v>
      </c>
      <c r="Q1125" s="32" t="n">
        <f aca="false">(F1125+Settings!$B$7*Settings!$B$3)/(E1125+Settings!$B$7)</f>
        <v>0.027340721541018</v>
      </c>
      <c r="R1125" s="61" t="n">
        <f aca="false">PERCENTRANK($H$2:$H$1780,H1125,6)</f>
        <v>0</v>
      </c>
      <c r="S1125" s="61" t="n">
        <f aca="false">PERCENTRANK($Q$2:$Q$1780,Q1125,6)</f>
        <v>0.253656</v>
      </c>
      <c r="T1125" s="61" t="n">
        <f aca="false">PERCENTRANK($F$2:$F$1780,F1125,6)</f>
        <v>0</v>
      </c>
      <c r="U1125" s="62" t="n">
        <f aca="false">IF(F1125&gt;0,(Settings!$B$8*T1125+Settings!$B$9*R1125+Settings!$B$10*S1125)/SUM(Settings!$B$8:$B$10),0)</f>
        <v>0</v>
      </c>
      <c r="V1125" s="56" t="str">
        <f aca="false">IF(U1125&gt;0,RANK(U1125,$U$2:$U$1780)+COUNTIF($U$2:U1125,U1125)-1,"")</f>
        <v/>
      </c>
      <c r="W1125" s="56" t="str">
        <f aca="false">IF(V1125="","",IF(V1125&lt;=Settings!$B$11,"1 - Fix first",IF(V1125&lt;=Settings!$B$12,"2 - Review","3 - Monitor")))</f>
        <v/>
      </c>
      <c r="X1125" s="56" t="str">
        <f aca="false">IF(AND(E1125&gt;=Settings!$B$4,F1125&gt;=Settings!$B$5,O1125&gt;=Settings!$B$6),"HIGH RATE","")</f>
        <v/>
      </c>
      <c r="Y1125" s="56" t="str">
        <f aca="false">IF(F1125&gt;0,RANK(F1125,$F$2:$F$1780)+COUNTIF($F$2:F1125,F1125)-1,"")</f>
        <v/>
      </c>
      <c r="Z1125" s="56" t="str">
        <f aca="false">IF(H1125&gt;0,RANK(H1125,$H$2:$H$1780)+COUNTIF($H$2:H1125,H1125)-1,"")</f>
        <v/>
      </c>
      <c r="AA1125" s="56" t="str">
        <f aca="false">IF(AC1125="","",RANK(AC1125,$AC$2:$AC$1780)+COUNTIF($AC$2:AC1125,AC1125)-1)</f>
        <v/>
      </c>
      <c r="AB1125" s="56" t="str">
        <f aca="false">IF(AD1125="","",RANK(AD1125,$AD$2:$AD$1780)+COUNTIF($AD$2:AD1125,AD1125)-1)</f>
        <v/>
      </c>
      <c r="AC1125" s="56" t="str">
        <f aca="false">IF(AND(F1125&gt;0,E1125&gt;=Settings!$B$4),J1125,"")</f>
        <v/>
      </c>
      <c r="AD1125" s="56" t="str">
        <f aca="false">IF(X1125="HIGH RATE",O1125,"")</f>
        <v/>
      </c>
    </row>
    <row r="1126" customFormat="false" ht="15" hidden="false" customHeight="false" outlineLevel="0" collapsed="false">
      <c r="A1126" s="56" t="s">
        <v>2492</v>
      </c>
      <c r="B1126" s="56" t="s">
        <v>1038</v>
      </c>
      <c r="C1126" s="56" t="s">
        <v>55</v>
      </c>
      <c r="D1126" s="56" t="str">
        <f aca="false">IFERROR(INDEX('Brand Map'!$B$4:$B$124,MATCH(C1126,'Brand Map'!$A$4:$A$124,0)),"Other")</f>
        <v>AUMJ</v>
      </c>
      <c r="E1126" s="57" t="n">
        <v>1</v>
      </c>
      <c r="F1126" s="57" t="n">
        <v>0</v>
      </c>
      <c r="G1126" s="58" t="n">
        <v>63.59</v>
      </c>
      <c r="H1126" s="58" t="n">
        <v>0</v>
      </c>
      <c r="I1126" s="58" t="n">
        <v>63.59</v>
      </c>
      <c r="J1126" s="32" t="n">
        <f aca="false">IF(E1126&gt;0,F1126/E1126,0)</f>
        <v>0</v>
      </c>
      <c r="K1126" s="32" t="n">
        <f aca="false">IF(G1126&gt;0,H1126/G1126,0)</f>
        <v>-0</v>
      </c>
      <c r="L1126" s="59" t="n">
        <f aca="false">H1126/Settings!$B$16</f>
        <v>-0</v>
      </c>
      <c r="M1126" s="59" t="n">
        <f aca="false">H1126/Settings!$B$20</f>
        <v>-0</v>
      </c>
      <c r="N1126" s="60" t="n">
        <f aca="false">E1126*Settings!$B$3</f>
        <v>0.0309861510798204</v>
      </c>
      <c r="O1126" s="60" t="n">
        <f aca="false">IF(E1126&gt;0,(F1126-N1126)/SQRT(E1126*Settings!$B$3*(1-Settings!$B$3)),0)</f>
        <v>-0.178821125934444</v>
      </c>
      <c r="P1126" s="60" t="n">
        <f aca="false">MAX(0,F1126-N1126)</f>
        <v>0</v>
      </c>
      <c r="Q1126" s="32" t="n">
        <f aca="false">(F1126+Settings!$B$7*Settings!$B$3)/(E1126+Settings!$B$7)</f>
        <v>0.0299865978191811</v>
      </c>
      <c r="R1126" s="61" t="n">
        <f aca="false">PERCENTRANK($H$2:$H$1780,H1126,6)</f>
        <v>0</v>
      </c>
      <c r="S1126" s="61" t="n">
        <f aca="false">PERCENTRANK($Q$2:$Q$1780,Q1126,6)</f>
        <v>0.486502</v>
      </c>
      <c r="T1126" s="61" t="n">
        <f aca="false">PERCENTRANK($F$2:$F$1780,F1126,6)</f>
        <v>0</v>
      </c>
      <c r="U1126" s="62" t="n">
        <f aca="false">IF(F1126&gt;0,(Settings!$B$8*T1126+Settings!$B$9*R1126+Settings!$B$10*S1126)/SUM(Settings!$B$8:$B$10),0)</f>
        <v>0</v>
      </c>
      <c r="V1126" s="56" t="str">
        <f aca="false">IF(U1126&gt;0,RANK(U1126,$U$2:$U$1780)+COUNTIF($U$2:U1126,U1126)-1,"")</f>
        <v/>
      </c>
      <c r="W1126" s="56" t="str">
        <f aca="false">IF(V1126="","",IF(V1126&lt;=Settings!$B$11,"1 - Fix first",IF(V1126&lt;=Settings!$B$12,"2 - Review","3 - Monitor")))</f>
        <v/>
      </c>
      <c r="X1126" s="56" t="str">
        <f aca="false">IF(AND(E1126&gt;=Settings!$B$4,F1126&gt;=Settings!$B$5,O1126&gt;=Settings!$B$6),"HIGH RATE","")</f>
        <v/>
      </c>
      <c r="Y1126" s="56" t="str">
        <f aca="false">IF(F1126&gt;0,RANK(F1126,$F$2:$F$1780)+COUNTIF($F$2:F1126,F1126)-1,"")</f>
        <v/>
      </c>
      <c r="Z1126" s="56" t="str">
        <f aca="false">IF(H1126&gt;0,RANK(H1126,$H$2:$H$1780)+COUNTIF($H$2:H1126,H1126)-1,"")</f>
        <v/>
      </c>
      <c r="AA1126" s="56" t="str">
        <f aca="false">IF(AC1126="","",RANK(AC1126,$AC$2:$AC$1780)+COUNTIF($AC$2:AC1126,AC1126)-1)</f>
        <v/>
      </c>
      <c r="AB1126" s="56" t="str">
        <f aca="false">IF(AD1126="","",RANK(AD1126,$AD$2:$AD$1780)+COUNTIF($AD$2:AD1126,AD1126)-1)</f>
        <v/>
      </c>
      <c r="AC1126" s="56" t="str">
        <f aca="false">IF(AND(F1126&gt;0,E1126&gt;=Settings!$B$4),J1126,"")</f>
        <v/>
      </c>
      <c r="AD1126" s="56" t="str">
        <f aca="false">IF(X1126="HIGH RATE",O1126,"")</f>
        <v/>
      </c>
    </row>
    <row r="1127" customFormat="false" ht="15" hidden="false" customHeight="false" outlineLevel="0" collapsed="false">
      <c r="A1127" s="56" t="s">
        <v>2493</v>
      </c>
      <c r="B1127" s="56" t="s">
        <v>1038</v>
      </c>
      <c r="C1127" s="56" t="s">
        <v>55</v>
      </c>
      <c r="D1127" s="56" t="str">
        <f aca="false">IFERROR(INDEX('Brand Map'!$B$4:$B$124,MATCH(C1127,'Brand Map'!$A$4:$A$124,0)),"Other")</f>
        <v>AUMJ</v>
      </c>
      <c r="E1127" s="57" t="n">
        <v>2</v>
      </c>
      <c r="F1127" s="57" t="n">
        <v>0</v>
      </c>
      <c r="G1127" s="58" t="n">
        <v>154.46</v>
      </c>
      <c r="H1127" s="58" t="n">
        <v>0</v>
      </c>
      <c r="I1127" s="58" t="n">
        <v>154.46</v>
      </c>
      <c r="J1127" s="32" t="n">
        <f aca="false">IF(E1127&gt;0,F1127/E1127,0)</f>
        <v>0</v>
      </c>
      <c r="K1127" s="32" t="n">
        <f aca="false">IF(G1127&gt;0,H1127/G1127,0)</f>
        <v>-0</v>
      </c>
      <c r="L1127" s="59" t="n">
        <f aca="false">H1127/Settings!$B$16</f>
        <v>-0</v>
      </c>
      <c r="M1127" s="59" t="n">
        <f aca="false">H1127/Settings!$B$20</f>
        <v>-0</v>
      </c>
      <c r="N1127" s="60" t="n">
        <f aca="false">E1127*Settings!$B$3</f>
        <v>0.0619723021596408</v>
      </c>
      <c r="O1127" s="60" t="n">
        <f aca="false">IF(E1127&gt;0,(F1127-N1127)/SQRT(E1127*Settings!$B$3*(1-Settings!$B$3)),0)</f>
        <v>-0.252891261535318</v>
      </c>
      <c r="P1127" s="60" t="n">
        <f aca="false">MAX(0,F1127-N1127)</f>
        <v>0</v>
      </c>
      <c r="Q1127" s="32" t="n">
        <f aca="false">(F1127+Settings!$B$7*Settings!$B$3)/(E1127+Settings!$B$7)</f>
        <v>0.0290495166373316</v>
      </c>
      <c r="R1127" s="61" t="n">
        <f aca="false">PERCENTRANK($H$2:$H$1780,H1127,6)</f>
        <v>0</v>
      </c>
      <c r="S1127" s="61" t="n">
        <f aca="false">PERCENTRANK($Q$2:$Q$1780,Q1127,6)</f>
        <v>0.365579</v>
      </c>
      <c r="T1127" s="61" t="n">
        <f aca="false">PERCENTRANK($F$2:$F$1780,F1127,6)</f>
        <v>0</v>
      </c>
      <c r="U1127" s="62" t="n">
        <f aca="false">IF(F1127&gt;0,(Settings!$B$8*T1127+Settings!$B$9*R1127+Settings!$B$10*S1127)/SUM(Settings!$B$8:$B$10),0)</f>
        <v>0</v>
      </c>
      <c r="V1127" s="56" t="str">
        <f aca="false">IF(U1127&gt;0,RANK(U1127,$U$2:$U$1780)+COUNTIF($U$2:U1127,U1127)-1,"")</f>
        <v/>
      </c>
      <c r="W1127" s="56" t="str">
        <f aca="false">IF(V1127="","",IF(V1127&lt;=Settings!$B$11,"1 - Fix first",IF(V1127&lt;=Settings!$B$12,"2 - Review","3 - Monitor")))</f>
        <v/>
      </c>
      <c r="X1127" s="56" t="str">
        <f aca="false">IF(AND(E1127&gt;=Settings!$B$4,F1127&gt;=Settings!$B$5,O1127&gt;=Settings!$B$6),"HIGH RATE","")</f>
        <v/>
      </c>
      <c r="Y1127" s="56" t="str">
        <f aca="false">IF(F1127&gt;0,RANK(F1127,$F$2:$F$1780)+COUNTIF($F$2:F1127,F1127)-1,"")</f>
        <v/>
      </c>
      <c r="Z1127" s="56" t="str">
        <f aca="false">IF(H1127&gt;0,RANK(H1127,$H$2:$H$1780)+COUNTIF($H$2:H1127,H1127)-1,"")</f>
        <v/>
      </c>
      <c r="AA1127" s="56" t="str">
        <f aca="false">IF(AC1127="","",RANK(AC1127,$AC$2:$AC$1780)+COUNTIF($AC$2:AC1127,AC1127)-1)</f>
        <v/>
      </c>
      <c r="AB1127" s="56" t="str">
        <f aca="false">IF(AD1127="","",RANK(AD1127,$AD$2:$AD$1780)+COUNTIF($AD$2:AD1127,AD1127)-1)</f>
        <v/>
      </c>
      <c r="AC1127" s="56" t="str">
        <f aca="false">IF(AND(F1127&gt;0,E1127&gt;=Settings!$B$4),J1127,"")</f>
        <v/>
      </c>
      <c r="AD1127" s="56" t="str">
        <f aca="false">IF(X1127="HIGH RATE",O1127,"")</f>
        <v/>
      </c>
    </row>
    <row r="1128" customFormat="false" ht="15" hidden="false" customHeight="false" outlineLevel="0" collapsed="false">
      <c r="A1128" s="56" t="s">
        <v>2494</v>
      </c>
      <c r="B1128" s="56" t="s">
        <v>1038</v>
      </c>
      <c r="C1128" s="56" t="s">
        <v>55</v>
      </c>
      <c r="D1128" s="56" t="str">
        <f aca="false">IFERROR(INDEX('Brand Map'!$B$4:$B$124,MATCH(C1128,'Brand Map'!$A$4:$A$124,0)),"Other")</f>
        <v>AUMJ</v>
      </c>
      <c r="E1128" s="57" t="n">
        <v>12</v>
      </c>
      <c r="F1128" s="57" t="n">
        <v>0</v>
      </c>
      <c r="G1128" s="58" t="n">
        <v>635.42</v>
      </c>
      <c r="H1128" s="58" t="n">
        <v>0</v>
      </c>
      <c r="I1128" s="58" t="n">
        <v>627.93</v>
      </c>
      <c r="J1128" s="32" t="n">
        <f aca="false">IF(E1128&gt;0,F1128/E1128,0)</f>
        <v>0</v>
      </c>
      <c r="K1128" s="32" t="n">
        <f aca="false">IF(G1128&gt;0,H1128/G1128,0)</f>
        <v>-0</v>
      </c>
      <c r="L1128" s="59" t="n">
        <f aca="false">H1128/Settings!$B$16</f>
        <v>-0</v>
      </c>
      <c r="M1128" s="59" t="n">
        <f aca="false">H1128/Settings!$B$20</f>
        <v>-0</v>
      </c>
      <c r="N1128" s="60" t="n">
        <f aca="false">E1128*Settings!$B$3</f>
        <v>0.371833812957845</v>
      </c>
      <c r="O1128" s="60" t="n">
        <f aca="false">IF(E1128&gt;0,(F1128-N1128)/SQRT(E1128*Settings!$B$3*(1-Settings!$B$3)),0)</f>
        <v>-0.61945455117026</v>
      </c>
      <c r="P1128" s="60" t="n">
        <f aca="false">MAX(0,F1128-N1128)</f>
        <v>0</v>
      </c>
      <c r="Q1128" s="32" t="n">
        <f aca="false">(F1128+Settings!$B$7*Settings!$B$3)/(E1128+Settings!$B$7)</f>
        <v>0.0221329650570146</v>
      </c>
      <c r="R1128" s="61" t="n">
        <f aca="false">PERCENTRANK($H$2:$H$1780,H1128,6)</f>
        <v>0</v>
      </c>
      <c r="S1128" s="61" t="n">
        <f aca="false">PERCENTRANK($Q$2:$Q$1780,Q1128,6)</f>
        <v>0.109674</v>
      </c>
      <c r="T1128" s="61" t="n">
        <f aca="false">PERCENTRANK($F$2:$F$1780,F1128,6)</f>
        <v>0</v>
      </c>
      <c r="U1128" s="62" t="n">
        <f aca="false">IF(F1128&gt;0,(Settings!$B$8*T1128+Settings!$B$9*R1128+Settings!$B$10*S1128)/SUM(Settings!$B$8:$B$10),0)</f>
        <v>0</v>
      </c>
      <c r="V1128" s="56" t="str">
        <f aca="false">IF(U1128&gt;0,RANK(U1128,$U$2:$U$1780)+COUNTIF($U$2:U1128,U1128)-1,"")</f>
        <v/>
      </c>
      <c r="W1128" s="56" t="str">
        <f aca="false">IF(V1128="","",IF(V1128&lt;=Settings!$B$11,"1 - Fix first",IF(V1128&lt;=Settings!$B$12,"2 - Review","3 - Monitor")))</f>
        <v/>
      </c>
      <c r="X1128" s="56" t="str">
        <f aca="false">IF(AND(E1128&gt;=Settings!$B$4,F1128&gt;=Settings!$B$5,O1128&gt;=Settings!$B$6),"HIGH RATE","")</f>
        <v/>
      </c>
      <c r="Y1128" s="56" t="str">
        <f aca="false">IF(F1128&gt;0,RANK(F1128,$F$2:$F$1780)+COUNTIF($F$2:F1128,F1128)-1,"")</f>
        <v/>
      </c>
      <c r="Z1128" s="56" t="str">
        <f aca="false">IF(H1128&gt;0,RANK(H1128,$H$2:$H$1780)+COUNTIF($H$2:H1128,H1128)-1,"")</f>
        <v/>
      </c>
      <c r="AA1128" s="56" t="str">
        <f aca="false">IF(AC1128="","",RANK(AC1128,$AC$2:$AC$1780)+COUNTIF($AC$2:AC1128,AC1128)-1)</f>
        <v/>
      </c>
      <c r="AB1128" s="56" t="str">
        <f aca="false">IF(AD1128="","",RANK(AD1128,$AD$2:$AD$1780)+COUNTIF($AD$2:AD1128,AD1128)-1)</f>
        <v/>
      </c>
      <c r="AC1128" s="56" t="str">
        <f aca="false">IF(AND(F1128&gt;0,E1128&gt;=Settings!$B$4),J1128,"")</f>
        <v/>
      </c>
      <c r="AD1128" s="56" t="str">
        <f aca="false">IF(X1128="HIGH RATE",O1128,"")</f>
        <v/>
      </c>
    </row>
    <row r="1129" customFormat="false" ht="15" hidden="false" customHeight="false" outlineLevel="0" collapsed="false">
      <c r="A1129" s="56" t="s">
        <v>2495</v>
      </c>
      <c r="B1129" s="56" t="s">
        <v>880</v>
      </c>
      <c r="C1129" s="56" t="s">
        <v>55</v>
      </c>
      <c r="D1129" s="56" t="str">
        <f aca="false">IFERROR(INDEX('Brand Map'!$B$4:$B$124,MATCH(C1129,'Brand Map'!$A$4:$A$124,0)),"Other")</f>
        <v>AUMJ</v>
      </c>
      <c r="E1129" s="57" t="n">
        <v>1</v>
      </c>
      <c r="F1129" s="57" t="n">
        <v>0</v>
      </c>
      <c r="G1129" s="58" t="n">
        <v>59.05</v>
      </c>
      <c r="H1129" s="58" t="n">
        <v>0</v>
      </c>
      <c r="I1129" s="58" t="n">
        <v>59.05</v>
      </c>
      <c r="J1129" s="32" t="n">
        <f aca="false">IF(E1129&gt;0,F1129/E1129,0)</f>
        <v>0</v>
      </c>
      <c r="K1129" s="32" t="n">
        <f aca="false">IF(G1129&gt;0,H1129/G1129,0)</f>
        <v>-0</v>
      </c>
      <c r="L1129" s="59" t="n">
        <f aca="false">H1129/Settings!$B$16</f>
        <v>-0</v>
      </c>
      <c r="M1129" s="59" t="n">
        <f aca="false">H1129/Settings!$B$20</f>
        <v>-0</v>
      </c>
      <c r="N1129" s="60" t="n">
        <f aca="false">E1129*Settings!$B$3</f>
        <v>0.0309861510798204</v>
      </c>
      <c r="O1129" s="60" t="n">
        <f aca="false">IF(E1129&gt;0,(F1129-N1129)/SQRT(E1129*Settings!$B$3*(1-Settings!$B$3)),0)</f>
        <v>-0.178821125934444</v>
      </c>
      <c r="P1129" s="60" t="n">
        <f aca="false">MAX(0,F1129-N1129)</f>
        <v>0</v>
      </c>
      <c r="Q1129" s="32" t="n">
        <f aca="false">(F1129+Settings!$B$7*Settings!$B$3)/(E1129+Settings!$B$7)</f>
        <v>0.0299865978191811</v>
      </c>
      <c r="R1129" s="61" t="n">
        <f aca="false">PERCENTRANK($H$2:$H$1780,H1129,6)</f>
        <v>0</v>
      </c>
      <c r="S1129" s="61" t="n">
        <f aca="false">PERCENTRANK($Q$2:$Q$1780,Q1129,6)</f>
        <v>0.486502</v>
      </c>
      <c r="T1129" s="61" t="n">
        <f aca="false">PERCENTRANK($F$2:$F$1780,F1129,6)</f>
        <v>0</v>
      </c>
      <c r="U1129" s="62" t="n">
        <f aca="false">IF(F1129&gt;0,(Settings!$B$8*T1129+Settings!$B$9*R1129+Settings!$B$10*S1129)/SUM(Settings!$B$8:$B$10),0)</f>
        <v>0</v>
      </c>
      <c r="V1129" s="56" t="str">
        <f aca="false">IF(U1129&gt;0,RANK(U1129,$U$2:$U$1780)+COUNTIF($U$2:U1129,U1129)-1,"")</f>
        <v/>
      </c>
      <c r="W1129" s="56" t="str">
        <f aca="false">IF(V1129="","",IF(V1129&lt;=Settings!$B$11,"1 - Fix first",IF(V1129&lt;=Settings!$B$12,"2 - Review","3 - Monitor")))</f>
        <v/>
      </c>
      <c r="X1129" s="56" t="str">
        <f aca="false">IF(AND(E1129&gt;=Settings!$B$4,F1129&gt;=Settings!$B$5,O1129&gt;=Settings!$B$6),"HIGH RATE","")</f>
        <v/>
      </c>
      <c r="Y1129" s="56" t="str">
        <f aca="false">IF(F1129&gt;0,RANK(F1129,$F$2:$F$1780)+COUNTIF($F$2:F1129,F1129)-1,"")</f>
        <v/>
      </c>
      <c r="Z1129" s="56" t="str">
        <f aca="false">IF(H1129&gt;0,RANK(H1129,$H$2:$H$1780)+COUNTIF($H$2:H1129,H1129)-1,"")</f>
        <v/>
      </c>
      <c r="AA1129" s="56" t="str">
        <f aca="false">IF(AC1129="","",RANK(AC1129,$AC$2:$AC$1780)+COUNTIF($AC$2:AC1129,AC1129)-1)</f>
        <v/>
      </c>
      <c r="AB1129" s="56" t="str">
        <f aca="false">IF(AD1129="","",RANK(AD1129,$AD$2:$AD$1780)+COUNTIF($AD$2:AD1129,AD1129)-1)</f>
        <v/>
      </c>
      <c r="AC1129" s="56" t="str">
        <f aca="false">IF(AND(F1129&gt;0,E1129&gt;=Settings!$B$4),J1129,"")</f>
        <v/>
      </c>
      <c r="AD1129" s="56" t="str">
        <f aca="false">IF(X1129="HIGH RATE",O1129,"")</f>
        <v/>
      </c>
    </row>
    <row r="1130" customFormat="false" ht="15" hidden="false" customHeight="false" outlineLevel="0" collapsed="false">
      <c r="A1130" s="56" t="s">
        <v>2496</v>
      </c>
      <c r="B1130" s="56" t="s">
        <v>873</v>
      </c>
      <c r="C1130" s="56" t="s">
        <v>55</v>
      </c>
      <c r="D1130" s="56" t="str">
        <f aca="false">IFERROR(INDEX('Brand Map'!$B$4:$B$124,MATCH(C1130,'Brand Map'!$A$4:$A$124,0)),"Other")</f>
        <v>AUMJ</v>
      </c>
      <c r="E1130" s="57" t="n">
        <v>4</v>
      </c>
      <c r="F1130" s="57" t="n">
        <v>0</v>
      </c>
      <c r="G1130" s="58" t="n">
        <v>411.8</v>
      </c>
      <c r="H1130" s="58" t="n">
        <v>0</v>
      </c>
      <c r="I1130" s="58" t="n">
        <v>411.8</v>
      </c>
      <c r="J1130" s="32" t="n">
        <f aca="false">IF(E1130&gt;0,F1130/E1130,0)</f>
        <v>0</v>
      </c>
      <c r="K1130" s="32" t="n">
        <f aca="false">IF(G1130&gt;0,H1130/G1130,0)</f>
        <v>-0</v>
      </c>
      <c r="L1130" s="59" t="n">
        <f aca="false">H1130/Settings!$B$16</f>
        <v>-0</v>
      </c>
      <c r="M1130" s="59" t="n">
        <f aca="false">H1130/Settings!$B$20</f>
        <v>-0</v>
      </c>
      <c r="N1130" s="60" t="n">
        <f aca="false">E1130*Settings!$B$3</f>
        <v>0.123944604319282</v>
      </c>
      <c r="O1130" s="60" t="n">
        <f aca="false">IF(E1130&gt;0,(F1130-N1130)/SQRT(E1130*Settings!$B$3*(1-Settings!$B$3)),0)</f>
        <v>-0.357642251868888</v>
      </c>
      <c r="P1130" s="60" t="n">
        <f aca="false">MAX(0,F1130-N1130)</f>
        <v>0</v>
      </c>
      <c r="Q1130" s="32" t="n">
        <f aca="false">(F1130+Settings!$B$7*Settings!$B$3)/(E1130+Settings!$B$7)</f>
        <v>0.027340721541018</v>
      </c>
      <c r="R1130" s="61" t="n">
        <f aca="false">PERCENTRANK($H$2:$H$1780,H1130,6)</f>
        <v>0</v>
      </c>
      <c r="S1130" s="61" t="n">
        <f aca="false">PERCENTRANK($Q$2:$Q$1780,Q1130,6)</f>
        <v>0.253656</v>
      </c>
      <c r="T1130" s="61" t="n">
        <f aca="false">PERCENTRANK($F$2:$F$1780,F1130,6)</f>
        <v>0</v>
      </c>
      <c r="U1130" s="62" t="n">
        <f aca="false">IF(F1130&gt;0,(Settings!$B$8*T1130+Settings!$B$9*R1130+Settings!$B$10*S1130)/SUM(Settings!$B$8:$B$10),0)</f>
        <v>0</v>
      </c>
      <c r="V1130" s="56" t="str">
        <f aca="false">IF(U1130&gt;0,RANK(U1130,$U$2:$U$1780)+COUNTIF($U$2:U1130,U1130)-1,"")</f>
        <v/>
      </c>
      <c r="W1130" s="56" t="str">
        <f aca="false">IF(V1130="","",IF(V1130&lt;=Settings!$B$11,"1 - Fix first",IF(V1130&lt;=Settings!$B$12,"2 - Review","3 - Monitor")))</f>
        <v/>
      </c>
      <c r="X1130" s="56" t="str">
        <f aca="false">IF(AND(E1130&gt;=Settings!$B$4,F1130&gt;=Settings!$B$5,O1130&gt;=Settings!$B$6),"HIGH RATE","")</f>
        <v/>
      </c>
      <c r="Y1130" s="56" t="str">
        <f aca="false">IF(F1130&gt;0,RANK(F1130,$F$2:$F$1780)+COUNTIF($F$2:F1130,F1130)-1,"")</f>
        <v/>
      </c>
      <c r="Z1130" s="56" t="str">
        <f aca="false">IF(H1130&gt;0,RANK(H1130,$H$2:$H$1780)+COUNTIF($H$2:H1130,H1130)-1,"")</f>
        <v/>
      </c>
      <c r="AA1130" s="56" t="str">
        <f aca="false">IF(AC1130="","",RANK(AC1130,$AC$2:$AC$1780)+COUNTIF($AC$2:AC1130,AC1130)-1)</f>
        <v/>
      </c>
      <c r="AB1130" s="56" t="str">
        <f aca="false">IF(AD1130="","",RANK(AD1130,$AD$2:$AD$1780)+COUNTIF($AD$2:AD1130,AD1130)-1)</f>
        <v/>
      </c>
      <c r="AC1130" s="56" t="str">
        <f aca="false">IF(AND(F1130&gt;0,E1130&gt;=Settings!$B$4),J1130,"")</f>
        <v/>
      </c>
      <c r="AD1130" s="56" t="str">
        <f aca="false">IF(X1130="HIGH RATE",O1130,"")</f>
        <v/>
      </c>
    </row>
    <row r="1131" customFormat="false" ht="15" hidden="false" customHeight="false" outlineLevel="0" collapsed="false">
      <c r="A1131" s="56" t="s">
        <v>2497</v>
      </c>
      <c r="B1131" s="56" t="s">
        <v>873</v>
      </c>
      <c r="C1131" s="56" t="s">
        <v>55</v>
      </c>
      <c r="D1131" s="56" t="str">
        <f aca="false">IFERROR(INDEX('Brand Map'!$B$4:$B$124,MATCH(C1131,'Brand Map'!$A$4:$A$124,0)),"Other")</f>
        <v>AUMJ</v>
      </c>
      <c r="E1131" s="57" t="n">
        <v>2</v>
      </c>
      <c r="F1131" s="57" t="n">
        <v>0</v>
      </c>
      <c r="G1131" s="58" t="n">
        <v>190.81</v>
      </c>
      <c r="H1131" s="58" t="n">
        <v>0</v>
      </c>
      <c r="I1131" s="58" t="n">
        <v>176.51</v>
      </c>
      <c r="J1131" s="32" t="n">
        <f aca="false">IF(E1131&gt;0,F1131/E1131,0)</f>
        <v>0</v>
      </c>
      <c r="K1131" s="32" t="n">
        <f aca="false">IF(G1131&gt;0,H1131/G1131,0)</f>
        <v>-0</v>
      </c>
      <c r="L1131" s="59" t="n">
        <f aca="false">H1131/Settings!$B$16</f>
        <v>-0</v>
      </c>
      <c r="M1131" s="59" t="n">
        <f aca="false">H1131/Settings!$B$20</f>
        <v>-0</v>
      </c>
      <c r="N1131" s="60" t="n">
        <f aca="false">E1131*Settings!$B$3</f>
        <v>0.0619723021596408</v>
      </c>
      <c r="O1131" s="60" t="n">
        <f aca="false">IF(E1131&gt;0,(F1131-N1131)/SQRT(E1131*Settings!$B$3*(1-Settings!$B$3)),0)</f>
        <v>-0.252891261535318</v>
      </c>
      <c r="P1131" s="60" t="n">
        <f aca="false">MAX(0,F1131-N1131)</f>
        <v>0</v>
      </c>
      <c r="Q1131" s="32" t="n">
        <f aca="false">(F1131+Settings!$B$7*Settings!$B$3)/(E1131+Settings!$B$7)</f>
        <v>0.0290495166373316</v>
      </c>
      <c r="R1131" s="61" t="n">
        <f aca="false">PERCENTRANK($H$2:$H$1780,H1131,6)</f>
        <v>0</v>
      </c>
      <c r="S1131" s="61" t="n">
        <f aca="false">PERCENTRANK($Q$2:$Q$1780,Q1131,6)</f>
        <v>0.365579</v>
      </c>
      <c r="T1131" s="61" t="n">
        <f aca="false">PERCENTRANK($F$2:$F$1780,F1131,6)</f>
        <v>0</v>
      </c>
      <c r="U1131" s="62" t="n">
        <f aca="false">IF(F1131&gt;0,(Settings!$B$8*T1131+Settings!$B$9*R1131+Settings!$B$10*S1131)/SUM(Settings!$B$8:$B$10),0)</f>
        <v>0</v>
      </c>
      <c r="V1131" s="56" t="str">
        <f aca="false">IF(U1131&gt;0,RANK(U1131,$U$2:$U$1780)+COUNTIF($U$2:U1131,U1131)-1,"")</f>
        <v/>
      </c>
      <c r="W1131" s="56" t="str">
        <f aca="false">IF(V1131="","",IF(V1131&lt;=Settings!$B$11,"1 - Fix first",IF(V1131&lt;=Settings!$B$12,"2 - Review","3 - Monitor")))</f>
        <v/>
      </c>
      <c r="X1131" s="56" t="str">
        <f aca="false">IF(AND(E1131&gt;=Settings!$B$4,F1131&gt;=Settings!$B$5,O1131&gt;=Settings!$B$6),"HIGH RATE","")</f>
        <v/>
      </c>
      <c r="Y1131" s="56" t="str">
        <f aca="false">IF(F1131&gt;0,RANK(F1131,$F$2:$F$1780)+COUNTIF($F$2:F1131,F1131)-1,"")</f>
        <v/>
      </c>
      <c r="Z1131" s="56" t="str">
        <f aca="false">IF(H1131&gt;0,RANK(H1131,$H$2:$H$1780)+COUNTIF($H$2:H1131,H1131)-1,"")</f>
        <v/>
      </c>
      <c r="AA1131" s="56" t="str">
        <f aca="false">IF(AC1131="","",RANK(AC1131,$AC$2:$AC$1780)+COUNTIF($AC$2:AC1131,AC1131)-1)</f>
        <v/>
      </c>
      <c r="AB1131" s="56" t="str">
        <f aca="false">IF(AD1131="","",RANK(AD1131,$AD$2:$AD$1780)+COUNTIF($AD$2:AD1131,AD1131)-1)</f>
        <v/>
      </c>
      <c r="AC1131" s="56" t="str">
        <f aca="false">IF(AND(F1131&gt;0,E1131&gt;=Settings!$B$4),J1131,"")</f>
        <v/>
      </c>
      <c r="AD1131" s="56" t="str">
        <f aca="false">IF(X1131="HIGH RATE",O1131,"")</f>
        <v/>
      </c>
    </row>
    <row r="1132" customFormat="false" ht="15" hidden="false" customHeight="false" outlineLevel="0" collapsed="false">
      <c r="A1132" s="56" t="s">
        <v>2498</v>
      </c>
      <c r="B1132" s="56" t="s">
        <v>873</v>
      </c>
      <c r="C1132" s="56" t="s">
        <v>55</v>
      </c>
      <c r="D1132" s="56" t="str">
        <f aca="false">IFERROR(INDEX('Brand Map'!$B$4:$B$124,MATCH(C1132,'Brand Map'!$A$4:$A$124,0)),"Other")</f>
        <v>AUMJ</v>
      </c>
      <c r="E1132" s="57" t="n">
        <v>7</v>
      </c>
      <c r="F1132" s="57" t="n">
        <v>0</v>
      </c>
      <c r="G1132" s="58" t="n">
        <v>586.75</v>
      </c>
      <c r="H1132" s="58" t="n">
        <v>0</v>
      </c>
      <c r="I1132" s="58" t="n">
        <v>586.75</v>
      </c>
      <c r="J1132" s="32" t="n">
        <f aca="false">IF(E1132&gt;0,F1132/E1132,0)</f>
        <v>0</v>
      </c>
      <c r="K1132" s="32" t="n">
        <f aca="false">IF(G1132&gt;0,H1132/G1132,0)</f>
        <v>-0</v>
      </c>
      <c r="L1132" s="59" t="n">
        <f aca="false">H1132/Settings!$B$16</f>
        <v>-0</v>
      </c>
      <c r="M1132" s="59" t="n">
        <f aca="false">H1132/Settings!$B$20</f>
        <v>-0</v>
      </c>
      <c r="N1132" s="60" t="n">
        <f aca="false">E1132*Settings!$B$3</f>
        <v>0.216903057558743</v>
      </c>
      <c r="O1132" s="60" t="n">
        <f aca="false">IF(E1132&gt;0,(F1132-N1132)/SQRT(E1132*Settings!$B$3*(1-Settings!$B$3)),0)</f>
        <v>-0.473116228387102</v>
      </c>
      <c r="P1132" s="60" t="n">
        <f aca="false">MAX(0,F1132-N1132)</f>
        <v>0</v>
      </c>
      <c r="Q1132" s="32" t="n">
        <f aca="false">(F1132+Settings!$B$7*Settings!$B$3)/(E1132+Settings!$B$7)</f>
        <v>0.0251239062809355</v>
      </c>
      <c r="R1132" s="61" t="n">
        <f aca="false">PERCENTRANK($H$2:$H$1780,H1132,6)</f>
        <v>0</v>
      </c>
      <c r="S1132" s="61" t="n">
        <f aca="false">PERCENTRANK($Q$2:$Q$1780,Q1132,6)</f>
        <v>0.168166</v>
      </c>
      <c r="T1132" s="61" t="n">
        <f aca="false">PERCENTRANK($F$2:$F$1780,F1132,6)</f>
        <v>0</v>
      </c>
      <c r="U1132" s="62" t="n">
        <f aca="false">IF(F1132&gt;0,(Settings!$B$8*T1132+Settings!$B$9*R1132+Settings!$B$10*S1132)/SUM(Settings!$B$8:$B$10),0)</f>
        <v>0</v>
      </c>
      <c r="V1132" s="56" t="str">
        <f aca="false">IF(U1132&gt;0,RANK(U1132,$U$2:$U$1780)+COUNTIF($U$2:U1132,U1132)-1,"")</f>
        <v/>
      </c>
      <c r="W1132" s="56" t="str">
        <f aca="false">IF(V1132="","",IF(V1132&lt;=Settings!$B$11,"1 - Fix first",IF(V1132&lt;=Settings!$B$12,"2 - Review","3 - Monitor")))</f>
        <v/>
      </c>
      <c r="X1132" s="56" t="str">
        <f aca="false">IF(AND(E1132&gt;=Settings!$B$4,F1132&gt;=Settings!$B$5,O1132&gt;=Settings!$B$6),"HIGH RATE","")</f>
        <v/>
      </c>
      <c r="Y1132" s="56" t="str">
        <f aca="false">IF(F1132&gt;0,RANK(F1132,$F$2:$F$1780)+COUNTIF($F$2:F1132,F1132)-1,"")</f>
        <v/>
      </c>
      <c r="Z1132" s="56" t="str">
        <f aca="false">IF(H1132&gt;0,RANK(H1132,$H$2:$H$1780)+COUNTIF($H$2:H1132,H1132)-1,"")</f>
        <v/>
      </c>
      <c r="AA1132" s="56" t="str">
        <f aca="false">IF(AC1132="","",RANK(AC1132,$AC$2:$AC$1780)+COUNTIF($AC$2:AC1132,AC1132)-1)</f>
        <v/>
      </c>
      <c r="AB1132" s="56" t="str">
        <f aca="false">IF(AD1132="","",RANK(AD1132,$AD$2:$AD$1780)+COUNTIF($AD$2:AD1132,AD1132)-1)</f>
        <v/>
      </c>
      <c r="AC1132" s="56" t="str">
        <f aca="false">IF(AND(F1132&gt;0,E1132&gt;=Settings!$B$4),J1132,"")</f>
        <v/>
      </c>
      <c r="AD1132" s="56" t="str">
        <f aca="false">IF(X1132="HIGH RATE",O1132,"")</f>
        <v/>
      </c>
    </row>
    <row r="1133" customFormat="false" ht="15" hidden="false" customHeight="false" outlineLevel="0" collapsed="false">
      <c r="A1133" s="56" t="s">
        <v>2499</v>
      </c>
      <c r="B1133" s="56" t="s">
        <v>1332</v>
      </c>
      <c r="C1133" s="56" t="s">
        <v>55</v>
      </c>
      <c r="D1133" s="56" t="str">
        <f aca="false">IFERROR(INDEX('Brand Map'!$B$4:$B$124,MATCH(C1133,'Brand Map'!$A$4:$A$124,0)),"Other")</f>
        <v>AUMJ</v>
      </c>
      <c r="E1133" s="57" t="n">
        <v>2</v>
      </c>
      <c r="F1133" s="57" t="n">
        <v>0</v>
      </c>
      <c r="G1133" s="58" t="n">
        <v>221.9</v>
      </c>
      <c r="H1133" s="58" t="n">
        <v>0</v>
      </c>
      <c r="I1133" s="58" t="n">
        <v>221.9</v>
      </c>
      <c r="J1133" s="32" t="n">
        <f aca="false">IF(E1133&gt;0,F1133/E1133,0)</f>
        <v>0</v>
      </c>
      <c r="K1133" s="32" t="n">
        <f aca="false">IF(G1133&gt;0,H1133/G1133,0)</f>
        <v>-0</v>
      </c>
      <c r="L1133" s="59" t="n">
        <f aca="false">H1133/Settings!$B$16</f>
        <v>-0</v>
      </c>
      <c r="M1133" s="59" t="n">
        <f aca="false">H1133/Settings!$B$20</f>
        <v>-0</v>
      </c>
      <c r="N1133" s="60" t="n">
        <f aca="false">E1133*Settings!$B$3</f>
        <v>0.0619723021596408</v>
      </c>
      <c r="O1133" s="60" t="n">
        <f aca="false">IF(E1133&gt;0,(F1133-N1133)/SQRT(E1133*Settings!$B$3*(1-Settings!$B$3)),0)</f>
        <v>-0.252891261535318</v>
      </c>
      <c r="P1133" s="60" t="n">
        <f aca="false">MAX(0,F1133-N1133)</f>
        <v>0</v>
      </c>
      <c r="Q1133" s="32" t="n">
        <f aca="false">(F1133+Settings!$B$7*Settings!$B$3)/(E1133+Settings!$B$7)</f>
        <v>0.0290495166373316</v>
      </c>
      <c r="R1133" s="61" t="n">
        <f aca="false">PERCENTRANK($H$2:$H$1780,H1133,6)</f>
        <v>0</v>
      </c>
      <c r="S1133" s="61" t="n">
        <f aca="false">PERCENTRANK($Q$2:$Q$1780,Q1133,6)</f>
        <v>0.365579</v>
      </c>
      <c r="T1133" s="61" t="n">
        <f aca="false">PERCENTRANK($F$2:$F$1780,F1133,6)</f>
        <v>0</v>
      </c>
      <c r="U1133" s="62" t="n">
        <f aca="false">IF(F1133&gt;0,(Settings!$B$8*T1133+Settings!$B$9*R1133+Settings!$B$10*S1133)/SUM(Settings!$B$8:$B$10),0)</f>
        <v>0</v>
      </c>
      <c r="V1133" s="56" t="str">
        <f aca="false">IF(U1133&gt;0,RANK(U1133,$U$2:$U$1780)+COUNTIF($U$2:U1133,U1133)-1,"")</f>
        <v/>
      </c>
      <c r="W1133" s="56" t="str">
        <f aca="false">IF(V1133="","",IF(V1133&lt;=Settings!$B$11,"1 - Fix first",IF(V1133&lt;=Settings!$B$12,"2 - Review","3 - Monitor")))</f>
        <v/>
      </c>
      <c r="X1133" s="56" t="str">
        <f aca="false">IF(AND(E1133&gt;=Settings!$B$4,F1133&gt;=Settings!$B$5,O1133&gt;=Settings!$B$6),"HIGH RATE","")</f>
        <v/>
      </c>
      <c r="Y1133" s="56" t="str">
        <f aca="false">IF(F1133&gt;0,RANK(F1133,$F$2:$F$1780)+COUNTIF($F$2:F1133,F1133)-1,"")</f>
        <v/>
      </c>
      <c r="Z1133" s="56" t="str">
        <f aca="false">IF(H1133&gt;0,RANK(H1133,$H$2:$H$1780)+COUNTIF($H$2:H1133,H1133)-1,"")</f>
        <v/>
      </c>
      <c r="AA1133" s="56" t="str">
        <f aca="false">IF(AC1133="","",RANK(AC1133,$AC$2:$AC$1780)+COUNTIF($AC$2:AC1133,AC1133)-1)</f>
        <v/>
      </c>
      <c r="AB1133" s="56" t="str">
        <f aca="false">IF(AD1133="","",RANK(AD1133,$AD$2:$AD$1780)+COUNTIF($AD$2:AD1133,AD1133)-1)</f>
        <v/>
      </c>
      <c r="AC1133" s="56" t="str">
        <f aca="false">IF(AND(F1133&gt;0,E1133&gt;=Settings!$B$4),J1133,"")</f>
        <v/>
      </c>
      <c r="AD1133" s="56" t="str">
        <f aca="false">IF(X1133="HIGH RATE",O1133,"")</f>
        <v/>
      </c>
    </row>
    <row r="1134" customFormat="false" ht="15" hidden="false" customHeight="false" outlineLevel="0" collapsed="false">
      <c r="A1134" s="56" t="s">
        <v>2500</v>
      </c>
      <c r="B1134" s="56" t="s">
        <v>1332</v>
      </c>
      <c r="C1134" s="56" t="s">
        <v>55</v>
      </c>
      <c r="D1134" s="56" t="str">
        <f aca="false">IFERROR(INDEX('Brand Map'!$B$4:$B$124,MATCH(C1134,'Brand Map'!$A$4:$A$124,0)),"Other")</f>
        <v>AUMJ</v>
      </c>
      <c r="E1134" s="57" t="n">
        <v>1</v>
      </c>
      <c r="F1134" s="57" t="n">
        <v>0</v>
      </c>
      <c r="G1134" s="58" t="n">
        <v>125.95</v>
      </c>
      <c r="H1134" s="58" t="n">
        <v>0</v>
      </c>
      <c r="I1134" s="58" t="n">
        <v>125.95</v>
      </c>
      <c r="J1134" s="32" t="n">
        <f aca="false">IF(E1134&gt;0,F1134/E1134,0)</f>
        <v>0</v>
      </c>
      <c r="K1134" s="32" t="n">
        <f aca="false">IF(G1134&gt;0,H1134/G1134,0)</f>
        <v>-0</v>
      </c>
      <c r="L1134" s="59" t="n">
        <f aca="false">H1134/Settings!$B$16</f>
        <v>-0</v>
      </c>
      <c r="M1134" s="59" t="n">
        <f aca="false">H1134/Settings!$B$20</f>
        <v>-0</v>
      </c>
      <c r="N1134" s="60" t="n">
        <f aca="false">E1134*Settings!$B$3</f>
        <v>0.0309861510798204</v>
      </c>
      <c r="O1134" s="60" t="n">
        <f aca="false">IF(E1134&gt;0,(F1134-N1134)/SQRT(E1134*Settings!$B$3*(1-Settings!$B$3)),0)</f>
        <v>-0.178821125934444</v>
      </c>
      <c r="P1134" s="60" t="n">
        <f aca="false">MAX(0,F1134-N1134)</f>
        <v>0</v>
      </c>
      <c r="Q1134" s="32" t="n">
        <f aca="false">(F1134+Settings!$B$7*Settings!$B$3)/(E1134+Settings!$B$7)</f>
        <v>0.0299865978191811</v>
      </c>
      <c r="R1134" s="61" t="n">
        <f aca="false">PERCENTRANK($H$2:$H$1780,H1134,6)</f>
        <v>0</v>
      </c>
      <c r="S1134" s="61" t="n">
        <f aca="false">PERCENTRANK($Q$2:$Q$1780,Q1134,6)</f>
        <v>0.486502</v>
      </c>
      <c r="T1134" s="61" t="n">
        <f aca="false">PERCENTRANK($F$2:$F$1780,F1134,6)</f>
        <v>0</v>
      </c>
      <c r="U1134" s="62" t="n">
        <f aca="false">IF(F1134&gt;0,(Settings!$B$8*T1134+Settings!$B$9*R1134+Settings!$B$10*S1134)/SUM(Settings!$B$8:$B$10),0)</f>
        <v>0</v>
      </c>
      <c r="V1134" s="56" t="str">
        <f aca="false">IF(U1134&gt;0,RANK(U1134,$U$2:$U$1780)+COUNTIF($U$2:U1134,U1134)-1,"")</f>
        <v/>
      </c>
      <c r="W1134" s="56" t="str">
        <f aca="false">IF(V1134="","",IF(V1134&lt;=Settings!$B$11,"1 - Fix first",IF(V1134&lt;=Settings!$B$12,"2 - Review","3 - Monitor")))</f>
        <v/>
      </c>
      <c r="X1134" s="56" t="str">
        <f aca="false">IF(AND(E1134&gt;=Settings!$B$4,F1134&gt;=Settings!$B$5,O1134&gt;=Settings!$B$6),"HIGH RATE","")</f>
        <v/>
      </c>
      <c r="Y1134" s="56" t="str">
        <f aca="false">IF(F1134&gt;0,RANK(F1134,$F$2:$F$1780)+COUNTIF($F$2:F1134,F1134)-1,"")</f>
        <v/>
      </c>
      <c r="Z1134" s="56" t="str">
        <f aca="false">IF(H1134&gt;0,RANK(H1134,$H$2:$H$1780)+COUNTIF($H$2:H1134,H1134)-1,"")</f>
        <v/>
      </c>
      <c r="AA1134" s="56" t="str">
        <f aca="false">IF(AC1134="","",RANK(AC1134,$AC$2:$AC$1780)+COUNTIF($AC$2:AC1134,AC1134)-1)</f>
        <v/>
      </c>
      <c r="AB1134" s="56" t="str">
        <f aca="false">IF(AD1134="","",RANK(AD1134,$AD$2:$AD$1780)+COUNTIF($AD$2:AD1134,AD1134)-1)</f>
        <v/>
      </c>
      <c r="AC1134" s="56" t="str">
        <f aca="false">IF(AND(F1134&gt;0,E1134&gt;=Settings!$B$4),J1134,"")</f>
        <v/>
      </c>
      <c r="AD1134" s="56" t="str">
        <f aca="false">IF(X1134="HIGH RATE",O1134,"")</f>
        <v/>
      </c>
    </row>
    <row r="1135" customFormat="false" ht="15" hidden="false" customHeight="false" outlineLevel="0" collapsed="false">
      <c r="A1135" s="56" t="s">
        <v>2501</v>
      </c>
      <c r="B1135" s="56" t="s">
        <v>1332</v>
      </c>
      <c r="C1135" s="56" t="s">
        <v>55</v>
      </c>
      <c r="D1135" s="56" t="str">
        <f aca="false">IFERROR(INDEX('Brand Map'!$B$4:$B$124,MATCH(C1135,'Brand Map'!$A$4:$A$124,0)),"Other")</f>
        <v>AUMJ</v>
      </c>
      <c r="E1135" s="57" t="n">
        <v>1</v>
      </c>
      <c r="F1135" s="57" t="n">
        <v>0</v>
      </c>
      <c r="G1135" s="58" t="n">
        <v>140.95</v>
      </c>
      <c r="H1135" s="58" t="n">
        <v>0</v>
      </c>
      <c r="I1135" s="58" t="n">
        <v>140.95</v>
      </c>
      <c r="J1135" s="32" t="n">
        <f aca="false">IF(E1135&gt;0,F1135/E1135,0)</f>
        <v>0</v>
      </c>
      <c r="K1135" s="32" t="n">
        <f aca="false">IF(G1135&gt;0,H1135/G1135,0)</f>
        <v>-0</v>
      </c>
      <c r="L1135" s="59" t="n">
        <f aca="false">H1135/Settings!$B$16</f>
        <v>-0</v>
      </c>
      <c r="M1135" s="59" t="n">
        <f aca="false">H1135/Settings!$B$20</f>
        <v>-0</v>
      </c>
      <c r="N1135" s="60" t="n">
        <f aca="false">E1135*Settings!$B$3</f>
        <v>0.0309861510798204</v>
      </c>
      <c r="O1135" s="60" t="n">
        <f aca="false">IF(E1135&gt;0,(F1135-N1135)/SQRT(E1135*Settings!$B$3*(1-Settings!$B$3)),0)</f>
        <v>-0.178821125934444</v>
      </c>
      <c r="P1135" s="60" t="n">
        <f aca="false">MAX(0,F1135-N1135)</f>
        <v>0</v>
      </c>
      <c r="Q1135" s="32" t="n">
        <f aca="false">(F1135+Settings!$B$7*Settings!$B$3)/(E1135+Settings!$B$7)</f>
        <v>0.0299865978191811</v>
      </c>
      <c r="R1135" s="61" t="n">
        <f aca="false">PERCENTRANK($H$2:$H$1780,H1135,6)</f>
        <v>0</v>
      </c>
      <c r="S1135" s="61" t="n">
        <f aca="false">PERCENTRANK($Q$2:$Q$1780,Q1135,6)</f>
        <v>0.486502</v>
      </c>
      <c r="T1135" s="61" t="n">
        <f aca="false">PERCENTRANK($F$2:$F$1780,F1135,6)</f>
        <v>0</v>
      </c>
      <c r="U1135" s="62" t="n">
        <f aca="false">IF(F1135&gt;0,(Settings!$B$8*T1135+Settings!$B$9*R1135+Settings!$B$10*S1135)/SUM(Settings!$B$8:$B$10),0)</f>
        <v>0</v>
      </c>
      <c r="V1135" s="56" t="str">
        <f aca="false">IF(U1135&gt;0,RANK(U1135,$U$2:$U$1780)+COUNTIF($U$2:U1135,U1135)-1,"")</f>
        <v/>
      </c>
      <c r="W1135" s="56" t="str">
        <f aca="false">IF(V1135="","",IF(V1135&lt;=Settings!$B$11,"1 - Fix first",IF(V1135&lt;=Settings!$B$12,"2 - Review","3 - Monitor")))</f>
        <v/>
      </c>
      <c r="X1135" s="56" t="str">
        <f aca="false">IF(AND(E1135&gt;=Settings!$B$4,F1135&gt;=Settings!$B$5,O1135&gt;=Settings!$B$6),"HIGH RATE","")</f>
        <v/>
      </c>
      <c r="Y1135" s="56" t="str">
        <f aca="false">IF(F1135&gt;0,RANK(F1135,$F$2:$F$1780)+COUNTIF($F$2:F1135,F1135)-1,"")</f>
        <v/>
      </c>
      <c r="Z1135" s="56" t="str">
        <f aca="false">IF(H1135&gt;0,RANK(H1135,$H$2:$H$1780)+COUNTIF($H$2:H1135,H1135)-1,"")</f>
        <v/>
      </c>
      <c r="AA1135" s="56" t="str">
        <f aca="false">IF(AC1135="","",RANK(AC1135,$AC$2:$AC$1780)+COUNTIF($AC$2:AC1135,AC1135)-1)</f>
        <v/>
      </c>
      <c r="AB1135" s="56" t="str">
        <f aca="false">IF(AD1135="","",RANK(AD1135,$AD$2:$AD$1780)+COUNTIF($AD$2:AD1135,AD1135)-1)</f>
        <v/>
      </c>
      <c r="AC1135" s="56" t="str">
        <f aca="false">IF(AND(F1135&gt;0,E1135&gt;=Settings!$B$4),J1135,"")</f>
        <v/>
      </c>
      <c r="AD1135" s="56" t="str">
        <f aca="false">IF(X1135="HIGH RATE",O1135,"")</f>
        <v/>
      </c>
    </row>
    <row r="1136" customFormat="false" ht="15" hidden="false" customHeight="false" outlineLevel="0" collapsed="false">
      <c r="A1136" s="56" t="s">
        <v>2502</v>
      </c>
      <c r="B1136" s="56" t="s">
        <v>1332</v>
      </c>
      <c r="C1136" s="56" t="s">
        <v>55</v>
      </c>
      <c r="D1136" s="56" t="str">
        <f aca="false">IFERROR(INDEX('Brand Map'!$B$4:$B$124,MATCH(C1136,'Brand Map'!$A$4:$A$124,0)),"Other")</f>
        <v>AUMJ</v>
      </c>
      <c r="E1136" s="57" t="n">
        <v>1</v>
      </c>
      <c r="F1136" s="57" t="n">
        <v>0</v>
      </c>
      <c r="G1136" s="58" t="n">
        <v>86.31</v>
      </c>
      <c r="H1136" s="58" t="n">
        <v>0</v>
      </c>
      <c r="I1136" s="58" t="n">
        <v>73.37</v>
      </c>
      <c r="J1136" s="32" t="n">
        <f aca="false">IF(E1136&gt;0,F1136/E1136,0)</f>
        <v>0</v>
      </c>
      <c r="K1136" s="32" t="n">
        <f aca="false">IF(G1136&gt;0,H1136/G1136,0)</f>
        <v>-0</v>
      </c>
      <c r="L1136" s="59" t="n">
        <f aca="false">H1136/Settings!$B$16</f>
        <v>-0</v>
      </c>
      <c r="M1136" s="59" t="n">
        <f aca="false">H1136/Settings!$B$20</f>
        <v>-0</v>
      </c>
      <c r="N1136" s="60" t="n">
        <f aca="false">E1136*Settings!$B$3</f>
        <v>0.0309861510798204</v>
      </c>
      <c r="O1136" s="60" t="n">
        <f aca="false">IF(E1136&gt;0,(F1136-N1136)/SQRT(E1136*Settings!$B$3*(1-Settings!$B$3)),0)</f>
        <v>-0.178821125934444</v>
      </c>
      <c r="P1136" s="60" t="n">
        <f aca="false">MAX(0,F1136-N1136)</f>
        <v>0</v>
      </c>
      <c r="Q1136" s="32" t="n">
        <f aca="false">(F1136+Settings!$B$7*Settings!$B$3)/(E1136+Settings!$B$7)</f>
        <v>0.0299865978191811</v>
      </c>
      <c r="R1136" s="61" t="n">
        <f aca="false">PERCENTRANK($H$2:$H$1780,H1136,6)</f>
        <v>0</v>
      </c>
      <c r="S1136" s="61" t="n">
        <f aca="false">PERCENTRANK($Q$2:$Q$1780,Q1136,6)</f>
        <v>0.486502</v>
      </c>
      <c r="T1136" s="61" t="n">
        <f aca="false">PERCENTRANK($F$2:$F$1780,F1136,6)</f>
        <v>0</v>
      </c>
      <c r="U1136" s="62" t="n">
        <f aca="false">IF(F1136&gt;0,(Settings!$B$8*T1136+Settings!$B$9*R1136+Settings!$B$10*S1136)/SUM(Settings!$B$8:$B$10),0)</f>
        <v>0</v>
      </c>
      <c r="V1136" s="56" t="str">
        <f aca="false">IF(U1136&gt;0,RANK(U1136,$U$2:$U$1780)+COUNTIF($U$2:U1136,U1136)-1,"")</f>
        <v/>
      </c>
      <c r="W1136" s="56" t="str">
        <f aca="false">IF(V1136="","",IF(V1136&lt;=Settings!$B$11,"1 - Fix first",IF(V1136&lt;=Settings!$B$12,"2 - Review","3 - Monitor")))</f>
        <v/>
      </c>
      <c r="X1136" s="56" t="str">
        <f aca="false">IF(AND(E1136&gt;=Settings!$B$4,F1136&gt;=Settings!$B$5,O1136&gt;=Settings!$B$6),"HIGH RATE","")</f>
        <v/>
      </c>
      <c r="Y1136" s="56" t="str">
        <f aca="false">IF(F1136&gt;0,RANK(F1136,$F$2:$F$1780)+COUNTIF($F$2:F1136,F1136)-1,"")</f>
        <v/>
      </c>
      <c r="Z1136" s="56" t="str">
        <f aca="false">IF(H1136&gt;0,RANK(H1136,$H$2:$H$1780)+COUNTIF($H$2:H1136,H1136)-1,"")</f>
        <v/>
      </c>
      <c r="AA1136" s="56" t="str">
        <f aca="false">IF(AC1136="","",RANK(AC1136,$AC$2:$AC$1780)+COUNTIF($AC$2:AC1136,AC1136)-1)</f>
        <v/>
      </c>
      <c r="AB1136" s="56" t="str">
        <f aca="false">IF(AD1136="","",RANK(AD1136,$AD$2:$AD$1780)+COUNTIF($AD$2:AD1136,AD1136)-1)</f>
        <v/>
      </c>
      <c r="AC1136" s="56" t="str">
        <f aca="false">IF(AND(F1136&gt;0,E1136&gt;=Settings!$B$4),J1136,"")</f>
        <v/>
      </c>
      <c r="AD1136" s="56" t="str">
        <f aca="false">IF(X1136="HIGH RATE",O1136,"")</f>
        <v/>
      </c>
    </row>
    <row r="1137" customFormat="false" ht="15" hidden="false" customHeight="false" outlineLevel="0" collapsed="false">
      <c r="A1137" s="56" t="s">
        <v>2503</v>
      </c>
      <c r="B1137" s="56" t="s">
        <v>1332</v>
      </c>
      <c r="C1137" s="56" t="s">
        <v>55</v>
      </c>
      <c r="D1137" s="56" t="str">
        <f aca="false">IFERROR(INDEX('Brand Map'!$B$4:$B$124,MATCH(C1137,'Brand Map'!$A$4:$A$124,0)),"Other")</f>
        <v>AUMJ</v>
      </c>
      <c r="E1137" s="57" t="n">
        <v>4</v>
      </c>
      <c r="F1137" s="57" t="n">
        <v>0</v>
      </c>
      <c r="G1137" s="58" t="n">
        <v>310</v>
      </c>
      <c r="H1137" s="58" t="n">
        <v>0</v>
      </c>
      <c r="I1137" s="58" t="n">
        <v>310</v>
      </c>
      <c r="J1137" s="32" t="n">
        <f aca="false">IF(E1137&gt;0,F1137/E1137,0)</f>
        <v>0</v>
      </c>
      <c r="K1137" s="32" t="n">
        <f aca="false">IF(G1137&gt;0,H1137/G1137,0)</f>
        <v>-0</v>
      </c>
      <c r="L1137" s="59" t="n">
        <f aca="false">H1137/Settings!$B$16</f>
        <v>-0</v>
      </c>
      <c r="M1137" s="59" t="n">
        <f aca="false">H1137/Settings!$B$20</f>
        <v>-0</v>
      </c>
      <c r="N1137" s="60" t="n">
        <f aca="false">E1137*Settings!$B$3</f>
        <v>0.123944604319282</v>
      </c>
      <c r="O1137" s="60" t="n">
        <f aca="false">IF(E1137&gt;0,(F1137-N1137)/SQRT(E1137*Settings!$B$3*(1-Settings!$B$3)),0)</f>
        <v>-0.357642251868888</v>
      </c>
      <c r="P1137" s="60" t="n">
        <f aca="false">MAX(0,F1137-N1137)</f>
        <v>0</v>
      </c>
      <c r="Q1137" s="32" t="n">
        <f aca="false">(F1137+Settings!$B$7*Settings!$B$3)/(E1137+Settings!$B$7)</f>
        <v>0.027340721541018</v>
      </c>
      <c r="R1137" s="61" t="n">
        <f aca="false">PERCENTRANK($H$2:$H$1780,H1137,6)</f>
        <v>0</v>
      </c>
      <c r="S1137" s="61" t="n">
        <f aca="false">PERCENTRANK($Q$2:$Q$1780,Q1137,6)</f>
        <v>0.253656</v>
      </c>
      <c r="T1137" s="61" t="n">
        <f aca="false">PERCENTRANK($F$2:$F$1780,F1137,6)</f>
        <v>0</v>
      </c>
      <c r="U1137" s="62" t="n">
        <f aca="false">IF(F1137&gt;0,(Settings!$B$8*T1137+Settings!$B$9*R1137+Settings!$B$10*S1137)/SUM(Settings!$B$8:$B$10),0)</f>
        <v>0</v>
      </c>
      <c r="V1137" s="56" t="str">
        <f aca="false">IF(U1137&gt;0,RANK(U1137,$U$2:$U$1780)+COUNTIF($U$2:U1137,U1137)-1,"")</f>
        <v/>
      </c>
      <c r="W1137" s="56" t="str">
        <f aca="false">IF(V1137="","",IF(V1137&lt;=Settings!$B$11,"1 - Fix first",IF(V1137&lt;=Settings!$B$12,"2 - Review","3 - Monitor")))</f>
        <v/>
      </c>
      <c r="X1137" s="56" t="str">
        <f aca="false">IF(AND(E1137&gt;=Settings!$B$4,F1137&gt;=Settings!$B$5,O1137&gt;=Settings!$B$6),"HIGH RATE","")</f>
        <v/>
      </c>
      <c r="Y1137" s="56" t="str">
        <f aca="false">IF(F1137&gt;0,RANK(F1137,$F$2:$F$1780)+COUNTIF($F$2:F1137,F1137)-1,"")</f>
        <v/>
      </c>
      <c r="Z1137" s="56" t="str">
        <f aca="false">IF(H1137&gt;0,RANK(H1137,$H$2:$H$1780)+COUNTIF($H$2:H1137,H1137)-1,"")</f>
        <v/>
      </c>
      <c r="AA1137" s="56" t="str">
        <f aca="false">IF(AC1137="","",RANK(AC1137,$AC$2:$AC$1780)+COUNTIF($AC$2:AC1137,AC1137)-1)</f>
        <v/>
      </c>
      <c r="AB1137" s="56" t="str">
        <f aca="false">IF(AD1137="","",RANK(AD1137,$AD$2:$AD$1780)+COUNTIF($AD$2:AD1137,AD1137)-1)</f>
        <v/>
      </c>
      <c r="AC1137" s="56" t="str">
        <f aca="false">IF(AND(F1137&gt;0,E1137&gt;=Settings!$B$4),J1137,"")</f>
        <v/>
      </c>
      <c r="AD1137" s="56" t="str">
        <f aca="false">IF(X1137="HIGH RATE",O1137,"")</f>
        <v/>
      </c>
    </row>
    <row r="1138" customFormat="false" ht="15" hidden="false" customHeight="false" outlineLevel="0" collapsed="false">
      <c r="A1138" s="56" t="s">
        <v>2504</v>
      </c>
      <c r="B1138" s="56" t="s">
        <v>1396</v>
      </c>
      <c r="C1138" s="56" t="s">
        <v>55</v>
      </c>
      <c r="D1138" s="56" t="str">
        <f aca="false">IFERROR(INDEX('Brand Map'!$B$4:$B$124,MATCH(C1138,'Brand Map'!$A$4:$A$124,0)),"Other")</f>
        <v>AUMJ</v>
      </c>
      <c r="E1138" s="57" t="n">
        <v>3</v>
      </c>
      <c r="F1138" s="57" t="n">
        <v>0</v>
      </c>
      <c r="G1138" s="58" t="n">
        <v>248.85</v>
      </c>
      <c r="H1138" s="58" t="n">
        <v>0</v>
      </c>
      <c r="I1138" s="58" t="n">
        <v>248.85</v>
      </c>
      <c r="J1138" s="32" t="n">
        <f aca="false">IF(E1138&gt;0,F1138/E1138,0)</f>
        <v>0</v>
      </c>
      <c r="K1138" s="32" t="n">
        <f aca="false">IF(G1138&gt;0,H1138/G1138,0)</f>
        <v>-0</v>
      </c>
      <c r="L1138" s="59" t="n">
        <f aca="false">H1138/Settings!$B$16</f>
        <v>-0</v>
      </c>
      <c r="M1138" s="59" t="n">
        <f aca="false">H1138/Settings!$B$20</f>
        <v>-0</v>
      </c>
      <c r="N1138" s="60" t="n">
        <f aca="false">E1138*Settings!$B$3</f>
        <v>0.0929584532394613</v>
      </c>
      <c r="O1138" s="60" t="n">
        <f aca="false">IF(E1138&gt;0,(F1138-N1138)/SQRT(E1138*Settings!$B$3*(1-Settings!$B$3)),0)</f>
        <v>-0.30972727558513</v>
      </c>
      <c r="P1138" s="60" t="n">
        <f aca="false">MAX(0,F1138-N1138)</f>
        <v>0</v>
      </c>
      <c r="Q1138" s="32" t="n">
        <f aca="false">(F1138+Settings!$B$7*Settings!$B$3)/(E1138+Settings!$B$7)</f>
        <v>0.0281692282543822</v>
      </c>
      <c r="R1138" s="61" t="n">
        <f aca="false">PERCENTRANK($H$2:$H$1780,H1138,6)</f>
        <v>0</v>
      </c>
      <c r="S1138" s="61" t="n">
        <f aca="false">PERCENTRANK($Q$2:$Q$1780,Q1138,6)</f>
        <v>0.294151</v>
      </c>
      <c r="T1138" s="61" t="n">
        <f aca="false">PERCENTRANK($F$2:$F$1780,F1138,6)</f>
        <v>0</v>
      </c>
      <c r="U1138" s="62" t="n">
        <f aca="false">IF(F1138&gt;0,(Settings!$B$8*T1138+Settings!$B$9*R1138+Settings!$B$10*S1138)/SUM(Settings!$B$8:$B$10),0)</f>
        <v>0</v>
      </c>
      <c r="V1138" s="56" t="str">
        <f aca="false">IF(U1138&gt;0,RANK(U1138,$U$2:$U$1780)+COUNTIF($U$2:U1138,U1138)-1,"")</f>
        <v/>
      </c>
      <c r="W1138" s="56" t="str">
        <f aca="false">IF(V1138="","",IF(V1138&lt;=Settings!$B$11,"1 - Fix first",IF(V1138&lt;=Settings!$B$12,"2 - Review","3 - Monitor")))</f>
        <v/>
      </c>
      <c r="X1138" s="56" t="str">
        <f aca="false">IF(AND(E1138&gt;=Settings!$B$4,F1138&gt;=Settings!$B$5,O1138&gt;=Settings!$B$6),"HIGH RATE","")</f>
        <v/>
      </c>
      <c r="Y1138" s="56" t="str">
        <f aca="false">IF(F1138&gt;0,RANK(F1138,$F$2:$F$1780)+COUNTIF($F$2:F1138,F1138)-1,"")</f>
        <v/>
      </c>
      <c r="Z1138" s="56" t="str">
        <f aca="false">IF(H1138&gt;0,RANK(H1138,$H$2:$H$1780)+COUNTIF($H$2:H1138,H1138)-1,"")</f>
        <v/>
      </c>
      <c r="AA1138" s="56" t="str">
        <f aca="false">IF(AC1138="","",RANK(AC1138,$AC$2:$AC$1780)+COUNTIF($AC$2:AC1138,AC1138)-1)</f>
        <v/>
      </c>
      <c r="AB1138" s="56" t="str">
        <f aca="false">IF(AD1138="","",RANK(AD1138,$AD$2:$AD$1780)+COUNTIF($AD$2:AD1138,AD1138)-1)</f>
        <v/>
      </c>
      <c r="AC1138" s="56" t="str">
        <f aca="false">IF(AND(F1138&gt;0,E1138&gt;=Settings!$B$4),J1138,"")</f>
        <v/>
      </c>
      <c r="AD1138" s="56" t="str">
        <f aca="false">IF(X1138="HIGH RATE",O1138,"")</f>
        <v/>
      </c>
    </row>
    <row r="1139" customFormat="false" ht="15" hidden="false" customHeight="false" outlineLevel="0" collapsed="false">
      <c r="A1139" s="56" t="s">
        <v>2505</v>
      </c>
      <c r="B1139" s="56" t="s">
        <v>1396</v>
      </c>
      <c r="C1139" s="56" t="s">
        <v>55</v>
      </c>
      <c r="D1139" s="56" t="str">
        <f aca="false">IFERROR(INDEX('Brand Map'!$B$4:$B$124,MATCH(C1139,'Brand Map'!$A$4:$A$124,0)),"Other")</f>
        <v>AUMJ</v>
      </c>
      <c r="E1139" s="57" t="n">
        <v>2</v>
      </c>
      <c r="F1139" s="57" t="n">
        <v>0</v>
      </c>
      <c r="G1139" s="58" t="n">
        <v>154.46</v>
      </c>
      <c r="H1139" s="58" t="n">
        <v>0</v>
      </c>
      <c r="I1139" s="58" t="n">
        <v>154.46</v>
      </c>
      <c r="J1139" s="32" t="n">
        <f aca="false">IF(E1139&gt;0,F1139/E1139,0)</f>
        <v>0</v>
      </c>
      <c r="K1139" s="32" t="n">
        <f aca="false">IF(G1139&gt;0,H1139/G1139,0)</f>
        <v>-0</v>
      </c>
      <c r="L1139" s="59" t="n">
        <f aca="false">H1139/Settings!$B$16</f>
        <v>-0</v>
      </c>
      <c r="M1139" s="59" t="n">
        <f aca="false">H1139/Settings!$B$20</f>
        <v>-0</v>
      </c>
      <c r="N1139" s="60" t="n">
        <f aca="false">E1139*Settings!$B$3</f>
        <v>0.0619723021596408</v>
      </c>
      <c r="O1139" s="60" t="n">
        <f aca="false">IF(E1139&gt;0,(F1139-N1139)/SQRT(E1139*Settings!$B$3*(1-Settings!$B$3)),0)</f>
        <v>-0.252891261535318</v>
      </c>
      <c r="P1139" s="60" t="n">
        <f aca="false">MAX(0,F1139-N1139)</f>
        <v>0</v>
      </c>
      <c r="Q1139" s="32" t="n">
        <f aca="false">(F1139+Settings!$B$7*Settings!$B$3)/(E1139+Settings!$B$7)</f>
        <v>0.0290495166373316</v>
      </c>
      <c r="R1139" s="61" t="n">
        <f aca="false">PERCENTRANK($H$2:$H$1780,H1139,6)</f>
        <v>0</v>
      </c>
      <c r="S1139" s="61" t="n">
        <f aca="false">PERCENTRANK($Q$2:$Q$1780,Q1139,6)</f>
        <v>0.365579</v>
      </c>
      <c r="T1139" s="61" t="n">
        <f aca="false">PERCENTRANK($F$2:$F$1780,F1139,6)</f>
        <v>0</v>
      </c>
      <c r="U1139" s="62" t="n">
        <f aca="false">IF(F1139&gt;0,(Settings!$B$8*T1139+Settings!$B$9*R1139+Settings!$B$10*S1139)/SUM(Settings!$B$8:$B$10),0)</f>
        <v>0</v>
      </c>
      <c r="V1139" s="56" t="str">
        <f aca="false">IF(U1139&gt;0,RANK(U1139,$U$2:$U$1780)+COUNTIF($U$2:U1139,U1139)-1,"")</f>
        <v/>
      </c>
      <c r="W1139" s="56" t="str">
        <f aca="false">IF(V1139="","",IF(V1139&lt;=Settings!$B$11,"1 - Fix first",IF(V1139&lt;=Settings!$B$12,"2 - Review","3 - Monitor")))</f>
        <v/>
      </c>
      <c r="X1139" s="56" t="str">
        <f aca="false">IF(AND(E1139&gt;=Settings!$B$4,F1139&gt;=Settings!$B$5,O1139&gt;=Settings!$B$6),"HIGH RATE","")</f>
        <v/>
      </c>
      <c r="Y1139" s="56" t="str">
        <f aca="false">IF(F1139&gt;0,RANK(F1139,$F$2:$F$1780)+COUNTIF($F$2:F1139,F1139)-1,"")</f>
        <v/>
      </c>
      <c r="Z1139" s="56" t="str">
        <f aca="false">IF(H1139&gt;0,RANK(H1139,$H$2:$H$1780)+COUNTIF($H$2:H1139,H1139)-1,"")</f>
        <v/>
      </c>
      <c r="AA1139" s="56" t="str">
        <f aca="false">IF(AC1139="","",RANK(AC1139,$AC$2:$AC$1780)+COUNTIF($AC$2:AC1139,AC1139)-1)</f>
        <v/>
      </c>
      <c r="AB1139" s="56" t="str">
        <f aca="false">IF(AD1139="","",RANK(AD1139,$AD$2:$AD$1780)+COUNTIF($AD$2:AD1139,AD1139)-1)</f>
        <v/>
      </c>
      <c r="AC1139" s="56" t="str">
        <f aca="false">IF(AND(F1139&gt;0,E1139&gt;=Settings!$B$4),J1139,"")</f>
        <v/>
      </c>
      <c r="AD1139" s="56" t="str">
        <f aca="false">IF(X1139="HIGH RATE",O1139,"")</f>
        <v/>
      </c>
    </row>
    <row r="1140" customFormat="false" ht="15" hidden="false" customHeight="false" outlineLevel="0" collapsed="false">
      <c r="A1140" s="56" t="s">
        <v>2506</v>
      </c>
      <c r="B1140" s="56" t="s">
        <v>1396</v>
      </c>
      <c r="C1140" s="56" t="s">
        <v>55</v>
      </c>
      <c r="D1140" s="56" t="str">
        <f aca="false">IFERROR(INDEX('Brand Map'!$B$4:$B$124,MATCH(C1140,'Brand Map'!$A$4:$A$124,0)),"Other")</f>
        <v>AUMJ</v>
      </c>
      <c r="E1140" s="57" t="n">
        <v>1</v>
      </c>
      <c r="F1140" s="57" t="n">
        <v>0</v>
      </c>
      <c r="G1140" s="58" t="n">
        <v>90.86</v>
      </c>
      <c r="H1140" s="58" t="n">
        <v>0</v>
      </c>
      <c r="I1140" s="58" t="n">
        <v>90.86</v>
      </c>
      <c r="J1140" s="32" t="n">
        <f aca="false">IF(E1140&gt;0,F1140/E1140,0)</f>
        <v>0</v>
      </c>
      <c r="K1140" s="32" t="n">
        <f aca="false">IF(G1140&gt;0,H1140/G1140,0)</f>
        <v>-0</v>
      </c>
      <c r="L1140" s="59" t="n">
        <f aca="false">H1140/Settings!$B$16</f>
        <v>-0</v>
      </c>
      <c r="M1140" s="59" t="n">
        <f aca="false">H1140/Settings!$B$20</f>
        <v>-0</v>
      </c>
      <c r="N1140" s="60" t="n">
        <f aca="false">E1140*Settings!$B$3</f>
        <v>0.0309861510798204</v>
      </c>
      <c r="O1140" s="60" t="n">
        <f aca="false">IF(E1140&gt;0,(F1140-N1140)/SQRT(E1140*Settings!$B$3*(1-Settings!$B$3)),0)</f>
        <v>-0.178821125934444</v>
      </c>
      <c r="P1140" s="60" t="n">
        <f aca="false">MAX(0,F1140-N1140)</f>
        <v>0</v>
      </c>
      <c r="Q1140" s="32" t="n">
        <f aca="false">(F1140+Settings!$B$7*Settings!$B$3)/(E1140+Settings!$B$7)</f>
        <v>0.0299865978191811</v>
      </c>
      <c r="R1140" s="61" t="n">
        <f aca="false">PERCENTRANK($H$2:$H$1780,H1140,6)</f>
        <v>0</v>
      </c>
      <c r="S1140" s="61" t="n">
        <f aca="false">PERCENTRANK($Q$2:$Q$1780,Q1140,6)</f>
        <v>0.486502</v>
      </c>
      <c r="T1140" s="61" t="n">
        <f aca="false">PERCENTRANK($F$2:$F$1780,F1140,6)</f>
        <v>0</v>
      </c>
      <c r="U1140" s="62" t="n">
        <f aca="false">IF(F1140&gt;0,(Settings!$B$8*T1140+Settings!$B$9*R1140+Settings!$B$10*S1140)/SUM(Settings!$B$8:$B$10),0)</f>
        <v>0</v>
      </c>
      <c r="V1140" s="56" t="str">
        <f aca="false">IF(U1140&gt;0,RANK(U1140,$U$2:$U$1780)+COUNTIF($U$2:U1140,U1140)-1,"")</f>
        <v/>
      </c>
      <c r="W1140" s="56" t="str">
        <f aca="false">IF(V1140="","",IF(V1140&lt;=Settings!$B$11,"1 - Fix first",IF(V1140&lt;=Settings!$B$12,"2 - Review","3 - Monitor")))</f>
        <v/>
      </c>
      <c r="X1140" s="56" t="str">
        <f aca="false">IF(AND(E1140&gt;=Settings!$B$4,F1140&gt;=Settings!$B$5,O1140&gt;=Settings!$B$6),"HIGH RATE","")</f>
        <v/>
      </c>
      <c r="Y1140" s="56" t="str">
        <f aca="false">IF(F1140&gt;0,RANK(F1140,$F$2:$F$1780)+COUNTIF($F$2:F1140,F1140)-1,"")</f>
        <v/>
      </c>
      <c r="Z1140" s="56" t="str">
        <f aca="false">IF(H1140&gt;0,RANK(H1140,$H$2:$H$1780)+COUNTIF($H$2:H1140,H1140)-1,"")</f>
        <v/>
      </c>
      <c r="AA1140" s="56" t="str">
        <f aca="false">IF(AC1140="","",RANK(AC1140,$AC$2:$AC$1780)+COUNTIF($AC$2:AC1140,AC1140)-1)</f>
        <v/>
      </c>
      <c r="AB1140" s="56" t="str">
        <f aca="false">IF(AD1140="","",RANK(AD1140,$AD$2:$AD$1780)+COUNTIF($AD$2:AD1140,AD1140)-1)</f>
        <v/>
      </c>
      <c r="AC1140" s="56" t="str">
        <f aca="false">IF(AND(F1140&gt;0,E1140&gt;=Settings!$B$4),J1140,"")</f>
        <v/>
      </c>
      <c r="AD1140" s="56" t="str">
        <f aca="false">IF(X1140="HIGH RATE",O1140,"")</f>
        <v/>
      </c>
    </row>
    <row r="1141" customFormat="false" ht="15" hidden="false" customHeight="false" outlineLevel="0" collapsed="false">
      <c r="A1141" s="56" t="s">
        <v>2507</v>
      </c>
      <c r="B1141" s="56" t="s">
        <v>1396</v>
      </c>
      <c r="C1141" s="56" t="s">
        <v>55</v>
      </c>
      <c r="D1141" s="56" t="str">
        <f aca="false">IFERROR(INDEX('Brand Map'!$B$4:$B$124,MATCH(C1141,'Brand Map'!$A$4:$A$124,0)),"Other")</f>
        <v>AUMJ</v>
      </c>
      <c r="E1141" s="57" t="n">
        <v>1</v>
      </c>
      <c r="F1141" s="57" t="n">
        <v>0</v>
      </c>
      <c r="G1141" s="58" t="n">
        <v>63.59</v>
      </c>
      <c r="H1141" s="58" t="n">
        <v>0</v>
      </c>
      <c r="I1141" s="58" t="n">
        <v>63.59</v>
      </c>
      <c r="J1141" s="32" t="n">
        <f aca="false">IF(E1141&gt;0,F1141/E1141,0)</f>
        <v>0</v>
      </c>
      <c r="K1141" s="32" t="n">
        <f aca="false">IF(G1141&gt;0,H1141/G1141,0)</f>
        <v>-0</v>
      </c>
      <c r="L1141" s="59" t="n">
        <f aca="false">H1141/Settings!$B$16</f>
        <v>-0</v>
      </c>
      <c r="M1141" s="59" t="n">
        <f aca="false">H1141/Settings!$B$20</f>
        <v>-0</v>
      </c>
      <c r="N1141" s="60" t="n">
        <f aca="false">E1141*Settings!$B$3</f>
        <v>0.0309861510798204</v>
      </c>
      <c r="O1141" s="60" t="n">
        <f aca="false">IF(E1141&gt;0,(F1141-N1141)/SQRT(E1141*Settings!$B$3*(1-Settings!$B$3)),0)</f>
        <v>-0.178821125934444</v>
      </c>
      <c r="P1141" s="60" t="n">
        <f aca="false">MAX(0,F1141-N1141)</f>
        <v>0</v>
      </c>
      <c r="Q1141" s="32" t="n">
        <f aca="false">(F1141+Settings!$B$7*Settings!$B$3)/(E1141+Settings!$B$7)</f>
        <v>0.0299865978191811</v>
      </c>
      <c r="R1141" s="61" t="n">
        <f aca="false">PERCENTRANK($H$2:$H$1780,H1141,6)</f>
        <v>0</v>
      </c>
      <c r="S1141" s="61" t="n">
        <f aca="false">PERCENTRANK($Q$2:$Q$1780,Q1141,6)</f>
        <v>0.486502</v>
      </c>
      <c r="T1141" s="61" t="n">
        <f aca="false">PERCENTRANK($F$2:$F$1780,F1141,6)</f>
        <v>0</v>
      </c>
      <c r="U1141" s="62" t="n">
        <f aca="false">IF(F1141&gt;0,(Settings!$B$8*T1141+Settings!$B$9*R1141+Settings!$B$10*S1141)/SUM(Settings!$B$8:$B$10),0)</f>
        <v>0</v>
      </c>
      <c r="V1141" s="56" t="str">
        <f aca="false">IF(U1141&gt;0,RANK(U1141,$U$2:$U$1780)+COUNTIF($U$2:U1141,U1141)-1,"")</f>
        <v/>
      </c>
      <c r="W1141" s="56" t="str">
        <f aca="false">IF(V1141="","",IF(V1141&lt;=Settings!$B$11,"1 - Fix first",IF(V1141&lt;=Settings!$B$12,"2 - Review","3 - Monitor")))</f>
        <v/>
      </c>
      <c r="X1141" s="56" t="str">
        <f aca="false">IF(AND(E1141&gt;=Settings!$B$4,F1141&gt;=Settings!$B$5,O1141&gt;=Settings!$B$6),"HIGH RATE","")</f>
        <v/>
      </c>
      <c r="Y1141" s="56" t="str">
        <f aca="false">IF(F1141&gt;0,RANK(F1141,$F$2:$F$1780)+COUNTIF($F$2:F1141,F1141)-1,"")</f>
        <v/>
      </c>
      <c r="Z1141" s="56" t="str">
        <f aca="false">IF(H1141&gt;0,RANK(H1141,$H$2:$H$1780)+COUNTIF($H$2:H1141,H1141)-1,"")</f>
        <v/>
      </c>
      <c r="AA1141" s="56" t="str">
        <f aca="false">IF(AC1141="","",RANK(AC1141,$AC$2:$AC$1780)+COUNTIF($AC$2:AC1141,AC1141)-1)</f>
        <v/>
      </c>
      <c r="AB1141" s="56" t="str">
        <f aca="false">IF(AD1141="","",RANK(AD1141,$AD$2:$AD$1780)+COUNTIF($AD$2:AD1141,AD1141)-1)</f>
        <v/>
      </c>
      <c r="AC1141" s="56" t="str">
        <f aca="false">IF(AND(F1141&gt;0,E1141&gt;=Settings!$B$4),J1141,"")</f>
        <v/>
      </c>
      <c r="AD1141" s="56" t="str">
        <f aca="false">IF(X1141="HIGH RATE",O1141,"")</f>
        <v/>
      </c>
    </row>
    <row r="1142" customFormat="false" ht="15" hidden="false" customHeight="false" outlineLevel="0" collapsed="false">
      <c r="A1142" s="56" t="s">
        <v>2508</v>
      </c>
      <c r="B1142" s="56" t="s">
        <v>1396</v>
      </c>
      <c r="C1142" s="56" t="s">
        <v>55</v>
      </c>
      <c r="D1142" s="56" t="str">
        <f aca="false">IFERROR(INDEX('Brand Map'!$B$4:$B$124,MATCH(C1142,'Brand Map'!$A$4:$A$124,0)),"Other")</f>
        <v>AUMJ</v>
      </c>
      <c r="E1142" s="57" t="n">
        <v>2</v>
      </c>
      <c r="F1142" s="57" t="n">
        <v>0</v>
      </c>
      <c r="G1142" s="58" t="n">
        <v>187</v>
      </c>
      <c r="H1142" s="58" t="n">
        <v>0</v>
      </c>
      <c r="I1142" s="58" t="n">
        <v>172.31</v>
      </c>
      <c r="J1142" s="32" t="n">
        <f aca="false">IF(E1142&gt;0,F1142/E1142,0)</f>
        <v>0</v>
      </c>
      <c r="K1142" s="32" t="n">
        <f aca="false">IF(G1142&gt;0,H1142/G1142,0)</f>
        <v>-0</v>
      </c>
      <c r="L1142" s="59" t="n">
        <f aca="false">H1142/Settings!$B$16</f>
        <v>-0</v>
      </c>
      <c r="M1142" s="59" t="n">
        <f aca="false">H1142/Settings!$B$20</f>
        <v>-0</v>
      </c>
      <c r="N1142" s="60" t="n">
        <f aca="false">E1142*Settings!$B$3</f>
        <v>0.0619723021596408</v>
      </c>
      <c r="O1142" s="60" t="n">
        <f aca="false">IF(E1142&gt;0,(F1142-N1142)/SQRT(E1142*Settings!$B$3*(1-Settings!$B$3)),0)</f>
        <v>-0.252891261535318</v>
      </c>
      <c r="P1142" s="60" t="n">
        <f aca="false">MAX(0,F1142-N1142)</f>
        <v>0</v>
      </c>
      <c r="Q1142" s="32" t="n">
        <f aca="false">(F1142+Settings!$B$7*Settings!$B$3)/(E1142+Settings!$B$7)</f>
        <v>0.0290495166373316</v>
      </c>
      <c r="R1142" s="61" t="n">
        <f aca="false">PERCENTRANK($H$2:$H$1780,H1142,6)</f>
        <v>0</v>
      </c>
      <c r="S1142" s="61" t="n">
        <f aca="false">PERCENTRANK($Q$2:$Q$1780,Q1142,6)</f>
        <v>0.365579</v>
      </c>
      <c r="T1142" s="61" t="n">
        <f aca="false">PERCENTRANK($F$2:$F$1780,F1142,6)</f>
        <v>0</v>
      </c>
      <c r="U1142" s="62" t="n">
        <f aca="false">IF(F1142&gt;0,(Settings!$B$8*T1142+Settings!$B$9*R1142+Settings!$B$10*S1142)/SUM(Settings!$B$8:$B$10),0)</f>
        <v>0</v>
      </c>
      <c r="V1142" s="56" t="str">
        <f aca="false">IF(U1142&gt;0,RANK(U1142,$U$2:$U$1780)+COUNTIF($U$2:U1142,U1142)-1,"")</f>
        <v/>
      </c>
      <c r="W1142" s="56" t="str">
        <f aca="false">IF(V1142="","",IF(V1142&lt;=Settings!$B$11,"1 - Fix first",IF(V1142&lt;=Settings!$B$12,"2 - Review","3 - Monitor")))</f>
        <v/>
      </c>
      <c r="X1142" s="56" t="str">
        <f aca="false">IF(AND(E1142&gt;=Settings!$B$4,F1142&gt;=Settings!$B$5,O1142&gt;=Settings!$B$6),"HIGH RATE","")</f>
        <v/>
      </c>
      <c r="Y1142" s="56" t="str">
        <f aca="false">IF(F1142&gt;0,RANK(F1142,$F$2:$F$1780)+COUNTIF($F$2:F1142,F1142)-1,"")</f>
        <v/>
      </c>
      <c r="Z1142" s="56" t="str">
        <f aca="false">IF(H1142&gt;0,RANK(H1142,$H$2:$H$1780)+COUNTIF($H$2:H1142,H1142)-1,"")</f>
        <v/>
      </c>
      <c r="AA1142" s="56" t="str">
        <f aca="false">IF(AC1142="","",RANK(AC1142,$AC$2:$AC$1780)+COUNTIF($AC$2:AC1142,AC1142)-1)</f>
        <v/>
      </c>
      <c r="AB1142" s="56" t="str">
        <f aca="false">IF(AD1142="","",RANK(AD1142,$AD$2:$AD$1780)+COUNTIF($AD$2:AD1142,AD1142)-1)</f>
        <v/>
      </c>
      <c r="AC1142" s="56" t="str">
        <f aca="false">IF(AND(F1142&gt;0,E1142&gt;=Settings!$B$4),J1142,"")</f>
        <v/>
      </c>
      <c r="AD1142" s="56" t="str">
        <f aca="false">IF(X1142="HIGH RATE",O1142,"")</f>
        <v/>
      </c>
    </row>
    <row r="1143" customFormat="false" ht="15" hidden="false" customHeight="false" outlineLevel="0" collapsed="false">
      <c r="A1143" s="56" t="s">
        <v>2509</v>
      </c>
      <c r="B1143" s="56" t="s">
        <v>882</v>
      </c>
      <c r="C1143" s="56" t="s">
        <v>55</v>
      </c>
      <c r="D1143" s="56" t="str">
        <f aca="false">IFERROR(INDEX('Brand Map'!$B$4:$B$124,MATCH(C1143,'Brand Map'!$A$4:$A$124,0)),"Other")</f>
        <v>AUMJ</v>
      </c>
      <c r="E1143" s="57" t="n">
        <v>6</v>
      </c>
      <c r="F1143" s="57" t="n">
        <v>0</v>
      </c>
      <c r="G1143" s="58" t="n">
        <v>551.7</v>
      </c>
      <c r="H1143" s="58" t="n">
        <v>0</v>
      </c>
      <c r="I1143" s="58" t="n">
        <v>551.7</v>
      </c>
      <c r="J1143" s="32" t="n">
        <f aca="false">IF(E1143&gt;0,F1143/E1143,0)</f>
        <v>0</v>
      </c>
      <c r="K1143" s="32" t="n">
        <f aca="false">IF(G1143&gt;0,H1143/G1143,0)</f>
        <v>-0</v>
      </c>
      <c r="L1143" s="59" t="n">
        <f aca="false">H1143/Settings!$B$16</f>
        <v>-0</v>
      </c>
      <c r="M1143" s="59" t="n">
        <f aca="false">H1143/Settings!$B$20</f>
        <v>-0</v>
      </c>
      <c r="N1143" s="60" t="n">
        <f aca="false">E1143*Settings!$B$3</f>
        <v>0.185916906478923</v>
      </c>
      <c r="O1143" s="60" t="n">
        <f aca="false">IF(E1143&gt;0,(F1143-N1143)/SQRT(E1143*Settings!$B$3*(1-Settings!$B$3)),0)</f>
        <v>-0.43802051376936</v>
      </c>
      <c r="P1143" s="60" t="n">
        <f aca="false">MAX(0,F1143-N1143)</f>
        <v>0</v>
      </c>
      <c r="Q1143" s="32" t="n">
        <f aca="false">(F1143+Settings!$B$7*Settings!$B$3)/(E1143+Settings!$B$7)</f>
        <v>0.025821792566517</v>
      </c>
      <c r="R1143" s="61" t="n">
        <f aca="false">PERCENTRANK($H$2:$H$1780,H1143,6)</f>
        <v>0</v>
      </c>
      <c r="S1143" s="61" t="n">
        <f aca="false">PERCENTRANK($Q$2:$Q$1780,Q1143,6)</f>
        <v>0.189539</v>
      </c>
      <c r="T1143" s="61" t="n">
        <f aca="false">PERCENTRANK($F$2:$F$1780,F1143,6)</f>
        <v>0</v>
      </c>
      <c r="U1143" s="62" t="n">
        <f aca="false">IF(F1143&gt;0,(Settings!$B$8*T1143+Settings!$B$9*R1143+Settings!$B$10*S1143)/SUM(Settings!$B$8:$B$10),0)</f>
        <v>0</v>
      </c>
      <c r="V1143" s="56" t="str">
        <f aca="false">IF(U1143&gt;0,RANK(U1143,$U$2:$U$1780)+COUNTIF($U$2:U1143,U1143)-1,"")</f>
        <v/>
      </c>
      <c r="W1143" s="56" t="str">
        <f aca="false">IF(V1143="","",IF(V1143&lt;=Settings!$B$11,"1 - Fix first",IF(V1143&lt;=Settings!$B$12,"2 - Review","3 - Monitor")))</f>
        <v/>
      </c>
      <c r="X1143" s="56" t="str">
        <f aca="false">IF(AND(E1143&gt;=Settings!$B$4,F1143&gt;=Settings!$B$5,O1143&gt;=Settings!$B$6),"HIGH RATE","")</f>
        <v/>
      </c>
      <c r="Y1143" s="56" t="str">
        <f aca="false">IF(F1143&gt;0,RANK(F1143,$F$2:$F$1780)+COUNTIF($F$2:F1143,F1143)-1,"")</f>
        <v/>
      </c>
      <c r="Z1143" s="56" t="str">
        <f aca="false">IF(H1143&gt;0,RANK(H1143,$H$2:$H$1780)+COUNTIF($H$2:H1143,H1143)-1,"")</f>
        <v/>
      </c>
      <c r="AA1143" s="56" t="str">
        <f aca="false">IF(AC1143="","",RANK(AC1143,$AC$2:$AC$1780)+COUNTIF($AC$2:AC1143,AC1143)-1)</f>
        <v/>
      </c>
      <c r="AB1143" s="56" t="str">
        <f aca="false">IF(AD1143="","",RANK(AD1143,$AD$2:$AD$1780)+COUNTIF($AD$2:AD1143,AD1143)-1)</f>
        <v/>
      </c>
      <c r="AC1143" s="56" t="str">
        <f aca="false">IF(AND(F1143&gt;0,E1143&gt;=Settings!$B$4),J1143,"")</f>
        <v/>
      </c>
      <c r="AD1143" s="56" t="str">
        <f aca="false">IF(X1143="HIGH RATE",O1143,"")</f>
        <v/>
      </c>
    </row>
    <row r="1144" customFormat="false" ht="15" hidden="false" customHeight="false" outlineLevel="0" collapsed="false">
      <c r="A1144" s="56" t="s">
        <v>2510</v>
      </c>
      <c r="B1144" s="56" t="s">
        <v>882</v>
      </c>
      <c r="C1144" s="56" t="s">
        <v>55</v>
      </c>
      <c r="D1144" s="56" t="str">
        <f aca="false">IFERROR(INDEX('Brand Map'!$B$4:$B$124,MATCH(C1144,'Brand Map'!$A$4:$A$124,0)),"Other")</f>
        <v>AUMJ</v>
      </c>
      <c r="E1144" s="57" t="n">
        <v>5</v>
      </c>
      <c r="F1144" s="57" t="n">
        <v>0</v>
      </c>
      <c r="G1144" s="58" t="n">
        <v>394.66</v>
      </c>
      <c r="H1144" s="58" t="n">
        <v>0</v>
      </c>
      <c r="I1144" s="58" t="n">
        <v>385.14</v>
      </c>
      <c r="J1144" s="32" t="n">
        <f aca="false">IF(E1144&gt;0,F1144/E1144,0)</f>
        <v>0</v>
      </c>
      <c r="K1144" s="32" t="n">
        <f aca="false">IF(G1144&gt;0,H1144/G1144,0)</f>
        <v>-0</v>
      </c>
      <c r="L1144" s="59" t="n">
        <f aca="false">H1144/Settings!$B$16</f>
        <v>-0</v>
      </c>
      <c r="M1144" s="59" t="n">
        <f aca="false">H1144/Settings!$B$20</f>
        <v>-0</v>
      </c>
      <c r="N1144" s="60" t="n">
        <f aca="false">E1144*Settings!$B$3</f>
        <v>0.154930755399102</v>
      </c>
      <c r="O1144" s="60" t="n">
        <f aca="false">IF(E1144&gt;0,(F1144-N1144)/SQRT(E1144*Settings!$B$3*(1-Settings!$B$3)),0)</f>
        <v>-0.399856193402468</v>
      </c>
      <c r="P1144" s="60" t="n">
        <f aca="false">MAX(0,F1144-N1144)</f>
        <v>0</v>
      </c>
      <c r="Q1144" s="32" t="n">
        <f aca="false">(F1144+Settings!$B$7*Settings!$B$3)/(E1144+Settings!$B$7)</f>
        <v>0.0265595580684175</v>
      </c>
      <c r="R1144" s="61" t="n">
        <f aca="false">PERCENTRANK($H$2:$H$1780,H1144,6)</f>
        <v>0</v>
      </c>
      <c r="S1144" s="61" t="n">
        <f aca="false">PERCENTRANK($Q$2:$Q$1780,Q1144,6)</f>
        <v>0.220472</v>
      </c>
      <c r="T1144" s="61" t="n">
        <f aca="false">PERCENTRANK($F$2:$F$1780,F1144,6)</f>
        <v>0</v>
      </c>
      <c r="U1144" s="62" t="n">
        <f aca="false">IF(F1144&gt;0,(Settings!$B$8*T1144+Settings!$B$9*R1144+Settings!$B$10*S1144)/SUM(Settings!$B$8:$B$10),0)</f>
        <v>0</v>
      </c>
      <c r="V1144" s="56" t="str">
        <f aca="false">IF(U1144&gt;0,RANK(U1144,$U$2:$U$1780)+COUNTIF($U$2:U1144,U1144)-1,"")</f>
        <v/>
      </c>
      <c r="W1144" s="56" t="str">
        <f aca="false">IF(V1144="","",IF(V1144&lt;=Settings!$B$11,"1 - Fix first",IF(V1144&lt;=Settings!$B$12,"2 - Review","3 - Monitor")))</f>
        <v/>
      </c>
      <c r="X1144" s="56" t="str">
        <f aca="false">IF(AND(E1144&gt;=Settings!$B$4,F1144&gt;=Settings!$B$5,O1144&gt;=Settings!$B$6),"HIGH RATE","")</f>
        <v/>
      </c>
      <c r="Y1144" s="56" t="str">
        <f aca="false">IF(F1144&gt;0,RANK(F1144,$F$2:$F$1780)+COUNTIF($F$2:F1144,F1144)-1,"")</f>
        <v/>
      </c>
      <c r="Z1144" s="56" t="str">
        <f aca="false">IF(H1144&gt;0,RANK(H1144,$H$2:$H$1780)+COUNTIF($H$2:H1144,H1144)-1,"")</f>
        <v/>
      </c>
      <c r="AA1144" s="56" t="str">
        <f aca="false">IF(AC1144="","",RANK(AC1144,$AC$2:$AC$1780)+COUNTIF($AC$2:AC1144,AC1144)-1)</f>
        <v/>
      </c>
      <c r="AB1144" s="56" t="str">
        <f aca="false">IF(AD1144="","",RANK(AD1144,$AD$2:$AD$1780)+COUNTIF($AD$2:AD1144,AD1144)-1)</f>
        <v/>
      </c>
      <c r="AC1144" s="56" t="str">
        <f aca="false">IF(AND(F1144&gt;0,E1144&gt;=Settings!$B$4),J1144,"")</f>
        <v/>
      </c>
      <c r="AD1144" s="56" t="str">
        <f aca="false">IF(X1144="HIGH RATE",O1144,"")</f>
        <v/>
      </c>
    </row>
    <row r="1145" customFormat="false" ht="15" hidden="false" customHeight="false" outlineLevel="0" collapsed="false">
      <c r="A1145" s="56" t="s">
        <v>2511</v>
      </c>
      <c r="B1145" s="56" t="s">
        <v>882</v>
      </c>
      <c r="C1145" s="56" t="s">
        <v>55</v>
      </c>
      <c r="D1145" s="56" t="str">
        <f aca="false">IFERROR(INDEX('Brand Map'!$B$4:$B$124,MATCH(C1145,'Brand Map'!$A$4:$A$124,0)),"Other")</f>
        <v>AUMJ</v>
      </c>
      <c r="E1145" s="57" t="n">
        <v>2</v>
      </c>
      <c r="F1145" s="57" t="n">
        <v>0</v>
      </c>
      <c r="G1145" s="58" t="n">
        <v>213.9</v>
      </c>
      <c r="H1145" s="58" t="n">
        <v>0</v>
      </c>
      <c r="I1145" s="58" t="n">
        <v>213.9</v>
      </c>
      <c r="J1145" s="32" t="n">
        <f aca="false">IF(E1145&gt;0,F1145/E1145,0)</f>
        <v>0</v>
      </c>
      <c r="K1145" s="32" t="n">
        <f aca="false">IF(G1145&gt;0,H1145/G1145,0)</f>
        <v>-0</v>
      </c>
      <c r="L1145" s="59" t="n">
        <f aca="false">H1145/Settings!$B$16</f>
        <v>-0</v>
      </c>
      <c r="M1145" s="59" t="n">
        <f aca="false">H1145/Settings!$B$20</f>
        <v>-0</v>
      </c>
      <c r="N1145" s="60" t="n">
        <f aca="false">E1145*Settings!$B$3</f>
        <v>0.0619723021596408</v>
      </c>
      <c r="O1145" s="60" t="n">
        <f aca="false">IF(E1145&gt;0,(F1145-N1145)/SQRT(E1145*Settings!$B$3*(1-Settings!$B$3)),0)</f>
        <v>-0.252891261535318</v>
      </c>
      <c r="P1145" s="60" t="n">
        <f aca="false">MAX(0,F1145-N1145)</f>
        <v>0</v>
      </c>
      <c r="Q1145" s="32" t="n">
        <f aca="false">(F1145+Settings!$B$7*Settings!$B$3)/(E1145+Settings!$B$7)</f>
        <v>0.0290495166373316</v>
      </c>
      <c r="R1145" s="61" t="n">
        <f aca="false">PERCENTRANK($H$2:$H$1780,H1145,6)</f>
        <v>0</v>
      </c>
      <c r="S1145" s="61" t="n">
        <f aca="false">PERCENTRANK($Q$2:$Q$1780,Q1145,6)</f>
        <v>0.365579</v>
      </c>
      <c r="T1145" s="61" t="n">
        <f aca="false">PERCENTRANK($F$2:$F$1780,F1145,6)</f>
        <v>0</v>
      </c>
      <c r="U1145" s="62" t="n">
        <f aca="false">IF(F1145&gt;0,(Settings!$B$8*T1145+Settings!$B$9*R1145+Settings!$B$10*S1145)/SUM(Settings!$B$8:$B$10),0)</f>
        <v>0</v>
      </c>
      <c r="V1145" s="56" t="str">
        <f aca="false">IF(U1145&gt;0,RANK(U1145,$U$2:$U$1780)+COUNTIF($U$2:U1145,U1145)-1,"")</f>
        <v/>
      </c>
      <c r="W1145" s="56" t="str">
        <f aca="false">IF(V1145="","",IF(V1145&lt;=Settings!$B$11,"1 - Fix first",IF(V1145&lt;=Settings!$B$12,"2 - Review","3 - Monitor")))</f>
        <v/>
      </c>
      <c r="X1145" s="56" t="str">
        <f aca="false">IF(AND(E1145&gt;=Settings!$B$4,F1145&gt;=Settings!$B$5,O1145&gt;=Settings!$B$6),"HIGH RATE","")</f>
        <v/>
      </c>
      <c r="Y1145" s="56" t="str">
        <f aca="false">IF(F1145&gt;0,RANK(F1145,$F$2:$F$1780)+COUNTIF($F$2:F1145,F1145)-1,"")</f>
        <v/>
      </c>
      <c r="Z1145" s="56" t="str">
        <f aca="false">IF(H1145&gt;0,RANK(H1145,$H$2:$H$1780)+COUNTIF($H$2:H1145,H1145)-1,"")</f>
        <v/>
      </c>
      <c r="AA1145" s="56" t="str">
        <f aca="false">IF(AC1145="","",RANK(AC1145,$AC$2:$AC$1780)+COUNTIF($AC$2:AC1145,AC1145)-1)</f>
        <v/>
      </c>
      <c r="AB1145" s="56" t="str">
        <f aca="false">IF(AD1145="","",RANK(AD1145,$AD$2:$AD$1780)+COUNTIF($AD$2:AD1145,AD1145)-1)</f>
        <v/>
      </c>
      <c r="AC1145" s="56" t="str">
        <f aca="false">IF(AND(F1145&gt;0,E1145&gt;=Settings!$B$4),J1145,"")</f>
        <v/>
      </c>
      <c r="AD1145" s="56" t="str">
        <f aca="false">IF(X1145="HIGH RATE",O1145,"")</f>
        <v/>
      </c>
    </row>
    <row r="1146" customFormat="false" ht="15" hidden="false" customHeight="false" outlineLevel="0" collapsed="false">
      <c r="A1146" s="56" t="s">
        <v>2512</v>
      </c>
      <c r="B1146" s="56" t="s">
        <v>882</v>
      </c>
      <c r="C1146" s="56" t="s">
        <v>55</v>
      </c>
      <c r="D1146" s="56" t="str">
        <f aca="false">IFERROR(INDEX('Brand Map'!$B$4:$B$124,MATCH(C1146,'Brand Map'!$A$4:$A$124,0)),"Other")</f>
        <v>AUMJ</v>
      </c>
      <c r="E1146" s="57" t="n">
        <v>2</v>
      </c>
      <c r="F1146" s="57" t="n">
        <v>0</v>
      </c>
      <c r="G1146" s="58" t="n">
        <v>243.9</v>
      </c>
      <c r="H1146" s="58" t="n">
        <v>0</v>
      </c>
      <c r="I1146" s="58" t="n">
        <v>243.9</v>
      </c>
      <c r="J1146" s="32" t="n">
        <f aca="false">IF(E1146&gt;0,F1146/E1146,0)</f>
        <v>0</v>
      </c>
      <c r="K1146" s="32" t="n">
        <f aca="false">IF(G1146&gt;0,H1146/G1146,0)</f>
        <v>-0</v>
      </c>
      <c r="L1146" s="59" t="n">
        <f aca="false">H1146/Settings!$B$16</f>
        <v>-0</v>
      </c>
      <c r="M1146" s="59" t="n">
        <f aca="false">H1146/Settings!$B$20</f>
        <v>-0</v>
      </c>
      <c r="N1146" s="60" t="n">
        <f aca="false">E1146*Settings!$B$3</f>
        <v>0.0619723021596408</v>
      </c>
      <c r="O1146" s="60" t="n">
        <f aca="false">IF(E1146&gt;0,(F1146-N1146)/SQRT(E1146*Settings!$B$3*(1-Settings!$B$3)),0)</f>
        <v>-0.252891261535318</v>
      </c>
      <c r="P1146" s="60" t="n">
        <f aca="false">MAX(0,F1146-N1146)</f>
        <v>0</v>
      </c>
      <c r="Q1146" s="32" t="n">
        <f aca="false">(F1146+Settings!$B$7*Settings!$B$3)/(E1146+Settings!$B$7)</f>
        <v>0.0290495166373316</v>
      </c>
      <c r="R1146" s="61" t="n">
        <f aca="false">PERCENTRANK($H$2:$H$1780,H1146,6)</f>
        <v>0</v>
      </c>
      <c r="S1146" s="61" t="n">
        <f aca="false">PERCENTRANK($Q$2:$Q$1780,Q1146,6)</f>
        <v>0.365579</v>
      </c>
      <c r="T1146" s="61" t="n">
        <f aca="false">PERCENTRANK($F$2:$F$1780,F1146,6)</f>
        <v>0</v>
      </c>
      <c r="U1146" s="62" t="n">
        <f aca="false">IF(F1146&gt;0,(Settings!$B$8*T1146+Settings!$B$9*R1146+Settings!$B$10*S1146)/SUM(Settings!$B$8:$B$10),0)</f>
        <v>0</v>
      </c>
      <c r="V1146" s="56" t="str">
        <f aca="false">IF(U1146&gt;0,RANK(U1146,$U$2:$U$1780)+COUNTIF($U$2:U1146,U1146)-1,"")</f>
        <v/>
      </c>
      <c r="W1146" s="56" t="str">
        <f aca="false">IF(V1146="","",IF(V1146&lt;=Settings!$B$11,"1 - Fix first",IF(V1146&lt;=Settings!$B$12,"2 - Review","3 - Monitor")))</f>
        <v/>
      </c>
      <c r="X1146" s="56" t="str">
        <f aca="false">IF(AND(E1146&gt;=Settings!$B$4,F1146&gt;=Settings!$B$5,O1146&gt;=Settings!$B$6),"HIGH RATE","")</f>
        <v/>
      </c>
      <c r="Y1146" s="56" t="str">
        <f aca="false">IF(F1146&gt;0,RANK(F1146,$F$2:$F$1780)+COUNTIF($F$2:F1146,F1146)-1,"")</f>
        <v/>
      </c>
      <c r="Z1146" s="56" t="str">
        <f aca="false">IF(H1146&gt;0,RANK(H1146,$H$2:$H$1780)+COUNTIF($H$2:H1146,H1146)-1,"")</f>
        <v/>
      </c>
      <c r="AA1146" s="56" t="str">
        <f aca="false">IF(AC1146="","",RANK(AC1146,$AC$2:$AC$1780)+COUNTIF($AC$2:AC1146,AC1146)-1)</f>
        <v/>
      </c>
      <c r="AB1146" s="56" t="str">
        <f aca="false">IF(AD1146="","",RANK(AD1146,$AD$2:$AD$1780)+COUNTIF($AD$2:AD1146,AD1146)-1)</f>
        <v/>
      </c>
      <c r="AC1146" s="56" t="str">
        <f aca="false">IF(AND(F1146&gt;0,E1146&gt;=Settings!$B$4),J1146,"")</f>
        <v/>
      </c>
      <c r="AD1146" s="56" t="str">
        <f aca="false">IF(X1146="HIGH RATE",O1146,"")</f>
        <v/>
      </c>
    </row>
    <row r="1147" customFormat="false" ht="15" hidden="false" customHeight="false" outlineLevel="0" collapsed="false">
      <c r="A1147" s="56" t="s">
        <v>2513</v>
      </c>
      <c r="B1147" s="56" t="s">
        <v>882</v>
      </c>
      <c r="C1147" s="56" t="s">
        <v>55</v>
      </c>
      <c r="D1147" s="56" t="str">
        <f aca="false">IFERROR(INDEX('Brand Map'!$B$4:$B$124,MATCH(C1147,'Brand Map'!$A$4:$A$124,0)),"Other")</f>
        <v>AUMJ</v>
      </c>
      <c r="E1147" s="57" t="n">
        <v>1</v>
      </c>
      <c r="F1147" s="57" t="n">
        <v>0</v>
      </c>
      <c r="G1147" s="58" t="n">
        <v>97.23</v>
      </c>
      <c r="H1147" s="58" t="n">
        <v>0</v>
      </c>
      <c r="I1147" s="58" t="n">
        <v>82.65</v>
      </c>
      <c r="J1147" s="32" t="n">
        <f aca="false">IF(E1147&gt;0,F1147/E1147,0)</f>
        <v>0</v>
      </c>
      <c r="K1147" s="32" t="n">
        <f aca="false">IF(G1147&gt;0,H1147/G1147,0)</f>
        <v>-0</v>
      </c>
      <c r="L1147" s="59" t="n">
        <f aca="false">H1147/Settings!$B$16</f>
        <v>-0</v>
      </c>
      <c r="M1147" s="59" t="n">
        <f aca="false">H1147/Settings!$B$20</f>
        <v>-0</v>
      </c>
      <c r="N1147" s="60" t="n">
        <f aca="false">E1147*Settings!$B$3</f>
        <v>0.0309861510798204</v>
      </c>
      <c r="O1147" s="60" t="n">
        <f aca="false">IF(E1147&gt;0,(F1147-N1147)/SQRT(E1147*Settings!$B$3*(1-Settings!$B$3)),0)</f>
        <v>-0.178821125934444</v>
      </c>
      <c r="P1147" s="60" t="n">
        <f aca="false">MAX(0,F1147-N1147)</f>
        <v>0</v>
      </c>
      <c r="Q1147" s="32" t="n">
        <f aca="false">(F1147+Settings!$B$7*Settings!$B$3)/(E1147+Settings!$B$7)</f>
        <v>0.0299865978191811</v>
      </c>
      <c r="R1147" s="61" t="n">
        <f aca="false">PERCENTRANK($H$2:$H$1780,H1147,6)</f>
        <v>0</v>
      </c>
      <c r="S1147" s="61" t="n">
        <f aca="false">PERCENTRANK($Q$2:$Q$1780,Q1147,6)</f>
        <v>0.486502</v>
      </c>
      <c r="T1147" s="61" t="n">
        <f aca="false">PERCENTRANK($F$2:$F$1780,F1147,6)</f>
        <v>0</v>
      </c>
      <c r="U1147" s="62" t="n">
        <f aca="false">IF(F1147&gt;0,(Settings!$B$8*T1147+Settings!$B$9*R1147+Settings!$B$10*S1147)/SUM(Settings!$B$8:$B$10),0)</f>
        <v>0</v>
      </c>
      <c r="V1147" s="56" t="str">
        <f aca="false">IF(U1147&gt;0,RANK(U1147,$U$2:$U$1780)+COUNTIF($U$2:U1147,U1147)-1,"")</f>
        <v/>
      </c>
      <c r="W1147" s="56" t="str">
        <f aca="false">IF(V1147="","",IF(V1147&lt;=Settings!$B$11,"1 - Fix first",IF(V1147&lt;=Settings!$B$12,"2 - Review","3 - Monitor")))</f>
        <v/>
      </c>
      <c r="X1147" s="56" t="str">
        <f aca="false">IF(AND(E1147&gt;=Settings!$B$4,F1147&gt;=Settings!$B$5,O1147&gt;=Settings!$B$6),"HIGH RATE","")</f>
        <v/>
      </c>
      <c r="Y1147" s="56" t="str">
        <f aca="false">IF(F1147&gt;0,RANK(F1147,$F$2:$F$1780)+COUNTIF($F$2:F1147,F1147)-1,"")</f>
        <v/>
      </c>
      <c r="Z1147" s="56" t="str">
        <f aca="false">IF(H1147&gt;0,RANK(H1147,$H$2:$H$1780)+COUNTIF($H$2:H1147,H1147)-1,"")</f>
        <v/>
      </c>
      <c r="AA1147" s="56" t="str">
        <f aca="false">IF(AC1147="","",RANK(AC1147,$AC$2:$AC$1780)+COUNTIF($AC$2:AC1147,AC1147)-1)</f>
        <v/>
      </c>
      <c r="AB1147" s="56" t="str">
        <f aca="false">IF(AD1147="","",RANK(AD1147,$AD$2:$AD$1780)+COUNTIF($AD$2:AD1147,AD1147)-1)</f>
        <v/>
      </c>
      <c r="AC1147" s="56" t="str">
        <f aca="false">IF(AND(F1147&gt;0,E1147&gt;=Settings!$B$4),J1147,"")</f>
        <v/>
      </c>
      <c r="AD1147" s="56" t="str">
        <f aca="false">IF(X1147="HIGH RATE",O1147,"")</f>
        <v/>
      </c>
    </row>
    <row r="1148" customFormat="false" ht="15" hidden="false" customHeight="false" outlineLevel="0" collapsed="false">
      <c r="A1148" s="56" t="s">
        <v>2514</v>
      </c>
      <c r="B1148" s="56" t="s">
        <v>1046</v>
      </c>
      <c r="C1148" s="56" t="s">
        <v>55</v>
      </c>
      <c r="D1148" s="56" t="str">
        <f aca="false">IFERROR(INDEX('Brand Map'!$B$4:$B$124,MATCH(C1148,'Brand Map'!$A$4:$A$124,0)),"Other")</f>
        <v>AUMJ</v>
      </c>
      <c r="E1148" s="57" t="n">
        <v>7</v>
      </c>
      <c r="F1148" s="57" t="n">
        <v>0</v>
      </c>
      <c r="G1148" s="58" t="n">
        <v>734.65</v>
      </c>
      <c r="H1148" s="58" t="n">
        <v>0</v>
      </c>
      <c r="I1148" s="58" t="n">
        <v>734.65</v>
      </c>
      <c r="J1148" s="32" t="n">
        <f aca="false">IF(E1148&gt;0,F1148/E1148,0)</f>
        <v>0</v>
      </c>
      <c r="K1148" s="32" t="n">
        <f aca="false">IF(G1148&gt;0,H1148/G1148,0)</f>
        <v>-0</v>
      </c>
      <c r="L1148" s="59" t="n">
        <f aca="false">H1148/Settings!$B$16</f>
        <v>-0</v>
      </c>
      <c r="M1148" s="59" t="n">
        <f aca="false">H1148/Settings!$B$20</f>
        <v>-0</v>
      </c>
      <c r="N1148" s="60" t="n">
        <f aca="false">E1148*Settings!$B$3</f>
        <v>0.216903057558743</v>
      </c>
      <c r="O1148" s="60" t="n">
        <f aca="false">IF(E1148&gt;0,(F1148-N1148)/SQRT(E1148*Settings!$B$3*(1-Settings!$B$3)),0)</f>
        <v>-0.473116228387102</v>
      </c>
      <c r="P1148" s="60" t="n">
        <f aca="false">MAX(0,F1148-N1148)</f>
        <v>0</v>
      </c>
      <c r="Q1148" s="32" t="n">
        <f aca="false">(F1148+Settings!$B$7*Settings!$B$3)/(E1148+Settings!$B$7)</f>
        <v>0.0251239062809355</v>
      </c>
      <c r="R1148" s="61" t="n">
        <f aca="false">PERCENTRANK($H$2:$H$1780,H1148,6)</f>
        <v>0</v>
      </c>
      <c r="S1148" s="61" t="n">
        <f aca="false">PERCENTRANK($Q$2:$Q$1780,Q1148,6)</f>
        <v>0.168166</v>
      </c>
      <c r="T1148" s="61" t="n">
        <f aca="false">PERCENTRANK($F$2:$F$1780,F1148,6)</f>
        <v>0</v>
      </c>
      <c r="U1148" s="62" t="n">
        <f aca="false">IF(F1148&gt;0,(Settings!$B$8*T1148+Settings!$B$9*R1148+Settings!$B$10*S1148)/SUM(Settings!$B$8:$B$10),0)</f>
        <v>0</v>
      </c>
      <c r="V1148" s="56" t="str">
        <f aca="false">IF(U1148&gt;0,RANK(U1148,$U$2:$U$1780)+COUNTIF($U$2:U1148,U1148)-1,"")</f>
        <v/>
      </c>
      <c r="W1148" s="56" t="str">
        <f aca="false">IF(V1148="","",IF(V1148&lt;=Settings!$B$11,"1 - Fix first",IF(V1148&lt;=Settings!$B$12,"2 - Review","3 - Monitor")))</f>
        <v/>
      </c>
      <c r="X1148" s="56" t="str">
        <f aca="false">IF(AND(E1148&gt;=Settings!$B$4,F1148&gt;=Settings!$B$5,O1148&gt;=Settings!$B$6),"HIGH RATE","")</f>
        <v/>
      </c>
      <c r="Y1148" s="56" t="str">
        <f aca="false">IF(F1148&gt;0,RANK(F1148,$F$2:$F$1780)+COUNTIF($F$2:F1148,F1148)-1,"")</f>
        <v/>
      </c>
      <c r="Z1148" s="56" t="str">
        <f aca="false">IF(H1148&gt;0,RANK(H1148,$H$2:$H$1780)+COUNTIF($H$2:H1148,H1148)-1,"")</f>
        <v/>
      </c>
      <c r="AA1148" s="56" t="str">
        <f aca="false">IF(AC1148="","",RANK(AC1148,$AC$2:$AC$1780)+COUNTIF($AC$2:AC1148,AC1148)-1)</f>
        <v/>
      </c>
      <c r="AB1148" s="56" t="str">
        <f aca="false">IF(AD1148="","",RANK(AD1148,$AD$2:$AD$1780)+COUNTIF($AD$2:AD1148,AD1148)-1)</f>
        <v/>
      </c>
      <c r="AC1148" s="56" t="str">
        <f aca="false">IF(AND(F1148&gt;0,E1148&gt;=Settings!$B$4),J1148,"")</f>
        <v/>
      </c>
      <c r="AD1148" s="56" t="str">
        <f aca="false">IF(X1148="HIGH RATE",O1148,"")</f>
        <v/>
      </c>
    </row>
    <row r="1149" customFormat="false" ht="15" hidden="false" customHeight="false" outlineLevel="0" collapsed="false">
      <c r="A1149" s="56" t="s">
        <v>2515</v>
      </c>
      <c r="B1149" s="56" t="s">
        <v>1046</v>
      </c>
      <c r="C1149" s="56" t="s">
        <v>55</v>
      </c>
      <c r="D1149" s="56" t="str">
        <f aca="false">IFERROR(INDEX('Brand Map'!$B$4:$B$124,MATCH(C1149,'Brand Map'!$A$4:$A$124,0)),"Other")</f>
        <v>AUMJ</v>
      </c>
      <c r="E1149" s="57" t="n">
        <v>2</v>
      </c>
      <c r="F1149" s="57" t="n">
        <v>0</v>
      </c>
      <c r="G1149" s="58" t="n">
        <v>239.9</v>
      </c>
      <c r="H1149" s="58" t="n">
        <v>0</v>
      </c>
      <c r="I1149" s="58" t="n">
        <v>239.9</v>
      </c>
      <c r="J1149" s="32" t="n">
        <f aca="false">IF(E1149&gt;0,F1149/E1149,0)</f>
        <v>0</v>
      </c>
      <c r="K1149" s="32" t="n">
        <f aca="false">IF(G1149&gt;0,H1149/G1149,0)</f>
        <v>-0</v>
      </c>
      <c r="L1149" s="59" t="n">
        <f aca="false">H1149/Settings!$B$16</f>
        <v>-0</v>
      </c>
      <c r="M1149" s="59" t="n">
        <f aca="false">H1149/Settings!$B$20</f>
        <v>-0</v>
      </c>
      <c r="N1149" s="60" t="n">
        <f aca="false">E1149*Settings!$B$3</f>
        <v>0.0619723021596408</v>
      </c>
      <c r="O1149" s="60" t="n">
        <f aca="false">IF(E1149&gt;0,(F1149-N1149)/SQRT(E1149*Settings!$B$3*(1-Settings!$B$3)),0)</f>
        <v>-0.252891261535318</v>
      </c>
      <c r="P1149" s="60" t="n">
        <f aca="false">MAX(0,F1149-N1149)</f>
        <v>0</v>
      </c>
      <c r="Q1149" s="32" t="n">
        <f aca="false">(F1149+Settings!$B$7*Settings!$B$3)/(E1149+Settings!$B$7)</f>
        <v>0.0290495166373316</v>
      </c>
      <c r="R1149" s="61" t="n">
        <f aca="false">PERCENTRANK($H$2:$H$1780,H1149,6)</f>
        <v>0</v>
      </c>
      <c r="S1149" s="61" t="n">
        <f aca="false">PERCENTRANK($Q$2:$Q$1780,Q1149,6)</f>
        <v>0.365579</v>
      </c>
      <c r="T1149" s="61" t="n">
        <f aca="false">PERCENTRANK($F$2:$F$1780,F1149,6)</f>
        <v>0</v>
      </c>
      <c r="U1149" s="62" t="n">
        <f aca="false">IF(F1149&gt;0,(Settings!$B$8*T1149+Settings!$B$9*R1149+Settings!$B$10*S1149)/SUM(Settings!$B$8:$B$10),0)</f>
        <v>0</v>
      </c>
      <c r="V1149" s="56" t="str">
        <f aca="false">IF(U1149&gt;0,RANK(U1149,$U$2:$U$1780)+COUNTIF($U$2:U1149,U1149)-1,"")</f>
        <v/>
      </c>
      <c r="W1149" s="56" t="str">
        <f aca="false">IF(V1149="","",IF(V1149&lt;=Settings!$B$11,"1 - Fix first",IF(V1149&lt;=Settings!$B$12,"2 - Review","3 - Monitor")))</f>
        <v/>
      </c>
      <c r="X1149" s="56" t="str">
        <f aca="false">IF(AND(E1149&gt;=Settings!$B$4,F1149&gt;=Settings!$B$5,O1149&gt;=Settings!$B$6),"HIGH RATE","")</f>
        <v/>
      </c>
      <c r="Y1149" s="56" t="str">
        <f aca="false">IF(F1149&gt;0,RANK(F1149,$F$2:$F$1780)+COUNTIF($F$2:F1149,F1149)-1,"")</f>
        <v/>
      </c>
      <c r="Z1149" s="56" t="str">
        <f aca="false">IF(H1149&gt;0,RANK(H1149,$H$2:$H$1780)+COUNTIF($H$2:H1149,H1149)-1,"")</f>
        <v/>
      </c>
      <c r="AA1149" s="56" t="str">
        <f aca="false">IF(AC1149="","",RANK(AC1149,$AC$2:$AC$1780)+COUNTIF($AC$2:AC1149,AC1149)-1)</f>
        <v/>
      </c>
      <c r="AB1149" s="56" t="str">
        <f aca="false">IF(AD1149="","",RANK(AD1149,$AD$2:$AD$1780)+COUNTIF($AD$2:AD1149,AD1149)-1)</f>
        <v/>
      </c>
      <c r="AC1149" s="56" t="str">
        <f aca="false">IF(AND(F1149&gt;0,E1149&gt;=Settings!$B$4),J1149,"")</f>
        <v/>
      </c>
      <c r="AD1149" s="56" t="str">
        <f aca="false">IF(X1149="HIGH RATE",O1149,"")</f>
        <v/>
      </c>
    </row>
    <row r="1150" customFormat="false" ht="15" hidden="false" customHeight="false" outlineLevel="0" collapsed="false">
      <c r="A1150" s="56" t="s">
        <v>2516</v>
      </c>
      <c r="B1150" s="56" t="s">
        <v>1046</v>
      </c>
      <c r="C1150" s="56" t="s">
        <v>55</v>
      </c>
      <c r="D1150" s="56" t="str">
        <f aca="false">IFERROR(INDEX('Brand Map'!$B$4:$B$124,MATCH(C1150,'Brand Map'!$A$4:$A$124,0)),"Other")</f>
        <v>AUMJ</v>
      </c>
      <c r="E1150" s="57" t="n">
        <v>49</v>
      </c>
      <c r="F1150" s="57" t="n">
        <v>0</v>
      </c>
      <c r="G1150" s="58" t="n">
        <v>3672.55</v>
      </c>
      <c r="H1150" s="58" t="n">
        <v>0</v>
      </c>
      <c r="I1150" s="58" t="n">
        <v>3661.31</v>
      </c>
      <c r="J1150" s="32" t="n">
        <f aca="false">IF(E1150&gt;0,F1150/E1150,0)</f>
        <v>0</v>
      </c>
      <c r="K1150" s="32" t="n">
        <f aca="false">IF(G1150&gt;0,H1150/G1150,0)</f>
        <v>-0</v>
      </c>
      <c r="L1150" s="59" t="n">
        <f aca="false">H1150/Settings!$B$16</f>
        <v>-0</v>
      </c>
      <c r="M1150" s="59" t="n">
        <f aca="false">H1150/Settings!$B$20</f>
        <v>-0</v>
      </c>
      <c r="N1150" s="60" t="n">
        <f aca="false">E1150*Settings!$B$3</f>
        <v>1.5183214029112</v>
      </c>
      <c r="O1150" s="60" t="n">
        <f aca="false">IF(E1150&gt;0,(F1150-N1150)/SQRT(E1150*Settings!$B$3*(1-Settings!$B$3)),0)</f>
        <v>-1.25174788154111</v>
      </c>
      <c r="P1150" s="60" t="n">
        <f aca="false">MAX(0,F1150-N1150)</f>
        <v>0</v>
      </c>
      <c r="Q1150" s="32" t="n">
        <f aca="false">(F1150+Settings!$B$7*Settings!$B$3)/(E1150+Settings!$B$7)</f>
        <v>0.0117668928151217</v>
      </c>
      <c r="R1150" s="61" t="n">
        <f aca="false">PERCENTRANK($H$2:$H$1780,H1150,6)</f>
        <v>0</v>
      </c>
      <c r="S1150" s="61" t="n">
        <f aca="false">PERCENTRANK($Q$2:$Q$1780,Q1150,6)</f>
        <v>0.0208099</v>
      </c>
      <c r="T1150" s="61" t="n">
        <f aca="false">PERCENTRANK($F$2:$F$1780,F1150,6)</f>
        <v>0</v>
      </c>
      <c r="U1150" s="62" t="n">
        <f aca="false">IF(F1150&gt;0,(Settings!$B$8*T1150+Settings!$B$9*R1150+Settings!$B$10*S1150)/SUM(Settings!$B$8:$B$10),0)</f>
        <v>0</v>
      </c>
      <c r="V1150" s="56" t="str">
        <f aca="false">IF(U1150&gt;0,RANK(U1150,$U$2:$U$1780)+COUNTIF($U$2:U1150,U1150)-1,"")</f>
        <v/>
      </c>
      <c r="W1150" s="56" t="str">
        <f aca="false">IF(V1150="","",IF(V1150&lt;=Settings!$B$11,"1 - Fix first",IF(V1150&lt;=Settings!$B$12,"2 - Review","3 - Monitor")))</f>
        <v/>
      </c>
      <c r="X1150" s="56" t="str">
        <f aca="false">IF(AND(E1150&gt;=Settings!$B$4,F1150&gt;=Settings!$B$5,O1150&gt;=Settings!$B$6),"HIGH RATE","")</f>
        <v/>
      </c>
      <c r="Y1150" s="56" t="str">
        <f aca="false">IF(F1150&gt;0,RANK(F1150,$F$2:$F$1780)+COUNTIF($F$2:F1150,F1150)-1,"")</f>
        <v/>
      </c>
      <c r="Z1150" s="56" t="str">
        <f aca="false">IF(H1150&gt;0,RANK(H1150,$H$2:$H$1780)+COUNTIF($H$2:H1150,H1150)-1,"")</f>
        <v/>
      </c>
      <c r="AA1150" s="56" t="str">
        <f aca="false">IF(AC1150="","",RANK(AC1150,$AC$2:$AC$1780)+COUNTIF($AC$2:AC1150,AC1150)-1)</f>
        <v/>
      </c>
      <c r="AB1150" s="56" t="str">
        <f aca="false">IF(AD1150="","",RANK(AD1150,$AD$2:$AD$1780)+COUNTIF($AD$2:AD1150,AD1150)-1)</f>
        <v/>
      </c>
      <c r="AC1150" s="56" t="str">
        <f aca="false">IF(AND(F1150&gt;0,E1150&gt;=Settings!$B$4),J1150,"")</f>
        <v/>
      </c>
      <c r="AD1150" s="56" t="str">
        <f aca="false">IF(X1150="HIGH RATE",O1150,"")</f>
        <v/>
      </c>
    </row>
    <row r="1151" customFormat="false" ht="15" hidden="false" customHeight="false" outlineLevel="0" collapsed="false">
      <c r="A1151" s="56" t="s">
        <v>2517</v>
      </c>
      <c r="B1151" s="56" t="s">
        <v>2518</v>
      </c>
      <c r="C1151" s="56" t="s">
        <v>55</v>
      </c>
      <c r="D1151" s="56" t="str">
        <f aca="false">IFERROR(INDEX('Brand Map'!$B$4:$B$124,MATCH(C1151,'Brand Map'!$A$4:$A$124,0)),"Other")</f>
        <v>AUMJ</v>
      </c>
      <c r="E1151" s="57" t="n">
        <v>1</v>
      </c>
      <c r="F1151" s="57" t="n">
        <v>0</v>
      </c>
      <c r="G1151" s="58" t="n">
        <v>111.95</v>
      </c>
      <c r="H1151" s="58" t="n">
        <v>0</v>
      </c>
      <c r="I1151" s="58" t="n">
        <v>111.95</v>
      </c>
      <c r="J1151" s="32" t="n">
        <f aca="false">IF(E1151&gt;0,F1151/E1151,0)</f>
        <v>0</v>
      </c>
      <c r="K1151" s="32" t="n">
        <f aca="false">IF(G1151&gt;0,H1151/G1151,0)</f>
        <v>-0</v>
      </c>
      <c r="L1151" s="59" t="n">
        <f aca="false">H1151/Settings!$B$16</f>
        <v>-0</v>
      </c>
      <c r="M1151" s="59" t="n">
        <f aca="false">H1151/Settings!$B$20</f>
        <v>-0</v>
      </c>
      <c r="N1151" s="60" t="n">
        <f aca="false">E1151*Settings!$B$3</f>
        <v>0.0309861510798204</v>
      </c>
      <c r="O1151" s="60" t="n">
        <f aca="false">IF(E1151&gt;0,(F1151-N1151)/SQRT(E1151*Settings!$B$3*(1-Settings!$B$3)),0)</f>
        <v>-0.178821125934444</v>
      </c>
      <c r="P1151" s="60" t="n">
        <f aca="false">MAX(0,F1151-N1151)</f>
        <v>0</v>
      </c>
      <c r="Q1151" s="32" t="n">
        <f aca="false">(F1151+Settings!$B$7*Settings!$B$3)/(E1151+Settings!$B$7)</f>
        <v>0.0299865978191811</v>
      </c>
      <c r="R1151" s="61" t="n">
        <f aca="false">PERCENTRANK($H$2:$H$1780,H1151,6)</f>
        <v>0</v>
      </c>
      <c r="S1151" s="61" t="n">
        <f aca="false">PERCENTRANK($Q$2:$Q$1780,Q1151,6)</f>
        <v>0.486502</v>
      </c>
      <c r="T1151" s="61" t="n">
        <f aca="false">PERCENTRANK($F$2:$F$1780,F1151,6)</f>
        <v>0</v>
      </c>
      <c r="U1151" s="62" t="n">
        <f aca="false">IF(F1151&gt;0,(Settings!$B$8*T1151+Settings!$B$9*R1151+Settings!$B$10*S1151)/SUM(Settings!$B$8:$B$10),0)</f>
        <v>0</v>
      </c>
      <c r="V1151" s="56" t="str">
        <f aca="false">IF(U1151&gt;0,RANK(U1151,$U$2:$U$1780)+COUNTIF($U$2:U1151,U1151)-1,"")</f>
        <v/>
      </c>
      <c r="W1151" s="56" t="str">
        <f aca="false">IF(V1151="","",IF(V1151&lt;=Settings!$B$11,"1 - Fix first",IF(V1151&lt;=Settings!$B$12,"2 - Review","3 - Monitor")))</f>
        <v/>
      </c>
      <c r="X1151" s="56" t="str">
        <f aca="false">IF(AND(E1151&gt;=Settings!$B$4,F1151&gt;=Settings!$B$5,O1151&gt;=Settings!$B$6),"HIGH RATE","")</f>
        <v/>
      </c>
      <c r="Y1151" s="56" t="str">
        <f aca="false">IF(F1151&gt;0,RANK(F1151,$F$2:$F$1780)+COUNTIF($F$2:F1151,F1151)-1,"")</f>
        <v/>
      </c>
      <c r="Z1151" s="56" t="str">
        <f aca="false">IF(H1151&gt;0,RANK(H1151,$H$2:$H$1780)+COUNTIF($H$2:H1151,H1151)-1,"")</f>
        <v/>
      </c>
      <c r="AA1151" s="56" t="str">
        <f aca="false">IF(AC1151="","",RANK(AC1151,$AC$2:$AC$1780)+COUNTIF($AC$2:AC1151,AC1151)-1)</f>
        <v/>
      </c>
      <c r="AB1151" s="56" t="str">
        <f aca="false">IF(AD1151="","",RANK(AD1151,$AD$2:$AD$1780)+COUNTIF($AD$2:AD1151,AD1151)-1)</f>
        <v/>
      </c>
      <c r="AC1151" s="56" t="str">
        <f aca="false">IF(AND(F1151&gt;0,E1151&gt;=Settings!$B$4),J1151,"")</f>
        <v/>
      </c>
      <c r="AD1151" s="56" t="str">
        <f aca="false">IF(X1151="HIGH RATE",O1151,"")</f>
        <v/>
      </c>
    </row>
    <row r="1152" customFormat="false" ht="15" hidden="false" customHeight="false" outlineLevel="0" collapsed="false">
      <c r="A1152" s="56" t="s">
        <v>2519</v>
      </c>
      <c r="B1152" s="56" t="s">
        <v>2518</v>
      </c>
      <c r="C1152" s="56" t="s">
        <v>55</v>
      </c>
      <c r="D1152" s="56" t="str">
        <f aca="false">IFERROR(INDEX('Brand Map'!$B$4:$B$124,MATCH(C1152,'Brand Map'!$A$4:$A$124,0)),"Other")</f>
        <v>AUMJ</v>
      </c>
      <c r="E1152" s="57" t="n">
        <v>1</v>
      </c>
      <c r="F1152" s="57" t="n">
        <v>0</v>
      </c>
      <c r="G1152" s="58" t="n">
        <v>101.77</v>
      </c>
      <c r="H1152" s="58" t="n">
        <v>0</v>
      </c>
      <c r="I1152" s="58" t="n">
        <v>101.77</v>
      </c>
      <c r="J1152" s="32" t="n">
        <f aca="false">IF(E1152&gt;0,F1152/E1152,0)</f>
        <v>0</v>
      </c>
      <c r="K1152" s="32" t="n">
        <f aca="false">IF(G1152&gt;0,H1152/G1152,0)</f>
        <v>-0</v>
      </c>
      <c r="L1152" s="59" t="n">
        <f aca="false">H1152/Settings!$B$16</f>
        <v>-0</v>
      </c>
      <c r="M1152" s="59" t="n">
        <f aca="false">H1152/Settings!$B$20</f>
        <v>-0</v>
      </c>
      <c r="N1152" s="60" t="n">
        <f aca="false">E1152*Settings!$B$3</f>
        <v>0.0309861510798204</v>
      </c>
      <c r="O1152" s="60" t="n">
        <f aca="false">IF(E1152&gt;0,(F1152-N1152)/SQRT(E1152*Settings!$B$3*(1-Settings!$B$3)),0)</f>
        <v>-0.178821125934444</v>
      </c>
      <c r="P1152" s="60" t="n">
        <f aca="false">MAX(0,F1152-N1152)</f>
        <v>0</v>
      </c>
      <c r="Q1152" s="32" t="n">
        <f aca="false">(F1152+Settings!$B$7*Settings!$B$3)/(E1152+Settings!$B$7)</f>
        <v>0.0299865978191811</v>
      </c>
      <c r="R1152" s="61" t="n">
        <f aca="false">PERCENTRANK($H$2:$H$1780,H1152,6)</f>
        <v>0</v>
      </c>
      <c r="S1152" s="61" t="n">
        <f aca="false">PERCENTRANK($Q$2:$Q$1780,Q1152,6)</f>
        <v>0.486502</v>
      </c>
      <c r="T1152" s="61" t="n">
        <f aca="false">PERCENTRANK($F$2:$F$1780,F1152,6)</f>
        <v>0</v>
      </c>
      <c r="U1152" s="62" t="n">
        <f aca="false">IF(F1152&gt;0,(Settings!$B$8*T1152+Settings!$B$9*R1152+Settings!$B$10*S1152)/SUM(Settings!$B$8:$B$10),0)</f>
        <v>0</v>
      </c>
      <c r="V1152" s="56" t="str">
        <f aca="false">IF(U1152&gt;0,RANK(U1152,$U$2:$U$1780)+COUNTIF($U$2:U1152,U1152)-1,"")</f>
        <v/>
      </c>
      <c r="W1152" s="56" t="str">
        <f aca="false">IF(V1152="","",IF(V1152&lt;=Settings!$B$11,"1 - Fix first",IF(V1152&lt;=Settings!$B$12,"2 - Review","3 - Monitor")))</f>
        <v/>
      </c>
      <c r="X1152" s="56" t="str">
        <f aca="false">IF(AND(E1152&gt;=Settings!$B$4,F1152&gt;=Settings!$B$5,O1152&gt;=Settings!$B$6),"HIGH RATE","")</f>
        <v/>
      </c>
      <c r="Y1152" s="56" t="str">
        <f aca="false">IF(F1152&gt;0,RANK(F1152,$F$2:$F$1780)+COUNTIF($F$2:F1152,F1152)-1,"")</f>
        <v/>
      </c>
      <c r="Z1152" s="56" t="str">
        <f aca="false">IF(H1152&gt;0,RANK(H1152,$H$2:$H$1780)+COUNTIF($H$2:H1152,H1152)-1,"")</f>
        <v/>
      </c>
      <c r="AA1152" s="56" t="str">
        <f aca="false">IF(AC1152="","",RANK(AC1152,$AC$2:$AC$1780)+COUNTIF($AC$2:AC1152,AC1152)-1)</f>
        <v/>
      </c>
      <c r="AB1152" s="56" t="str">
        <f aca="false">IF(AD1152="","",RANK(AD1152,$AD$2:$AD$1780)+COUNTIF($AD$2:AD1152,AD1152)-1)</f>
        <v/>
      </c>
      <c r="AC1152" s="56" t="str">
        <f aca="false">IF(AND(F1152&gt;0,E1152&gt;=Settings!$B$4),J1152,"")</f>
        <v/>
      </c>
      <c r="AD1152" s="56" t="str">
        <f aca="false">IF(X1152="HIGH RATE",O1152,"")</f>
        <v/>
      </c>
    </row>
    <row r="1153" customFormat="false" ht="15" hidden="false" customHeight="false" outlineLevel="0" collapsed="false">
      <c r="A1153" s="56" t="s">
        <v>2520</v>
      </c>
      <c r="B1153" s="56" t="s">
        <v>2518</v>
      </c>
      <c r="C1153" s="56" t="s">
        <v>55</v>
      </c>
      <c r="D1153" s="56" t="str">
        <f aca="false">IFERROR(INDEX('Brand Map'!$B$4:$B$124,MATCH(C1153,'Brand Map'!$A$4:$A$124,0)),"Other")</f>
        <v>AUMJ</v>
      </c>
      <c r="E1153" s="57" t="n">
        <v>1</v>
      </c>
      <c r="F1153" s="57" t="n">
        <v>0</v>
      </c>
      <c r="G1153" s="58" t="n">
        <v>129.05</v>
      </c>
      <c r="H1153" s="58" t="n">
        <v>0</v>
      </c>
      <c r="I1153" s="58" t="n">
        <v>129.05</v>
      </c>
      <c r="J1153" s="32" t="n">
        <f aca="false">IF(E1153&gt;0,F1153/E1153,0)</f>
        <v>0</v>
      </c>
      <c r="K1153" s="32" t="n">
        <f aca="false">IF(G1153&gt;0,H1153/G1153,0)</f>
        <v>-0</v>
      </c>
      <c r="L1153" s="59" t="n">
        <f aca="false">H1153/Settings!$B$16</f>
        <v>-0</v>
      </c>
      <c r="M1153" s="59" t="n">
        <f aca="false">H1153/Settings!$B$20</f>
        <v>-0</v>
      </c>
      <c r="N1153" s="60" t="n">
        <f aca="false">E1153*Settings!$B$3</f>
        <v>0.0309861510798204</v>
      </c>
      <c r="O1153" s="60" t="n">
        <f aca="false">IF(E1153&gt;0,(F1153-N1153)/SQRT(E1153*Settings!$B$3*(1-Settings!$B$3)),0)</f>
        <v>-0.178821125934444</v>
      </c>
      <c r="P1153" s="60" t="n">
        <f aca="false">MAX(0,F1153-N1153)</f>
        <v>0</v>
      </c>
      <c r="Q1153" s="32" t="n">
        <f aca="false">(F1153+Settings!$B$7*Settings!$B$3)/(E1153+Settings!$B$7)</f>
        <v>0.0299865978191811</v>
      </c>
      <c r="R1153" s="61" t="n">
        <f aca="false">PERCENTRANK($H$2:$H$1780,H1153,6)</f>
        <v>0</v>
      </c>
      <c r="S1153" s="61" t="n">
        <f aca="false">PERCENTRANK($Q$2:$Q$1780,Q1153,6)</f>
        <v>0.486502</v>
      </c>
      <c r="T1153" s="61" t="n">
        <f aca="false">PERCENTRANK($F$2:$F$1780,F1153,6)</f>
        <v>0</v>
      </c>
      <c r="U1153" s="62" t="n">
        <f aca="false">IF(F1153&gt;0,(Settings!$B$8*T1153+Settings!$B$9*R1153+Settings!$B$10*S1153)/SUM(Settings!$B$8:$B$10),0)</f>
        <v>0</v>
      </c>
      <c r="V1153" s="56" t="str">
        <f aca="false">IF(U1153&gt;0,RANK(U1153,$U$2:$U$1780)+COUNTIF($U$2:U1153,U1153)-1,"")</f>
        <v/>
      </c>
      <c r="W1153" s="56" t="str">
        <f aca="false">IF(V1153="","",IF(V1153&lt;=Settings!$B$11,"1 - Fix first",IF(V1153&lt;=Settings!$B$12,"2 - Review","3 - Monitor")))</f>
        <v/>
      </c>
      <c r="X1153" s="56" t="str">
        <f aca="false">IF(AND(E1153&gt;=Settings!$B$4,F1153&gt;=Settings!$B$5,O1153&gt;=Settings!$B$6),"HIGH RATE","")</f>
        <v/>
      </c>
      <c r="Y1153" s="56" t="str">
        <f aca="false">IF(F1153&gt;0,RANK(F1153,$F$2:$F$1780)+COUNTIF($F$2:F1153,F1153)-1,"")</f>
        <v/>
      </c>
      <c r="Z1153" s="56" t="str">
        <f aca="false">IF(H1153&gt;0,RANK(H1153,$H$2:$H$1780)+COUNTIF($H$2:H1153,H1153)-1,"")</f>
        <v/>
      </c>
      <c r="AA1153" s="56" t="str">
        <f aca="false">IF(AC1153="","",RANK(AC1153,$AC$2:$AC$1780)+COUNTIF($AC$2:AC1153,AC1153)-1)</f>
        <v/>
      </c>
      <c r="AB1153" s="56" t="str">
        <f aca="false">IF(AD1153="","",RANK(AD1153,$AD$2:$AD$1780)+COUNTIF($AD$2:AD1153,AD1153)-1)</f>
        <v/>
      </c>
      <c r="AC1153" s="56" t="str">
        <f aca="false">IF(AND(F1153&gt;0,E1153&gt;=Settings!$B$4),J1153,"")</f>
        <v/>
      </c>
      <c r="AD1153" s="56" t="str">
        <f aca="false">IF(X1153="HIGH RATE",O1153,"")</f>
        <v/>
      </c>
    </row>
    <row r="1154" customFormat="false" ht="15" hidden="false" customHeight="false" outlineLevel="0" collapsed="false">
      <c r="A1154" s="56" t="s">
        <v>2521</v>
      </c>
      <c r="B1154" s="56" t="s">
        <v>906</v>
      </c>
      <c r="C1154" s="56" t="s">
        <v>55</v>
      </c>
      <c r="D1154" s="56" t="str">
        <f aca="false">IFERROR(INDEX('Brand Map'!$B$4:$B$124,MATCH(C1154,'Brand Map'!$A$4:$A$124,0)),"Other")</f>
        <v>AUMJ</v>
      </c>
      <c r="E1154" s="57" t="n">
        <v>2</v>
      </c>
      <c r="F1154" s="57" t="n">
        <v>0</v>
      </c>
      <c r="G1154" s="58" t="n">
        <v>231.9</v>
      </c>
      <c r="H1154" s="58" t="n">
        <v>0</v>
      </c>
      <c r="I1154" s="58" t="n">
        <v>231.9</v>
      </c>
      <c r="J1154" s="32" t="n">
        <f aca="false">IF(E1154&gt;0,F1154/E1154,0)</f>
        <v>0</v>
      </c>
      <c r="K1154" s="32" t="n">
        <f aca="false">IF(G1154&gt;0,H1154/G1154,0)</f>
        <v>-0</v>
      </c>
      <c r="L1154" s="59" t="n">
        <f aca="false">H1154/Settings!$B$16</f>
        <v>-0</v>
      </c>
      <c r="M1154" s="59" t="n">
        <f aca="false">H1154/Settings!$B$20</f>
        <v>-0</v>
      </c>
      <c r="N1154" s="60" t="n">
        <f aca="false">E1154*Settings!$B$3</f>
        <v>0.0619723021596408</v>
      </c>
      <c r="O1154" s="60" t="n">
        <f aca="false">IF(E1154&gt;0,(F1154-N1154)/SQRT(E1154*Settings!$B$3*(1-Settings!$B$3)),0)</f>
        <v>-0.252891261535318</v>
      </c>
      <c r="P1154" s="60" t="n">
        <f aca="false">MAX(0,F1154-N1154)</f>
        <v>0</v>
      </c>
      <c r="Q1154" s="32" t="n">
        <f aca="false">(F1154+Settings!$B$7*Settings!$B$3)/(E1154+Settings!$B$7)</f>
        <v>0.0290495166373316</v>
      </c>
      <c r="R1154" s="61" t="n">
        <f aca="false">PERCENTRANK($H$2:$H$1780,H1154,6)</f>
        <v>0</v>
      </c>
      <c r="S1154" s="61" t="n">
        <f aca="false">PERCENTRANK($Q$2:$Q$1780,Q1154,6)</f>
        <v>0.365579</v>
      </c>
      <c r="T1154" s="61" t="n">
        <f aca="false">PERCENTRANK($F$2:$F$1780,F1154,6)</f>
        <v>0</v>
      </c>
      <c r="U1154" s="62" t="n">
        <f aca="false">IF(F1154&gt;0,(Settings!$B$8*T1154+Settings!$B$9*R1154+Settings!$B$10*S1154)/SUM(Settings!$B$8:$B$10),0)</f>
        <v>0</v>
      </c>
      <c r="V1154" s="56" t="str">
        <f aca="false">IF(U1154&gt;0,RANK(U1154,$U$2:$U$1780)+COUNTIF($U$2:U1154,U1154)-1,"")</f>
        <v/>
      </c>
      <c r="W1154" s="56" t="str">
        <f aca="false">IF(V1154="","",IF(V1154&lt;=Settings!$B$11,"1 - Fix first",IF(V1154&lt;=Settings!$B$12,"2 - Review","3 - Monitor")))</f>
        <v/>
      </c>
      <c r="X1154" s="56" t="str">
        <f aca="false">IF(AND(E1154&gt;=Settings!$B$4,F1154&gt;=Settings!$B$5,O1154&gt;=Settings!$B$6),"HIGH RATE","")</f>
        <v/>
      </c>
      <c r="Y1154" s="56" t="str">
        <f aca="false">IF(F1154&gt;0,RANK(F1154,$F$2:$F$1780)+COUNTIF($F$2:F1154,F1154)-1,"")</f>
        <v/>
      </c>
      <c r="Z1154" s="56" t="str">
        <f aca="false">IF(H1154&gt;0,RANK(H1154,$H$2:$H$1780)+COUNTIF($H$2:H1154,H1154)-1,"")</f>
        <v/>
      </c>
      <c r="AA1154" s="56" t="str">
        <f aca="false">IF(AC1154="","",RANK(AC1154,$AC$2:$AC$1780)+COUNTIF($AC$2:AC1154,AC1154)-1)</f>
        <v/>
      </c>
      <c r="AB1154" s="56" t="str">
        <f aca="false">IF(AD1154="","",RANK(AD1154,$AD$2:$AD$1780)+COUNTIF($AD$2:AD1154,AD1154)-1)</f>
        <v/>
      </c>
      <c r="AC1154" s="56" t="str">
        <f aca="false">IF(AND(F1154&gt;0,E1154&gt;=Settings!$B$4),J1154,"")</f>
        <v/>
      </c>
      <c r="AD1154" s="56" t="str">
        <f aca="false">IF(X1154="HIGH RATE",O1154,"")</f>
        <v/>
      </c>
    </row>
    <row r="1155" customFormat="false" ht="15" hidden="false" customHeight="false" outlineLevel="0" collapsed="false">
      <c r="A1155" s="56" t="s">
        <v>2522</v>
      </c>
      <c r="B1155" s="56" t="s">
        <v>906</v>
      </c>
      <c r="C1155" s="56" t="s">
        <v>55</v>
      </c>
      <c r="D1155" s="56" t="str">
        <f aca="false">IFERROR(INDEX('Brand Map'!$B$4:$B$124,MATCH(C1155,'Brand Map'!$A$4:$A$124,0)),"Other")</f>
        <v>AUMJ</v>
      </c>
      <c r="E1155" s="57" t="n">
        <v>1</v>
      </c>
      <c r="F1155" s="57" t="n">
        <v>0</v>
      </c>
      <c r="G1155" s="58" t="n">
        <v>130.95</v>
      </c>
      <c r="H1155" s="58" t="n">
        <v>0</v>
      </c>
      <c r="I1155" s="58" t="n">
        <v>130.95</v>
      </c>
      <c r="J1155" s="32" t="n">
        <f aca="false">IF(E1155&gt;0,F1155/E1155,0)</f>
        <v>0</v>
      </c>
      <c r="K1155" s="32" t="n">
        <f aca="false">IF(G1155&gt;0,H1155/G1155,0)</f>
        <v>-0</v>
      </c>
      <c r="L1155" s="59" t="n">
        <f aca="false">H1155/Settings!$B$16</f>
        <v>-0</v>
      </c>
      <c r="M1155" s="59" t="n">
        <f aca="false">H1155/Settings!$B$20</f>
        <v>-0</v>
      </c>
      <c r="N1155" s="60" t="n">
        <f aca="false">E1155*Settings!$B$3</f>
        <v>0.0309861510798204</v>
      </c>
      <c r="O1155" s="60" t="n">
        <f aca="false">IF(E1155&gt;0,(F1155-N1155)/SQRT(E1155*Settings!$B$3*(1-Settings!$B$3)),0)</f>
        <v>-0.178821125934444</v>
      </c>
      <c r="P1155" s="60" t="n">
        <f aca="false">MAX(0,F1155-N1155)</f>
        <v>0</v>
      </c>
      <c r="Q1155" s="32" t="n">
        <f aca="false">(F1155+Settings!$B$7*Settings!$B$3)/(E1155+Settings!$B$7)</f>
        <v>0.0299865978191811</v>
      </c>
      <c r="R1155" s="61" t="n">
        <f aca="false">PERCENTRANK($H$2:$H$1780,H1155,6)</f>
        <v>0</v>
      </c>
      <c r="S1155" s="61" t="n">
        <f aca="false">PERCENTRANK($Q$2:$Q$1780,Q1155,6)</f>
        <v>0.486502</v>
      </c>
      <c r="T1155" s="61" t="n">
        <f aca="false">PERCENTRANK($F$2:$F$1780,F1155,6)</f>
        <v>0</v>
      </c>
      <c r="U1155" s="62" t="n">
        <f aca="false">IF(F1155&gt;0,(Settings!$B$8*T1155+Settings!$B$9*R1155+Settings!$B$10*S1155)/SUM(Settings!$B$8:$B$10),0)</f>
        <v>0</v>
      </c>
      <c r="V1155" s="56" t="str">
        <f aca="false">IF(U1155&gt;0,RANK(U1155,$U$2:$U$1780)+COUNTIF($U$2:U1155,U1155)-1,"")</f>
        <v/>
      </c>
      <c r="W1155" s="56" t="str">
        <f aca="false">IF(V1155="","",IF(V1155&lt;=Settings!$B$11,"1 - Fix first",IF(V1155&lt;=Settings!$B$12,"2 - Review","3 - Monitor")))</f>
        <v/>
      </c>
      <c r="X1155" s="56" t="str">
        <f aca="false">IF(AND(E1155&gt;=Settings!$B$4,F1155&gt;=Settings!$B$5,O1155&gt;=Settings!$B$6),"HIGH RATE","")</f>
        <v/>
      </c>
      <c r="Y1155" s="56" t="str">
        <f aca="false">IF(F1155&gt;0,RANK(F1155,$F$2:$F$1780)+COUNTIF($F$2:F1155,F1155)-1,"")</f>
        <v/>
      </c>
      <c r="Z1155" s="56" t="str">
        <f aca="false">IF(H1155&gt;0,RANK(H1155,$H$2:$H$1780)+COUNTIF($H$2:H1155,H1155)-1,"")</f>
        <v/>
      </c>
      <c r="AA1155" s="56" t="str">
        <f aca="false">IF(AC1155="","",RANK(AC1155,$AC$2:$AC$1780)+COUNTIF($AC$2:AC1155,AC1155)-1)</f>
        <v/>
      </c>
      <c r="AB1155" s="56" t="str">
        <f aca="false">IF(AD1155="","",RANK(AD1155,$AD$2:$AD$1780)+COUNTIF($AD$2:AD1155,AD1155)-1)</f>
        <v/>
      </c>
      <c r="AC1155" s="56" t="str">
        <f aca="false">IF(AND(F1155&gt;0,E1155&gt;=Settings!$B$4),J1155,"")</f>
        <v/>
      </c>
      <c r="AD1155" s="56" t="str">
        <f aca="false">IF(X1155="HIGH RATE",O1155,"")</f>
        <v/>
      </c>
    </row>
    <row r="1156" customFormat="false" ht="15" hidden="false" customHeight="false" outlineLevel="0" collapsed="false">
      <c r="A1156" s="56" t="s">
        <v>2523</v>
      </c>
      <c r="B1156" s="56" t="s">
        <v>906</v>
      </c>
      <c r="C1156" s="56" t="s">
        <v>55</v>
      </c>
      <c r="D1156" s="56" t="str">
        <f aca="false">IFERROR(INDEX('Brand Map'!$B$4:$B$124,MATCH(C1156,'Brand Map'!$A$4:$A$124,0)),"Other")</f>
        <v>AUMJ</v>
      </c>
      <c r="E1156" s="57" t="n">
        <v>1</v>
      </c>
      <c r="F1156" s="57" t="n">
        <v>0</v>
      </c>
      <c r="G1156" s="58" t="n">
        <v>145.95</v>
      </c>
      <c r="H1156" s="58" t="n">
        <v>0</v>
      </c>
      <c r="I1156" s="58" t="n">
        <v>145.95</v>
      </c>
      <c r="J1156" s="32" t="n">
        <f aca="false">IF(E1156&gt;0,F1156/E1156,0)</f>
        <v>0</v>
      </c>
      <c r="K1156" s="32" t="n">
        <f aca="false">IF(G1156&gt;0,H1156/G1156,0)</f>
        <v>-0</v>
      </c>
      <c r="L1156" s="59" t="n">
        <f aca="false">H1156/Settings!$B$16</f>
        <v>-0</v>
      </c>
      <c r="M1156" s="59" t="n">
        <f aca="false">H1156/Settings!$B$20</f>
        <v>-0</v>
      </c>
      <c r="N1156" s="60" t="n">
        <f aca="false">E1156*Settings!$B$3</f>
        <v>0.0309861510798204</v>
      </c>
      <c r="O1156" s="60" t="n">
        <f aca="false">IF(E1156&gt;0,(F1156-N1156)/SQRT(E1156*Settings!$B$3*(1-Settings!$B$3)),0)</f>
        <v>-0.178821125934444</v>
      </c>
      <c r="P1156" s="60" t="n">
        <f aca="false">MAX(0,F1156-N1156)</f>
        <v>0</v>
      </c>
      <c r="Q1156" s="32" t="n">
        <f aca="false">(F1156+Settings!$B$7*Settings!$B$3)/(E1156+Settings!$B$7)</f>
        <v>0.0299865978191811</v>
      </c>
      <c r="R1156" s="61" t="n">
        <f aca="false">PERCENTRANK($H$2:$H$1780,H1156,6)</f>
        <v>0</v>
      </c>
      <c r="S1156" s="61" t="n">
        <f aca="false">PERCENTRANK($Q$2:$Q$1780,Q1156,6)</f>
        <v>0.486502</v>
      </c>
      <c r="T1156" s="61" t="n">
        <f aca="false">PERCENTRANK($F$2:$F$1780,F1156,6)</f>
        <v>0</v>
      </c>
      <c r="U1156" s="62" t="n">
        <f aca="false">IF(F1156&gt;0,(Settings!$B$8*T1156+Settings!$B$9*R1156+Settings!$B$10*S1156)/SUM(Settings!$B$8:$B$10),0)</f>
        <v>0</v>
      </c>
      <c r="V1156" s="56" t="str">
        <f aca="false">IF(U1156&gt;0,RANK(U1156,$U$2:$U$1780)+COUNTIF($U$2:U1156,U1156)-1,"")</f>
        <v/>
      </c>
      <c r="W1156" s="56" t="str">
        <f aca="false">IF(V1156="","",IF(V1156&lt;=Settings!$B$11,"1 - Fix first",IF(V1156&lt;=Settings!$B$12,"2 - Review","3 - Monitor")))</f>
        <v/>
      </c>
      <c r="X1156" s="56" t="str">
        <f aca="false">IF(AND(E1156&gt;=Settings!$B$4,F1156&gt;=Settings!$B$5,O1156&gt;=Settings!$B$6),"HIGH RATE","")</f>
        <v/>
      </c>
      <c r="Y1156" s="56" t="str">
        <f aca="false">IF(F1156&gt;0,RANK(F1156,$F$2:$F$1780)+COUNTIF($F$2:F1156,F1156)-1,"")</f>
        <v/>
      </c>
      <c r="Z1156" s="56" t="str">
        <f aca="false">IF(H1156&gt;0,RANK(H1156,$H$2:$H$1780)+COUNTIF($H$2:H1156,H1156)-1,"")</f>
        <v/>
      </c>
      <c r="AA1156" s="56" t="str">
        <f aca="false">IF(AC1156="","",RANK(AC1156,$AC$2:$AC$1780)+COUNTIF($AC$2:AC1156,AC1156)-1)</f>
        <v/>
      </c>
      <c r="AB1156" s="56" t="str">
        <f aca="false">IF(AD1156="","",RANK(AD1156,$AD$2:$AD$1780)+COUNTIF($AD$2:AD1156,AD1156)-1)</f>
        <v/>
      </c>
      <c r="AC1156" s="56" t="str">
        <f aca="false">IF(AND(F1156&gt;0,E1156&gt;=Settings!$B$4),J1156,"")</f>
        <v/>
      </c>
      <c r="AD1156" s="56" t="str">
        <f aca="false">IF(X1156="HIGH RATE",O1156,"")</f>
        <v/>
      </c>
    </row>
    <row r="1157" customFormat="false" ht="15" hidden="false" customHeight="false" outlineLevel="0" collapsed="false">
      <c r="A1157" s="56" t="s">
        <v>2524</v>
      </c>
      <c r="B1157" s="56" t="s">
        <v>906</v>
      </c>
      <c r="C1157" s="56" t="s">
        <v>55</v>
      </c>
      <c r="D1157" s="56" t="str">
        <f aca="false">IFERROR(INDEX('Brand Map'!$B$4:$B$124,MATCH(C1157,'Brand Map'!$A$4:$A$124,0)),"Other")</f>
        <v>AUMJ</v>
      </c>
      <c r="E1157" s="57" t="n">
        <v>4</v>
      </c>
      <c r="F1157" s="57" t="n">
        <v>0</v>
      </c>
      <c r="G1157" s="58" t="n">
        <v>329.08</v>
      </c>
      <c r="H1157" s="58" t="n">
        <v>0</v>
      </c>
      <c r="I1157" s="58" t="n">
        <v>329.08</v>
      </c>
      <c r="J1157" s="32" t="n">
        <f aca="false">IF(E1157&gt;0,F1157/E1157,0)</f>
        <v>0</v>
      </c>
      <c r="K1157" s="32" t="n">
        <f aca="false">IF(G1157&gt;0,H1157/G1157,0)</f>
        <v>-0</v>
      </c>
      <c r="L1157" s="59" t="n">
        <f aca="false">H1157/Settings!$B$16</f>
        <v>-0</v>
      </c>
      <c r="M1157" s="59" t="n">
        <f aca="false">H1157/Settings!$B$20</f>
        <v>-0</v>
      </c>
      <c r="N1157" s="60" t="n">
        <f aca="false">E1157*Settings!$B$3</f>
        <v>0.123944604319282</v>
      </c>
      <c r="O1157" s="60" t="n">
        <f aca="false">IF(E1157&gt;0,(F1157-N1157)/SQRT(E1157*Settings!$B$3*(1-Settings!$B$3)),0)</f>
        <v>-0.357642251868888</v>
      </c>
      <c r="P1157" s="60" t="n">
        <f aca="false">MAX(0,F1157-N1157)</f>
        <v>0</v>
      </c>
      <c r="Q1157" s="32" t="n">
        <f aca="false">(F1157+Settings!$B$7*Settings!$B$3)/(E1157+Settings!$B$7)</f>
        <v>0.027340721541018</v>
      </c>
      <c r="R1157" s="61" t="n">
        <f aca="false">PERCENTRANK($H$2:$H$1780,H1157,6)</f>
        <v>0</v>
      </c>
      <c r="S1157" s="61" t="n">
        <f aca="false">PERCENTRANK($Q$2:$Q$1780,Q1157,6)</f>
        <v>0.253656</v>
      </c>
      <c r="T1157" s="61" t="n">
        <f aca="false">PERCENTRANK($F$2:$F$1780,F1157,6)</f>
        <v>0</v>
      </c>
      <c r="U1157" s="62" t="n">
        <f aca="false">IF(F1157&gt;0,(Settings!$B$8*T1157+Settings!$B$9*R1157+Settings!$B$10*S1157)/SUM(Settings!$B$8:$B$10),0)</f>
        <v>0</v>
      </c>
      <c r="V1157" s="56" t="str">
        <f aca="false">IF(U1157&gt;0,RANK(U1157,$U$2:$U$1780)+COUNTIF($U$2:U1157,U1157)-1,"")</f>
        <v/>
      </c>
      <c r="W1157" s="56" t="str">
        <f aca="false">IF(V1157="","",IF(V1157&lt;=Settings!$B$11,"1 - Fix first",IF(V1157&lt;=Settings!$B$12,"2 - Review","3 - Monitor")))</f>
        <v/>
      </c>
      <c r="X1157" s="56" t="str">
        <f aca="false">IF(AND(E1157&gt;=Settings!$B$4,F1157&gt;=Settings!$B$5,O1157&gt;=Settings!$B$6),"HIGH RATE","")</f>
        <v/>
      </c>
      <c r="Y1157" s="56" t="str">
        <f aca="false">IF(F1157&gt;0,RANK(F1157,$F$2:$F$1780)+COUNTIF($F$2:F1157,F1157)-1,"")</f>
        <v/>
      </c>
      <c r="Z1157" s="56" t="str">
        <f aca="false">IF(H1157&gt;0,RANK(H1157,$H$2:$H$1780)+COUNTIF($H$2:H1157,H1157)-1,"")</f>
        <v/>
      </c>
      <c r="AA1157" s="56" t="str">
        <f aca="false">IF(AC1157="","",RANK(AC1157,$AC$2:$AC$1780)+COUNTIF($AC$2:AC1157,AC1157)-1)</f>
        <v/>
      </c>
      <c r="AB1157" s="56" t="str">
        <f aca="false">IF(AD1157="","",RANK(AD1157,$AD$2:$AD$1780)+COUNTIF($AD$2:AD1157,AD1157)-1)</f>
        <v/>
      </c>
      <c r="AC1157" s="56" t="str">
        <f aca="false">IF(AND(F1157&gt;0,E1157&gt;=Settings!$B$4),J1157,"")</f>
        <v/>
      </c>
      <c r="AD1157" s="56" t="str">
        <f aca="false">IF(X1157="HIGH RATE",O1157,"")</f>
        <v/>
      </c>
    </row>
    <row r="1158" customFormat="false" ht="15" hidden="false" customHeight="false" outlineLevel="0" collapsed="false">
      <c r="A1158" s="56" t="s">
        <v>2525</v>
      </c>
      <c r="B1158" s="56" t="s">
        <v>906</v>
      </c>
      <c r="C1158" s="56" t="s">
        <v>55</v>
      </c>
      <c r="D1158" s="56" t="str">
        <f aca="false">IFERROR(INDEX('Brand Map'!$B$4:$B$124,MATCH(C1158,'Brand Map'!$A$4:$A$124,0)),"Other")</f>
        <v>AUMJ</v>
      </c>
      <c r="E1158" s="57" t="n">
        <v>1</v>
      </c>
      <c r="F1158" s="57" t="n">
        <v>0</v>
      </c>
      <c r="G1158" s="58" t="n">
        <v>86.31</v>
      </c>
      <c r="H1158" s="58" t="n">
        <v>0</v>
      </c>
      <c r="I1158" s="58" t="n">
        <v>73.37</v>
      </c>
      <c r="J1158" s="32" t="n">
        <f aca="false">IF(E1158&gt;0,F1158/E1158,0)</f>
        <v>0</v>
      </c>
      <c r="K1158" s="32" t="n">
        <f aca="false">IF(G1158&gt;0,H1158/G1158,0)</f>
        <v>-0</v>
      </c>
      <c r="L1158" s="59" t="n">
        <f aca="false">H1158/Settings!$B$16</f>
        <v>-0</v>
      </c>
      <c r="M1158" s="59" t="n">
        <f aca="false">H1158/Settings!$B$20</f>
        <v>-0</v>
      </c>
      <c r="N1158" s="60" t="n">
        <f aca="false">E1158*Settings!$B$3</f>
        <v>0.0309861510798204</v>
      </c>
      <c r="O1158" s="60" t="n">
        <f aca="false">IF(E1158&gt;0,(F1158-N1158)/SQRT(E1158*Settings!$B$3*(1-Settings!$B$3)),0)</f>
        <v>-0.178821125934444</v>
      </c>
      <c r="P1158" s="60" t="n">
        <f aca="false">MAX(0,F1158-N1158)</f>
        <v>0</v>
      </c>
      <c r="Q1158" s="32" t="n">
        <f aca="false">(F1158+Settings!$B$7*Settings!$B$3)/(E1158+Settings!$B$7)</f>
        <v>0.0299865978191811</v>
      </c>
      <c r="R1158" s="61" t="n">
        <f aca="false">PERCENTRANK($H$2:$H$1780,H1158,6)</f>
        <v>0</v>
      </c>
      <c r="S1158" s="61" t="n">
        <f aca="false">PERCENTRANK($Q$2:$Q$1780,Q1158,6)</f>
        <v>0.486502</v>
      </c>
      <c r="T1158" s="61" t="n">
        <f aca="false">PERCENTRANK($F$2:$F$1780,F1158,6)</f>
        <v>0</v>
      </c>
      <c r="U1158" s="62" t="n">
        <f aca="false">IF(F1158&gt;0,(Settings!$B$8*T1158+Settings!$B$9*R1158+Settings!$B$10*S1158)/SUM(Settings!$B$8:$B$10),0)</f>
        <v>0</v>
      </c>
      <c r="V1158" s="56" t="str">
        <f aca="false">IF(U1158&gt;0,RANK(U1158,$U$2:$U$1780)+COUNTIF($U$2:U1158,U1158)-1,"")</f>
        <v/>
      </c>
      <c r="W1158" s="56" t="str">
        <f aca="false">IF(V1158="","",IF(V1158&lt;=Settings!$B$11,"1 - Fix first",IF(V1158&lt;=Settings!$B$12,"2 - Review","3 - Monitor")))</f>
        <v/>
      </c>
      <c r="X1158" s="56" t="str">
        <f aca="false">IF(AND(E1158&gt;=Settings!$B$4,F1158&gt;=Settings!$B$5,O1158&gt;=Settings!$B$6),"HIGH RATE","")</f>
        <v/>
      </c>
      <c r="Y1158" s="56" t="str">
        <f aca="false">IF(F1158&gt;0,RANK(F1158,$F$2:$F$1780)+COUNTIF($F$2:F1158,F1158)-1,"")</f>
        <v/>
      </c>
      <c r="Z1158" s="56" t="str">
        <f aca="false">IF(H1158&gt;0,RANK(H1158,$H$2:$H$1780)+COUNTIF($H$2:H1158,H1158)-1,"")</f>
        <v/>
      </c>
      <c r="AA1158" s="56" t="str">
        <f aca="false">IF(AC1158="","",RANK(AC1158,$AC$2:$AC$1780)+COUNTIF($AC$2:AC1158,AC1158)-1)</f>
        <v/>
      </c>
      <c r="AB1158" s="56" t="str">
        <f aca="false">IF(AD1158="","",RANK(AD1158,$AD$2:$AD$1780)+COUNTIF($AD$2:AD1158,AD1158)-1)</f>
        <v/>
      </c>
      <c r="AC1158" s="56" t="str">
        <f aca="false">IF(AND(F1158&gt;0,E1158&gt;=Settings!$B$4),J1158,"")</f>
        <v/>
      </c>
      <c r="AD1158" s="56" t="str">
        <f aca="false">IF(X1158="HIGH RATE",O1158,"")</f>
        <v/>
      </c>
    </row>
    <row r="1159" customFormat="false" ht="15" hidden="false" customHeight="false" outlineLevel="0" collapsed="false">
      <c r="A1159" s="56" t="s">
        <v>2526</v>
      </c>
      <c r="B1159" s="56" t="s">
        <v>881</v>
      </c>
      <c r="C1159" s="56" t="s">
        <v>55</v>
      </c>
      <c r="D1159" s="56" t="str">
        <f aca="false">IFERROR(INDEX('Brand Map'!$B$4:$B$124,MATCH(C1159,'Brand Map'!$A$4:$A$124,0)),"Other")</f>
        <v>AUMJ</v>
      </c>
      <c r="E1159" s="57" t="n">
        <v>1</v>
      </c>
      <c r="F1159" s="57" t="n">
        <v>0</v>
      </c>
      <c r="G1159" s="58" t="n">
        <v>63.59</v>
      </c>
      <c r="H1159" s="58" t="n">
        <v>0</v>
      </c>
      <c r="I1159" s="58" t="n">
        <v>63.59</v>
      </c>
      <c r="J1159" s="32" t="n">
        <f aca="false">IF(E1159&gt;0,F1159/E1159,0)</f>
        <v>0</v>
      </c>
      <c r="K1159" s="32" t="n">
        <f aca="false">IF(G1159&gt;0,H1159/G1159,0)</f>
        <v>-0</v>
      </c>
      <c r="L1159" s="59" t="n">
        <f aca="false">H1159/Settings!$B$16</f>
        <v>-0</v>
      </c>
      <c r="M1159" s="59" t="n">
        <f aca="false">H1159/Settings!$B$20</f>
        <v>-0</v>
      </c>
      <c r="N1159" s="60" t="n">
        <f aca="false">E1159*Settings!$B$3</f>
        <v>0.0309861510798204</v>
      </c>
      <c r="O1159" s="60" t="n">
        <f aca="false">IF(E1159&gt;0,(F1159-N1159)/SQRT(E1159*Settings!$B$3*(1-Settings!$B$3)),0)</f>
        <v>-0.178821125934444</v>
      </c>
      <c r="P1159" s="60" t="n">
        <f aca="false">MAX(0,F1159-N1159)</f>
        <v>0</v>
      </c>
      <c r="Q1159" s="32" t="n">
        <f aca="false">(F1159+Settings!$B$7*Settings!$B$3)/(E1159+Settings!$B$7)</f>
        <v>0.0299865978191811</v>
      </c>
      <c r="R1159" s="61" t="n">
        <f aca="false">PERCENTRANK($H$2:$H$1780,H1159,6)</f>
        <v>0</v>
      </c>
      <c r="S1159" s="61" t="n">
        <f aca="false">PERCENTRANK($Q$2:$Q$1780,Q1159,6)</f>
        <v>0.486502</v>
      </c>
      <c r="T1159" s="61" t="n">
        <f aca="false">PERCENTRANK($F$2:$F$1780,F1159,6)</f>
        <v>0</v>
      </c>
      <c r="U1159" s="62" t="n">
        <f aca="false">IF(F1159&gt;0,(Settings!$B$8*T1159+Settings!$B$9*R1159+Settings!$B$10*S1159)/SUM(Settings!$B$8:$B$10),0)</f>
        <v>0</v>
      </c>
      <c r="V1159" s="56" t="str">
        <f aca="false">IF(U1159&gt;0,RANK(U1159,$U$2:$U$1780)+COUNTIF($U$2:U1159,U1159)-1,"")</f>
        <v/>
      </c>
      <c r="W1159" s="56" t="str">
        <f aca="false">IF(V1159="","",IF(V1159&lt;=Settings!$B$11,"1 - Fix first",IF(V1159&lt;=Settings!$B$12,"2 - Review","3 - Monitor")))</f>
        <v/>
      </c>
      <c r="X1159" s="56" t="str">
        <f aca="false">IF(AND(E1159&gt;=Settings!$B$4,F1159&gt;=Settings!$B$5,O1159&gt;=Settings!$B$6),"HIGH RATE","")</f>
        <v/>
      </c>
      <c r="Y1159" s="56" t="str">
        <f aca="false">IF(F1159&gt;0,RANK(F1159,$F$2:$F$1780)+COUNTIF($F$2:F1159,F1159)-1,"")</f>
        <v/>
      </c>
      <c r="Z1159" s="56" t="str">
        <f aca="false">IF(H1159&gt;0,RANK(H1159,$H$2:$H$1780)+COUNTIF($H$2:H1159,H1159)-1,"")</f>
        <v/>
      </c>
      <c r="AA1159" s="56" t="str">
        <f aca="false">IF(AC1159="","",RANK(AC1159,$AC$2:$AC$1780)+COUNTIF($AC$2:AC1159,AC1159)-1)</f>
        <v/>
      </c>
      <c r="AB1159" s="56" t="str">
        <f aca="false">IF(AD1159="","",RANK(AD1159,$AD$2:$AD$1780)+COUNTIF($AD$2:AD1159,AD1159)-1)</f>
        <v/>
      </c>
      <c r="AC1159" s="56" t="str">
        <f aca="false">IF(AND(F1159&gt;0,E1159&gt;=Settings!$B$4),J1159,"")</f>
        <v/>
      </c>
      <c r="AD1159" s="56" t="str">
        <f aca="false">IF(X1159="HIGH RATE",O1159,"")</f>
        <v/>
      </c>
    </row>
    <row r="1160" customFormat="false" ht="15" hidden="false" customHeight="false" outlineLevel="0" collapsed="false">
      <c r="A1160" s="56" t="s">
        <v>2527</v>
      </c>
      <c r="B1160" s="56" t="s">
        <v>881</v>
      </c>
      <c r="C1160" s="56" t="s">
        <v>55</v>
      </c>
      <c r="D1160" s="56" t="str">
        <f aca="false">IFERROR(INDEX('Brand Map'!$B$4:$B$124,MATCH(C1160,'Brand Map'!$A$4:$A$124,0)),"Other")</f>
        <v>AUMJ</v>
      </c>
      <c r="E1160" s="57" t="n">
        <v>2</v>
      </c>
      <c r="F1160" s="57" t="n">
        <v>0</v>
      </c>
      <c r="G1160" s="58" t="n">
        <v>163.54</v>
      </c>
      <c r="H1160" s="58" t="n">
        <v>0</v>
      </c>
      <c r="I1160" s="58" t="n">
        <v>151.29</v>
      </c>
      <c r="J1160" s="32" t="n">
        <f aca="false">IF(E1160&gt;0,F1160/E1160,0)</f>
        <v>0</v>
      </c>
      <c r="K1160" s="32" t="n">
        <f aca="false">IF(G1160&gt;0,H1160/G1160,0)</f>
        <v>-0</v>
      </c>
      <c r="L1160" s="59" t="n">
        <f aca="false">H1160/Settings!$B$16</f>
        <v>-0</v>
      </c>
      <c r="M1160" s="59" t="n">
        <f aca="false">H1160/Settings!$B$20</f>
        <v>-0</v>
      </c>
      <c r="N1160" s="60" t="n">
        <f aca="false">E1160*Settings!$B$3</f>
        <v>0.0619723021596408</v>
      </c>
      <c r="O1160" s="60" t="n">
        <f aca="false">IF(E1160&gt;0,(F1160-N1160)/SQRT(E1160*Settings!$B$3*(1-Settings!$B$3)),0)</f>
        <v>-0.252891261535318</v>
      </c>
      <c r="P1160" s="60" t="n">
        <f aca="false">MAX(0,F1160-N1160)</f>
        <v>0</v>
      </c>
      <c r="Q1160" s="32" t="n">
        <f aca="false">(F1160+Settings!$B$7*Settings!$B$3)/(E1160+Settings!$B$7)</f>
        <v>0.0290495166373316</v>
      </c>
      <c r="R1160" s="61" t="n">
        <f aca="false">PERCENTRANK($H$2:$H$1780,H1160,6)</f>
        <v>0</v>
      </c>
      <c r="S1160" s="61" t="n">
        <f aca="false">PERCENTRANK($Q$2:$Q$1780,Q1160,6)</f>
        <v>0.365579</v>
      </c>
      <c r="T1160" s="61" t="n">
        <f aca="false">PERCENTRANK($F$2:$F$1780,F1160,6)</f>
        <v>0</v>
      </c>
      <c r="U1160" s="62" t="n">
        <f aca="false">IF(F1160&gt;0,(Settings!$B$8*T1160+Settings!$B$9*R1160+Settings!$B$10*S1160)/SUM(Settings!$B$8:$B$10),0)</f>
        <v>0</v>
      </c>
      <c r="V1160" s="56" t="str">
        <f aca="false">IF(U1160&gt;0,RANK(U1160,$U$2:$U$1780)+COUNTIF($U$2:U1160,U1160)-1,"")</f>
        <v/>
      </c>
      <c r="W1160" s="56" t="str">
        <f aca="false">IF(V1160="","",IF(V1160&lt;=Settings!$B$11,"1 - Fix first",IF(V1160&lt;=Settings!$B$12,"2 - Review","3 - Monitor")))</f>
        <v/>
      </c>
      <c r="X1160" s="56" t="str">
        <f aca="false">IF(AND(E1160&gt;=Settings!$B$4,F1160&gt;=Settings!$B$5,O1160&gt;=Settings!$B$6),"HIGH RATE","")</f>
        <v/>
      </c>
      <c r="Y1160" s="56" t="str">
        <f aca="false">IF(F1160&gt;0,RANK(F1160,$F$2:$F$1780)+COUNTIF($F$2:F1160,F1160)-1,"")</f>
        <v/>
      </c>
      <c r="Z1160" s="56" t="str">
        <f aca="false">IF(H1160&gt;0,RANK(H1160,$H$2:$H$1780)+COUNTIF($H$2:H1160,H1160)-1,"")</f>
        <v/>
      </c>
      <c r="AA1160" s="56" t="str">
        <f aca="false">IF(AC1160="","",RANK(AC1160,$AC$2:$AC$1780)+COUNTIF($AC$2:AC1160,AC1160)-1)</f>
        <v/>
      </c>
      <c r="AB1160" s="56" t="str">
        <f aca="false">IF(AD1160="","",RANK(AD1160,$AD$2:$AD$1780)+COUNTIF($AD$2:AD1160,AD1160)-1)</f>
        <v/>
      </c>
      <c r="AC1160" s="56" t="str">
        <f aca="false">IF(AND(F1160&gt;0,E1160&gt;=Settings!$B$4),J1160,"")</f>
        <v/>
      </c>
      <c r="AD1160" s="56" t="str">
        <f aca="false">IF(X1160="HIGH RATE",O1160,"")</f>
        <v/>
      </c>
    </row>
    <row r="1161" customFormat="false" ht="15" hidden="false" customHeight="false" outlineLevel="0" collapsed="false">
      <c r="A1161" s="56" t="s">
        <v>2528</v>
      </c>
      <c r="B1161" s="56" t="s">
        <v>881</v>
      </c>
      <c r="C1161" s="56" t="s">
        <v>55</v>
      </c>
      <c r="D1161" s="56" t="str">
        <f aca="false">IFERROR(INDEX('Brand Map'!$B$4:$B$124,MATCH(C1161,'Brand Map'!$A$4:$A$124,0)),"Other")</f>
        <v>AUMJ</v>
      </c>
      <c r="E1161" s="57" t="n">
        <v>2</v>
      </c>
      <c r="F1161" s="57" t="n">
        <v>0</v>
      </c>
      <c r="G1161" s="58" t="n">
        <v>145.36</v>
      </c>
      <c r="H1161" s="58" t="n">
        <v>0</v>
      </c>
      <c r="I1161" s="58" t="n">
        <v>130.83</v>
      </c>
      <c r="J1161" s="32" t="n">
        <f aca="false">IF(E1161&gt;0,F1161/E1161,0)</f>
        <v>0</v>
      </c>
      <c r="K1161" s="32" t="n">
        <f aca="false">IF(G1161&gt;0,H1161/G1161,0)</f>
        <v>-0</v>
      </c>
      <c r="L1161" s="59" t="n">
        <f aca="false">H1161/Settings!$B$16</f>
        <v>-0</v>
      </c>
      <c r="M1161" s="59" t="n">
        <f aca="false">H1161/Settings!$B$20</f>
        <v>-0</v>
      </c>
      <c r="N1161" s="60" t="n">
        <f aca="false">E1161*Settings!$B$3</f>
        <v>0.0619723021596408</v>
      </c>
      <c r="O1161" s="60" t="n">
        <f aca="false">IF(E1161&gt;0,(F1161-N1161)/SQRT(E1161*Settings!$B$3*(1-Settings!$B$3)),0)</f>
        <v>-0.252891261535318</v>
      </c>
      <c r="P1161" s="60" t="n">
        <f aca="false">MAX(0,F1161-N1161)</f>
        <v>0</v>
      </c>
      <c r="Q1161" s="32" t="n">
        <f aca="false">(F1161+Settings!$B$7*Settings!$B$3)/(E1161+Settings!$B$7)</f>
        <v>0.0290495166373316</v>
      </c>
      <c r="R1161" s="61" t="n">
        <f aca="false">PERCENTRANK($H$2:$H$1780,H1161,6)</f>
        <v>0</v>
      </c>
      <c r="S1161" s="61" t="n">
        <f aca="false">PERCENTRANK($Q$2:$Q$1780,Q1161,6)</f>
        <v>0.365579</v>
      </c>
      <c r="T1161" s="61" t="n">
        <f aca="false">PERCENTRANK($F$2:$F$1780,F1161,6)</f>
        <v>0</v>
      </c>
      <c r="U1161" s="62" t="n">
        <f aca="false">IF(F1161&gt;0,(Settings!$B$8*T1161+Settings!$B$9*R1161+Settings!$B$10*S1161)/SUM(Settings!$B$8:$B$10),0)</f>
        <v>0</v>
      </c>
      <c r="V1161" s="56" t="str">
        <f aca="false">IF(U1161&gt;0,RANK(U1161,$U$2:$U$1780)+COUNTIF($U$2:U1161,U1161)-1,"")</f>
        <v/>
      </c>
      <c r="W1161" s="56" t="str">
        <f aca="false">IF(V1161="","",IF(V1161&lt;=Settings!$B$11,"1 - Fix first",IF(V1161&lt;=Settings!$B$12,"2 - Review","3 - Monitor")))</f>
        <v/>
      </c>
      <c r="X1161" s="56" t="str">
        <f aca="false">IF(AND(E1161&gt;=Settings!$B$4,F1161&gt;=Settings!$B$5,O1161&gt;=Settings!$B$6),"HIGH RATE","")</f>
        <v/>
      </c>
      <c r="Y1161" s="56" t="str">
        <f aca="false">IF(F1161&gt;0,RANK(F1161,$F$2:$F$1780)+COUNTIF($F$2:F1161,F1161)-1,"")</f>
        <v/>
      </c>
      <c r="Z1161" s="56" t="str">
        <f aca="false">IF(H1161&gt;0,RANK(H1161,$H$2:$H$1780)+COUNTIF($H$2:H1161,H1161)-1,"")</f>
        <v/>
      </c>
      <c r="AA1161" s="56" t="str">
        <f aca="false">IF(AC1161="","",RANK(AC1161,$AC$2:$AC$1780)+COUNTIF($AC$2:AC1161,AC1161)-1)</f>
        <v/>
      </c>
      <c r="AB1161" s="56" t="str">
        <f aca="false">IF(AD1161="","",RANK(AD1161,$AD$2:$AD$1780)+COUNTIF($AD$2:AD1161,AD1161)-1)</f>
        <v/>
      </c>
      <c r="AC1161" s="56" t="str">
        <f aca="false">IF(AND(F1161&gt;0,E1161&gt;=Settings!$B$4),J1161,"")</f>
        <v/>
      </c>
      <c r="AD1161" s="56" t="str">
        <f aca="false">IF(X1161="HIGH RATE",O1161,"")</f>
        <v/>
      </c>
    </row>
    <row r="1162" customFormat="false" ht="15" hidden="false" customHeight="false" outlineLevel="0" collapsed="false">
      <c r="A1162" s="56" t="s">
        <v>2529</v>
      </c>
      <c r="B1162" s="56" t="s">
        <v>931</v>
      </c>
      <c r="C1162" s="56" t="s">
        <v>55</v>
      </c>
      <c r="D1162" s="56" t="str">
        <f aca="false">IFERROR(INDEX('Brand Map'!$B$4:$B$124,MATCH(C1162,'Brand Map'!$A$4:$A$124,0)),"Other")</f>
        <v>AUMJ</v>
      </c>
      <c r="E1162" s="57" t="n">
        <v>2</v>
      </c>
      <c r="F1162" s="57" t="n">
        <v>0</v>
      </c>
      <c r="G1162" s="58" t="n">
        <v>205.9</v>
      </c>
      <c r="H1162" s="58" t="n">
        <v>0</v>
      </c>
      <c r="I1162" s="58" t="n">
        <v>205.9</v>
      </c>
      <c r="J1162" s="32" t="n">
        <f aca="false">IF(E1162&gt;0,F1162/E1162,0)</f>
        <v>0</v>
      </c>
      <c r="K1162" s="32" t="n">
        <f aca="false">IF(G1162&gt;0,H1162/G1162,0)</f>
        <v>-0</v>
      </c>
      <c r="L1162" s="59" t="n">
        <f aca="false">H1162/Settings!$B$16</f>
        <v>-0</v>
      </c>
      <c r="M1162" s="59" t="n">
        <f aca="false">H1162/Settings!$B$20</f>
        <v>-0</v>
      </c>
      <c r="N1162" s="60" t="n">
        <f aca="false">E1162*Settings!$B$3</f>
        <v>0.0619723021596408</v>
      </c>
      <c r="O1162" s="60" t="n">
        <f aca="false">IF(E1162&gt;0,(F1162-N1162)/SQRT(E1162*Settings!$B$3*(1-Settings!$B$3)),0)</f>
        <v>-0.252891261535318</v>
      </c>
      <c r="P1162" s="60" t="n">
        <f aca="false">MAX(0,F1162-N1162)</f>
        <v>0</v>
      </c>
      <c r="Q1162" s="32" t="n">
        <f aca="false">(F1162+Settings!$B$7*Settings!$B$3)/(E1162+Settings!$B$7)</f>
        <v>0.0290495166373316</v>
      </c>
      <c r="R1162" s="61" t="n">
        <f aca="false">PERCENTRANK($H$2:$H$1780,H1162,6)</f>
        <v>0</v>
      </c>
      <c r="S1162" s="61" t="n">
        <f aca="false">PERCENTRANK($Q$2:$Q$1780,Q1162,6)</f>
        <v>0.365579</v>
      </c>
      <c r="T1162" s="61" t="n">
        <f aca="false">PERCENTRANK($F$2:$F$1780,F1162,6)</f>
        <v>0</v>
      </c>
      <c r="U1162" s="62" t="n">
        <f aca="false">IF(F1162&gt;0,(Settings!$B$8*T1162+Settings!$B$9*R1162+Settings!$B$10*S1162)/SUM(Settings!$B$8:$B$10),0)</f>
        <v>0</v>
      </c>
      <c r="V1162" s="56" t="str">
        <f aca="false">IF(U1162&gt;0,RANK(U1162,$U$2:$U$1780)+COUNTIF($U$2:U1162,U1162)-1,"")</f>
        <v/>
      </c>
      <c r="W1162" s="56" t="str">
        <f aca="false">IF(V1162="","",IF(V1162&lt;=Settings!$B$11,"1 - Fix first",IF(V1162&lt;=Settings!$B$12,"2 - Review","3 - Monitor")))</f>
        <v/>
      </c>
      <c r="X1162" s="56" t="str">
        <f aca="false">IF(AND(E1162&gt;=Settings!$B$4,F1162&gt;=Settings!$B$5,O1162&gt;=Settings!$B$6),"HIGH RATE","")</f>
        <v/>
      </c>
      <c r="Y1162" s="56" t="str">
        <f aca="false">IF(F1162&gt;0,RANK(F1162,$F$2:$F$1780)+COUNTIF($F$2:F1162,F1162)-1,"")</f>
        <v/>
      </c>
      <c r="Z1162" s="56" t="str">
        <f aca="false">IF(H1162&gt;0,RANK(H1162,$H$2:$H$1780)+COUNTIF($H$2:H1162,H1162)-1,"")</f>
        <v/>
      </c>
      <c r="AA1162" s="56" t="str">
        <f aca="false">IF(AC1162="","",RANK(AC1162,$AC$2:$AC$1780)+COUNTIF($AC$2:AC1162,AC1162)-1)</f>
        <v/>
      </c>
      <c r="AB1162" s="56" t="str">
        <f aca="false">IF(AD1162="","",RANK(AD1162,$AD$2:$AD$1780)+COUNTIF($AD$2:AD1162,AD1162)-1)</f>
        <v/>
      </c>
      <c r="AC1162" s="56" t="str">
        <f aca="false">IF(AND(F1162&gt;0,E1162&gt;=Settings!$B$4),J1162,"")</f>
        <v/>
      </c>
      <c r="AD1162" s="56" t="str">
        <f aca="false">IF(X1162="HIGH RATE",O1162,"")</f>
        <v/>
      </c>
    </row>
    <row r="1163" customFormat="false" ht="15" hidden="false" customHeight="false" outlineLevel="0" collapsed="false">
      <c r="A1163" s="56" t="s">
        <v>2530</v>
      </c>
      <c r="B1163" s="56" t="s">
        <v>931</v>
      </c>
      <c r="C1163" s="56" t="s">
        <v>55</v>
      </c>
      <c r="D1163" s="56" t="str">
        <f aca="false">IFERROR(INDEX('Brand Map'!$B$4:$B$124,MATCH(C1163,'Brand Map'!$A$4:$A$124,0)),"Other")</f>
        <v>AUMJ</v>
      </c>
      <c r="E1163" s="57" t="n">
        <v>11</v>
      </c>
      <c r="F1163" s="57" t="n">
        <v>0</v>
      </c>
      <c r="G1163" s="58" t="n">
        <v>789.28</v>
      </c>
      <c r="H1163" s="58" t="n">
        <v>0</v>
      </c>
      <c r="I1163" s="58" t="n">
        <v>769.28</v>
      </c>
      <c r="J1163" s="32" t="n">
        <f aca="false">IF(E1163&gt;0,F1163/E1163,0)</f>
        <v>0</v>
      </c>
      <c r="K1163" s="32" t="n">
        <f aca="false">IF(G1163&gt;0,H1163/G1163,0)</f>
        <v>-0</v>
      </c>
      <c r="L1163" s="59" t="n">
        <f aca="false">H1163/Settings!$B$16</f>
        <v>-0</v>
      </c>
      <c r="M1163" s="59" t="n">
        <f aca="false">H1163/Settings!$B$20</f>
        <v>-0</v>
      </c>
      <c r="N1163" s="60" t="n">
        <f aca="false">E1163*Settings!$B$3</f>
        <v>0.340847661878025</v>
      </c>
      <c r="O1163" s="60" t="n">
        <f aca="false">IF(E1163&gt;0,(F1163-N1163)/SQRT(E1163*Settings!$B$3*(1-Settings!$B$3)),0)</f>
        <v>-0.593082579313442</v>
      </c>
      <c r="P1163" s="60" t="n">
        <f aca="false">MAX(0,F1163-N1163)</f>
        <v>0</v>
      </c>
      <c r="Q1163" s="32" t="n">
        <f aca="false">(F1163+Settings!$B$7*Settings!$B$3)/(E1163+Settings!$B$7)</f>
        <v>0.0226727934730393</v>
      </c>
      <c r="R1163" s="61" t="n">
        <f aca="false">PERCENTRANK($H$2:$H$1780,H1163,6)</f>
        <v>0</v>
      </c>
      <c r="S1163" s="61" t="n">
        <f aca="false">PERCENTRANK($Q$2:$Q$1780,Q1163,6)</f>
        <v>0.117548</v>
      </c>
      <c r="T1163" s="61" t="n">
        <f aca="false">PERCENTRANK($F$2:$F$1780,F1163,6)</f>
        <v>0</v>
      </c>
      <c r="U1163" s="62" t="n">
        <f aca="false">IF(F1163&gt;0,(Settings!$B$8*T1163+Settings!$B$9*R1163+Settings!$B$10*S1163)/SUM(Settings!$B$8:$B$10),0)</f>
        <v>0</v>
      </c>
      <c r="V1163" s="56" t="str">
        <f aca="false">IF(U1163&gt;0,RANK(U1163,$U$2:$U$1780)+COUNTIF($U$2:U1163,U1163)-1,"")</f>
        <v/>
      </c>
      <c r="W1163" s="56" t="str">
        <f aca="false">IF(V1163="","",IF(V1163&lt;=Settings!$B$11,"1 - Fix first",IF(V1163&lt;=Settings!$B$12,"2 - Review","3 - Monitor")))</f>
        <v/>
      </c>
      <c r="X1163" s="56" t="str">
        <f aca="false">IF(AND(E1163&gt;=Settings!$B$4,F1163&gt;=Settings!$B$5,O1163&gt;=Settings!$B$6),"HIGH RATE","")</f>
        <v/>
      </c>
      <c r="Y1163" s="56" t="str">
        <f aca="false">IF(F1163&gt;0,RANK(F1163,$F$2:$F$1780)+COUNTIF($F$2:F1163,F1163)-1,"")</f>
        <v/>
      </c>
      <c r="Z1163" s="56" t="str">
        <f aca="false">IF(H1163&gt;0,RANK(H1163,$H$2:$H$1780)+COUNTIF($H$2:H1163,H1163)-1,"")</f>
        <v/>
      </c>
      <c r="AA1163" s="56" t="str">
        <f aca="false">IF(AC1163="","",RANK(AC1163,$AC$2:$AC$1780)+COUNTIF($AC$2:AC1163,AC1163)-1)</f>
        <v/>
      </c>
      <c r="AB1163" s="56" t="str">
        <f aca="false">IF(AD1163="","",RANK(AD1163,$AD$2:$AD$1780)+COUNTIF($AD$2:AD1163,AD1163)-1)</f>
        <v/>
      </c>
      <c r="AC1163" s="56" t="str">
        <f aca="false">IF(AND(F1163&gt;0,E1163&gt;=Settings!$B$4),J1163,"")</f>
        <v/>
      </c>
      <c r="AD1163" s="56" t="str">
        <f aca="false">IF(X1163="HIGH RATE",O1163,"")</f>
        <v/>
      </c>
    </row>
    <row r="1164" customFormat="false" ht="15" hidden="false" customHeight="false" outlineLevel="0" collapsed="false">
      <c r="A1164" s="56" t="s">
        <v>2531</v>
      </c>
      <c r="B1164" s="56" t="s">
        <v>914</v>
      </c>
      <c r="C1164" s="56" t="s">
        <v>55</v>
      </c>
      <c r="D1164" s="56" t="str">
        <f aca="false">IFERROR(INDEX('Brand Map'!$B$4:$B$124,MATCH(C1164,'Brand Map'!$A$4:$A$124,0)),"Other")</f>
        <v>AUMJ</v>
      </c>
      <c r="E1164" s="57" t="n">
        <v>7</v>
      </c>
      <c r="F1164" s="57" t="n">
        <v>0</v>
      </c>
      <c r="G1164" s="58" t="n">
        <v>517.83</v>
      </c>
      <c r="H1164" s="58" t="n">
        <v>0</v>
      </c>
      <c r="I1164" s="58" t="n">
        <v>468.8</v>
      </c>
      <c r="J1164" s="32" t="n">
        <f aca="false">IF(E1164&gt;0,F1164/E1164,0)</f>
        <v>0</v>
      </c>
      <c r="K1164" s="32" t="n">
        <f aca="false">IF(G1164&gt;0,H1164/G1164,0)</f>
        <v>-0</v>
      </c>
      <c r="L1164" s="59" t="n">
        <f aca="false">H1164/Settings!$B$16</f>
        <v>-0</v>
      </c>
      <c r="M1164" s="59" t="n">
        <f aca="false">H1164/Settings!$B$20</f>
        <v>-0</v>
      </c>
      <c r="N1164" s="60" t="n">
        <f aca="false">E1164*Settings!$B$3</f>
        <v>0.216903057558743</v>
      </c>
      <c r="O1164" s="60" t="n">
        <f aca="false">IF(E1164&gt;0,(F1164-N1164)/SQRT(E1164*Settings!$B$3*(1-Settings!$B$3)),0)</f>
        <v>-0.473116228387102</v>
      </c>
      <c r="P1164" s="60" t="n">
        <f aca="false">MAX(0,F1164-N1164)</f>
        <v>0</v>
      </c>
      <c r="Q1164" s="32" t="n">
        <f aca="false">(F1164+Settings!$B$7*Settings!$B$3)/(E1164+Settings!$B$7)</f>
        <v>0.0251239062809355</v>
      </c>
      <c r="R1164" s="61" t="n">
        <f aca="false">PERCENTRANK($H$2:$H$1780,H1164,6)</f>
        <v>0</v>
      </c>
      <c r="S1164" s="61" t="n">
        <f aca="false">PERCENTRANK($Q$2:$Q$1780,Q1164,6)</f>
        <v>0.168166</v>
      </c>
      <c r="T1164" s="61" t="n">
        <f aca="false">PERCENTRANK($F$2:$F$1780,F1164,6)</f>
        <v>0</v>
      </c>
      <c r="U1164" s="62" t="n">
        <f aca="false">IF(F1164&gt;0,(Settings!$B$8*T1164+Settings!$B$9*R1164+Settings!$B$10*S1164)/SUM(Settings!$B$8:$B$10),0)</f>
        <v>0</v>
      </c>
      <c r="V1164" s="56" t="str">
        <f aca="false">IF(U1164&gt;0,RANK(U1164,$U$2:$U$1780)+COUNTIF($U$2:U1164,U1164)-1,"")</f>
        <v/>
      </c>
      <c r="W1164" s="56" t="str">
        <f aca="false">IF(V1164="","",IF(V1164&lt;=Settings!$B$11,"1 - Fix first",IF(V1164&lt;=Settings!$B$12,"2 - Review","3 - Monitor")))</f>
        <v/>
      </c>
      <c r="X1164" s="56" t="str">
        <f aca="false">IF(AND(E1164&gt;=Settings!$B$4,F1164&gt;=Settings!$B$5,O1164&gt;=Settings!$B$6),"HIGH RATE","")</f>
        <v/>
      </c>
      <c r="Y1164" s="56" t="str">
        <f aca="false">IF(F1164&gt;0,RANK(F1164,$F$2:$F$1780)+COUNTIF($F$2:F1164,F1164)-1,"")</f>
        <v/>
      </c>
      <c r="Z1164" s="56" t="str">
        <f aca="false">IF(H1164&gt;0,RANK(H1164,$H$2:$H$1780)+COUNTIF($H$2:H1164,H1164)-1,"")</f>
        <v/>
      </c>
      <c r="AA1164" s="56" t="str">
        <f aca="false">IF(AC1164="","",RANK(AC1164,$AC$2:$AC$1780)+COUNTIF($AC$2:AC1164,AC1164)-1)</f>
        <v/>
      </c>
      <c r="AB1164" s="56" t="str">
        <f aca="false">IF(AD1164="","",RANK(AD1164,$AD$2:$AD$1780)+COUNTIF($AD$2:AD1164,AD1164)-1)</f>
        <v/>
      </c>
      <c r="AC1164" s="56" t="str">
        <f aca="false">IF(AND(F1164&gt;0,E1164&gt;=Settings!$B$4),J1164,"")</f>
        <v/>
      </c>
      <c r="AD1164" s="56" t="str">
        <f aca="false">IF(X1164="HIGH RATE",O1164,"")</f>
        <v/>
      </c>
    </row>
    <row r="1165" customFormat="false" ht="15" hidden="false" customHeight="false" outlineLevel="0" collapsed="false">
      <c r="A1165" s="56" t="s">
        <v>2532</v>
      </c>
      <c r="B1165" s="56" t="s">
        <v>914</v>
      </c>
      <c r="C1165" s="56" t="s">
        <v>55</v>
      </c>
      <c r="D1165" s="56" t="str">
        <f aca="false">IFERROR(INDEX('Brand Map'!$B$4:$B$124,MATCH(C1165,'Brand Map'!$A$4:$A$124,0)),"Other")</f>
        <v>AUMJ</v>
      </c>
      <c r="E1165" s="57" t="n">
        <v>4</v>
      </c>
      <c r="F1165" s="57" t="n">
        <v>0</v>
      </c>
      <c r="G1165" s="58" t="n">
        <v>459.8</v>
      </c>
      <c r="H1165" s="58" t="n">
        <v>0</v>
      </c>
      <c r="I1165" s="58" t="n">
        <v>459.8</v>
      </c>
      <c r="J1165" s="32" t="n">
        <f aca="false">IF(E1165&gt;0,F1165/E1165,0)</f>
        <v>0</v>
      </c>
      <c r="K1165" s="32" t="n">
        <f aca="false">IF(G1165&gt;0,H1165/G1165,0)</f>
        <v>-0</v>
      </c>
      <c r="L1165" s="59" t="n">
        <f aca="false">H1165/Settings!$B$16</f>
        <v>-0</v>
      </c>
      <c r="M1165" s="59" t="n">
        <f aca="false">H1165/Settings!$B$20</f>
        <v>-0</v>
      </c>
      <c r="N1165" s="60" t="n">
        <f aca="false">E1165*Settings!$B$3</f>
        <v>0.123944604319282</v>
      </c>
      <c r="O1165" s="60" t="n">
        <f aca="false">IF(E1165&gt;0,(F1165-N1165)/SQRT(E1165*Settings!$B$3*(1-Settings!$B$3)),0)</f>
        <v>-0.357642251868888</v>
      </c>
      <c r="P1165" s="60" t="n">
        <f aca="false">MAX(0,F1165-N1165)</f>
        <v>0</v>
      </c>
      <c r="Q1165" s="32" t="n">
        <f aca="false">(F1165+Settings!$B$7*Settings!$B$3)/(E1165+Settings!$B$7)</f>
        <v>0.027340721541018</v>
      </c>
      <c r="R1165" s="61" t="n">
        <f aca="false">PERCENTRANK($H$2:$H$1780,H1165,6)</f>
        <v>0</v>
      </c>
      <c r="S1165" s="61" t="n">
        <f aca="false">PERCENTRANK($Q$2:$Q$1780,Q1165,6)</f>
        <v>0.253656</v>
      </c>
      <c r="T1165" s="61" t="n">
        <f aca="false">PERCENTRANK($F$2:$F$1780,F1165,6)</f>
        <v>0</v>
      </c>
      <c r="U1165" s="62" t="n">
        <f aca="false">IF(F1165&gt;0,(Settings!$B$8*T1165+Settings!$B$9*R1165+Settings!$B$10*S1165)/SUM(Settings!$B$8:$B$10),0)</f>
        <v>0</v>
      </c>
      <c r="V1165" s="56" t="str">
        <f aca="false">IF(U1165&gt;0,RANK(U1165,$U$2:$U$1780)+COUNTIF($U$2:U1165,U1165)-1,"")</f>
        <v/>
      </c>
      <c r="W1165" s="56" t="str">
        <f aca="false">IF(V1165="","",IF(V1165&lt;=Settings!$B$11,"1 - Fix first",IF(V1165&lt;=Settings!$B$12,"2 - Review","3 - Monitor")))</f>
        <v/>
      </c>
      <c r="X1165" s="56" t="str">
        <f aca="false">IF(AND(E1165&gt;=Settings!$B$4,F1165&gt;=Settings!$B$5,O1165&gt;=Settings!$B$6),"HIGH RATE","")</f>
        <v/>
      </c>
      <c r="Y1165" s="56" t="str">
        <f aca="false">IF(F1165&gt;0,RANK(F1165,$F$2:$F$1780)+COUNTIF($F$2:F1165,F1165)-1,"")</f>
        <v/>
      </c>
      <c r="Z1165" s="56" t="str">
        <f aca="false">IF(H1165&gt;0,RANK(H1165,$H$2:$H$1780)+COUNTIF($H$2:H1165,H1165)-1,"")</f>
        <v/>
      </c>
      <c r="AA1165" s="56" t="str">
        <f aca="false">IF(AC1165="","",RANK(AC1165,$AC$2:$AC$1780)+COUNTIF($AC$2:AC1165,AC1165)-1)</f>
        <v/>
      </c>
      <c r="AB1165" s="56" t="str">
        <f aca="false">IF(AD1165="","",RANK(AD1165,$AD$2:$AD$1780)+COUNTIF($AD$2:AD1165,AD1165)-1)</f>
        <v/>
      </c>
      <c r="AC1165" s="56" t="str">
        <f aca="false">IF(AND(F1165&gt;0,E1165&gt;=Settings!$B$4),J1165,"")</f>
        <v/>
      </c>
      <c r="AD1165" s="56" t="str">
        <f aca="false">IF(X1165="HIGH RATE",O1165,"")</f>
        <v/>
      </c>
    </row>
    <row r="1166" customFormat="false" ht="15" hidden="false" customHeight="false" outlineLevel="0" collapsed="false">
      <c r="A1166" s="56" t="s">
        <v>2533</v>
      </c>
      <c r="B1166" s="56" t="s">
        <v>914</v>
      </c>
      <c r="C1166" s="56" t="s">
        <v>55</v>
      </c>
      <c r="D1166" s="56" t="str">
        <f aca="false">IFERROR(INDEX('Brand Map'!$B$4:$B$124,MATCH(C1166,'Brand Map'!$A$4:$A$124,0)),"Other")</f>
        <v>AUMJ</v>
      </c>
      <c r="E1166" s="57" t="n">
        <v>7</v>
      </c>
      <c r="F1166" s="57" t="n">
        <v>0</v>
      </c>
      <c r="G1166" s="58" t="n">
        <v>909.65</v>
      </c>
      <c r="H1166" s="58" t="n">
        <v>0</v>
      </c>
      <c r="I1166" s="58" t="n">
        <v>909.65</v>
      </c>
      <c r="J1166" s="32" t="n">
        <f aca="false">IF(E1166&gt;0,F1166/E1166,0)</f>
        <v>0</v>
      </c>
      <c r="K1166" s="32" t="n">
        <f aca="false">IF(G1166&gt;0,H1166/G1166,0)</f>
        <v>-0</v>
      </c>
      <c r="L1166" s="59" t="n">
        <f aca="false">H1166/Settings!$B$16</f>
        <v>-0</v>
      </c>
      <c r="M1166" s="59" t="n">
        <f aca="false">H1166/Settings!$B$20</f>
        <v>-0</v>
      </c>
      <c r="N1166" s="60" t="n">
        <f aca="false">E1166*Settings!$B$3</f>
        <v>0.216903057558743</v>
      </c>
      <c r="O1166" s="60" t="n">
        <f aca="false">IF(E1166&gt;0,(F1166-N1166)/SQRT(E1166*Settings!$B$3*(1-Settings!$B$3)),0)</f>
        <v>-0.473116228387102</v>
      </c>
      <c r="P1166" s="60" t="n">
        <f aca="false">MAX(0,F1166-N1166)</f>
        <v>0</v>
      </c>
      <c r="Q1166" s="32" t="n">
        <f aca="false">(F1166+Settings!$B$7*Settings!$B$3)/(E1166+Settings!$B$7)</f>
        <v>0.0251239062809355</v>
      </c>
      <c r="R1166" s="61" t="n">
        <f aca="false">PERCENTRANK($H$2:$H$1780,H1166,6)</f>
        <v>0</v>
      </c>
      <c r="S1166" s="61" t="n">
        <f aca="false">PERCENTRANK($Q$2:$Q$1780,Q1166,6)</f>
        <v>0.168166</v>
      </c>
      <c r="T1166" s="61" t="n">
        <f aca="false">PERCENTRANK($F$2:$F$1780,F1166,6)</f>
        <v>0</v>
      </c>
      <c r="U1166" s="62" t="n">
        <f aca="false">IF(F1166&gt;0,(Settings!$B$8*T1166+Settings!$B$9*R1166+Settings!$B$10*S1166)/SUM(Settings!$B$8:$B$10),0)</f>
        <v>0</v>
      </c>
      <c r="V1166" s="56" t="str">
        <f aca="false">IF(U1166&gt;0,RANK(U1166,$U$2:$U$1780)+COUNTIF($U$2:U1166,U1166)-1,"")</f>
        <v/>
      </c>
      <c r="W1166" s="56" t="str">
        <f aca="false">IF(V1166="","",IF(V1166&lt;=Settings!$B$11,"1 - Fix first",IF(V1166&lt;=Settings!$B$12,"2 - Review","3 - Monitor")))</f>
        <v/>
      </c>
      <c r="X1166" s="56" t="str">
        <f aca="false">IF(AND(E1166&gt;=Settings!$B$4,F1166&gt;=Settings!$B$5,O1166&gt;=Settings!$B$6),"HIGH RATE","")</f>
        <v/>
      </c>
      <c r="Y1166" s="56" t="str">
        <f aca="false">IF(F1166&gt;0,RANK(F1166,$F$2:$F$1780)+COUNTIF($F$2:F1166,F1166)-1,"")</f>
        <v/>
      </c>
      <c r="Z1166" s="56" t="str">
        <f aca="false">IF(H1166&gt;0,RANK(H1166,$H$2:$H$1780)+COUNTIF($H$2:H1166,H1166)-1,"")</f>
        <v/>
      </c>
      <c r="AA1166" s="56" t="str">
        <f aca="false">IF(AC1166="","",RANK(AC1166,$AC$2:$AC$1780)+COUNTIF($AC$2:AC1166,AC1166)-1)</f>
        <v/>
      </c>
      <c r="AB1166" s="56" t="str">
        <f aca="false">IF(AD1166="","",RANK(AD1166,$AD$2:$AD$1780)+COUNTIF($AD$2:AD1166,AD1166)-1)</f>
        <v/>
      </c>
      <c r="AC1166" s="56" t="str">
        <f aca="false">IF(AND(F1166&gt;0,E1166&gt;=Settings!$B$4),J1166,"")</f>
        <v/>
      </c>
      <c r="AD1166" s="56" t="str">
        <f aca="false">IF(X1166="HIGH RATE",O1166,"")</f>
        <v/>
      </c>
    </row>
    <row r="1167" customFormat="false" ht="15" hidden="false" customHeight="false" outlineLevel="0" collapsed="false">
      <c r="A1167" s="56" t="s">
        <v>2534</v>
      </c>
      <c r="B1167" s="56" t="s">
        <v>914</v>
      </c>
      <c r="C1167" s="56" t="s">
        <v>55</v>
      </c>
      <c r="D1167" s="56" t="str">
        <f aca="false">IFERROR(INDEX('Brand Map'!$B$4:$B$124,MATCH(C1167,'Brand Map'!$A$4:$A$124,0)),"Other")</f>
        <v>AUMJ</v>
      </c>
      <c r="E1167" s="57" t="n">
        <v>2</v>
      </c>
      <c r="F1167" s="57" t="n">
        <v>0</v>
      </c>
      <c r="G1167" s="58" t="n">
        <v>163.54</v>
      </c>
      <c r="H1167" s="58" t="n">
        <v>0</v>
      </c>
      <c r="I1167" s="58" t="n">
        <v>151.28</v>
      </c>
      <c r="J1167" s="32" t="n">
        <f aca="false">IF(E1167&gt;0,F1167/E1167,0)</f>
        <v>0</v>
      </c>
      <c r="K1167" s="32" t="n">
        <f aca="false">IF(G1167&gt;0,H1167/G1167,0)</f>
        <v>-0</v>
      </c>
      <c r="L1167" s="59" t="n">
        <f aca="false">H1167/Settings!$B$16</f>
        <v>-0</v>
      </c>
      <c r="M1167" s="59" t="n">
        <f aca="false">H1167/Settings!$B$20</f>
        <v>-0</v>
      </c>
      <c r="N1167" s="60" t="n">
        <f aca="false">E1167*Settings!$B$3</f>
        <v>0.0619723021596408</v>
      </c>
      <c r="O1167" s="60" t="n">
        <f aca="false">IF(E1167&gt;0,(F1167-N1167)/SQRT(E1167*Settings!$B$3*(1-Settings!$B$3)),0)</f>
        <v>-0.252891261535318</v>
      </c>
      <c r="P1167" s="60" t="n">
        <f aca="false">MAX(0,F1167-N1167)</f>
        <v>0</v>
      </c>
      <c r="Q1167" s="32" t="n">
        <f aca="false">(F1167+Settings!$B$7*Settings!$B$3)/(E1167+Settings!$B$7)</f>
        <v>0.0290495166373316</v>
      </c>
      <c r="R1167" s="61" t="n">
        <f aca="false">PERCENTRANK($H$2:$H$1780,H1167,6)</f>
        <v>0</v>
      </c>
      <c r="S1167" s="61" t="n">
        <f aca="false">PERCENTRANK($Q$2:$Q$1780,Q1167,6)</f>
        <v>0.365579</v>
      </c>
      <c r="T1167" s="61" t="n">
        <f aca="false">PERCENTRANK($F$2:$F$1780,F1167,6)</f>
        <v>0</v>
      </c>
      <c r="U1167" s="62" t="n">
        <f aca="false">IF(F1167&gt;0,(Settings!$B$8*T1167+Settings!$B$9*R1167+Settings!$B$10*S1167)/SUM(Settings!$B$8:$B$10),0)</f>
        <v>0</v>
      </c>
      <c r="V1167" s="56" t="str">
        <f aca="false">IF(U1167&gt;0,RANK(U1167,$U$2:$U$1780)+COUNTIF($U$2:U1167,U1167)-1,"")</f>
        <v/>
      </c>
      <c r="W1167" s="56" t="str">
        <f aca="false">IF(V1167="","",IF(V1167&lt;=Settings!$B$11,"1 - Fix first",IF(V1167&lt;=Settings!$B$12,"2 - Review","3 - Monitor")))</f>
        <v/>
      </c>
      <c r="X1167" s="56" t="str">
        <f aca="false">IF(AND(E1167&gt;=Settings!$B$4,F1167&gt;=Settings!$B$5,O1167&gt;=Settings!$B$6),"HIGH RATE","")</f>
        <v/>
      </c>
      <c r="Y1167" s="56" t="str">
        <f aca="false">IF(F1167&gt;0,RANK(F1167,$F$2:$F$1780)+COUNTIF($F$2:F1167,F1167)-1,"")</f>
        <v/>
      </c>
      <c r="Z1167" s="56" t="str">
        <f aca="false">IF(H1167&gt;0,RANK(H1167,$H$2:$H$1780)+COUNTIF($H$2:H1167,H1167)-1,"")</f>
        <v/>
      </c>
      <c r="AA1167" s="56" t="str">
        <f aca="false">IF(AC1167="","",RANK(AC1167,$AC$2:$AC$1780)+COUNTIF($AC$2:AC1167,AC1167)-1)</f>
        <v/>
      </c>
      <c r="AB1167" s="56" t="str">
        <f aca="false">IF(AD1167="","",RANK(AD1167,$AD$2:$AD$1780)+COUNTIF($AD$2:AD1167,AD1167)-1)</f>
        <v/>
      </c>
      <c r="AC1167" s="56" t="str">
        <f aca="false">IF(AND(F1167&gt;0,E1167&gt;=Settings!$B$4),J1167,"")</f>
        <v/>
      </c>
      <c r="AD1167" s="56" t="str">
        <f aca="false">IF(X1167="HIGH RATE",O1167,"")</f>
        <v/>
      </c>
    </row>
    <row r="1168" customFormat="false" ht="15" hidden="false" customHeight="false" outlineLevel="0" collapsed="false">
      <c r="A1168" s="56" t="s">
        <v>2535</v>
      </c>
      <c r="B1168" s="56" t="s">
        <v>914</v>
      </c>
      <c r="C1168" s="56" t="s">
        <v>55</v>
      </c>
      <c r="D1168" s="56" t="str">
        <f aca="false">IFERROR(INDEX('Brand Map'!$B$4:$B$124,MATCH(C1168,'Brand Map'!$A$4:$A$124,0)),"Other")</f>
        <v>AUMJ</v>
      </c>
      <c r="E1168" s="57" t="n">
        <v>5</v>
      </c>
      <c r="F1168" s="57" t="n">
        <v>0</v>
      </c>
      <c r="G1168" s="58" t="n">
        <v>395.2</v>
      </c>
      <c r="H1168" s="58" t="n">
        <v>0</v>
      </c>
      <c r="I1168" s="58" t="n">
        <v>357.75</v>
      </c>
      <c r="J1168" s="32" t="n">
        <f aca="false">IF(E1168&gt;0,F1168/E1168,0)</f>
        <v>0</v>
      </c>
      <c r="K1168" s="32" t="n">
        <f aca="false">IF(G1168&gt;0,H1168/G1168,0)</f>
        <v>-0</v>
      </c>
      <c r="L1168" s="59" t="n">
        <f aca="false">H1168/Settings!$B$16</f>
        <v>-0</v>
      </c>
      <c r="M1168" s="59" t="n">
        <f aca="false">H1168/Settings!$B$20</f>
        <v>-0</v>
      </c>
      <c r="N1168" s="60" t="n">
        <f aca="false">E1168*Settings!$B$3</f>
        <v>0.154930755399102</v>
      </c>
      <c r="O1168" s="60" t="n">
        <f aca="false">IF(E1168&gt;0,(F1168-N1168)/SQRT(E1168*Settings!$B$3*(1-Settings!$B$3)),0)</f>
        <v>-0.399856193402468</v>
      </c>
      <c r="P1168" s="60" t="n">
        <f aca="false">MAX(0,F1168-N1168)</f>
        <v>0</v>
      </c>
      <c r="Q1168" s="32" t="n">
        <f aca="false">(F1168+Settings!$B$7*Settings!$B$3)/(E1168+Settings!$B$7)</f>
        <v>0.0265595580684175</v>
      </c>
      <c r="R1168" s="61" t="n">
        <f aca="false">PERCENTRANK($H$2:$H$1780,H1168,6)</f>
        <v>0</v>
      </c>
      <c r="S1168" s="61" t="n">
        <f aca="false">PERCENTRANK($Q$2:$Q$1780,Q1168,6)</f>
        <v>0.220472</v>
      </c>
      <c r="T1168" s="61" t="n">
        <f aca="false">PERCENTRANK($F$2:$F$1780,F1168,6)</f>
        <v>0</v>
      </c>
      <c r="U1168" s="62" t="n">
        <f aca="false">IF(F1168&gt;0,(Settings!$B$8*T1168+Settings!$B$9*R1168+Settings!$B$10*S1168)/SUM(Settings!$B$8:$B$10),0)</f>
        <v>0</v>
      </c>
      <c r="V1168" s="56" t="str">
        <f aca="false">IF(U1168&gt;0,RANK(U1168,$U$2:$U$1780)+COUNTIF($U$2:U1168,U1168)-1,"")</f>
        <v/>
      </c>
      <c r="W1168" s="56" t="str">
        <f aca="false">IF(V1168="","",IF(V1168&lt;=Settings!$B$11,"1 - Fix first",IF(V1168&lt;=Settings!$B$12,"2 - Review","3 - Monitor")))</f>
        <v/>
      </c>
      <c r="X1168" s="56" t="str">
        <f aca="false">IF(AND(E1168&gt;=Settings!$B$4,F1168&gt;=Settings!$B$5,O1168&gt;=Settings!$B$6),"HIGH RATE","")</f>
        <v/>
      </c>
      <c r="Y1168" s="56" t="str">
        <f aca="false">IF(F1168&gt;0,RANK(F1168,$F$2:$F$1780)+COUNTIF($F$2:F1168,F1168)-1,"")</f>
        <v/>
      </c>
      <c r="Z1168" s="56" t="str">
        <f aca="false">IF(H1168&gt;0,RANK(H1168,$H$2:$H$1780)+COUNTIF($H$2:H1168,H1168)-1,"")</f>
        <v/>
      </c>
      <c r="AA1168" s="56" t="str">
        <f aca="false">IF(AC1168="","",RANK(AC1168,$AC$2:$AC$1780)+COUNTIF($AC$2:AC1168,AC1168)-1)</f>
        <v/>
      </c>
      <c r="AB1168" s="56" t="str">
        <f aca="false">IF(AD1168="","",RANK(AD1168,$AD$2:$AD$1780)+COUNTIF($AD$2:AD1168,AD1168)-1)</f>
        <v/>
      </c>
      <c r="AC1168" s="56" t="str">
        <f aca="false">IF(AND(F1168&gt;0,E1168&gt;=Settings!$B$4),J1168,"")</f>
        <v/>
      </c>
      <c r="AD1168" s="56" t="str">
        <f aca="false">IF(X1168="HIGH RATE",O1168,"")</f>
        <v/>
      </c>
    </row>
    <row r="1169" customFormat="false" ht="15" hidden="false" customHeight="false" outlineLevel="0" collapsed="false">
      <c r="A1169" s="56" t="s">
        <v>2536</v>
      </c>
      <c r="B1169" s="56" t="s">
        <v>1036</v>
      </c>
      <c r="C1169" s="56" t="s">
        <v>55</v>
      </c>
      <c r="D1169" s="56" t="str">
        <f aca="false">IFERROR(INDEX('Brand Map'!$B$4:$B$124,MATCH(C1169,'Brand Map'!$A$4:$A$124,0)),"Other")</f>
        <v>AUMJ</v>
      </c>
      <c r="E1169" s="57" t="n">
        <v>2</v>
      </c>
      <c r="F1169" s="57" t="n">
        <v>0</v>
      </c>
      <c r="G1169" s="58" t="n">
        <v>223.9</v>
      </c>
      <c r="H1169" s="58" t="n">
        <v>0</v>
      </c>
      <c r="I1169" s="58" t="n">
        <v>223.9</v>
      </c>
      <c r="J1169" s="32" t="n">
        <f aca="false">IF(E1169&gt;0,F1169/E1169,0)</f>
        <v>0</v>
      </c>
      <c r="K1169" s="32" t="n">
        <f aca="false">IF(G1169&gt;0,H1169/G1169,0)</f>
        <v>-0</v>
      </c>
      <c r="L1169" s="59" t="n">
        <f aca="false">H1169/Settings!$B$16</f>
        <v>-0</v>
      </c>
      <c r="M1169" s="59" t="n">
        <f aca="false">H1169/Settings!$B$20</f>
        <v>-0</v>
      </c>
      <c r="N1169" s="60" t="n">
        <f aca="false">E1169*Settings!$B$3</f>
        <v>0.0619723021596408</v>
      </c>
      <c r="O1169" s="60" t="n">
        <f aca="false">IF(E1169&gt;0,(F1169-N1169)/SQRT(E1169*Settings!$B$3*(1-Settings!$B$3)),0)</f>
        <v>-0.252891261535318</v>
      </c>
      <c r="P1169" s="60" t="n">
        <f aca="false">MAX(0,F1169-N1169)</f>
        <v>0</v>
      </c>
      <c r="Q1169" s="32" t="n">
        <f aca="false">(F1169+Settings!$B$7*Settings!$B$3)/(E1169+Settings!$B$7)</f>
        <v>0.0290495166373316</v>
      </c>
      <c r="R1169" s="61" t="n">
        <f aca="false">PERCENTRANK($H$2:$H$1780,H1169,6)</f>
        <v>0</v>
      </c>
      <c r="S1169" s="61" t="n">
        <f aca="false">PERCENTRANK($Q$2:$Q$1780,Q1169,6)</f>
        <v>0.365579</v>
      </c>
      <c r="T1169" s="61" t="n">
        <f aca="false">PERCENTRANK($F$2:$F$1780,F1169,6)</f>
        <v>0</v>
      </c>
      <c r="U1169" s="62" t="n">
        <f aca="false">IF(F1169&gt;0,(Settings!$B$8*T1169+Settings!$B$9*R1169+Settings!$B$10*S1169)/SUM(Settings!$B$8:$B$10),0)</f>
        <v>0</v>
      </c>
      <c r="V1169" s="56" t="str">
        <f aca="false">IF(U1169&gt;0,RANK(U1169,$U$2:$U$1780)+COUNTIF($U$2:U1169,U1169)-1,"")</f>
        <v/>
      </c>
      <c r="W1169" s="56" t="str">
        <f aca="false">IF(V1169="","",IF(V1169&lt;=Settings!$B$11,"1 - Fix first",IF(V1169&lt;=Settings!$B$12,"2 - Review","3 - Monitor")))</f>
        <v/>
      </c>
      <c r="X1169" s="56" t="str">
        <f aca="false">IF(AND(E1169&gt;=Settings!$B$4,F1169&gt;=Settings!$B$5,O1169&gt;=Settings!$B$6),"HIGH RATE","")</f>
        <v/>
      </c>
      <c r="Y1169" s="56" t="str">
        <f aca="false">IF(F1169&gt;0,RANK(F1169,$F$2:$F$1780)+COUNTIF($F$2:F1169,F1169)-1,"")</f>
        <v/>
      </c>
      <c r="Z1169" s="56" t="str">
        <f aca="false">IF(H1169&gt;0,RANK(H1169,$H$2:$H$1780)+COUNTIF($H$2:H1169,H1169)-1,"")</f>
        <v/>
      </c>
      <c r="AA1169" s="56" t="str">
        <f aca="false">IF(AC1169="","",RANK(AC1169,$AC$2:$AC$1780)+COUNTIF($AC$2:AC1169,AC1169)-1)</f>
        <v/>
      </c>
      <c r="AB1169" s="56" t="str">
        <f aca="false">IF(AD1169="","",RANK(AD1169,$AD$2:$AD$1780)+COUNTIF($AD$2:AD1169,AD1169)-1)</f>
        <v/>
      </c>
      <c r="AC1169" s="56" t="str">
        <f aca="false">IF(AND(F1169&gt;0,E1169&gt;=Settings!$B$4),J1169,"")</f>
        <v/>
      </c>
      <c r="AD1169" s="56" t="str">
        <f aca="false">IF(X1169="HIGH RATE",O1169,"")</f>
        <v/>
      </c>
    </row>
    <row r="1170" customFormat="false" ht="15" hidden="false" customHeight="false" outlineLevel="0" collapsed="false">
      <c r="A1170" s="56" t="s">
        <v>2537</v>
      </c>
      <c r="B1170" s="56" t="s">
        <v>1036</v>
      </c>
      <c r="C1170" s="56" t="s">
        <v>55</v>
      </c>
      <c r="D1170" s="56" t="str">
        <f aca="false">IFERROR(INDEX('Brand Map'!$B$4:$B$124,MATCH(C1170,'Brand Map'!$A$4:$A$124,0)),"Other")</f>
        <v>AUMJ</v>
      </c>
      <c r="E1170" s="57" t="n">
        <v>1</v>
      </c>
      <c r="F1170" s="57" t="n">
        <v>0</v>
      </c>
      <c r="G1170" s="58" t="n">
        <v>68.14</v>
      </c>
      <c r="H1170" s="58" t="n">
        <v>0</v>
      </c>
      <c r="I1170" s="58" t="n">
        <v>68.14</v>
      </c>
      <c r="J1170" s="32" t="n">
        <f aca="false">IF(E1170&gt;0,F1170/E1170,0)</f>
        <v>0</v>
      </c>
      <c r="K1170" s="32" t="n">
        <f aca="false">IF(G1170&gt;0,H1170/G1170,0)</f>
        <v>-0</v>
      </c>
      <c r="L1170" s="59" t="n">
        <f aca="false">H1170/Settings!$B$16</f>
        <v>-0</v>
      </c>
      <c r="M1170" s="59" t="n">
        <f aca="false">H1170/Settings!$B$20</f>
        <v>-0</v>
      </c>
      <c r="N1170" s="60" t="n">
        <f aca="false">E1170*Settings!$B$3</f>
        <v>0.0309861510798204</v>
      </c>
      <c r="O1170" s="60" t="n">
        <f aca="false">IF(E1170&gt;0,(F1170-N1170)/SQRT(E1170*Settings!$B$3*(1-Settings!$B$3)),0)</f>
        <v>-0.178821125934444</v>
      </c>
      <c r="P1170" s="60" t="n">
        <f aca="false">MAX(0,F1170-N1170)</f>
        <v>0</v>
      </c>
      <c r="Q1170" s="32" t="n">
        <f aca="false">(F1170+Settings!$B$7*Settings!$B$3)/(E1170+Settings!$B$7)</f>
        <v>0.0299865978191811</v>
      </c>
      <c r="R1170" s="61" t="n">
        <f aca="false">PERCENTRANK($H$2:$H$1780,H1170,6)</f>
        <v>0</v>
      </c>
      <c r="S1170" s="61" t="n">
        <f aca="false">PERCENTRANK($Q$2:$Q$1780,Q1170,6)</f>
        <v>0.486502</v>
      </c>
      <c r="T1170" s="61" t="n">
        <f aca="false">PERCENTRANK($F$2:$F$1780,F1170,6)</f>
        <v>0</v>
      </c>
      <c r="U1170" s="62" t="n">
        <f aca="false">IF(F1170&gt;0,(Settings!$B$8*T1170+Settings!$B$9*R1170+Settings!$B$10*S1170)/SUM(Settings!$B$8:$B$10),0)</f>
        <v>0</v>
      </c>
      <c r="V1170" s="56" t="str">
        <f aca="false">IF(U1170&gt;0,RANK(U1170,$U$2:$U$1780)+COUNTIF($U$2:U1170,U1170)-1,"")</f>
        <v/>
      </c>
      <c r="W1170" s="56" t="str">
        <f aca="false">IF(V1170="","",IF(V1170&lt;=Settings!$B$11,"1 - Fix first",IF(V1170&lt;=Settings!$B$12,"2 - Review","3 - Monitor")))</f>
        <v/>
      </c>
      <c r="X1170" s="56" t="str">
        <f aca="false">IF(AND(E1170&gt;=Settings!$B$4,F1170&gt;=Settings!$B$5,O1170&gt;=Settings!$B$6),"HIGH RATE","")</f>
        <v/>
      </c>
      <c r="Y1170" s="56" t="str">
        <f aca="false">IF(F1170&gt;0,RANK(F1170,$F$2:$F$1780)+COUNTIF($F$2:F1170,F1170)-1,"")</f>
        <v/>
      </c>
      <c r="Z1170" s="56" t="str">
        <f aca="false">IF(H1170&gt;0,RANK(H1170,$H$2:$H$1780)+COUNTIF($H$2:H1170,H1170)-1,"")</f>
        <v/>
      </c>
      <c r="AA1170" s="56" t="str">
        <f aca="false">IF(AC1170="","",RANK(AC1170,$AC$2:$AC$1780)+COUNTIF($AC$2:AC1170,AC1170)-1)</f>
        <v/>
      </c>
      <c r="AB1170" s="56" t="str">
        <f aca="false">IF(AD1170="","",RANK(AD1170,$AD$2:$AD$1780)+COUNTIF($AD$2:AD1170,AD1170)-1)</f>
        <v/>
      </c>
      <c r="AC1170" s="56" t="str">
        <f aca="false">IF(AND(F1170&gt;0,E1170&gt;=Settings!$B$4),J1170,"")</f>
        <v/>
      </c>
      <c r="AD1170" s="56" t="str">
        <f aca="false">IF(X1170="HIGH RATE",O1170,"")</f>
        <v/>
      </c>
    </row>
    <row r="1171" customFormat="false" ht="15" hidden="false" customHeight="false" outlineLevel="0" collapsed="false">
      <c r="A1171" s="56" t="s">
        <v>2538</v>
      </c>
      <c r="B1171" s="56" t="s">
        <v>876</v>
      </c>
      <c r="C1171" s="56" t="s">
        <v>55</v>
      </c>
      <c r="D1171" s="56" t="str">
        <f aca="false">IFERROR(INDEX('Brand Map'!$B$4:$B$124,MATCH(C1171,'Brand Map'!$A$4:$A$124,0)),"Other")</f>
        <v>AUMJ</v>
      </c>
      <c r="E1171" s="57" t="n">
        <v>1</v>
      </c>
      <c r="F1171" s="57" t="n">
        <v>0</v>
      </c>
      <c r="G1171" s="58" t="n">
        <v>72.68</v>
      </c>
      <c r="H1171" s="58" t="n">
        <v>0</v>
      </c>
      <c r="I1171" s="58" t="n">
        <v>72.68</v>
      </c>
      <c r="J1171" s="32" t="n">
        <f aca="false">IF(E1171&gt;0,F1171/E1171,0)</f>
        <v>0</v>
      </c>
      <c r="K1171" s="32" t="n">
        <f aca="false">IF(G1171&gt;0,H1171/G1171,0)</f>
        <v>-0</v>
      </c>
      <c r="L1171" s="59" t="n">
        <f aca="false">H1171/Settings!$B$16</f>
        <v>-0</v>
      </c>
      <c r="M1171" s="59" t="n">
        <f aca="false">H1171/Settings!$B$20</f>
        <v>-0</v>
      </c>
      <c r="N1171" s="60" t="n">
        <f aca="false">E1171*Settings!$B$3</f>
        <v>0.0309861510798204</v>
      </c>
      <c r="O1171" s="60" t="n">
        <f aca="false">IF(E1171&gt;0,(F1171-N1171)/SQRT(E1171*Settings!$B$3*(1-Settings!$B$3)),0)</f>
        <v>-0.178821125934444</v>
      </c>
      <c r="P1171" s="60" t="n">
        <f aca="false">MAX(0,F1171-N1171)</f>
        <v>0</v>
      </c>
      <c r="Q1171" s="32" t="n">
        <f aca="false">(F1171+Settings!$B$7*Settings!$B$3)/(E1171+Settings!$B$7)</f>
        <v>0.0299865978191811</v>
      </c>
      <c r="R1171" s="61" t="n">
        <f aca="false">PERCENTRANK($H$2:$H$1780,H1171,6)</f>
        <v>0</v>
      </c>
      <c r="S1171" s="61" t="n">
        <f aca="false">PERCENTRANK($Q$2:$Q$1780,Q1171,6)</f>
        <v>0.486502</v>
      </c>
      <c r="T1171" s="61" t="n">
        <f aca="false">PERCENTRANK($F$2:$F$1780,F1171,6)</f>
        <v>0</v>
      </c>
      <c r="U1171" s="62" t="n">
        <f aca="false">IF(F1171&gt;0,(Settings!$B$8*T1171+Settings!$B$9*R1171+Settings!$B$10*S1171)/SUM(Settings!$B$8:$B$10),0)</f>
        <v>0</v>
      </c>
      <c r="V1171" s="56" t="str">
        <f aca="false">IF(U1171&gt;0,RANK(U1171,$U$2:$U$1780)+COUNTIF($U$2:U1171,U1171)-1,"")</f>
        <v/>
      </c>
      <c r="W1171" s="56" t="str">
        <f aca="false">IF(V1171="","",IF(V1171&lt;=Settings!$B$11,"1 - Fix first",IF(V1171&lt;=Settings!$B$12,"2 - Review","3 - Monitor")))</f>
        <v/>
      </c>
      <c r="X1171" s="56" t="str">
        <f aca="false">IF(AND(E1171&gt;=Settings!$B$4,F1171&gt;=Settings!$B$5,O1171&gt;=Settings!$B$6),"HIGH RATE","")</f>
        <v/>
      </c>
      <c r="Y1171" s="56" t="str">
        <f aca="false">IF(F1171&gt;0,RANK(F1171,$F$2:$F$1780)+COUNTIF($F$2:F1171,F1171)-1,"")</f>
        <v/>
      </c>
      <c r="Z1171" s="56" t="str">
        <f aca="false">IF(H1171&gt;0,RANK(H1171,$H$2:$H$1780)+COUNTIF($H$2:H1171,H1171)-1,"")</f>
        <v/>
      </c>
      <c r="AA1171" s="56" t="str">
        <f aca="false">IF(AC1171="","",RANK(AC1171,$AC$2:$AC$1780)+COUNTIF($AC$2:AC1171,AC1171)-1)</f>
        <v/>
      </c>
      <c r="AB1171" s="56" t="str">
        <f aca="false">IF(AD1171="","",RANK(AD1171,$AD$2:$AD$1780)+COUNTIF($AD$2:AD1171,AD1171)-1)</f>
        <v/>
      </c>
      <c r="AC1171" s="56" t="str">
        <f aca="false">IF(AND(F1171&gt;0,E1171&gt;=Settings!$B$4),J1171,"")</f>
        <v/>
      </c>
      <c r="AD1171" s="56" t="str">
        <f aca="false">IF(X1171="HIGH RATE",O1171,"")</f>
        <v/>
      </c>
    </row>
    <row r="1172" customFormat="false" ht="15" hidden="false" customHeight="false" outlineLevel="0" collapsed="false">
      <c r="A1172" s="56" t="s">
        <v>2539</v>
      </c>
      <c r="B1172" s="56" t="s">
        <v>876</v>
      </c>
      <c r="C1172" s="56" t="s">
        <v>55</v>
      </c>
      <c r="D1172" s="56" t="str">
        <f aca="false">IFERROR(INDEX('Brand Map'!$B$4:$B$124,MATCH(C1172,'Brand Map'!$A$4:$A$124,0)),"Other")</f>
        <v>AUMJ</v>
      </c>
      <c r="E1172" s="57" t="n">
        <v>6</v>
      </c>
      <c r="F1172" s="57" t="n">
        <v>0</v>
      </c>
      <c r="G1172" s="58" t="n">
        <v>815.7</v>
      </c>
      <c r="H1172" s="58" t="n">
        <v>0</v>
      </c>
      <c r="I1172" s="58" t="n">
        <v>815.7</v>
      </c>
      <c r="J1172" s="32" t="n">
        <f aca="false">IF(E1172&gt;0,F1172/E1172,0)</f>
        <v>0</v>
      </c>
      <c r="K1172" s="32" t="n">
        <f aca="false">IF(G1172&gt;0,H1172/G1172,0)</f>
        <v>-0</v>
      </c>
      <c r="L1172" s="59" t="n">
        <f aca="false">H1172/Settings!$B$16</f>
        <v>-0</v>
      </c>
      <c r="M1172" s="59" t="n">
        <f aca="false">H1172/Settings!$B$20</f>
        <v>-0</v>
      </c>
      <c r="N1172" s="60" t="n">
        <f aca="false">E1172*Settings!$B$3</f>
        <v>0.185916906478923</v>
      </c>
      <c r="O1172" s="60" t="n">
        <f aca="false">IF(E1172&gt;0,(F1172-N1172)/SQRT(E1172*Settings!$B$3*(1-Settings!$B$3)),0)</f>
        <v>-0.43802051376936</v>
      </c>
      <c r="P1172" s="60" t="n">
        <f aca="false">MAX(0,F1172-N1172)</f>
        <v>0</v>
      </c>
      <c r="Q1172" s="32" t="n">
        <f aca="false">(F1172+Settings!$B$7*Settings!$B$3)/(E1172+Settings!$B$7)</f>
        <v>0.025821792566517</v>
      </c>
      <c r="R1172" s="61" t="n">
        <f aca="false">PERCENTRANK($H$2:$H$1780,H1172,6)</f>
        <v>0</v>
      </c>
      <c r="S1172" s="61" t="n">
        <f aca="false">PERCENTRANK($Q$2:$Q$1780,Q1172,6)</f>
        <v>0.189539</v>
      </c>
      <c r="T1172" s="61" t="n">
        <f aca="false">PERCENTRANK($F$2:$F$1780,F1172,6)</f>
        <v>0</v>
      </c>
      <c r="U1172" s="62" t="n">
        <f aca="false">IF(F1172&gt;0,(Settings!$B$8*T1172+Settings!$B$9*R1172+Settings!$B$10*S1172)/SUM(Settings!$B$8:$B$10),0)</f>
        <v>0</v>
      </c>
      <c r="V1172" s="56" t="str">
        <f aca="false">IF(U1172&gt;0,RANK(U1172,$U$2:$U$1780)+COUNTIF($U$2:U1172,U1172)-1,"")</f>
        <v/>
      </c>
      <c r="W1172" s="56" t="str">
        <f aca="false">IF(V1172="","",IF(V1172&lt;=Settings!$B$11,"1 - Fix first",IF(V1172&lt;=Settings!$B$12,"2 - Review","3 - Monitor")))</f>
        <v/>
      </c>
      <c r="X1172" s="56" t="str">
        <f aca="false">IF(AND(E1172&gt;=Settings!$B$4,F1172&gt;=Settings!$B$5,O1172&gt;=Settings!$B$6),"HIGH RATE","")</f>
        <v/>
      </c>
      <c r="Y1172" s="56" t="str">
        <f aca="false">IF(F1172&gt;0,RANK(F1172,$F$2:$F$1780)+COUNTIF($F$2:F1172,F1172)-1,"")</f>
        <v/>
      </c>
      <c r="Z1172" s="56" t="str">
        <f aca="false">IF(H1172&gt;0,RANK(H1172,$H$2:$H$1780)+COUNTIF($H$2:H1172,H1172)-1,"")</f>
        <v/>
      </c>
      <c r="AA1172" s="56" t="str">
        <f aca="false">IF(AC1172="","",RANK(AC1172,$AC$2:$AC$1780)+COUNTIF($AC$2:AC1172,AC1172)-1)</f>
        <v/>
      </c>
      <c r="AB1172" s="56" t="str">
        <f aca="false">IF(AD1172="","",RANK(AD1172,$AD$2:$AD$1780)+COUNTIF($AD$2:AD1172,AD1172)-1)</f>
        <v/>
      </c>
      <c r="AC1172" s="56" t="str">
        <f aca="false">IF(AND(F1172&gt;0,E1172&gt;=Settings!$B$4),J1172,"")</f>
        <v/>
      </c>
      <c r="AD1172" s="56" t="str">
        <f aca="false">IF(X1172="HIGH RATE",O1172,"")</f>
        <v/>
      </c>
    </row>
    <row r="1173" customFormat="false" ht="15" hidden="false" customHeight="false" outlineLevel="0" collapsed="false">
      <c r="A1173" s="56" t="s">
        <v>2540</v>
      </c>
      <c r="B1173" s="56" t="s">
        <v>876</v>
      </c>
      <c r="C1173" s="56" t="s">
        <v>55</v>
      </c>
      <c r="D1173" s="56" t="str">
        <f aca="false">IFERROR(INDEX('Brand Map'!$B$4:$B$124,MATCH(C1173,'Brand Map'!$A$4:$A$124,0)),"Other")</f>
        <v>AUMJ</v>
      </c>
      <c r="E1173" s="57" t="n">
        <v>1</v>
      </c>
      <c r="F1173" s="57" t="n">
        <v>0</v>
      </c>
      <c r="G1173" s="58" t="n">
        <v>150.95</v>
      </c>
      <c r="H1173" s="58" t="n">
        <v>0</v>
      </c>
      <c r="I1173" s="58" t="n">
        <v>150.95</v>
      </c>
      <c r="J1173" s="32" t="n">
        <f aca="false">IF(E1173&gt;0,F1173/E1173,0)</f>
        <v>0</v>
      </c>
      <c r="K1173" s="32" t="n">
        <f aca="false">IF(G1173&gt;0,H1173/G1173,0)</f>
        <v>-0</v>
      </c>
      <c r="L1173" s="59" t="n">
        <f aca="false">H1173/Settings!$B$16</f>
        <v>-0</v>
      </c>
      <c r="M1173" s="59" t="n">
        <f aca="false">H1173/Settings!$B$20</f>
        <v>-0</v>
      </c>
      <c r="N1173" s="60" t="n">
        <f aca="false">E1173*Settings!$B$3</f>
        <v>0.0309861510798204</v>
      </c>
      <c r="O1173" s="60" t="n">
        <f aca="false">IF(E1173&gt;0,(F1173-N1173)/SQRT(E1173*Settings!$B$3*(1-Settings!$B$3)),0)</f>
        <v>-0.178821125934444</v>
      </c>
      <c r="P1173" s="60" t="n">
        <f aca="false">MAX(0,F1173-N1173)</f>
        <v>0</v>
      </c>
      <c r="Q1173" s="32" t="n">
        <f aca="false">(F1173+Settings!$B$7*Settings!$B$3)/(E1173+Settings!$B$7)</f>
        <v>0.0299865978191811</v>
      </c>
      <c r="R1173" s="61" t="n">
        <f aca="false">PERCENTRANK($H$2:$H$1780,H1173,6)</f>
        <v>0</v>
      </c>
      <c r="S1173" s="61" t="n">
        <f aca="false">PERCENTRANK($Q$2:$Q$1780,Q1173,6)</f>
        <v>0.486502</v>
      </c>
      <c r="T1173" s="61" t="n">
        <f aca="false">PERCENTRANK($F$2:$F$1780,F1173,6)</f>
        <v>0</v>
      </c>
      <c r="U1173" s="62" t="n">
        <f aca="false">IF(F1173&gt;0,(Settings!$B$8*T1173+Settings!$B$9*R1173+Settings!$B$10*S1173)/SUM(Settings!$B$8:$B$10),0)</f>
        <v>0</v>
      </c>
      <c r="V1173" s="56" t="str">
        <f aca="false">IF(U1173&gt;0,RANK(U1173,$U$2:$U$1780)+COUNTIF($U$2:U1173,U1173)-1,"")</f>
        <v/>
      </c>
      <c r="W1173" s="56" t="str">
        <f aca="false">IF(V1173="","",IF(V1173&lt;=Settings!$B$11,"1 - Fix first",IF(V1173&lt;=Settings!$B$12,"2 - Review","3 - Monitor")))</f>
        <v/>
      </c>
      <c r="X1173" s="56" t="str">
        <f aca="false">IF(AND(E1173&gt;=Settings!$B$4,F1173&gt;=Settings!$B$5,O1173&gt;=Settings!$B$6),"HIGH RATE","")</f>
        <v/>
      </c>
      <c r="Y1173" s="56" t="str">
        <f aca="false">IF(F1173&gt;0,RANK(F1173,$F$2:$F$1780)+COUNTIF($F$2:F1173,F1173)-1,"")</f>
        <v/>
      </c>
      <c r="Z1173" s="56" t="str">
        <f aca="false">IF(H1173&gt;0,RANK(H1173,$H$2:$H$1780)+COUNTIF($H$2:H1173,H1173)-1,"")</f>
        <v/>
      </c>
      <c r="AA1173" s="56" t="str">
        <f aca="false">IF(AC1173="","",RANK(AC1173,$AC$2:$AC$1780)+COUNTIF($AC$2:AC1173,AC1173)-1)</f>
        <v/>
      </c>
      <c r="AB1173" s="56" t="str">
        <f aca="false">IF(AD1173="","",RANK(AD1173,$AD$2:$AD$1780)+COUNTIF($AD$2:AD1173,AD1173)-1)</f>
        <v/>
      </c>
      <c r="AC1173" s="56" t="str">
        <f aca="false">IF(AND(F1173&gt;0,E1173&gt;=Settings!$B$4),J1173,"")</f>
        <v/>
      </c>
      <c r="AD1173" s="56" t="str">
        <f aca="false">IF(X1173="HIGH RATE",O1173,"")</f>
        <v/>
      </c>
    </row>
    <row r="1174" customFormat="false" ht="15" hidden="false" customHeight="false" outlineLevel="0" collapsed="false">
      <c r="A1174" s="56" t="s">
        <v>2541</v>
      </c>
      <c r="B1174" s="56" t="s">
        <v>876</v>
      </c>
      <c r="C1174" s="56" t="s">
        <v>55</v>
      </c>
      <c r="D1174" s="56" t="str">
        <f aca="false">IFERROR(INDEX('Brand Map'!$B$4:$B$124,MATCH(C1174,'Brand Map'!$A$4:$A$124,0)),"Other")</f>
        <v>AUMJ</v>
      </c>
      <c r="E1174" s="57" t="n">
        <v>3</v>
      </c>
      <c r="F1174" s="57" t="n">
        <v>0</v>
      </c>
      <c r="G1174" s="58" t="n">
        <v>272.58</v>
      </c>
      <c r="H1174" s="58" t="n">
        <v>0</v>
      </c>
      <c r="I1174" s="58" t="n">
        <v>258.97</v>
      </c>
      <c r="J1174" s="32" t="n">
        <f aca="false">IF(E1174&gt;0,F1174/E1174,0)</f>
        <v>0</v>
      </c>
      <c r="K1174" s="32" t="n">
        <f aca="false">IF(G1174&gt;0,H1174/G1174,0)</f>
        <v>-0</v>
      </c>
      <c r="L1174" s="59" t="n">
        <f aca="false">H1174/Settings!$B$16</f>
        <v>-0</v>
      </c>
      <c r="M1174" s="59" t="n">
        <f aca="false">H1174/Settings!$B$20</f>
        <v>-0</v>
      </c>
      <c r="N1174" s="60" t="n">
        <f aca="false">E1174*Settings!$B$3</f>
        <v>0.0929584532394613</v>
      </c>
      <c r="O1174" s="60" t="n">
        <f aca="false">IF(E1174&gt;0,(F1174-N1174)/SQRT(E1174*Settings!$B$3*(1-Settings!$B$3)),0)</f>
        <v>-0.30972727558513</v>
      </c>
      <c r="P1174" s="60" t="n">
        <f aca="false">MAX(0,F1174-N1174)</f>
        <v>0</v>
      </c>
      <c r="Q1174" s="32" t="n">
        <f aca="false">(F1174+Settings!$B$7*Settings!$B$3)/(E1174+Settings!$B$7)</f>
        <v>0.0281692282543822</v>
      </c>
      <c r="R1174" s="61" t="n">
        <f aca="false">PERCENTRANK($H$2:$H$1780,H1174,6)</f>
        <v>0</v>
      </c>
      <c r="S1174" s="61" t="n">
        <f aca="false">PERCENTRANK($Q$2:$Q$1780,Q1174,6)</f>
        <v>0.294151</v>
      </c>
      <c r="T1174" s="61" t="n">
        <f aca="false">PERCENTRANK($F$2:$F$1780,F1174,6)</f>
        <v>0</v>
      </c>
      <c r="U1174" s="62" t="n">
        <f aca="false">IF(F1174&gt;0,(Settings!$B$8*T1174+Settings!$B$9*R1174+Settings!$B$10*S1174)/SUM(Settings!$B$8:$B$10),0)</f>
        <v>0</v>
      </c>
      <c r="V1174" s="56" t="str">
        <f aca="false">IF(U1174&gt;0,RANK(U1174,$U$2:$U$1780)+COUNTIF($U$2:U1174,U1174)-1,"")</f>
        <v/>
      </c>
      <c r="W1174" s="56" t="str">
        <f aca="false">IF(V1174="","",IF(V1174&lt;=Settings!$B$11,"1 - Fix first",IF(V1174&lt;=Settings!$B$12,"2 - Review","3 - Monitor")))</f>
        <v/>
      </c>
      <c r="X1174" s="56" t="str">
        <f aca="false">IF(AND(E1174&gt;=Settings!$B$4,F1174&gt;=Settings!$B$5,O1174&gt;=Settings!$B$6),"HIGH RATE","")</f>
        <v/>
      </c>
      <c r="Y1174" s="56" t="str">
        <f aca="false">IF(F1174&gt;0,RANK(F1174,$F$2:$F$1780)+COUNTIF($F$2:F1174,F1174)-1,"")</f>
        <v/>
      </c>
      <c r="Z1174" s="56" t="str">
        <f aca="false">IF(H1174&gt;0,RANK(H1174,$H$2:$H$1780)+COUNTIF($H$2:H1174,H1174)-1,"")</f>
        <v/>
      </c>
      <c r="AA1174" s="56" t="str">
        <f aca="false">IF(AC1174="","",RANK(AC1174,$AC$2:$AC$1780)+COUNTIF($AC$2:AC1174,AC1174)-1)</f>
        <v/>
      </c>
      <c r="AB1174" s="56" t="str">
        <f aca="false">IF(AD1174="","",RANK(AD1174,$AD$2:$AD$1780)+COUNTIF($AD$2:AD1174,AD1174)-1)</f>
        <v/>
      </c>
      <c r="AC1174" s="56" t="str">
        <f aca="false">IF(AND(F1174&gt;0,E1174&gt;=Settings!$B$4),J1174,"")</f>
        <v/>
      </c>
      <c r="AD1174" s="56" t="str">
        <f aca="false">IF(X1174="HIGH RATE",O1174,"")</f>
        <v/>
      </c>
    </row>
    <row r="1175" customFormat="false" ht="15" hidden="false" customHeight="false" outlineLevel="0" collapsed="false">
      <c r="A1175" s="56" t="s">
        <v>2542</v>
      </c>
      <c r="B1175" s="56" t="s">
        <v>957</v>
      </c>
      <c r="C1175" s="56" t="s">
        <v>55</v>
      </c>
      <c r="D1175" s="56" t="str">
        <f aca="false">IFERROR(INDEX('Brand Map'!$B$4:$B$124,MATCH(C1175,'Brand Map'!$A$4:$A$124,0)),"Other")</f>
        <v>AUMJ</v>
      </c>
      <c r="E1175" s="57" t="n">
        <v>13</v>
      </c>
      <c r="F1175" s="57" t="n">
        <v>0</v>
      </c>
      <c r="G1175" s="58" t="n">
        <v>1520.35</v>
      </c>
      <c r="H1175" s="58" t="n">
        <v>0</v>
      </c>
      <c r="I1175" s="58" t="n">
        <v>1520.35</v>
      </c>
      <c r="J1175" s="32" t="n">
        <f aca="false">IF(E1175&gt;0,F1175/E1175,0)</f>
        <v>0</v>
      </c>
      <c r="K1175" s="32" t="n">
        <f aca="false">IF(G1175&gt;0,H1175/G1175,0)</f>
        <v>-0</v>
      </c>
      <c r="L1175" s="59" t="n">
        <f aca="false">H1175/Settings!$B$16</f>
        <v>-0</v>
      </c>
      <c r="M1175" s="59" t="n">
        <f aca="false">H1175/Settings!$B$20</f>
        <v>-0</v>
      </c>
      <c r="N1175" s="60" t="n">
        <f aca="false">E1175*Settings!$B$3</f>
        <v>0.402819964037665</v>
      </c>
      <c r="O1175" s="60" t="n">
        <f aca="false">IF(E1175&gt;0,(F1175-N1175)/SQRT(E1175*Settings!$B$3*(1-Settings!$B$3)),0)</f>
        <v>-0.644748738692841</v>
      </c>
      <c r="P1175" s="60" t="n">
        <f aca="false">MAX(0,F1175-N1175)</f>
        <v>0</v>
      </c>
      <c r="Q1175" s="32" t="n">
        <f aca="false">(F1175+Settings!$B$7*Settings!$B$3)/(E1175+Settings!$B$7)</f>
        <v>0.0216182449394096</v>
      </c>
      <c r="R1175" s="61" t="n">
        <f aca="false">PERCENTRANK($H$2:$H$1780,H1175,6)</f>
        <v>0</v>
      </c>
      <c r="S1175" s="61" t="n">
        <f aca="false">PERCENTRANK($Q$2:$Q$1780,Q1175,6)</f>
        <v>0.104049</v>
      </c>
      <c r="T1175" s="61" t="n">
        <f aca="false">PERCENTRANK($F$2:$F$1780,F1175,6)</f>
        <v>0</v>
      </c>
      <c r="U1175" s="62" t="n">
        <f aca="false">IF(F1175&gt;0,(Settings!$B$8*T1175+Settings!$B$9*R1175+Settings!$B$10*S1175)/SUM(Settings!$B$8:$B$10),0)</f>
        <v>0</v>
      </c>
      <c r="V1175" s="56" t="str">
        <f aca="false">IF(U1175&gt;0,RANK(U1175,$U$2:$U$1780)+COUNTIF($U$2:U1175,U1175)-1,"")</f>
        <v/>
      </c>
      <c r="W1175" s="56" t="str">
        <f aca="false">IF(V1175="","",IF(V1175&lt;=Settings!$B$11,"1 - Fix first",IF(V1175&lt;=Settings!$B$12,"2 - Review","3 - Monitor")))</f>
        <v/>
      </c>
      <c r="X1175" s="56" t="str">
        <f aca="false">IF(AND(E1175&gt;=Settings!$B$4,F1175&gt;=Settings!$B$5,O1175&gt;=Settings!$B$6),"HIGH RATE","")</f>
        <v/>
      </c>
      <c r="Y1175" s="56" t="str">
        <f aca="false">IF(F1175&gt;0,RANK(F1175,$F$2:$F$1780)+COUNTIF($F$2:F1175,F1175)-1,"")</f>
        <v/>
      </c>
      <c r="Z1175" s="56" t="str">
        <f aca="false">IF(H1175&gt;0,RANK(H1175,$H$2:$H$1780)+COUNTIF($H$2:H1175,H1175)-1,"")</f>
        <v/>
      </c>
      <c r="AA1175" s="56" t="str">
        <f aca="false">IF(AC1175="","",RANK(AC1175,$AC$2:$AC$1780)+COUNTIF($AC$2:AC1175,AC1175)-1)</f>
        <v/>
      </c>
      <c r="AB1175" s="56" t="str">
        <f aca="false">IF(AD1175="","",RANK(AD1175,$AD$2:$AD$1780)+COUNTIF($AD$2:AD1175,AD1175)-1)</f>
        <v/>
      </c>
      <c r="AC1175" s="56" t="str">
        <f aca="false">IF(AND(F1175&gt;0,E1175&gt;=Settings!$B$4),J1175,"")</f>
        <v/>
      </c>
      <c r="AD1175" s="56" t="str">
        <f aca="false">IF(X1175="HIGH RATE",O1175,"")</f>
        <v/>
      </c>
    </row>
    <row r="1176" customFormat="false" ht="15" hidden="false" customHeight="false" outlineLevel="0" collapsed="false">
      <c r="A1176" s="56" t="s">
        <v>2543</v>
      </c>
      <c r="B1176" s="56" t="s">
        <v>957</v>
      </c>
      <c r="C1176" s="56" t="s">
        <v>55</v>
      </c>
      <c r="D1176" s="56" t="str">
        <f aca="false">IFERROR(INDEX('Brand Map'!$B$4:$B$124,MATCH(C1176,'Brand Map'!$A$4:$A$124,0)),"Other")</f>
        <v>AUMJ</v>
      </c>
      <c r="E1176" s="57" t="n">
        <v>1</v>
      </c>
      <c r="F1176" s="57" t="n">
        <v>0</v>
      </c>
      <c r="G1176" s="58" t="n">
        <v>106.32</v>
      </c>
      <c r="H1176" s="58" t="n">
        <v>0</v>
      </c>
      <c r="I1176" s="58" t="n">
        <v>106.32</v>
      </c>
      <c r="J1176" s="32" t="n">
        <f aca="false">IF(E1176&gt;0,F1176/E1176,0)</f>
        <v>0</v>
      </c>
      <c r="K1176" s="32" t="n">
        <f aca="false">IF(G1176&gt;0,H1176/G1176,0)</f>
        <v>-0</v>
      </c>
      <c r="L1176" s="59" t="n">
        <f aca="false">H1176/Settings!$B$16</f>
        <v>-0</v>
      </c>
      <c r="M1176" s="59" t="n">
        <f aca="false">H1176/Settings!$B$20</f>
        <v>-0</v>
      </c>
      <c r="N1176" s="60" t="n">
        <f aca="false">E1176*Settings!$B$3</f>
        <v>0.0309861510798204</v>
      </c>
      <c r="O1176" s="60" t="n">
        <f aca="false">IF(E1176&gt;0,(F1176-N1176)/SQRT(E1176*Settings!$B$3*(1-Settings!$B$3)),0)</f>
        <v>-0.178821125934444</v>
      </c>
      <c r="P1176" s="60" t="n">
        <f aca="false">MAX(0,F1176-N1176)</f>
        <v>0</v>
      </c>
      <c r="Q1176" s="32" t="n">
        <f aca="false">(F1176+Settings!$B$7*Settings!$B$3)/(E1176+Settings!$B$7)</f>
        <v>0.0299865978191811</v>
      </c>
      <c r="R1176" s="61" t="n">
        <f aca="false">PERCENTRANK($H$2:$H$1780,H1176,6)</f>
        <v>0</v>
      </c>
      <c r="S1176" s="61" t="n">
        <f aca="false">PERCENTRANK($Q$2:$Q$1780,Q1176,6)</f>
        <v>0.486502</v>
      </c>
      <c r="T1176" s="61" t="n">
        <f aca="false">PERCENTRANK($F$2:$F$1780,F1176,6)</f>
        <v>0</v>
      </c>
      <c r="U1176" s="62" t="n">
        <f aca="false">IF(F1176&gt;0,(Settings!$B$8*T1176+Settings!$B$9*R1176+Settings!$B$10*S1176)/SUM(Settings!$B$8:$B$10),0)</f>
        <v>0</v>
      </c>
      <c r="V1176" s="56" t="str">
        <f aca="false">IF(U1176&gt;0,RANK(U1176,$U$2:$U$1780)+COUNTIF($U$2:U1176,U1176)-1,"")</f>
        <v/>
      </c>
      <c r="W1176" s="56" t="str">
        <f aca="false">IF(V1176="","",IF(V1176&lt;=Settings!$B$11,"1 - Fix first",IF(V1176&lt;=Settings!$B$12,"2 - Review","3 - Monitor")))</f>
        <v/>
      </c>
      <c r="X1176" s="56" t="str">
        <f aca="false">IF(AND(E1176&gt;=Settings!$B$4,F1176&gt;=Settings!$B$5,O1176&gt;=Settings!$B$6),"HIGH RATE","")</f>
        <v/>
      </c>
      <c r="Y1176" s="56" t="str">
        <f aca="false">IF(F1176&gt;0,RANK(F1176,$F$2:$F$1780)+COUNTIF($F$2:F1176,F1176)-1,"")</f>
        <v/>
      </c>
      <c r="Z1176" s="56" t="str">
        <f aca="false">IF(H1176&gt;0,RANK(H1176,$H$2:$H$1780)+COUNTIF($H$2:H1176,H1176)-1,"")</f>
        <v/>
      </c>
      <c r="AA1176" s="56" t="str">
        <f aca="false">IF(AC1176="","",RANK(AC1176,$AC$2:$AC$1780)+COUNTIF($AC$2:AC1176,AC1176)-1)</f>
        <v/>
      </c>
      <c r="AB1176" s="56" t="str">
        <f aca="false">IF(AD1176="","",RANK(AD1176,$AD$2:$AD$1780)+COUNTIF($AD$2:AD1176,AD1176)-1)</f>
        <v/>
      </c>
      <c r="AC1176" s="56" t="str">
        <f aca="false">IF(AND(F1176&gt;0,E1176&gt;=Settings!$B$4),J1176,"")</f>
        <v/>
      </c>
      <c r="AD1176" s="56" t="str">
        <f aca="false">IF(X1176="HIGH RATE",O1176,"")</f>
        <v/>
      </c>
    </row>
    <row r="1177" customFormat="false" ht="15" hidden="false" customHeight="false" outlineLevel="0" collapsed="false">
      <c r="A1177" s="56" t="s">
        <v>2544</v>
      </c>
      <c r="B1177" s="56" t="s">
        <v>957</v>
      </c>
      <c r="C1177" s="56" t="s">
        <v>55</v>
      </c>
      <c r="D1177" s="56" t="str">
        <f aca="false">IFERROR(INDEX('Brand Map'!$B$4:$B$124,MATCH(C1177,'Brand Map'!$A$4:$A$124,0)),"Other")</f>
        <v>AUMJ</v>
      </c>
      <c r="E1177" s="57" t="n">
        <v>5</v>
      </c>
      <c r="F1177" s="57" t="n">
        <v>0</v>
      </c>
      <c r="G1177" s="58" t="n">
        <v>659.75</v>
      </c>
      <c r="H1177" s="58" t="n">
        <v>0</v>
      </c>
      <c r="I1177" s="58" t="n">
        <v>659.75</v>
      </c>
      <c r="J1177" s="32" t="n">
        <f aca="false">IF(E1177&gt;0,F1177/E1177,0)</f>
        <v>0</v>
      </c>
      <c r="K1177" s="32" t="n">
        <f aca="false">IF(G1177&gt;0,H1177/G1177,0)</f>
        <v>-0</v>
      </c>
      <c r="L1177" s="59" t="n">
        <f aca="false">H1177/Settings!$B$16</f>
        <v>-0</v>
      </c>
      <c r="M1177" s="59" t="n">
        <f aca="false">H1177/Settings!$B$20</f>
        <v>-0</v>
      </c>
      <c r="N1177" s="60" t="n">
        <f aca="false">E1177*Settings!$B$3</f>
        <v>0.154930755399102</v>
      </c>
      <c r="O1177" s="60" t="n">
        <f aca="false">IF(E1177&gt;0,(F1177-N1177)/SQRT(E1177*Settings!$B$3*(1-Settings!$B$3)),0)</f>
        <v>-0.399856193402468</v>
      </c>
      <c r="P1177" s="60" t="n">
        <f aca="false">MAX(0,F1177-N1177)</f>
        <v>0</v>
      </c>
      <c r="Q1177" s="32" t="n">
        <f aca="false">(F1177+Settings!$B$7*Settings!$B$3)/(E1177+Settings!$B$7)</f>
        <v>0.0265595580684175</v>
      </c>
      <c r="R1177" s="61" t="n">
        <f aca="false">PERCENTRANK($H$2:$H$1780,H1177,6)</f>
        <v>0</v>
      </c>
      <c r="S1177" s="61" t="n">
        <f aca="false">PERCENTRANK($Q$2:$Q$1780,Q1177,6)</f>
        <v>0.220472</v>
      </c>
      <c r="T1177" s="61" t="n">
        <f aca="false">PERCENTRANK($F$2:$F$1780,F1177,6)</f>
        <v>0</v>
      </c>
      <c r="U1177" s="62" t="n">
        <f aca="false">IF(F1177&gt;0,(Settings!$B$8*T1177+Settings!$B$9*R1177+Settings!$B$10*S1177)/SUM(Settings!$B$8:$B$10),0)</f>
        <v>0</v>
      </c>
      <c r="V1177" s="56" t="str">
        <f aca="false">IF(U1177&gt;0,RANK(U1177,$U$2:$U$1780)+COUNTIF($U$2:U1177,U1177)-1,"")</f>
        <v/>
      </c>
      <c r="W1177" s="56" t="str">
        <f aca="false">IF(V1177="","",IF(V1177&lt;=Settings!$B$11,"1 - Fix first",IF(V1177&lt;=Settings!$B$12,"2 - Review","3 - Monitor")))</f>
        <v/>
      </c>
      <c r="X1177" s="56" t="str">
        <f aca="false">IF(AND(E1177&gt;=Settings!$B$4,F1177&gt;=Settings!$B$5,O1177&gt;=Settings!$B$6),"HIGH RATE","")</f>
        <v/>
      </c>
      <c r="Y1177" s="56" t="str">
        <f aca="false">IF(F1177&gt;0,RANK(F1177,$F$2:$F$1780)+COUNTIF($F$2:F1177,F1177)-1,"")</f>
        <v/>
      </c>
      <c r="Z1177" s="56" t="str">
        <f aca="false">IF(H1177&gt;0,RANK(H1177,$H$2:$H$1780)+COUNTIF($H$2:H1177,H1177)-1,"")</f>
        <v/>
      </c>
      <c r="AA1177" s="56" t="str">
        <f aca="false">IF(AC1177="","",RANK(AC1177,$AC$2:$AC$1780)+COUNTIF($AC$2:AC1177,AC1177)-1)</f>
        <v/>
      </c>
      <c r="AB1177" s="56" t="str">
        <f aca="false">IF(AD1177="","",RANK(AD1177,$AD$2:$AD$1780)+COUNTIF($AD$2:AD1177,AD1177)-1)</f>
        <v/>
      </c>
      <c r="AC1177" s="56" t="str">
        <f aca="false">IF(AND(F1177&gt;0,E1177&gt;=Settings!$B$4),J1177,"")</f>
        <v/>
      </c>
      <c r="AD1177" s="56" t="str">
        <f aca="false">IF(X1177="HIGH RATE",O1177,"")</f>
        <v/>
      </c>
    </row>
    <row r="1178" customFormat="false" ht="15" hidden="false" customHeight="false" outlineLevel="0" collapsed="false">
      <c r="A1178" s="56" t="s">
        <v>2545</v>
      </c>
      <c r="B1178" s="56" t="s">
        <v>957</v>
      </c>
      <c r="C1178" s="56" t="s">
        <v>55</v>
      </c>
      <c r="D1178" s="56" t="str">
        <f aca="false">IFERROR(INDEX('Brand Map'!$B$4:$B$124,MATCH(C1178,'Brand Map'!$A$4:$A$124,0)),"Other")</f>
        <v>AUMJ</v>
      </c>
      <c r="E1178" s="57" t="n">
        <v>1</v>
      </c>
      <c r="F1178" s="57" t="n">
        <v>0</v>
      </c>
      <c r="G1178" s="58" t="n">
        <v>146.95</v>
      </c>
      <c r="H1178" s="58" t="n">
        <v>0</v>
      </c>
      <c r="I1178" s="58" t="n">
        <v>146.95</v>
      </c>
      <c r="J1178" s="32" t="n">
        <f aca="false">IF(E1178&gt;0,F1178/E1178,0)</f>
        <v>0</v>
      </c>
      <c r="K1178" s="32" t="n">
        <f aca="false">IF(G1178&gt;0,H1178/G1178,0)</f>
        <v>-0</v>
      </c>
      <c r="L1178" s="59" t="n">
        <f aca="false">H1178/Settings!$B$16</f>
        <v>-0</v>
      </c>
      <c r="M1178" s="59" t="n">
        <f aca="false">H1178/Settings!$B$20</f>
        <v>-0</v>
      </c>
      <c r="N1178" s="60" t="n">
        <f aca="false">E1178*Settings!$B$3</f>
        <v>0.0309861510798204</v>
      </c>
      <c r="O1178" s="60" t="n">
        <f aca="false">IF(E1178&gt;0,(F1178-N1178)/SQRT(E1178*Settings!$B$3*(1-Settings!$B$3)),0)</f>
        <v>-0.178821125934444</v>
      </c>
      <c r="P1178" s="60" t="n">
        <f aca="false">MAX(0,F1178-N1178)</f>
        <v>0</v>
      </c>
      <c r="Q1178" s="32" t="n">
        <f aca="false">(F1178+Settings!$B$7*Settings!$B$3)/(E1178+Settings!$B$7)</f>
        <v>0.0299865978191811</v>
      </c>
      <c r="R1178" s="61" t="n">
        <f aca="false">PERCENTRANK($H$2:$H$1780,H1178,6)</f>
        <v>0</v>
      </c>
      <c r="S1178" s="61" t="n">
        <f aca="false">PERCENTRANK($Q$2:$Q$1780,Q1178,6)</f>
        <v>0.486502</v>
      </c>
      <c r="T1178" s="61" t="n">
        <f aca="false">PERCENTRANK($F$2:$F$1780,F1178,6)</f>
        <v>0</v>
      </c>
      <c r="U1178" s="62" t="n">
        <f aca="false">IF(F1178&gt;0,(Settings!$B$8*T1178+Settings!$B$9*R1178+Settings!$B$10*S1178)/SUM(Settings!$B$8:$B$10),0)</f>
        <v>0</v>
      </c>
      <c r="V1178" s="56" t="str">
        <f aca="false">IF(U1178&gt;0,RANK(U1178,$U$2:$U$1780)+COUNTIF($U$2:U1178,U1178)-1,"")</f>
        <v/>
      </c>
      <c r="W1178" s="56" t="str">
        <f aca="false">IF(V1178="","",IF(V1178&lt;=Settings!$B$11,"1 - Fix first",IF(V1178&lt;=Settings!$B$12,"2 - Review","3 - Monitor")))</f>
        <v/>
      </c>
      <c r="X1178" s="56" t="str">
        <f aca="false">IF(AND(E1178&gt;=Settings!$B$4,F1178&gt;=Settings!$B$5,O1178&gt;=Settings!$B$6),"HIGH RATE","")</f>
        <v/>
      </c>
      <c r="Y1178" s="56" t="str">
        <f aca="false">IF(F1178&gt;0,RANK(F1178,$F$2:$F$1780)+COUNTIF($F$2:F1178,F1178)-1,"")</f>
        <v/>
      </c>
      <c r="Z1178" s="56" t="str">
        <f aca="false">IF(H1178&gt;0,RANK(H1178,$H$2:$H$1780)+COUNTIF($H$2:H1178,H1178)-1,"")</f>
        <v/>
      </c>
      <c r="AA1178" s="56" t="str">
        <f aca="false">IF(AC1178="","",RANK(AC1178,$AC$2:$AC$1780)+COUNTIF($AC$2:AC1178,AC1178)-1)</f>
        <v/>
      </c>
      <c r="AB1178" s="56" t="str">
        <f aca="false">IF(AD1178="","",RANK(AD1178,$AD$2:$AD$1780)+COUNTIF($AD$2:AD1178,AD1178)-1)</f>
        <v/>
      </c>
      <c r="AC1178" s="56" t="str">
        <f aca="false">IF(AND(F1178&gt;0,E1178&gt;=Settings!$B$4),J1178,"")</f>
        <v/>
      </c>
      <c r="AD1178" s="56" t="str">
        <f aca="false">IF(X1178="HIGH RATE",O1178,"")</f>
        <v/>
      </c>
    </row>
    <row r="1179" customFormat="false" ht="15" hidden="false" customHeight="false" outlineLevel="0" collapsed="false">
      <c r="A1179" s="56" t="s">
        <v>2546</v>
      </c>
      <c r="B1179" s="56" t="s">
        <v>957</v>
      </c>
      <c r="C1179" s="56" t="s">
        <v>55</v>
      </c>
      <c r="D1179" s="56" t="str">
        <f aca="false">IFERROR(INDEX('Brand Map'!$B$4:$B$124,MATCH(C1179,'Brand Map'!$A$4:$A$124,0)),"Other")</f>
        <v>AUMJ</v>
      </c>
      <c r="E1179" s="57" t="n">
        <v>21</v>
      </c>
      <c r="F1179" s="57" t="n">
        <v>0</v>
      </c>
      <c r="G1179" s="58" t="n">
        <v>2016.6</v>
      </c>
      <c r="H1179" s="58" t="n">
        <v>0</v>
      </c>
      <c r="I1179" s="58" t="n">
        <v>2001.31</v>
      </c>
      <c r="J1179" s="32" t="n">
        <f aca="false">IF(E1179&gt;0,F1179/E1179,0)</f>
        <v>0</v>
      </c>
      <c r="K1179" s="32" t="n">
        <f aca="false">IF(G1179&gt;0,H1179/G1179,0)</f>
        <v>-0</v>
      </c>
      <c r="L1179" s="59" t="n">
        <f aca="false">H1179/Settings!$B$16</f>
        <v>-0</v>
      </c>
      <c r="M1179" s="59" t="n">
        <f aca="false">H1179/Settings!$B$20</f>
        <v>-0</v>
      </c>
      <c r="N1179" s="60" t="n">
        <f aca="false">E1179*Settings!$B$3</f>
        <v>0.650709172676229</v>
      </c>
      <c r="O1179" s="60" t="n">
        <f aca="false">IF(E1179&gt;0,(F1179-N1179)/SQRT(E1179*Settings!$B$3*(1-Settings!$B$3)),0)</f>
        <v>-0.819461345451821</v>
      </c>
      <c r="P1179" s="60" t="n">
        <f aca="false">MAX(0,F1179-N1179)</f>
        <v>0</v>
      </c>
      <c r="Q1179" s="32" t="n">
        <f aca="false">(F1179+Settings!$B$7*Settings!$B$3)/(E1179+Settings!$B$7)</f>
        <v>0.018227147694012</v>
      </c>
      <c r="R1179" s="61" t="n">
        <f aca="false">PERCENTRANK($H$2:$H$1780,H1179,6)</f>
        <v>0</v>
      </c>
      <c r="S1179" s="61" t="n">
        <f aca="false">PERCENTRANK($Q$2:$Q$1780,Q1179,6)</f>
        <v>0.0697413</v>
      </c>
      <c r="T1179" s="61" t="n">
        <f aca="false">PERCENTRANK($F$2:$F$1780,F1179,6)</f>
        <v>0</v>
      </c>
      <c r="U1179" s="62" t="n">
        <f aca="false">IF(F1179&gt;0,(Settings!$B$8*T1179+Settings!$B$9*R1179+Settings!$B$10*S1179)/SUM(Settings!$B$8:$B$10),0)</f>
        <v>0</v>
      </c>
      <c r="V1179" s="56" t="str">
        <f aca="false">IF(U1179&gt;0,RANK(U1179,$U$2:$U$1780)+COUNTIF($U$2:U1179,U1179)-1,"")</f>
        <v/>
      </c>
      <c r="W1179" s="56" t="str">
        <f aca="false">IF(V1179="","",IF(V1179&lt;=Settings!$B$11,"1 - Fix first",IF(V1179&lt;=Settings!$B$12,"2 - Review","3 - Monitor")))</f>
        <v/>
      </c>
      <c r="X1179" s="56" t="str">
        <f aca="false">IF(AND(E1179&gt;=Settings!$B$4,F1179&gt;=Settings!$B$5,O1179&gt;=Settings!$B$6),"HIGH RATE","")</f>
        <v/>
      </c>
      <c r="Y1179" s="56" t="str">
        <f aca="false">IF(F1179&gt;0,RANK(F1179,$F$2:$F$1780)+COUNTIF($F$2:F1179,F1179)-1,"")</f>
        <v/>
      </c>
      <c r="Z1179" s="56" t="str">
        <f aca="false">IF(H1179&gt;0,RANK(H1179,$H$2:$H$1780)+COUNTIF($H$2:H1179,H1179)-1,"")</f>
        <v/>
      </c>
      <c r="AA1179" s="56" t="str">
        <f aca="false">IF(AC1179="","",RANK(AC1179,$AC$2:$AC$1780)+COUNTIF($AC$2:AC1179,AC1179)-1)</f>
        <v/>
      </c>
      <c r="AB1179" s="56" t="str">
        <f aca="false">IF(AD1179="","",RANK(AD1179,$AD$2:$AD$1780)+COUNTIF($AD$2:AD1179,AD1179)-1)</f>
        <v/>
      </c>
      <c r="AC1179" s="56" t="str">
        <f aca="false">IF(AND(F1179&gt;0,E1179&gt;=Settings!$B$4),J1179,"")</f>
        <v/>
      </c>
      <c r="AD1179" s="56" t="str">
        <f aca="false">IF(X1179="HIGH RATE",O1179,"")</f>
        <v/>
      </c>
    </row>
    <row r="1180" customFormat="false" ht="15" hidden="false" customHeight="false" outlineLevel="0" collapsed="false">
      <c r="A1180" s="56" t="s">
        <v>2547</v>
      </c>
      <c r="B1180" s="56" t="s">
        <v>957</v>
      </c>
      <c r="C1180" s="56" t="s">
        <v>55</v>
      </c>
      <c r="D1180" s="56" t="str">
        <f aca="false">IFERROR(INDEX('Brand Map'!$B$4:$B$124,MATCH(C1180,'Brand Map'!$A$4:$A$124,0)),"Other")</f>
        <v>AUMJ</v>
      </c>
      <c r="E1180" s="57" t="n">
        <v>1</v>
      </c>
      <c r="F1180" s="57" t="n">
        <v>0</v>
      </c>
      <c r="G1180" s="58" t="n">
        <v>81.77</v>
      </c>
      <c r="H1180" s="58" t="n">
        <v>0</v>
      </c>
      <c r="I1180" s="58" t="n">
        <v>81.77</v>
      </c>
      <c r="J1180" s="32" t="n">
        <f aca="false">IF(E1180&gt;0,F1180/E1180,0)</f>
        <v>0</v>
      </c>
      <c r="K1180" s="32" t="n">
        <f aca="false">IF(G1180&gt;0,H1180/G1180,0)</f>
        <v>-0</v>
      </c>
      <c r="L1180" s="59" t="n">
        <f aca="false">H1180/Settings!$B$16</f>
        <v>-0</v>
      </c>
      <c r="M1180" s="59" t="n">
        <f aca="false">H1180/Settings!$B$20</f>
        <v>-0</v>
      </c>
      <c r="N1180" s="60" t="n">
        <f aca="false">E1180*Settings!$B$3</f>
        <v>0.0309861510798204</v>
      </c>
      <c r="O1180" s="60" t="n">
        <f aca="false">IF(E1180&gt;0,(F1180-N1180)/SQRT(E1180*Settings!$B$3*(1-Settings!$B$3)),0)</f>
        <v>-0.178821125934444</v>
      </c>
      <c r="P1180" s="60" t="n">
        <f aca="false">MAX(0,F1180-N1180)</f>
        <v>0</v>
      </c>
      <c r="Q1180" s="32" t="n">
        <f aca="false">(F1180+Settings!$B$7*Settings!$B$3)/(E1180+Settings!$B$7)</f>
        <v>0.0299865978191811</v>
      </c>
      <c r="R1180" s="61" t="n">
        <f aca="false">PERCENTRANK($H$2:$H$1780,H1180,6)</f>
        <v>0</v>
      </c>
      <c r="S1180" s="61" t="n">
        <f aca="false">PERCENTRANK($Q$2:$Q$1780,Q1180,6)</f>
        <v>0.486502</v>
      </c>
      <c r="T1180" s="61" t="n">
        <f aca="false">PERCENTRANK($F$2:$F$1780,F1180,6)</f>
        <v>0</v>
      </c>
      <c r="U1180" s="62" t="n">
        <f aca="false">IF(F1180&gt;0,(Settings!$B$8*T1180+Settings!$B$9*R1180+Settings!$B$10*S1180)/SUM(Settings!$B$8:$B$10),0)</f>
        <v>0</v>
      </c>
      <c r="V1180" s="56" t="str">
        <f aca="false">IF(U1180&gt;0,RANK(U1180,$U$2:$U$1780)+COUNTIF($U$2:U1180,U1180)-1,"")</f>
        <v/>
      </c>
      <c r="W1180" s="56" t="str">
        <f aca="false">IF(V1180="","",IF(V1180&lt;=Settings!$B$11,"1 - Fix first",IF(V1180&lt;=Settings!$B$12,"2 - Review","3 - Monitor")))</f>
        <v/>
      </c>
      <c r="X1180" s="56" t="str">
        <f aca="false">IF(AND(E1180&gt;=Settings!$B$4,F1180&gt;=Settings!$B$5,O1180&gt;=Settings!$B$6),"HIGH RATE","")</f>
        <v/>
      </c>
      <c r="Y1180" s="56" t="str">
        <f aca="false">IF(F1180&gt;0,RANK(F1180,$F$2:$F$1780)+COUNTIF($F$2:F1180,F1180)-1,"")</f>
        <v/>
      </c>
      <c r="Z1180" s="56" t="str">
        <f aca="false">IF(H1180&gt;0,RANK(H1180,$H$2:$H$1780)+COUNTIF($H$2:H1180,H1180)-1,"")</f>
        <v/>
      </c>
      <c r="AA1180" s="56" t="str">
        <f aca="false">IF(AC1180="","",RANK(AC1180,$AC$2:$AC$1780)+COUNTIF($AC$2:AC1180,AC1180)-1)</f>
        <v/>
      </c>
      <c r="AB1180" s="56" t="str">
        <f aca="false">IF(AD1180="","",RANK(AD1180,$AD$2:$AD$1780)+COUNTIF($AD$2:AD1180,AD1180)-1)</f>
        <v/>
      </c>
      <c r="AC1180" s="56" t="str">
        <f aca="false">IF(AND(F1180&gt;0,E1180&gt;=Settings!$B$4),J1180,"")</f>
        <v/>
      </c>
      <c r="AD1180" s="56" t="str">
        <f aca="false">IF(X1180="HIGH RATE",O1180,"")</f>
        <v/>
      </c>
    </row>
    <row r="1181" customFormat="false" ht="15" hidden="false" customHeight="false" outlineLevel="0" collapsed="false">
      <c r="A1181" s="56" t="s">
        <v>2548</v>
      </c>
      <c r="B1181" s="56" t="s">
        <v>1106</v>
      </c>
      <c r="C1181" s="56" t="s">
        <v>55</v>
      </c>
      <c r="D1181" s="56" t="str">
        <f aca="false">IFERROR(INDEX('Brand Map'!$B$4:$B$124,MATCH(C1181,'Brand Map'!$A$4:$A$124,0)),"Other")</f>
        <v>AUMJ</v>
      </c>
      <c r="E1181" s="57" t="n">
        <v>1</v>
      </c>
      <c r="F1181" s="57" t="n">
        <v>0</v>
      </c>
      <c r="G1181" s="58" t="n">
        <v>104.95</v>
      </c>
      <c r="H1181" s="58" t="n">
        <v>0</v>
      </c>
      <c r="I1181" s="58" t="n">
        <v>104.95</v>
      </c>
      <c r="J1181" s="32" t="n">
        <f aca="false">IF(E1181&gt;0,F1181/E1181,0)</f>
        <v>0</v>
      </c>
      <c r="K1181" s="32" t="n">
        <f aca="false">IF(G1181&gt;0,H1181/G1181,0)</f>
        <v>-0</v>
      </c>
      <c r="L1181" s="59" t="n">
        <f aca="false">H1181/Settings!$B$16</f>
        <v>-0</v>
      </c>
      <c r="M1181" s="59" t="n">
        <f aca="false">H1181/Settings!$B$20</f>
        <v>-0</v>
      </c>
      <c r="N1181" s="60" t="n">
        <f aca="false">E1181*Settings!$B$3</f>
        <v>0.0309861510798204</v>
      </c>
      <c r="O1181" s="60" t="n">
        <f aca="false">IF(E1181&gt;0,(F1181-N1181)/SQRT(E1181*Settings!$B$3*(1-Settings!$B$3)),0)</f>
        <v>-0.178821125934444</v>
      </c>
      <c r="P1181" s="60" t="n">
        <f aca="false">MAX(0,F1181-N1181)</f>
        <v>0</v>
      </c>
      <c r="Q1181" s="32" t="n">
        <f aca="false">(F1181+Settings!$B$7*Settings!$B$3)/(E1181+Settings!$B$7)</f>
        <v>0.0299865978191811</v>
      </c>
      <c r="R1181" s="61" t="n">
        <f aca="false">PERCENTRANK($H$2:$H$1780,H1181,6)</f>
        <v>0</v>
      </c>
      <c r="S1181" s="61" t="n">
        <f aca="false">PERCENTRANK($Q$2:$Q$1780,Q1181,6)</f>
        <v>0.486502</v>
      </c>
      <c r="T1181" s="61" t="n">
        <f aca="false">PERCENTRANK($F$2:$F$1780,F1181,6)</f>
        <v>0</v>
      </c>
      <c r="U1181" s="62" t="n">
        <f aca="false">IF(F1181&gt;0,(Settings!$B$8*T1181+Settings!$B$9*R1181+Settings!$B$10*S1181)/SUM(Settings!$B$8:$B$10),0)</f>
        <v>0</v>
      </c>
      <c r="V1181" s="56" t="str">
        <f aca="false">IF(U1181&gt;0,RANK(U1181,$U$2:$U$1780)+COUNTIF($U$2:U1181,U1181)-1,"")</f>
        <v/>
      </c>
      <c r="W1181" s="56" t="str">
        <f aca="false">IF(V1181="","",IF(V1181&lt;=Settings!$B$11,"1 - Fix first",IF(V1181&lt;=Settings!$B$12,"2 - Review","3 - Monitor")))</f>
        <v/>
      </c>
      <c r="X1181" s="56" t="str">
        <f aca="false">IF(AND(E1181&gt;=Settings!$B$4,F1181&gt;=Settings!$B$5,O1181&gt;=Settings!$B$6),"HIGH RATE","")</f>
        <v/>
      </c>
      <c r="Y1181" s="56" t="str">
        <f aca="false">IF(F1181&gt;0,RANK(F1181,$F$2:$F$1780)+COUNTIF($F$2:F1181,F1181)-1,"")</f>
        <v/>
      </c>
      <c r="Z1181" s="56" t="str">
        <f aca="false">IF(H1181&gt;0,RANK(H1181,$H$2:$H$1780)+COUNTIF($H$2:H1181,H1181)-1,"")</f>
        <v/>
      </c>
      <c r="AA1181" s="56" t="str">
        <f aca="false">IF(AC1181="","",RANK(AC1181,$AC$2:$AC$1780)+COUNTIF($AC$2:AC1181,AC1181)-1)</f>
        <v/>
      </c>
      <c r="AB1181" s="56" t="str">
        <f aca="false">IF(AD1181="","",RANK(AD1181,$AD$2:$AD$1780)+COUNTIF($AD$2:AD1181,AD1181)-1)</f>
        <v/>
      </c>
      <c r="AC1181" s="56" t="str">
        <f aca="false">IF(AND(F1181&gt;0,E1181&gt;=Settings!$B$4),J1181,"")</f>
        <v/>
      </c>
      <c r="AD1181" s="56" t="str">
        <f aca="false">IF(X1181="HIGH RATE",O1181,"")</f>
        <v/>
      </c>
    </row>
    <row r="1182" customFormat="false" ht="15" hidden="false" customHeight="false" outlineLevel="0" collapsed="false">
      <c r="A1182" s="56" t="s">
        <v>2549</v>
      </c>
      <c r="B1182" s="56" t="s">
        <v>1106</v>
      </c>
      <c r="C1182" s="56" t="s">
        <v>55</v>
      </c>
      <c r="D1182" s="56" t="str">
        <f aca="false">IFERROR(INDEX('Brand Map'!$B$4:$B$124,MATCH(C1182,'Brand Map'!$A$4:$A$124,0)),"Other")</f>
        <v>AUMJ</v>
      </c>
      <c r="E1182" s="57" t="n">
        <v>1</v>
      </c>
      <c r="F1182" s="57" t="n">
        <v>0</v>
      </c>
      <c r="G1182" s="58" t="n">
        <v>104.95</v>
      </c>
      <c r="H1182" s="58" t="n">
        <v>0</v>
      </c>
      <c r="I1182" s="58" t="n">
        <v>104.95</v>
      </c>
      <c r="J1182" s="32" t="n">
        <f aca="false">IF(E1182&gt;0,F1182/E1182,0)</f>
        <v>0</v>
      </c>
      <c r="K1182" s="32" t="n">
        <f aca="false">IF(G1182&gt;0,H1182/G1182,0)</f>
        <v>-0</v>
      </c>
      <c r="L1182" s="59" t="n">
        <f aca="false">H1182/Settings!$B$16</f>
        <v>-0</v>
      </c>
      <c r="M1182" s="59" t="n">
        <f aca="false">H1182/Settings!$B$20</f>
        <v>-0</v>
      </c>
      <c r="N1182" s="60" t="n">
        <f aca="false">E1182*Settings!$B$3</f>
        <v>0.0309861510798204</v>
      </c>
      <c r="O1182" s="60" t="n">
        <f aca="false">IF(E1182&gt;0,(F1182-N1182)/SQRT(E1182*Settings!$B$3*(1-Settings!$B$3)),0)</f>
        <v>-0.178821125934444</v>
      </c>
      <c r="P1182" s="60" t="n">
        <f aca="false">MAX(0,F1182-N1182)</f>
        <v>0</v>
      </c>
      <c r="Q1182" s="32" t="n">
        <f aca="false">(F1182+Settings!$B$7*Settings!$B$3)/(E1182+Settings!$B$7)</f>
        <v>0.0299865978191811</v>
      </c>
      <c r="R1182" s="61" t="n">
        <f aca="false">PERCENTRANK($H$2:$H$1780,H1182,6)</f>
        <v>0</v>
      </c>
      <c r="S1182" s="61" t="n">
        <f aca="false">PERCENTRANK($Q$2:$Q$1780,Q1182,6)</f>
        <v>0.486502</v>
      </c>
      <c r="T1182" s="61" t="n">
        <f aca="false">PERCENTRANK($F$2:$F$1780,F1182,6)</f>
        <v>0</v>
      </c>
      <c r="U1182" s="62" t="n">
        <f aca="false">IF(F1182&gt;0,(Settings!$B$8*T1182+Settings!$B$9*R1182+Settings!$B$10*S1182)/SUM(Settings!$B$8:$B$10),0)</f>
        <v>0</v>
      </c>
      <c r="V1182" s="56" t="str">
        <f aca="false">IF(U1182&gt;0,RANK(U1182,$U$2:$U$1780)+COUNTIF($U$2:U1182,U1182)-1,"")</f>
        <v/>
      </c>
      <c r="W1182" s="56" t="str">
        <f aca="false">IF(V1182="","",IF(V1182&lt;=Settings!$B$11,"1 - Fix first",IF(V1182&lt;=Settings!$B$12,"2 - Review","3 - Monitor")))</f>
        <v/>
      </c>
      <c r="X1182" s="56" t="str">
        <f aca="false">IF(AND(E1182&gt;=Settings!$B$4,F1182&gt;=Settings!$B$5,O1182&gt;=Settings!$B$6),"HIGH RATE","")</f>
        <v/>
      </c>
      <c r="Y1182" s="56" t="str">
        <f aca="false">IF(F1182&gt;0,RANK(F1182,$F$2:$F$1780)+COUNTIF($F$2:F1182,F1182)-1,"")</f>
        <v/>
      </c>
      <c r="Z1182" s="56" t="str">
        <f aca="false">IF(H1182&gt;0,RANK(H1182,$H$2:$H$1780)+COUNTIF($H$2:H1182,H1182)-1,"")</f>
        <v/>
      </c>
      <c r="AA1182" s="56" t="str">
        <f aca="false">IF(AC1182="","",RANK(AC1182,$AC$2:$AC$1780)+COUNTIF($AC$2:AC1182,AC1182)-1)</f>
        <v/>
      </c>
      <c r="AB1182" s="56" t="str">
        <f aca="false">IF(AD1182="","",RANK(AD1182,$AD$2:$AD$1780)+COUNTIF($AD$2:AD1182,AD1182)-1)</f>
        <v/>
      </c>
      <c r="AC1182" s="56" t="str">
        <f aca="false">IF(AND(F1182&gt;0,E1182&gt;=Settings!$B$4),J1182,"")</f>
        <v/>
      </c>
      <c r="AD1182" s="56" t="str">
        <f aca="false">IF(X1182="HIGH RATE",O1182,"")</f>
        <v/>
      </c>
    </row>
    <row r="1183" customFormat="false" ht="15" hidden="false" customHeight="false" outlineLevel="0" collapsed="false">
      <c r="A1183" s="56" t="s">
        <v>2550</v>
      </c>
      <c r="B1183" s="56" t="s">
        <v>1106</v>
      </c>
      <c r="C1183" s="56" t="s">
        <v>55</v>
      </c>
      <c r="D1183" s="56" t="str">
        <f aca="false">IFERROR(INDEX('Brand Map'!$B$4:$B$124,MATCH(C1183,'Brand Map'!$A$4:$A$124,0)),"Other")</f>
        <v>AUMJ</v>
      </c>
      <c r="E1183" s="57" t="n">
        <v>6</v>
      </c>
      <c r="F1183" s="57" t="n">
        <v>0</v>
      </c>
      <c r="G1183" s="58" t="n">
        <v>451.52</v>
      </c>
      <c r="H1183" s="58" t="n">
        <v>0</v>
      </c>
      <c r="I1183" s="58" t="n">
        <v>451.52</v>
      </c>
      <c r="J1183" s="32" t="n">
        <f aca="false">IF(E1183&gt;0,F1183/E1183,0)</f>
        <v>0</v>
      </c>
      <c r="K1183" s="32" t="n">
        <f aca="false">IF(G1183&gt;0,H1183/G1183,0)</f>
        <v>-0</v>
      </c>
      <c r="L1183" s="59" t="n">
        <f aca="false">H1183/Settings!$B$16</f>
        <v>-0</v>
      </c>
      <c r="M1183" s="59" t="n">
        <f aca="false">H1183/Settings!$B$20</f>
        <v>-0</v>
      </c>
      <c r="N1183" s="60" t="n">
        <f aca="false">E1183*Settings!$B$3</f>
        <v>0.185916906478923</v>
      </c>
      <c r="O1183" s="60" t="n">
        <f aca="false">IF(E1183&gt;0,(F1183-N1183)/SQRT(E1183*Settings!$B$3*(1-Settings!$B$3)),0)</f>
        <v>-0.43802051376936</v>
      </c>
      <c r="P1183" s="60" t="n">
        <f aca="false">MAX(0,F1183-N1183)</f>
        <v>0</v>
      </c>
      <c r="Q1183" s="32" t="n">
        <f aca="false">(F1183+Settings!$B$7*Settings!$B$3)/(E1183+Settings!$B$7)</f>
        <v>0.025821792566517</v>
      </c>
      <c r="R1183" s="61" t="n">
        <f aca="false">PERCENTRANK($H$2:$H$1780,H1183,6)</f>
        <v>0</v>
      </c>
      <c r="S1183" s="61" t="n">
        <f aca="false">PERCENTRANK($Q$2:$Q$1780,Q1183,6)</f>
        <v>0.189539</v>
      </c>
      <c r="T1183" s="61" t="n">
        <f aca="false">PERCENTRANK($F$2:$F$1780,F1183,6)</f>
        <v>0</v>
      </c>
      <c r="U1183" s="62" t="n">
        <f aca="false">IF(F1183&gt;0,(Settings!$B$8*T1183+Settings!$B$9*R1183+Settings!$B$10*S1183)/SUM(Settings!$B$8:$B$10),0)</f>
        <v>0</v>
      </c>
      <c r="V1183" s="56" t="str">
        <f aca="false">IF(U1183&gt;0,RANK(U1183,$U$2:$U$1780)+COUNTIF($U$2:U1183,U1183)-1,"")</f>
        <v/>
      </c>
      <c r="W1183" s="56" t="str">
        <f aca="false">IF(V1183="","",IF(V1183&lt;=Settings!$B$11,"1 - Fix first",IF(V1183&lt;=Settings!$B$12,"2 - Review","3 - Monitor")))</f>
        <v/>
      </c>
      <c r="X1183" s="56" t="str">
        <f aca="false">IF(AND(E1183&gt;=Settings!$B$4,F1183&gt;=Settings!$B$5,O1183&gt;=Settings!$B$6),"HIGH RATE","")</f>
        <v/>
      </c>
      <c r="Y1183" s="56" t="str">
        <f aca="false">IF(F1183&gt;0,RANK(F1183,$F$2:$F$1780)+COUNTIF($F$2:F1183,F1183)-1,"")</f>
        <v/>
      </c>
      <c r="Z1183" s="56" t="str">
        <f aca="false">IF(H1183&gt;0,RANK(H1183,$H$2:$H$1780)+COUNTIF($H$2:H1183,H1183)-1,"")</f>
        <v/>
      </c>
      <c r="AA1183" s="56" t="str">
        <f aca="false">IF(AC1183="","",RANK(AC1183,$AC$2:$AC$1780)+COUNTIF($AC$2:AC1183,AC1183)-1)</f>
        <v/>
      </c>
      <c r="AB1183" s="56" t="str">
        <f aca="false">IF(AD1183="","",RANK(AD1183,$AD$2:$AD$1780)+COUNTIF($AD$2:AD1183,AD1183)-1)</f>
        <v/>
      </c>
      <c r="AC1183" s="56" t="str">
        <f aca="false">IF(AND(F1183&gt;0,E1183&gt;=Settings!$B$4),J1183,"")</f>
        <v/>
      </c>
      <c r="AD1183" s="56" t="str">
        <f aca="false">IF(X1183="HIGH RATE",O1183,"")</f>
        <v/>
      </c>
    </row>
    <row r="1184" customFormat="false" ht="15" hidden="false" customHeight="false" outlineLevel="0" collapsed="false">
      <c r="A1184" s="56" t="s">
        <v>2551</v>
      </c>
      <c r="B1184" s="56" t="s">
        <v>921</v>
      </c>
      <c r="C1184" s="56" t="s">
        <v>55</v>
      </c>
      <c r="D1184" s="56" t="str">
        <f aca="false">IFERROR(INDEX('Brand Map'!$B$4:$B$124,MATCH(C1184,'Brand Map'!$A$4:$A$124,0)),"Other")</f>
        <v>AUMJ</v>
      </c>
      <c r="E1184" s="57" t="n">
        <v>4</v>
      </c>
      <c r="F1184" s="57" t="n">
        <v>0</v>
      </c>
      <c r="G1184" s="58" t="n">
        <v>417.52</v>
      </c>
      <c r="H1184" s="58" t="n">
        <v>0</v>
      </c>
      <c r="I1184" s="58" t="n">
        <v>406.63</v>
      </c>
      <c r="J1184" s="32" t="n">
        <f aca="false">IF(E1184&gt;0,F1184/E1184,0)</f>
        <v>0</v>
      </c>
      <c r="K1184" s="32" t="n">
        <f aca="false">IF(G1184&gt;0,H1184/G1184,0)</f>
        <v>-0</v>
      </c>
      <c r="L1184" s="59" t="n">
        <f aca="false">H1184/Settings!$B$16</f>
        <v>-0</v>
      </c>
      <c r="M1184" s="59" t="n">
        <f aca="false">H1184/Settings!$B$20</f>
        <v>-0</v>
      </c>
      <c r="N1184" s="60" t="n">
        <f aca="false">E1184*Settings!$B$3</f>
        <v>0.123944604319282</v>
      </c>
      <c r="O1184" s="60" t="n">
        <f aca="false">IF(E1184&gt;0,(F1184-N1184)/SQRT(E1184*Settings!$B$3*(1-Settings!$B$3)),0)</f>
        <v>-0.357642251868888</v>
      </c>
      <c r="P1184" s="60" t="n">
        <f aca="false">MAX(0,F1184-N1184)</f>
        <v>0</v>
      </c>
      <c r="Q1184" s="32" t="n">
        <f aca="false">(F1184+Settings!$B$7*Settings!$B$3)/(E1184+Settings!$B$7)</f>
        <v>0.027340721541018</v>
      </c>
      <c r="R1184" s="61" t="n">
        <f aca="false">PERCENTRANK($H$2:$H$1780,H1184,6)</f>
        <v>0</v>
      </c>
      <c r="S1184" s="61" t="n">
        <f aca="false">PERCENTRANK($Q$2:$Q$1780,Q1184,6)</f>
        <v>0.253656</v>
      </c>
      <c r="T1184" s="61" t="n">
        <f aca="false">PERCENTRANK($F$2:$F$1780,F1184,6)</f>
        <v>0</v>
      </c>
      <c r="U1184" s="62" t="n">
        <f aca="false">IF(F1184&gt;0,(Settings!$B$8*T1184+Settings!$B$9*R1184+Settings!$B$10*S1184)/SUM(Settings!$B$8:$B$10),0)</f>
        <v>0</v>
      </c>
      <c r="V1184" s="56" t="str">
        <f aca="false">IF(U1184&gt;0,RANK(U1184,$U$2:$U$1780)+COUNTIF($U$2:U1184,U1184)-1,"")</f>
        <v/>
      </c>
      <c r="W1184" s="56" t="str">
        <f aca="false">IF(V1184="","",IF(V1184&lt;=Settings!$B$11,"1 - Fix first",IF(V1184&lt;=Settings!$B$12,"2 - Review","3 - Monitor")))</f>
        <v/>
      </c>
      <c r="X1184" s="56" t="str">
        <f aca="false">IF(AND(E1184&gt;=Settings!$B$4,F1184&gt;=Settings!$B$5,O1184&gt;=Settings!$B$6),"HIGH RATE","")</f>
        <v/>
      </c>
      <c r="Y1184" s="56" t="str">
        <f aca="false">IF(F1184&gt;0,RANK(F1184,$F$2:$F$1780)+COUNTIF($F$2:F1184,F1184)-1,"")</f>
        <v/>
      </c>
      <c r="Z1184" s="56" t="str">
        <f aca="false">IF(H1184&gt;0,RANK(H1184,$H$2:$H$1780)+COUNTIF($H$2:H1184,H1184)-1,"")</f>
        <v/>
      </c>
      <c r="AA1184" s="56" t="str">
        <f aca="false">IF(AC1184="","",RANK(AC1184,$AC$2:$AC$1780)+COUNTIF($AC$2:AC1184,AC1184)-1)</f>
        <v/>
      </c>
      <c r="AB1184" s="56" t="str">
        <f aca="false">IF(AD1184="","",RANK(AD1184,$AD$2:$AD$1780)+COUNTIF($AD$2:AD1184,AD1184)-1)</f>
        <v/>
      </c>
      <c r="AC1184" s="56" t="str">
        <f aca="false">IF(AND(F1184&gt;0,E1184&gt;=Settings!$B$4),J1184,"")</f>
        <v/>
      </c>
      <c r="AD1184" s="56" t="str">
        <f aca="false">IF(X1184="HIGH RATE",O1184,"")</f>
        <v/>
      </c>
    </row>
    <row r="1185" customFormat="false" ht="15" hidden="false" customHeight="false" outlineLevel="0" collapsed="false">
      <c r="A1185" s="56" t="s">
        <v>2552</v>
      </c>
      <c r="B1185" s="56" t="s">
        <v>921</v>
      </c>
      <c r="C1185" s="56" t="s">
        <v>55</v>
      </c>
      <c r="D1185" s="56" t="str">
        <f aca="false">IFERROR(INDEX('Brand Map'!$B$4:$B$124,MATCH(C1185,'Brand Map'!$A$4:$A$124,0)),"Other")</f>
        <v>AUMJ</v>
      </c>
      <c r="E1185" s="57" t="n">
        <v>1</v>
      </c>
      <c r="F1185" s="57" t="n">
        <v>0</v>
      </c>
      <c r="G1185" s="58" t="n">
        <v>90.86</v>
      </c>
      <c r="H1185" s="58" t="n">
        <v>0</v>
      </c>
      <c r="I1185" s="58" t="n">
        <v>90.86</v>
      </c>
      <c r="J1185" s="32" t="n">
        <f aca="false">IF(E1185&gt;0,F1185/E1185,0)</f>
        <v>0</v>
      </c>
      <c r="K1185" s="32" t="n">
        <f aca="false">IF(G1185&gt;0,H1185/G1185,0)</f>
        <v>-0</v>
      </c>
      <c r="L1185" s="59" t="n">
        <f aca="false">H1185/Settings!$B$16</f>
        <v>-0</v>
      </c>
      <c r="M1185" s="59" t="n">
        <f aca="false">H1185/Settings!$B$20</f>
        <v>-0</v>
      </c>
      <c r="N1185" s="60" t="n">
        <f aca="false">E1185*Settings!$B$3</f>
        <v>0.0309861510798204</v>
      </c>
      <c r="O1185" s="60" t="n">
        <f aca="false">IF(E1185&gt;0,(F1185-N1185)/SQRT(E1185*Settings!$B$3*(1-Settings!$B$3)),0)</f>
        <v>-0.178821125934444</v>
      </c>
      <c r="P1185" s="60" t="n">
        <f aca="false">MAX(0,F1185-N1185)</f>
        <v>0</v>
      </c>
      <c r="Q1185" s="32" t="n">
        <f aca="false">(F1185+Settings!$B$7*Settings!$B$3)/(E1185+Settings!$B$7)</f>
        <v>0.0299865978191811</v>
      </c>
      <c r="R1185" s="61" t="n">
        <f aca="false">PERCENTRANK($H$2:$H$1780,H1185,6)</f>
        <v>0</v>
      </c>
      <c r="S1185" s="61" t="n">
        <f aca="false">PERCENTRANK($Q$2:$Q$1780,Q1185,6)</f>
        <v>0.486502</v>
      </c>
      <c r="T1185" s="61" t="n">
        <f aca="false">PERCENTRANK($F$2:$F$1780,F1185,6)</f>
        <v>0</v>
      </c>
      <c r="U1185" s="62" t="n">
        <f aca="false">IF(F1185&gt;0,(Settings!$B$8*T1185+Settings!$B$9*R1185+Settings!$B$10*S1185)/SUM(Settings!$B$8:$B$10),0)</f>
        <v>0</v>
      </c>
      <c r="V1185" s="56" t="str">
        <f aca="false">IF(U1185&gt;0,RANK(U1185,$U$2:$U$1780)+COUNTIF($U$2:U1185,U1185)-1,"")</f>
        <v/>
      </c>
      <c r="W1185" s="56" t="str">
        <f aca="false">IF(V1185="","",IF(V1185&lt;=Settings!$B$11,"1 - Fix first",IF(V1185&lt;=Settings!$B$12,"2 - Review","3 - Monitor")))</f>
        <v/>
      </c>
      <c r="X1185" s="56" t="str">
        <f aca="false">IF(AND(E1185&gt;=Settings!$B$4,F1185&gt;=Settings!$B$5,O1185&gt;=Settings!$B$6),"HIGH RATE","")</f>
        <v/>
      </c>
      <c r="Y1185" s="56" t="str">
        <f aca="false">IF(F1185&gt;0,RANK(F1185,$F$2:$F$1780)+COUNTIF($F$2:F1185,F1185)-1,"")</f>
        <v/>
      </c>
      <c r="Z1185" s="56" t="str">
        <f aca="false">IF(H1185&gt;0,RANK(H1185,$H$2:$H$1780)+COUNTIF($H$2:H1185,H1185)-1,"")</f>
        <v/>
      </c>
      <c r="AA1185" s="56" t="str">
        <f aca="false">IF(AC1185="","",RANK(AC1185,$AC$2:$AC$1780)+COUNTIF($AC$2:AC1185,AC1185)-1)</f>
        <v/>
      </c>
      <c r="AB1185" s="56" t="str">
        <f aca="false">IF(AD1185="","",RANK(AD1185,$AD$2:$AD$1780)+COUNTIF($AD$2:AD1185,AD1185)-1)</f>
        <v/>
      </c>
      <c r="AC1185" s="56" t="str">
        <f aca="false">IF(AND(F1185&gt;0,E1185&gt;=Settings!$B$4),J1185,"")</f>
        <v/>
      </c>
      <c r="AD1185" s="56" t="str">
        <f aca="false">IF(X1185="HIGH RATE",O1185,"")</f>
        <v/>
      </c>
    </row>
    <row r="1186" customFormat="false" ht="15" hidden="false" customHeight="false" outlineLevel="0" collapsed="false">
      <c r="A1186" s="56" t="s">
        <v>2553</v>
      </c>
      <c r="B1186" s="56" t="s">
        <v>1487</v>
      </c>
      <c r="C1186" s="56" t="s">
        <v>55</v>
      </c>
      <c r="D1186" s="56" t="str">
        <f aca="false">IFERROR(INDEX('Brand Map'!$B$4:$B$124,MATCH(C1186,'Brand Map'!$A$4:$A$124,0)),"Other")</f>
        <v>AUMJ</v>
      </c>
      <c r="E1186" s="57" t="n">
        <v>5</v>
      </c>
      <c r="F1186" s="57" t="n">
        <v>0</v>
      </c>
      <c r="G1186" s="58" t="n">
        <v>674.75</v>
      </c>
      <c r="H1186" s="58" t="n">
        <v>0</v>
      </c>
      <c r="I1186" s="58" t="n">
        <v>674.75</v>
      </c>
      <c r="J1186" s="32" t="n">
        <f aca="false">IF(E1186&gt;0,F1186/E1186,0)</f>
        <v>0</v>
      </c>
      <c r="K1186" s="32" t="n">
        <f aca="false">IF(G1186&gt;0,H1186/G1186,0)</f>
        <v>-0</v>
      </c>
      <c r="L1186" s="59" t="n">
        <f aca="false">H1186/Settings!$B$16</f>
        <v>-0</v>
      </c>
      <c r="M1186" s="59" t="n">
        <f aca="false">H1186/Settings!$B$20</f>
        <v>-0</v>
      </c>
      <c r="N1186" s="60" t="n">
        <f aca="false">E1186*Settings!$B$3</f>
        <v>0.154930755399102</v>
      </c>
      <c r="O1186" s="60" t="n">
        <f aca="false">IF(E1186&gt;0,(F1186-N1186)/SQRT(E1186*Settings!$B$3*(1-Settings!$B$3)),0)</f>
        <v>-0.399856193402468</v>
      </c>
      <c r="P1186" s="60" t="n">
        <f aca="false">MAX(0,F1186-N1186)</f>
        <v>0</v>
      </c>
      <c r="Q1186" s="32" t="n">
        <f aca="false">(F1186+Settings!$B$7*Settings!$B$3)/(E1186+Settings!$B$7)</f>
        <v>0.0265595580684175</v>
      </c>
      <c r="R1186" s="61" t="n">
        <f aca="false">PERCENTRANK($H$2:$H$1780,H1186,6)</f>
        <v>0</v>
      </c>
      <c r="S1186" s="61" t="n">
        <f aca="false">PERCENTRANK($Q$2:$Q$1780,Q1186,6)</f>
        <v>0.220472</v>
      </c>
      <c r="T1186" s="61" t="n">
        <f aca="false">PERCENTRANK($F$2:$F$1780,F1186,6)</f>
        <v>0</v>
      </c>
      <c r="U1186" s="62" t="n">
        <f aca="false">IF(F1186&gt;0,(Settings!$B$8*T1186+Settings!$B$9*R1186+Settings!$B$10*S1186)/SUM(Settings!$B$8:$B$10),0)</f>
        <v>0</v>
      </c>
      <c r="V1186" s="56" t="str">
        <f aca="false">IF(U1186&gt;0,RANK(U1186,$U$2:$U$1780)+COUNTIF($U$2:U1186,U1186)-1,"")</f>
        <v/>
      </c>
      <c r="W1186" s="56" t="str">
        <f aca="false">IF(V1186="","",IF(V1186&lt;=Settings!$B$11,"1 - Fix first",IF(V1186&lt;=Settings!$B$12,"2 - Review","3 - Monitor")))</f>
        <v/>
      </c>
      <c r="X1186" s="56" t="str">
        <f aca="false">IF(AND(E1186&gt;=Settings!$B$4,F1186&gt;=Settings!$B$5,O1186&gt;=Settings!$B$6),"HIGH RATE","")</f>
        <v/>
      </c>
      <c r="Y1186" s="56" t="str">
        <f aca="false">IF(F1186&gt;0,RANK(F1186,$F$2:$F$1780)+COUNTIF($F$2:F1186,F1186)-1,"")</f>
        <v/>
      </c>
      <c r="Z1186" s="56" t="str">
        <f aca="false">IF(H1186&gt;0,RANK(H1186,$H$2:$H$1780)+COUNTIF($H$2:H1186,H1186)-1,"")</f>
        <v/>
      </c>
      <c r="AA1186" s="56" t="str">
        <f aca="false">IF(AC1186="","",RANK(AC1186,$AC$2:$AC$1780)+COUNTIF($AC$2:AC1186,AC1186)-1)</f>
        <v/>
      </c>
      <c r="AB1186" s="56" t="str">
        <f aca="false">IF(AD1186="","",RANK(AD1186,$AD$2:$AD$1780)+COUNTIF($AD$2:AD1186,AD1186)-1)</f>
        <v/>
      </c>
      <c r="AC1186" s="56" t="str">
        <f aca="false">IF(AND(F1186&gt;0,E1186&gt;=Settings!$B$4),J1186,"")</f>
        <v/>
      </c>
      <c r="AD1186" s="56" t="str">
        <f aca="false">IF(X1186="HIGH RATE",O1186,"")</f>
        <v/>
      </c>
    </row>
    <row r="1187" customFormat="false" ht="15" hidden="false" customHeight="false" outlineLevel="0" collapsed="false">
      <c r="A1187" s="56" t="s">
        <v>2554</v>
      </c>
      <c r="B1187" s="56" t="s">
        <v>1487</v>
      </c>
      <c r="C1187" s="56" t="s">
        <v>55</v>
      </c>
      <c r="D1187" s="56" t="str">
        <f aca="false">IFERROR(INDEX('Brand Map'!$B$4:$B$124,MATCH(C1187,'Brand Map'!$A$4:$A$124,0)),"Other")</f>
        <v>AUMJ</v>
      </c>
      <c r="E1187" s="57" t="n">
        <v>1</v>
      </c>
      <c r="F1187" s="57" t="n">
        <v>0</v>
      </c>
      <c r="G1187" s="58" t="n">
        <v>122.68</v>
      </c>
      <c r="H1187" s="58" t="n">
        <v>0</v>
      </c>
      <c r="I1187" s="58" t="n">
        <v>122.68</v>
      </c>
      <c r="J1187" s="32" t="n">
        <f aca="false">IF(E1187&gt;0,F1187/E1187,0)</f>
        <v>0</v>
      </c>
      <c r="K1187" s="32" t="n">
        <f aca="false">IF(G1187&gt;0,H1187/G1187,0)</f>
        <v>-0</v>
      </c>
      <c r="L1187" s="59" t="n">
        <f aca="false">H1187/Settings!$B$16</f>
        <v>-0</v>
      </c>
      <c r="M1187" s="59" t="n">
        <f aca="false">H1187/Settings!$B$20</f>
        <v>-0</v>
      </c>
      <c r="N1187" s="60" t="n">
        <f aca="false">E1187*Settings!$B$3</f>
        <v>0.0309861510798204</v>
      </c>
      <c r="O1187" s="60" t="n">
        <f aca="false">IF(E1187&gt;0,(F1187-N1187)/SQRT(E1187*Settings!$B$3*(1-Settings!$B$3)),0)</f>
        <v>-0.178821125934444</v>
      </c>
      <c r="P1187" s="60" t="n">
        <f aca="false">MAX(0,F1187-N1187)</f>
        <v>0</v>
      </c>
      <c r="Q1187" s="32" t="n">
        <f aca="false">(F1187+Settings!$B$7*Settings!$B$3)/(E1187+Settings!$B$7)</f>
        <v>0.0299865978191811</v>
      </c>
      <c r="R1187" s="61" t="n">
        <f aca="false">PERCENTRANK($H$2:$H$1780,H1187,6)</f>
        <v>0</v>
      </c>
      <c r="S1187" s="61" t="n">
        <f aca="false">PERCENTRANK($Q$2:$Q$1780,Q1187,6)</f>
        <v>0.486502</v>
      </c>
      <c r="T1187" s="61" t="n">
        <f aca="false">PERCENTRANK($F$2:$F$1780,F1187,6)</f>
        <v>0</v>
      </c>
      <c r="U1187" s="62" t="n">
        <f aca="false">IF(F1187&gt;0,(Settings!$B$8*T1187+Settings!$B$9*R1187+Settings!$B$10*S1187)/SUM(Settings!$B$8:$B$10),0)</f>
        <v>0</v>
      </c>
      <c r="V1187" s="56" t="str">
        <f aca="false">IF(U1187&gt;0,RANK(U1187,$U$2:$U$1780)+COUNTIF($U$2:U1187,U1187)-1,"")</f>
        <v/>
      </c>
      <c r="W1187" s="56" t="str">
        <f aca="false">IF(V1187="","",IF(V1187&lt;=Settings!$B$11,"1 - Fix first",IF(V1187&lt;=Settings!$B$12,"2 - Review","3 - Monitor")))</f>
        <v/>
      </c>
      <c r="X1187" s="56" t="str">
        <f aca="false">IF(AND(E1187&gt;=Settings!$B$4,F1187&gt;=Settings!$B$5,O1187&gt;=Settings!$B$6),"HIGH RATE","")</f>
        <v/>
      </c>
      <c r="Y1187" s="56" t="str">
        <f aca="false">IF(F1187&gt;0,RANK(F1187,$F$2:$F$1780)+COUNTIF($F$2:F1187,F1187)-1,"")</f>
        <v/>
      </c>
      <c r="Z1187" s="56" t="str">
        <f aca="false">IF(H1187&gt;0,RANK(H1187,$H$2:$H$1780)+COUNTIF($H$2:H1187,H1187)-1,"")</f>
        <v/>
      </c>
      <c r="AA1187" s="56" t="str">
        <f aca="false">IF(AC1187="","",RANK(AC1187,$AC$2:$AC$1780)+COUNTIF($AC$2:AC1187,AC1187)-1)</f>
        <v/>
      </c>
      <c r="AB1187" s="56" t="str">
        <f aca="false">IF(AD1187="","",RANK(AD1187,$AD$2:$AD$1780)+COUNTIF($AD$2:AD1187,AD1187)-1)</f>
        <v/>
      </c>
      <c r="AC1187" s="56" t="str">
        <f aca="false">IF(AND(F1187&gt;0,E1187&gt;=Settings!$B$4),J1187,"")</f>
        <v/>
      </c>
      <c r="AD1187" s="56" t="str">
        <f aca="false">IF(X1187="HIGH RATE",O1187,"")</f>
        <v/>
      </c>
    </row>
    <row r="1188" customFormat="false" ht="15" hidden="false" customHeight="false" outlineLevel="0" collapsed="false">
      <c r="A1188" s="56" t="s">
        <v>2555</v>
      </c>
      <c r="B1188" s="56" t="s">
        <v>1487</v>
      </c>
      <c r="C1188" s="56" t="s">
        <v>55</v>
      </c>
      <c r="D1188" s="56" t="str">
        <f aca="false">IFERROR(INDEX('Brand Map'!$B$4:$B$124,MATCH(C1188,'Brand Map'!$A$4:$A$124,0)),"Other")</f>
        <v>AUMJ</v>
      </c>
      <c r="E1188" s="57" t="n">
        <v>1</v>
      </c>
      <c r="F1188" s="57" t="n">
        <v>0</v>
      </c>
      <c r="G1188" s="58" t="n">
        <v>149.95</v>
      </c>
      <c r="H1188" s="58" t="n">
        <v>0</v>
      </c>
      <c r="I1188" s="58" t="n">
        <v>149.95</v>
      </c>
      <c r="J1188" s="32" t="n">
        <f aca="false">IF(E1188&gt;0,F1188/E1188,0)</f>
        <v>0</v>
      </c>
      <c r="K1188" s="32" t="n">
        <f aca="false">IF(G1188&gt;0,H1188/G1188,0)</f>
        <v>-0</v>
      </c>
      <c r="L1188" s="59" t="n">
        <f aca="false">H1188/Settings!$B$16</f>
        <v>-0</v>
      </c>
      <c r="M1188" s="59" t="n">
        <f aca="false">H1188/Settings!$B$20</f>
        <v>-0</v>
      </c>
      <c r="N1188" s="60" t="n">
        <f aca="false">E1188*Settings!$B$3</f>
        <v>0.0309861510798204</v>
      </c>
      <c r="O1188" s="60" t="n">
        <f aca="false">IF(E1188&gt;0,(F1188-N1188)/SQRT(E1188*Settings!$B$3*(1-Settings!$B$3)),0)</f>
        <v>-0.178821125934444</v>
      </c>
      <c r="P1188" s="60" t="n">
        <f aca="false">MAX(0,F1188-N1188)</f>
        <v>0</v>
      </c>
      <c r="Q1188" s="32" t="n">
        <f aca="false">(F1188+Settings!$B$7*Settings!$B$3)/(E1188+Settings!$B$7)</f>
        <v>0.0299865978191811</v>
      </c>
      <c r="R1188" s="61" t="n">
        <f aca="false">PERCENTRANK($H$2:$H$1780,H1188,6)</f>
        <v>0</v>
      </c>
      <c r="S1188" s="61" t="n">
        <f aca="false">PERCENTRANK($Q$2:$Q$1780,Q1188,6)</f>
        <v>0.486502</v>
      </c>
      <c r="T1188" s="61" t="n">
        <f aca="false">PERCENTRANK($F$2:$F$1780,F1188,6)</f>
        <v>0</v>
      </c>
      <c r="U1188" s="62" t="n">
        <f aca="false">IF(F1188&gt;0,(Settings!$B$8*T1188+Settings!$B$9*R1188+Settings!$B$10*S1188)/SUM(Settings!$B$8:$B$10),0)</f>
        <v>0</v>
      </c>
      <c r="V1188" s="56" t="str">
        <f aca="false">IF(U1188&gt;0,RANK(U1188,$U$2:$U$1780)+COUNTIF($U$2:U1188,U1188)-1,"")</f>
        <v/>
      </c>
      <c r="W1188" s="56" t="str">
        <f aca="false">IF(V1188="","",IF(V1188&lt;=Settings!$B$11,"1 - Fix first",IF(V1188&lt;=Settings!$B$12,"2 - Review","3 - Monitor")))</f>
        <v/>
      </c>
      <c r="X1188" s="56" t="str">
        <f aca="false">IF(AND(E1188&gt;=Settings!$B$4,F1188&gt;=Settings!$B$5,O1188&gt;=Settings!$B$6),"HIGH RATE","")</f>
        <v/>
      </c>
      <c r="Y1188" s="56" t="str">
        <f aca="false">IF(F1188&gt;0,RANK(F1188,$F$2:$F$1780)+COUNTIF($F$2:F1188,F1188)-1,"")</f>
        <v/>
      </c>
      <c r="Z1188" s="56" t="str">
        <f aca="false">IF(H1188&gt;0,RANK(H1188,$H$2:$H$1780)+COUNTIF($H$2:H1188,H1188)-1,"")</f>
        <v/>
      </c>
      <c r="AA1188" s="56" t="str">
        <f aca="false">IF(AC1188="","",RANK(AC1188,$AC$2:$AC$1780)+COUNTIF($AC$2:AC1188,AC1188)-1)</f>
        <v/>
      </c>
      <c r="AB1188" s="56" t="str">
        <f aca="false">IF(AD1188="","",RANK(AD1188,$AD$2:$AD$1780)+COUNTIF($AD$2:AD1188,AD1188)-1)</f>
        <v/>
      </c>
      <c r="AC1188" s="56" t="str">
        <f aca="false">IF(AND(F1188&gt;0,E1188&gt;=Settings!$B$4),J1188,"")</f>
        <v/>
      </c>
      <c r="AD1188" s="56" t="str">
        <f aca="false">IF(X1188="HIGH RATE",O1188,"")</f>
        <v/>
      </c>
    </row>
    <row r="1189" customFormat="false" ht="15" hidden="false" customHeight="false" outlineLevel="0" collapsed="false">
      <c r="A1189" s="56" t="s">
        <v>2556</v>
      </c>
      <c r="B1189" s="56" t="s">
        <v>1487</v>
      </c>
      <c r="C1189" s="56" t="s">
        <v>55</v>
      </c>
      <c r="D1189" s="56" t="str">
        <f aca="false">IFERROR(INDEX('Brand Map'!$B$4:$B$124,MATCH(C1189,'Brand Map'!$A$4:$A$124,0)),"Other")</f>
        <v>AUMJ</v>
      </c>
      <c r="E1189" s="57" t="n">
        <v>1</v>
      </c>
      <c r="F1189" s="57" t="n">
        <v>0</v>
      </c>
      <c r="G1189" s="58" t="n">
        <v>164.95</v>
      </c>
      <c r="H1189" s="58" t="n">
        <v>0</v>
      </c>
      <c r="I1189" s="58" t="n">
        <v>164.95</v>
      </c>
      <c r="J1189" s="32" t="n">
        <f aca="false">IF(E1189&gt;0,F1189/E1189,0)</f>
        <v>0</v>
      </c>
      <c r="K1189" s="32" t="n">
        <f aca="false">IF(G1189&gt;0,H1189/G1189,0)</f>
        <v>-0</v>
      </c>
      <c r="L1189" s="59" t="n">
        <f aca="false">H1189/Settings!$B$16</f>
        <v>-0</v>
      </c>
      <c r="M1189" s="59" t="n">
        <f aca="false">H1189/Settings!$B$20</f>
        <v>-0</v>
      </c>
      <c r="N1189" s="60" t="n">
        <f aca="false">E1189*Settings!$B$3</f>
        <v>0.0309861510798204</v>
      </c>
      <c r="O1189" s="60" t="n">
        <f aca="false">IF(E1189&gt;0,(F1189-N1189)/SQRT(E1189*Settings!$B$3*(1-Settings!$B$3)),0)</f>
        <v>-0.178821125934444</v>
      </c>
      <c r="P1189" s="60" t="n">
        <f aca="false">MAX(0,F1189-N1189)</f>
        <v>0</v>
      </c>
      <c r="Q1189" s="32" t="n">
        <f aca="false">(F1189+Settings!$B$7*Settings!$B$3)/(E1189+Settings!$B$7)</f>
        <v>0.0299865978191811</v>
      </c>
      <c r="R1189" s="61" t="n">
        <f aca="false">PERCENTRANK($H$2:$H$1780,H1189,6)</f>
        <v>0</v>
      </c>
      <c r="S1189" s="61" t="n">
        <f aca="false">PERCENTRANK($Q$2:$Q$1780,Q1189,6)</f>
        <v>0.486502</v>
      </c>
      <c r="T1189" s="61" t="n">
        <f aca="false">PERCENTRANK($F$2:$F$1780,F1189,6)</f>
        <v>0</v>
      </c>
      <c r="U1189" s="62" t="n">
        <f aca="false">IF(F1189&gt;0,(Settings!$B$8*T1189+Settings!$B$9*R1189+Settings!$B$10*S1189)/SUM(Settings!$B$8:$B$10),0)</f>
        <v>0</v>
      </c>
      <c r="V1189" s="56" t="str">
        <f aca="false">IF(U1189&gt;0,RANK(U1189,$U$2:$U$1780)+COUNTIF($U$2:U1189,U1189)-1,"")</f>
        <v/>
      </c>
      <c r="W1189" s="56" t="str">
        <f aca="false">IF(V1189="","",IF(V1189&lt;=Settings!$B$11,"1 - Fix first",IF(V1189&lt;=Settings!$B$12,"2 - Review","3 - Monitor")))</f>
        <v/>
      </c>
      <c r="X1189" s="56" t="str">
        <f aca="false">IF(AND(E1189&gt;=Settings!$B$4,F1189&gt;=Settings!$B$5,O1189&gt;=Settings!$B$6),"HIGH RATE","")</f>
        <v/>
      </c>
      <c r="Y1189" s="56" t="str">
        <f aca="false">IF(F1189&gt;0,RANK(F1189,$F$2:$F$1780)+COUNTIF($F$2:F1189,F1189)-1,"")</f>
        <v/>
      </c>
      <c r="Z1189" s="56" t="str">
        <f aca="false">IF(H1189&gt;0,RANK(H1189,$H$2:$H$1780)+COUNTIF($H$2:H1189,H1189)-1,"")</f>
        <v/>
      </c>
      <c r="AA1189" s="56" t="str">
        <f aca="false">IF(AC1189="","",RANK(AC1189,$AC$2:$AC$1780)+COUNTIF($AC$2:AC1189,AC1189)-1)</f>
        <v/>
      </c>
      <c r="AB1189" s="56" t="str">
        <f aca="false">IF(AD1189="","",RANK(AD1189,$AD$2:$AD$1780)+COUNTIF($AD$2:AD1189,AD1189)-1)</f>
        <v/>
      </c>
      <c r="AC1189" s="56" t="str">
        <f aca="false">IF(AND(F1189&gt;0,E1189&gt;=Settings!$B$4),J1189,"")</f>
        <v/>
      </c>
      <c r="AD1189" s="56" t="str">
        <f aca="false">IF(X1189="HIGH RATE",O1189,"")</f>
        <v/>
      </c>
    </row>
    <row r="1190" customFormat="false" ht="15" hidden="false" customHeight="false" outlineLevel="0" collapsed="false">
      <c r="A1190" s="56" t="s">
        <v>2557</v>
      </c>
      <c r="B1190" s="56" t="s">
        <v>887</v>
      </c>
      <c r="C1190" s="56" t="s">
        <v>55</v>
      </c>
      <c r="D1190" s="56" t="str">
        <f aca="false">IFERROR(INDEX('Brand Map'!$B$4:$B$124,MATCH(C1190,'Brand Map'!$A$4:$A$124,0)),"Other")</f>
        <v>AUMJ</v>
      </c>
      <c r="E1190" s="57" t="n">
        <v>3</v>
      </c>
      <c r="F1190" s="57" t="n">
        <v>0</v>
      </c>
      <c r="G1190" s="58" t="n">
        <v>356.85</v>
      </c>
      <c r="H1190" s="58" t="n">
        <v>0</v>
      </c>
      <c r="I1190" s="58" t="n">
        <v>356.85</v>
      </c>
      <c r="J1190" s="32" t="n">
        <f aca="false">IF(E1190&gt;0,F1190/E1190,0)</f>
        <v>0</v>
      </c>
      <c r="K1190" s="32" t="n">
        <f aca="false">IF(G1190&gt;0,H1190/G1190,0)</f>
        <v>-0</v>
      </c>
      <c r="L1190" s="59" t="n">
        <f aca="false">H1190/Settings!$B$16</f>
        <v>-0</v>
      </c>
      <c r="M1190" s="59" t="n">
        <f aca="false">H1190/Settings!$B$20</f>
        <v>-0</v>
      </c>
      <c r="N1190" s="60" t="n">
        <f aca="false">E1190*Settings!$B$3</f>
        <v>0.0929584532394613</v>
      </c>
      <c r="O1190" s="60" t="n">
        <f aca="false">IF(E1190&gt;0,(F1190-N1190)/SQRT(E1190*Settings!$B$3*(1-Settings!$B$3)),0)</f>
        <v>-0.30972727558513</v>
      </c>
      <c r="P1190" s="60" t="n">
        <f aca="false">MAX(0,F1190-N1190)</f>
        <v>0</v>
      </c>
      <c r="Q1190" s="32" t="n">
        <f aca="false">(F1190+Settings!$B$7*Settings!$B$3)/(E1190+Settings!$B$7)</f>
        <v>0.0281692282543822</v>
      </c>
      <c r="R1190" s="61" t="n">
        <f aca="false">PERCENTRANK($H$2:$H$1780,H1190,6)</f>
        <v>0</v>
      </c>
      <c r="S1190" s="61" t="n">
        <f aca="false">PERCENTRANK($Q$2:$Q$1780,Q1190,6)</f>
        <v>0.294151</v>
      </c>
      <c r="T1190" s="61" t="n">
        <f aca="false">PERCENTRANK($F$2:$F$1780,F1190,6)</f>
        <v>0</v>
      </c>
      <c r="U1190" s="62" t="n">
        <f aca="false">IF(F1190&gt;0,(Settings!$B$8*T1190+Settings!$B$9*R1190+Settings!$B$10*S1190)/SUM(Settings!$B$8:$B$10),0)</f>
        <v>0</v>
      </c>
      <c r="V1190" s="56" t="str">
        <f aca="false">IF(U1190&gt;0,RANK(U1190,$U$2:$U$1780)+COUNTIF($U$2:U1190,U1190)-1,"")</f>
        <v/>
      </c>
      <c r="W1190" s="56" t="str">
        <f aca="false">IF(V1190="","",IF(V1190&lt;=Settings!$B$11,"1 - Fix first",IF(V1190&lt;=Settings!$B$12,"2 - Review","3 - Monitor")))</f>
        <v/>
      </c>
      <c r="X1190" s="56" t="str">
        <f aca="false">IF(AND(E1190&gt;=Settings!$B$4,F1190&gt;=Settings!$B$5,O1190&gt;=Settings!$B$6),"HIGH RATE","")</f>
        <v/>
      </c>
      <c r="Y1190" s="56" t="str">
        <f aca="false">IF(F1190&gt;0,RANK(F1190,$F$2:$F$1780)+COUNTIF($F$2:F1190,F1190)-1,"")</f>
        <v/>
      </c>
      <c r="Z1190" s="56" t="str">
        <f aca="false">IF(H1190&gt;0,RANK(H1190,$H$2:$H$1780)+COUNTIF($H$2:H1190,H1190)-1,"")</f>
        <v/>
      </c>
      <c r="AA1190" s="56" t="str">
        <f aca="false">IF(AC1190="","",RANK(AC1190,$AC$2:$AC$1780)+COUNTIF($AC$2:AC1190,AC1190)-1)</f>
        <v/>
      </c>
      <c r="AB1190" s="56" t="str">
        <f aca="false">IF(AD1190="","",RANK(AD1190,$AD$2:$AD$1780)+COUNTIF($AD$2:AD1190,AD1190)-1)</f>
        <v/>
      </c>
      <c r="AC1190" s="56" t="str">
        <f aca="false">IF(AND(F1190&gt;0,E1190&gt;=Settings!$B$4),J1190,"")</f>
        <v/>
      </c>
      <c r="AD1190" s="56" t="str">
        <f aca="false">IF(X1190="HIGH RATE",O1190,"")</f>
        <v/>
      </c>
    </row>
    <row r="1191" customFormat="false" ht="15" hidden="false" customHeight="false" outlineLevel="0" collapsed="false">
      <c r="A1191" s="56" t="s">
        <v>2558</v>
      </c>
      <c r="B1191" s="56" t="s">
        <v>887</v>
      </c>
      <c r="C1191" s="56" t="s">
        <v>55</v>
      </c>
      <c r="D1191" s="56" t="str">
        <f aca="false">IFERROR(INDEX('Brand Map'!$B$4:$B$124,MATCH(C1191,'Brand Map'!$A$4:$A$124,0)),"Other")</f>
        <v>AUMJ</v>
      </c>
      <c r="E1191" s="57" t="n">
        <v>1</v>
      </c>
      <c r="F1191" s="57" t="n">
        <v>0</v>
      </c>
      <c r="G1191" s="58" t="n">
        <v>108.14</v>
      </c>
      <c r="H1191" s="58" t="n">
        <v>0</v>
      </c>
      <c r="I1191" s="58" t="n">
        <v>108.14</v>
      </c>
      <c r="J1191" s="32" t="n">
        <f aca="false">IF(E1191&gt;0,F1191/E1191,0)</f>
        <v>0</v>
      </c>
      <c r="K1191" s="32" t="n">
        <f aca="false">IF(G1191&gt;0,H1191/G1191,0)</f>
        <v>-0</v>
      </c>
      <c r="L1191" s="59" t="n">
        <f aca="false">H1191/Settings!$B$16</f>
        <v>-0</v>
      </c>
      <c r="M1191" s="59" t="n">
        <f aca="false">H1191/Settings!$B$20</f>
        <v>-0</v>
      </c>
      <c r="N1191" s="60" t="n">
        <f aca="false">E1191*Settings!$B$3</f>
        <v>0.0309861510798204</v>
      </c>
      <c r="O1191" s="60" t="n">
        <f aca="false">IF(E1191&gt;0,(F1191-N1191)/SQRT(E1191*Settings!$B$3*(1-Settings!$B$3)),0)</f>
        <v>-0.178821125934444</v>
      </c>
      <c r="P1191" s="60" t="n">
        <f aca="false">MAX(0,F1191-N1191)</f>
        <v>0</v>
      </c>
      <c r="Q1191" s="32" t="n">
        <f aca="false">(F1191+Settings!$B$7*Settings!$B$3)/(E1191+Settings!$B$7)</f>
        <v>0.0299865978191811</v>
      </c>
      <c r="R1191" s="61" t="n">
        <f aca="false">PERCENTRANK($H$2:$H$1780,H1191,6)</f>
        <v>0</v>
      </c>
      <c r="S1191" s="61" t="n">
        <f aca="false">PERCENTRANK($Q$2:$Q$1780,Q1191,6)</f>
        <v>0.486502</v>
      </c>
      <c r="T1191" s="61" t="n">
        <f aca="false">PERCENTRANK($F$2:$F$1780,F1191,6)</f>
        <v>0</v>
      </c>
      <c r="U1191" s="62" t="n">
        <f aca="false">IF(F1191&gt;0,(Settings!$B$8*T1191+Settings!$B$9*R1191+Settings!$B$10*S1191)/SUM(Settings!$B$8:$B$10),0)</f>
        <v>0</v>
      </c>
      <c r="V1191" s="56" t="str">
        <f aca="false">IF(U1191&gt;0,RANK(U1191,$U$2:$U$1780)+COUNTIF($U$2:U1191,U1191)-1,"")</f>
        <v/>
      </c>
      <c r="W1191" s="56" t="str">
        <f aca="false">IF(V1191="","",IF(V1191&lt;=Settings!$B$11,"1 - Fix first",IF(V1191&lt;=Settings!$B$12,"2 - Review","3 - Monitor")))</f>
        <v/>
      </c>
      <c r="X1191" s="56" t="str">
        <f aca="false">IF(AND(E1191&gt;=Settings!$B$4,F1191&gt;=Settings!$B$5,O1191&gt;=Settings!$B$6),"HIGH RATE","")</f>
        <v/>
      </c>
      <c r="Y1191" s="56" t="str">
        <f aca="false">IF(F1191&gt;0,RANK(F1191,$F$2:$F$1780)+COUNTIF($F$2:F1191,F1191)-1,"")</f>
        <v/>
      </c>
      <c r="Z1191" s="56" t="str">
        <f aca="false">IF(H1191&gt;0,RANK(H1191,$H$2:$H$1780)+COUNTIF($H$2:H1191,H1191)-1,"")</f>
        <v/>
      </c>
      <c r="AA1191" s="56" t="str">
        <f aca="false">IF(AC1191="","",RANK(AC1191,$AC$2:$AC$1780)+COUNTIF($AC$2:AC1191,AC1191)-1)</f>
        <v/>
      </c>
      <c r="AB1191" s="56" t="str">
        <f aca="false">IF(AD1191="","",RANK(AD1191,$AD$2:$AD$1780)+COUNTIF($AD$2:AD1191,AD1191)-1)</f>
        <v/>
      </c>
      <c r="AC1191" s="56" t="str">
        <f aca="false">IF(AND(F1191&gt;0,E1191&gt;=Settings!$B$4),J1191,"")</f>
        <v/>
      </c>
      <c r="AD1191" s="56" t="str">
        <f aca="false">IF(X1191="HIGH RATE",O1191,"")</f>
        <v/>
      </c>
    </row>
    <row r="1192" customFormat="false" ht="15" hidden="false" customHeight="false" outlineLevel="0" collapsed="false">
      <c r="A1192" s="56" t="s">
        <v>2559</v>
      </c>
      <c r="B1192" s="56" t="s">
        <v>887</v>
      </c>
      <c r="C1192" s="56" t="s">
        <v>55</v>
      </c>
      <c r="D1192" s="56" t="str">
        <f aca="false">IFERROR(INDEX('Brand Map'!$B$4:$B$124,MATCH(C1192,'Brand Map'!$A$4:$A$124,0)),"Other")</f>
        <v>AUMJ</v>
      </c>
      <c r="E1192" s="57" t="n">
        <v>2</v>
      </c>
      <c r="F1192" s="57" t="n">
        <v>0</v>
      </c>
      <c r="G1192" s="58" t="n">
        <v>297.9</v>
      </c>
      <c r="H1192" s="58" t="n">
        <v>0</v>
      </c>
      <c r="I1192" s="58" t="n">
        <v>297.9</v>
      </c>
      <c r="J1192" s="32" t="n">
        <f aca="false">IF(E1192&gt;0,F1192/E1192,0)</f>
        <v>0</v>
      </c>
      <c r="K1192" s="32" t="n">
        <f aca="false">IF(G1192&gt;0,H1192/G1192,0)</f>
        <v>-0</v>
      </c>
      <c r="L1192" s="59" t="n">
        <f aca="false">H1192/Settings!$B$16</f>
        <v>-0</v>
      </c>
      <c r="M1192" s="59" t="n">
        <f aca="false">H1192/Settings!$B$20</f>
        <v>-0</v>
      </c>
      <c r="N1192" s="60" t="n">
        <f aca="false">E1192*Settings!$B$3</f>
        <v>0.0619723021596408</v>
      </c>
      <c r="O1192" s="60" t="n">
        <f aca="false">IF(E1192&gt;0,(F1192-N1192)/SQRT(E1192*Settings!$B$3*(1-Settings!$B$3)),0)</f>
        <v>-0.252891261535318</v>
      </c>
      <c r="P1192" s="60" t="n">
        <f aca="false">MAX(0,F1192-N1192)</f>
        <v>0</v>
      </c>
      <c r="Q1192" s="32" t="n">
        <f aca="false">(F1192+Settings!$B$7*Settings!$B$3)/(E1192+Settings!$B$7)</f>
        <v>0.0290495166373316</v>
      </c>
      <c r="R1192" s="61" t="n">
        <f aca="false">PERCENTRANK($H$2:$H$1780,H1192,6)</f>
        <v>0</v>
      </c>
      <c r="S1192" s="61" t="n">
        <f aca="false">PERCENTRANK($Q$2:$Q$1780,Q1192,6)</f>
        <v>0.365579</v>
      </c>
      <c r="T1192" s="61" t="n">
        <f aca="false">PERCENTRANK($F$2:$F$1780,F1192,6)</f>
        <v>0</v>
      </c>
      <c r="U1192" s="62" t="n">
        <f aca="false">IF(F1192&gt;0,(Settings!$B$8*T1192+Settings!$B$9*R1192+Settings!$B$10*S1192)/SUM(Settings!$B$8:$B$10),0)</f>
        <v>0</v>
      </c>
      <c r="V1192" s="56" t="str">
        <f aca="false">IF(U1192&gt;0,RANK(U1192,$U$2:$U$1780)+COUNTIF($U$2:U1192,U1192)-1,"")</f>
        <v/>
      </c>
      <c r="W1192" s="56" t="str">
        <f aca="false">IF(V1192="","",IF(V1192&lt;=Settings!$B$11,"1 - Fix first",IF(V1192&lt;=Settings!$B$12,"2 - Review","3 - Monitor")))</f>
        <v/>
      </c>
      <c r="X1192" s="56" t="str">
        <f aca="false">IF(AND(E1192&gt;=Settings!$B$4,F1192&gt;=Settings!$B$5,O1192&gt;=Settings!$B$6),"HIGH RATE","")</f>
        <v/>
      </c>
      <c r="Y1192" s="56" t="str">
        <f aca="false">IF(F1192&gt;0,RANK(F1192,$F$2:$F$1780)+COUNTIF($F$2:F1192,F1192)-1,"")</f>
        <v/>
      </c>
      <c r="Z1192" s="56" t="str">
        <f aca="false">IF(H1192&gt;0,RANK(H1192,$H$2:$H$1780)+COUNTIF($H$2:H1192,H1192)-1,"")</f>
        <v/>
      </c>
      <c r="AA1192" s="56" t="str">
        <f aca="false">IF(AC1192="","",RANK(AC1192,$AC$2:$AC$1780)+COUNTIF($AC$2:AC1192,AC1192)-1)</f>
        <v/>
      </c>
      <c r="AB1192" s="56" t="str">
        <f aca="false">IF(AD1192="","",RANK(AD1192,$AD$2:$AD$1780)+COUNTIF($AD$2:AD1192,AD1192)-1)</f>
        <v/>
      </c>
      <c r="AC1192" s="56" t="str">
        <f aca="false">IF(AND(F1192&gt;0,E1192&gt;=Settings!$B$4),J1192,"")</f>
        <v/>
      </c>
      <c r="AD1192" s="56" t="str">
        <f aca="false">IF(X1192="HIGH RATE",O1192,"")</f>
        <v/>
      </c>
    </row>
    <row r="1193" customFormat="false" ht="15" hidden="false" customHeight="false" outlineLevel="0" collapsed="false">
      <c r="A1193" s="56" t="s">
        <v>2560</v>
      </c>
      <c r="B1193" s="56" t="s">
        <v>887</v>
      </c>
      <c r="C1193" s="56" t="s">
        <v>55</v>
      </c>
      <c r="D1193" s="56" t="str">
        <f aca="false">IFERROR(INDEX('Brand Map'!$B$4:$B$124,MATCH(C1193,'Brand Map'!$A$4:$A$124,0)),"Other")</f>
        <v>AUMJ</v>
      </c>
      <c r="E1193" s="57" t="n">
        <v>5</v>
      </c>
      <c r="F1193" s="57" t="n">
        <v>0</v>
      </c>
      <c r="G1193" s="58" t="n">
        <v>500.85</v>
      </c>
      <c r="H1193" s="58" t="n">
        <v>0</v>
      </c>
      <c r="I1193" s="58" t="n">
        <v>500.85</v>
      </c>
      <c r="J1193" s="32" t="n">
        <f aca="false">IF(E1193&gt;0,F1193/E1193,0)</f>
        <v>0</v>
      </c>
      <c r="K1193" s="32" t="n">
        <f aca="false">IF(G1193&gt;0,H1193/G1193,0)</f>
        <v>-0</v>
      </c>
      <c r="L1193" s="59" t="n">
        <f aca="false">H1193/Settings!$B$16</f>
        <v>-0</v>
      </c>
      <c r="M1193" s="59" t="n">
        <f aca="false">H1193/Settings!$B$20</f>
        <v>-0</v>
      </c>
      <c r="N1193" s="60" t="n">
        <f aca="false">E1193*Settings!$B$3</f>
        <v>0.154930755399102</v>
      </c>
      <c r="O1193" s="60" t="n">
        <f aca="false">IF(E1193&gt;0,(F1193-N1193)/SQRT(E1193*Settings!$B$3*(1-Settings!$B$3)),0)</f>
        <v>-0.399856193402468</v>
      </c>
      <c r="P1193" s="60" t="n">
        <f aca="false">MAX(0,F1193-N1193)</f>
        <v>0</v>
      </c>
      <c r="Q1193" s="32" t="n">
        <f aca="false">(F1193+Settings!$B$7*Settings!$B$3)/(E1193+Settings!$B$7)</f>
        <v>0.0265595580684175</v>
      </c>
      <c r="R1193" s="61" t="n">
        <f aca="false">PERCENTRANK($H$2:$H$1780,H1193,6)</f>
        <v>0</v>
      </c>
      <c r="S1193" s="61" t="n">
        <f aca="false">PERCENTRANK($Q$2:$Q$1780,Q1193,6)</f>
        <v>0.220472</v>
      </c>
      <c r="T1193" s="61" t="n">
        <f aca="false">PERCENTRANK($F$2:$F$1780,F1193,6)</f>
        <v>0</v>
      </c>
      <c r="U1193" s="62" t="n">
        <f aca="false">IF(F1193&gt;0,(Settings!$B$8*T1193+Settings!$B$9*R1193+Settings!$B$10*S1193)/SUM(Settings!$B$8:$B$10),0)</f>
        <v>0</v>
      </c>
      <c r="V1193" s="56" t="str">
        <f aca="false">IF(U1193&gt;0,RANK(U1193,$U$2:$U$1780)+COUNTIF($U$2:U1193,U1193)-1,"")</f>
        <v/>
      </c>
      <c r="W1193" s="56" t="str">
        <f aca="false">IF(V1193="","",IF(V1193&lt;=Settings!$B$11,"1 - Fix first",IF(V1193&lt;=Settings!$B$12,"2 - Review","3 - Monitor")))</f>
        <v/>
      </c>
      <c r="X1193" s="56" t="str">
        <f aca="false">IF(AND(E1193&gt;=Settings!$B$4,F1193&gt;=Settings!$B$5,O1193&gt;=Settings!$B$6),"HIGH RATE","")</f>
        <v/>
      </c>
      <c r="Y1193" s="56" t="str">
        <f aca="false">IF(F1193&gt;0,RANK(F1193,$F$2:$F$1780)+COUNTIF($F$2:F1193,F1193)-1,"")</f>
        <v/>
      </c>
      <c r="Z1193" s="56" t="str">
        <f aca="false">IF(H1193&gt;0,RANK(H1193,$H$2:$H$1780)+COUNTIF($H$2:H1193,H1193)-1,"")</f>
        <v/>
      </c>
      <c r="AA1193" s="56" t="str">
        <f aca="false">IF(AC1193="","",RANK(AC1193,$AC$2:$AC$1780)+COUNTIF($AC$2:AC1193,AC1193)-1)</f>
        <v/>
      </c>
      <c r="AB1193" s="56" t="str">
        <f aca="false">IF(AD1193="","",RANK(AD1193,$AD$2:$AD$1780)+COUNTIF($AD$2:AD1193,AD1193)-1)</f>
        <v/>
      </c>
      <c r="AC1193" s="56" t="str">
        <f aca="false">IF(AND(F1193&gt;0,E1193&gt;=Settings!$B$4),J1193,"")</f>
        <v/>
      </c>
      <c r="AD1193" s="56" t="str">
        <f aca="false">IF(X1193="HIGH RATE",O1193,"")</f>
        <v/>
      </c>
    </row>
    <row r="1194" customFormat="false" ht="15" hidden="false" customHeight="false" outlineLevel="0" collapsed="false">
      <c r="A1194" s="56" t="s">
        <v>2561</v>
      </c>
      <c r="B1194" s="56" t="s">
        <v>982</v>
      </c>
      <c r="C1194" s="56" t="s">
        <v>55</v>
      </c>
      <c r="D1194" s="56" t="str">
        <f aca="false">IFERROR(INDEX('Brand Map'!$B$4:$B$124,MATCH(C1194,'Brand Map'!$A$4:$A$124,0)),"Other")</f>
        <v>AUMJ</v>
      </c>
      <c r="E1194" s="57" t="n">
        <v>5</v>
      </c>
      <c r="F1194" s="57" t="n">
        <v>0</v>
      </c>
      <c r="G1194" s="58" t="n">
        <v>418.13</v>
      </c>
      <c r="H1194" s="58" t="n">
        <v>0</v>
      </c>
      <c r="I1194" s="58" t="n">
        <v>407.93</v>
      </c>
      <c r="J1194" s="32" t="n">
        <f aca="false">IF(E1194&gt;0,F1194/E1194,0)</f>
        <v>0</v>
      </c>
      <c r="K1194" s="32" t="n">
        <f aca="false">IF(G1194&gt;0,H1194/G1194,0)</f>
        <v>-0</v>
      </c>
      <c r="L1194" s="59" t="n">
        <f aca="false">H1194/Settings!$B$16</f>
        <v>-0</v>
      </c>
      <c r="M1194" s="59" t="n">
        <f aca="false">H1194/Settings!$B$20</f>
        <v>-0</v>
      </c>
      <c r="N1194" s="60" t="n">
        <f aca="false">E1194*Settings!$B$3</f>
        <v>0.154930755399102</v>
      </c>
      <c r="O1194" s="60" t="n">
        <f aca="false">IF(E1194&gt;0,(F1194-N1194)/SQRT(E1194*Settings!$B$3*(1-Settings!$B$3)),0)</f>
        <v>-0.399856193402468</v>
      </c>
      <c r="P1194" s="60" t="n">
        <f aca="false">MAX(0,F1194-N1194)</f>
        <v>0</v>
      </c>
      <c r="Q1194" s="32" t="n">
        <f aca="false">(F1194+Settings!$B$7*Settings!$B$3)/(E1194+Settings!$B$7)</f>
        <v>0.0265595580684175</v>
      </c>
      <c r="R1194" s="61" t="n">
        <f aca="false">PERCENTRANK($H$2:$H$1780,H1194,6)</f>
        <v>0</v>
      </c>
      <c r="S1194" s="61" t="n">
        <f aca="false">PERCENTRANK($Q$2:$Q$1780,Q1194,6)</f>
        <v>0.220472</v>
      </c>
      <c r="T1194" s="61" t="n">
        <f aca="false">PERCENTRANK($F$2:$F$1780,F1194,6)</f>
        <v>0</v>
      </c>
      <c r="U1194" s="62" t="n">
        <f aca="false">IF(F1194&gt;0,(Settings!$B$8*T1194+Settings!$B$9*R1194+Settings!$B$10*S1194)/SUM(Settings!$B$8:$B$10),0)</f>
        <v>0</v>
      </c>
      <c r="V1194" s="56" t="str">
        <f aca="false">IF(U1194&gt;0,RANK(U1194,$U$2:$U$1780)+COUNTIF($U$2:U1194,U1194)-1,"")</f>
        <v/>
      </c>
      <c r="W1194" s="56" t="str">
        <f aca="false">IF(V1194="","",IF(V1194&lt;=Settings!$B$11,"1 - Fix first",IF(V1194&lt;=Settings!$B$12,"2 - Review","3 - Monitor")))</f>
        <v/>
      </c>
      <c r="X1194" s="56" t="str">
        <f aca="false">IF(AND(E1194&gt;=Settings!$B$4,F1194&gt;=Settings!$B$5,O1194&gt;=Settings!$B$6),"HIGH RATE","")</f>
        <v/>
      </c>
      <c r="Y1194" s="56" t="str">
        <f aca="false">IF(F1194&gt;0,RANK(F1194,$F$2:$F$1780)+COUNTIF($F$2:F1194,F1194)-1,"")</f>
        <v/>
      </c>
      <c r="Z1194" s="56" t="str">
        <f aca="false">IF(H1194&gt;0,RANK(H1194,$H$2:$H$1780)+COUNTIF($H$2:H1194,H1194)-1,"")</f>
        <v/>
      </c>
      <c r="AA1194" s="56" t="str">
        <f aca="false">IF(AC1194="","",RANK(AC1194,$AC$2:$AC$1780)+COUNTIF($AC$2:AC1194,AC1194)-1)</f>
        <v/>
      </c>
      <c r="AB1194" s="56" t="str">
        <f aca="false">IF(AD1194="","",RANK(AD1194,$AD$2:$AD$1780)+COUNTIF($AD$2:AD1194,AD1194)-1)</f>
        <v/>
      </c>
      <c r="AC1194" s="56" t="str">
        <f aca="false">IF(AND(F1194&gt;0,E1194&gt;=Settings!$B$4),J1194,"")</f>
        <v/>
      </c>
      <c r="AD1194" s="56" t="str">
        <f aca="false">IF(X1194="HIGH RATE",O1194,"")</f>
        <v/>
      </c>
    </row>
    <row r="1195" customFormat="false" ht="15" hidden="false" customHeight="false" outlineLevel="0" collapsed="false">
      <c r="A1195" s="56" t="s">
        <v>2562</v>
      </c>
      <c r="B1195" s="56" t="s">
        <v>982</v>
      </c>
      <c r="C1195" s="56" t="s">
        <v>55</v>
      </c>
      <c r="D1195" s="56" t="str">
        <f aca="false">IFERROR(INDEX('Brand Map'!$B$4:$B$124,MATCH(C1195,'Brand Map'!$A$4:$A$124,0)),"Other")</f>
        <v>AUMJ</v>
      </c>
      <c r="E1195" s="57" t="n">
        <v>6</v>
      </c>
      <c r="F1195" s="57" t="n">
        <v>0</v>
      </c>
      <c r="G1195" s="58" t="n">
        <v>761.7</v>
      </c>
      <c r="H1195" s="58" t="n">
        <v>0</v>
      </c>
      <c r="I1195" s="58" t="n">
        <v>761.7</v>
      </c>
      <c r="J1195" s="32" t="n">
        <f aca="false">IF(E1195&gt;0,F1195/E1195,0)</f>
        <v>0</v>
      </c>
      <c r="K1195" s="32" t="n">
        <f aca="false">IF(G1195&gt;0,H1195/G1195,0)</f>
        <v>-0</v>
      </c>
      <c r="L1195" s="59" t="n">
        <f aca="false">H1195/Settings!$B$16</f>
        <v>-0</v>
      </c>
      <c r="M1195" s="59" t="n">
        <f aca="false">H1195/Settings!$B$20</f>
        <v>-0</v>
      </c>
      <c r="N1195" s="60" t="n">
        <f aca="false">E1195*Settings!$B$3</f>
        <v>0.185916906478923</v>
      </c>
      <c r="O1195" s="60" t="n">
        <f aca="false">IF(E1195&gt;0,(F1195-N1195)/SQRT(E1195*Settings!$B$3*(1-Settings!$B$3)),0)</f>
        <v>-0.43802051376936</v>
      </c>
      <c r="P1195" s="60" t="n">
        <f aca="false">MAX(0,F1195-N1195)</f>
        <v>0</v>
      </c>
      <c r="Q1195" s="32" t="n">
        <f aca="false">(F1195+Settings!$B$7*Settings!$B$3)/(E1195+Settings!$B$7)</f>
        <v>0.025821792566517</v>
      </c>
      <c r="R1195" s="61" t="n">
        <f aca="false">PERCENTRANK($H$2:$H$1780,H1195,6)</f>
        <v>0</v>
      </c>
      <c r="S1195" s="61" t="n">
        <f aca="false">PERCENTRANK($Q$2:$Q$1780,Q1195,6)</f>
        <v>0.189539</v>
      </c>
      <c r="T1195" s="61" t="n">
        <f aca="false">PERCENTRANK($F$2:$F$1780,F1195,6)</f>
        <v>0</v>
      </c>
      <c r="U1195" s="62" t="n">
        <f aca="false">IF(F1195&gt;0,(Settings!$B$8*T1195+Settings!$B$9*R1195+Settings!$B$10*S1195)/SUM(Settings!$B$8:$B$10),0)</f>
        <v>0</v>
      </c>
      <c r="V1195" s="56" t="str">
        <f aca="false">IF(U1195&gt;0,RANK(U1195,$U$2:$U$1780)+COUNTIF($U$2:U1195,U1195)-1,"")</f>
        <v/>
      </c>
      <c r="W1195" s="56" t="str">
        <f aca="false">IF(V1195="","",IF(V1195&lt;=Settings!$B$11,"1 - Fix first",IF(V1195&lt;=Settings!$B$12,"2 - Review","3 - Monitor")))</f>
        <v/>
      </c>
      <c r="X1195" s="56" t="str">
        <f aca="false">IF(AND(E1195&gt;=Settings!$B$4,F1195&gt;=Settings!$B$5,O1195&gt;=Settings!$B$6),"HIGH RATE","")</f>
        <v/>
      </c>
      <c r="Y1195" s="56" t="str">
        <f aca="false">IF(F1195&gt;0,RANK(F1195,$F$2:$F$1780)+COUNTIF($F$2:F1195,F1195)-1,"")</f>
        <v/>
      </c>
      <c r="Z1195" s="56" t="str">
        <f aca="false">IF(H1195&gt;0,RANK(H1195,$H$2:$H$1780)+COUNTIF($H$2:H1195,H1195)-1,"")</f>
        <v/>
      </c>
      <c r="AA1195" s="56" t="str">
        <f aca="false">IF(AC1195="","",RANK(AC1195,$AC$2:$AC$1780)+COUNTIF($AC$2:AC1195,AC1195)-1)</f>
        <v/>
      </c>
      <c r="AB1195" s="56" t="str">
        <f aca="false">IF(AD1195="","",RANK(AD1195,$AD$2:$AD$1780)+COUNTIF($AD$2:AD1195,AD1195)-1)</f>
        <v/>
      </c>
      <c r="AC1195" s="56" t="str">
        <f aca="false">IF(AND(F1195&gt;0,E1195&gt;=Settings!$B$4),J1195,"")</f>
        <v/>
      </c>
      <c r="AD1195" s="56" t="str">
        <f aca="false">IF(X1195="HIGH RATE",O1195,"")</f>
        <v/>
      </c>
    </row>
    <row r="1196" customFormat="false" ht="15" hidden="false" customHeight="false" outlineLevel="0" collapsed="false">
      <c r="A1196" s="56" t="s">
        <v>2563</v>
      </c>
      <c r="B1196" s="56" t="s">
        <v>982</v>
      </c>
      <c r="C1196" s="56" t="s">
        <v>55</v>
      </c>
      <c r="D1196" s="56" t="str">
        <f aca="false">IFERROR(INDEX('Brand Map'!$B$4:$B$124,MATCH(C1196,'Brand Map'!$A$4:$A$124,0)),"Other")</f>
        <v>AUMJ</v>
      </c>
      <c r="E1196" s="57" t="n">
        <v>5</v>
      </c>
      <c r="F1196" s="57" t="n">
        <v>0</v>
      </c>
      <c r="G1196" s="58" t="n">
        <v>709.75</v>
      </c>
      <c r="H1196" s="58" t="n">
        <v>0</v>
      </c>
      <c r="I1196" s="58" t="n">
        <v>709.75</v>
      </c>
      <c r="J1196" s="32" t="n">
        <f aca="false">IF(E1196&gt;0,F1196/E1196,0)</f>
        <v>0</v>
      </c>
      <c r="K1196" s="32" t="n">
        <f aca="false">IF(G1196&gt;0,H1196/G1196,0)</f>
        <v>-0</v>
      </c>
      <c r="L1196" s="59" t="n">
        <f aca="false">H1196/Settings!$B$16</f>
        <v>-0</v>
      </c>
      <c r="M1196" s="59" t="n">
        <f aca="false">H1196/Settings!$B$20</f>
        <v>-0</v>
      </c>
      <c r="N1196" s="60" t="n">
        <f aca="false">E1196*Settings!$B$3</f>
        <v>0.154930755399102</v>
      </c>
      <c r="O1196" s="60" t="n">
        <f aca="false">IF(E1196&gt;0,(F1196-N1196)/SQRT(E1196*Settings!$B$3*(1-Settings!$B$3)),0)</f>
        <v>-0.399856193402468</v>
      </c>
      <c r="P1196" s="60" t="n">
        <f aca="false">MAX(0,F1196-N1196)</f>
        <v>0</v>
      </c>
      <c r="Q1196" s="32" t="n">
        <f aca="false">(F1196+Settings!$B$7*Settings!$B$3)/(E1196+Settings!$B$7)</f>
        <v>0.0265595580684175</v>
      </c>
      <c r="R1196" s="61" t="n">
        <f aca="false">PERCENTRANK($H$2:$H$1780,H1196,6)</f>
        <v>0</v>
      </c>
      <c r="S1196" s="61" t="n">
        <f aca="false">PERCENTRANK($Q$2:$Q$1780,Q1196,6)</f>
        <v>0.220472</v>
      </c>
      <c r="T1196" s="61" t="n">
        <f aca="false">PERCENTRANK($F$2:$F$1780,F1196,6)</f>
        <v>0</v>
      </c>
      <c r="U1196" s="62" t="n">
        <f aca="false">IF(F1196&gt;0,(Settings!$B$8*T1196+Settings!$B$9*R1196+Settings!$B$10*S1196)/SUM(Settings!$B$8:$B$10),0)</f>
        <v>0</v>
      </c>
      <c r="V1196" s="56" t="str">
        <f aca="false">IF(U1196&gt;0,RANK(U1196,$U$2:$U$1780)+COUNTIF($U$2:U1196,U1196)-1,"")</f>
        <v/>
      </c>
      <c r="W1196" s="56" t="str">
        <f aca="false">IF(V1196="","",IF(V1196&lt;=Settings!$B$11,"1 - Fix first",IF(V1196&lt;=Settings!$B$12,"2 - Review","3 - Monitor")))</f>
        <v/>
      </c>
      <c r="X1196" s="56" t="str">
        <f aca="false">IF(AND(E1196&gt;=Settings!$B$4,F1196&gt;=Settings!$B$5,O1196&gt;=Settings!$B$6),"HIGH RATE","")</f>
        <v/>
      </c>
      <c r="Y1196" s="56" t="str">
        <f aca="false">IF(F1196&gt;0,RANK(F1196,$F$2:$F$1780)+COUNTIF($F$2:F1196,F1196)-1,"")</f>
        <v/>
      </c>
      <c r="Z1196" s="56" t="str">
        <f aca="false">IF(H1196&gt;0,RANK(H1196,$H$2:$H$1780)+COUNTIF($H$2:H1196,H1196)-1,"")</f>
        <v/>
      </c>
      <c r="AA1196" s="56" t="str">
        <f aca="false">IF(AC1196="","",RANK(AC1196,$AC$2:$AC$1780)+COUNTIF($AC$2:AC1196,AC1196)-1)</f>
        <v/>
      </c>
      <c r="AB1196" s="56" t="str">
        <f aca="false">IF(AD1196="","",RANK(AD1196,$AD$2:$AD$1780)+COUNTIF($AD$2:AD1196,AD1196)-1)</f>
        <v/>
      </c>
      <c r="AC1196" s="56" t="str">
        <f aca="false">IF(AND(F1196&gt;0,E1196&gt;=Settings!$B$4),J1196,"")</f>
        <v/>
      </c>
      <c r="AD1196" s="56" t="str">
        <f aca="false">IF(X1196="HIGH RATE",O1196,"")</f>
        <v/>
      </c>
    </row>
    <row r="1197" customFormat="false" ht="15" hidden="false" customHeight="false" outlineLevel="0" collapsed="false">
      <c r="A1197" s="56" t="s">
        <v>2564</v>
      </c>
      <c r="B1197" s="56" t="s">
        <v>982</v>
      </c>
      <c r="C1197" s="56" t="s">
        <v>55</v>
      </c>
      <c r="D1197" s="56" t="str">
        <f aca="false">IFERROR(INDEX('Brand Map'!$B$4:$B$124,MATCH(C1197,'Brand Map'!$A$4:$A$124,0)),"Other")</f>
        <v>AUMJ</v>
      </c>
      <c r="E1197" s="57" t="n">
        <v>6</v>
      </c>
      <c r="F1197" s="57" t="n">
        <v>0</v>
      </c>
      <c r="G1197" s="58" t="n">
        <v>490.62</v>
      </c>
      <c r="H1197" s="58" t="n">
        <v>0</v>
      </c>
      <c r="I1197" s="58" t="n">
        <v>478.36</v>
      </c>
      <c r="J1197" s="32" t="n">
        <f aca="false">IF(E1197&gt;0,F1197/E1197,0)</f>
        <v>0</v>
      </c>
      <c r="K1197" s="32" t="n">
        <f aca="false">IF(G1197&gt;0,H1197/G1197,0)</f>
        <v>-0</v>
      </c>
      <c r="L1197" s="59" t="n">
        <f aca="false">H1197/Settings!$B$16</f>
        <v>-0</v>
      </c>
      <c r="M1197" s="59" t="n">
        <f aca="false">H1197/Settings!$B$20</f>
        <v>-0</v>
      </c>
      <c r="N1197" s="60" t="n">
        <f aca="false">E1197*Settings!$B$3</f>
        <v>0.185916906478923</v>
      </c>
      <c r="O1197" s="60" t="n">
        <f aca="false">IF(E1197&gt;0,(F1197-N1197)/SQRT(E1197*Settings!$B$3*(1-Settings!$B$3)),0)</f>
        <v>-0.43802051376936</v>
      </c>
      <c r="P1197" s="60" t="n">
        <f aca="false">MAX(0,F1197-N1197)</f>
        <v>0</v>
      </c>
      <c r="Q1197" s="32" t="n">
        <f aca="false">(F1197+Settings!$B$7*Settings!$B$3)/(E1197+Settings!$B$7)</f>
        <v>0.025821792566517</v>
      </c>
      <c r="R1197" s="61" t="n">
        <f aca="false">PERCENTRANK($H$2:$H$1780,H1197,6)</f>
        <v>0</v>
      </c>
      <c r="S1197" s="61" t="n">
        <f aca="false">PERCENTRANK($Q$2:$Q$1780,Q1197,6)</f>
        <v>0.189539</v>
      </c>
      <c r="T1197" s="61" t="n">
        <f aca="false">PERCENTRANK($F$2:$F$1780,F1197,6)</f>
        <v>0</v>
      </c>
      <c r="U1197" s="62" t="n">
        <f aca="false">IF(F1197&gt;0,(Settings!$B$8*T1197+Settings!$B$9*R1197+Settings!$B$10*S1197)/SUM(Settings!$B$8:$B$10),0)</f>
        <v>0</v>
      </c>
      <c r="V1197" s="56" t="str">
        <f aca="false">IF(U1197&gt;0,RANK(U1197,$U$2:$U$1780)+COUNTIF($U$2:U1197,U1197)-1,"")</f>
        <v/>
      </c>
      <c r="W1197" s="56" t="str">
        <f aca="false">IF(V1197="","",IF(V1197&lt;=Settings!$B$11,"1 - Fix first",IF(V1197&lt;=Settings!$B$12,"2 - Review","3 - Monitor")))</f>
        <v/>
      </c>
      <c r="X1197" s="56" t="str">
        <f aca="false">IF(AND(E1197&gt;=Settings!$B$4,F1197&gt;=Settings!$B$5,O1197&gt;=Settings!$B$6),"HIGH RATE","")</f>
        <v/>
      </c>
      <c r="Y1197" s="56" t="str">
        <f aca="false">IF(F1197&gt;0,RANK(F1197,$F$2:$F$1780)+COUNTIF($F$2:F1197,F1197)-1,"")</f>
        <v/>
      </c>
      <c r="Z1197" s="56" t="str">
        <f aca="false">IF(H1197&gt;0,RANK(H1197,$H$2:$H$1780)+COUNTIF($H$2:H1197,H1197)-1,"")</f>
        <v/>
      </c>
      <c r="AA1197" s="56" t="str">
        <f aca="false">IF(AC1197="","",RANK(AC1197,$AC$2:$AC$1780)+COUNTIF($AC$2:AC1197,AC1197)-1)</f>
        <v/>
      </c>
      <c r="AB1197" s="56" t="str">
        <f aca="false">IF(AD1197="","",RANK(AD1197,$AD$2:$AD$1780)+COUNTIF($AD$2:AD1197,AD1197)-1)</f>
        <v/>
      </c>
      <c r="AC1197" s="56" t="str">
        <f aca="false">IF(AND(F1197&gt;0,E1197&gt;=Settings!$B$4),J1197,"")</f>
        <v/>
      </c>
      <c r="AD1197" s="56" t="str">
        <f aca="false">IF(X1197="HIGH RATE",O1197,"")</f>
        <v/>
      </c>
    </row>
    <row r="1198" customFormat="false" ht="15" hidden="false" customHeight="false" outlineLevel="0" collapsed="false">
      <c r="A1198" s="56" t="s">
        <v>2565</v>
      </c>
      <c r="B1198" s="56" t="s">
        <v>982</v>
      </c>
      <c r="C1198" s="56" t="s">
        <v>55</v>
      </c>
      <c r="D1198" s="56" t="str">
        <f aca="false">IFERROR(INDEX('Brand Map'!$B$4:$B$124,MATCH(C1198,'Brand Map'!$A$4:$A$124,0)),"Other")</f>
        <v>AUMJ</v>
      </c>
      <c r="E1198" s="57" t="n">
        <v>17</v>
      </c>
      <c r="F1198" s="57" t="n">
        <v>0</v>
      </c>
      <c r="G1198" s="58" t="n">
        <v>1596.89</v>
      </c>
      <c r="H1198" s="58" t="n">
        <v>0</v>
      </c>
      <c r="I1198" s="58" t="n">
        <v>1588.72</v>
      </c>
      <c r="J1198" s="32" t="n">
        <f aca="false">IF(E1198&gt;0,F1198/E1198,0)</f>
        <v>0</v>
      </c>
      <c r="K1198" s="32" t="n">
        <f aca="false">IF(G1198&gt;0,H1198/G1198,0)</f>
        <v>-0</v>
      </c>
      <c r="L1198" s="59" t="n">
        <f aca="false">H1198/Settings!$B$16</f>
        <v>-0</v>
      </c>
      <c r="M1198" s="59" t="n">
        <f aca="false">H1198/Settings!$B$20</f>
        <v>-0</v>
      </c>
      <c r="N1198" s="60" t="n">
        <f aca="false">E1198*Settings!$B$3</f>
        <v>0.526764568356947</v>
      </c>
      <c r="O1198" s="60" t="n">
        <f aca="false">IF(E1198&gt;0,(F1198-N1198)/SQRT(E1198*Settings!$B$3*(1-Settings!$B$3)),0)</f>
        <v>-0.73729839031959</v>
      </c>
      <c r="P1198" s="60" t="n">
        <f aca="false">MAX(0,F1198-N1198)</f>
        <v>0</v>
      </c>
      <c r="Q1198" s="32" t="n">
        <f aca="false">(F1198+Settings!$B$7*Settings!$B$3)/(E1198+Settings!$B$7)</f>
        <v>0.0197783943062684</v>
      </c>
      <c r="R1198" s="61" t="n">
        <f aca="false">PERCENTRANK($H$2:$H$1780,H1198,6)</f>
        <v>0</v>
      </c>
      <c r="S1198" s="61" t="n">
        <f aca="false">PERCENTRANK($Q$2:$Q$1780,Q1198,6)</f>
        <v>0.0883015</v>
      </c>
      <c r="T1198" s="61" t="n">
        <f aca="false">PERCENTRANK($F$2:$F$1780,F1198,6)</f>
        <v>0</v>
      </c>
      <c r="U1198" s="62" t="n">
        <f aca="false">IF(F1198&gt;0,(Settings!$B$8*T1198+Settings!$B$9*R1198+Settings!$B$10*S1198)/SUM(Settings!$B$8:$B$10),0)</f>
        <v>0</v>
      </c>
      <c r="V1198" s="56" t="str">
        <f aca="false">IF(U1198&gt;0,RANK(U1198,$U$2:$U$1780)+COUNTIF($U$2:U1198,U1198)-1,"")</f>
        <v/>
      </c>
      <c r="W1198" s="56" t="str">
        <f aca="false">IF(V1198="","",IF(V1198&lt;=Settings!$B$11,"1 - Fix first",IF(V1198&lt;=Settings!$B$12,"2 - Review","3 - Monitor")))</f>
        <v/>
      </c>
      <c r="X1198" s="56" t="str">
        <f aca="false">IF(AND(E1198&gt;=Settings!$B$4,F1198&gt;=Settings!$B$5,O1198&gt;=Settings!$B$6),"HIGH RATE","")</f>
        <v/>
      </c>
      <c r="Y1198" s="56" t="str">
        <f aca="false">IF(F1198&gt;0,RANK(F1198,$F$2:$F$1780)+COUNTIF($F$2:F1198,F1198)-1,"")</f>
        <v/>
      </c>
      <c r="Z1198" s="56" t="str">
        <f aca="false">IF(H1198&gt;0,RANK(H1198,$H$2:$H$1780)+COUNTIF($H$2:H1198,H1198)-1,"")</f>
        <v/>
      </c>
      <c r="AA1198" s="56" t="str">
        <f aca="false">IF(AC1198="","",RANK(AC1198,$AC$2:$AC$1780)+COUNTIF($AC$2:AC1198,AC1198)-1)</f>
        <v/>
      </c>
      <c r="AB1198" s="56" t="str">
        <f aca="false">IF(AD1198="","",RANK(AD1198,$AD$2:$AD$1780)+COUNTIF($AD$2:AD1198,AD1198)-1)</f>
        <v/>
      </c>
      <c r="AC1198" s="56" t="str">
        <f aca="false">IF(AND(F1198&gt;0,E1198&gt;=Settings!$B$4),J1198,"")</f>
        <v/>
      </c>
      <c r="AD1198" s="56" t="str">
        <f aca="false">IF(X1198="HIGH RATE",O1198,"")</f>
        <v/>
      </c>
    </row>
    <row r="1199" customFormat="false" ht="15" hidden="false" customHeight="false" outlineLevel="0" collapsed="false">
      <c r="A1199" s="56" t="s">
        <v>2566</v>
      </c>
      <c r="B1199" s="56" t="s">
        <v>2567</v>
      </c>
      <c r="C1199" s="56" t="s">
        <v>55</v>
      </c>
      <c r="D1199" s="56" t="str">
        <f aca="false">IFERROR(INDEX('Brand Map'!$B$4:$B$124,MATCH(C1199,'Brand Map'!$A$4:$A$124,0)),"Other")</f>
        <v>AUMJ</v>
      </c>
      <c r="E1199" s="57" t="n">
        <v>4</v>
      </c>
      <c r="F1199" s="57" t="n">
        <v>0</v>
      </c>
      <c r="G1199" s="58" t="n">
        <v>290.71</v>
      </c>
      <c r="H1199" s="58" t="n">
        <v>0</v>
      </c>
      <c r="I1199" s="58" t="n">
        <v>281.19</v>
      </c>
      <c r="J1199" s="32" t="n">
        <f aca="false">IF(E1199&gt;0,F1199/E1199,0)</f>
        <v>0</v>
      </c>
      <c r="K1199" s="32" t="n">
        <f aca="false">IF(G1199&gt;0,H1199/G1199,0)</f>
        <v>-0</v>
      </c>
      <c r="L1199" s="59" t="n">
        <f aca="false">H1199/Settings!$B$16</f>
        <v>-0</v>
      </c>
      <c r="M1199" s="59" t="n">
        <f aca="false">H1199/Settings!$B$20</f>
        <v>-0</v>
      </c>
      <c r="N1199" s="60" t="n">
        <f aca="false">E1199*Settings!$B$3</f>
        <v>0.123944604319282</v>
      </c>
      <c r="O1199" s="60" t="n">
        <f aca="false">IF(E1199&gt;0,(F1199-N1199)/SQRT(E1199*Settings!$B$3*(1-Settings!$B$3)),0)</f>
        <v>-0.357642251868888</v>
      </c>
      <c r="P1199" s="60" t="n">
        <f aca="false">MAX(0,F1199-N1199)</f>
        <v>0</v>
      </c>
      <c r="Q1199" s="32" t="n">
        <f aca="false">(F1199+Settings!$B$7*Settings!$B$3)/(E1199+Settings!$B$7)</f>
        <v>0.027340721541018</v>
      </c>
      <c r="R1199" s="61" t="n">
        <f aca="false">PERCENTRANK($H$2:$H$1780,H1199,6)</f>
        <v>0</v>
      </c>
      <c r="S1199" s="61" t="n">
        <f aca="false">PERCENTRANK($Q$2:$Q$1780,Q1199,6)</f>
        <v>0.253656</v>
      </c>
      <c r="T1199" s="61" t="n">
        <f aca="false">PERCENTRANK($F$2:$F$1780,F1199,6)</f>
        <v>0</v>
      </c>
      <c r="U1199" s="62" t="n">
        <f aca="false">IF(F1199&gt;0,(Settings!$B$8*T1199+Settings!$B$9*R1199+Settings!$B$10*S1199)/SUM(Settings!$B$8:$B$10),0)</f>
        <v>0</v>
      </c>
      <c r="V1199" s="56" t="str">
        <f aca="false">IF(U1199&gt;0,RANK(U1199,$U$2:$U$1780)+COUNTIF($U$2:U1199,U1199)-1,"")</f>
        <v/>
      </c>
      <c r="W1199" s="56" t="str">
        <f aca="false">IF(V1199="","",IF(V1199&lt;=Settings!$B$11,"1 - Fix first",IF(V1199&lt;=Settings!$B$12,"2 - Review","3 - Monitor")))</f>
        <v/>
      </c>
      <c r="X1199" s="56" t="str">
        <f aca="false">IF(AND(E1199&gt;=Settings!$B$4,F1199&gt;=Settings!$B$5,O1199&gt;=Settings!$B$6),"HIGH RATE","")</f>
        <v/>
      </c>
      <c r="Y1199" s="56" t="str">
        <f aca="false">IF(F1199&gt;0,RANK(F1199,$F$2:$F$1780)+COUNTIF($F$2:F1199,F1199)-1,"")</f>
        <v/>
      </c>
      <c r="Z1199" s="56" t="str">
        <f aca="false">IF(H1199&gt;0,RANK(H1199,$H$2:$H$1780)+COUNTIF($H$2:H1199,H1199)-1,"")</f>
        <v/>
      </c>
      <c r="AA1199" s="56" t="str">
        <f aca="false">IF(AC1199="","",RANK(AC1199,$AC$2:$AC$1780)+COUNTIF($AC$2:AC1199,AC1199)-1)</f>
        <v/>
      </c>
      <c r="AB1199" s="56" t="str">
        <f aca="false">IF(AD1199="","",RANK(AD1199,$AD$2:$AD$1780)+COUNTIF($AD$2:AD1199,AD1199)-1)</f>
        <v/>
      </c>
      <c r="AC1199" s="56" t="str">
        <f aca="false">IF(AND(F1199&gt;0,E1199&gt;=Settings!$B$4),J1199,"")</f>
        <v/>
      </c>
      <c r="AD1199" s="56" t="str">
        <f aca="false">IF(X1199="HIGH RATE",O1199,"")</f>
        <v/>
      </c>
    </row>
    <row r="1200" customFormat="false" ht="15" hidden="false" customHeight="false" outlineLevel="0" collapsed="false">
      <c r="A1200" s="56" t="s">
        <v>2568</v>
      </c>
      <c r="B1200" s="56" t="s">
        <v>1386</v>
      </c>
      <c r="C1200" s="56" t="s">
        <v>55</v>
      </c>
      <c r="D1200" s="56" t="str">
        <f aca="false">IFERROR(INDEX('Brand Map'!$B$4:$B$124,MATCH(C1200,'Brand Map'!$A$4:$A$124,0)),"Other")</f>
        <v>AUMJ</v>
      </c>
      <c r="E1200" s="57" t="n">
        <v>4</v>
      </c>
      <c r="F1200" s="57" t="n">
        <v>0</v>
      </c>
      <c r="G1200" s="58" t="n">
        <v>435.8</v>
      </c>
      <c r="H1200" s="58" t="n">
        <v>0</v>
      </c>
      <c r="I1200" s="58" t="n">
        <v>435.8</v>
      </c>
      <c r="J1200" s="32" t="n">
        <f aca="false">IF(E1200&gt;0,F1200/E1200,0)</f>
        <v>0</v>
      </c>
      <c r="K1200" s="32" t="n">
        <f aca="false">IF(G1200&gt;0,H1200/G1200,0)</f>
        <v>-0</v>
      </c>
      <c r="L1200" s="59" t="n">
        <f aca="false">H1200/Settings!$B$16</f>
        <v>-0</v>
      </c>
      <c r="M1200" s="59" t="n">
        <f aca="false">H1200/Settings!$B$20</f>
        <v>-0</v>
      </c>
      <c r="N1200" s="60" t="n">
        <f aca="false">E1200*Settings!$B$3</f>
        <v>0.123944604319282</v>
      </c>
      <c r="O1200" s="60" t="n">
        <f aca="false">IF(E1200&gt;0,(F1200-N1200)/SQRT(E1200*Settings!$B$3*(1-Settings!$B$3)),0)</f>
        <v>-0.357642251868888</v>
      </c>
      <c r="P1200" s="60" t="n">
        <f aca="false">MAX(0,F1200-N1200)</f>
        <v>0</v>
      </c>
      <c r="Q1200" s="32" t="n">
        <f aca="false">(F1200+Settings!$B$7*Settings!$B$3)/(E1200+Settings!$B$7)</f>
        <v>0.027340721541018</v>
      </c>
      <c r="R1200" s="61" t="n">
        <f aca="false">PERCENTRANK($H$2:$H$1780,H1200,6)</f>
        <v>0</v>
      </c>
      <c r="S1200" s="61" t="n">
        <f aca="false">PERCENTRANK($Q$2:$Q$1780,Q1200,6)</f>
        <v>0.253656</v>
      </c>
      <c r="T1200" s="61" t="n">
        <f aca="false">PERCENTRANK($F$2:$F$1780,F1200,6)</f>
        <v>0</v>
      </c>
      <c r="U1200" s="62" t="n">
        <f aca="false">IF(F1200&gt;0,(Settings!$B$8*T1200+Settings!$B$9*R1200+Settings!$B$10*S1200)/SUM(Settings!$B$8:$B$10),0)</f>
        <v>0</v>
      </c>
      <c r="V1200" s="56" t="str">
        <f aca="false">IF(U1200&gt;0,RANK(U1200,$U$2:$U$1780)+COUNTIF($U$2:U1200,U1200)-1,"")</f>
        <v/>
      </c>
      <c r="W1200" s="56" t="str">
        <f aca="false">IF(V1200="","",IF(V1200&lt;=Settings!$B$11,"1 - Fix first",IF(V1200&lt;=Settings!$B$12,"2 - Review","3 - Monitor")))</f>
        <v/>
      </c>
      <c r="X1200" s="56" t="str">
        <f aca="false">IF(AND(E1200&gt;=Settings!$B$4,F1200&gt;=Settings!$B$5,O1200&gt;=Settings!$B$6),"HIGH RATE","")</f>
        <v/>
      </c>
      <c r="Y1200" s="56" t="str">
        <f aca="false">IF(F1200&gt;0,RANK(F1200,$F$2:$F$1780)+COUNTIF($F$2:F1200,F1200)-1,"")</f>
        <v/>
      </c>
      <c r="Z1200" s="56" t="str">
        <f aca="false">IF(H1200&gt;0,RANK(H1200,$H$2:$H$1780)+COUNTIF($H$2:H1200,H1200)-1,"")</f>
        <v/>
      </c>
      <c r="AA1200" s="56" t="str">
        <f aca="false">IF(AC1200="","",RANK(AC1200,$AC$2:$AC$1780)+COUNTIF($AC$2:AC1200,AC1200)-1)</f>
        <v/>
      </c>
      <c r="AB1200" s="56" t="str">
        <f aca="false">IF(AD1200="","",RANK(AD1200,$AD$2:$AD$1780)+COUNTIF($AD$2:AD1200,AD1200)-1)</f>
        <v/>
      </c>
      <c r="AC1200" s="56" t="str">
        <f aca="false">IF(AND(F1200&gt;0,E1200&gt;=Settings!$B$4),J1200,"")</f>
        <v/>
      </c>
      <c r="AD1200" s="56" t="str">
        <f aca="false">IF(X1200="HIGH RATE",O1200,"")</f>
        <v/>
      </c>
    </row>
    <row r="1201" customFormat="false" ht="15" hidden="false" customHeight="false" outlineLevel="0" collapsed="false">
      <c r="A1201" s="56" t="s">
        <v>2569</v>
      </c>
      <c r="B1201" s="56" t="s">
        <v>1386</v>
      </c>
      <c r="C1201" s="56" t="s">
        <v>55</v>
      </c>
      <c r="D1201" s="56" t="str">
        <f aca="false">IFERROR(INDEX('Brand Map'!$B$4:$B$124,MATCH(C1201,'Brand Map'!$A$4:$A$124,0)),"Other")</f>
        <v>AUMJ</v>
      </c>
      <c r="E1201" s="57" t="n">
        <v>3</v>
      </c>
      <c r="F1201" s="57" t="n">
        <v>0</v>
      </c>
      <c r="G1201" s="58" t="n">
        <v>245.31</v>
      </c>
      <c r="H1201" s="58" t="n">
        <v>0</v>
      </c>
      <c r="I1201" s="58" t="n">
        <v>233.06</v>
      </c>
      <c r="J1201" s="32" t="n">
        <f aca="false">IF(E1201&gt;0,F1201/E1201,0)</f>
        <v>0</v>
      </c>
      <c r="K1201" s="32" t="n">
        <f aca="false">IF(G1201&gt;0,H1201/G1201,0)</f>
        <v>-0</v>
      </c>
      <c r="L1201" s="59" t="n">
        <f aca="false">H1201/Settings!$B$16</f>
        <v>-0</v>
      </c>
      <c r="M1201" s="59" t="n">
        <f aca="false">H1201/Settings!$B$20</f>
        <v>-0</v>
      </c>
      <c r="N1201" s="60" t="n">
        <f aca="false">E1201*Settings!$B$3</f>
        <v>0.0929584532394613</v>
      </c>
      <c r="O1201" s="60" t="n">
        <f aca="false">IF(E1201&gt;0,(F1201-N1201)/SQRT(E1201*Settings!$B$3*(1-Settings!$B$3)),0)</f>
        <v>-0.30972727558513</v>
      </c>
      <c r="P1201" s="60" t="n">
        <f aca="false">MAX(0,F1201-N1201)</f>
        <v>0</v>
      </c>
      <c r="Q1201" s="32" t="n">
        <f aca="false">(F1201+Settings!$B$7*Settings!$B$3)/(E1201+Settings!$B$7)</f>
        <v>0.0281692282543822</v>
      </c>
      <c r="R1201" s="61" t="n">
        <f aca="false">PERCENTRANK($H$2:$H$1780,H1201,6)</f>
        <v>0</v>
      </c>
      <c r="S1201" s="61" t="n">
        <f aca="false">PERCENTRANK($Q$2:$Q$1780,Q1201,6)</f>
        <v>0.294151</v>
      </c>
      <c r="T1201" s="61" t="n">
        <f aca="false">PERCENTRANK($F$2:$F$1780,F1201,6)</f>
        <v>0</v>
      </c>
      <c r="U1201" s="62" t="n">
        <f aca="false">IF(F1201&gt;0,(Settings!$B$8*T1201+Settings!$B$9*R1201+Settings!$B$10*S1201)/SUM(Settings!$B$8:$B$10),0)</f>
        <v>0</v>
      </c>
      <c r="V1201" s="56" t="str">
        <f aca="false">IF(U1201&gt;0,RANK(U1201,$U$2:$U$1780)+COUNTIF($U$2:U1201,U1201)-1,"")</f>
        <v/>
      </c>
      <c r="W1201" s="56" t="str">
        <f aca="false">IF(V1201="","",IF(V1201&lt;=Settings!$B$11,"1 - Fix first",IF(V1201&lt;=Settings!$B$12,"2 - Review","3 - Monitor")))</f>
        <v/>
      </c>
      <c r="X1201" s="56" t="str">
        <f aca="false">IF(AND(E1201&gt;=Settings!$B$4,F1201&gt;=Settings!$B$5,O1201&gt;=Settings!$B$6),"HIGH RATE","")</f>
        <v/>
      </c>
      <c r="Y1201" s="56" t="str">
        <f aca="false">IF(F1201&gt;0,RANK(F1201,$F$2:$F$1780)+COUNTIF($F$2:F1201,F1201)-1,"")</f>
        <v/>
      </c>
      <c r="Z1201" s="56" t="str">
        <f aca="false">IF(H1201&gt;0,RANK(H1201,$H$2:$H$1780)+COUNTIF($H$2:H1201,H1201)-1,"")</f>
        <v/>
      </c>
      <c r="AA1201" s="56" t="str">
        <f aca="false">IF(AC1201="","",RANK(AC1201,$AC$2:$AC$1780)+COUNTIF($AC$2:AC1201,AC1201)-1)</f>
        <v/>
      </c>
      <c r="AB1201" s="56" t="str">
        <f aca="false">IF(AD1201="","",RANK(AD1201,$AD$2:$AD$1780)+COUNTIF($AD$2:AD1201,AD1201)-1)</f>
        <v/>
      </c>
      <c r="AC1201" s="56" t="str">
        <f aca="false">IF(AND(F1201&gt;0,E1201&gt;=Settings!$B$4),J1201,"")</f>
        <v/>
      </c>
      <c r="AD1201" s="56" t="str">
        <f aca="false">IF(X1201="HIGH RATE",O1201,"")</f>
        <v/>
      </c>
    </row>
    <row r="1202" customFormat="false" ht="15" hidden="false" customHeight="false" outlineLevel="0" collapsed="false">
      <c r="A1202" s="56" t="s">
        <v>2570</v>
      </c>
      <c r="B1202" s="56" t="s">
        <v>1386</v>
      </c>
      <c r="C1202" s="56" t="s">
        <v>55</v>
      </c>
      <c r="D1202" s="56" t="str">
        <f aca="false">IFERROR(INDEX('Brand Map'!$B$4:$B$124,MATCH(C1202,'Brand Map'!$A$4:$A$124,0)),"Other")</f>
        <v>AUMJ</v>
      </c>
      <c r="E1202" s="57" t="n">
        <v>2</v>
      </c>
      <c r="F1202" s="57" t="n">
        <v>0</v>
      </c>
      <c r="G1202" s="58" t="n">
        <v>145.36</v>
      </c>
      <c r="H1202" s="58" t="n">
        <v>0</v>
      </c>
      <c r="I1202" s="58" t="n">
        <v>145.36</v>
      </c>
      <c r="J1202" s="32" t="n">
        <f aca="false">IF(E1202&gt;0,F1202/E1202,0)</f>
        <v>0</v>
      </c>
      <c r="K1202" s="32" t="n">
        <f aca="false">IF(G1202&gt;0,H1202/G1202,0)</f>
        <v>-0</v>
      </c>
      <c r="L1202" s="59" t="n">
        <f aca="false">H1202/Settings!$B$16</f>
        <v>-0</v>
      </c>
      <c r="M1202" s="59" t="n">
        <f aca="false">H1202/Settings!$B$20</f>
        <v>-0</v>
      </c>
      <c r="N1202" s="60" t="n">
        <f aca="false">E1202*Settings!$B$3</f>
        <v>0.0619723021596408</v>
      </c>
      <c r="O1202" s="60" t="n">
        <f aca="false">IF(E1202&gt;0,(F1202-N1202)/SQRT(E1202*Settings!$B$3*(1-Settings!$B$3)),0)</f>
        <v>-0.252891261535318</v>
      </c>
      <c r="P1202" s="60" t="n">
        <f aca="false">MAX(0,F1202-N1202)</f>
        <v>0</v>
      </c>
      <c r="Q1202" s="32" t="n">
        <f aca="false">(F1202+Settings!$B$7*Settings!$B$3)/(E1202+Settings!$B$7)</f>
        <v>0.0290495166373316</v>
      </c>
      <c r="R1202" s="61" t="n">
        <f aca="false">PERCENTRANK($H$2:$H$1780,H1202,6)</f>
        <v>0</v>
      </c>
      <c r="S1202" s="61" t="n">
        <f aca="false">PERCENTRANK($Q$2:$Q$1780,Q1202,6)</f>
        <v>0.365579</v>
      </c>
      <c r="T1202" s="61" t="n">
        <f aca="false">PERCENTRANK($F$2:$F$1780,F1202,6)</f>
        <v>0</v>
      </c>
      <c r="U1202" s="62" t="n">
        <f aca="false">IF(F1202&gt;0,(Settings!$B$8*T1202+Settings!$B$9*R1202+Settings!$B$10*S1202)/SUM(Settings!$B$8:$B$10),0)</f>
        <v>0</v>
      </c>
      <c r="V1202" s="56" t="str">
        <f aca="false">IF(U1202&gt;0,RANK(U1202,$U$2:$U$1780)+COUNTIF($U$2:U1202,U1202)-1,"")</f>
        <v/>
      </c>
      <c r="W1202" s="56" t="str">
        <f aca="false">IF(V1202="","",IF(V1202&lt;=Settings!$B$11,"1 - Fix first",IF(V1202&lt;=Settings!$B$12,"2 - Review","3 - Monitor")))</f>
        <v/>
      </c>
      <c r="X1202" s="56" t="str">
        <f aca="false">IF(AND(E1202&gt;=Settings!$B$4,F1202&gt;=Settings!$B$5,O1202&gt;=Settings!$B$6),"HIGH RATE","")</f>
        <v/>
      </c>
      <c r="Y1202" s="56" t="str">
        <f aca="false">IF(F1202&gt;0,RANK(F1202,$F$2:$F$1780)+COUNTIF($F$2:F1202,F1202)-1,"")</f>
        <v/>
      </c>
      <c r="Z1202" s="56" t="str">
        <f aca="false">IF(H1202&gt;0,RANK(H1202,$H$2:$H$1780)+COUNTIF($H$2:H1202,H1202)-1,"")</f>
        <v/>
      </c>
      <c r="AA1202" s="56" t="str">
        <f aca="false">IF(AC1202="","",RANK(AC1202,$AC$2:$AC$1780)+COUNTIF($AC$2:AC1202,AC1202)-1)</f>
        <v/>
      </c>
      <c r="AB1202" s="56" t="str">
        <f aca="false">IF(AD1202="","",RANK(AD1202,$AD$2:$AD$1780)+COUNTIF($AD$2:AD1202,AD1202)-1)</f>
        <v/>
      </c>
      <c r="AC1202" s="56" t="str">
        <f aca="false">IF(AND(F1202&gt;0,E1202&gt;=Settings!$B$4),J1202,"")</f>
        <v/>
      </c>
      <c r="AD1202" s="56" t="str">
        <f aca="false">IF(X1202="HIGH RATE",O1202,"")</f>
        <v/>
      </c>
    </row>
    <row r="1203" customFormat="false" ht="15" hidden="false" customHeight="false" outlineLevel="0" collapsed="false">
      <c r="A1203" s="56" t="s">
        <v>2571</v>
      </c>
      <c r="B1203" s="56" t="s">
        <v>2572</v>
      </c>
      <c r="C1203" s="56" t="s">
        <v>55</v>
      </c>
      <c r="D1203" s="56" t="str">
        <f aca="false">IFERROR(INDEX('Brand Map'!$B$4:$B$124,MATCH(C1203,'Brand Map'!$A$4:$A$124,0)),"Other")</f>
        <v>AUMJ</v>
      </c>
      <c r="E1203" s="57" t="n">
        <v>2</v>
      </c>
      <c r="F1203" s="57" t="n">
        <v>0</v>
      </c>
      <c r="G1203" s="58" t="n">
        <v>247.18</v>
      </c>
      <c r="H1203" s="58" t="n">
        <v>0</v>
      </c>
      <c r="I1203" s="58" t="n">
        <v>247.18</v>
      </c>
      <c r="J1203" s="32" t="n">
        <f aca="false">IF(E1203&gt;0,F1203/E1203,0)</f>
        <v>0</v>
      </c>
      <c r="K1203" s="32" t="n">
        <f aca="false">IF(G1203&gt;0,H1203/G1203,0)</f>
        <v>-0</v>
      </c>
      <c r="L1203" s="59" t="n">
        <f aca="false">H1203/Settings!$B$16</f>
        <v>-0</v>
      </c>
      <c r="M1203" s="59" t="n">
        <f aca="false">H1203/Settings!$B$20</f>
        <v>-0</v>
      </c>
      <c r="N1203" s="60" t="n">
        <f aca="false">E1203*Settings!$B$3</f>
        <v>0.0619723021596408</v>
      </c>
      <c r="O1203" s="60" t="n">
        <f aca="false">IF(E1203&gt;0,(F1203-N1203)/SQRT(E1203*Settings!$B$3*(1-Settings!$B$3)),0)</f>
        <v>-0.252891261535318</v>
      </c>
      <c r="P1203" s="60" t="n">
        <f aca="false">MAX(0,F1203-N1203)</f>
        <v>0</v>
      </c>
      <c r="Q1203" s="32" t="n">
        <f aca="false">(F1203+Settings!$B$7*Settings!$B$3)/(E1203+Settings!$B$7)</f>
        <v>0.0290495166373316</v>
      </c>
      <c r="R1203" s="61" t="n">
        <f aca="false">PERCENTRANK($H$2:$H$1780,H1203,6)</f>
        <v>0</v>
      </c>
      <c r="S1203" s="61" t="n">
        <f aca="false">PERCENTRANK($Q$2:$Q$1780,Q1203,6)</f>
        <v>0.365579</v>
      </c>
      <c r="T1203" s="61" t="n">
        <f aca="false">PERCENTRANK($F$2:$F$1780,F1203,6)</f>
        <v>0</v>
      </c>
      <c r="U1203" s="62" t="n">
        <f aca="false">IF(F1203&gt;0,(Settings!$B$8*T1203+Settings!$B$9*R1203+Settings!$B$10*S1203)/SUM(Settings!$B$8:$B$10),0)</f>
        <v>0</v>
      </c>
      <c r="V1203" s="56" t="str">
        <f aca="false">IF(U1203&gt;0,RANK(U1203,$U$2:$U$1780)+COUNTIF($U$2:U1203,U1203)-1,"")</f>
        <v/>
      </c>
      <c r="W1203" s="56" t="str">
        <f aca="false">IF(V1203="","",IF(V1203&lt;=Settings!$B$11,"1 - Fix first",IF(V1203&lt;=Settings!$B$12,"2 - Review","3 - Monitor")))</f>
        <v/>
      </c>
      <c r="X1203" s="56" t="str">
        <f aca="false">IF(AND(E1203&gt;=Settings!$B$4,F1203&gt;=Settings!$B$5,O1203&gt;=Settings!$B$6),"HIGH RATE","")</f>
        <v/>
      </c>
      <c r="Y1203" s="56" t="str">
        <f aca="false">IF(F1203&gt;0,RANK(F1203,$F$2:$F$1780)+COUNTIF($F$2:F1203,F1203)-1,"")</f>
        <v/>
      </c>
      <c r="Z1203" s="56" t="str">
        <f aca="false">IF(H1203&gt;0,RANK(H1203,$H$2:$H$1780)+COUNTIF($H$2:H1203,H1203)-1,"")</f>
        <v/>
      </c>
      <c r="AA1203" s="56" t="str">
        <f aca="false">IF(AC1203="","",RANK(AC1203,$AC$2:$AC$1780)+COUNTIF($AC$2:AC1203,AC1203)-1)</f>
        <v/>
      </c>
      <c r="AB1203" s="56" t="str">
        <f aca="false">IF(AD1203="","",RANK(AD1203,$AD$2:$AD$1780)+COUNTIF($AD$2:AD1203,AD1203)-1)</f>
        <v/>
      </c>
      <c r="AC1203" s="56" t="str">
        <f aca="false">IF(AND(F1203&gt;0,E1203&gt;=Settings!$B$4),J1203,"")</f>
        <v/>
      </c>
      <c r="AD1203" s="56" t="str">
        <f aca="false">IF(X1203="HIGH RATE",O1203,"")</f>
        <v/>
      </c>
    </row>
    <row r="1204" customFormat="false" ht="15" hidden="false" customHeight="false" outlineLevel="0" collapsed="false">
      <c r="A1204" s="56" t="s">
        <v>2573</v>
      </c>
      <c r="B1204" s="56" t="s">
        <v>2572</v>
      </c>
      <c r="C1204" s="56" t="s">
        <v>55</v>
      </c>
      <c r="D1204" s="56" t="str">
        <f aca="false">IFERROR(INDEX('Brand Map'!$B$4:$B$124,MATCH(C1204,'Brand Map'!$A$4:$A$124,0)),"Other")</f>
        <v>AUMJ</v>
      </c>
      <c r="E1204" s="57" t="n">
        <v>2</v>
      </c>
      <c r="F1204" s="57" t="n">
        <v>0</v>
      </c>
      <c r="G1204" s="58" t="n">
        <v>331.9</v>
      </c>
      <c r="H1204" s="58" t="n">
        <v>0</v>
      </c>
      <c r="I1204" s="58" t="n">
        <v>331.9</v>
      </c>
      <c r="J1204" s="32" t="n">
        <f aca="false">IF(E1204&gt;0,F1204/E1204,0)</f>
        <v>0</v>
      </c>
      <c r="K1204" s="32" t="n">
        <f aca="false">IF(G1204&gt;0,H1204/G1204,0)</f>
        <v>-0</v>
      </c>
      <c r="L1204" s="59" t="n">
        <f aca="false">H1204/Settings!$B$16</f>
        <v>-0</v>
      </c>
      <c r="M1204" s="59" t="n">
        <f aca="false">H1204/Settings!$B$20</f>
        <v>-0</v>
      </c>
      <c r="N1204" s="60" t="n">
        <f aca="false">E1204*Settings!$B$3</f>
        <v>0.0619723021596408</v>
      </c>
      <c r="O1204" s="60" t="n">
        <f aca="false">IF(E1204&gt;0,(F1204-N1204)/SQRT(E1204*Settings!$B$3*(1-Settings!$B$3)),0)</f>
        <v>-0.252891261535318</v>
      </c>
      <c r="P1204" s="60" t="n">
        <f aca="false">MAX(0,F1204-N1204)</f>
        <v>0</v>
      </c>
      <c r="Q1204" s="32" t="n">
        <f aca="false">(F1204+Settings!$B$7*Settings!$B$3)/(E1204+Settings!$B$7)</f>
        <v>0.0290495166373316</v>
      </c>
      <c r="R1204" s="61" t="n">
        <f aca="false">PERCENTRANK($H$2:$H$1780,H1204,6)</f>
        <v>0</v>
      </c>
      <c r="S1204" s="61" t="n">
        <f aca="false">PERCENTRANK($Q$2:$Q$1780,Q1204,6)</f>
        <v>0.365579</v>
      </c>
      <c r="T1204" s="61" t="n">
        <f aca="false">PERCENTRANK($F$2:$F$1780,F1204,6)</f>
        <v>0</v>
      </c>
      <c r="U1204" s="62" t="n">
        <f aca="false">IF(F1204&gt;0,(Settings!$B$8*T1204+Settings!$B$9*R1204+Settings!$B$10*S1204)/SUM(Settings!$B$8:$B$10),0)</f>
        <v>0</v>
      </c>
      <c r="V1204" s="56" t="str">
        <f aca="false">IF(U1204&gt;0,RANK(U1204,$U$2:$U$1780)+COUNTIF($U$2:U1204,U1204)-1,"")</f>
        <v/>
      </c>
      <c r="W1204" s="56" t="str">
        <f aca="false">IF(V1204="","",IF(V1204&lt;=Settings!$B$11,"1 - Fix first",IF(V1204&lt;=Settings!$B$12,"2 - Review","3 - Monitor")))</f>
        <v/>
      </c>
      <c r="X1204" s="56" t="str">
        <f aca="false">IF(AND(E1204&gt;=Settings!$B$4,F1204&gt;=Settings!$B$5,O1204&gt;=Settings!$B$6),"HIGH RATE","")</f>
        <v/>
      </c>
      <c r="Y1204" s="56" t="str">
        <f aca="false">IF(F1204&gt;0,RANK(F1204,$F$2:$F$1780)+COUNTIF($F$2:F1204,F1204)-1,"")</f>
        <v/>
      </c>
      <c r="Z1204" s="56" t="str">
        <f aca="false">IF(H1204&gt;0,RANK(H1204,$H$2:$H$1780)+COUNTIF($H$2:H1204,H1204)-1,"")</f>
        <v/>
      </c>
      <c r="AA1204" s="56" t="str">
        <f aca="false">IF(AC1204="","",RANK(AC1204,$AC$2:$AC$1780)+COUNTIF($AC$2:AC1204,AC1204)-1)</f>
        <v/>
      </c>
      <c r="AB1204" s="56" t="str">
        <f aca="false">IF(AD1204="","",RANK(AD1204,$AD$2:$AD$1780)+COUNTIF($AD$2:AD1204,AD1204)-1)</f>
        <v/>
      </c>
      <c r="AC1204" s="56" t="str">
        <f aca="false">IF(AND(F1204&gt;0,E1204&gt;=Settings!$B$4),J1204,"")</f>
        <v/>
      </c>
      <c r="AD1204" s="56" t="str">
        <f aca="false">IF(X1204="HIGH RATE",O1204,"")</f>
        <v/>
      </c>
    </row>
    <row r="1205" customFormat="false" ht="15" hidden="false" customHeight="false" outlineLevel="0" collapsed="false">
      <c r="A1205" s="56" t="s">
        <v>2574</v>
      </c>
      <c r="B1205" s="56" t="s">
        <v>2572</v>
      </c>
      <c r="C1205" s="56" t="s">
        <v>55</v>
      </c>
      <c r="D1205" s="56" t="str">
        <f aca="false">IFERROR(INDEX('Brand Map'!$B$4:$B$124,MATCH(C1205,'Brand Map'!$A$4:$A$124,0)),"Other")</f>
        <v>AUMJ</v>
      </c>
      <c r="E1205" s="57" t="n">
        <v>2</v>
      </c>
      <c r="F1205" s="57" t="n">
        <v>0</v>
      </c>
      <c r="G1205" s="58" t="n">
        <v>246.27</v>
      </c>
      <c r="H1205" s="58" t="n">
        <v>0</v>
      </c>
      <c r="I1205" s="58" t="n">
        <v>246.27</v>
      </c>
      <c r="J1205" s="32" t="n">
        <f aca="false">IF(E1205&gt;0,F1205/E1205,0)</f>
        <v>0</v>
      </c>
      <c r="K1205" s="32" t="n">
        <f aca="false">IF(G1205&gt;0,H1205/G1205,0)</f>
        <v>-0</v>
      </c>
      <c r="L1205" s="59" t="n">
        <f aca="false">H1205/Settings!$B$16</f>
        <v>-0</v>
      </c>
      <c r="M1205" s="59" t="n">
        <f aca="false">H1205/Settings!$B$20</f>
        <v>-0</v>
      </c>
      <c r="N1205" s="60" t="n">
        <f aca="false">E1205*Settings!$B$3</f>
        <v>0.0619723021596408</v>
      </c>
      <c r="O1205" s="60" t="n">
        <f aca="false">IF(E1205&gt;0,(F1205-N1205)/SQRT(E1205*Settings!$B$3*(1-Settings!$B$3)),0)</f>
        <v>-0.252891261535318</v>
      </c>
      <c r="P1205" s="60" t="n">
        <f aca="false">MAX(0,F1205-N1205)</f>
        <v>0</v>
      </c>
      <c r="Q1205" s="32" t="n">
        <f aca="false">(F1205+Settings!$B$7*Settings!$B$3)/(E1205+Settings!$B$7)</f>
        <v>0.0290495166373316</v>
      </c>
      <c r="R1205" s="61" t="n">
        <f aca="false">PERCENTRANK($H$2:$H$1780,H1205,6)</f>
        <v>0</v>
      </c>
      <c r="S1205" s="61" t="n">
        <f aca="false">PERCENTRANK($Q$2:$Q$1780,Q1205,6)</f>
        <v>0.365579</v>
      </c>
      <c r="T1205" s="61" t="n">
        <f aca="false">PERCENTRANK($F$2:$F$1780,F1205,6)</f>
        <v>0</v>
      </c>
      <c r="U1205" s="62" t="n">
        <f aca="false">IF(F1205&gt;0,(Settings!$B$8*T1205+Settings!$B$9*R1205+Settings!$B$10*S1205)/SUM(Settings!$B$8:$B$10),0)</f>
        <v>0</v>
      </c>
      <c r="V1205" s="56" t="str">
        <f aca="false">IF(U1205&gt;0,RANK(U1205,$U$2:$U$1780)+COUNTIF($U$2:U1205,U1205)-1,"")</f>
        <v/>
      </c>
      <c r="W1205" s="56" t="str">
        <f aca="false">IF(V1205="","",IF(V1205&lt;=Settings!$B$11,"1 - Fix first",IF(V1205&lt;=Settings!$B$12,"2 - Review","3 - Monitor")))</f>
        <v/>
      </c>
      <c r="X1205" s="56" t="str">
        <f aca="false">IF(AND(E1205&gt;=Settings!$B$4,F1205&gt;=Settings!$B$5,O1205&gt;=Settings!$B$6),"HIGH RATE","")</f>
        <v/>
      </c>
      <c r="Y1205" s="56" t="str">
        <f aca="false">IF(F1205&gt;0,RANK(F1205,$F$2:$F$1780)+COUNTIF($F$2:F1205,F1205)-1,"")</f>
        <v/>
      </c>
      <c r="Z1205" s="56" t="str">
        <f aca="false">IF(H1205&gt;0,RANK(H1205,$H$2:$H$1780)+COUNTIF($H$2:H1205,H1205)-1,"")</f>
        <v/>
      </c>
      <c r="AA1205" s="56" t="str">
        <f aca="false">IF(AC1205="","",RANK(AC1205,$AC$2:$AC$1780)+COUNTIF($AC$2:AC1205,AC1205)-1)</f>
        <v/>
      </c>
      <c r="AB1205" s="56" t="str">
        <f aca="false">IF(AD1205="","",RANK(AD1205,$AD$2:$AD$1780)+COUNTIF($AD$2:AD1205,AD1205)-1)</f>
        <v/>
      </c>
      <c r="AC1205" s="56" t="str">
        <f aca="false">IF(AND(F1205&gt;0,E1205&gt;=Settings!$B$4),J1205,"")</f>
        <v/>
      </c>
      <c r="AD1205" s="56" t="str">
        <f aca="false">IF(X1205="HIGH RATE",O1205,"")</f>
        <v/>
      </c>
    </row>
    <row r="1206" customFormat="false" ht="15" hidden="false" customHeight="false" outlineLevel="0" collapsed="false">
      <c r="A1206" s="56" t="s">
        <v>2575</v>
      </c>
      <c r="B1206" s="56" t="s">
        <v>2572</v>
      </c>
      <c r="C1206" s="56" t="s">
        <v>55</v>
      </c>
      <c r="D1206" s="56" t="str">
        <f aca="false">IFERROR(INDEX('Brand Map'!$B$4:$B$124,MATCH(C1206,'Brand Map'!$A$4:$A$124,0)),"Other")</f>
        <v>AUMJ</v>
      </c>
      <c r="E1206" s="57" t="n">
        <v>4</v>
      </c>
      <c r="F1206" s="57" t="n">
        <v>0</v>
      </c>
      <c r="G1206" s="58" t="n">
        <v>408.99</v>
      </c>
      <c r="H1206" s="58" t="n">
        <v>0</v>
      </c>
      <c r="I1206" s="58" t="n">
        <v>392.5</v>
      </c>
      <c r="J1206" s="32" t="n">
        <f aca="false">IF(E1206&gt;0,F1206/E1206,0)</f>
        <v>0</v>
      </c>
      <c r="K1206" s="32" t="n">
        <f aca="false">IF(G1206&gt;0,H1206/G1206,0)</f>
        <v>-0</v>
      </c>
      <c r="L1206" s="59" t="n">
        <f aca="false">H1206/Settings!$B$16</f>
        <v>-0</v>
      </c>
      <c r="M1206" s="59" t="n">
        <f aca="false">H1206/Settings!$B$20</f>
        <v>-0</v>
      </c>
      <c r="N1206" s="60" t="n">
        <f aca="false">E1206*Settings!$B$3</f>
        <v>0.123944604319282</v>
      </c>
      <c r="O1206" s="60" t="n">
        <f aca="false">IF(E1206&gt;0,(F1206-N1206)/SQRT(E1206*Settings!$B$3*(1-Settings!$B$3)),0)</f>
        <v>-0.357642251868888</v>
      </c>
      <c r="P1206" s="60" t="n">
        <f aca="false">MAX(0,F1206-N1206)</f>
        <v>0</v>
      </c>
      <c r="Q1206" s="32" t="n">
        <f aca="false">(F1206+Settings!$B$7*Settings!$B$3)/(E1206+Settings!$B$7)</f>
        <v>0.027340721541018</v>
      </c>
      <c r="R1206" s="61" t="n">
        <f aca="false">PERCENTRANK($H$2:$H$1780,H1206,6)</f>
        <v>0</v>
      </c>
      <c r="S1206" s="61" t="n">
        <f aca="false">PERCENTRANK($Q$2:$Q$1780,Q1206,6)</f>
        <v>0.253656</v>
      </c>
      <c r="T1206" s="61" t="n">
        <f aca="false">PERCENTRANK($F$2:$F$1780,F1206,6)</f>
        <v>0</v>
      </c>
      <c r="U1206" s="62" t="n">
        <f aca="false">IF(F1206&gt;0,(Settings!$B$8*T1206+Settings!$B$9*R1206+Settings!$B$10*S1206)/SUM(Settings!$B$8:$B$10),0)</f>
        <v>0</v>
      </c>
      <c r="V1206" s="56" t="str">
        <f aca="false">IF(U1206&gt;0,RANK(U1206,$U$2:$U$1780)+COUNTIF($U$2:U1206,U1206)-1,"")</f>
        <v/>
      </c>
      <c r="W1206" s="56" t="str">
        <f aca="false">IF(V1206="","",IF(V1206&lt;=Settings!$B$11,"1 - Fix first",IF(V1206&lt;=Settings!$B$12,"2 - Review","3 - Monitor")))</f>
        <v/>
      </c>
      <c r="X1206" s="56" t="str">
        <f aca="false">IF(AND(E1206&gt;=Settings!$B$4,F1206&gt;=Settings!$B$5,O1206&gt;=Settings!$B$6),"HIGH RATE","")</f>
        <v/>
      </c>
      <c r="Y1206" s="56" t="str">
        <f aca="false">IF(F1206&gt;0,RANK(F1206,$F$2:$F$1780)+COUNTIF($F$2:F1206,F1206)-1,"")</f>
        <v/>
      </c>
      <c r="Z1206" s="56" t="str">
        <f aca="false">IF(H1206&gt;0,RANK(H1206,$H$2:$H$1780)+COUNTIF($H$2:H1206,H1206)-1,"")</f>
        <v/>
      </c>
      <c r="AA1206" s="56" t="str">
        <f aca="false">IF(AC1206="","",RANK(AC1206,$AC$2:$AC$1780)+COUNTIF($AC$2:AC1206,AC1206)-1)</f>
        <v/>
      </c>
      <c r="AB1206" s="56" t="str">
        <f aca="false">IF(AD1206="","",RANK(AD1206,$AD$2:$AD$1780)+COUNTIF($AD$2:AD1206,AD1206)-1)</f>
        <v/>
      </c>
      <c r="AC1206" s="56" t="str">
        <f aca="false">IF(AND(F1206&gt;0,E1206&gt;=Settings!$B$4),J1206,"")</f>
        <v/>
      </c>
      <c r="AD1206" s="56" t="str">
        <f aca="false">IF(X1206="HIGH RATE",O1206,"")</f>
        <v/>
      </c>
    </row>
    <row r="1207" customFormat="false" ht="15" hidden="false" customHeight="false" outlineLevel="0" collapsed="false">
      <c r="A1207" s="56" t="s">
        <v>2576</v>
      </c>
      <c r="B1207" s="56" t="s">
        <v>883</v>
      </c>
      <c r="C1207" s="56" t="s">
        <v>55</v>
      </c>
      <c r="D1207" s="56" t="str">
        <f aca="false">IFERROR(INDEX('Brand Map'!$B$4:$B$124,MATCH(C1207,'Brand Map'!$A$4:$A$124,0)),"Other")</f>
        <v>AUMJ</v>
      </c>
      <c r="E1207" s="57" t="n">
        <v>2</v>
      </c>
      <c r="F1207" s="57" t="n">
        <v>0</v>
      </c>
      <c r="G1207" s="58" t="n">
        <v>277.9</v>
      </c>
      <c r="H1207" s="58" t="n">
        <v>0</v>
      </c>
      <c r="I1207" s="58" t="n">
        <v>277.9</v>
      </c>
      <c r="J1207" s="32" t="n">
        <f aca="false">IF(E1207&gt;0,F1207/E1207,0)</f>
        <v>0</v>
      </c>
      <c r="K1207" s="32" t="n">
        <f aca="false">IF(G1207&gt;0,H1207/G1207,0)</f>
        <v>-0</v>
      </c>
      <c r="L1207" s="59" t="n">
        <f aca="false">H1207/Settings!$B$16</f>
        <v>-0</v>
      </c>
      <c r="M1207" s="59" t="n">
        <f aca="false">H1207/Settings!$B$20</f>
        <v>-0</v>
      </c>
      <c r="N1207" s="60" t="n">
        <f aca="false">E1207*Settings!$B$3</f>
        <v>0.0619723021596408</v>
      </c>
      <c r="O1207" s="60" t="n">
        <f aca="false">IF(E1207&gt;0,(F1207-N1207)/SQRT(E1207*Settings!$B$3*(1-Settings!$B$3)),0)</f>
        <v>-0.252891261535318</v>
      </c>
      <c r="P1207" s="60" t="n">
        <f aca="false">MAX(0,F1207-N1207)</f>
        <v>0</v>
      </c>
      <c r="Q1207" s="32" t="n">
        <f aca="false">(F1207+Settings!$B$7*Settings!$B$3)/(E1207+Settings!$B$7)</f>
        <v>0.0290495166373316</v>
      </c>
      <c r="R1207" s="61" t="n">
        <f aca="false">PERCENTRANK($H$2:$H$1780,H1207,6)</f>
        <v>0</v>
      </c>
      <c r="S1207" s="61" t="n">
        <f aca="false">PERCENTRANK($Q$2:$Q$1780,Q1207,6)</f>
        <v>0.365579</v>
      </c>
      <c r="T1207" s="61" t="n">
        <f aca="false">PERCENTRANK($F$2:$F$1780,F1207,6)</f>
        <v>0</v>
      </c>
      <c r="U1207" s="62" t="n">
        <f aca="false">IF(F1207&gt;0,(Settings!$B$8*T1207+Settings!$B$9*R1207+Settings!$B$10*S1207)/SUM(Settings!$B$8:$B$10),0)</f>
        <v>0</v>
      </c>
      <c r="V1207" s="56" t="str">
        <f aca="false">IF(U1207&gt;0,RANK(U1207,$U$2:$U$1780)+COUNTIF($U$2:U1207,U1207)-1,"")</f>
        <v/>
      </c>
      <c r="W1207" s="56" t="str">
        <f aca="false">IF(V1207="","",IF(V1207&lt;=Settings!$B$11,"1 - Fix first",IF(V1207&lt;=Settings!$B$12,"2 - Review","3 - Monitor")))</f>
        <v/>
      </c>
      <c r="X1207" s="56" t="str">
        <f aca="false">IF(AND(E1207&gt;=Settings!$B$4,F1207&gt;=Settings!$B$5,O1207&gt;=Settings!$B$6),"HIGH RATE","")</f>
        <v/>
      </c>
      <c r="Y1207" s="56" t="str">
        <f aca="false">IF(F1207&gt;0,RANK(F1207,$F$2:$F$1780)+COUNTIF($F$2:F1207,F1207)-1,"")</f>
        <v/>
      </c>
      <c r="Z1207" s="56" t="str">
        <f aca="false">IF(H1207&gt;0,RANK(H1207,$H$2:$H$1780)+COUNTIF($H$2:H1207,H1207)-1,"")</f>
        <v/>
      </c>
      <c r="AA1207" s="56" t="str">
        <f aca="false">IF(AC1207="","",RANK(AC1207,$AC$2:$AC$1780)+COUNTIF($AC$2:AC1207,AC1207)-1)</f>
        <v/>
      </c>
      <c r="AB1207" s="56" t="str">
        <f aca="false">IF(AD1207="","",RANK(AD1207,$AD$2:$AD$1780)+COUNTIF($AD$2:AD1207,AD1207)-1)</f>
        <v/>
      </c>
      <c r="AC1207" s="56" t="str">
        <f aca="false">IF(AND(F1207&gt;0,E1207&gt;=Settings!$B$4),J1207,"")</f>
        <v/>
      </c>
      <c r="AD1207" s="56" t="str">
        <f aca="false">IF(X1207="HIGH RATE",O1207,"")</f>
        <v/>
      </c>
    </row>
    <row r="1208" customFormat="false" ht="15" hidden="false" customHeight="false" outlineLevel="0" collapsed="false">
      <c r="A1208" s="56" t="s">
        <v>2577</v>
      </c>
      <c r="B1208" s="56" t="s">
        <v>883</v>
      </c>
      <c r="C1208" s="56" t="s">
        <v>55</v>
      </c>
      <c r="D1208" s="56" t="str">
        <f aca="false">IFERROR(INDEX('Brand Map'!$B$4:$B$124,MATCH(C1208,'Brand Map'!$A$4:$A$124,0)),"Other")</f>
        <v>AUMJ</v>
      </c>
      <c r="E1208" s="57" t="n">
        <v>2</v>
      </c>
      <c r="F1208" s="57" t="n">
        <v>0</v>
      </c>
      <c r="G1208" s="58" t="n">
        <v>212.63</v>
      </c>
      <c r="H1208" s="58" t="n">
        <v>0</v>
      </c>
      <c r="I1208" s="58" t="n">
        <v>199.7</v>
      </c>
      <c r="J1208" s="32" t="n">
        <f aca="false">IF(E1208&gt;0,F1208/E1208,0)</f>
        <v>0</v>
      </c>
      <c r="K1208" s="32" t="n">
        <f aca="false">IF(G1208&gt;0,H1208/G1208,0)</f>
        <v>-0</v>
      </c>
      <c r="L1208" s="59" t="n">
        <f aca="false">H1208/Settings!$B$16</f>
        <v>-0</v>
      </c>
      <c r="M1208" s="59" t="n">
        <f aca="false">H1208/Settings!$B$20</f>
        <v>-0</v>
      </c>
      <c r="N1208" s="60" t="n">
        <f aca="false">E1208*Settings!$B$3</f>
        <v>0.0619723021596408</v>
      </c>
      <c r="O1208" s="60" t="n">
        <f aca="false">IF(E1208&gt;0,(F1208-N1208)/SQRT(E1208*Settings!$B$3*(1-Settings!$B$3)),0)</f>
        <v>-0.252891261535318</v>
      </c>
      <c r="P1208" s="60" t="n">
        <f aca="false">MAX(0,F1208-N1208)</f>
        <v>0</v>
      </c>
      <c r="Q1208" s="32" t="n">
        <f aca="false">(F1208+Settings!$B$7*Settings!$B$3)/(E1208+Settings!$B$7)</f>
        <v>0.0290495166373316</v>
      </c>
      <c r="R1208" s="61" t="n">
        <f aca="false">PERCENTRANK($H$2:$H$1780,H1208,6)</f>
        <v>0</v>
      </c>
      <c r="S1208" s="61" t="n">
        <f aca="false">PERCENTRANK($Q$2:$Q$1780,Q1208,6)</f>
        <v>0.365579</v>
      </c>
      <c r="T1208" s="61" t="n">
        <f aca="false">PERCENTRANK($F$2:$F$1780,F1208,6)</f>
        <v>0</v>
      </c>
      <c r="U1208" s="62" t="n">
        <f aca="false">IF(F1208&gt;0,(Settings!$B$8*T1208+Settings!$B$9*R1208+Settings!$B$10*S1208)/SUM(Settings!$B$8:$B$10),0)</f>
        <v>0</v>
      </c>
      <c r="V1208" s="56" t="str">
        <f aca="false">IF(U1208&gt;0,RANK(U1208,$U$2:$U$1780)+COUNTIF($U$2:U1208,U1208)-1,"")</f>
        <v/>
      </c>
      <c r="W1208" s="56" t="str">
        <f aca="false">IF(V1208="","",IF(V1208&lt;=Settings!$B$11,"1 - Fix first",IF(V1208&lt;=Settings!$B$12,"2 - Review","3 - Monitor")))</f>
        <v/>
      </c>
      <c r="X1208" s="56" t="str">
        <f aca="false">IF(AND(E1208&gt;=Settings!$B$4,F1208&gt;=Settings!$B$5,O1208&gt;=Settings!$B$6),"HIGH RATE","")</f>
        <v/>
      </c>
      <c r="Y1208" s="56" t="str">
        <f aca="false">IF(F1208&gt;0,RANK(F1208,$F$2:$F$1780)+COUNTIF($F$2:F1208,F1208)-1,"")</f>
        <v/>
      </c>
      <c r="Z1208" s="56" t="str">
        <f aca="false">IF(H1208&gt;0,RANK(H1208,$H$2:$H$1780)+COUNTIF($H$2:H1208,H1208)-1,"")</f>
        <v/>
      </c>
      <c r="AA1208" s="56" t="str">
        <f aca="false">IF(AC1208="","",RANK(AC1208,$AC$2:$AC$1780)+COUNTIF($AC$2:AC1208,AC1208)-1)</f>
        <v/>
      </c>
      <c r="AB1208" s="56" t="str">
        <f aca="false">IF(AD1208="","",RANK(AD1208,$AD$2:$AD$1780)+COUNTIF($AD$2:AD1208,AD1208)-1)</f>
        <v/>
      </c>
      <c r="AC1208" s="56" t="str">
        <f aca="false">IF(AND(F1208&gt;0,E1208&gt;=Settings!$B$4),J1208,"")</f>
        <v/>
      </c>
      <c r="AD1208" s="56" t="str">
        <f aca="false">IF(X1208="HIGH RATE",O1208,"")</f>
        <v/>
      </c>
    </row>
    <row r="1209" customFormat="false" ht="15" hidden="false" customHeight="false" outlineLevel="0" collapsed="false">
      <c r="A1209" s="56" t="s">
        <v>2578</v>
      </c>
      <c r="B1209" s="56" t="s">
        <v>883</v>
      </c>
      <c r="C1209" s="56" t="s">
        <v>55</v>
      </c>
      <c r="D1209" s="56" t="str">
        <f aca="false">IFERROR(INDEX('Brand Map'!$B$4:$B$124,MATCH(C1209,'Brand Map'!$A$4:$A$124,0)),"Other")</f>
        <v>AUMJ</v>
      </c>
      <c r="E1209" s="57" t="n">
        <v>1</v>
      </c>
      <c r="F1209" s="57" t="n">
        <v>0</v>
      </c>
      <c r="G1209" s="58" t="n">
        <v>153.95</v>
      </c>
      <c r="H1209" s="58" t="n">
        <v>0</v>
      </c>
      <c r="I1209" s="58" t="n">
        <v>153.95</v>
      </c>
      <c r="J1209" s="32" t="n">
        <f aca="false">IF(E1209&gt;0,F1209/E1209,0)</f>
        <v>0</v>
      </c>
      <c r="K1209" s="32" t="n">
        <f aca="false">IF(G1209&gt;0,H1209/G1209,0)</f>
        <v>-0</v>
      </c>
      <c r="L1209" s="59" t="n">
        <f aca="false">H1209/Settings!$B$16</f>
        <v>-0</v>
      </c>
      <c r="M1209" s="59" t="n">
        <f aca="false">H1209/Settings!$B$20</f>
        <v>-0</v>
      </c>
      <c r="N1209" s="60" t="n">
        <f aca="false">E1209*Settings!$B$3</f>
        <v>0.0309861510798204</v>
      </c>
      <c r="O1209" s="60" t="n">
        <f aca="false">IF(E1209&gt;0,(F1209-N1209)/SQRT(E1209*Settings!$B$3*(1-Settings!$B$3)),0)</f>
        <v>-0.178821125934444</v>
      </c>
      <c r="P1209" s="60" t="n">
        <f aca="false">MAX(0,F1209-N1209)</f>
        <v>0</v>
      </c>
      <c r="Q1209" s="32" t="n">
        <f aca="false">(F1209+Settings!$B$7*Settings!$B$3)/(E1209+Settings!$B$7)</f>
        <v>0.0299865978191811</v>
      </c>
      <c r="R1209" s="61" t="n">
        <f aca="false">PERCENTRANK($H$2:$H$1780,H1209,6)</f>
        <v>0</v>
      </c>
      <c r="S1209" s="61" t="n">
        <f aca="false">PERCENTRANK($Q$2:$Q$1780,Q1209,6)</f>
        <v>0.486502</v>
      </c>
      <c r="T1209" s="61" t="n">
        <f aca="false">PERCENTRANK($F$2:$F$1780,F1209,6)</f>
        <v>0</v>
      </c>
      <c r="U1209" s="62" t="n">
        <f aca="false">IF(F1209&gt;0,(Settings!$B$8*T1209+Settings!$B$9*R1209+Settings!$B$10*S1209)/SUM(Settings!$B$8:$B$10),0)</f>
        <v>0</v>
      </c>
      <c r="V1209" s="56" t="str">
        <f aca="false">IF(U1209&gt;0,RANK(U1209,$U$2:$U$1780)+COUNTIF($U$2:U1209,U1209)-1,"")</f>
        <v/>
      </c>
      <c r="W1209" s="56" t="str">
        <f aca="false">IF(V1209="","",IF(V1209&lt;=Settings!$B$11,"1 - Fix first",IF(V1209&lt;=Settings!$B$12,"2 - Review","3 - Monitor")))</f>
        <v/>
      </c>
      <c r="X1209" s="56" t="str">
        <f aca="false">IF(AND(E1209&gt;=Settings!$B$4,F1209&gt;=Settings!$B$5,O1209&gt;=Settings!$B$6),"HIGH RATE","")</f>
        <v/>
      </c>
      <c r="Y1209" s="56" t="str">
        <f aca="false">IF(F1209&gt;0,RANK(F1209,$F$2:$F$1780)+COUNTIF($F$2:F1209,F1209)-1,"")</f>
        <v/>
      </c>
      <c r="Z1209" s="56" t="str">
        <f aca="false">IF(H1209&gt;0,RANK(H1209,$H$2:$H$1780)+COUNTIF($H$2:H1209,H1209)-1,"")</f>
        <v/>
      </c>
      <c r="AA1209" s="56" t="str">
        <f aca="false">IF(AC1209="","",RANK(AC1209,$AC$2:$AC$1780)+COUNTIF($AC$2:AC1209,AC1209)-1)</f>
        <v/>
      </c>
      <c r="AB1209" s="56" t="str">
        <f aca="false">IF(AD1209="","",RANK(AD1209,$AD$2:$AD$1780)+COUNTIF($AD$2:AD1209,AD1209)-1)</f>
        <v/>
      </c>
      <c r="AC1209" s="56" t="str">
        <f aca="false">IF(AND(F1209&gt;0,E1209&gt;=Settings!$B$4),J1209,"")</f>
        <v/>
      </c>
      <c r="AD1209" s="56" t="str">
        <f aca="false">IF(X1209="HIGH RATE",O1209,"")</f>
        <v/>
      </c>
    </row>
    <row r="1210" customFormat="false" ht="15" hidden="false" customHeight="false" outlineLevel="0" collapsed="false">
      <c r="A1210" s="56" t="s">
        <v>2579</v>
      </c>
      <c r="B1210" s="56" t="s">
        <v>883</v>
      </c>
      <c r="C1210" s="56" t="s">
        <v>55</v>
      </c>
      <c r="D1210" s="56" t="str">
        <f aca="false">IFERROR(INDEX('Brand Map'!$B$4:$B$124,MATCH(C1210,'Brand Map'!$A$4:$A$124,0)),"Other")</f>
        <v>AUMJ</v>
      </c>
      <c r="E1210" s="57" t="n">
        <v>2</v>
      </c>
      <c r="F1210" s="57" t="n">
        <v>0</v>
      </c>
      <c r="G1210" s="58" t="n">
        <v>337.9</v>
      </c>
      <c r="H1210" s="58" t="n">
        <v>0</v>
      </c>
      <c r="I1210" s="58" t="n">
        <v>337.9</v>
      </c>
      <c r="J1210" s="32" t="n">
        <f aca="false">IF(E1210&gt;0,F1210/E1210,0)</f>
        <v>0</v>
      </c>
      <c r="K1210" s="32" t="n">
        <f aca="false">IF(G1210&gt;0,H1210/G1210,0)</f>
        <v>-0</v>
      </c>
      <c r="L1210" s="59" t="n">
        <f aca="false">H1210/Settings!$B$16</f>
        <v>-0</v>
      </c>
      <c r="M1210" s="59" t="n">
        <f aca="false">H1210/Settings!$B$20</f>
        <v>-0</v>
      </c>
      <c r="N1210" s="60" t="n">
        <f aca="false">E1210*Settings!$B$3</f>
        <v>0.0619723021596408</v>
      </c>
      <c r="O1210" s="60" t="n">
        <f aca="false">IF(E1210&gt;0,(F1210-N1210)/SQRT(E1210*Settings!$B$3*(1-Settings!$B$3)),0)</f>
        <v>-0.252891261535318</v>
      </c>
      <c r="P1210" s="60" t="n">
        <f aca="false">MAX(0,F1210-N1210)</f>
        <v>0</v>
      </c>
      <c r="Q1210" s="32" t="n">
        <f aca="false">(F1210+Settings!$B$7*Settings!$B$3)/(E1210+Settings!$B$7)</f>
        <v>0.0290495166373316</v>
      </c>
      <c r="R1210" s="61" t="n">
        <f aca="false">PERCENTRANK($H$2:$H$1780,H1210,6)</f>
        <v>0</v>
      </c>
      <c r="S1210" s="61" t="n">
        <f aca="false">PERCENTRANK($Q$2:$Q$1780,Q1210,6)</f>
        <v>0.365579</v>
      </c>
      <c r="T1210" s="61" t="n">
        <f aca="false">PERCENTRANK($F$2:$F$1780,F1210,6)</f>
        <v>0</v>
      </c>
      <c r="U1210" s="62" t="n">
        <f aca="false">IF(F1210&gt;0,(Settings!$B$8*T1210+Settings!$B$9*R1210+Settings!$B$10*S1210)/SUM(Settings!$B$8:$B$10),0)</f>
        <v>0</v>
      </c>
      <c r="V1210" s="56" t="str">
        <f aca="false">IF(U1210&gt;0,RANK(U1210,$U$2:$U$1780)+COUNTIF($U$2:U1210,U1210)-1,"")</f>
        <v/>
      </c>
      <c r="W1210" s="56" t="str">
        <f aca="false">IF(V1210="","",IF(V1210&lt;=Settings!$B$11,"1 - Fix first",IF(V1210&lt;=Settings!$B$12,"2 - Review","3 - Monitor")))</f>
        <v/>
      </c>
      <c r="X1210" s="56" t="str">
        <f aca="false">IF(AND(E1210&gt;=Settings!$B$4,F1210&gt;=Settings!$B$5,O1210&gt;=Settings!$B$6),"HIGH RATE","")</f>
        <v/>
      </c>
      <c r="Y1210" s="56" t="str">
        <f aca="false">IF(F1210&gt;0,RANK(F1210,$F$2:$F$1780)+COUNTIF($F$2:F1210,F1210)-1,"")</f>
        <v/>
      </c>
      <c r="Z1210" s="56" t="str">
        <f aca="false">IF(H1210&gt;0,RANK(H1210,$H$2:$H$1780)+COUNTIF($H$2:H1210,H1210)-1,"")</f>
        <v/>
      </c>
      <c r="AA1210" s="56" t="str">
        <f aca="false">IF(AC1210="","",RANK(AC1210,$AC$2:$AC$1780)+COUNTIF($AC$2:AC1210,AC1210)-1)</f>
        <v/>
      </c>
      <c r="AB1210" s="56" t="str">
        <f aca="false">IF(AD1210="","",RANK(AD1210,$AD$2:$AD$1780)+COUNTIF($AD$2:AD1210,AD1210)-1)</f>
        <v/>
      </c>
      <c r="AC1210" s="56" t="str">
        <f aca="false">IF(AND(F1210&gt;0,E1210&gt;=Settings!$B$4),J1210,"")</f>
        <v/>
      </c>
      <c r="AD1210" s="56" t="str">
        <f aca="false">IF(X1210="HIGH RATE",O1210,"")</f>
        <v/>
      </c>
    </row>
    <row r="1211" customFormat="false" ht="15" hidden="false" customHeight="false" outlineLevel="0" collapsed="false">
      <c r="A1211" s="56" t="s">
        <v>2580</v>
      </c>
      <c r="B1211" s="56" t="s">
        <v>883</v>
      </c>
      <c r="C1211" s="56" t="s">
        <v>55</v>
      </c>
      <c r="D1211" s="56" t="str">
        <f aca="false">IFERROR(INDEX('Brand Map'!$B$4:$B$124,MATCH(C1211,'Brand Map'!$A$4:$A$124,0)),"Other")</f>
        <v>AUMJ</v>
      </c>
      <c r="E1211" s="57" t="n">
        <v>1</v>
      </c>
      <c r="F1211" s="57" t="n">
        <v>0</v>
      </c>
      <c r="G1211" s="58" t="n">
        <v>99.95</v>
      </c>
      <c r="H1211" s="58" t="n">
        <v>0</v>
      </c>
      <c r="I1211" s="58" t="n">
        <v>84.96</v>
      </c>
      <c r="J1211" s="32" t="n">
        <f aca="false">IF(E1211&gt;0,F1211/E1211,0)</f>
        <v>0</v>
      </c>
      <c r="K1211" s="32" t="n">
        <f aca="false">IF(G1211&gt;0,H1211/G1211,0)</f>
        <v>-0</v>
      </c>
      <c r="L1211" s="59" t="n">
        <f aca="false">H1211/Settings!$B$16</f>
        <v>-0</v>
      </c>
      <c r="M1211" s="59" t="n">
        <f aca="false">H1211/Settings!$B$20</f>
        <v>-0</v>
      </c>
      <c r="N1211" s="60" t="n">
        <f aca="false">E1211*Settings!$B$3</f>
        <v>0.0309861510798204</v>
      </c>
      <c r="O1211" s="60" t="n">
        <f aca="false">IF(E1211&gt;0,(F1211-N1211)/SQRT(E1211*Settings!$B$3*(1-Settings!$B$3)),0)</f>
        <v>-0.178821125934444</v>
      </c>
      <c r="P1211" s="60" t="n">
        <f aca="false">MAX(0,F1211-N1211)</f>
        <v>0</v>
      </c>
      <c r="Q1211" s="32" t="n">
        <f aca="false">(F1211+Settings!$B$7*Settings!$B$3)/(E1211+Settings!$B$7)</f>
        <v>0.0299865978191811</v>
      </c>
      <c r="R1211" s="61" t="n">
        <f aca="false">PERCENTRANK($H$2:$H$1780,H1211,6)</f>
        <v>0</v>
      </c>
      <c r="S1211" s="61" t="n">
        <f aca="false">PERCENTRANK($Q$2:$Q$1780,Q1211,6)</f>
        <v>0.486502</v>
      </c>
      <c r="T1211" s="61" t="n">
        <f aca="false">PERCENTRANK($F$2:$F$1780,F1211,6)</f>
        <v>0</v>
      </c>
      <c r="U1211" s="62" t="n">
        <f aca="false">IF(F1211&gt;0,(Settings!$B$8*T1211+Settings!$B$9*R1211+Settings!$B$10*S1211)/SUM(Settings!$B$8:$B$10),0)</f>
        <v>0</v>
      </c>
      <c r="V1211" s="56" t="str">
        <f aca="false">IF(U1211&gt;0,RANK(U1211,$U$2:$U$1780)+COUNTIF($U$2:U1211,U1211)-1,"")</f>
        <v/>
      </c>
      <c r="W1211" s="56" t="str">
        <f aca="false">IF(V1211="","",IF(V1211&lt;=Settings!$B$11,"1 - Fix first",IF(V1211&lt;=Settings!$B$12,"2 - Review","3 - Monitor")))</f>
        <v/>
      </c>
      <c r="X1211" s="56" t="str">
        <f aca="false">IF(AND(E1211&gt;=Settings!$B$4,F1211&gt;=Settings!$B$5,O1211&gt;=Settings!$B$6),"HIGH RATE","")</f>
        <v/>
      </c>
      <c r="Y1211" s="56" t="str">
        <f aca="false">IF(F1211&gt;0,RANK(F1211,$F$2:$F$1780)+COUNTIF($F$2:F1211,F1211)-1,"")</f>
        <v/>
      </c>
      <c r="Z1211" s="56" t="str">
        <f aca="false">IF(H1211&gt;0,RANK(H1211,$H$2:$H$1780)+COUNTIF($H$2:H1211,H1211)-1,"")</f>
        <v/>
      </c>
      <c r="AA1211" s="56" t="str">
        <f aca="false">IF(AC1211="","",RANK(AC1211,$AC$2:$AC$1780)+COUNTIF($AC$2:AC1211,AC1211)-1)</f>
        <v/>
      </c>
      <c r="AB1211" s="56" t="str">
        <f aca="false">IF(AD1211="","",RANK(AD1211,$AD$2:$AD$1780)+COUNTIF($AD$2:AD1211,AD1211)-1)</f>
        <v/>
      </c>
      <c r="AC1211" s="56" t="str">
        <f aca="false">IF(AND(F1211&gt;0,E1211&gt;=Settings!$B$4),J1211,"")</f>
        <v/>
      </c>
      <c r="AD1211" s="56" t="str">
        <f aca="false">IF(X1211="HIGH RATE",O1211,"")</f>
        <v/>
      </c>
    </row>
    <row r="1212" customFormat="false" ht="15" hidden="false" customHeight="false" outlineLevel="0" collapsed="false">
      <c r="A1212" s="56" t="s">
        <v>2581</v>
      </c>
      <c r="B1212" s="56" t="s">
        <v>883</v>
      </c>
      <c r="C1212" s="56" t="s">
        <v>55</v>
      </c>
      <c r="D1212" s="56" t="str">
        <f aca="false">IFERROR(INDEX('Brand Map'!$B$4:$B$124,MATCH(C1212,'Brand Map'!$A$4:$A$124,0)),"Other")</f>
        <v>AUMJ</v>
      </c>
      <c r="E1212" s="57" t="n">
        <v>3</v>
      </c>
      <c r="F1212" s="57" t="n">
        <v>0</v>
      </c>
      <c r="G1212" s="58" t="n">
        <v>260.22</v>
      </c>
      <c r="H1212" s="58" t="n">
        <v>0</v>
      </c>
      <c r="I1212" s="58" t="n">
        <v>231.42</v>
      </c>
      <c r="J1212" s="32" t="n">
        <f aca="false">IF(E1212&gt;0,F1212/E1212,0)</f>
        <v>0</v>
      </c>
      <c r="K1212" s="32" t="n">
        <f aca="false">IF(G1212&gt;0,H1212/G1212,0)</f>
        <v>-0</v>
      </c>
      <c r="L1212" s="59" t="n">
        <f aca="false">H1212/Settings!$B$16</f>
        <v>-0</v>
      </c>
      <c r="M1212" s="59" t="n">
        <f aca="false">H1212/Settings!$B$20</f>
        <v>-0</v>
      </c>
      <c r="N1212" s="60" t="n">
        <f aca="false">E1212*Settings!$B$3</f>
        <v>0.0929584532394613</v>
      </c>
      <c r="O1212" s="60" t="n">
        <f aca="false">IF(E1212&gt;0,(F1212-N1212)/SQRT(E1212*Settings!$B$3*(1-Settings!$B$3)),0)</f>
        <v>-0.30972727558513</v>
      </c>
      <c r="P1212" s="60" t="n">
        <f aca="false">MAX(0,F1212-N1212)</f>
        <v>0</v>
      </c>
      <c r="Q1212" s="32" t="n">
        <f aca="false">(F1212+Settings!$B$7*Settings!$B$3)/(E1212+Settings!$B$7)</f>
        <v>0.0281692282543822</v>
      </c>
      <c r="R1212" s="61" t="n">
        <f aca="false">PERCENTRANK($H$2:$H$1780,H1212,6)</f>
        <v>0</v>
      </c>
      <c r="S1212" s="61" t="n">
        <f aca="false">PERCENTRANK($Q$2:$Q$1780,Q1212,6)</f>
        <v>0.294151</v>
      </c>
      <c r="T1212" s="61" t="n">
        <f aca="false">PERCENTRANK($F$2:$F$1780,F1212,6)</f>
        <v>0</v>
      </c>
      <c r="U1212" s="62" t="n">
        <f aca="false">IF(F1212&gt;0,(Settings!$B$8*T1212+Settings!$B$9*R1212+Settings!$B$10*S1212)/SUM(Settings!$B$8:$B$10),0)</f>
        <v>0</v>
      </c>
      <c r="V1212" s="56" t="str">
        <f aca="false">IF(U1212&gt;0,RANK(U1212,$U$2:$U$1780)+COUNTIF($U$2:U1212,U1212)-1,"")</f>
        <v/>
      </c>
      <c r="W1212" s="56" t="str">
        <f aca="false">IF(V1212="","",IF(V1212&lt;=Settings!$B$11,"1 - Fix first",IF(V1212&lt;=Settings!$B$12,"2 - Review","3 - Monitor")))</f>
        <v/>
      </c>
      <c r="X1212" s="56" t="str">
        <f aca="false">IF(AND(E1212&gt;=Settings!$B$4,F1212&gt;=Settings!$B$5,O1212&gt;=Settings!$B$6),"HIGH RATE","")</f>
        <v/>
      </c>
      <c r="Y1212" s="56" t="str">
        <f aca="false">IF(F1212&gt;0,RANK(F1212,$F$2:$F$1780)+COUNTIF($F$2:F1212,F1212)-1,"")</f>
        <v/>
      </c>
      <c r="Z1212" s="56" t="str">
        <f aca="false">IF(H1212&gt;0,RANK(H1212,$H$2:$H$1780)+COUNTIF($H$2:H1212,H1212)-1,"")</f>
        <v/>
      </c>
      <c r="AA1212" s="56" t="str">
        <f aca="false">IF(AC1212="","",RANK(AC1212,$AC$2:$AC$1780)+COUNTIF($AC$2:AC1212,AC1212)-1)</f>
        <v/>
      </c>
      <c r="AB1212" s="56" t="str">
        <f aca="false">IF(AD1212="","",RANK(AD1212,$AD$2:$AD$1780)+COUNTIF($AD$2:AD1212,AD1212)-1)</f>
        <v/>
      </c>
      <c r="AC1212" s="56" t="str">
        <f aca="false">IF(AND(F1212&gt;0,E1212&gt;=Settings!$B$4),J1212,"")</f>
        <v/>
      </c>
      <c r="AD1212" s="56" t="str">
        <f aca="false">IF(X1212="HIGH RATE",O1212,"")</f>
        <v/>
      </c>
    </row>
    <row r="1213" customFormat="false" ht="15" hidden="false" customHeight="false" outlineLevel="0" collapsed="false">
      <c r="A1213" s="56" t="s">
        <v>2582</v>
      </c>
      <c r="B1213" s="56" t="s">
        <v>883</v>
      </c>
      <c r="C1213" s="56" t="s">
        <v>55</v>
      </c>
      <c r="D1213" s="56" t="str">
        <f aca="false">IFERROR(INDEX('Brand Map'!$B$4:$B$124,MATCH(C1213,'Brand Map'!$A$4:$A$124,0)),"Other")</f>
        <v>AUMJ</v>
      </c>
      <c r="E1213" s="57" t="n">
        <v>1</v>
      </c>
      <c r="F1213" s="57" t="n">
        <v>0</v>
      </c>
      <c r="G1213" s="58" t="n">
        <v>90.86</v>
      </c>
      <c r="H1213" s="58" t="n">
        <v>0</v>
      </c>
      <c r="I1213" s="58" t="n">
        <v>77.24</v>
      </c>
      <c r="J1213" s="32" t="n">
        <f aca="false">IF(E1213&gt;0,F1213/E1213,0)</f>
        <v>0</v>
      </c>
      <c r="K1213" s="32" t="n">
        <f aca="false">IF(G1213&gt;0,H1213/G1213,0)</f>
        <v>-0</v>
      </c>
      <c r="L1213" s="59" t="n">
        <f aca="false">H1213/Settings!$B$16</f>
        <v>-0</v>
      </c>
      <c r="M1213" s="59" t="n">
        <f aca="false">H1213/Settings!$B$20</f>
        <v>-0</v>
      </c>
      <c r="N1213" s="60" t="n">
        <f aca="false">E1213*Settings!$B$3</f>
        <v>0.0309861510798204</v>
      </c>
      <c r="O1213" s="60" t="n">
        <f aca="false">IF(E1213&gt;0,(F1213-N1213)/SQRT(E1213*Settings!$B$3*(1-Settings!$B$3)),0)</f>
        <v>-0.178821125934444</v>
      </c>
      <c r="P1213" s="60" t="n">
        <f aca="false">MAX(0,F1213-N1213)</f>
        <v>0</v>
      </c>
      <c r="Q1213" s="32" t="n">
        <f aca="false">(F1213+Settings!$B$7*Settings!$B$3)/(E1213+Settings!$B$7)</f>
        <v>0.0299865978191811</v>
      </c>
      <c r="R1213" s="61" t="n">
        <f aca="false">PERCENTRANK($H$2:$H$1780,H1213,6)</f>
        <v>0</v>
      </c>
      <c r="S1213" s="61" t="n">
        <f aca="false">PERCENTRANK($Q$2:$Q$1780,Q1213,6)</f>
        <v>0.486502</v>
      </c>
      <c r="T1213" s="61" t="n">
        <f aca="false">PERCENTRANK($F$2:$F$1780,F1213,6)</f>
        <v>0</v>
      </c>
      <c r="U1213" s="62" t="n">
        <f aca="false">IF(F1213&gt;0,(Settings!$B$8*T1213+Settings!$B$9*R1213+Settings!$B$10*S1213)/SUM(Settings!$B$8:$B$10),0)</f>
        <v>0</v>
      </c>
      <c r="V1213" s="56" t="str">
        <f aca="false">IF(U1213&gt;0,RANK(U1213,$U$2:$U$1780)+COUNTIF($U$2:U1213,U1213)-1,"")</f>
        <v/>
      </c>
      <c r="W1213" s="56" t="str">
        <f aca="false">IF(V1213="","",IF(V1213&lt;=Settings!$B$11,"1 - Fix first",IF(V1213&lt;=Settings!$B$12,"2 - Review","3 - Monitor")))</f>
        <v/>
      </c>
      <c r="X1213" s="56" t="str">
        <f aca="false">IF(AND(E1213&gt;=Settings!$B$4,F1213&gt;=Settings!$B$5,O1213&gt;=Settings!$B$6),"HIGH RATE","")</f>
        <v/>
      </c>
      <c r="Y1213" s="56" t="str">
        <f aca="false">IF(F1213&gt;0,RANK(F1213,$F$2:$F$1780)+COUNTIF($F$2:F1213,F1213)-1,"")</f>
        <v/>
      </c>
      <c r="Z1213" s="56" t="str">
        <f aca="false">IF(H1213&gt;0,RANK(H1213,$H$2:$H$1780)+COUNTIF($H$2:H1213,H1213)-1,"")</f>
        <v/>
      </c>
      <c r="AA1213" s="56" t="str">
        <f aca="false">IF(AC1213="","",RANK(AC1213,$AC$2:$AC$1780)+COUNTIF($AC$2:AC1213,AC1213)-1)</f>
        <v/>
      </c>
      <c r="AB1213" s="56" t="str">
        <f aca="false">IF(AD1213="","",RANK(AD1213,$AD$2:$AD$1780)+COUNTIF($AD$2:AD1213,AD1213)-1)</f>
        <v/>
      </c>
      <c r="AC1213" s="56" t="str">
        <f aca="false">IF(AND(F1213&gt;0,E1213&gt;=Settings!$B$4),J1213,"")</f>
        <v/>
      </c>
      <c r="AD1213" s="56" t="str">
        <f aca="false">IF(X1213="HIGH RATE",O1213,"")</f>
        <v/>
      </c>
    </row>
    <row r="1214" customFormat="false" ht="15" hidden="false" customHeight="false" outlineLevel="0" collapsed="false">
      <c r="A1214" s="56" t="s">
        <v>2583</v>
      </c>
      <c r="B1214" s="56" t="s">
        <v>1042</v>
      </c>
      <c r="C1214" s="56" t="s">
        <v>55</v>
      </c>
      <c r="D1214" s="56" t="str">
        <f aca="false">IFERROR(INDEX('Brand Map'!$B$4:$B$124,MATCH(C1214,'Brand Map'!$A$4:$A$124,0)),"Other")</f>
        <v>AUMJ</v>
      </c>
      <c r="E1214" s="57" t="n">
        <v>2</v>
      </c>
      <c r="F1214" s="57" t="n">
        <v>0</v>
      </c>
      <c r="G1214" s="58" t="n">
        <v>194.81</v>
      </c>
      <c r="H1214" s="58" t="n">
        <v>0</v>
      </c>
      <c r="I1214" s="58" t="n">
        <v>194.81</v>
      </c>
      <c r="J1214" s="32" t="n">
        <f aca="false">IF(E1214&gt;0,F1214/E1214,0)</f>
        <v>0</v>
      </c>
      <c r="K1214" s="32" t="n">
        <f aca="false">IF(G1214&gt;0,H1214/G1214,0)</f>
        <v>-0</v>
      </c>
      <c r="L1214" s="59" t="n">
        <f aca="false">H1214/Settings!$B$16</f>
        <v>-0</v>
      </c>
      <c r="M1214" s="59" t="n">
        <f aca="false">H1214/Settings!$B$20</f>
        <v>-0</v>
      </c>
      <c r="N1214" s="60" t="n">
        <f aca="false">E1214*Settings!$B$3</f>
        <v>0.0619723021596408</v>
      </c>
      <c r="O1214" s="60" t="n">
        <f aca="false">IF(E1214&gt;0,(F1214-N1214)/SQRT(E1214*Settings!$B$3*(1-Settings!$B$3)),0)</f>
        <v>-0.252891261535318</v>
      </c>
      <c r="P1214" s="60" t="n">
        <f aca="false">MAX(0,F1214-N1214)</f>
        <v>0</v>
      </c>
      <c r="Q1214" s="32" t="n">
        <f aca="false">(F1214+Settings!$B$7*Settings!$B$3)/(E1214+Settings!$B$7)</f>
        <v>0.0290495166373316</v>
      </c>
      <c r="R1214" s="61" t="n">
        <f aca="false">PERCENTRANK($H$2:$H$1780,H1214,6)</f>
        <v>0</v>
      </c>
      <c r="S1214" s="61" t="n">
        <f aca="false">PERCENTRANK($Q$2:$Q$1780,Q1214,6)</f>
        <v>0.365579</v>
      </c>
      <c r="T1214" s="61" t="n">
        <f aca="false">PERCENTRANK($F$2:$F$1780,F1214,6)</f>
        <v>0</v>
      </c>
      <c r="U1214" s="62" t="n">
        <f aca="false">IF(F1214&gt;0,(Settings!$B$8*T1214+Settings!$B$9*R1214+Settings!$B$10*S1214)/SUM(Settings!$B$8:$B$10),0)</f>
        <v>0</v>
      </c>
      <c r="V1214" s="56" t="str">
        <f aca="false">IF(U1214&gt;0,RANK(U1214,$U$2:$U$1780)+COUNTIF($U$2:U1214,U1214)-1,"")</f>
        <v/>
      </c>
      <c r="W1214" s="56" t="str">
        <f aca="false">IF(V1214="","",IF(V1214&lt;=Settings!$B$11,"1 - Fix first",IF(V1214&lt;=Settings!$B$12,"2 - Review","3 - Monitor")))</f>
        <v/>
      </c>
      <c r="X1214" s="56" t="str">
        <f aca="false">IF(AND(E1214&gt;=Settings!$B$4,F1214&gt;=Settings!$B$5,O1214&gt;=Settings!$B$6),"HIGH RATE","")</f>
        <v/>
      </c>
      <c r="Y1214" s="56" t="str">
        <f aca="false">IF(F1214&gt;0,RANK(F1214,$F$2:$F$1780)+COUNTIF($F$2:F1214,F1214)-1,"")</f>
        <v/>
      </c>
      <c r="Z1214" s="56" t="str">
        <f aca="false">IF(H1214&gt;0,RANK(H1214,$H$2:$H$1780)+COUNTIF($H$2:H1214,H1214)-1,"")</f>
        <v/>
      </c>
      <c r="AA1214" s="56" t="str">
        <f aca="false">IF(AC1214="","",RANK(AC1214,$AC$2:$AC$1780)+COUNTIF($AC$2:AC1214,AC1214)-1)</f>
        <v/>
      </c>
      <c r="AB1214" s="56" t="str">
        <f aca="false">IF(AD1214="","",RANK(AD1214,$AD$2:$AD$1780)+COUNTIF($AD$2:AD1214,AD1214)-1)</f>
        <v/>
      </c>
      <c r="AC1214" s="56" t="str">
        <f aca="false">IF(AND(F1214&gt;0,E1214&gt;=Settings!$B$4),J1214,"")</f>
        <v/>
      </c>
      <c r="AD1214" s="56" t="str">
        <f aca="false">IF(X1214="HIGH RATE",O1214,"")</f>
        <v/>
      </c>
    </row>
    <row r="1215" customFormat="false" ht="15" hidden="false" customHeight="false" outlineLevel="0" collapsed="false">
      <c r="A1215" s="56" t="s">
        <v>2584</v>
      </c>
      <c r="B1215" s="56" t="s">
        <v>1042</v>
      </c>
      <c r="C1215" s="56" t="s">
        <v>55</v>
      </c>
      <c r="D1215" s="56" t="str">
        <f aca="false">IFERROR(INDEX('Brand Map'!$B$4:$B$124,MATCH(C1215,'Brand Map'!$A$4:$A$124,0)),"Other")</f>
        <v>AUMJ</v>
      </c>
      <c r="E1215" s="57" t="n">
        <v>1</v>
      </c>
      <c r="F1215" s="57" t="n">
        <v>0</v>
      </c>
      <c r="G1215" s="58" t="n">
        <v>109.05</v>
      </c>
      <c r="H1215" s="58" t="n">
        <v>0</v>
      </c>
      <c r="I1215" s="58" t="n">
        <v>109.05</v>
      </c>
      <c r="J1215" s="32" t="n">
        <f aca="false">IF(E1215&gt;0,F1215/E1215,0)</f>
        <v>0</v>
      </c>
      <c r="K1215" s="32" t="n">
        <f aca="false">IF(G1215&gt;0,H1215/G1215,0)</f>
        <v>-0</v>
      </c>
      <c r="L1215" s="59" t="n">
        <f aca="false">H1215/Settings!$B$16</f>
        <v>-0</v>
      </c>
      <c r="M1215" s="59" t="n">
        <f aca="false">H1215/Settings!$B$20</f>
        <v>-0</v>
      </c>
      <c r="N1215" s="60" t="n">
        <f aca="false">E1215*Settings!$B$3</f>
        <v>0.0309861510798204</v>
      </c>
      <c r="O1215" s="60" t="n">
        <f aca="false">IF(E1215&gt;0,(F1215-N1215)/SQRT(E1215*Settings!$B$3*(1-Settings!$B$3)),0)</f>
        <v>-0.178821125934444</v>
      </c>
      <c r="P1215" s="60" t="n">
        <f aca="false">MAX(0,F1215-N1215)</f>
        <v>0</v>
      </c>
      <c r="Q1215" s="32" t="n">
        <f aca="false">(F1215+Settings!$B$7*Settings!$B$3)/(E1215+Settings!$B$7)</f>
        <v>0.0299865978191811</v>
      </c>
      <c r="R1215" s="61" t="n">
        <f aca="false">PERCENTRANK($H$2:$H$1780,H1215,6)</f>
        <v>0</v>
      </c>
      <c r="S1215" s="61" t="n">
        <f aca="false">PERCENTRANK($Q$2:$Q$1780,Q1215,6)</f>
        <v>0.486502</v>
      </c>
      <c r="T1215" s="61" t="n">
        <f aca="false">PERCENTRANK($F$2:$F$1780,F1215,6)</f>
        <v>0</v>
      </c>
      <c r="U1215" s="62" t="n">
        <f aca="false">IF(F1215&gt;0,(Settings!$B$8*T1215+Settings!$B$9*R1215+Settings!$B$10*S1215)/SUM(Settings!$B$8:$B$10),0)</f>
        <v>0</v>
      </c>
      <c r="V1215" s="56" t="str">
        <f aca="false">IF(U1215&gt;0,RANK(U1215,$U$2:$U$1780)+COUNTIF($U$2:U1215,U1215)-1,"")</f>
        <v/>
      </c>
      <c r="W1215" s="56" t="str">
        <f aca="false">IF(V1215="","",IF(V1215&lt;=Settings!$B$11,"1 - Fix first",IF(V1215&lt;=Settings!$B$12,"2 - Review","3 - Monitor")))</f>
        <v/>
      </c>
      <c r="X1215" s="56" t="str">
        <f aca="false">IF(AND(E1215&gt;=Settings!$B$4,F1215&gt;=Settings!$B$5,O1215&gt;=Settings!$B$6),"HIGH RATE","")</f>
        <v/>
      </c>
      <c r="Y1215" s="56" t="str">
        <f aca="false">IF(F1215&gt;0,RANK(F1215,$F$2:$F$1780)+COUNTIF($F$2:F1215,F1215)-1,"")</f>
        <v/>
      </c>
      <c r="Z1215" s="56" t="str">
        <f aca="false">IF(H1215&gt;0,RANK(H1215,$H$2:$H$1780)+COUNTIF($H$2:H1215,H1215)-1,"")</f>
        <v/>
      </c>
      <c r="AA1215" s="56" t="str">
        <f aca="false">IF(AC1215="","",RANK(AC1215,$AC$2:$AC$1780)+COUNTIF($AC$2:AC1215,AC1215)-1)</f>
        <v/>
      </c>
      <c r="AB1215" s="56" t="str">
        <f aca="false">IF(AD1215="","",RANK(AD1215,$AD$2:$AD$1780)+COUNTIF($AD$2:AD1215,AD1215)-1)</f>
        <v/>
      </c>
      <c r="AC1215" s="56" t="str">
        <f aca="false">IF(AND(F1215&gt;0,E1215&gt;=Settings!$B$4),J1215,"")</f>
        <v/>
      </c>
      <c r="AD1215" s="56" t="str">
        <f aca="false">IF(X1215="HIGH RATE",O1215,"")</f>
        <v/>
      </c>
    </row>
    <row r="1216" customFormat="false" ht="15" hidden="false" customHeight="false" outlineLevel="0" collapsed="false">
      <c r="A1216" s="56" t="s">
        <v>2585</v>
      </c>
      <c r="B1216" s="56" t="s">
        <v>1042</v>
      </c>
      <c r="C1216" s="56" t="s">
        <v>55</v>
      </c>
      <c r="D1216" s="56" t="str">
        <f aca="false">IFERROR(INDEX('Brand Map'!$B$4:$B$124,MATCH(C1216,'Brand Map'!$A$4:$A$124,0)),"Other")</f>
        <v>AUMJ</v>
      </c>
      <c r="E1216" s="57" t="n">
        <v>3</v>
      </c>
      <c r="F1216" s="57" t="n">
        <v>0</v>
      </c>
      <c r="G1216" s="58" t="n">
        <v>266.85</v>
      </c>
      <c r="H1216" s="58" t="n">
        <v>0</v>
      </c>
      <c r="I1216" s="58" t="n">
        <v>266.85</v>
      </c>
      <c r="J1216" s="32" t="n">
        <f aca="false">IF(E1216&gt;0,F1216/E1216,0)</f>
        <v>0</v>
      </c>
      <c r="K1216" s="32" t="n">
        <f aca="false">IF(G1216&gt;0,H1216/G1216,0)</f>
        <v>-0</v>
      </c>
      <c r="L1216" s="59" t="n">
        <f aca="false">H1216/Settings!$B$16</f>
        <v>-0</v>
      </c>
      <c r="M1216" s="59" t="n">
        <f aca="false">H1216/Settings!$B$20</f>
        <v>-0</v>
      </c>
      <c r="N1216" s="60" t="n">
        <f aca="false">E1216*Settings!$B$3</f>
        <v>0.0929584532394613</v>
      </c>
      <c r="O1216" s="60" t="n">
        <f aca="false">IF(E1216&gt;0,(F1216-N1216)/SQRT(E1216*Settings!$B$3*(1-Settings!$B$3)),0)</f>
        <v>-0.30972727558513</v>
      </c>
      <c r="P1216" s="60" t="n">
        <f aca="false">MAX(0,F1216-N1216)</f>
        <v>0</v>
      </c>
      <c r="Q1216" s="32" t="n">
        <f aca="false">(F1216+Settings!$B$7*Settings!$B$3)/(E1216+Settings!$B$7)</f>
        <v>0.0281692282543822</v>
      </c>
      <c r="R1216" s="61" t="n">
        <f aca="false">PERCENTRANK($H$2:$H$1780,H1216,6)</f>
        <v>0</v>
      </c>
      <c r="S1216" s="61" t="n">
        <f aca="false">PERCENTRANK($Q$2:$Q$1780,Q1216,6)</f>
        <v>0.294151</v>
      </c>
      <c r="T1216" s="61" t="n">
        <f aca="false">PERCENTRANK($F$2:$F$1780,F1216,6)</f>
        <v>0</v>
      </c>
      <c r="U1216" s="62" t="n">
        <f aca="false">IF(F1216&gt;0,(Settings!$B$8*T1216+Settings!$B$9*R1216+Settings!$B$10*S1216)/SUM(Settings!$B$8:$B$10),0)</f>
        <v>0</v>
      </c>
      <c r="V1216" s="56" t="str">
        <f aca="false">IF(U1216&gt;0,RANK(U1216,$U$2:$U$1780)+COUNTIF($U$2:U1216,U1216)-1,"")</f>
        <v/>
      </c>
      <c r="W1216" s="56" t="str">
        <f aca="false">IF(V1216="","",IF(V1216&lt;=Settings!$B$11,"1 - Fix first",IF(V1216&lt;=Settings!$B$12,"2 - Review","3 - Monitor")))</f>
        <v/>
      </c>
      <c r="X1216" s="56" t="str">
        <f aca="false">IF(AND(E1216&gt;=Settings!$B$4,F1216&gt;=Settings!$B$5,O1216&gt;=Settings!$B$6),"HIGH RATE","")</f>
        <v/>
      </c>
      <c r="Y1216" s="56" t="str">
        <f aca="false">IF(F1216&gt;0,RANK(F1216,$F$2:$F$1780)+COUNTIF($F$2:F1216,F1216)-1,"")</f>
        <v/>
      </c>
      <c r="Z1216" s="56" t="str">
        <f aca="false">IF(H1216&gt;0,RANK(H1216,$H$2:$H$1780)+COUNTIF($H$2:H1216,H1216)-1,"")</f>
        <v/>
      </c>
      <c r="AA1216" s="56" t="str">
        <f aca="false">IF(AC1216="","",RANK(AC1216,$AC$2:$AC$1780)+COUNTIF($AC$2:AC1216,AC1216)-1)</f>
        <v/>
      </c>
      <c r="AB1216" s="56" t="str">
        <f aca="false">IF(AD1216="","",RANK(AD1216,$AD$2:$AD$1780)+COUNTIF($AD$2:AD1216,AD1216)-1)</f>
        <v/>
      </c>
      <c r="AC1216" s="56" t="str">
        <f aca="false">IF(AND(F1216&gt;0,E1216&gt;=Settings!$B$4),J1216,"")</f>
        <v/>
      </c>
      <c r="AD1216" s="56" t="str">
        <f aca="false">IF(X1216="HIGH RATE",O1216,"")</f>
        <v/>
      </c>
    </row>
    <row r="1217" customFormat="false" ht="15" hidden="false" customHeight="false" outlineLevel="0" collapsed="false">
      <c r="A1217" s="56" t="s">
        <v>2586</v>
      </c>
      <c r="B1217" s="56" t="s">
        <v>1042</v>
      </c>
      <c r="C1217" s="56" t="s">
        <v>55</v>
      </c>
      <c r="D1217" s="56" t="str">
        <f aca="false">IFERROR(INDEX('Brand Map'!$B$4:$B$124,MATCH(C1217,'Brand Map'!$A$4:$A$124,0)),"Other")</f>
        <v>AUMJ</v>
      </c>
      <c r="E1217" s="57" t="n">
        <v>1</v>
      </c>
      <c r="F1217" s="57" t="n">
        <v>0</v>
      </c>
      <c r="G1217" s="58" t="n">
        <v>108.13</v>
      </c>
      <c r="H1217" s="58" t="n">
        <v>0</v>
      </c>
      <c r="I1217" s="58" t="n">
        <v>91.92</v>
      </c>
      <c r="J1217" s="32" t="n">
        <f aca="false">IF(E1217&gt;0,F1217/E1217,0)</f>
        <v>0</v>
      </c>
      <c r="K1217" s="32" t="n">
        <f aca="false">IF(G1217&gt;0,H1217/G1217,0)</f>
        <v>-0</v>
      </c>
      <c r="L1217" s="59" t="n">
        <f aca="false">H1217/Settings!$B$16</f>
        <v>-0</v>
      </c>
      <c r="M1217" s="59" t="n">
        <f aca="false">H1217/Settings!$B$20</f>
        <v>-0</v>
      </c>
      <c r="N1217" s="60" t="n">
        <f aca="false">E1217*Settings!$B$3</f>
        <v>0.0309861510798204</v>
      </c>
      <c r="O1217" s="60" t="n">
        <f aca="false">IF(E1217&gt;0,(F1217-N1217)/SQRT(E1217*Settings!$B$3*(1-Settings!$B$3)),0)</f>
        <v>-0.178821125934444</v>
      </c>
      <c r="P1217" s="60" t="n">
        <f aca="false">MAX(0,F1217-N1217)</f>
        <v>0</v>
      </c>
      <c r="Q1217" s="32" t="n">
        <f aca="false">(F1217+Settings!$B$7*Settings!$B$3)/(E1217+Settings!$B$7)</f>
        <v>0.0299865978191811</v>
      </c>
      <c r="R1217" s="61" t="n">
        <f aca="false">PERCENTRANK($H$2:$H$1780,H1217,6)</f>
        <v>0</v>
      </c>
      <c r="S1217" s="61" t="n">
        <f aca="false">PERCENTRANK($Q$2:$Q$1780,Q1217,6)</f>
        <v>0.486502</v>
      </c>
      <c r="T1217" s="61" t="n">
        <f aca="false">PERCENTRANK($F$2:$F$1780,F1217,6)</f>
        <v>0</v>
      </c>
      <c r="U1217" s="62" t="n">
        <f aca="false">IF(F1217&gt;0,(Settings!$B$8*T1217+Settings!$B$9*R1217+Settings!$B$10*S1217)/SUM(Settings!$B$8:$B$10),0)</f>
        <v>0</v>
      </c>
      <c r="V1217" s="56" t="str">
        <f aca="false">IF(U1217&gt;0,RANK(U1217,$U$2:$U$1780)+COUNTIF($U$2:U1217,U1217)-1,"")</f>
        <v/>
      </c>
      <c r="W1217" s="56" t="str">
        <f aca="false">IF(V1217="","",IF(V1217&lt;=Settings!$B$11,"1 - Fix first",IF(V1217&lt;=Settings!$B$12,"2 - Review","3 - Monitor")))</f>
        <v/>
      </c>
      <c r="X1217" s="56" t="str">
        <f aca="false">IF(AND(E1217&gt;=Settings!$B$4,F1217&gt;=Settings!$B$5,O1217&gt;=Settings!$B$6),"HIGH RATE","")</f>
        <v/>
      </c>
      <c r="Y1217" s="56" t="str">
        <f aca="false">IF(F1217&gt;0,RANK(F1217,$F$2:$F$1780)+COUNTIF($F$2:F1217,F1217)-1,"")</f>
        <v/>
      </c>
      <c r="Z1217" s="56" t="str">
        <f aca="false">IF(H1217&gt;0,RANK(H1217,$H$2:$H$1780)+COUNTIF($H$2:H1217,H1217)-1,"")</f>
        <v/>
      </c>
      <c r="AA1217" s="56" t="str">
        <f aca="false">IF(AC1217="","",RANK(AC1217,$AC$2:$AC$1780)+COUNTIF($AC$2:AC1217,AC1217)-1)</f>
        <v/>
      </c>
      <c r="AB1217" s="56" t="str">
        <f aca="false">IF(AD1217="","",RANK(AD1217,$AD$2:$AD$1780)+COUNTIF($AD$2:AD1217,AD1217)-1)</f>
        <v/>
      </c>
      <c r="AC1217" s="56" t="str">
        <f aca="false">IF(AND(F1217&gt;0,E1217&gt;=Settings!$B$4),J1217,"")</f>
        <v/>
      </c>
      <c r="AD1217" s="56" t="str">
        <f aca="false">IF(X1217="HIGH RATE",O1217,"")</f>
        <v/>
      </c>
    </row>
    <row r="1218" customFormat="false" ht="15" hidden="false" customHeight="false" outlineLevel="0" collapsed="false">
      <c r="A1218" s="56" t="s">
        <v>2587</v>
      </c>
      <c r="B1218" s="56" t="s">
        <v>997</v>
      </c>
      <c r="C1218" s="56" t="s">
        <v>55</v>
      </c>
      <c r="D1218" s="56" t="str">
        <f aca="false">IFERROR(INDEX('Brand Map'!$B$4:$B$124,MATCH(C1218,'Brand Map'!$A$4:$A$124,0)),"Other")</f>
        <v>AUMJ</v>
      </c>
      <c r="E1218" s="57" t="n">
        <v>1</v>
      </c>
      <c r="F1218" s="57" t="n">
        <v>0</v>
      </c>
      <c r="G1218" s="58" t="n">
        <v>107.95</v>
      </c>
      <c r="H1218" s="58" t="n">
        <v>0</v>
      </c>
      <c r="I1218" s="58" t="n">
        <v>91.76</v>
      </c>
      <c r="J1218" s="32" t="n">
        <f aca="false">IF(E1218&gt;0,F1218/E1218,0)</f>
        <v>0</v>
      </c>
      <c r="K1218" s="32" t="n">
        <f aca="false">IF(G1218&gt;0,H1218/G1218,0)</f>
        <v>-0</v>
      </c>
      <c r="L1218" s="59" t="n">
        <f aca="false">H1218/Settings!$B$16</f>
        <v>-0</v>
      </c>
      <c r="M1218" s="59" t="n">
        <f aca="false">H1218/Settings!$B$20</f>
        <v>-0</v>
      </c>
      <c r="N1218" s="60" t="n">
        <f aca="false">E1218*Settings!$B$3</f>
        <v>0.0309861510798204</v>
      </c>
      <c r="O1218" s="60" t="n">
        <f aca="false">IF(E1218&gt;0,(F1218-N1218)/SQRT(E1218*Settings!$B$3*(1-Settings!$B$3)),0)</f>
        <v>-0.178821125934444</v>
      </c>
      <c r="P1218" s="60" t="n">
        <f aca="false">MAX(0,F1218-N1218)</f>
        <v>0</v>
      </c>
      <c r="Q1218" s="32" t="n">
        <f aca="false">(F1218+Settings!$B$7*Settings!$B$3)/(E1218+Settings!$B$7)</f>
        <v>0.0299865978191811</v>
      </c>
      <c r="R1218" s="61" t="n">
        <f aca="false">PERCENTRANK($H$2:$H$1780,H1218,6)</f>
        <v>0</v>
      </c>
      <c r="S1218" s="61" t="n">
        <f aca="false">PERCENTRANK($Q$2:$Q$1780,Q1218,6)</f>
        <v>0.486502</v>
      </c>
      <c r="T1218" s="61" t="n">
        <f aca="false">PERCENTRANK($F$2:$F$1780,F1218,6)</f>
        <v>0</v>
      </c>
      <c r="U1218" s="62" t="n">
        <f aca="false">IF(F1218&gt;0,(Settings!$B$8*T1218+Settings!$B$9*R1218+Settings!$B$10*S1218)/SUM(Settings!$B$8:$B$10),0)</f>
        <v>0</v>
      </c>
      <c r="V1218" s="56" t="str">
        <f aca="false">IF(U1218&gt;0,RANK(U1218,$U$2:$U$1780)+COUNTIF($U$2:U1218,U1218)-1,"")</f>
        <v/>
      </c>
      <c r="W1218" s="56" t="str">
        <f aca="false">IF(V1218="","",IF(V1218&lt;=Settings!$B$11,"1 - Fix first",IF(V1218&lt;=Settings!$B$12,"2 - Review","3 - Monitor")))</f>
        <v/>
      </c>
      <c r="X1218" s="56" t="str">
        <f aca="false">IF(AND(E1218&gt;=Settings!$B$4,F1218&gt;=Settings!$B$5,O1218&gt;=Settings!$B$6),"HIGH RATE","")</f>
        <v/>
      </c>
      <c r="Y1218" s="56" t="str">
        <f aca="false">IF(F1218&gt;0,RANK(F1218,$F$2:$F$1780)+COUNTIF($F$2:F1218,F1218)-1,"")</f>
        <v/>
      </c>
      <c r="Z1218" s="56" t="str">
        <f aca="false">IF(H1218&gt;0,RANK(H1218,$H$2:$H$1780)+COUNTIF($H$2:H1218,H1218)-1,"")</f>
        <v/>
      </c>
      <c r="AA1218" s="56" t="str">
        <f aca="false">IF(AC1218="","",RANK(AC1218,$AC$2:$AC$1780)+COUNTIF($AC$2:AC1218,AC1218)-1)</f>
        <v/>
      </c>
      <c r="AB1218" s="56" t="str">
        <f aca="false">IF(AD1218="","",RANK(AD1218,$AD$2:$AD$1780)+COUNTIF($AD$2:AD1218,AD1218)-1)</f>
        <v/>
      </c>
      <c r="AC1218" s="56" t="str">
        <f aca="false">IF(AND(F1218&gt;0,E1218&gt;=Settings!$B$4),J1218,"")</f>
        <v/>
      </c>
      <c r="AD1218" s="56" t="str">
        <f aca="false">IF(X1218="HIGH RATE",O1218,"")</f>
        <v/>
      </c>
    </row>
    <row r="1219" customFormat="false" ht="15" hidden="false" customHeight="false" outlineLevel="0" collapsed="false">
      <c r="A1219" s="56" t="s">
        <v>2588</v>
      </c>
      <c r="B1219" s="56" t="s">
        <v>997</v>
      </c>
      <c r="C1219" s="56" t="s">
        <v>55</v>
      </c>
      <c r="D1219" s="56" t="str">
        <f aca="false">IFERROR(INDEX('Brand Map'!$B$4:$B$124,MATCH(C1219,'Brand Map'!$A$4:$A$124,0)),"Other")</f>
        <v>AUMJ</v>
      </c>
      <c r="E1219" s="57" t="n">
        <v>1</v>
      </c>
      <c r="F1219" s="57" t="n">
        <v>0</v>
      </c>
      <c r="G1219" s="58" t="n">
        <v>122.95</v>
      </c>
      <c r="H1219" s="58" t="n">
        <v>0</v>
      </c>
      <c r="I1219" s="58" t="n">
        <v>122.95</v>
      </c>
      <c r="J1219" s="32" t="n">
        <f aca="false">IF(E1219&gt;0,F1219/E1219,0)</f>
        <v>0</v>
      </c>
      <c r="K1219" s="32" t="n">
        <f aca="false">IF(G1219&gt;0,H1219/G1219,0)</f>
        <v>-0</v>
      </c>
      <c r="L1219" s="59" t="n">
        <f aca="false">H1219/Settings!$B$16</f>
        <v>-0</v>
      </c>
      <c r="M1219" s="59" t="n">
        <f aca="false">H1219/Settings!$B$20</f>
        <v>-0</v>
      </c>
      <c r="N1219" s="60" t="n">
        <f aca="false">E1219*Settings!$B$3</f>
        <v>0.0309861510798204</v>
      </c>
      <c r="O1219" s="60" t="n">
        <f aca="false">IF(E1219&gt;0,(F1219-N1219)/SQRT(E1219*Settings!$B$3*(1-Settings!$B$3)),0)</f>
        <v>-0.178821125934444</v>
      </c>
      <c r="P1219" s="60" t="n">
        <f aca="false">MAX(0,F1219-N1219)</f>
        <v>0</v>
      </c>
      <c r="Q1219" s="32" t="n">
        <f aca="false">(F1219+Settings!$B$7*Settings!$B$3)/(E1219+Settings!$B$7)</f>
        <v>0.0299865978191811</v>
      </c>
      <c r="R1219" s="61" t="n">
        <f aca="false">PERCENTRANK($H$2:$H$1780,H1219,6)</f>
        <v>0</v>
      </c>
      <c r="S1219" s="61" t="n">
        <f aca="false">PERCENTRANK($Q$2:$Q$1780,Q1219,6)</f>
        <v>0.486502</v>
      </c>
      <c r="T1219" s="61" t="n">
        <f aca="false">PERCENTRANK($F$2:$F$1780,F1219,6)</f>
        <v>0</v>
      </c>
      <c r="U1219" s="62" t="n">
        <f aca="false">IF(F1219&gt;0,(Settings!$B$8*T1219+Settings!$B$9*R1219+Settings!$B$10*S1219)/SUM(Settings!$B$8:$B$10),0)</f>
        <v>0</v>
      </c>
      <c r="V1219" s="56" t="str">
        <f aca="false">IF(U1219&gt;0,RANK(U1219,$U$2:$U$1780)+COUNTIF($U$2:U1219,U1219)-1,"")</f>
        <v/>
      </c>
      <c r="W1219" s="56" t="str">
        <f aca="false">IF(V1219="","",IF(V1219&lt;=Settings!$B$11,"1 - Fix first",IF(V1219&lt;=Settings!$B$12,"2 - Review","3 - Monitor")))</f>
        <v/>
      </c>
      <c r="X1219" s="56" t="str">
        <f aca="false">IF(AND(E1219&gt;=Settings!$B$4,F1219&gt;=Settings!$B$5,O1219&gt;=Settings!$B$6),"HIGH RATE","")</f>
        <v/>
      </c>
      <c r="Y1219" s="56" t="str">
        <f aca="false">IF(F1219&gt;0,RANK(F1219,$F$2:$F$1780)+COUNTIF($F$2:F1219,F1219)-1,"")</f>
        <v/>
      </c>
      <c r="Z1219" s="56" t="str">
        <f aca="false">IF(H1219&gt;0,RANK(H1219,$H$2:$H$1780)+COUNTIF($H$2:H1219,H1219)-1,"")</f>
        <v/>
      </c>
      <c r="AA1219" s="56" t="str">
        <f aca="false">IF(AC1219="","",RANK(AC1219,$AC$2:$AC$1780)+COUNTIF($AC$2:AC1219,AC1219)-1)</f>
        <v/>
      </c>
      <c r="AB1219" s="56" t="str">
        <f aca="false">IF(AD1219="","",RANK(AD1219,$AD$2:$AD$1780)+COUNTIF($AD$2:AD1219,AD1219)-1)</f>
        <v/>
      </c>
      <c r="AC1219" s="56" t="str">
        <f aca="false">IF(AND(F1219&gt;0,E1219&gt;=Settings!$B$4),J1219,"")</f>
        <v/>
      </c>
      <c r="AD1219" s="56" t="str">
        <f aca="false">IF(X1219="HIGH RATE",O1219,"")</f>
        <v/>
      </c>
    </row>
    <row r="1220" customFormat="false" ht="15" hidden="false" customHeight="false" outlineLevel="0" collapsed="false">
      <c r="A1220" s="56" t="s">
        <v>2589</v>
      </c>
      <c r="B1220" s="56" t="s">
        <v>997</v>
      </c>
      <c r="C1220" s="56" t="s">
        <v>55</v>
      </c>
      <c r="D1220" s="56" t="str">
        <f aca="false">IFERROR(INDEX('Brand Map'!$B$4:$B$124,MATCH(C1220,'Brand Map'!$A$4:$A$124,0)),"Other")</f>
        <v>AUMJ</v>
      </c>
      <c r="E1220" s="57" t="n">
        <v>5</v>
      </c>
      <c r="F1220" s="57" t="n">
        <v>0</v>
      </c>
      <c r="G1220" s="58" t="n">
        <v>689.75</v>
      </c>
      <c r="H1220" s="58" t="n">
        <v>0</v>
      </c>
      <c r="I1220" s="58" t="n">
        <v>689.75</v>
      </c>
      <c r="J1220" s="32" t="n">
        <f aca="false">IF(E1220&gt;0,F1220/E1220,0)</f>
        <v>0</v>
      </c>
      <c r="K1220" s="32" t="n">
        <f aca="false">IF(G1220&gt;0,H1220/G1220,0)</f>
        <v>-0</v>
      </c>
      <c r="L1220" s="59" t="n">
        <f aca="false">H1220/Settings!$B$16</f>
        <v>-0</v>
      </c>
      <c r="M1220" s="59" t="n">
        <f aca="false">H1220/Settings!$B$20</f>
        <v>-0</v>
      </c>
      <c r="N1220" s="60" t="n">
        <f aca="false">E1220*Settings!$B$3</f>
        <v>0.154930755399102</v>
      </c>
      <c r="O1220" s="60" t="n">
        <f aca="false">IF(E1220&gt;0,(F1220-N1220)/SQRT(E1220*Settings!$B$3*(1-Settings!$B$3)),0)</f>
        <v>-0.399856193402468</v>
      </c>
      <c r="P1220" s="60" t="n">
        <f aca="false">MAX(0,F1220-N1220)</f>
        <v>0</v>
      </c>
      <c r="Q1220" s="32" t="n">
        <f aca="false">(F1220+Settings!$B$7*Settings!$B$3)/(E1220+Settings!$B$7)</f>
        <v>0.0265595580684175</v>
      </c>
      <c r="R1220" s="61" t="n">
        <f aca="false">PERCENTRANK($H$2:$H$1780,H1220,6)</f>
        <v>0</v>
      </c>
      <c r="S1220" s="61" t="n">
        <f aca="false">PERCENTRANK($Q$2:$Q$1780,Q1220,6)</f>
        <v>0.220472</v>
      </c>
      <c r="T1220" s="61" t="n">
        <f aca="false">PERCENTRANK($F$2:$F$1780,F1220,6)</f>
        <v>0</v>
      </c>
      <c r="U1220" s="62" t="n">
        <f aca="false">IF(F1220&gt;0,(Settings!$B$8*T1220+Settings!$B$9*R1220+Settings!$B$10*S1220)/SUM(Settings!$B$8:$B$10),0)</f>
        <v>0</v>
      </c>
      <c r="V1220" s="56" t="str">
        <f aca="false">IF(U1220&gt;0,RANK(U1220,$U$2:$U$1780)+COUNTIF($U$2:U1220,U1220)-1,"")</f>
        <v/>
      </c>
      <c r="W1220" s="56" t="str">
        <f aca="false">IF(V1220="","",IF(V1220&lt;=Settings!$B$11,"1 - Fix first",IF(V1220&lt;=Settings!$B$12,"2 - Review","3 - Monitor")))</f>
        <v/>
      </c>
      <c r="X1220" s="56" t="str">
        <f aca="false">IF(AND(E1220&gt;=Settings!$B$4,F1220&gt;=Settings!$B$5,O1220&gt;=Settings!$B$6),"HIGH RATE","")</f>
        <v/>
      </c>
      <c r="Y1220" s="56" t="str">
        <f aca="false">IF(F1220&gt;0,RANK(F1220,$F$2:$F$1780)+COUNTIF($F$2:F1220,F1220)-1,"")</f>
        <v/>
      </c>
      <c r="Z1220" s="56" t="str">
        <f aca="false">IF(H1220&gt;0,RANK(H1220,$H$2:$H$1780)+COUNTIF($H$2:H1220,H1220)-1,"")</f>
        <v/>
      </c>
      <c r="AA1220" s="56" t="str">
        <f aca="false">IF(AC1220="","",RANK(AC1220,$AC$2:$AC$1780)+COUNTIF($AC$2:AC1220,AC1220)-1)</f>
        <v/>
      </c>
      <c r="AB1220" s="56" t="str">
        <f aca="false">IF(AD1220="","",RANK(AD1220,$AD$2:$AD$1780)+COUNTIF($AD$2:AD1220,AD1220)-1)</f>
        <v/>
      </c>
      <c r="AC1220" s="56" t="str">
        <f aca="false">IF(AND(F1220&gt;0,E1220&gt;=Settings!$B$4),J1220,"")</f>
        <v/>
      </c>
      <c r="AD1220" s="56" t="str">
        <f aca="false">IF(X1220="HIGH RATE",O1220,"")</f>
        <v/>
      </c>
    </row>
    <row r="1221" customFormat="false" ht="15" hidden="false" customHeight="false" outlineLevel="0" collapsed="false">
      <c r="A1221" s="56" t="s">
        <v>2590</v>
      </c>
      <c r="B1221" s="56" t="s">
        <v>997</v>
      </c>
      <c r="C1221" s="56" t="s">
        <v>55</v>
      </c>
      <c r="D1221" s="56" t="str">
        <f aca="false">IFERROR(INDEX('Brand Map'!$B$4:$B$124,MATCH(C1221,'Brand Map'!$A$4:$A$124,0)),"Other")</f>
        <v>AUMJ</v>
      </c>
      <c r="E1221" s="57" t="n">
        <v>1</v>
      </c>
      <c r="F1221" s="57" t="n">
        <v>0</v>
      </c>
      <c r="G1221" s="58" t="n">
        <v>95.4</v>
      </c>
      <c r="H1221" s="58" t="n">
        <v>0</v>
      </c>
      <c r="I1221" s="58" t="n">
        <v>81.1</v>
      </c>
      <c r="J1221" s="32" t="n">
        <f aca="false">IF(E1221&gt;0,F1221/E1221,0)</f>
        <v>0</v>
      </c>
      <c r="K1221" s="32" t="n">
        <f aca="false">IF(G1221&gt;0,H1221/G1221,0)</f>
        <v>-0</v>
      </c>
      <c r="L1221" s="59" t="n">
        <f aca="false">H1221/Settings!$B$16</f>
        <v>-0</v>
      </c>
      <c r="M1221" s="59" t="n">
        <f aca="false">H1221/Settings!$B$20</f>
        <v>-0</v>
      </c>
      <c r="N1221" s="60" t="n">
        <f aca="false">E1221*Settings!$B$3</f>
        <v>0.0309861510798204</v>
      </c>
      <c r="O1221" s="60" t="n">
        <f aca="false">IF(E1221&gt;0,(F1221-N1221)/SQRT(E1221*Settings!$B$3*(1-Settings!$B$3)),0)</f>
        <v>-0.178821125934444</v>
      </c>
      <c r="P1221" s="60" t="n">
        <f aca="false">MAX(0,F1221-N1221)</f>
        <v>0</v>
      </c>
      <c r="Q1221" s="32" t="n">
        <f aca="false">(F1221+Settings!$B$7*Settings!$B$3)/(E1221+Settings!$B$7)</f>
        <v>0.0299865978191811</v>
      </c>
      <c r="R1221" s="61" t="n">
        <f aca="false">PERCENTRANK($H$2:$H$1780,H1221,6)</f>
        <v>0</v>
      </c>
      <c r="S1221" s="61" t="n">
        <f aca="false">PERCENTRANK($Q$2:$Q$1780,Q1221,6)</f>
        <v>0.486502</v>
      </c>
      <c r="T1221" s="61" t="n">
        <f aca="false">PERCENTRANK($F$2:$F$1780,F1221,6)</f>
        <v>0</v>
      </c>
      <c r="U1221" s="62" t="n">
        <f aca="false">IF(F1221&gt;0,(Settings!$B$8*T1221+Settings!$B$9*R1221+Settings!$B$10*S1221)/SUM(Settings!$B$8:$B$10),0)</f>
        <v>0</v>
      </c>
      <c r="V1221" s="56" t="str">
        <f aca="false">IF(U1221&gt;0,RANK(U1221,$U$2:$U$1780)+COUNTIF($U$2:U1221,U1221)-1,"")</f>
        <v/>
      </c>
      <c r="W1221" s="56" t="str">
        <f aca="false">IF(V1221="","",IF(V1221&lt;=Settings!$B$11,"1 - Fix first",IF(V1221&lt;=Settings!$B$12,"2 - Review","3 - Monitor")))</f>
        <v/>
      </c>
      <c r="X1221" s="56" t="str">
        <f aca="false">IF(AND(E1221&gt;=Settings!$B$4,F1221&gt;=Settings!$B$5,O1221&gt;=Settings!$B$6),"HIGH RATE","")</f>
        <v/>
      </c>
      <c r="Y1221" s="56" t="str">
        <f aca="false">IF(F1221&gt;0,RANK(F1221,$F$2:$F$1780)+COUNTIF($F$2:F1221,F1221)-1,"")</f>
        <v/>
      </c>
      <c r="Z1221" s="56" t="str">
        <f aca="false">IF(H1221&gt;0,RANK(H1221,$H$2:$H$1780)+COUNTIF($H$2:H1221,H1221)-1,"")</f>
        <v/>
      </c>
      <c r="AA1221" s="56" t="str">
        <f aca="false">IF(AC1221="","",RANK(AC1221,$AC$2:$AC$1780)+COUNTIF($AC$2:AC1221,AC1221)-1)</f>
        <v/>
      </c>
      <c r="AB1221" s="56" t="str">
        <f aca="false">IF(AD1221="","",RANK(AD1221,$AD$2:$AD$1780)+COUNTIF($AD$2:AD1221,AD1221)-1)</f>
        <v/>
      </c>
      <c r="AC1221" s="56" t="str">
        <f aca="false">IF(AND(F1221&gt;0,E1221&gt;=Settings!$B$4),J1221,"")</f>
        <v/>
      </c>
      <c r="AD1221" s="56" t="str">
        <f aca="false">IF(X1221="HIGH RATE",O1221,"")</f>
        <v/>
      </c>
    </row>
    <row r="1222" customFormat="false" ht="15" hidden="false" customHeight="false" outlineLevel="0" collapsed="false">
      <c r="A1222" s="56" t="s">
        <v>2591</v>
      </c>
      <c r="B1222" s="56" t="s">
        <v>2592</v>
      </c>
      <c r="C1222" s="56" t="s">
        <v>55</v>
      </c>
      <c r="D1222" s="56" t="str">
        <f aca="false">IFERROR(INDEX('Brand Map'!$B$4:$B$124,MATCH(C1222,'Brand Map'!$A$4:$A$124,0)),"Other")</f>
        <v>AUMJ</v>
      </c>
      <c r="E1222" s="57" t="n">
        <v>8</v>
      </c>
      <c r="F1222" s="57" t="n">
        <v>0</v>
      </c>
      <c r="G1222" s="58" t="n">
        <v>365.8</v>
      </c>
      <c r="H1222" s="58" t="n">
        <v>0</v>
      </c>
      <c r="I1222" s="58" t="n">
        <v>365.8</v>
      </c>
      <c r="J1222" s="32" t="n">
        <f aca="false">IF(E1222&gt;0,F1222/E1222,0)</f>
        <v>0</v>
      </c>
      <c r="K1222" s="32" t="n">
        <f aca="false">IF(G1222&gt;0,H1222/G1222,0)</f>
        <v>-0</v>
      </c>
      <c r="L1222" s="59" t="n">
        <f aca="false">H1222/Settings!$B$16</f>
        <v>-0</v>
      </c>
      <c r="M1222" s="59" t="n">
        <f aca="false">H1222/Settings!$B$20</f>
        <v>-0</v>
      </c>
      <c r="N1222" s="60" t="n">
        <f aca="false">E1222*Settings!$B$3</f>
        <v>0.247889208638563</v>
      </c>
      <c r="O1222" s="60" t="n">
        <f aca="false">IF(E1222&gt;0,(F1222-N1222)/SQRT(E1222*Settings!$B$3*(1-Settings!$B$3)),0)</f>
        <v>-0.505782523070636</v>
      </c>
      <c r="P1222" s="60" t="n">
        <f aca="false">MAX(0,F1222-N1222)</f>
        <v>0</v>
      </c>
      <c r="Q1222" s="32" t="n">
        <f aca="false">(F1222+Settings!$B$7*Settings!$B$3)/(E1222+Settings!$B$7)</f>
        <v>0.0244627508524898</v>
      </c>
      <c r="R1222" s="61" t="n">
        <f aca="false">PERCENTRANK($H$2:$H$1780,H1222,6)</f>
        <v>0</v>
      </c>
      <c r="S1222" s="61" t="n">
        <f aca="false">PERCENTRANK($Q$2:$Q$1780,Q1222,6)</f>
        <v>0.154668</v>
      </c>
      <c r="T1222" s="61" t="n">
        <f aca="false">PERCENTRANK($F$2:$F$1780,F1222,6)</f>
        <v>0</v>
      </c>
      <c r="U1222" s="62" t="n">
        <f aca="false">IF(F1222&gt;0,(Settings!$B$8*T1222+Settings!$B$9*R1222+Settings!$B$10*S1222)/SUM(Settings!$B$8:$B$10),0)</f>
        <v>0</v>
      </c>
      <c r="V1222" s="56" t="str">
        <f aca="false">IF(U1222&gt;0,RANK(U1222,$U$2:$U$1780)+COUNTIF($U$2:U1222,U1222)-1,"")</f>
        <v/>
      </c>
      <c r="W1222" s="56" t="str">
        <f aca="false">IF(V1222="","",IF(V1222&lt;=Settings!$B$11,"1 - Fix first",IF(V1222&lt;=Settings!$B$12,"2 - Review","3 - Monitor")))</f>
        <v/>
      </c>
      <c r="X1222" s="56" t="str">
        <f aca="false">IF(AND(E1222&gt;=Settings!$B$4,F1222&gt;=Settings!$B$5,O1222&gt;=Settings!$B$6),"HIGH RATE","")</f>
        <v/>
      </c>
      <c r="Y1222" s="56" t="str">
        <f aca="false">IF(F1222&gt;0,RANK(F1222,$F$2:$F$1780)+COUNTIF($F$2:F1222,F1222)-1,"")</f>
        <v/>
      </c>
      <c r="Z1222" s="56" t="str">
        <f aca="false">IF(H1222&gt;0,RANK(H1222,$H$2:$H$1780)+COUNTIF($H$2:H1222,H1222)-1,"")</f>
        <v/>
      </c>
      <c r="AA1222" s="56" t="str">
        <f aca="false">IF(AC1222="","",RANK(AC1222,$AC$2:$AC$1780)+COUNTIF($AC$2:AC1222,AC1222)-1)</f>
        <v/>
      </c>
      <c r="AB1222" s="56" t="str">
        <f aca="false">IF(AD1222="","",RANK(AD1222,$AD$2:$AD$1780)+COUNTIF($AD$2:AD1222,AD1222)-1)</f>
        <v/>
      </c>
      <c r="AC1222" s="56" t="str">
        <f aca="false">IF(AND(F1222&gt;0,E1222&gt;=Settings!$B$4),J1222,"")</f>
        <v/>
      </c>
      <c r="AD1222" s="56" t="str">
        <f aca="false">IF(X1222="HIGH RATE",O1222,"")</f>
        <v/>
      </c>
    </row>
    <row r="1223" customFormat="false" ht="15" hidden="false" customHeight="false" outlineLevel="0" collapsed="false">
      <c r="A1223" s="56" t="s">
        <v>2593</v>
      </c>
      <c r="B1223" s="56" t="s">
        <v>2592</v>
      </c>
      <c r="C1223" s="56" t="s">
        <v>55</v>
      </c>
      <c r="D1223" s="56" t="str">
        <f aca="false">IFERROR(INDEX('Brand Map'!$B$4:$B$124,MATCH(C1223,'Brand Map'!$A$4:$A$124,0)),"Other")</f>
        <v>AUMJ</v>
      </c>
      <c r="E1223" s="57" t="n">
        <v>1</v>
      </c>
      <c r="F1223" s="57" t="n">
        <v>0</v>
      </c>
      <c r="G1223" s="58" t="n">
        <v>47.6</v>
      </c>
      <c r="H1223" s="58" t="n">
        <v>0</v>
      </c>
      <c r="I1223" s="58" t="n">
        <v>47.6</v>
      </c>
      <c r="J1223" s="32" t="n">
        <f aca="false">IF(E1223&gt;0,F1223/E1223,0)</f>
        <v>0</v>
      </c>
      <c r="K1223" s="32" t="n">
        <f aca="false">IF(G1223&gt;0,H1223/G1223,0)</f>
        <v>-0</v>
      </c>
      <c r="L1223" s="59" t="n">
        <f aca="false">H1223/Settings!$B$16</f>
        <v>-0</v>
      </c>
      <c r="M1223" s="59" t="n">
        <f aca="false">H1223/Settings!$B$20</f>
        <v>-0</v>
      </c>
      <c r="N1223" s="60" t="n">
        <f aca="false">E1223*Settings!$B$3</f>
        <v>0.0309861510798204</v>
      </c>
      <c r="O1223" s="60" t="n">
        <f aca="false">IF(E1223&gt;0,(F1223-N1223)/SQRT(E1223*Settings!$B$3*(1-Settings!$B$3)),0)</f>
        <v>-0.178821125934444</v>
      </c>
      <c r="P1223" s="60" t="n">
        <f aca="false">MAX(0,F1223-N1223)</f>
        <v>0</v>
      </c>
      <c r="Q1223" s="32" t="n">
        <f aca="false">(F1223+Settings!$B$7*Settings!$B$3)/(E1223+Settings!$B$7)</f>
        <v>0.0299865978191811</v>
      </c>
      <c r="R1223" s="61" t="n">
        <f aca="false">PERCENTRANK($H$2:$H$1780,H1223,6)</f>
        <v>0</v>
      </c>
      <c r="S1223" s="61" t="n">
        <f aca="false">PERCENTRANK($Q$2:$Q$1780,Q1223,6)</f>
        <v>0.486502</v>
      </c>
      <c r="T1223" s="61" t="n">
        <f aca="false">PERCENTRANK($F$2:$F$1780,F1223,6)</f>
        <v>0</v>
      </c>
      <c r="U1223" s="62" t="n">
        <f aca="false">IF(F1223&gt;0,(Settings!$B$8*T1223+Settings!$B$9*R1223+Settings!$B$10*S1223)/SUM(Settings!$B$8:$B$10),0)</f>
        <v>0</v>
      </c>
      <c r="V1223" s="56" t="str">
        <f aca="false">IF(U1223&gt;0,RANK(U1223,$U$2:$U$1780)+COUNTIF($U$2:U1223,U1223)-1,"")</f>
        <v/>
      </c>
      <c r="W1223" s="56" t="str">
        <f aca="false">IF(V1223="","",IF(V1223&lt;=Settings!$B$11,"1 - Fix first",IF(V1223&lt;=Settings!$B$12,"2 - Review","3 - Monitor")))</f>
        <v/>
      </c>
      <c r="X1223" s="56" t="str">
        <f aca="false">IF(AND(E1223&gt;=Settings!$B$4,F1223&gt;=Settings!$B$5,O1223&gt;=Settings!$B$6),"HIGH RATE","")</f>
        <v/>
      </c>
      <c r="Y1223" s="56" t="str">
        <f aca="false">IF(F1223&gt;0,RANK(F1223,$F$2:$F$1780)+COUNTIF($F$2:F1223,F1223)-1,"")</f>
        <v/>
      </c>
      <c r="Z1223" s="56" t="str">
        <f aca="false">IF(H1223&gt;0,RANK(H1223,$H$2:$H$1780)+COUNTIF($H$2:H1223,H1223)-1,"")</f>
        <v/>
      </c>
      <c r="AA1223" s="56" t="str">
        <f aca="false">IF(AC1223="","",RANK(AC1223,$AC$2:$AC$1780)+COUNTIF($AC$2:AC1223,AC1223)-1)</f>
        <v/>
      </c>
      <c r="AB1223" s="56" t="str">
        <f aca="false">IF(AD1223="","",RANK(AD1223,$AD$2:$AD$1780)+COUNTIF($AD$2:AD1223,AD1223)-1)</f>
        <v/>
      </c>
      <c r="AC1223" s="56" t="str">
        <f aca="false">IF(AND(F1223&gt;0,E1223&gt;=Settings!$B$4),J1223,"")</f>
        <v/>
      </c>
      <c r="AD1223" s="56" t="str">
        <f aca="false">IF(X1223="HIGH RATE",O1223,"")</f>
        <v/>
      </c>
    </row>
    <row r="1224" customFormat="false" ht="15" hidden="false" customHeight="false" outlineLevel="0" collapsed="false">
      <c r="A1224" s="56" t="s">
        <v>2594</v>
      </c>
      <c r="B1224" s="56" t="s">
        <v>2592</v>
      </c>
      <c r="C1224" s="56" t="s">
        <v>55</v>
      </c>
      <c r="D1224" s="56" t="str">
        <f aca="false">IFERROR(INDEX('Brand Map'!$B$4:$B$124,MATCH(C1224,'Brand Map'!$A$4:$A$124,0)),"Other")</f>
        <v>AUMJ</v>
      </c>
      <c r="E1224" s="57" t="n">
        <v>2</v>
      </c>
      <c r="F1224" s="57" t="n">
        <v>0</v>
      </c>
      <c r="G1224" s="58" t="n">
        <v>65.2</v>
      </c>
      <c r="H1224" s="58" t="n">
        <v>0</v>
      </c>
      <c r="I1224" s="58" t="n">
        <v>65.2</v>
      </c>
      <c r="J1224" s="32" t="n">
        <f aca="false">IF(E1224&gt;0,F1224/E1224,0)</f>
        <v>0</v>
      </c>
      <c r="K1224" s="32" t="n">
        <f aca="false">IF(G1224&gt;0,H1224/G1224,0)</f>
        <v>-0</v>
      </c>
      <c r="L1224" s="59" t="n">
        <f aca="false">H1224/Settings!$B$16</f>
        <v>-0</v>
      </c>
      <c r="M1224" s="59" t="n">
        <f aca="false">H1224/Settings!$B$20</f>
        <v>-0</v>
      </c>
      <c r="N1224" s="60" t="n">
        <f aca="false">E1224*Settings!$B$3</f>
        <v>0.0619723021596408</v>
      </c>
      <c r="O1224" s="60" t="n">
        <f aca="false">IF(E1224&gt;0,(F1224-N1224)/SQRT(E1224*Settings!$B$3*(1-Settings!$B$3)),0)</f>
        <v>-0.252891261535318</v>
      </c>
      <c r="P1224" s="60" t="n">
        <f aca="false">MAX(0,F1224-N1224)</f>
        <v>0</v>
      </c>
      <c r="Q1224" s="32" t="n">
        <f aca="false">(F1224+Settings!$B$7*Settings!$B$3)/(E1224+Settings!$B$7)</f>
        <v>0.0290495166373316</v>
      </c>
      <c r="R1224" s="61" t="n">
        <f aca="false">PERCENTRANK($H$2:$H$1780,H1224,6)</f>
        <v>0</v>
      </c>
      <c r="S1224" s="61" t="n">
        <f aca="false">PERCENTRANK($Q$2:$Q$1780,Q1224,6)</f>
        <v>0.365579</v>
      </c>
      <c r="T1224" s="61" t="n">
        <f aca="false">PERCENTRANK($F$2:$F$1780,F1224,6)</f>
        <v>0</v>
      </c>
      <c r="U1224" s="62" t="n">
        <f aca="false">IF(F1224&gt;0,(Settings!$B$8*T1224+Settings!$B$9*R1224+Settings!$B$10*S1224)/SUM(Settings!$B$8:$B$10),0)</f>
        <v>0</v>
      </c>
      <c r="V1224" s="56" t="str">
        <f aca="false">IF(U1224&gt;0,RANK(U1224,$U$2:$U$1780)+COUNTIF($U$2:U1224,U1224)-1,"")</f>
        <v/>
      </c>
      <c r="W1224" s="56" t="str">
        <f aca="false">IF(V1224="","",IF(V1224&lt;=Settings!$B$11,"1 - Fix first",IF(V1224&lt;=Settings!$B$12,"2 - Review","3 - Monitor")))</f>
        <v/>
      </c>
      <c r="X1224" s="56" t="str">
        <f aca="false">IF(AND(E1224&gt;=Settings!$B$4,F1224&gt;=Settings!$B$5,O1224&gt;=Settings!$B$6),"HIGH RATE","")</f>
        <v/>
      </c>
      <c r="Y1224" s="56" t="str">
        <f aca="false">IF(F1224&gt;0,RANK(F1224,$F$2:$F$1780)+COUNTIF($F$2:F1224,F1224)-1,"")</f>
        <v/>
      </c>
      <c r="Z1224" s="56" t="str">
        <f aca="false">IF(H1224&gt;0,RANK(H1224,$H$2:$H$1780)+COUNTIF($H$2:H1224,H1224)-1,"")</f>
        <v/>
      </c>
      <c r="AA1224" s="56" t="str">
        <f aca="false">IF(AC1224="","",RANK(AC1224,$AC$2:$AC$1780)+COUNTIF($AC$2:AC1224,AC1224)-1)</f>
        <v/>
      </c>
      <c r="AB1224" s="56" t="str">
        <f aca="false">IF(AD1224="","",RANK(AD1224,$AD$2:$AD$1780)+COUNTIF($AD$2:AD1224,AD1224)-1)</f>
        <v/>
      </c>
      <c r="AC1224" s="56" t="str">
        <f aca="false">IF(AND(F1224&gt;0,E1224&gt;=Settings!$B$4),J1224,"")</f>
        <v/>
      </c>
      <c r="AD1224" s="56" t="str">
        <f aca="false">IF(X1224="HIGH RATE",O1224,"")</f>
        <v/>
      </c>
    </row>
    <row r="1225" customFormat="false" ht="15" hidden="false" customHeight="false" outlineLevel="0" collapsed="false">
      <c r="A1225" s="56" t="s">
        <v>2595</v>
      </c>
      <c r="B1225" s="56" t="s">
        <v>2596</v>
      </c>
      <c r="C1225" s="56" t="s">
        <v>55</v>
      </c>
      <c r="D1225" s="56" t="str">
        <f aca="false">IFERROR(INDEX('Brand Map'!$B$4:$B$124,MATCH(C1225,'Brand Map'!$A$4:$A$124,0)),"Other")</f>
        <v>AUMJ</v>
      </c>
      <c r="E1225" s="57" t="n">
        <v>4</v>
      </c>
      <c r="F1225" s="57" t="n">
        <v>0</v>
      </c>
      <c r="G1225" s="58" t="n">
        <v>243.46</v>
      </c>
      <c r="H1225" s="58" t="n">
        <v>0</v>
      </c>
      <c r="I1225" s="58" t="n">
        <v>243.46</v>
      </c>
      <c r="J1225" s="32" t="n">
        <f aca="false">IF(E1225&gt;0,F1225/E1225,0)</f>
        <v>0</v>
      </c>
      <c r="K1225" s="32" t="n">
        <f aca="false">IF(G1225&gt;0,H1225/G1225,0)</f>
        <v>-0</v>
      </c>
      <c r="L1225" s="59" t="n">
        <f aca="false">H1225/Settings!$B$16</f>
        <v>-0</v>
      </c>
      <c r="M1225" s="59" t="n">
        <f aca="false">H1225/Settings!$B$20</f>
        <v>-0</v>
      </c>
      <c r="N1225" s="60" t="n">
        <f aca="false">E1225*Settings!$B$3</f>
        <v>0.123944604319282</v>
      </c>
      <c r="O1225" s="60" t="n">
        <f aca="false">IF(E1225&gt;0,(F1225-N1225)/SQRT(E1225*Settings!$B$3*(1-Settings!$B$3)),0)</f>
        <v>-0.357642251868888</v>
      </c>
      <c r="P1225" s="60" t="n">
        <f aca="false">MAX(0,F1225-N1225)</f>
        <v>0</v>
      </c>
      <c r="Q1225" s="32" t="n">
        <f aca="false">(F1225+Settings!$B$7*Settings!$B$3)/(E1225+Settings!$B$7)</f>
        <v>0.027340721541018</v>
      </c>
      <c r="R1225" s="61" t="n">
        <f aca="false">PERCENTRANK($H$2:$H$1780,H1225,6)</f>
        <v>0</v>
      </c>
      <c r="S1225" s="61" t="n">
        <f aca="false">PERCENTRANK($Q$2:$Q$1780,Q1225,6)</f>
        <v>0.253656</v>
      </c>
      <c r="T1225" s="61" t="n">
        <f aca="false">PERCENTRANK($F$2:$F$1780,F1225,6)</f>
        <v>0</v>
      </c>
      <c r="U1225" s="62" t="n">
        <f aca="false">IF(F1225&gt;0,(Settings!$B$8*T1225+Settings!$B$9*R1225+Settings!$B$10*S1225)/SUM(Settings!$B$8:$B$10),0)</f>
        <v>0</v>
      </c>
      <c r="V1225" s="56" t="str">
        <f aca="false">IF(U1225&gt;0,RANK(U1225,$U$2:$U$1780)+COUNTIF($U$2:U1225,U1225)-1,"")</f>
        <v/>
      </c>
      <c r="W1225" s="56" t="str">
        <f aca="false">IF(V1225="","",IF(V1225&lt;=Settings!$B$11,"1 - Fix first",IF(V1225&lt;=Settings!$B$12,"2 - Review","3 - Monitor")))</f>
        <v/>
      </c>
      <c r="X1225" s="56" t="str">
        <f aca="false">IF(AND(E1225&gt;=Settings!$B$4,F1225&gt;=Settings!$B$5,O1225&gt;=Settings!$B$6),"HIGH RATE","")</f>
        <v/>
      </c>
      <c r="Y1225" s="56" t="str">
        <f aca="false">IF(F1225&gt;0,RANK(F1225,$F$2:$F$1780)+COUNTIF($F$2:F1225,F1225)-1,"")</f>
        <v/>
      </c>
      <c r="Z1225" s="56" t="str">
        <f aca="false">IF(H1225&gt;0,RANK(H1225,$H$2:$H$1780)+COUNTIF($H$2:H1225,H1225)-1,"")</f>
        <v/>
      </c>
      <c r="AA1225" s="56" t="str">
        <f aca="false">IF(AC1225="","",RANK(AC1225,$AC$2:$AC$1780)+COUNTIF($AC$2:AC1225,AC1225)-1)</f>
        <v/>
      </c>
      <c r="AB1225" s="56" t="str">
        <f aca="false">IF(AD1225="","",RANK(AD1225,$AD$2:$AD$1780)+COUNTIF($AD$2:AD1225,AD1225)-1)</f>
        <v/>
      </c>
      <c r="AC1225" s="56" t="str">
        <f aca="false">IF(AND(F1225&gt;0,E1225&gt;=Settings!$B$4),J1225,"")</f>
        <v/>
      </c>
      <c r="AD1225" s="56" t="str">
        <f aca="false">IF(X1225="HIGH RATE",O1225,"")</f>
        <v/>
      </c>
    </row>
    <row r="1226" customFormat="false" ht="15" hidden="false" customHeight="false" outlineLevel="0" collapsed="false">
      <c r="A1226" s="56" t="s">
        <v>824</v>
      </c>
      <c r="B1226" s="56" t="s">
        <v>825</v>
      </c>
      <c r="C1226" s="56" t="s">
        <v>823</v>
      </c>
      <c r="D1226" s="56" t="str">
        <f aca="false">IFERROR(INDEX('Brand Map'!$B$4:$B$124,MATCH(C1226,'Brand Map'!$A$4:$A$124,0)),"Other")</f>
        <v>Other (small prefixes)</v>
      </c>
      <c r="E1226" s="57" t="n">
        <v>1</v>
      </c>
      <c r="F1226" s="57" t="n">
        <v>0</v>
      </c>
      <c r="G1226" s="58" t="n">
        <v>29.95</v>
      </c>
      <c r="H1226" s="58" t="n">
        <v>0</v>
      </c>
      <c r="I1226" s="58" t="n">
        <v>29.95</v>
      </c>
      <c r="J1226" s="32" t="n">
        <f aca="false">IF(E1226&gt;0,F1226/E1226,0)</f>
        <v>0</v>
      </c>
      <c r="K1226" s="32" t="n">
        <f aca="false">IF(G1226&gt;0,H1226/G1226,0)</f>
        <v>-0</v>
      </c>
      <c r="L1226" s="59" t="n">
        <f aca="false">H1226/Settings!$B$16</f>
        <v>-0</v>
      </c>
      <c r="M1226" s="59" t="n">
        <f aca="false">H1226/Settings!$B$20</f>
        <v>-0</v>
      </c>
      <c r="N1226" s="60" t="n">
        <f aca="false">E1226*Settings!$B$3</f>
        <v>0.0309861510798204</v>
      </c>
      <c r="O1226" s="60" t="n">
        <f aca="false">IF(E1226&gt;0,(F1226-N1226)/SQRT(E1226*Settings!$B$3*(1-Settings!$B$3)),0)</f>
        <v>-0.178821125934444</v>
      </c>
      <c r="P1226" s="60" t="n">
        <f aca="false">MAX(0,F1226-N1226)</f>
        <v>0</v>
      </c>
      <c r="Q1226" s="32" t="n">
        <f aca="false">(F1226+Settings!$B$7*Settings!$B$3)/(E1226+Settings!$B$7)</f>
        <v>0.0299865978191811</v>
      </c>
      <c r="R1226" s="61" t="n">
        <f aca="false">PERCENTRANK($H$2:$H$1780,H1226,6)</f>
        <v>0</v>
      </c>
      <c r="S1226" s="61" t="n">
        <f aca="false">PERCENTRANK($Q$2:$Q$1780,Q1226,6)</f>
        <v>0.486502</v>
      </c>
      <c r="T1226" s="61" t="n">
        <f aca="false">PERCENTRANK($F$2:$F$1780,F1226,6)</f>
        <v>0</v>
      </c>
      <c r="U1226" s="62" t="n">
        <f aca="false">IF(F1226&gt;0,(Settings!$B$8*T1226+Settings!$B$9*R1226+Settings!$B$10*S1226)/SUM(Settings!$B$8:$B$10),0)</f>
        <v>0</v>
      </c>
      <c r="V1226" s="56" t="str">
        <f aca="false">IF(U1226&gt;0,RANK(U1226,$U$2:$U$1780)+COUNTIF($U$2:U1226,U1226)-1,"")</f>
        <v/>
      </c>
      <c r="W1226" s="56" t="str">
        <f aca="false">IF(V1226="","",IF(V1226&lt;=Settings!$B$11,"1 - Fix first",IF(V1226&lt;=Settings!$B$12,"2 - Review","3 - Monitor")))</f>
        <v/>
      </c>
      <c r="X1226" s="56" t="str">
        <f aca="false">IF(AND(E1226&gt;=Settings!$B$4,F1226&gt;=Settings!$B$5,O1226&gt;=Settings!$B$6),"HIGH RATE","")</f>
        <v/>
      </c>
      <c r="Y1226" s="56" t="str">
        <f aca="false">IF(F1226&gt;0,RANK(F1226,$F$2:$F$1780)+COUNTIF($F$2:F1226,F1226)-1,"")</f>
        <v/>
      </c>
      <c r="Z1226" s="56" t="str">
        <f aca="false">IF(H1226&gt;0,RANK(H1226,$H$2:$H$1780)+COUNTIF($H$2:H1226,H1226)-1,"")</f>
        <v/>
      </c>
      <c r="AA1226" s="56" t="str">
        <f aca="false">IF(AC1226="","",RANK(AC1226,$AC$2:$AC$1780)+COUNTIF($AC$2:AC1226,AC1226)-1)</f>
        <v/>
      </c>
      <c r="AB1226" s="56" t="str">
        <f aca="false">IF(AD1226="","",RANK(AD1226,$AD$2:$AD$1780)+COUNTIF($AD$2:AD1226,AD1226)-1)</f>
        <v/>
      </c>
      <c r="AC1226" s="56" t="str">
        <f aca="false">IF(AND(F1226&gt;0,E1226&gt;=Settings!$B$4),J1226,"")</f>
        <v/>
      </c>
      <c r="AD1226" s="56" t="str">
        <f aca="false">IF(X1226="HIGH RATE",O1226,"")</f>
        <v/>
      </c>
    </row>
    <row r="1227" customFormat="false" ht="15" hidden="false" customHeight="false" outlineLevel="0" collapsed="false">
      <c r="A1227" s="56" t="s">
        <v>2597</v>
      </c>
      <c r="B1227" s="56" t="s">
        <v>904</v>
      </c>
      <c r="C1227" s="56" t="s">
        <v>75</v>
      </c>
      <c r="D1227" s="56" t="str">
        <f aca="false">IFERROR(INDEX('Brand Map'!$B$4:$B$124,MATCH(C1227,'Brand Map'!$A$4:$A$124,0)),"Other")</f>
        <v>AURP</v>
      </c>
      <c r="E1227" s="57" t="n">
        <v>1</v>
      </c>
      <c r="F1227" s="57" t="n">
        <v>0</v>
      </c>
      <c r="G1227" s="58" t="n">
        <v>44.99</v>
      </c>
      <c r="H1227" s="58" t="n">
        <v>0</v>
      </c>
      <c r="I1227" s="58" t="n">
        <v>44.99</v>
      </c>
      <c r="J1227" s="32" t="n">
        <f aca="false">IF(E1227&gt;0,F1227/E1227,0)</f>
        <v>0</v>
      </c>
      <c r="K1227" s="32" t="n">
        <f aca="false">IF(G1227&gt;0,H1227/G1227,0)</f>
        <v>-0</v>
      </c>
      <c r="L1227" s="59" t="n">
        <f aca="false">H1227/Settings!$B$16</f>
        <v>-0</v>
      </c>
      <c r="M1227" s="59" t="n">
        <f aca="false">H1227/Settings!$B$20</f>
        <v>-0</v>
      </c>
      <c r="N1227" s="60" t="n">
        <f aca="false">E1227*Settings!$B$3</f>
        <v>0.0309861510798204</v>
      </c>
      <c r="O1227" s="60" t="n">
        <f aca="false">IF(E1227&gt;0,(F1227-N1227)/SQRT(E1227*Settings!$B$3*(1-Settings!$B$3)),0)</f>
        <v>-0.178821125934444</v>
      </c>
      <c r="P1227" s="60" t="n">
        <f aca="false">MAX(0,F1227-N1227)</f>
        <v>0</v>
      </c>
      <c r="Q1227" s="32" t="n">
        <f aca="false">(F1227+Settings!$B$7*Settings!$B$3)/(E1227+Settings!$B$7)</f>
        <v>0.0299865978191811</v>
      </c>
      <c r="R1227" s="61" t="n">
        <f aca="false">PERCENTRANK($H$2:$H$1780,H1227,6)</f>
        <v>0</v>
      </c>
      <c r="S1227" s="61" t="n">
        <f aca="false">PERCENTRANK($Q$2:$Q$1780,Q1227,6)</f>
        <v>0.486502</v>
      </c>
      <c r="T1227" s="61" t="n">
        <f aca="false">PERCENTRANK($F$2:$F$1780,F1227,6)</f>
        <v>0</v>
      </c>
      <c r="U1227" s="62" t="n">
        <f aca="false">IF(F1227&gt;0,(Settings!$B$8*T1227+Settings!$B$9*R1227+Settings!$B$10*S1227)/SUM(Settings!$B$8:$B$10),0)</f>
        <v>0</v>
      </c>
      <c r="V1227" s="56" t="str">
        <f aca="false">IF(U1227&gt;0,RANK(U1227,$U$2:$U$1780)+COUNTIF($U$2:U1227,U1227)-1,"")</f>
        <v/>
      </c>
      <c r="W1227" s="56" t="str">
        <f aca="false">IF(V1227="","",IF(V1227&lt;=Settings!$B$11,"1 - Fix first",IF(V1227&lt;=Settings!$B$12,"2 - Review","3 - Monitor")))</f>
        <v/>
      </c>
      <c r="X1227" s="56" t="str">
        <f aca="false">IF(AND(E1227&gt;=Settings!$B$4,F1227&gt;=Settings!$B$5,O1227&gt;=Settings!$B$6),"HIGH RATE","")</f>
        <v/>
      </c>
      <c r="Y1227" s="56" t="str">
        <f aca="false">IF(F1227&gt;0,RANK(F1227,$F$2:$F$1780)+COUNTIF($F$2:F1227,F1227)-1,"")</f>
        <v/>
      </c>
      <c r="Z1227" s="56" t="str">
        <f aca="false">IF(H1227&gt;0,RANK(H1227,$H$2:$H$1780)+COUNTIF($H$2:H1227,H1227)-1,"")</f>
        <v/>
      </c>
      <c r="AA1227" s="56" t="str">
        <f aca="false">IF(AC1227="","",RANK(AC1227,$AC$2:$AC$1780)+COUNTIF($AC$2:AC1227,AC1227)-1)</f>
        <v/>
      </c>
      <c r="AB1227" s="56" t="str">
        <f aca="false">IF(AD1227="","",RANK(AD1227,$AD$2:$AD$1780)+COUNTIF($AD$2:AD1227,AD1227)-1)</f>
        <v/>
      </c>
      <c r="AC1227" s="56" t="str">
        <f aca="false">IF(AND(F1227&gt;0,E1227&gt;=Settings!$B$4),J1227,"")</f>
        <v/>
      </c>
      <c r="AD1227" s="56" t="str">
        <f aca="false">IF(X1227="HIGH RATE",O1227,"")</f>
        <v/>
      </c>
    </row>
    <row r="1228" customFormat="false" ht="15" hidden="false" customHeight="false" outlineLevel="0" collapsed="false">
      <c r="A1228" s="56" t="s">
        <v>2598</v>
      </c>
      <c r="B1228" s="56" t="s">
        <v>2599</v>
      </c>
      <c r="C1228" s="56" t="s">
        <v>75</v>
      </c>
      <c r="D1228" s="56" t="str">
        <f aca="false">IFERROR(INDEX('Brand Map'!$B$4:$B$124,MATCH(C1228,'Brand Map'!$A$4:$A$124,0)),"Other")</f>
        <v>AURP</v>
      </c>
      <c r="E1228" s="57" t="n">
        <v>115</v>
      </c>
      <c r="F1228" s="57" t="n">
        <v>0</v>
      </c>
      <c r="G1228" s="58" t="n">
        <v>266.23</v>
      </c>
      <c r="H1228" s="58" t="n">
        <v>0</v>
      </c>
      <c r="I1228" s="58" t="n">
        <v>266.23</v>
      </c>
      <c r="J1228" s="32" t="n">
        <f aca="false">IF(E1228&gt;0,F1228/E1228,0)</f>
        <v>0</v>
      </c>
      <c r="K1228" s="32" t="n">
        <f aca="false">IF(G1228&gt;0,H1228/G1228,0)</f>
        <v>-0</v>
      </c>
      <c r="L1228" s="59" t="n">
        <f aca="false">H1228/Settings!$B$16</f>
        <v>-0</v>
      </c>
      <c r="M1228" s="59" t="n">
        <f aca="false">H1228/Settings!$B$20</f>
        <v>-0</v>
      </c>
      <c r="N1228" s="60" t="n">
        <f aca="false">E1228*Settings!$B$3</f>
        <v>3.56340737417935</v>
      </c>
      <c r="O1228" s="60" t="n">
        <f aca="false">IF(E1228&gt;0,(F1228-N1228)/SQRT(E1228*Settings!$B$3*(1-Settings!$B$3)),0)</f>
        <v>-1.91764293711138</v>
      </c>
      <c r="P1228" s="60" t="n">
        <f aca="false">MAX(0,F1228-N1228)</f>
        <v>0</v>
      </c>
      <c r="Q1228" s="32" t="n">
        <f aca="false">(F1228+Settings!$B$7*Settings!$B$3)/(E1228+Settings!$B$7)</f>
        <v>0.00641092780961802</v>
      </c>
      <c r="R1228" s="61" t="n">
        <f aca="false">PERCENTRANK($H$2:$H$1780,H1228,6)</f>
        <v>0</v>
      </c>
      <c r="S1228" s="61" t="n">
        <f aca="false">PERCENTRANK($Q$2:$Q$1780,Q1228,6)</f>
        <v>0.00674916</v>
      </c>
      <c r="T1228" s="61" t="n">
        <f aca="false">PERCENTRANK($F$2:$F$1780,F1228,6)</f>
        <v>0</v>
      </c>
      <c r="U1228" s="62" t="n">
        <f aca="false">IF(F1228&gt;0,(Settings!$B$8*T1228+Settings!$B$9*R1228+Settings!$B$10*S1228)/SUM(Settings!$B$8:$B$10),0)</f>
        <v>0</v>
      </c>
      <c r="V1228" s="56" t="str">
        <f aca="false">IF(U1228&gt;0,RANK(U1228,$U$2:$U$1780)+COUNTIF($U$2:U1228,U1228)-1,"")</f>
        <v/>
      </c>
      <c r="W1228" s="56" t="str">
        <f aca="false">IF(V1228="","",IF(V1228&lt;=Settings!$B$11,"1 - Fix first",IF(V1228&lt;=Settings!$B$12,"2 - Review","3 - Monitor")))</f>
        <v/>
      </c>
      <c r="X1228" s="56" t="str">
        <f aca="false">IF(AND(E1228&gt;=Settings!$B$4,F1228&gt;=Settings!$B$5,O1228&gt;=Settings!$B$6),"HIGH RATE","")</f>
        <v/>
      </c>
      <c r="Y1228" s="56" t="str">
        <f aca="false">IF(F1228&gt;0,RANK(F1228,$F$2:$F$1780)+COUNTIF($F$2:F1228,F1228)-1,"")</f>
        <v/>
      </c>
      <c r="Z1228" s="56" t="str">
        <f aca="false">IF(H1228&gt;0,RANK(H1228,$H$2:$H$1780)+COUNTIF($H$2:H1228,H1228)-1,"")</f>
        <v/>
      </c>
      <c r="AA1228" s="56" t="str">
        <f aca="false">IF(AC1228="","",RANK(AC1228,$AC$2:$AC$1780)+COUNTIF($AC$2:AC1228,AC1228)-1)</f>
        <v/>
      </c>
      <c r="AB1228" s="56" t="str">
        <f aca="false">IF(AD1228="","",RANK(AD1228,$AD$2:$AD$1780)+COUNTIF($AD$2:AD1228,AD1228)-1)</f>
        <v/>
      </c>
      <c r="AC1228" s="56" t="str">
        <f aca="false">IF(AND(F1228&gt;0,E1228&gt;=Settings!$B$4),J1228,"")</f>
        <v/>
      </c>
      <c r="AD1228" s="56" t="str">
        <f aca="false">IF(X1228="HIGH RATE",O1228,"")</f>
        <v/>
      </c>
    </row>
    <row r="1229" customFormat="false" ht="15" hidden="false" customHeight="false" outlineLevel="0" collapsed="false">
      <c r="A1229" s="56" t="s">
        <v>2600</v>
      </c>
      <c r="B1229" s="56" t="s">
        <v>2601</v>
      </c>
      <c r="C1229" s="56" t="s">
        <v>75</v>
      </c>
      <c r="D1229" s="56" t="str">
        <f aca="false">IFERROR(INDEX('Brand Map'!$B$4:$B$124,MATCH(C1229,'Brand Map'!$A$4:$A$124,0)),"Other")</f>
        <v>AURP</v>
      </c>
      <c r="E1229" s="57" t="n">
        <v>5</v>
      </c>
      <c r="F1229" s="57" t="n">
        <v>0</v>
      </c>
      <c r="G1229" s="58" t="n">
        <v>74.75</v>
      </c>
      <c r="H1229" s="58" t="n">
        <v>0</v>
      </c>
      <c r="I1229" s="58" t="n">
        <v>74.75</v>
      </c>
      <c r="J1229" s="32" t="n">
        <f aca="false">IF(E1229&gt;0,F1229/E1229,0)</f>
        <v>0</v>
      </c>
      <c r="K1229" s="32" t="n">
        <f aca="false">IF(G1229&gt;0,H1229/G1229,0)</f>
        <v>-0</v>
      </c>
      <c r="L1229" s="59" t="n">
        <f aca="false">H1229/Settings!$B$16</f>
        <v>-0</v>
      </c>
      <c r="M1229" s="59" t="n">
        <f aca="false">H1229/Settings!$B$20</f>
        <v>-0</v>
      </c>
      <c r="N1229" s="60" t="n">
        <f aca="false">E1229*Settings!$B$3</f>
        <v>0.154930755399102</v>
      </c>
      <c r="O1229" s="60" t="n">
        <f aca="false">IF(E1229&gt;0,(F1229-N1229)/SQRT(E1229*Settings!$B$3*(1-Settings!$B$3)),0)</f>
        <v>-0.399856193402468</v>
      </c>
      <c r="P1229" s="60" t="n">
        <f aca="false">MAX(0,F1229-N1229)</f>
        <v>0</v>
      </c>
      <c r="Q1229" s="32" t="n">
        <f aca="false">(F1229+Settings!$B$7*Settings!$B$3)/(E1229+Settings!$B$7)</f>
        <v>0.0265595580684175</v>
      </c>
      <c r="R1229" s="61" t="n">
        <f aca="false">PERCENTRANK($H$2:$H$1780,H1229,6)</f>
        <v>0</v>
      </c>
      <c r="S1229" s="61" t="n">
        <f aca="false">PERCENTRANK($Q$2:$Q$1780,Q1229,6)</f>
        <v>0.220472</v>
      </c>
      <c r="T1229" s="61" t="n">
        <f aca="false">PERCENTRANK($F$2:$F$1780,F1229,6)</f>
        <v>0</v>
      </c>
      <c r="U1229" s="62" t="n">
        <f aca="false">IF(F1229&gt;0,(Settings!$B$8*T1229+Settings!$B$9*R1229+Settings!$B$10*S1229)/SUM(Settings!$B$8:$B$10),0)</f>
        <v>0</v>
      </c>
      <c r="V1229" s="56" t="str">
        <f aca="false">IF(U1229&gt;0,RANK(U1229,$U$2:$U$1780)+COUNTIF($U$2:U1229,U1229)-1,"")</f>
        <v/>
      </c>
      <c r="W1229" s="56" t="str">
        <f aca="false">IF(V1229="","",IF(V1229&lt;=Settings!$B$11,"1 - Fix first",IF(V1229&lt;=Settings!$B$12,"2 - Review","3 - Monitor")))</f>
        <v/>
      </c>
      <c r="X1229" s="56" t="str">
        <f aca="false">IF(AND(E1229&gt;=Settings!$B$4,F1229&gt;=Settings!$B$5,O1229&gt;=Settings!$B$6),"HIGH RATE","")</f>
        <v/>
      </c>
      <c r="Y1229" s="56" t="str">
        <f aca="false">IF(F1229&gt;0,RANK(F1229,$F$2:$F$1780)+COUNTIF($F$2:F1229,F1229)-1,"")</f>
        <v/>
      </c>
      <c r="Z1229" s="56" t="str">
        <f aca="false">IF(H1229&gt;0,RANK(H1229,$H$2:$H$1780)+COUNTIF($H$2:H1229,H1229)-1,"")</f>
        <v/>
      </c>
      <c r="AA1229" s="56" t="str">
        <f aca="false">IF(AC1229="","",RANK(AC1229,$AC$2:$AC$1780)+COUNTIF($AC$2:AC1229,AC1229)-1)</f>
        <v/>
      </c>
      <c r="AB1229" s="56" t="str">
        <f aca="false">IF(AD1229="","",RANK(AD1229,$AD$2:$AD$1780)+COUNTIF($AD$2:AD1229,AD1229)-1)</f>
        <v/>
      </c>
      <c r="AC1229" s="56" t="str">
        <f aca="false">IF(AND(F1229&gt;0,E1229&gt;=Settings!$B$4),J1229,"")</f>
        <v/>
      </c>
      <c r="AD1229" s="56" t="str">
        <f aca="false">IF(X1229="HIGH RATE",O1229,"")</f>
        <v/>
      </c>
    </row>
    <row r="1230" customFormat="false" ht="15" hidden="false" customHeight="false" outlineLevel="0" collapsed="false">
      <c r="A1230" s="56" t="s">
        <v>2602</v>
      </c>
      <c r="B1230" s="56" t="s">
        <v>2603</v>
      </c>
      <c r="C1230" s="56" t="s">
        <v>75</v>
      </c>
      <c r="D1230" s="56" t="str">
        <f aca="false">IFERROR(INDEX('Brand Map'!$B$4:$B$124,MATCH(C1230,'Brand Map'!$A$4:$A$124,0)),"Other")</f>
        <v>AURP</v>
      </c>
      <c r="E1230" s="57" t="n">
        <v>1</v>
      </c>
      <c r="F1230" s="57" t="n">
        <v>0</v>
      </c>
      <c r="G1230" s="58" t="n">
        <v>24.95</v>
      </c>
      <c r="H1230" s="58" t="n">
        <v>0</v>
      </c>
      <c r="I1230" s="58" t="n">
        <v>24.95</v>
      </c>
      <c r="J1230" s="32" t="n">
        <f aca="false">IF(E1230&gt;0,F1230/E1230,0)</f>
        <v>0</v>
      </c>
      <c r="K1230" s="32" t="n">
        <f aca="false">IF(G1230&gt;0,H1230/G1230,0)</f>
        <v>-0</v>
      </c>
      <c r="L1230" s="59" t="n">
        <f aca="false">H1230/Settings!$B$16</f>
        <v>-0</v>
      </c>
      <c r="M1230" s="59" t="n">
        <f aca="false">H1230/Settings!$B$20</f>
        <v>-0</v>
      </c>
      <c r="N1230" s="60" t="n">
        <f aca="false">E1230*Settings!$B$3</f>
        <v>0.0309861510798204</v>
      </c>
      <c r="O1230" s="60" t="n">
        <f aca="false">IF(E1230&gt;0,(F1230-N1230)/SQRT(E1230*Settings!$B$3*(1-Settings!$B$3)),0)</f>
        <v>-0.178821125934444</v>
      </c>
      <c r="P1230" s="60" t="n">
        <f aca="false">MAX(0,F1230-N1230)</f>
        <v>0</v>
      </c>
      <c r="Q1230" s="32" t="n">
        <f aca="false">(F1230+Settings!$B$7*Settings!$B$3)/(E1230+Settings!$B$7)</f>
        <v>0.0299865978191811</v>
      </c>
      <c r="R1230" s="61" t="n">
        <f aca="false">PERCENTRANK($H$2:$H$1780,H1230,6)</f>
        <v>0</v>
      </c>
      <c r="S1230" s="61" t="n">
        <f aca="false">PERCENTRANK($Q$2:$Q$1780,Q1230,6)</f>
        <v>0.486502</v>
      </c>
      <c r="T1230" s="61" t="n">
        <f aca="false">PERCENTRANK($F$2:$F$1780,F1230,6)</f>
        <v>0</v>
      </c>
      <c r="U1230" s="62" t="n">
        <f aca="false">IF(F1230&gt;0,(Settings!$B$8*T1230+Settings!$B$9*R1230+Settings!$B$10*S1230)/SUM(Settings!$B$8:$B$10),0)</f>
        <v>0</v>
      </c>
      <c r="V1230" s="56" t="str">
        <f aca="false">IF(U1230&gt;0,RANK(U1230,$U$2:$U$1780)+COUNTIF($U$2:U1230,U1230)-1,"")</f>
        <v/>
      </c>
      <c r="W1230" s="56" t="str">
        <f aca="false">IF(V1230="","",IF(V1230&lt;=Settings!$B$11,"1 - Fix first",IF(V1230&lt;=Settings!$B$12,"2 - Review","3 - Monitor")))</f>
        <v/>
      </c>
      <c r="X1230" s="56" t="str">
        <f aca="false">IF(AND(E1230&gt;=Settings!$B$4,F1230&gt;=Settings!$B$5,O1230&gt;=Settings!$B$6),"HIGH RATE","")</f>
        <v/>
      </c>
      <c r="Y1230" s="56" t="str">
        <f aca="false">IF(F1230&gt;0,RANK(F1230,$F$2:$F$1780)+COUNTIF($F$2:F1230,F1230)-1,"")</f>
        <v/>
      </c>
      <c r="Z1230" s="56" t="str">
        <f aca="false">IF(H1230&gt;0,RANK(H1230,$H$2:$H$1780)+COUNTIF($H$2:H1230,H1230)-1,"")</f>
        <v/>
      </c>
      <c r="AA1230" s="56" t="str">
        <f aca="false">IF(AC1230="","",RANK(AC1230,$AC$2:$AC$1780)+COUNTIF($AC$2:AC1230,AC1230)-1)</f>
        <v/>
      </c>
      <c r="AB1230" s="56" t="str">
        <f aca="false">IF(AD1230="","",RANK(AD1230,$AD$2:$AD$1780)+COUNTIF($AD$2:AD1230,AD1230)-1)</f>
        <v/>
      </c>
      <c r="AC1230" s="56" t="str">
        <f aca="false">IF(AND(F1230&gt;0,E1230&gt;=Settings!$B$4),J1230,"")</f>
        <v/>
      </c>
      <c r="AD1230" s="56" t="str">
        <f aca="false">IF(X1230="HIGH RATE",O1230,"")</f>
        <v/>
      </c>
    </row>
    <row r="1231" customFormat="false" ht="15" hidden="false" customHeight="false" outlineLevel="0" collapsed="false">
      <c r="A1231" s="56" t="s">
        <v>2604</v>
      </c>
      <c r="B1231" s="56" t="s">
        <v>2605</v>
      </c>
      <c r="C1231" s="56" t="s">
        <v>75</v>
      </c>
      <c r="D1231" s="56" t="str">
        <f aca="false">IFERROR(INDEX('Brand Map'!$B$4:$B$124,MATCH(C1231,'Brand Map'!$A$4:$A$124,0)),"Other")</f>
        <v>AURP</v>
      </c>
      <c r="E1231" s="57" t="n">
        <v>6</v>
      </c>
      <c r="F1231" s="57" t="n">
        <v>0</v>
      </c>
      <c r="G1231" s="58" t="n">
        <v>119.7</v>
      </c>
      <c r="H1231" s="58" t="n">
        <v>0</v>
      </c>
      <c r="I1231" s="58" t="n">
        <v>119.7</v>
      </c>
      <c r="J1231" s="32" t="n">
        <f aca="false">IF(E1231&gt;0,F1231/E1231,0)</f>
        <v>0</v>
      </c>
      <c r="K1231" s="32" t="n">
        <f aca="false">IF(G1231&gt;0,H1231/G1231,0)</f>
        <v>-0</v>
      </c>
      <c r="L1231" s="59" t="n">
        <f aca="false">H1231/Settings!$B$16</f>
        <v>-0</v>
      </c>
      <c r="M1231" s="59" t="n">
        <f aca="false">H1231/Settings!$B$20</f>
        <v>-0</v>
      </c>
      <c r="N1231" s="60" t="n">
        <f aca="false">E1231*Settings!$B$3</f>
        <v>0.185916906478923</v>
      </c>
      <c r="O1231" s="60" t="n">
        <f aca="false">IF(E1231&gt;0,(F1231-N1231)/SQRT(E1231*Settings!$B$3*(1-Settings!$B$3)),0)</f>
        <v>-0.43802051376936</v>
      </c>
      <c r="P1231" s="60" t="n">
        <f aca="false">MAX(0,F1231-N1231)</f>
        <v>0</v>
      </c>
      <c r="Q1231" s="32" t="n">
        <f aca="false">(F1231+Settings!$B$7*Settings!$B$3)/(E1231+Settings!$B$7)</f>
        <v>0.025821792566517</v>
      </c>
      <c r="R1231" s="61" t="n">
        <f aca="false">PERCENTRANK($H$2:$H$1780,H1231,6)</f>
        <v>0</v>
      </c>
      <c r="S1231" s="61" t="n">
        <f aca="false">PERCENTRANK($Q$2:$Q$1780,Q1231,6)</f>
        <v>0.189539</v>
      </c>
      <c r="T1231" s="61" t="n">
        <f aca="false">PERCENTRANK($F$2:$F$1780,F1231,6)</f>
        <v>0</v>
      </c>
      <c r="U1231" s="62" t="n">
        <f aca="false">IF(F1231&gt;0,(Settings!$B$8*T1231+Settings!$B$9*R1231+Settings!$B$10*S1231)/SUM(Settings!$B$8:$B$10),0)</f>
        <v>0</v>
      </c>
      <c r="V1231" s="56" t="str">
        <f aca="false">IF(U1231&gt;0,RANK(U1231,$U$2:$U$1780)+COUNTIF($U$2:U1231,U1231)-1,"")</f>
        <v/>
      </c>
      <c r="W1231" s="56" t="str">
        <f aca="false">IF(V1231="","",IF(V1231&lt;=Settings!$B$11,"1 - Fix first",IF(V1231&lt;=Settings!$B$12,"2 - Review","3 - Monitor")))</f>
        <v/>
      </c>
      <c r="X1231" s="56" t="str">
        <f aca="false">IF(AND(E1231&gt;=Settings!$B$4,F1231&gt;=Settings!$B$5,O1231&gt;=Settings!$B$6),"HIGH RATE","")</f>
        <v/>
      </c>
      <c r="Y1231" s="56" t="str">
        <f aca="false">IF(F1231&gt;0,RANK(F1231,$F$2:$F$1780)+COUNTIF($F$2:F1231,F1231)-1,"")</f>
        <v/>
      </c>
      <c r="Z1231" s="56" t="str">
        <f aca="false">IF(H1231&gt;0,RANK(H1231,$H$2:$H$1780)+COUNTIF($H$2:H1231,H1231)-1,"")</f>
        <v/>
      </c>
      <c r="AA1231" s="56" t="str">
        <f aca="false">IF(AC1231="","",RANK(AC1231,$AC$2:$AC$1780)+COUNTIF($AC$2:AC1231,AC1231)-1)</f>
        <v/>
      </c>
      <c r="AB1231" s="56" t="str">
        <f aca="false">IF(AD1231="","",RANK(AD1231,$AD$2:$AD$1780)+COUNTIF($AD$2:AD1231,AD1231)-1)</f>
        <v/>
      </c>
      <c r="AC1231" s="56" t="str">
        <f aca="false">IF(AND(F1231&gt;0,E1231&gt;=Settings!$B$4),J1231,"")</f>
        <v/>
      </c>
      <c r="AD1231" s="56" t="str">
        <f aca="false">IF(X1231="HIGH RATE",O1231,"")</f>
        <v/>
      </c>
    </row>
    <row r="1232" customFormat="false" ht="15" hidden="false" customHeight="false" outlineLevel="0" collapsed="false">
      <c r="A1232" s="56" t="s">
        <v>2606</v>
      </c>
      <c r="B1232" s="56" t="s">
        <v>2607</v>
      </c>
      <c r="C1232" s="56" t="s">
        <v>75</v>
      </c>
      <c r="D1232" s="56" t="str">
        <f aca="false">IFERROR(INDEX('Brand Map'!$B$4:$B$124,MATCH(C1232,'Brand Map'!$A$4:$A$124,0)),"Other")</f>
        <v>AURP</v>
      </c>
      <c r="E1232" s="57" t="n">
        <v>1</v>
      </c>
      <c r="F1232" s="57" t="n">
        <v>0</v>
      </c>
      <c r="G1232" s="58" t="n">
        <v>19.95</v>
      </c>
      <c r="H1232" s="58" t="n">
        <v>0</v>
      </c>
      <c r="I1232" s="58" t="n">
        <v>19.95</v>
      </c>
      <c r="J1232" s="32" t="n">
        <f aca="false">IF(E1232&gt;0,F1232/E1232,0)</f>
        <v>0</v>
      </c>
      <c r="K1232" s="32" t="n">
        <f aca="false">IF(G1232&gt;0,H1232/G1232,0)</f>
        <v>-0</v>
      </c>
      <c r="L1232" s="59" t="n">
        <f aca="false">H1232/Settings!$B$16</f>
        <v>-0</v>
      </c>
      <c r="M1232" s="59" t="n">
        <f aca="false">H1232/Settings!$B$20</f>
        <v>-0</v>
      </c>
      <c r="N1232" s="60" t="n">
        <f aca="false">E1232*Settings!$B$3</f>
        <v>0.0309861510798204</v>
      </c>
      <c r="O1232" s="60" t="n">
        <f aca="false">IF(E1232&gt;0,(F1232-N1232)/SQRT(E1232*Settings!$B$3*(1-Settings!$B$3)),0)</f>
        <v>-0.178821125934444</v>
      </c>
      <c r="P1232" s="60" t="n">
        <f aca="false">MAX(0,F1232-N1232)</f>
        <v>0</v>
      </c>
      <c r="Q1232" s="32" t="n">
        <f aca="false">(F1232+Settings!$B$7*Settings!$B$3)/(E1232+Settings!$B$7)</f>
        <v>0.0299865978191811</v>
      </c>
      <c r="R1232" s="61" t="n">
        <f aca="false">PERCENTRANK($H$2:$H$1780,H1232,6)</f>
        <v>0</v>
      </c>
      <c r="S1232" s="61" t="n">
        <f aca="false">PERCENTRANK($Q$2:$Q$1780,Q1232,6)</f>
        <v>0.486502</v>
      </c>
      <c r="T1232" s="61" t="n">
        <f aca="false">PERCENTRANK($F$2:$F$1780,F1232,6)</f>
        <v>0</v>
      </c>
      <c r="U1232" s="62" t="n">
        <f aca="false">IF(F1232&gt;0,(Settings!$B$8*T1232+Settings!$B$9*R1232+Settings!$B$10*S1232)/SUM(Settings!$B$8:$B$10),0)</f>
        <v>0</v>
      </c>
      <c r="V1232" s="56" t="str">
        <f aca="false">IF(U1232&gt;0,RANK(U1232,$U$2:$U$1780)+COUNTIF($U$2:U1232,U1232)-1,"")</f>
        <v/>
      </c>
      <c r="W1232" s="56" t="str">
        <f aca="false">IF(V1232="","",IF(V1232&lt;=Settings!$B$11,"1 - Fix first",IF(V1232&lt;=Settings!$B$12,"2 - Review","3 - Monitor")))</f>
        <v/>
      </c>
      <c r="X1232" s="56" t="str">
        <f aca="false">IF(AND(E1232&gt;=Settings!$B$4,F1232&gt;=Settings!$B$5,O1232&gt;=Settings!$B$6),"HIGH RATE","")</f>
        <v/>
      </c>
      <c r="Y1232" s="56" t="str">
        <f aca="false">IF(F1232&gt;0,RANK(F1232,$F$2:$F$1780)+COUNTIF($F$2:F1232,F1232)-1,"")</f>
        <v/>
      </c>
      <c r="Z1232" s="56" t="str">
        <f aca="false">IF(H1232&gt;0,RANK(H1232,$H$2:$H$1780)+COUNTIF($H$2:H1232,H1232)-1,"")</f>
        <v/>
      </c>
      <c r="AA1232" s="56" t="str">
        <f aca="false">IF(AC1232="","",RANK(AC1232,$AC$2:$AC$1780)+COUNTIF($AC$2:AC1232,AC1232)-1)</f>
        <v/>
      </c>
      <c r="AB1232" s="56" t="str">
        <f aca="false">IF(AD1232="","",RANK(AD1232,$AD$2:$AD$1780)+COUNTIF($AD$2:AD1232,AD1232)-1)</f>
        <v/>
      </c>
      <c r="AC1232" s="56" t="str">
        <f aca="false">IF(AND(F1232&gt;0,E1232&gt;=Settings!$B$4),J1232,"")</f>
        <v/>
      </c>
      <c r="AD1232" s="56" t="str">
        <f aca="false">IF(X1232="HIGH RATE",O1232,"")</f>
        <v/>
      </c>
    </row>
    <row r="1233" customFormat="false" ht="15" hidden="false" customHeight="false" outlineLevel="0" collapsed="false">
      <c r="A1233" s="56" t="s">
        <v>2608</v>
      </c>
      <c r="B1233" s="56" t="s">
        <v>929</v>
      </c>
      <c r="C1233" s="56" t="s">
        <v>75</v>
      </c>
      <c r="D1233" s="56" t="str">
        <f aca="false">IFERROR(INDEX('Brand Map'!$B$4:$B$124,MATCH(C1233,'Brand Map'!$A$4:$A$124,0)),"Other")</f>
        <v>AURP</v>
      </c>
      <c r="E1233" s="57" t="n">
        <v>1</v>
      </c>
      <c r="F1233" s="57" t="n">
        <v>0</v>
      </c>
      <c r="G1233" s="58" t="n">
        <v>9.99</v>
      </c>
      <c r="H1233" s="58" t="n">
        <v>0</v>
      </c>
      <c r="I1233" s="58" t="n">
        <v>9.99</v>
      </c>
      <c r="J1233" s="32" t="n">
        <f aca="false">IF(E1233&gt;0,F1233/E1233,0)</f>
        <v>0</v>
      </c>
      <c r="K1233" s="32" t="n">
        <f aca="false">IF(G1233&gt;0,H1233/G1233,0)</f>
        <v>-0</v>
      </c>
      <c r="L1233" s="59" t="n">
        <f aca="false">H1233/Settings!$B$16</f>
        <v>-0</v>
      </c>
      <c r="M1233" s="59" t="n">
        <f aca="false">H1233/Settings!$B$20</f>
        <v>-0</v>
      </c>
      <c r="N1233" s="60" t="n">
        <f aca="false">E1233*Settings!$B$3</f>
        <v>0.0309861510798204</v>
      </c>
      <c r="O1233" s="60" t="n">
        <f aca="false">IF(E1233&gt;0,(F1233-N1233)/SQRT(E1233*Settings!$B$3*(1-Settings!$B$3)),0)</f>
        <v>-0.178821125934444</v>
      </c>
      <c r="P1233" s="60" t="n">
        <f aca="false">MAX(0,F1233-N1233)</f>
        <v>0</v>
      </c>
      <c r="Q1233" s="32" t="n">
        <f aca="false">(F1233+Settings!$B$7*Settings!$B$3)/(E1233+Settings!$B$7)</f>
        <v>0.0299865978191811</v>
      </c>
      <c r="R1233" s="61" t="n">
        <f aca="false">PERCENTRANK($H$2:$H$1780,H1233,6)</f>
        <v>0</v>
      </c>
      <c r="S1233" s="61" t="n">
        <f aca="false">PERCENTRANK($Q$2:$Q$1780,Q1233,6)</f>
        <v>0.486502</v>
      </c>
      <c r="T1233" s="61" t="n">
        <f aca="false">PERCENTRANK($F$2:$F$1780,F1233,6)</f>
        <v>0</v>
      </c>
      <c r="U1233" s="62" t="n">
        <f aca="false">IF(F1233&gt;0,(Settings!$B$8*T1233+Settings!$B$9*R1233+Settings!$B$10*S1233)/SUM(Settings!$B$8:$B$10),0)</f>
        <v>0</v>
      </c>
      <c r="V1233" s="56" t="str">
        <f aca="false">IF(U1233&gt;0,RANK(U1233,$U$2:$U$1780)+COUNTIF($U$2:U1233,U1233)-1,"")</f>
        <v/>
      </c>
      <c r="W1233" s="56" t="str">
        <f aca="false">IF(V1233="","",IF(V1233&lt;=Settings!$B$11,"1 - Fix first",IF(V1233&lt;=Settings!$B$12,"2 - Review","3 - Monitor")))</f>
        <v/>
      </c>
      <c r="X1233" s="56" t="str">
        <f aca="false">IF(AND(E1233&gt;=Settings!$B$4,F1233&gt;=Settings!$B$5,O1233&gt;=Settings!$B$6),"HIGH RATE","")</f>
        <v/>
      </c>
      <c r="Y1233" s="56" t="str">
        <f aca="false">IF(F1233&gt;0,RANK(F1233,$F$2:$F$1780)+COUNTIF($F$2:F1233,F1233)-1,"")</f>
        <v/>
      </c>
      <c r="Z1233" s="56" t="str">
        <f aca="false">IF(H1233&gt;0,RANK(H1233,$H$2:$H$1780)+COUNTIF($H$2:H1233,H1233)-1,"")</f>
        <v/>
      </c>
      <c r="AA1233" s="56" t="str">
        <f aca="false">IF(AC1233="","",RANK(AC1233,$AC$2:$AC$1780)+COUNTIF($AC$2:AC1233,AC1233)-1)</f>
        <v/>
      </c>
      <c r="AB1233" s="56" t="str">
        <f aca="false">IF(AD1233="","",RANK(AD1233,$AD$2:$AD$1780)+COUNTIF($AD$2:AD1233,AD1233)-1)</f>
        <v/>
      </c>
      <c r="AC1233" s="56" t="str">
        <f aca="false">IF(AND(F1233&gt;0,E1233&gt;=Settings!$B$4),J1233,"")</f>
        <v/>
      </c>
      <c r="AD1233" s="56" t="str">
        <f aca="false">IF(X1233="HIGH RATE",O1233,"")</f>
        <v/>
      </c>
    </row>
    <row r="1234" customFormat="false" ht="15" hidden="false" customHeight="false" outlineLevel="0" collapsed="false">
      <c r="A1234" s="56" t="s">
        <v>2609</v>
      </c>
      <c r="B1234" s="56" t="s">
        <v>2610</v>
      </c>
      <c r="C1234" s="56" t="s">
        <v>75</v>
      </c>
      <c r="D1234" s="56" t="str">
        <f aca="false">IFERROR(INDEX('Brand Map'!$B$4:$B$124,MATCH(C1234,'Brand Map'!$A$4:$A$124,0)),"Other")</f>
        <v>AURP</v>
      </c>
      <c r="E1234" s="57" t="n">
        <v>3</v>
      </c>
      <c r="F1234" s="57" t="n">
        <v>0</v>
      </c>
      <c r="G1234" s="58" t="n">
        <v>59.85</v>
      </c>
      <c r="H1234" s="58" t="n">
        <v>0</v>
      </c>
      <c r="I1234" s="58" t="n">
        <v>59.85</v>
      </c>
      <c r="J1234" s="32" t="n">
        <f aca="false">IF(E1234&gt;0,F1234/E1234,0)</f>
        <v>0</v>
      </c>
      <c r="K1234" s="32" t="n">
        <f aca="false">IF(G1234&gt;0,H1234/G1234,0)</f>
        <v>-0</v>
      </c>
      <c r="L1234" s="59" t="n">
        <f aca="false">H1234/Settings!$B$16</f>
        <v>-0</v>
      </c>
      <c r="M1234" s="59" t="n">
        <f aca="false">H1234/Settings!$B$20</f>
        <v>-0</v>
      </c>
      <c r="N1234" s="60" t="n">
        <f aca="false">E1234*Settings!$B$3</f>
        <v>0.0929584532394613</v>
      </c>
      <c r="O1234" s="60" t="n">
        <f aca="false">IF(E1234&gt;0,(F1234-N1234)/SQRT(E1234*Settings!$B$3*(1-Settings!$B$3)),0)</f>
        <v>-0.30972727558513</v>
      </c>
      <c r="P1234" s="60" t="n">
        <f aca="false">MAX(0,F1234-N1234)</f>
        <v>0</v>
      </c>
      <c r="Q1234" s="32" t="n">
        <f aca="false">(F1234+Settings!$B$7*Settings!$B$3)/(E1234+Settings!$B$7)</f>
        <v>0.0281692282543822</v>
      </c>
      <c r="R1234" s="61" t="n">
        <f aca="false">PERCENTRANK($H$2:$H$1780,H1234,6)</f>
        <v>0</v>
      </c>
      <c r="S1234" s="61" t="n">
        <f aca="false">PERCENTRANK($Q$2:$Q$1780,Q1234,6)</f>
        <v>0.294151</v>
      </c>
      <c r="T1234" s="61" t="n">
        <f aca="false">PERCENTRANK($F$2:$F$1780,F1234,6)</f>
        <v>0</v>
      </c>
      <c r="U1234" s="62" t="n">
        <f aca="false">IF(F1234&gt;0,(Settings!$B$8*T1234+Settings!$B$9*R1234+Settings!$B$10*S1234)/SUM(Settings!$B$8:$B$10),0)</f>
        <v>0</v>
      </c>
      <c r="V1234" s="56" t="str">
        <f aca="false">IF(U1234&gt;0,RANK(U1234,$U$2:$U$1780)+COUNTIF($U$2:U1234,U1234)-1,"")</f>
        <v/>
      </c>
      <c r="W1234" s="56" t="str">
        <f aca="false">IF(V1234="","",IF(V1234&lt;=Settings!$B$11,"1 - Fix first",IF(V1234&lt;=Settings!$B$12,"2 - Review","3 - Monitor")))</f>
        <v/>
      </c>
      <c r="X1234" s="56" t="str">
        <f aca="false">IF(AND(E1234&gt;=Settings!$B$4,F1234&gt;=Settings!$B$5,O1234&gt;=Settings!$B$6),"HIGH RATE","")</f>
        <v/>
      </c>
      <c r="Y1234" s="56" t="str">
        <f aca="false">IF(F1234&gt;0,RANK(F1234,$F$2:$F$1780)+COUNTIF($F$2:F1234,F1234)-1,"")</f>
        <v/>
      </c>
      <c r="Z1234" s="56" t="str">
        <f aca="false">IF(H1234&gt;0,RANK(H1234,$H$2:$H$1780)+COUNTIF($H$2:H1234,H1234)-1,"")</f>
        <v/>
      </c>
      <c r="AA1234" s="56" t="str">
        <f aca="false">IF(AC1234="","",RANK(AC1234,$AC$2:$AC$1780)+COUNTIF($AC$2:AC1234,AC1234)-1)</f>
        <v/>
      </c>
      <c r="AB1234" s="56" t="str">
        <f aca="false">IF(AD1234="","",RANK(AD1234,$AD$2:$AD$1780)+COUNTIF($AD$2:AD1234,AD1234)-1)</f>
        <v/>
      </c>
      <c r="AC1234" s="56" t="str">
        <f aca="false">IF(AND(F1234&gt;0,E1234&gt;=Settings!$B$4),J1234,"")</f>
        <v/>
      </c>
      <c r="AD1234" s="56" t="str">
        <f aca="false">IF(X1234="HIGH RATE",O1234,"")</f>
        <v/>
      </c>
    </row>
    <row r="1235" customFormat="false" ht="15" hidden="false" customHeight="false" outlineLevel="0" collapsed="false">
      <c r="A1235" s="56" t="s">
        <v>2611</v>
      </c>
      <c r="B1235" s="56" t="s">
        <v>937</v>
      </c>
      <c r="C1235" s="56" t="s">
        <v>75</v>
      </c>
      <c r="D1235" s="56" t="str">
        <f aca="false">IFERROR(INDEX('Brand Map'!$B$4:$B$124,MATCH(C1235,'Brand Map'!$A$4:$A$124,0)),"Other")</f>
        <v>AURP</v>
      </c>
      <c r="E1235" s="57" t="n">
        <v>1</v>
      </c>
      <c r="F1235" s="57" t="n">
        <v>0</v>
      </c>
      <c r="G1235" s="58" t="n">
        <v>26.95</v>
      </c>
      <c r="H1235" s="58" t="n">
        <v>0</v>
      </c>
      <c r="I1235" s="58" t="n">
        <v>26.95</v>
      </c>
      <c r="J1235" s="32" t="n">
        <f aca="false">IF(E1235&gt;0,F1235/E1235,0)</f>
        <v>0</v>
      </c>
      <c r="K1235" s="32" t="n">
        <f aca="false">IF(G1235&gt;0,H1235/G1235,0)</f>
        <v>-0</v>
      </c>
      <c r="L1235" s="59" t="n">
        <f aca="false">H1235/Settings!$B$16</f>
        <v>-0</v>
      </c>
      <c r="M1235" s="59" t="n">
        <f aca="false">H1235/Settings!$B$20</f>
        <v>-0</v>
      </c>
      <c r="N1235" s="60" t="n">
        <f aca="false">E1235*Settings!$B$3</f>
        <v>0.0309861510798204</v>
      </c>
      <c r="O1235" s="60" t="n">
        <f aca="false">IF(E1235&gt;0,(F1235-N1235)/SQRT(E1235*Settings!$B$3*(1-Settings!$B$3)),0)</f>
        <v>-0.178821125934444</v>
      </c>
      <c r="P1235" s="60" t="n">
        <f aca="false">MAX(0,F1235-N1235)</f>
        <v>0</v>
      </c>
      <c r="Q1235" s="32" t="n">
        <f aca="false">(F1235+Settings!$B$7*Settings!$B$3)/(E1235+Settings!$B$7)</f>
        <v>0.0299865978191811</v>
      </c>
      <c r="R1235" s="61" t="n">
        <f aca="false">PERCENTRANK($H$2:$H$1780,H1235,6)</f>
        <v>0</v>
      </c>
      <c r="S1235" s="61" t="n">
        <f aca="false">PERCENTRANK($Q$2:$Q$1780,Q1235,6)</f>
        <v>0.486502</v>
      </c>
      <c r="T1235" s="61" t="n">
        <f aca="false">PERCENTRANK($F$2:$F$1780,F1235,6)</f>
        <v>0</v>
      </c>
      <c r="U1235" s="62" t="n">
        <f aca="false">IF(F1235&gt;0,(Settings!$B$8*T1235+Settings!$B$9*R1235+Settings!$B$10*S1235)/SUM(Settings!$B$8:$B$10),0)</f>
        <v>0</v>
      </c>
      <c r="V1235" s="56" t="str">
        <f aca="false">IF(U1235&gt;0,RANK(U1235,$U$2:$U$1780)+COUNTIF($U$2:U1235,U1235)-1,"")</f>
        <v/>
      </c>
      <c r="W1235" s="56" t="str">
        <f aca="false">IF(V1235="","",IF(V1235&lt;=Settings!$B$11,"1 - Fix first",IF(V1235&lt;=Settings!$B$12,"2 - Review","3 - Monitor")))</f>
        <v/>
      </c>
      <c r="X1235" s="56" t="str">
        <f aca="false">IF(AND(E1235&gt;=Settings!$B$4,F1235&gt;=Settings!$B$5,O1235&gt;=Settings!$B$6),"HIGH RATE","")</f>
        <v/>
      </c>
      <c r="Y1235" s="56" t="str">
        <f aca="false">IF(F1235&gt;0,RANK(F1235,$F$2:$F$1780)+COUNTIF($F$2:F1235,F1235)-1,"")</f>
        <v/>
      </c>
      <c r="Z1235" s="56" t="str">
        <f aca="false">IF(H1235&gt;0,RANK(H1235,$H$2:$H$1780)+COUNTIF($H$2:H1235,H1235)-1,"")</f>
        <v/>
      </c>
      <c r="AA1235" s="56" t="str">
        <f aca="false">IF(AC1235="","",RANK(AC1235,$AC$2:$AC$1780)+COUNTIF($AC$2:AC1235,AC1235)-1)</f>
        <v/>
      </c>
      <c r="AB1235" s="56" t="str">
        <f aca="false">IF(AD1235="","",RANK(AD1235,$AD$2:$AD$1780)+COUNTIF($AD$2:AD1235,AD1235)-1)</f>
        <v/>
      </c>
      <c r="AC1235" s="56" t="str">
        <f aca="false">IF(AND(F1235&gt;0,E1235&gt;=Settings!$B$4),J1235,"")</f>
        <v/>
      </c>
      <c r="AD1235" s="56" t="str">
        <f aca="false">IF(X1235="HIGH RATE",O1235,"")</f>
        <v/>
      </c>
    </row>
    <row r="1236" customFormat="false" ht="15" hidden="false" customHeight="false" outlineLevel="0" collapsed="false">
      <c r="A1236" s="56" t="s">
        <v>2612</v>
      </c>
      <c r="B1236" s="56" t="s">
        <v>2613</v>
      </c>
      <c r="C1236" s="56" t="s">
        <v>75</v>
      </c>
      <c r="D1236" s="56" t="str">
        <f aca="false">IFERROR(INDEX('Brand Map'!$B$4:$B$124,MATCH(C1236,'Brand Map'!$A$4:$A$124,0)),"Other")</f>
        <v>AURP</v>
      </c>
      <c r="E1236" s="57" t="n">
        <v>1</v>
      </c>
      <c r="F1236" s="57" t="n">
        <v>0</v>
      </c>
      <c r="G1236" s="58" t="n">
        <v>14.95</v>
      </c>
      <c r="H1236" s="58" t="n">
        <v>0</v>
      </c>
      <c r="I1236" s="58" t="n">
        <v>14.95</v>
      </c>
      <c r="J1236" s="32" t="n">
        <f aca="false">IF(E1236&gt;0,F1236/E1236,0)</f>
        <v>0</v>
      </c>
      <c r="K1236" s="32" t="n">
        <f aca="false">IF(G1236&gt;0,H1236/G1236,0)</f>
        <v>-0</v>
      </c>
      <c r="L1236" s="59" t="n">
        <f aca="false">H1236/Settings!$B$16</f>
        <v>-0</v>
      </c>
      <c r="M1236" s="59" t="n">
        <f aca="false">H1236/Settings!$B$20</f>
        <v>-0</v>
      </c>
      <c r="N1236" s="60" t="n">
        <f aca="false">E1236*Settings!$B$3</f>
        <v>0.0309861510798204</v>
      </c>
      <c r="O1236" s="60" t="n">
        <f aca="false">IF(E1236&gt;0,(F1236-N1236)/SQRT(E1236*Settings!$B$3*(1-Settings!$B$3)),0)</f>
        <v>-0.178821125934444</v>
      </c>
      <c r="P1236" s="60" t="n">
        <f aca="false">MAX(0,F1236-N1236)</f>
        <v>0</v>
      </c>
      <c r="Q1236" s="32" t="n">
        <f aca="false">(F1236+Settings!$B$7*Settings!$B$3)/(E1236+Settings!$B$7)</f>
        <v>0.0299865978191811</v>
      </c>
      <c r="R1236" s="61" t="n">
        <f aca="false">PERCENTRANK($H$2:$H$1780,H1236,6)</f>
        <v>0</v>
      </c>
      <c r="S1236" s="61" t="n">
        <f aca="false">PERCENTRANK($Q$2:$Q$1780,Q1236,6)</f>
        <v>0.486502</v>
      </c>
      <c r="T1236" s="61" t="n">
        <f aca="false">PERCENTRANK($F$2:$F$1780,F1236,6)</f>
        <v>0</v>
      </c>
      <c r="U1236" s="62" t="n">
        <f aca="false">IF(F1236&gt;0,(Settings!$B$8*T1236+Settings!$B$9*R1236+Settings!$B$10*S1236)/SUM(Settings!$B$8:$B$10),0)</f>
        <v>0</v>
      </c>
      <c r="V1236" s="56" t="str">
        <f aca="false">IF(U1236&gt;0,RANK(U1236,$U$2:$U$1780)+COUNTIF($U$2:U1236,U1236)-1,"")</f>
        <v/>
      </c>
      <c r="W1236" s="56" t="str">
        <f aca="false">IF(V1236="","",IF(V1236&lt;=Settings!$B$11,"1 - Fix first",IF(V1236&lt;=Settings!$B$12,"2 - Review","3 - Monitor")))</f>
        <v/>
      </c>
      <c r="X1236" s="56" t="str">
        <f aca="false">IF(AND(E1236&gt;=Settings!$B$4,F1236&gt;=Settings!$B$5,O1236&gt;=Settings!$B$6),"HIGH RATE","")</f>
        <v/>
      </c>
      <c r="Y1236" s="56" t="str">
        <f aca="false">IF(F1236&gt;0,RANK(F1236,$F$2:$F$1780)+COUNTIF($F$2:F1236,F1236)-1,"")</f>
        <v/>
      </c>
      <c r="Z1236" s="56" t="str">
        <f aca="false">IF(H1236&gt;0,RANK(H1236,$H$2:$H$1780)+COUNTIF($H$2:H1236,H1236)-1,"")</f>
        <v/>
      </c>
      <c r="AA1236" s="56" t="str">
        <f aca="false">IF(AC1236="","",RANK(AC1236,$AC$2:$AC$1780)+COUNTIF($AC$2:AC1236,AC1236)-1)</f>
        <v/>
      </c>
      <c r="AB1236" s="56" t="str">
        <f aca="false">IF(AD1236="","",RANK(AD1236,$AD$2:$AD$1780)+COUNTIF($AD$2:AD1236,AD1236)-1)</f>
        <v/>
      </c>
      <c r="AC1236" s="56" t="str">
        <f aca="false">IF(AND(F1236&gt;0,E1236&gt;=Settings!$B$4),J1236,"")</f>
        <v/>
      </c>
      <c r="AD1236" s="56" t="str">
        <f aca="false">IF(X1236="HIGH RATE",O1236,"")</f>
        <v/>
      </c>
    </row>
    <row r="1237" customFormat="false" ht="15" hidden="false" customHeight="false" outlineLevel="0" collapsed="false">
      <c r="A1237" s="56" t="s">
        <v>2614</v>
      </c>
      <c r="B1237" s="56" t="s">
        <v>2615</v>
      </c>
      <c r="C1237" s="56" t="s">
        <v>75</v>
      </c>
      <c r="D1237" s="56" t="str">
        <f aca="false">IFERROR(INDEX('Brand Map'!$B$4:$B$124,MATCH(C1237,'Brand Map'!$A$4:$A$124,0)),"Other")</f>
        <v>AURP</v>
      </c>
      <c r="E1237" s="57" t="n">
        <v>3</v>
      </c>
      <c r="F1237" s="57" t="n">
        <v>0</v>
      </c>
      <c r="G1237" s="58" t="n">
        <v>44.85</v>
      </c>
      <c r="H1237" s="58" t="n">
        <v>0</v>
      </c>
      <c r="I1237" s="58" t="n">
        <v>44.85</v>
      </c>
      <c r="J1237" s="32" t="n">
        <f aca="false">IF(E1237&gt;0,F1237/E1237,0)</f>
        <v>0</v>
      </c>
      <c r="K1237" s="32" t="n">
        <f aca="false">IF(G1237&gt;0,H1237/G1237,0)</f>
        <v>-0</v>
      </c>
      <c r="L1237" s="59" t="n">
        <f aca="false">H1237/Settings!$B$16</f>
        <v>-0</v>
      </c>
      <c r="M1237" s="59" t="n">
        <f aca="false">H1237/Settings!$B$20</f>
        <v>-0</v>
      </c>
      <c r="N1237" s="60" t="n">
        <f aca="false">E1237*Settings!$B$3</f>
        <v>0.0929584532394613</v>
      </c>
      <c r="O1237" s="60" t="n">
        <f aca="false">IF(E1237&gt;0,(F1237-N1237)/SQRT(E1237*Settings!$B$3*(1-Settings!$B$3)),0)</f>
        <v>-0.30972727558513</v>
      </c>
      <c r="P1237" s="60" t="n">
        <f aca="false">MAX(0,F1237-N1237)</f>
        <v>0</v>
      </c>
      <c r="Q1237" s="32" t="n">
        <f aca="false">(F1237+Settings!$B$7*Settings!$B$3)/(E1237+Settings!$B$7)</f>
        <v>0.0281692282543822</v>
      </c>
      <c r="R1237" s="61" t="n">
        <f aca="false">PERCENTRANK($H$2:$H$1780,H1237,6)</f>
        <v>0</v>
      </c>
      <c r="S1237" s="61" t="n">
        <f aca="false">PERCENTRANK($Q$2:$Q$1780,Q1237,6)</f>
        <v>0.294151</v>
      </c>
      <c r="T1237" s="61" t="n">
        <f aca="false">PERCENTRANK($F$2:$F$1780,F1237,6)</f>
        <v>0</v>
      </c>
      <c r="U1237" s="62" t="n">
        <f aca="false">IF(F1237&gt;0,(Settings!$B$8*T1237+Settings!$B$9*R1237+Settings!$B$10*S1237)/SUM(Settings!$B$8:$B$10),0)</f>
        <v>0</v>
      </c>
      <c r="V1237" s="56" t="str">
        <f aca="false">IF(U1237&gt;0,RANK(U1237,$U$2:$U$1780)+COUNTIF($U$2:U1237,U1237)-1,"")</f>
        <v/>
      </c>
      <c r="W1237" s="56" t="str">
        <f aca="false">IF(V1237="","",IF(V1237&lt;=Settings!$B$11,"1 - Fix first",IF(V1237&lt;=Settings!$B$12,"2 - Review","3 - Monitor")))</f>
        <v/>
      </c>
      <c r="X1237" s="56" t="str">
        <f aca="false">IF(AND(E1237&gt;=Settings!$B$4,F1237&gt;=Settings!$B$5,O1237&gt;=Settings!$B$6),"HIGH RATE","")</f>
        <v/>
      </c>
      <c r="Y1237" s="56" t="str">
        <f aca="false">IF(F1237&gt;0,RANK(F1237,$F$2:$F$1780)+COUNTIF($F$2:F1237,F1237)-1,"")</f>
        <v/>
      </c>
      <c r="Z1237" s="56" t="str">
        <f aca="false">IF(H1237&gt;0,RANK(H1237,$H$2:$H$1780)+COUNTIF($H$2:H1237,H1237)-1,"")</f>
        <v/>
      </c>
      <c r="AA1237" s="56" t="str">
        <f aca="false">IF(AC1237="","",RANK(AC1237,$AC$2:$AC$1780)+COUNTIF($AC$2:AC1237,AC1237)-1)</f>
        <v/>
      </c>
      <c r="AB1237" s="56" t="str">
        <f aca="false">IF(AD1237="","",RANK(AD1237,$AD$2:$AD$1780)+COUNTIF($AD$2:AD1237,AD1237)-1)</f>
        <v/>
      </c>
      <c r="AC1237" s="56" t="str">
        <f aca="false">IF(AND(F1237&gt;0,E1237&gt;=Settings!$B$4),J1237,"")</f>
        <v/>
      </c>
      <c r="AD1237" s="56" t="str">
        <f aca="false">IF(X1237="HIGH RATE",O1237,"")</f>
        <v/>
      </c>
    </row>
    <row r="1238" customFormat="false" ht="15" hidden="false" customHeight="false" outlineLevel="0" collapsed="false">
      <c r="A1238" s="56" t="s">
        <v>2616</v>
      </c>
      <c r="B1238" s="56" t="s">
        <v>2617</v>
      </c>
      <c r="C1238" s="56" t="s">
        <v>653</v>
      </c>
      <c r="D1238" s="56" t="str">
        <f aca="false">IFERROR(INDEX('Brand Map'!$B$4:$B$124,MATCH(C1238,'Brand Map'!$A$4:$A$124,0)),"Other")</f>
        <v>Other (small prefixes)</v>
      </c>
      <c r="E1238" s="57" t="n">
        <v>3</v>
      </c>
      <c r="F1238" s="57" t="n">
        <v>0</v>
      </c>
      <c r="G1238" s="58" t="n">
        <v>305.45</v>
      </c>
      <c r="H1238" s="58" t="n">
        <v>0</v>
      </c>
      <c r="I1238" s="58" t="n">
        <v>305.45</v>
      </c>
      <c r="J1238" s="32" t="n">
        <f aca="false">IF(E1238&gt;0,F1238/E1238,0)</f>
        <v>0</v>
      </c>
      <c r="K1238" s="32" t="n">
        <f aca="false">IF(G1238&gt;0,H1238/G1238,0)</f>
        <v>-0</v>
      </c>
      <c r="L1238" s="59" t="n">
        <f aca="false">H1238/Settings!$B$16</f>
        <v>-0</v>
      </c>
      <c r="M1238" s="59" t="n">
        <f aca="false">H1238/Settings!$B$20</f>
        <v>-0</v>
      </c>
      <c r="N1238" s="60" t="n">
        <f aca="false">E1238*Settings!$B$3</f>
        <v>0.0929584532394613</v>
      </c>
      <c r="O1238" s="60" t="n">
        <f aca="false">IF(E1238&gt;0,(F1238-N1238)/SQRT(E1238*Settings!$B$3*(1-Settings!$B$3)),0)</f>
        <v>-0.30972727558513</v>
      </c>
      <c r="P1238" s="60" t="n">
        <f aca="false">MAX(0,F1238-N1238)</f>
        <v>0</v>
      </c>
      <c r="Q1238" s="32" t="n">
        <f aca="false">(F1238+Settings!$B$7*Settings!$B$3)/(E1238+Settings!$B$7)</f>
        <v>0.0281692282543822</v>
      </c>
      <c r="R1238" s="61" t="n">
        <f aca="false">PERCENTRANK($H$2:$H$1780,H1238,6)</f>
        <v>0</v>
      </c>
      <c r="S1238" s="61" t="n">
        <f aca="false">PERCENTRANK($Q$2:$Q$1780,Q1238,6)</f>
        <v>0.294151</v>
      </c>
      <c r="T1238" s="61" t="n">
        <f aca="false">PERCENTRANK($F$2:$F$1780,F1238,6)</f>
        <v>0</v>
      </c>
      <c r="U1238" s="62" t="n">
        <f aca="false">IF(F1238&gt;0,(Settings!$B$8*T1238+Settings!$B$9*R1238+Settings!$B$10*S1238)/SUM(Settings!$B$8:$B$10),0)</f>
        <v>0</v>
      </c>
      <c r="V1238" s="56" t="str">
        <f aca="false">IF(U1238&gt;0,RANK(U1238,$U$2:$U$1780)+COUNTIF($U$2:U1238,U1238)-1,"")</f>
        <v/>
      </c>
      <c r="W1238" s="56" t="str">
        <f aca="false">IF(V1238="","",IF(V1238&lt;=Settings!$B$11,"1 - Fix first",IF(V1238&lt;=Settings!$B$12,"2 - Review","3 - Monitor")))</f>
        <v/>
      </c>
      <c r="X1238" s="56" t="str">
        <f aca="false">IF(AND(E1238&gt;=Settings!$B$4,F1238&gt;=Settings!$B$5,O1238&gt;=Settings!$B$6),"HIGH RATE","")</f>
        <v/>
      </c>
      <c r="Y1238" s="56" t="str">
        <f aca="false">IF(F1238&gt;0,RANK(F1238,$F$2:$F$1780)+COUNTIF($F$2:F1238,F1238)-1,"")</f>
        <v/>
      </c>
      <c r="Z1238" s="56" t="str">
        <f aca="false">IF(H1238&gt;0,RANK(H1238,$H$2:$H$1780)+COUNTIF($H$2:H1238,H1238)-1,"")</f>
        <v/>
      </c>
      <c r="AA1238" s="56" t="str">
        <f aca="false">IF(AC1238="","",RANK(AC1238,$AC$2:$AC$1780)+COUNTIF($AC$2:AC1238,AC1238)-1)</f>
        <v/>
      </c>
      <c r="AB1238" s="56" t="str">
        <f aca="false">IF(AD1238="","",RANK(AD1238,$AD$2:$AD$1780)+COUNTIF($AD$2:AD1238,AD1238)-1)</f>
        <v/>
      </c>
      <c r="AC1238" s="56" t="str">
        <f aca="false">IF(AND(F1238&gt;0,E1238&gt;=Settings!$B$4),J1238,"")</f>
        <v/>
      </c>
      <c r="AD1238" s="56" t="str">
        <f aca="false">IF(X1238="HIGH RATE",O1238,"")</f>
        <v/>
      </c>
    </row>
    <row r="1239" customFormat="false" ht="15" hidden="false" customHeight="false" outlineLevel="0" collapsed="false">
      <c r="A1239" s="56" t="s">
        <v>2618</v>
      </c>
      <c r="B1239" s="56" t="s">
        <v>2619</v>
      </c>
      <c r="C1239" s="56" t="s">
        <v>653</v>
      </c>
      <c r="D1239" s="56" t="str">
        <f aca="false">IFERROR(INDEX('Brand Map'!$B$4:$B$124,MATCH(C1239,'Brand Map'!$A$4:$A$124,0)),"Other")</f>
        <v>Other (small prefixes)</v>
      </c>
      <c r="E1239" s="57" t="n">
        <v>23</v>
      </c>
      <c r="F1239" s="57" t="n">
        <v>0</v>
      </c>
      <c r="G1239" s="58" t="n">
        <v>2438.4</v>
      </c>
      <c r="H1239" s="58" t="n">
        <v>0</v>
      </c>
      <c r="I1239" s="58" t="n">
        <v>2348.95</v>
      </c>
      <c r="J1239" s="32" t="n">
        <f aca="false">IF(E1239&gt;0,F1239/E1239,0)</f>
        <v>0</v>
      </c>
      <c r="K1239" s="32" t="n">
        <f aca="false">IF(G1239&gt;0,H1239/G1239,0)</f>
        <v>-0</v>
      </c>
      <c r="L1239" s="59" t="n">
        <f aca="false">H1239/Settings!$B$16</f>
        <v>-0</v>
      </c>
      <c r="M1239" s="59" t="n">
        <f aca="false">H1239/Settings!$B$20</f>
        <v>-0</v>
      </c>
      <c r="N1239" s="60" t="n">
        <f aca="false">E1239*Settings!$B$3</f>
        <v>0.71268147483587</v>
      </c>
      <c r="O1239" s="60" t="n">
        <f aca="false">IF(E1239&gt;0,(F1239-N1239)/SQRT(E1239*Settings!$B$3*(1-Settings!$B$3)),0)</f>
        <v>-0.85759599279068</v>
      </c>
      <c r="P1239" s="60" t="n">
        <f aca="false">MAX(0,F1239-N1239)</f>
        <v>0</v>
      </c>
      <c r="Q1239" s="32" t="n">
        <f aca="false">(F1239+Settings!$B$7*Settings!$B$3)/(E1239+Settings!$B$7)</f>
        <v>0.0175393307998984</v>
      </c>
      <c r="R1239" s="61" t="n">
        <f aca="false">PERCENTRANK($H$2:$H$1780,H1239,6)</f>
        <v>0</v>
      </c>
      <c r="S1239" s="61" t="n">
        <f aca="false">PERCENTRANK($Q$2:$Q$1780,Q1239,6)</f>
        <v>0.0579303</v>
      </c>
      <c r="T1239" s="61" t="n">
        <f aca="false">PERCENTRANK($F$2:$F$1780,F1239,6)</f>
        <v>0</v>
      </c>
      <c r="U1239" s="62" t="n">
        <f aca="false">IF(F1239&gt;0,(Settings!$B$8*T1239+Settings!$B$9*R1239+Settings!$B$10*S1239)/SUM(Settings!$B$8:$B$10),0)</f>
        <v>0</v>
      </c>
      <c r="V1239" s="56" t="str">
        <f aca="false">IF(U1239&gt;0,RANK(U1239,$U$2:$U$1780)+COUNTIF($U$2:U1239,U1239)-1,"")</f>
        <v/>
      </c>
      <c r="W1239" s="56" t="str">
        <f aca="false">IF(V1239="","",IF(V1239&lt;=Settings!$B$11,"1 - Fix first",IF(V1239&lt;=Settings!$B$12,"2 - Review","3 - Monitor")))</f>
        <v/>
      </c>
      <c r="X1239" s="56" t="str">
        <f aca="false">IF(AND(E1239&gt;=Settings!$B$4,F1239&gt;=Settings!$B$5,O1239&gt;=Settings!$B$6),"HIGH RATE","")</f>
        <v/>
      </c>
      <c r="Y1239" s="56" t="str">
        <f aca="false">IF(F1239&gt;0,RANK(F1239,$F$2:$F$1780)+COUNTIF($F$2:F1239,F1239)-1,"")</f>
        <v/>
      </c>
      <c r="Z1239" s="56" t="str">
        <f aca="false">IF(H1239&gt;0,RANK(H1239,$H$2:$H$1780)+COUNTIF($H$2:H1239,H1239)-1,"")</f>
        <v/>
      </c>
      <c r="AA1239" s="56" t="str">
        <f aca="false">IF(AC1239="","",RANK(AC1239,$AC$2:$AC$1780)+COUNTIF($AC$2:AC1239,AC1239)-1)</f>
        <v/>
      </c>
      <c r="AB1239" s="56" t="str">
        <f aca="false">IF(AD1239="","",RANK(AD1239,$AD$2:$AD$1780)+COUNTIF($AD$2:AD1239,AD1239)-1)</f>
        <v/>
      </c>
      <c r="AC1239" s="56" t="str">
        <f aca="false">IF(AND(F1239&gt;0,E1239&gt;=Settings!$B$4),J1239,"")</f>
        <v/>
      </c>
      <c r="AD1239" s="56" t="str">
        <f aca="false">IF(X1239="HIGH RATE",O1239,"")</f>
        <v/>
      </c>
    </row>
    <row r="1240" customFormat="false" ht="15" hidden="false" customHeight="false" outlineLevel="0" collapsed="false">
      <c r="A1240" s="56" t="s">
        <v>2620</v>
      </c>
      <c r="B1240" s="56" t="s">
        <v>1189</v>
      </c>
      <c r="C1240" s="56" t="s">
        <v>680</v>
      </c>
      <c r="D1240" s="56" t="str">
        <f aca="false">IFERROR(INDEX('Brand Map'!$B$4:$B$124,MATCH(C1240,'Brand Map'!$A$4:$A$124,0)),"Other")</f>
        <v>Other (small prefixes)</v>
      </c>
      <c r="E1240" s="57" t="n">
        <v>1</v>
      </c>
      <c r="F1240" s="57" t="n">
        <v>0</v>
      </c>
      <c r="G1240" s="58" t="n">
        <v>84.95</v>
      </c>
      <c r="H1240" s="58" t="n">
        <v>0</v>
      </c>
      <c r="I1240" s="58" t="n">
        <v>84.95</v>
      </c>
      <c r="J1240" s="32" t="n">
        <f aca="false">IF(E1240&gt;0,F1240/E1240,0)</f>
        <v>0</v>
      </c>
      <c r="K1240" s="32" t="n">
        <f aca="false">IF(G1240&gt;0,H1240/G1240,0)</f>
        <v>-0</v>
      </c>
      <c r="L1240" s="59" t="n">
        <f aca="false">H1240/Settings!$B$16</f>
        <v>-0</v>
      </c>
      <c r="M1240" s="59" t="n">
        <f aca="false">H1240/Settings!$B$20</f>
        <v>-0</v>
      </c>
      <c r="N1240" s="60" t="n">
        <f aca="false">E1240*Settings!$B$3</f>
        <v>0.0309861510798204</v>
      </c>
      <c r="O1240" s="60" t="n">
        <f aca="false">IF(E1240&gt;0,(F1240-N1240)/SQRT(E1240*Settings!$B$3*(1-Settings!$B$3)),0)</f>
        <v>-0.178821125934444</v>
      </c>
      <c r="P1240" s="60" t="n">
        <f aca="false">MAX(0,F1240-N1240)</f>
        <v>0</v>
      </c>
      <c r="Q1240" s="32" t="n">
        <f aca="false">(F1240+Settings!$B$7*Settings!$B$3)/(E1240+Settings!$B$7)</f>
        <v>0.0299865978191811</v>
      </c>
      <c r="R1240" s="61" t="n">
        <f aca="false">PERCENTRANK($H$2:$H$1780,H1240,6)</f>
        <v>0</v>
      </c>
      <c r="S1240" s="61" t="n">
        <f aca="false">PERCENTRANK($Q$2:$Q$1780,Q1240,6)</f>
        <v>0.486502</v>
      </c>
      <c r="T1240" s="61" t="n">
        <f aca="false">PERCENTRANK($F$2:$F$1780,F1240,6)</f>
        <v>0</v>
      </c>
      <c r="U1240" s="62" t="n">
        <f aca="false">IF(F1240&gt;0,(Settings!$B$8*T1240+Settings!$B$9*R1240+Settings!$B$10*S1240)/SUM(Settings!$B$8:$B$10),0)</f>
        <v>0</v>
      </c>
      <c r="V1240" s="56" t="str">
        <f aca="false">IF(U1240&gt;0,RANK(U1240,$U$2:$U$1780)+COUNTIF($U$2:U1240,U1240)-1,"")</f>
        <v/>
      </c>
      <c r="W1240" s="56" t="str">
        <f aca="false">IF(V1240="","",IF(V1240&lt;=Settings!$B$11,"1 - Fix first",IF(V1240&lt;=Settings!$B$12,"2 - Review","3 - Monitor")))</f>
        <v/>
      </c>
      <c r="X1240" s="56" t="str">
        <f aca="false">IF(AND(E1240&gt;=Settings!$B$4,F1240&gt;=Settings!$B$5,O1240&gt;=Settings!$B$6),"HIGH RATE","")</f>
        <v/>
      </c>
      <c r="Y1240" s="56" t="str">
        <f aca="false">IF(F1240&gt;0,RANK(F1240,$F$2:$F$1780)+COUNTIF($F$2:F1240,F1240)-1,"")</f>
        <v/>
      </c>
      <c r="Z1240" s="56" t="str">
        <f aca="false">IF(H1240&gt;0,RANK(H1240,$H$2:$H$1780)+COUNTIF($H$2:H1240,H1240)-1,"")</f>
        <v/>
      </c>
      <c r="AA1240" s="56" t="str">
        <f aca="false">IF(AC1240="","",RANK(AC1240,$AC$2:$AC$1780)+COUNTIF($AC$2:AC1240,AC1240)-1)</f>
        <v/>
      </c>
      <c r="AB1240" s="56" t="str">
        <f aca="false">IF(AD1240="","",RANK(AD1240,$AD$2:$AD$1780)+COUNTIF($AD$2:AD1240,AD1240)-1)</f>
        <v/>
      </c>
      <c r="AC1240" s="56" t="str">
        <f aca="false">IF(AND(F1240&gt;0,E1240&gt;=Settings!$B$4),J1240,"")</f>
        <v/>
      </c>
      <c r="AD1240" s="56" t="str">
        <f aca="false">IF(X1240="HIGH RATE",O1240,"")</f>
        <v/>
      </c>
    </row>
    <row r="1241" customFormat="false" ht="15" hidden="false" customHeight="false" outlineLevel="0" collapsed="false">
      <c r="A1241" s="56" t="s">
        <v>2621</v>
      </c>
      <c r="B1241" s="56" t="s">
        <v>1189</v>
      </c>
      <c r="C1241" s="56" t="s">
        <v>680</v>
      </c>
      <c r="D1241" s="56" t="str">
        <f aca="false">IFERROR(INDEX('Brand Map'!$B$4:$B$124,MATCH(C1241,'Brand Map'!$A$4:$A$124,0)),"Other")</f>
        <v>Other (small prefixes)</v>
      </c>
      <c r="E1241" s="57" t="n">
        <v>2</v>
      </c>
      <c r="F1241" s="57" t="n">
        <v>0</v>
      </c>
      <c r="G1241" s="58" t="n">
        <v>205.9</v>
      </c>
      <c r="H1241" s="58" t="n">
        <v>0</v>
      </c>
      <c r="I1241" s="58" t="n">
        <v>205.9</v>
      </c>
      <c r="J1241" s="32" t="n">
        <f aca="false">IF(E1241&gt;0,F1241/E1241,0)</f>
        <v>0</v>
      </c>
      <c r="K1241" s="32" t="n">
        <f aca="false">IF(G1241&gt;0,H1241/G1241,0)</f>
        <v>-0</v>
      </c>
      <c r="L1241" s="59" t="n">
        <f aca="false">H1241/Settings!$B$16</f>
        <v>-0</v>
      </c>
      <c r="M1241" s="59" t="n">
        <f aca="false">H1241/Settings!$B$20</f>
        <v>-0</v>
      </c>
      <c r="N1241" s="60" t="n">
        <f aca="false">E1241*Settings!$B$3</f>
        <v>0.0619723021596408</v>
      </c>
      <c r="O1241" s="60" t="n">
        <f aca="false">IF(E1241&gt;0,(F1241-N1241)/SQRT(E1241*Settings!$B$3*(1-Settings!$B$3)),0)</f>
        <v>-0.252891261535318</v>
      </c>
      <c r="P1241" s="60" t="n">
        <f aca="false">MAX(0,F1241-N1241)</f>
        <v>0</v>
      </c>
      <c r="Q1241" s="32" t="n">
        <f aca="false">(F1241+Settings!$B$7*Settings!$B$3)/(E1241+Settings!$B$7)</f>
        <v>0.0290495166373316</v>
      </c>
      <c r="R1241" s="61" t="n">
        <f aca="false">PERCENTRANK($H$2:$H$1780,H1241,6)</f>
        <v>0</v>
      </c>
      <c r="S1241" s="61" t="n">
        <f aca="false">PERCENTRANK($Q$2:$Q$1780,Q1241,6)</f>
        <v>0.365579</v>
      </c>
      <c r="T1241" s="61" t="n">
        <f aca="false">PERCENTRANK($F$2:$F$1780,F1241,6)</f>
        <v>0</v>
      </c>
      <c r="U1241" s="62" t="n">
        <f aca="false">IF(F1241&gt;0,(Settings!$B$8*T1241+Settings!$B$9*R1241+Settings!$B$10*S1241)/SUM(Settings!$B$8:$B$10),0)</f>
        <v>0</v>
      </c>
      <c r="V1241" s="56" t="str">
        <f aca="false">IF(U1241&gt;0,RANK(U1241,$U$2:$U$1780)+COUNTIF($U$2:U1241,U1241)-1,"")</f>
        <v/>
      </c>
      <c r="W1241" s="56" t="str">
        <f aca="false">IF(V1241="","",IF(V1241&lt;=Settings!$B$11,"1 - Fix first",IF(V1241&lt;=Settings!$B$12,"2 - Review","3 - Monitor")))</f>
        <v/>
      </c>
      <c r="X1241" s="56" t="str">
        <f aca="false">IF(AND(E1241&gt;=Settings!$B$4,F1241&gt;=Settings!$B$5,O1241&gt;=Settings!$B$6),"HIGH RATE","")</f>
        <v/>
      </c>
      <c r="Y1241" s="56" t="str">
        <f aca="false">IF(F1241&gt;0,RANK(F1241,$F$2:$F$1780)+COUNTIF($F$2:F1241,F1241)-1,"")</f>
        <v/>
      </c>
      <c r="Z1241" s="56" t="str">
        <f aca="false">IF(H1241&gt;0,RANK(H1241,$H$2:$H$1780)+COUNTIF($H$2:H1241,H1241)-1,"")</f>
        <v/>
      </c>
      <c r="AA1241" s="56" t="str">
        <f aca="false">IF(AC1241="","",RANK(AC1241,$AC$2:$AC$1780)+COUNTIF($AC$2:AC1241,AC1241)-1)</f>
        <v/>
      </c>
      <c r="AB1241" s="56" t="str">
        <f aca="false">IF(AD1241="","",RANK(AD1241,$AD$2:$AD$1780)+COUNTIF($AD$2:AD1241,AD1241)-1)</f>
        <v/>
      </c>
      <c r="AC1241" s="56" t="str">
        <f aca="false">IF(AND(F1241&gt;0,E1241&gt;=Settings!$B$4),J1241,"")</f>
        <v/>
      </c>
      <c r="AD1241" s="56" t="str">
        <f aca="false">IF(X1241="HIGH RATE",O1241,"")</f>
        <v/>
      </c>
    </row>
    <row r="1242" customFormat="false" ht="15" hidden="false" customHeight="false" outlineLevel="0" collapsed="false">
      <c r="A1242" s="56" t="s">
        <v>2622</v>
      </c>
      <c r="B1242" s="56" t="s">
        <v>682</v>
      </c>
      <c r="C1242" s="56" t="s">
        <v>680</v>
      </c>
      <c r="D1242" s="56" t="str">
        <f aca="false">IFERROR(INDEX('Brand Map'!$B$4:$B$124,MATCH(C1242,'Brand Map'!$A$4:$A$124,0)),"Other")</f>
        <v>Other (small prefixes)</v>
      </c>
      <c r="E1242" s="57" t="n">
        <v>1</v>
      </c>
      <c r="F1242" s="57" t="n">
        <v>0</v>
      </c>
      <c r="G1242" s="58" t="n">
        <v>64.95</v>
      </c>
      <c r="H1242" s="58" t="n">
        <v>0</v>
      </c>
      <c r="I1242" s="58" t="n">
        <v>64.95</v>
      </c>
      <c r="J1242" s="32" t="n">
        <f aca="false">IF(E1242&gt;0,F1242/E1242,0)</f>
        <v>0</v>
      </c>
      <c r="K1242" s="32" t="n">
        <f aca="false">IF(G1242&gt;0,H1242/G1242,0)</f>
        <v>-0</v>
      </c>
      <c r="L1242" s="59" t="n">
        <f aca="false">H1242/Settings!$B$16</f>
        <v>-0</v>
      </c>
      <c r="M1242" s="59" t="n">
        <f aca="false">H1242/Settings!$B$20</f>
        <v>-0</v>
      </c>
      <c r="N1242" s="60" t="n">
        <f aca="false">E1242*Settings!$B$3</f>
        <v>0.0309861510798204</v>
      </c>
      <c r="O1242" s="60" t="n">
        <f aca="false">IF(E1242&gt;0,(F1242-N1242)/SQRT(E1242*Settings!$B$3*(1-Settings!$B$3)),0)</f>
        <v>-0.178821125934444</v>
      </c>
      <c r="P1242" s="60" t="n">
        <f aca="false">MAX(0,F1242-N1242)</f>
        <v>0</v>
      </c>
      <c r="Q1242" s="32" t="n">
        <f aca="false">(F1242+Settings!$B$7*Settings!$B$3)/(E1242+Settings!$B$7)</f>
        <v>0.0299865978191811</v>
      </c>
      <c r="R1242" s="61" t="n">
        <f aca="false">PERCENTRANK($H$2:$H$1780,H1242,6)</f>
        <v>0</v>
      </c>
      <c r="S1242" s="61" t="n">
        <f aca="false">PERCENTRANK($Q$2:$Q$1780,Q1242,6)</f>
        <v>0.486502</v>
      </c>
      <c r="T1242" s="61" t="n">
        <f aca="false">PERCENTRANK($F$2:$F$1780,F1242,6)</f>
        <v>0</v>
      </c>
      <c r="U1242" s="62" t="n">
        <f aca="false">IF(F1242&gt;0,(Settings!$B$8*T1242+Settings!$B$9*R1242+Settings!$B$10*S1242)/SUM(Settings!$B$8:$B$10),0)</f>
        <v>0</v>
      </c>
      <c r="V1242" s="56" t="str">
        <f aca="false">IF(U1242&gt;0,RANK(U1242,$U$2:$U$1780)+COUNTIF($U$2:U1242,U1242)-1,"")</f>
        <v/>
      </c>
      <c r="W1242" s="56" t="str">
        <f aca="false">IF(V1242="","",IF(V1242&lt;=Settings!$B$11,"1 - Fix first",IF(V1242&lt;=Settings!$B$12,"2 - Review","3 - Monitor")))</f>
        <v/>
      </c>
      <c r="X1242" s="56" t="str">
        <f aca="false">IF(AND(E1242&gt;=Settings!$B$4,F1242&gt;=Settings!$B$5,O1242&gt;=Settings!$B$6),"HIGH RATE","")</f>
        <v/>
      </c>
      <c r="Y1242" s="56" t="str">
        <f aca="false">IF(F1242&gt;0,RANK(F1242,$F$2:$F$1780)+COUNTIF($F$2:F1242,F1242)-1,"")</f>
        <v/>
      </c>
      <c r="Z1242" s="56" t="str">
        <f aca="false">IF(H1242&gt;0,RANK(H1242,$H$2:$H$1780)+COUNTIF($H$2:H1242,H1242)-1,"")</f>
        <v/>
      </c>
      <c r="AA1242" s="56" t="str">
        <f aca="false">IF(AC1242="","",RANK(AC1242,$AC$2:$AC$1780)+COUNTIF($AC$2:AC1242,AC1242)-1)</f>
        <v/>
      </c>
      <c r="AB1242" s="56" t="str">
        <f aca="false">IF(AD1242="","",RANK(AD1242,$AD$2:$AD$1780)+COUNTIF($AD$2:AD1242,AD1242)-1)</f>
        <v/>
      </c>
      <c r="AC1242" s="56" t="str">
        <f aca="false">IF(AND(F1242&gt;0,E1242&gt;=Settings!$B$4),J1242,"")</f>
        <v/>
      </c>
      <c r="AD1242" s="56" t="str">
        <f aca="false">IF(X1242="HIGH RATE",O1242,"")</f>
        <v/>
      </c>
    </row>
    <row r="1243" customFormat="false" ht="15" hidden="false" customHeight="false" outlineLevel="0" collapsed="false">
      <c r="A1243" s="56" t="s">
        <v>2623</v>
      </c>
      <c r="B1243" s="56" t="s">
        <v>682</v>
      </c>
      <c r="C1243" s="56" t="s">
        <v>680</v>
      </c>
      <c r="D1243" s="56" t="str">
        <f aca="false">IFERROR(INDEX('Brand Map'!$B$4:$B$124,MATCH(C1243,'Brand Map'!$A$4:$A$124,0)),"Other")</f>
        <v>Other (small prefixes)</v>
      </c>
      <c r="E1243" s="57" t="n">
        <v>2</v>
      </c>
      <c r="F1243" s="57" t="n">
        <v>0</v>
      </c>
      <c r="G1243" s="58" t="n">
        <v>149.9</v>
      </c>
      <c r="H1243" s="58" t="n">
        <v>0</v>
      </c>
      <c r="I1243" s="58" t="n">
        <v>149.9</v>
      </c>
      <c r="J1243" s="32" t="n">
        <f aca="false">IF(E1243&gt;0,F1243/E1243,0)</f>
        <v>0</v>
      </c>
      <c r="K1243" s="32" t="n">
        <f aca="false">IF(G1243&gt;0,H1243/G1243,0)</f>
        <v>-0</v>
      </c>
      <c r="L1243" s="59" t="n">
        <f aca="false">H1243/Settings!$B$16</f>
        <v>-0</v>
      </c>
      <c r="M1243" s="59" t="n">
        <f aca="false">H1243/Settings!$B$20</f>
        <v>-0</v>
      </c>
      <c r="N1243" s="60" t="n">
        <f aca="false">E1243*Settings!$B$3</f>
        <v>0.0619723021596408</v>
      </c>
      <c r="O1243" s="60" t="n">
        <f aca="false">IF(E1243&gt;0,(F1243-N1243)/SQRT(E1243*Settings!$B$3*(1-Settings!$B$3)),0)</f>
        <v>-0.252891261535318</v>
      </c>
      <c r="P1243" s="60" t="n">
        <f aca="false">MAX(0,F1243-N1243)</f>
        <v>0</v>
      </c>
      <c r="Q1243" s="32" t="n">
        <f aca="false">(F1243+Settings!$B$7*Settings!$B$3)/(E1243+Settings!$B$7)</f>
        <v>0.0290495166373316</v>
      </c>
      <c r="R1243" s="61" t="n">
        <f aca="false">PERCENTRANK($H$2:$H$1780,H1243,6)</f>
        <v>0</v>
      </c>
      <c r="S1243" s="61" t="n">
        <f aca="false">PERCENTRANK($Q$2:$Q$1780,Q1243,6)</f>
        <v>0.365579</v>
      </c>
      <c r="T1243" s="61" t="n">
        <f aca="false">PERCENTRANK($F$2:$F$1780,F1243,6)</f>
        <v>0</v>
      </c>
      <c r="U1243" s="62" t="n">
        <f aca="false">IF(F1243&gt;0,(Settings!$B$8*T1243+Settings!$B$9*R1243+Settings!$B$10*S1243)/SUM(Settings!$B$8:$B$10),0)</f>
        <v>0</v>
      </c>
      <c r="V1243" s="56" t="str">
        <f aca="false">IF(U1243&gt;0,RANK(U1243,$U$2:$U$1780)+COUNTIF($U$2:U1243,U1243)-1,"")</f>
        <v/>
      </c>
      <c r="W1243" s="56" t="str">
        <f aca="false">IF(V1243="","",IF(V1243&lt;=Settings!$B$11,"1 - Fix first",IF(V1243&lt;=Settings!$B$12,"2 - Review","3 - Monitor")))</f>
        <v/>
      </c>
      <c r="X1243" s="56" t="str">
        <f aca="false">IF(AND(E1243&gt;=Settings!$B$4,F1243&gt;=Settings!$B$5,O1243&gt;=Settings!$B$6),"HIGH RATE","")</f>
        <v/>
      </c>
      <c r="Y1243" s="56" t="str">
        <f aca="false">IF(F1243&gt;0,RANK(F1243,$F$2:$F$1780)+COUNTIF($F$2:F1243,F1243)-1,"")</f>
        <v/>
      </c>
      <c r="Z1243" s="56" t="str">
        <f aca="false">IF(H1243&gt;0,RANK(H1243,$H$2:$H$1780)+COUNTIF($H$2:H1243,H1243)-1,"")</f>
        <v/>
      </c>
      <c r="AA1243" s="56" t="str">
        <f aca="false">IF(AC1243="","",RANK(AC1243,$AC$2:$AC$1780)+COUNTIF($AC$2:AC1243,AC1243)-1)</f>
        <v/>
      </c>
      <c r="AB1243" s="56" t="str">
        <f aca="false">IF(AD1243="","",RANK(AD1243,$AD$2:$AD$1780)+COUNTIF($AD$2:AD1243,AD1243)-1)</f>
        <v/>
      </c>
      <c r="AC1243" s="56" t="str">
        <f aca="false">IF(AND(F1243&gt;0,E1243&gt;=Settings!$B$4),J1243,"")</f>
        <v/>
      </c>
      <c r="AD1243" s="56" t="str">
        <f aca="false">IF(X1243="HIGH RATE",O1243,"")</f>
        <v/>
      </c>
    </row>
    <row r="1244" customFormat="false" ht="15" hidden="false" customHeight="false" outlineLevel="0" collapsed="false">
      <c r="A1244" s="56" t="s">
        <v>2624</v>
      </c>
      <c r="B1244" s="56" t="s">
        <v>2625</v>
      </c>
      <c r="C1244" s="56" t="s">
        <v>680</v>
      </c>
      <c r="D1244" s="56" t="str">
        <f aca="false">IFERROR(INDEX('Brand Map'!$B$4:$B$124,MATCH(C1244,'Brand Map'!$A$4:$A$124,0)),"Other")</f>
        <v>Other (small prefixes)</v>
      </c>
      <c r="E1244" s="57" t="n">
        <v>22</v>
      </c>
      <c r="F1244" s="57" t="n">
        <v>0</v>
      </c>
      <c r="G1244" s="58" t="n">
        <v>1053.9</v>
      </c>
      <c r="H1244" s="58" t="n">
        <v>0</v>
      </c>
      <c r="I1244" s="58" t="n">
        <v>1053.9</v>
      </c>
      <c r="J1244" s="32" t="n">
        <f aca="false">IF(E1244&gt;0,F1244/E1244,0)</f>
        <v>0</v>
      </c>
      <c r="K1244" s="32" t="n">
        <f aca="false">IF(G1244&gt;0,H1244/G1244,0)</f>
        <v>-0</v>
      </c>
      <c r="L1244" s="59" t="n">
        <f aca="false">H1244/Settings!$B$16</f>
        <v>-0</v>
      </c>
      <c r="M1244" s="59" t="n">
        <f aca="false">H1244/Settings!$B$20</f>
        <v>-0</v>
      </c>
      <c r="N1244" s="60" t="n">
        <f aca="false">E1244*Settings!$B$3</f>
        <v>0.681695323756049</v>
      </c>
      <c r="O1244" s="60" t="n">
        <f aca="false">IF(E1244&gt;0,(F1244-N1244)/SQRT(E1244*Settings!$B$3*(1-Settings!$B$3)),0)</f>
        <v>-0.838745427272287</v>
      </c>
      <c r="P1244" s="60" t="n">
        <f aca="false">MAX(0,F1244-N1244)</f>
        <v>0</v>
      </c>
      <c r="Q1244" s="32" t="n">
        <f aca="false">(F1244+Settings!$B$7*Settings!$B$3)/(E1244+Settings!$B$7)</f>
        <v>0.0178766256229733</v>
      </c>
      <c r="R1244" s="61" t="n">
        <f aca="false">PERCENTRANK($H$2:$H$1780,H1244,6)</f>
        <v>0</v>
      </c>
      <c r="S1244" s="61" t="n">
        <f aca="false">PERCENTRANK($Q$2:$Q$1780,Q1244,6)</f>
        <v>0.0658043</v>
      </c>
      <c r="T1244" s="61" t="n">
        <f aca="false">PERCENTRANK($F$2:$F$1780,F1244,6)</f>
        <v>0</v>
      </c>
      <c r="U1244" s="62" t="n">
        <f aca="false">IF(F1244&gt;0,(Settings!$B$8*T1244+Settings!$B$9*R1244+Settings!$B$10*S1244)/SUM(Settings!$B$8:$B$10),0)</f>
        <v>0</v>
      </c>
      <c r="V1244" s="56" t="str">
        <f aca="false">IF(U1244&gt;0,RANK(U1244,$U$2:$U$1780)+COUNTIF($U$2:U1244,U1244)-1,"")</f>
        <v/>
      </c>
      <c r="W1244" s="56" t="str">
        <f aca="false">IF(V1244="","",IF(V1244&lt;=Settings!$B$11,"1 - Fix first",IF(V1244&lt;=Settings!$B$12,"2 - Review","3 - Monitor")))</f>
        <v/>
      </c>
      <c r="X1244" s="56" t="str">
        <f aca="false">IF(AND(E1244&gt;=Settings!$B$4,F1244&gt;=Settings!$B$5,O1244&gt;=Settings!$B$6),"HIGH RATE","")</f>
        <v/>
      </c>
      <c r="Y1244" s="56" t="str">
        <f aca="false">IF(F1244&gt;0,RANK(F1244,$F$2:$F$1780)+COUNTIF($F$2:F1244,F1244)-1,"")</f>
        <v/>
      </c>
      <c r="Z1244" s="56" t="str">
        <f aca="false">IF(H1244&gt;0,RANK(H1244,$H$2:$H$1780)+COUNTIF($H$2:H1244,H1244)-1,"")</f>
        <v/>
      </c>
      <c r="AA1244" s="56" t="str">
        <f aca="false">IF(AC1244="","",RANK(AC1244,$AC$2:$AC$1780)+COUNTIF($AC$2:AC1244,AC1244)-1)</f>
        <v/>
      </c>
      <c r="AB1244" s="56" t="str">
        <f aca="false">IF(AD1244="","",RANK(AD1244,$AD$2:$AD$1780)+COUNTIF($AD$2:AD1244,AD1244)-1)</f>
        <v/>
      </c>
      <c r="AC1244" s="56" t="str">
        <f aca="false">IF(AND(F1244&gt;0,E1244&gt;=Settings!$B$4),J1244,"")</f>
        <v/>
      </c>
      <c r="AD1244" s="56" t="str">
        <f aca="false">IF(X1244="HIGH RATE",O1244,"")</f>
        <v/>
      </c>
    </row>
    <row r="1245" customFormat="false" ht="15" hidden="false" customHeight="false" outlineLevel="0" collapsed="false">
      <c r="A1245" s="56" t="s">
        <v>2626</v>
      </c>
      <c r="B1245" s="56" t="s">
        <v>2625</v>
      </c>
      <c r="C1245" s="56" t="s">
        <v>680</v>
      </c>
      <c r="D1245" s="56" t="str">
        <f aca="false">IFERROR(INDEX('Brand Map'!$B$4:$B$124,MATCH(C1245,'Brand Map'!$A$4:$A$124,0)),"Other")</f>
        <v>Other (small prefixes)</v>
      </c>
      <c r="E1245" s="57" t="n">
        <v>7</v>
      </c>
      <c r="F1245" s="57" t="n">
        <v>0</v>
      </c>
      <c r="G1245" s="58" t="n">
        <v>424.65</v>
      </c>
      <c r="H1245" s="58" t="n">
        <v>0</v>
      </c>
      <c r="I1245" s="58" t="n">
        <v>424.65</v>
      </c>
      <c r="J1245" s="32" t="n">
        <f aca="false">IF(E1245&gt;0,F1245/E1245,0)</f>
        <v>0</v>
      </c>
      <c r="K1245" s="32" t="n">
        <f aca="false">IF(G1245&gt;0,H1245/G1245,0)</f>
        <v>-0</v>
      </c>
      <c r="L1245" s="59" t="n">
        <f aca="false">H1245/Settings!$B$16</f>
        <v>-0</v>
      </c>
      <c r="M1245" s="59" t="n">
        <f aca="false">H1245/Settings!$B$20</f>
        <v>-0</v>
      </c>
      <c r="N1245" s="60" t="n">
        <f aca="false">E1245*Settings!$B$3</f>
        <v>0.216903057558743</v>
      </c>
      <c r="O1245" s="60" t="n">
        <f aca="false">IF(E1245&gt;0,(F1245-N1245)/SQRT(E1245*Settings!$B$3*(1-Settings!$B$3)),0)</f>
        <v>-0.473116228387102</v>
      </c>
      <c r="P1245" s="60" t="n">
        <f aca="false">MAX(0,F1245-N1245)</f>
        <v>0</v>
      </c>
      <c r="Q1245" s="32" t="n">
        <f aca="false">(F1245+Settings!$B$7*Settings!$B$3)/(E1245+Settings!$B$7)</f>
        <v>0.0251239062809355</v>
      </c>
      <c r="R1245" s="61" t="n">
        <f aca="false">PERCENTRANK($H$2:$H$1780,H1245,6)</f>
        <v>0</v>
      </c>
      <c r="S1245" s="61" t="n">
        <f aca="false">PERCENTRANK($Q$2:$Q$1780,Q1245,6)</f>
        <v>0.168166</v>
      </c>
      <c r="T1245" s="61" t="n">
        <f aca="false">PERCENTRANK($F$2:$F$1780,F1245,6)</f>
        <v>0</v>
      </c>
      <c r="U1245" s="62" t="n">
        <f aca="false">IF(F1245&gt;0,(Settings!$B$8*T1245+Settings!$B$9*R1245+Settings!$B$10*S1245)/SUM(Settings!$B$8:$B$10),0)</f>
        <v>0</v>
      </c>
      <c r="V1245" s="56" t="str">
        <f aca="false">IF(U1245&gt;0,RANK(U1245,$U$2:$U$1780)+COUNTIF($U$2:U1245,U1245)-1,"")</f>
        <v/>
      </c>
      <c r="W1245" s="56" t="str">
        <f aca="false">IF(V1245="","",IF(V1245&lt;=Settings!$B$11,"1 - Fix first",IF(V1245&lt;=Settings!$B$12,"2 - Review","3 - Monitor")))</f>
        <v/>
      </c>
      <c r="X1245" s="56" t="str">
        <f aca="false">IF(AND(E1245&gt;=Settings!$B$4,F1245&gt;=Settings!$B$5,O1245&gt;=Settings!$B$6),"HIGH RATE","")</f>
        <v/>
      </c>
      <c r="Y1245" s="56" t="str">
        <f aca="false">IF(F1245&gt;0,RANK(F1245,$F$2:$F$1780)+COUNTIF($F$2:F1245,F1245)-1,"")</f>
        <v/>
      </c>
      <c r="Z1245" s="56" t="str">
        <f aca="false">IF(H1245&gt;0,RANK(H1245,$H$2:$H$1780)+COUNTIF($H$2:H1245,H1245)-1,"")</f>
        <v/>
      </c>
      <c r="AA1245" s="56" t="str">
        <f aca="false">IF(AC1245="","",RANK(AC1245,$AC$2:$AC$1780)+COUNTIF($AC$2:AC1245,AC1245)-1)</f>
        <v/>
      </c>
      <c r="AB1245" s="56" t="str">
        <f aca="false">IF(AD1245="","",RANK(AD1245,$AD$2:$AD$1780)+COUNTIF($AD$2:AD1245,AD1245)-1)</f>
        <v/>
      </c>
      <c r="AC1245" s="56" t="str">
        <f aca="false">IF(AND(F1245&gt;0,E1245&gt;=Settings!$B$4),J1245,"")</f>
        <v/>
      </c>
      <c r="AD1245" s="56" t="str">
        <f aca="false">IF(X1245="HIGH RATE",O1245,"")</f>
        <v/>
      </c>
    </row>
    <row r="1246" customFormat="false" ht="15" hidden="false" customHeight="false" outlineLevel="0" collapsed="false">
      <c r="A1246" s="56" t="s">
        <v>2627</v>
      </c>
      <c r="B1246" s="56" t="s">
        <v>2625</v>
      </c>
      <c r="C1246" s="56" t="s">
        <v>680</v>
      </c>
      <c r="D1246" s="56" t="str">
        <f aca="false">IFERROR(INDEX('Brand Map'!$B$4:$B$124,MATCH(C1246,'Brand Map'!$A$4:$A$124,0)),"Other")</f>
        <v>Other (small prefixes)</v>
      </c>
      <c r="E1246" s="57" t="n">
        <v>5</v>
      </c>
      <c r="F1246" s="57" t="n">
        <v>0</v>
      </c>
      <c r="G1246" s="58" t="n">
        <v>449.75</v>
      </c>
      <c r="H1246" s="58" t="n">
        <v>0</v>
      </c>
      <c r="I1246" s="58" t="n">
        <v>449.75</v>
      </c>
      <c r="J1246" s="32" t="n">
        <f aca="false">IF(E1246&gt;0,F1246/E1246,0)</f>
        <v>0</v>
      </c>
      <c r="K1246" s="32" t="n">
        <f aca="false">IF(G1246&gt;0,H1246/G1246,0)</f>
        <v>-0</v>
      </c>
      <c r="L1246" s="59" t="n">
        <f aca="false">H1246/Settings!$B$16</f>
        <v>-0</v>
      </c>
      <c r="M1246" s="59" t="n">
        <f aca="false">H1246/Settings!$B$20</f>
        <v>-0</v>
      </c>
      <c r="N1246" s="60" t="n">
        <f aca="false">E1246*Settings!$B$3</f>
        <v>0.154930755399102</v>
      </c>
      <c r="O1246" s="60" t="n">
        <f aca="false">IF(E1246&gt;0,(F1246-N1246)/SQRT(E1246*Settings!$B$3*(1-Settings!$B$3)),0)</f>
        <v>-0.399856193402468</v>
      </c>
      <c r="P1246" s="60" t="n">
        <f aca="false">MAX(0,F1246-N1246)</f>
        <v>0</v>
      </c>
      <c r="Q1246" s="32" t="n">
        <f aca="false">(F1246+Settings!$B$7*Settings!$B$3)/(E1246+Settings!$B$7)</f>
        <v>0.0265595580684175</v>
      </c>
      <c r="R1246" s="61" t="n">
        <f aca="false">PERCENTRANK($H$2:$H$1780,H1246,6)</f>
        <v>0</v>
      </c>
      <c r="S1246" s="61" t="n">
        <f aca="false">PERCENTRANK($Q$2:$Q$1780,Q1246,6)</f>
        <v>0.220472</v>
      </c>
      <c r="T1246" s="61" t="n">
        <f aca="false">PERCENTRANK($F$2:$F$1780,F1246,6)</f>
        <v>0</v>
      </c>
      <c r="U1246" s="62" t="n">
        <f aca="false">IF(F1246&gt;0,(Settings!$B$8*T1246+Settings!$B$9*R1246+Settings!$B$10*S1246)/SUM(Settings!$B$8:$B$10),0)</f>
        <v>0</v>
      </c>
      <c r="V1246" s="56" t="str">
        <f aca="false">IF(U1246&gt;0,RANK(U1246,$U$2:$U$1780)+COUNTIF($U$2:U1246,U1246)-1,"")</f>
        <v/>
      </c>
      <c r="W1246" s="56" t="str">
        <f aca="false">IF(V1246="","",IF(V1246&lt;=Settings!$B$11,"1 - Fix first",IF(V1246&lt;=Settings!$B$12,"2 - Review","3 - Monitor")))</f>
        <v/>
      </c>
      <c r="X1246" s="56" t="str">
        <f aca="false">IF(AND(E1246&gt;=Settings!$B$4,F1246&gt;=Settings!$B$5,O1246&gt;=Settings!$B$6),"HIGH RATE","")</f>
        <v/>
      </c>
      <c r="Y1246" s="56" t="str">
        <f aca="false">IF(F1246&gt;0,RANK(F1246,$F$2:$F$1780)+COUNTIF($F$2:F1246,F1246)-1,"")</f>
        <v/>
      </c>
      <c r="Z1246" s="56" t="str">
        <f aca="false">IF(H1246&gt;0,RANK(H1246,$H$2:$H$1780)+COUNTIF($H$2:H1246,H1246)-1,"")</f>
        <v/>
      </c>
      <c r="AA1246" s="56" t="str">
        <f aca="false">IF(AC1246="","",RANK(AC1246,$AC$2:$AC$1780)+COUNTIF($AC$2:AC1246,AC1246)-1)</f>
        <v/>
      </c>
      <c r="AB1246" s="56" t="str">
        <f aca="false">IF(AD1246="","",RANK(AD1246,$AD$2:$AD$1780)+COUNTIF($AD$2:AD1246,AD1246)-1)</f>
        <v/>
      </c>
      <c r="AC1246" s="56" t="str">
        <f aca="false">IF(AND(F1246&gt;0,E1246&gt;=Settings!$B$4),J1246,"")</f>
        <v/>
      </c>
      <c r="AD1246" s="56" t="str">
        <f aca="false">IF(X1246="HIGH RATE",O1246,"")</f>
        <v/>
      </c>
    </row>
    <row r="1247" customFormat="false" ht="15" hidden="false" customHeight="false" outlineLevel="0" collapsed="false">
      <c r="A1247" s="56" t="s">
        <v>260</v>
      </c>
      <c r="B1247" s="56" t="s">
        <v>901</v>
      </c>
      <c r="C1247" s="56" t="s">
        <v>63</v>
      </c>
      <c r="D1247" s="56" t="str">
        <f aca="false">IFERROR(INDEX('Brand Map'!$B$4:$B$124,MATCH(C1247,'Brand Map'!$A$4:$A$124,0)),"Other")</f>
        <v>AUSGF</v>
      </c>
      <c r="E1247" s="57" t="n">
        <v>10</v>
      </c>
      <c r="F1247" s="57" t="n">
        <v>0</v>
      </c>
      <c r="G1247" s="58" t="n">
        <v>1039.5</v>
      </c>
      <c r="H1247" s="58" t="n">
        <v>0</v>
      </c>
      <c r="I1247" s="58" t="n">
        <v>1039.5</v>
      </c>
      <c r="J1247" s="32" t="n">
        <f aca="false">IF(E1247&gt;0,F1247/E1247,0)</f>
        <v>0</v>
      </c>
      <c r="K1247" s="32" t="n">
        <f aca="false">IF(G1247&gt;0,H1247/G1247,0)</f>
        <v>-0</v>
      </c>
      <c r="L1247" s="59" t="n">
        <f aca="false">H1247/Settings!$B$16</f>
        <v>-0</v>
      </c>
      <c r="M1247" s="59" t="n">
        <f aca="false">H1247/Settings!$B$20</f>
        <v>-0</v>
      </c>
      <c r="N1247" s="60" t="n">
        <f aca="false">E1247*Settings!$B$3</f>
        <v>0.309861510798204</v>
      </c>
      <c r="O1247" s="60" t="n">
        <f aca="false">IF(E1247&gt;0,(F1247-N1247)/SQRT(E1247*Settings!$B$3*(1-Settings!$B$3)),0)</f>
        <v>-0.565482051708649</v>
      </c>
      <c r="P1247" s="60" t="n">
        <f aca="false">MAX(0,F1247-N1247)</f>
        <v>0</v>
      </c>
      <c r="Q1247" s="32" t="n">
        <f aca="false">(F1247+Settings!$B$7*Settings!$B$3)/(E1247+Settings!$B$7)</f>
        <v>0.0232396133098653</v>
      </c>
      <c r="R1247" s="61" t="n">
        <f aca="false">PERCENTRANK($H$2:$H$1780,H1247,6)</f>
        <v>0</v>
      </c>
      <c r="S1247" s="61" t="n">
        <f aca="false">PERCENTRANK($Q$2:$Q$1780,Q1247,6)</f>
        <v>0.131046</v>
      </c>
      <c r="T1247" s="61" t="n">
        <f aca="false">PERCENTRANK($F$2:$F$1780,F1247,6)</f>
        <v>0</v>
      </c>
      <c r="U1247" s="62" t="n">
        <f aca="false">IF(F1247&gt;0,(Settings!$B$8*T1247+Settings!$B$9*R1247+Settings!$B$10*S1247)/SUM(Settings!$B$8:$B$10),0)</f>
        <v>0</v>
      </c>
      <c r="V1247" s="56" t="str">
        <f aca="false">IF(U1247&gt;0,RANK(U1247,$U$2:$U$1780)+COUNTIF($U$2:U1247,U1247)-1,"")</f>
        <v/>
      </c>
      <c r="W1247" s="56" t="str">
        <f aca="false">IF(V1247="","",IF(V1247&lt;=Settings!$B$11,"1 - Fix first",IF(V1247&lt;=Settings!$B$12,"2 - Review","3 - Monitor")))</f>
        <v/>
      </c>
      <c r="X1247" s="56" t="str">
        <f aca="false">IF(AND(E1247&gt;=Settings!$B$4,F1247&gt;=Settings!$B$5,O1247&gt;=Settings!$B$6),"HIGH RATE","")</f>
        <v/>
      </c>
      <c r="Y1247" s="56" t="str">
        <f aca="false">IF(F1247&gt;0,RANK(F1247,$F$2:$F$1780)+COUNTIF($F$2:F1247,F1247)-1,"")</f>
        <v/>
      </c>
      <c r="Z1247" s="56" t="str">
        <f aca="false">IF(H1247&gt;0,RANK(H1247,$H$2:$H$1780)+COUNTIF($H$2:H1247,H1247)-1,"")</f>
        <v/>
      </c>
      <c r="AA1247" s="56" t="str">
        <f aca="false">IF(AC1247="","",RANK(AC1247,$AC$2:$AC$1780)+COUNTIF($AC$2:AC1247,AC1247)-1)</f>
        <v/>
      </c>
      <c r="AB1247" s="56" t="str">
        <f aca="false">IF(AD1247="","",RANK(AD1247,$AD$2:$AD$1780)+COUNTIF($AD$2:AD1247,AD1247)-1)</f>
        <v/>
      </c>
      <c r="AC1247" s="56" t="str">
        <f aca="false">IF(AND(F1247&gt;0,E1247&gt;=Settings!$B$4),J1247,"")</f>
        <v/>
      </c>
      <c r="AD1247" s="56" t="str">
        <f aca="false">IF(X1247="HIGH RATE",O1247,"")</f>
        <v/>
      </c>
    </row>
    <row r="1248" customFormat="false" ht="15" hidden="false" customHeight="false" outlineLevel="0" collapsed="false">
      <c r="A1248" s="56" t="s">
        <v>261</v>
      </c>
      <c r="B1248" s="56" t="s">
        <v>901</v>
      </c>
      <c r="C1248" s="56" t="s">
        <v>63</v>
      </c>
      <c r="D1248" s="56" t="str">
        <f aca="false">IFERROR(INDEX('Brand Map'!$B$4:$B$124,MATCH(C1248,'Brand Map'!$A$4:$A$124,0)),"Other")</f>
        <v>AUSGF</v>
      </c>
      <c r="E1248" s="57" t="n">
        <v>5</v>
      </c>
      <c r="F1248" s="57" t="n">
        <v>0</v>
      </c>
      <c r="G1248" s="58" t="n">
        <v>594.75</v>
      </c>
      <c r="H1248" s="58" t="n">
        <v>0</v>
      </c>
      <c r="I1248" s="58" t="n">
        <v>594.75</v>
      </c>
      <c r="J1248" s="32" t="n">
        <f aca="false">IF(E1248&gt;0,F1248/E1248,0)</f>
        <v>0</v>
      </c>
      <c r="K1248" s="32" t="n">
        <f aca="false">IF(G1248&gt;0,H1248/G1248,0)</f>
        <v>-0</v>
      </c>
      <c r="L1248" s="59" t="n">
        <f aca="false">H1248/Settings!$B$16</f>
        <v>-0</v>
      </c>
      <c r="M1248" s="59" t="n">
        <f aca="false">H1248/Settings!$B$20</f>
        <v>-0</v>
      </c>
      <c r="N1248" s="60" t="n">
        <f aca="false">E1248*Settings!$B$3</f>
        <v>0.154930755399102</v>
      </c>
      <c r="O1248" s="60" t="n">
        <f aca="false">IF(E1248&gt;0,(F1248-N1248)/SQRT(E1248*Settings!$B$3*(1-Settings!$B$3)),0)</f>
        <v>-0.399856193402468</v>
      </c>
      <c r="P1248" s="60" t="n">
        <f aca="false">MAX(0,F1248-N1248)</f>
        <v>0</v>
      </c>
      <c r="Q1248" s="32" t="n">
        <f aca="false">(F1248+Settings!$B$7*Settings!$B$3)/(E1248+Settings!$B$7)</f>
        <v>0.0265595580684175</v>
      </c>
      <c r="R1248" s="61" t="n">
        <f aca="false">PERCENTRANK($H$2:$H$1780,H1248,6)</f>
        <v>0</v>
      </c>
      <c r="S1248" s="61" t="n">
        <f aca="false">PERCENTRANK($Q$2:$Q$1780,Q1248,6)</f>
        <v>0.220472</v>
      </c>
      <c r="T1248" s="61" t="n">
        <f aca="false">PERCENTRANK($F$2:$F$1780,F1248,6)</f>
        <v>0</v>
      </c>
      <c r="U1248" s="62" t="n">
        <f aca="false">IF(F1248&gt;0,(Settings!$B$8*T1248+Settings!$B$9*R1248+Settings!$B$10*S1248)/SUM(Settings!$B$8:$B$10),0)</f>
        <v>0</v>
      </c>
      <c r="V1248" s="56" t="str">
        <f aca="false">IF(U1248&gt;0,RANK(U1248,$U$2:$U$1780)+COUNTIF($U$2:U1248,U1248)-1,"")</f>
        <v/>
      </c>
      <c r="W1248" s="56" t="str">
        <f aca="false">IF(V1248="","",IF(V1248&lt;=Settings!$B$11,"1 - Fix first",IF(V1248&lt;=Settings!$B$12,"2 - Review","3 - Monitor")))</f>
        <v/>
      </c>
      <c r="X1248" s="56" t="str">
        <f aca="false">IF(AND(E1248&gt;=Settings!$B$4,F1248&gt;=Settings!$B$5,O1248&gt;=Settings!$B$6),"HIGH RATE","")</f>
        <v/>
      </c>
      <c r="Y1248" s="56" t="str">
        <f aca="false">IF(F1248&gt;0,RANK(F1248,$F$2:$F$1780)+COUNTIF($F$2:F1248,F1248)-1,"")</f>
        <v/>
      </c>
      <c r="Z1248" s="56" t="str">
        <f aca="false">IF(H1248&gt;0,RANK(H1248,$H$2:$H$1780)+COUNTIF($H$2:H1248,H1248)-1,"")</f>
        <v/>
      </c>
      <c r="AA1248" s="56" t="str">
        <f aca="false">IF(AC1248="","",RANK(AC1248,$AC$2:$AC$1780)+COUNTIF($AC$2:AC1248,AC1248)-1)</f>
        <v/>
      </c>
      <c r="AB1248" s="56" t="str">
        <f aca="false">IF(AD1248="","",RANK(AD1248,$AD$2:$AD$1780)+COUNTIF($AD$2:AD1248,AD1248)-1)</f>
        <v/>
      </c>
      <c r="AC1248" s="56" t="str">
        <f aca="false">IF(AND(F1248&gt;0,E1248&gt;=Settings!$B$4),J1248,"")</f>
        <v/>
      </c>
      <c r="AD1248" s="56" t="str">
        <f aca="false">IF(X1248="HIGH RATE",O1248,"")</f>
        <v/>
      </c>
    </row>
    <row r="1249" customFormat="false" ht="15" hidden="false" customHeight="false" outlineLevel="0" collapsed="false">
      <c r="A1249" s="56" t="s">
        <v>262</v>
      </c>
      <c r="B1249" s="56" t="s">
        <v>901</v>
      </c>
      <c r="C1249" s="56" t="s">
        <v>63</v>
      </c>
      <c r="D1249" s="56" t="str">
        <f aca="false">IFERROR(INDEX('Brand Map'!$B$4:$B$124,MATCH(C1249,'Brand Map'!$A$4:$A$124,0)),"Other")</f>
        <v>AUSGF</v>
      </c>
      <c r="E1249" s="57" t="n">
        <v>3</v>
      </c>
      <c r="F1249" s="57" t="n">
        <v>0</v>
      </c>
      <c r="G1249" s="58" t="n">
        <v>401.85</v>
      </c>
      <c r="H1249" s="58" t="n">
        <v>0</v>
      </c>
      <c r="I1249" s="58" t="n">
        <v>401.85</v>
      </c>
      <c r="J1249" s="32" t="n">
        <f aca="false">IF(E1249&gt;0,F1249/E1249,0)</f>
        <v>0</v>
      </c>
      <c r="K1249" s="32" t="n">
        <f aca="false">IF(G1249&gt;0,H1249/G1249,0)</f>
        <v>-0</v>
      </c>
      <c r="L1249" s="59" t="n">
        <f aca="false">H1249/Settings!$B$16</f>
        <v>-0</v>
      </c>
      <c r="M1249" s="59" t="n">
        <f aca="false">H1249/Settings!$B$20</f>
        <v>-0</v>
      </c>
      <c r="N1249" s="60" t="n">
        <f aca="false">E1249*Settings!$B$3</f>
        <v>0.0929584532394613</v>
      </c>
      <c r="O1249" s="60" t="n">
        <f aca="false">IF(E1249&gt;0,(F1249-N1249)/SQRT(E1249*Settings!$B$3*(1-Settings!$B$3)),0)</f>
        <v>-0.30972727558513</v>
      </c>
      <c r="P1249" s="60" t="n">
        <f aca="false">MAX(0,F1249-N1249)</f>
        <v>0</v>
      </c>
      <c r="Q1249" s="32" t="n">
        <f aca="false">(F1249+Settings!$B$7*Settings!$B$3)/(E1249+Settings!$B$7)</f>
        <v>0.0281692282543822</v>
      </c>
      <c r="R1249" s="61" t="n">
        <f aca="false">PERCENTRANK($H$2:$H$1780,H1249,6)</f>
        <v>0</v>
      </c>
      <c r="S1249" s="61" t="n">
        <f aca="false">PERCENTRANK($Q$2:$Q$1780,Q1249,6)</f>
        <v>0.294151</v>
      </c>
      <c r="T1249" s="61" t="n">
        <f aca="false">PERCENTRANK($F$2:$F$1780,F1249,6)</f>
        <v>0</v>
      </c>
      <c r="U1249" s="62" t="n">
        <f aca="false">IF(F1249&gt;0,(Settings!$B$8*T1249+Settings!$B$9*R1249+Settings!$B$10*S1249)/SUM(Settings!$B$8:$B$10),0)</f>
        <v>0</v>
      </c>
      <c r="V1249" s="56" t="str">
        <f aca="false">IF(U1249&gt;0,RANK(U1249,$U$2:$U$1780)+COUNTIF($U$2:U1249,U1249)-1,"")</f>
        <v/>
      </c>
      <c r="W1249" s="56" t="str">
        <f aca="false">IF(V1249="","",IF(V1249&lt;=Settings!$B$11,"1 - Fix first",IF(V1249&lt;=Settings!$B$12,"2 - Review","3 - Monitor")))</f>
        <v/>
      </c>
      <c r="X1249" s="56" t="str">
        <f aca="false">IF(AND(E1249&gt;=Settings!$B$4,F1249&gt;=Settings!$B$5,O1249&gt;=Settings!$B$6),"HIGH RATE","")</f>
        <v/>
      </c>
      <c r="Y1249" s="56" t="str">
        <f aca="false">IF(F1249&gt;0,RANK(F1249,$F$2:$F$1780)+COUNTIF($F$2:F1249,F1249)-1,"")</f>
        <v/>
      </c>
      <c r="Z1249" s="56" t="str">
        <f aca="false">IF(H1249&gt;0,RANK(H1249,$H$2:$H$1780)+COUNTIF($H$2:H1249,H1249)-1,"")</f>
        <v/>
      </c>
      <c r="AA1249" s="56" t="str">
        <f aca="false">IF(AC1249="","",RANK(AC1249,$AC$2:$AC$1780)+COUNTIF($AC$2:AC1249,AC1249)-1)</f>
        <v/>
      </c>
      <c r="AB1249" s="56" t="str">
        <f aca="false">IF(AD1249="","",RANK(AD1249,$AD$2:$AD$1780)+COUNTIF($AD$2:AD1249,AD1249)-1)</f>
        <v/>
      </c>
      <c r="AC1249" s="56" t="str">
        <f aca="false">IF(AND(F1249&gt;0,E1249&gt;=Settings!$B$4),J1249,"")</f>
        <v/>
      </c>
      <c r="AD1249" s="56" t="str">
        <f aca="false">IF(X1249="HIGH RATE",O1249,"")</f>
        <v/>
      </c>
    </row>
    <row r="1250" customFormat="false" ht="15" hidden="false" customHeight="false" outlineLevel="0" collapsed="false">
      <c r="A1250" s="56" t="s">
        <v>263</v>
      </c>
      <c r="B1250" s="56" t="s">
        <v>901</v>
      </c>
      <c r="C1250" s="56" t="s">
        <v>63</v>
      </c>
      <c r="D1250" s="56" t="str">
        <f aca="false">IFERROR(INDEX('Brand Map'!$B$4:$B$124,MATCH(C1250,'Brand Map'!$A$4:$A$124,0)),"Other")</f>
        <v>AUSGF</v>
      </c>
      <c r="E1250" s="57" t="n">
        <v>19</v>
      </c>
      <c r="F1250" s="57" t="n">
        <v>0</v>
      </c>
      <c r="G1250" s="58" t="n">
        <v>1690.05</v>
      </c>
      <c r="H1250" s="58" t="n">
        <v>0</v>
      </c>
      <c r="I1250" s="58" t="n">
        <v>1690.05</v>
      </c>
      <c r="J1250" s="32" t="n">
        <f aca="false">IF(E1250&gt;0,F1250/E1250,0)</f>
        <v>0</v>
      </c>
      <c r="K1250" s="32" t="n">
        <f aca="false">IF(G1250&gt;0,H1250/G1250,0)</f>
        <v>-0</v>
      </c>
      <c r="L1250" s="59" t="n">
        <f aca="false">H1250/Settings!$B$16</f>
        <v>-0</v>
      </c>
      <c r="M1250" s="59" t="n">
        <f aca="false">H1250/Settings!$B$20</f>
        <v>-0</v>
      </c>
      <c r="N1250" s="60" t="n">
        <f aca="false">E1250*Settings!$B$3</f>
        <v>0.588736870516588</v>
      </c>
      <c r="O1250" s="60" t="n">
        <f aca="false">IF(E1250&gt;0,(F1250-N1250)/SQRT(E1250*Settings!$B$3*(1-Settings!$B$3)),0)</f>
        <v>-0.779463216918402</v>
      </c>
      <c r="P1250" s="60" t="n">
        <f aca="false">MAX(0,F1250-N1250)</f>
        <v>0</v>
      </c>
      <c r="Q1250" s="32" t="n">
        <f aca="false">(F1250+Settings!$B$7*Settings!$B$3)/(E1250+Settings!$B$7)</f>
        <v>0.0189711129060125</v>
      </c>
      <c r="R1250" s="61" t="n">
        <f aca="false">PERCENTRANK($H$2:$H$1780,H1250,6)</f>
        <v>0</v>
      </c>
      <c r="S1250" s="61" t="n">
        <f aca="false">PERCENTRANK($Q$2:$Q$1780,Q1250,6)</f>
        <v>0.0776153</v>
      </c>
      <c r="T1250" s="61" t="n">
        <f aca="false">PERCENTRANK($F$2:$F$1780,F1250,6)</f>
        <v>0</v>
      </c>
      <c r="U1250" s="62" t="n">
        <f aca="false">IF(F1250&gt;0,(Settings!$B$8*T1250+Settings!$B$9*R1250+Settings!$B$10*S1250)/SUM(Settings!$B$8:$B$10),0)</f>
        <v>0</v>
      </c>
      <c r="V1250" s="56" t="str">
        <f aca="false">IF(U1250&gt;0,RANK(U1250,$U$2:$U$1780)+COUNTIF($U$2:U1250,U1250)-1,"")</f>
        <v/>
      </c>
      <c r="W1250" s="56" t="str">
        <f aca="false">IF(V1250="","",IF(V1250&lt;=Settings!$B$11,"1 - Fix first",IF(V1250&lt;=Settings!$B$12,"2 - Review","3 - Monitor")))</f>
        <v/>
      </c>
      <c r="X1250" s="56" t="str">
        <f aca="false">IF(AND(E1250&gt;=Settings!$B$4,F1250&gt;=Settings!$B$5,O1250&gt;=Settings!$B$6),"HIGH RATE","")</f>
        <v/>
      </c>
      <c r="Y1250" s="56" t="str">
        <f aca="false">IF(F1250&gt;0,RANK(F1250,$F$2:$F$1780)+COUNTIF($F$2:F1250,F1250)-1,"")</f>
        <v/>
      </c>
      <c r="Z1250" s="56" t="str">
        <f aca="false">IF(H1250&gt;0,RANK(H1250,$H$2:$H$1780)+COUNTIF($H$2:H1250,H1250)-1,"")</f>
        <v/>
      </c>
      <c r="AA1250" s="56" t="str">
        <f aca="false">IF(AC1250="","",RANK(AC1250,$AC$2:$AC$1780)+COUNTIF($AC$2:AC1250,AC1250)-1)</f>
        <v/>
      </c>
      <c r="AB1250" s="56" t="str">
        <f aca="false">IF(AD1250="","",RANK(AD1250,$AD$2:$AD$1780)+COUNTIF($AD$2:AD1250,AD1250)-1)</f>
        <v/>
      </c>
      <c r="AC1250" s="56" t="str">
        <f aca="false">IF(AND(F1250&gt;0,E1250&gt;=Settings!$B$4),J1250,"")</f>
        <v/>
      </c>
      <c r="AD1250" s="56" t="str">
        <f aca="false">IF(X1250="HIGH RATE",O1250,"")</f>
        <v/>
      </c>
    </row>
    <row r="1251" customFormat="false" ht="15" hidden="false" customHeight="false" outlineLevel="0" collapsed="false">
      <c r="A1251" s="56" t="s">
        <v>264</v>
      </c>
      <c r="B1251" s="56" t="s">
        <v>371</v>
      </c>
      <c r="C1251" s="56" t="s">
        <v>63</v>
      </c>
      <c r="D1251" s="56" t="str">
        <f aca="false">IFERROR(INDEX('Brand Map'!$B$4:$B$124,MATCH(C1251,'Brand Map'!$A$4:$A$124,0)),"Other")</f>
        <v>AUSGF</v>
      </c>
      <c r="E1251" s="57" t="n">
        <v>60</v>
      </c>
      <c r="F1251" s="57" t="n">
        <v>0</v>
      </c>
      <c r="G1251" s="58" t="n">
        <v>4077</v>
      </c>
      <c r="H1251" s="58" t="n">
        <v>0</v>
      </c>
      <c r="I1251" s="58" t="n">
        <v>4077</v>
      </c>
      <c r="J1251" s="32" t="n">
        <f aca="false">IF(E1251&gt;0,F1251/E1251,0)</f>
        <v>0</v>
      </c>
      <c r="K1251" s="32" t="n">
        <f aca="false">IF(G1251&gt;0,H1251/G1251,0)</f>
        <v>-0</v>
      </c>
      <c r="L1251" s="59" t="n">
        <f aca="false">H1251/Settings!$B$16</f>
        <v>-0</v>
      </c>
      <c r="M1251" s="59" t="n">
        <f aca="false">H1251/Settings!$B$20</f>
        <v>-0</v>
      </c>
      <c r="N1251" s="60" t="n">
        <f aca="false">E1251*Settings!$B$3</f>
        <v>1.85916906478923</v>
      </c>
      <c r="O1251" s="60" t="n">
        <f aca="false">IF(E1251&gt;0,(F1251-N1251)/SQRT(E1251*Settings!$B$3*(1-Settings!$B$3)),0)</f>
        <v>-1.38514248538832</v>
      </c>
      <c r="P1251" s="60" t="n">
        <f aca="false">MAX(0,F1251-N1251)</f>
        <v>0</v>
      </c>
      <c r="Q1251" s="32" t="n">
        <f aca="false">(F1251+Settings!$B$7*Settings!$B$3)/(E1251+Settings!$B$7)</f>
        <v>0.0103287170266068</v>
      </c>
      <c r="R1251" s="61" t="n">
        <f aca="false">PERCENTRANK($H$2:$H$1780,H1251,6)</f>
        <v>0</v>
      </c>
      <c r="S1251" s="61" t="n">
        <f aca="false">PERCENTRANK($Q$2:$Q$1780,Q1251,6)</f>
        <v>0.015748</v>
      </c>
      <c r="T1251" s="61" t="n">
        <f aca="false">PERCENTRANK($F$2:$F$1780,F1251,6)</f>
        <v>0</v>
      </c>
      <c r="U1251" s="62" t="n">
        <f aca="false">IF(F1251&gt;0,(Settings!$B$8*T1251+Settings!$B$9*R1251+Settings!$B$10*S1251)/SUM(Settings!$B$8:$B$10),0)</f>
        <v>0</v>
      </c>
      <c r="V1251" s="56" t="str">
        <f aca="false">IF(U1251&gt;0,RANK(U1251,$U$2:$U$1780)+COUNTIF($U$2:U1251,U1251)-1,"")</f>
        <v/>
      </c>
      <c r="W1251" s="56" t="str">
        <f aca="false">IF(V1251="","",IF(V1251&lt;=Settings!$B$11,"1 - Fix first",IF(V1251&lt;=Settings!$B$12,"2 - Review","3 - Monitor")))</f>
        <v/>
      </c>
      <c r="X1251" s="56" t="str">
        <f aca="false">IF(AND(E1251&gt;=Settings!$B$4,F1251&gt;=Settings!$B$5,O1251&gt;=Settings!$B$6),"HIGH RATE","")</f>
        <v/>
      </c>
      <c r="Y1251" s="56" t="str">
        <f aca="false">IF(F1251&gt;0,RANK(F1251,$F$2:$F$1780)+COUNTIF($F$2:F1251,F1251)-1,"")</f>
        <v/>
      </c>
      <c r="Z1251" s="56" t="str">
        <f aca="false">IF(H1251&gt;0,RANK(H1251,$H$2:$H$1780)+COUNTIF($H$2:H1251,H1251)-1,"")</f>
        <v/>
      </c>
      <c r="AA1251" s="56" t="str">
        <f aca="false">IF(AC1251="","",RANK(AC1251,$AC$2:$AC$1780)+COUNTIF($AC$2:AC1251,AC1251)-1)</f>
        <v/>
      </c>
      <c r="AB1251" s="56" t="str">
        <f aca="false">IF(AD1251="","",RANK(AD1251,$AD$2:$AD$1780)+COUNTIF($AD$2:AD1251,AD1251)-1)</f>
        <v/>
      </c>
      <c r="AC1251" s="56" t="str">
        <f aca="false">IF(AND(F1251&gt;0,E1251&gt;=Settings!$B$4),J1251,"")</f>
        <v/>
      </c>
      <c r="AD1251" s="56" t="str">
        <f aca="false">IF(X1251="HIGH RATE",O1251,"")</f>
        <v/>
      </c>
    </row>
    <row r="1252" customFormat="false" ht="15" hidden="false" customHeight="false" outlineLevel="0" collapsed="false">
      <c r="A1252" s="56" t="s">
        <v>265</v>
      </c>
      <c r="B1252" s="56" t="s">
        <v>371</v>
      </c>
      <c r="C1252" s="56" t="s">
        <v>63</v>
      </c>
      <c r="D1252" s="56" t="str">
        <f aca="false">IFERROR(INDEX('Brand Map'!$B$4:$B$124,MATCH(C1252,'Brand Map'!$A$4:$A$124,0)),"Other")</f>
        <v>AUSGF</v>
      </c>
      <c r="E1252" s="57" t="n">
        <v>14</v>
      </c>
      <c r="F1252" s="57" t="n">
        <v>0</v>
      </c>
      <c r="G1252" s="58" t="n">
        <v>1161.3</v>
      </c>
      <c r="H1252" s="58" t="n">
        <v>0</v>
      </c>
      <c r="I1252" s="58" t="n">
        <v>1161.3</v>
      </c>
      <c r="J1252" s="32" t="n">
        <f aca="false">IF(E1252&gt;0,F1252/E1252,0)</f>
        <v>0</v>
      </c>
      <c r="K1252" s="32" t="n">
        <f aca="false">IF(G1252&gt;0,H1252/G1252,0)</f>
        <v>-0</v>
      </c>
      <c r="L1252" s="59" t="n">
        <f aca="false">H1252/Settings!$B$16</f>
        <v>-0</v>
      </c>
      <c r="M1252" s="59" t="n">
        <f aca="false">H1252/Settings!$B$20</f>
        <v>-0</v>
      </c>
      <c r="N1252" s="60" t="n">
        <f aca="false">E1252*Settings!$B$3</f>
        <v>0.433806115117486</v>
      </c>
      <c r="O1252" s="60" t="n">
        <f aca="false">IF(E1252&gt;0,(F1252-N1252)/SQRT(E1252*Settings!$B$3*(1-Settings!$B$3)),0)</f>
        <v>-0.669087386763846</v>
      </c>
      <c r="P1252" s="60" t="n">
        <f aca="false">MAX(0,F1252-N1252)</f>
        <v>0</v>
      </c>
      <c r="Q1252" s="32" t="n">
        <f aca="false">(F1252+Settings!$B$7*Settings!$B$3)/(E1252+Settings!$B$7)</f>
        <v>0.0211269211907867</v>
      </c>
      <c r="R1252" s="61" t="n">
        <f aca="false">PERCENTRANK($H$2:$H$1780,H1252,6)</f>
        <v>0</v>
      </c>
      <c r="S1252" s="61" t="n">
        <f aca="false">PERCENTRANK($Q$2:$Q$1780,Q1252,6)</f>
        <v>0.0995501</v>
      </c>
      <c r="T1252" s="61" t="n">
        <f aca="false">PERCENTRANK($F$2:$F$1780,F1252,6)</f>
        <v>0</v>
      </c>
      <c r="U1252" s="62" t="n">
        <f aca="false">IF(F1252&gt;0,(Settings!$B$8*T1252+Settings!$B$9*R1252+Settings!$B$10*S1252)/SUM(Settings!$B$8:$B$10),0)</f>
        <v>0</v>
      </c>
      <c r="V1252" s="56" t="str">
        <f aca="false">IF(U1252&gt;0,RANK(U1252,$U$2:$U$1780)+COUNTIF($U$2:U1252,U1252)-1,"")</f>
        <v/>
      </c>
      <c r="W1252" s="56" t="str">
        <f aca="false">IF(V1252="","",IF(V1252&lt;=Settings!$B$11,"1 - Fix first",IF(V1252&lt;=Settings!$B$12,"2 - Review","3 - Monitor")))</f>
        <v/>
      </c>
      <c r="X1252" s="56" t="str">
        <f aca="false">IF(AND(E1252&gt;=Settings!$B$4,F1252&gt;=Settings!$B$5,O1252&gt;=Settings!$B$6),"HIGH RATE","")</f>
        <v/>
      </c>
      <c r="Y1252" s="56" t="str">
        <f aca="false">IF(F1252&gt;0,RANK(F1252,$F$2:$F$1780)+COUNTIF($F$2:F1252,F1252)-1,"")</f>
        <v/>
      </c>
      <c r="Z1252" s="56" t="str">
        <f aca="false">IF(H1252&gt;0,RANK(H1252,$H$2:$H$1780)+COUNTIF($H$2:H1252,H1252)-1,"")</f>
        <v/>
      </c>
      <c r="AA1252" s="56" t="str">
        <f aca="false">IF(AC1252="","",RANK(AC1252,$AC$2:$AC$1780)+COUNTIF($AC$2:AC1252,AC1252)-1)</f>
        <v/>
      </c>
      <c r="AB1252" s="56" t="str">
        <f aca="false">IF(AD1252="","",RANK(AD1252,$AD$2:$AD$1780)+COUNTIF($AD$2:AD1252,AD1252)-1)</f>
        <v/>
      </c>
      <c r="AC1252" s="56" t="str">
        <f aca="false">IF(AND(F1252&gt;0,E1252&gt;=Settings!$B$4),J1252,"")</f>
        <v/>
      </c>
      <c r="AD1252" s="56" t="str">
        <f aca="false">IF(X1252="HIGH RATE",O1252,"")</f>
        <v/>
      </c>
    </row>
    <row r="1253" customFormat="false" ht="15" hidden="false" customHeight="false" outlineLevel="0" collapsed="false">
      <c r="A1253" s="56" t="s">
        <v>266</v>
      </c>
      <c r="B1253" s="56" t="s">
        <v>371</v>
      </c>
      <c r="C1253" s="56" t="s">
        <v>63</v>
      </c>
      <c r="D1253" s="56" t="str">
        <f aca="false">IFERROR(INDEX('Brand Map'!$B$4:$B$124,MATCH(C1253,'Brand Map'!$A$4:$A$124,0)),"Other")</f>
        <v>AUSGF</v>
      </c>
      <c r="E1253" s="57" t="n">
        <v>8</v>
      </c>
      <c r="F1253" s="57" t="n">
        <v>0</v>
      </c>
      <c r="G1253" s="58" t="n">
        <v>783.6</v>
      </c>
      <c r="H1253" s="58" t="n">
        <v>0</v>
      </c>
      <c r="I1253" s="58" t="n">
        <v>783.6</v>
      </c>
      <c r="J1253" s="32" t="n">
        <f aca="false">IF(E1253&gt;0,F1253/E1253,0)</f>
        <v>0</v>
      </c>
      <c r="K1253" s="32" t="n">
        <f aca="false">IF(G1253&gt;0,H1253/G1253,0)</f>
        <v>-0</v>
      </c>
      <c r="L1253" s="59" t="n">
        <f aca="false">H1253/Settings!$B$16</f>
        <v>-0</v>
      </c>
      <c r="M1253" s="59" t="n">
        <f aca="false">H1253/Settings!$B$20</f>
        <v>-0</v>
      </c>
      <c r="N1253" s="60" t="n">
        <f aca="false">E1253*Settings!$B$3</f>
        <v>0.247889208638563</v>
      </c>
      <c r="O1253" s="60" t="n">
        <f aca="false">IF(E1253&gt;0,(F1253-N1253)/SQRT(E1253*Settings!$B$3*(1-Settings!$B$3)),0)</f>
        <v>-0.505782523070636</v>
      </c>
      <c r="P1253" s="60" t="n">
        <f aca="false">MAX(0,F1253-N1253)</f>
        <v>0</v>
      </c>
      <c r="Q1253" s="32" t="n">
        <f aca="false">(F1253+Settings!$B$7*Settings!$B$3)/(E1253+Settings!$B$7)</f>
        <v>0.0244627508524898</v>
      </c>
      <c r="R1253" s="61" t="n">
        <f aca="false">PERCENTRANK($H$2:$H$1780,H1253,6)</f>
        <v>0</v>
      </c>
      <c r="S1253" s="61" t="n">
        <f aca="false">PERCENTRANK($Q$2:$Q$1780,Q1253,6)</f>
        <v>0.154668</v>
      </c>
      <c r="T1253" s="61" t="n">
        <f aca="false">PERCENTRANK($F$2:$F$1780,F1253,6)</f>
        <v>0</v>
      </c>
      <c r="U1253" s="62" t="n">
        <f aca="false">IF(F1253&gt;0,(Settings!$B$8*T1253+Settings!$B$9*R1253+Settings!$B$10*S1253)/SUM(Settings!$B$8:$B$10),0)</f>
        <v>0</v>
      </c>
      <c r="V1253" s="56" t="str">
        <f aca="false">IF(U1253&gt;0,RANK(U1253,$U$2:$U$1780)+COUNTIF($U$2:U1253,U1253)-1,"")</f>
        <v/>
      </c>
      <c r="W1253" s="56" t="str">
        <f aca="false">IF(V1253="","",IF(V1253&lt;=Settings!$B$11,"1 - Fix first",IF(V1253&lt;=Settings!$B$12,"2 - Review","3 - Monitor")))</f>
        <v/>
      </c>
      <c r="X1253" s="56" t="str">
        <f aca="false">IF(AND(E1253&gt;=Settings!$B$4,F1253&gt;=Settings!$B$5,O1253&gt;=Settings!$B$6),"HIGH RATE","")</f>
        <v/>
      </c>
      <c r="Y1253" s="56" t="str">
        <f aca="false">IF(F1253&gt;0,RANK(F1253,$F$2:$F$1780)+COUNTIF($F$2:F1253,F1253)-1,"")</f>
        <v/>
      </c>
      <c r="Z1253" s="56" t="str">
        <f aca="false">IF(H1253&gt;0,RANK(H1253,$H$2:$H$1780)+COUNTIF($H$2:H1253,H1253)-1,"")</f>
        <v/>
      </c>
      <c r="AA1253" s="56" t="str">
        <f aca="false">IF(AC1253="","",RANK(AC1253,$AC$2:$AC$1780)+COUNTIF($AC$2:AC1253,AC1253)-1)</f>
        <v/>
      </c>
      <c r="AB1253" s="56" t="str">
        <f aca="false">IF(AD1253="","",RANK(AD1253,$AD$2:$AD$1780)+COUNTIF($AD$2:AD1253,AD1253)-1)</f>
        <v/>
      </c>
      <c r="AC1253" s="56" t="str">
        <f aca="false">IF(AND(F1253&gt;0,E1253&gt;=Settings!$B$4),J1253,"")</f>
        <v/>
      </c>
      <c r="AD1253" s="56" t="str">
        <f aca="false">IF(X1253="HIGH RATE",O1253,"")</f>
        <v/>
      </c>
    </row>
    <row r="1254" customFormat="false" ht="15" hidden="false" customHeight="false" outlineLevel="0" collapsed="false">
      <c r="A1254" s="56" t="s">
        <v>2628</v>
      </c>
      <c r="B1254" s="56" t="s">
        <v>694</v>
      </c>
      <c r="C1254" s="56" t="s">
        <v>692</v>
      </c>
      <c r="D1254" s="56" t="str">
        <f aca="false">IFERROR(INDEX('Brand Map'!$B$4:$B$124,MATCH(C1254,'Brand Map'!$A$4:$A$124,0)),"Other")</f>
        <v>Other (small prefixes)</v>
      </c>
      <c r="E1254" s="57" t="n">
        <v>1</v>
      </c>
      <c r="F1254" s="57" t="n">
        <v>0</v>
      </c>
      <c r="G1254" s="58" t="n">
        <v>34.95</v>
      </c>
      <c r="H1254" s="58" t="n">
        <v>0</v>
      </c>
      <c r="I1254" s="58" t="n">
        <v>34.95</v>
      </c>
      <c r="J1254" s="32" t="n">
        <f aca="false">IF(E1254&gt;0,F1254/E1254,0)</f>
        <v>0</v>
      </c>
      <c r="K1254" s="32" t="n">
        <f aca="false">IF(G1254&gt;0,H1254/G1254,0)</f>
        <v>-0</v>
      </c>
      <c r="L1254" s="59" t="n">
        <f aca="false">H1254/Settings!$B$16</f>
        <v>-0</v>
      </c>
      <c r="M1254" s="59" t="n">
        <f aca="false">H1254/Settings!$B$20</f>
        <v>-0</v>
      </c>
      <c r="N1254" s="60" t="n">
        <f aca="false">E1254*Settings!$B$3</f>
        <v>0.0309861510798204</v>
      </c>
      <c r="O1254" s="60" t="n">
        <f aca="false">IF(E1254&gt;0,(F1254-N1254)/SQRT(E1254*Settings!$B$3*(1-Settings!$B$3)),0)</f>
        <v>-0.178821125934444</v>
      </c>
      <c r="P1254" s="60" t="n">
        <f aca="false">MAX(0,F1254-N1254)</f>
        <v>0</v>
      </c>
      <c r="Q1254" s="32" t="n">
        <f aca="false">(F1254+Settings!$B$7*Settings!$B$3)/(E1254+Settings!$B$7)</f>
        <v>0.0299865978191811</v>
      </c>
      <c r="R1254" s="61" t="n">
        <f aca="false">PERCENTRANK($H$2:$H$1780,H1254,6)</f>
        <v>0</v>
      </c>
      <c r="S1254" s="61" t="n">
        <f aca="false">PERCENTRANK($Q$2:$Q$1780,Q1254,6)</f>
        <v>0.486502</v>
      </c>
      <c r="T1254" s="61" t="n">
        <f aca="false">PERCENTRANK($F$2:$F$1780,F1254,6)</f>
        <v>0</v>
      </c>
      <c r="U1254" s="62" t="n">
        <f aca="false">IF(F1254&gt;0,(Settings!$B$8*T1254+Settings!$B$9*R1254+Settings!$B$10*S1254)/SUM(Settings!$B$8:$B$10),0)</f>
        <v>0</v>
      </c>
      <c r="V1254" s="56" t="str">
        <f aca="false">IF(U1254&gt;0,RANK(U1254,$U$2:$U$1780)+COUNTIF($U$2:U1254,U1254)-1,"")</f>
        <v/>
      </c>
      <c r="W1254" s="56" t="str">
        <f aca="false">IF(V1254="","",IF(V1254&lt;=Settings!$B$11,"1 - Fix first",IF(V1254&lt;=Settings!$B$12,"2 - Review","3 - Monitor")))</f>
        <v/>
      </c>
      <c r="X1254" s="56" t="str">
        <f aca="false">IF(AND(E1254&gt;=Settings!$B$4,F1254&gt;=Settings!$B$5,O1254&gt;=Settings!$B$6),"HIGH RATE","")</f>
        <v/>
      </c>
      <c r="Y1254" s="56" t="str">
        <f aca="false">IF(F1254&gt;0,RANK(F1254,$F$2:$F$1780)+COUNTIF($F$2:F1254,F1254)-1,"")</f>
        <v/>
      </c>
      <c r="Z1254" s="56" t="str">
        <f aca="false">IF(H1254&gt;0,RANK(H1254,$H$2:$H$1780)+COUNTIF($H$2:H1254,H1254)-1,"")</f>
        <v/>
      </c>
      <c r="AA1254" s="56" t="str">
        <f aca="false">IF(AC1254="","",RANK(AC1254,$AC$2:$AC$1780)+COUNTIF($AC$2:AC1254,AC1254)-1)</f>
        <v/>
      </c>
      <c r="AB1254" s="56" t="str">
        <f aca="false">IF(AD1254="","",RANK(AD1254,$AD$2:$AD$1780)+COUNTIF($AD$2:AD1254,AD1254)-1)</f>
        <v/>
      </c>
      <c r="AC1254" s="56" t="str">
        <f aca="false">IF(AND(F1254&gt;0,E1254&gt;=Settings!$B$4),J1254,"")</f>
        <v/>
      </c>
      <c r="AD1254" s="56" t="str">
        <f aca="false">IF(X1254="HIGH RATE",O1254,"")</f>
        <v/>
      </c>
    </row>
    <row r="1255" customFormat="false" ht="15" hidden="false" customHeight="false" outlineLevel="0" collapsed="false">
      <c r="A1255" s="56" t="s">
        <v>2629</v>
      </c>
      <c r="B1255" s="56" t="s">
        <v>1235</v>
      </c>
      <c r="C1255" s="56" t="s">
        <v>692</v>
      </c>
      <c r="D1255" s="56" t="str">
        <f aca="false">IFERROR(INDEX('Brand Map'!$B$4:$B$124,MATCH(C1255,'Brand Map'!$A$4:$A$124,0)),"Other")</f>
        <v>Other (small prefixes)</v>
      </c>
      <c r="E1255" s="57" t="n">
        <v>1</v>
      </c>
      <c r="F1255" s="57" t="n">
        <v>0</v>
      </c>
      <c r="G1255" s="58" t="n">
        <v>49.95</v>
      </c>
      <c r="H1255" s="58" t="n">
        <v>0</v>
      </c>
      <c r="I1255" s="58" t="n">
        <v>49.95</v>
      </c>
      <c r="J1255" s="32" t="n">
        <f aca="false">IF(E1255&gt;0,F1255/E1255,0)</f>
        <v>0</v>
      </c>
      <c r="K1255" s="32" t="n">
        <f aca="false">IF(G1255&gt;0,H1255/G1255,0)</f>
        <v>-0</v>
      </c>
      <c r="L1255" s="59" t="n">
        <f aca="false">H1255/Settings!$B$16</f>
        <v>-0</v>
      </c>
      <c r="M1255" s="59" t="n">
        <f aca="false">H1255/Settings!$B$20</f>
        <v>-0</v>
      </c>
      <c r="N1255" s="60" t="n">
        <f aca="false">E1255*Settings!$B$3</f>
        <v>0.0309861510798204</v>
      </c>
      <c r="O1255" s="60" t="n">
        <f aca="false">IF(E1255&gt;0,(F1255-N1255)/SQRT(E1255*Settings!$B$3*(1-Settings!$B$3)),0)</f>
        <v>-0.178821125934444</v>
      </c>
      <c r="P1255" s="60" t="n">
        <f aca="false">MAX(0,F1255-N1255)</f>
        <v>0</v>
      </c>
      <c r="Q1255" s="32" t="n">
        <f aca="false">(F1255+Settings!$B$7*Settings!$B$3)/(E1255+Settings!$B$7)</f>
        <v>0.0299865978191811</v>
      </c>
      <c r="R1255" s="61" t="n">
        <f aca="false">PERCENTRANK($H$2:$H$1780,H1255,6)</f>
        <v>0</v>
      </c>
      <c r="S1255" s="61" t="n">
        <f aca="false">PERCENTRANK($Q$2:$Q$1780,Q1255,6)</f>
        <v>0.486502</v>
      </c>
      <c r="T1255" s="61" t="n">
        <f aca="false">PERCENTRANK($F$2:$F$1780,F1255,6)</f>
        <v>0</v>
      </c>
      <c r="U1255" s="62" t="n">
        <f aca="false">IF(F1255&gt;0,(Settings!$B$8*T1255+Settings!$B$9*R1255+Settings!$B$10*S1255)/SUM(Settings!$B$8:$B$10),0)</f>
        <v>0</v>
      </c>
      <c r="V1255" s="56" t="str">
        <f aca="false">IF(U1255&gt;0,RANK(U1255,$U$2:$U$1780)+COUNTIF($U$2:U1255,U1255)-1,"")</f>
        <v/>
      </c>
      <c r="W1255" s="56" t="str">
        <f aca="false">IF(V1255="","",IF(V1255&lt;=Settings!$B$11,"1 - Fix first",IF(V1255&lt;=Settings!$B$12,"2 - Review","3 - Monitor")))</f>
        <v/>
      </c>
      <c r="X1255" s="56" t="str">
        <f aca="false">IF(AND(E1255&gt;=Settings!$B$4,F1255&gt;=Settings!$B$5,O1255&gt;=Settings!$B$6),"HIGH RATE","")</f>
        <v/>
      </c>
      <c r="Y1255" s="56" t="str">
        <f aca="false">IF(F1255&gt;0,RANK(F1255,$F$2:$F$1780)+COUNTIF($F$2:F1255,F1255)-1,"")</f>
        <v/>
      </c>
      <c r="Z1255" s="56" t="str">
        <f aca="false">IF(H1255&gt;0,RANK(H1255,$H$2:$H$1780)+COUNTIF($H$2:H1255,H1255)-1,"")</f>
        <v/>
      </c>
      <c r="AA1255" s="56" t="str">
        <f aca="false">IF(AC1255="","",RANK(AC1255,$AC$2:$AC$1780)+COUNTIF($AC$2:AC1255,AC1255)-1)</f>
        <v/>
      </c>
      <c r="AB1255" s="56" t="str">
        <f aca="false">IF(AD1255="","",RANK(AD1255,$AD$2:$AD$1780)+COUNTIF($AD$2:AD1255,AD1255)-1)</f>
        <v/>
      </c>
      <c r="AC1255" s="56" t="str">
        <f aca="false">IF(AND(F1255&gt;0,E1255&gt;=Settings!$B$4),J1255,"")</f>
        <v/>
      </c>
      <c r="AD1255" s="56" t="str">
        <f aca="false">IF(X1255="HIGH RATE",O1255,"")</f>
        <v/>
      </c>
    </row>
    <row r="1256" customFormat="false" ht="15" hidden="false" customHeight="false" outlineLevel="0" collapsed="false">
      <c r="A1256" s="56" t="s">
        <v>2630</v>
      </c>
      <c r="B1256" s="56" t="s">
        <v>1235</v>
      </c>
      <c r="C1256" s="56" t="s">
        <v>692</v>
      </c>
      <c r="D1256" s="56" t="str">
        <f aca="false">IFERROR(INDEX('Brand Map'!$B$4:$B$124,MATCH(C1256,'Brand Map'!$A$4:$A$124,0)),"Other")</f>
        <v>Other (small prefixes)</v>
      </c>
      <c r="E1256" s="57" t="n">
        <v>1</v>
      </c>
      <c r="F1256" s="57" t="n">
        <v>0</v>
      </c>
      <c r="G1256" s="58" t="n">
        <v>64.95</v>
      </c>
      <c r="H1256" s="58" t="n">
        <v>0</v>
      </c>
      <c r="I1256" s="58" t="n">
        <v>64.95</v>
      </c>
      <c r="J1256" s="32" t="n">
        <f aca="false">IF(E1256&gt;0,F1256/E1256,0)</f>
        <v>0</v>
      </c>
      <c r="K1256" s="32" t="n">
        <f aca="false">IF(G1256&gt;0,H1256/G1256,0)</f>
        <v>-0</v>
      </c>
      <c r="L1256" s="59" t="n">
        <f aca="false">H1256/Settings!$B$16</f>
        <v>-0</v>
      </c>
      <c r="M1256" s="59" t="n">
        <f aca="false">H1256/Settings!$B$20</f>
        <v>-0</v>
      </c>
      <c r="N1256" s="60" t="n">
        <f aca="false">E1256*Settings!$B$3</f>
        <v>0.0309861510798204</v>
      </c>
      <c r="O1256" s="60" t="n">
        <f aca="false">IF(E1256&gt;0,(F1256-N1256)/SQRT(E1256*Settings!$B$3*(1-Settings!$B$3)),0)</f>
        <v>-0.178821125934444</v>
      </c>
      <c r="P1256" s="60" t="n">
        <f aca="false">MAX(0,F1256-N1256)</f>
        <v>0</v>
      </c>
      <c r="Q1256" s="32" t="n">
        <f aca="false">(F1256+Settings!$B$7*Settings!$B$3)/(E1256+Settings!$B$7)</f>
        <v>0.0299865978191811</v>
      </c>
      <c r="R1256" s="61" t="n">
        <f aca="false">PERCENTRANK($H$2:$H$1780,H1256,6)</f>
        <v>0</v>
      </c>
      <c r="S1256" s="61" t="n">
        <f aca="false">PERCENTRANK($Q$2:$Q$1780,Q1256,6)</f>
        <v>0.486502</v>
      </c>
      <c r="T1256" s="61" t="n">
        <f aca="false">PERCENTRANK($F$2:$F$1780,F1256,6)</f>
        <v>0</v>
      </c>
      <c r="U1256" s="62" t="n">
        <f aca="false">IF(F1256&gt;0,(Settings!$B$8*T1256+Settings!$B$9*R1256+Settings!$B$10*S1256)/SUM(Settings!$B$8:$B$10),0)</f>
        <v>0</v>
      </c>
      <c r="V1256" s="56" t="str">
        <f aca="false">IF(U1256&gt;0,RANK(U1256,$U$2:$U$1780)+COUNTIF($U$2:U1256,U1256)-1,"")</f>
        <v/>
      </c>
      <c r="W1256" s="56" t="str">
        <f aca="false">IF(V1256="","",IF(V1256&lt;=Settings!$B$11,"1 - Fix first",IF(V1256&lt;=Settings!$B$12,"2 - Review","3 - Monitor")))</f>
        <v/>
      </c>
      <c r="X1256" s="56" t="str">
        <f aca="false">IF(AND(E1256&gt;=Settings!$B$4,F1256&gt;=Settings!$B$5,O1256&gt;=Settings!$B$6),"HIGH RATE","")</f>
        <v/>
      </c>
      <c r="Y1256" s="56" t="str">
        <f aca="false">IF(F1256&gt;0,RANK(F1256,$F$2:$F$1780)+COUNTIF($F$2:F1256,F1256)-1,"")</f>
        <v/>
      </c>
      <c r="Z1256" s="56" t="str">
        <f aca="false">IF(H1256&gt;0,RANK(H1256,$H$2:$H$1780)+COUNTIF($H$2:H1256,H1256)-1,"")</f>
        <v/>
      </c>
      <c r="AA1256" s="56" t="str">
        <f aca="false">IF(AC1256="","",RANK(AC1256,$AC$2:$AC$1780)+COUNTIF($AC$2:AC1256,AC1256)-1)</f>
        <v/>
      </c>
      <c r="AB1256" s="56" t="str">
        <f aca="false">IF(AD1256="","",RANK(AD1256,$AD$2:$AD$1780)+COUNTIF($AD$2:AD1256,AD1256)-1)</f>
        <v/>
      </c>
      <c r="AC1256" s="56" t="str">
        <f aca="false">IF(AND(F1256&gt;0,E1256&gt;=Settings!$B$4),J1256,"")</f>
        <v/>
      </c>
      <c r="AD1256" s="56" t="str">
        <f aca="false">IF(X1256="HIGH RATE",O1256,"")</f>
        <v/>
      </c>
    </row>
    <row r="1257" customFormat="false" ht="15" hidden="false" customHeight="false" outlineLevel="0" collapsed="false">
      <c r="A1257" s="56" t="s">
        <v>2631</v>
      </c>
      <c r="B1257" s="56" t="s">
        <v>1235</v>
      </c>
      <c r="C1257" s="56" t="s">
        <v>692</v>
      </c>
      <c r="D1257" s="56" t="str">
        <f aca="false">IFERROR(INDEX('Brand Map'!$B$4:$B$124,MATCH(C1257,'Brand Map'!$A$4:$A$124,0)),"Other")</f>
        <v>Other (small prefixes)</v>
      </c>
      <c r="E1257" s="57" t="n">
        <v>1</v>
      </c>
      <c r="F1257" s="57" t="n">
        <v>0</v>
      </c>
      <c r="G1257" s="58" t="n">
        <v>79.95</v>
      </c>
      <c r="H1257" s="58" t="n">
        <v>0</v>
      </c>
      <c r="I1257" s="58" t="n">
        <v>79.95</v>
      </c>
      <c r="J1257" s="32" t="n">
        <f aca="false">IF(E1257&gt;0,F1257/E1257,0)</f>
        <v>0</v>
      </c>
      <c r="K1257" s="32" t="n">
        <f aca="false">IF(G1257&gt;0,H1257/G1257,0)</f>
        <v>-0</v>
      </c>
      <c r="L1257" s="59" t="n">
        <f aca="false">H1257/Settings!$B$16</f>
        <v>-0</v>
      </c>
      <c r="M1257" s="59" t="n">
        <f aca="false">H1257/Settings!$B$20</f>
        <v>-0</v>
      </c>
      <c r="N1257" s="60" t="n">
        <f aca="false">E1257*Settings!$B$3</f>
        <v>0.0309861510798204</v>
      </c>
      <c r="O1257" s="60" t="n">
        <f aca="false">IF(E1257&gt;0,(F1257-N1257)/SQRT(E1257*Settings!$B$3*(1-Settings!$B$3)),0)</f>
        <v>-0.178821125934444</v>
      </c>
      <c r="P1257" s="60" t="n">
        <f aca="false">MAX(0,F1257-N1257)</f>
        <v>0</v>
      </c>
      <c r="Q1257" s="32" t="n">
        <f aca="false">(F1257+Settings!$B$7*Settings!$B$3)/(E1257+Settings!$B$7)</f>
        <v>0.0299865978191811</v>
      </c>
      <c r="R1257" s="61" t="n">
        <f aca="false">PERCENTRANK($H$2:$H$1780,H1257,6)</f>
        <v>0</v>
      </c>
      <c r="S1257" s="61" t="n">
        <f aca="false">PERCENTRANK($Q$2:$Q$1780,Q1257,6)</f>
        <v>0.486502</v>
      </c>
      <c r="T1257" s="61" t="n">
        <f aca="false">PERCENTRANK($F$2:$F$1780,F1257,6)</f>
        <v>0</v>
      </c>
      <c r="U1257" s="62" t="n">
        <f aca="false">IF(F1257&gt;0,(Settings!$B$8*T1257+Settings!$B$9*R1257+Settings!$B$10*S1257)/SUM(Settings!$B$8:$B$10),0)</f>
        <v>0</v>
      </c>
      <c r="V1257" s="56" t="str">
        <f aca="false">IF(U1257&gt;0,RANK(U1257,$U$2:$U$1780)+COUNTIF($U$2:U1257,U1257)-1,"")</f>
        <v/>
      </c>
      <c r="W1257" s="56" t="str">
        <f aca="false">IF(V1257="","",IF(V1257&lt;=Settings!$B$11,"1 - Fix first",IF(V1257&lt;=Settings!$B$12,"2 - Review","3 - Monitor")))</f>
        <v/>
      </c>
      <c r="X1257" s="56" t="str">
        <f aca="false">IF(AND(E1257&gt;=Settings!$B$4,F1257&gt;=Settings!$B$5,O1257&gt;=Settings!$B$6),"HIGH RATE","")</f>
        <v/>
      </c>
      <c r="Y1257" s="56" t="str">
        <f aca="false">IF(F1257&gt;0,RANK(F1257,$F$2:$F$1780)+COUNTIF($F$2:F1257,F1257)-1,"")</f>
        <v/>
      </c>
      <c r="Z1257" s="56" t="str">
        <f aca="false">IF(H1257&gt;0,RANK(H1257,$H$2:$H$1780)+COUNTIF($H$2:H1257,H1257)-1,"")</f>
        <v/>
      </c>
      <c r="AA1257" s="56" t="str">
        <f aca="false">IF(AC1257="","",RANK(AC1257,$AC$2:$AC$1780)+COUNTIF($AC$2:AC1257,AC1257)-1)</f>
        <v/>
      </c>
      <c r="AB1257" s="56" t="str">
        <f aca="false">IF(AD1257="","",RANK(AD1257,$AD$2:$AD$1780)+COUNTIF($AD$2:AD1257,AD1257)-1)</f>
        <v/>
      </c>
      <c r="AC1257" s="56" t="str">
        <f aca="false">IF(AND(F1257&gt;0,E1257&gt;=Settings!$B$4),J1257,"")</f>
        <v/>
      </c>
      <c r="AD1257" s="56" t="str">
        <f aca="false">IF(X1257="HIGH RATE",O1257,"")</f>
        <v/>
      </c>
    </row>
    <row r="1258" customFormat="false" ht="15" hidden="false" customHeight="false" outlineLevel="0" collapsed="false">
      <c r="A1258" s="56" t="s">
        <v>2632</v>
      </c>
      <c r="B1258" s="56" t="s">
        <v>1235</v>
      </c>
      <c r="C1258" s="56" t="s">
        <v>692</v>
      </c>
      <c r="D1258" s="56" t="str">
        <f aca="false">IFERROR(INDEX('Brand Map'!$B$4:$B$124,MATCH(C1258,'Brand Map'!$A$4:$A$124,0)),"Other")</f>
        <v>Other (small prefixes)</v>
      </c>
      <c r="E1258" s="57" t="n">
        <v>1</v>
      </c>
      <c r="F1258" s="57" t="n">
        <v>0</v>
      </c>
      <c r="G1258" s="58" t="n">
        <v>34.95</v>
      </c>
      <c r="H1258" s="58" t="n">
        <v>0</v>
      </c>
      <c r="I1258" s="58" t="n">
        <v>34.95</v>
      </c>
      <c r="J1258" s="32" t="n">
        <f aca="false">IF(E1258&gt;0,F1258/E1258,0)</f>
        <v>0</v>
      </c>
      <c r="K1258" s="32" t="n">
        <f aca="false">IF(G1258&gt;0,H1258/G1258,0)</f>
        <v>-0</v>
      </c>
      <c r="L1258" s="59" t="n">
        <f aca="false">H1258/Settings!$B$16</f>
        <v>-0</v>
      </c>
      <c r="M1258" s="59" t="n">
        <f aca="false">H1258/Settings!$B$20</f>
        <v>-0</v>
      </c>
      <c r="N1258" s="60" t="n">
        <f aca="false">E1258*Settings!$B$3</f>
        <v>0.0309861510798204</v>
      </c>
      <c r="O1258" s="60" t="n">
        <f aca="false">IF(E1258&gt;0,(F1258-N1258)/SQRT(E1258*Settings!$B$3*(1-Settings!$B$3)),0)</f>
        <v>-0.178821125934444</v>
      </c>
      <c r="P1258" s="60" t="n">
        <f aca="false">MAX(0,F1258-N1258)</f>
        <v>0</v>
      </c>
      <c r="Q1258" s="32" t="n">
        <f aca="false">(F1258+Settings!$B$7*Settings!$B$3)/(E1258+Settings!$B$7)</f>
        <v>0.0299865978191811</v>
      </c>
      <c r="R1258" s="61" t="n">
        <f aca="false">PERCENTRANK($H$2:$H$1780,H1258,6)</f>
        <v>0</v>
      </c>
      <c r="S1258" s="61" t="n">
        <f aca="false">PERCENTRANK($Q$2:$Q$1780,Q1258,6)</f>
        <v>0.486502</v>
      </c>
      <c r="T1258" s="61" t="n">
        <f aca="false">PERCENTRANK($F$2:$F$1780,F1258,6)</f>
        <v>0</v>
      </c>
      <c r="U1258" s="62" t="n">
        <f aca="false">IF(F1258&gt;0,(Settings!$B$8*T1258+Settings!$B$9*R1258+Settings!$B$10*S1258)/SUM(Settings!$B$8:$B$10),0)</f>
        <v>0</v>
      </c>
      <c r="V1258" s="56" t="str">
        <f aca="false">IF(U1258&gt;0,RANK(U1258,$U$2:$U$1780)+COUNTIF($U$2:U1258,U1258)-1,"")</f>
        <v/>
      </c>
      <c r="W1258" s="56" t="str">
        <f aca="false">IF(V1258="","",IF(V1258&lt;=Settings!$B$11,"1 - Fix first",IF(V1258&lt;=Settings!$B$12,"2 - Review","3 - Monitor")))</f>
        <v/>
      </c>
      <c r="X1258" s="56" t="str">
        <f aca="false">IF(AND(E1258&gt;=Settings!$B$4,F1258&gt;=Settings!$B$5,O1258&gt;=Settings!$B$6),"HIGH RATE","")</f>
        <v/>
      </c>
      <c r="Y1258" s="56" t="str">
        <f aca="false">IF(F1258&gt;0,RANK(F1258,$F$2:$F$1780)+COUNTIF($F$2:F1258,F1258)-1,"")</f>
        <v/>
      </c>
      <c r="Z1258" s="56" t="str">
        <f aca="false">IF(H1258&gt;0,RANK(H1258,$H$2:$H$1780)+COUNTIF($H$2:H1258,H1258)-1,"")</f>
        <v/>
      </c>
      <c r="AA1258" s="56" t="str">
        <f aca="false">IF(AC1258="","",RANK(AC1258,$AC$2:$AC$1780)+COUNTIF($AC$2:AC1258,AC1258)-1)</f>
        <v/>
      </c>
      <c r="AB1258" s="56" t="str">
        <f aca="false">IF(AD1258="","",RANK(AD1258,$AD$2:$AD$1780)+COUNTIF($AD$2:AD1258,AD1258)-1)</f>
        <v/>
      </c>
      <c r="AC1258" s="56" t="str">
        <f aca="false">IF(AND(F1258&gt;0,E1258&gt;=Settings!$B$4),J1258,"")</f>
        <v/>
      </c>
      <c r="AD1258" s="56" t="str">
        <f aca="false">IF(X1258="HIGH RATE",O1258,"")</f>
        <v/>
      </c>
    </row>
    <row r="1259" customFormat="false" ht="15" hidden="false" customHeight="false" outlineLevel="0" collapsed="false">
      <c r="A1259" s="56" t="s">
        <v>2633</v>
      </c>
      <c r="B1259" s="56" t="s">
        <v>2634</v>
      </c>
      <c r="C1259" s="56" t="s">
        <v>692</v>
      </c>
      <c r="D1259" s="56" t="str">
        <f aca="false">IFERROR(INDEX('Brand Map'!$B$4:$B$124,MATCH(C1259,'Brand Map'!$A$4:$A$124,0)),"Other")</f>
        <v>Other (small prefixes)</v>
      </c>
      <c r="E1259" s="57" t="n">
        <v>2</v>
      </c>
      <c r="F1259" s="57" t="n">
        <v>0</v>
      </c>
      <c r="G1259" s="58" t="n">
        <v>84.9</v>
      </c>
      <c r="H1259" s="58" t="n">
        <v>0</v>
      </c>
      <c r="I1259" s="58" t="n">
        <v>84.9</v>
      </c>
      <c r="J1259" s="32" t="n">
        <f aca="false">IF(E1259&gt;0,F1259/E1259,0)</f>
        <v>0</v>
      </c>
      <c r="K1259" s="32" t="n">
        <f aca="false">IF(G1259&gt;0,H1259/G1259,0)</f>
        <v>-0</v>
      </c>
      <c r="L1259" s="59" t="n">
        <f aca="false">H1259/Settings!$B$16</f>
        <v>-0</v>
      </c>
      <c r="M1259" s="59" t="n">
        <f aca="false">H1259/Settings!$B$20</f>
        <v>-0</v>
      </c>
      <c r="N1259" s="60" t="n">
        <f aca="false">E1259*Settings!$B$3</f>
        <v>0.0619723021596408</v>
      </c>
      <c r="O1259" s="60" t="n">
        <f aca="false">IF(E1259&gt;0,(F1259-N1259)/SQRT(E1259*Settings!$B$3*(1-Settings!$B$3)),0)</f>
        <v>-0.252891261535318</v>
      </c>
      <c r="P1259" s="60" t="n">
        <f aca="false">MAX(0,F1259-N1259)</f>
        <v>0</v>
      </c>
      <c r="Q1259" s="32" t="n">
        <f aca="false">(F1259+Settings!$B$7*Settings!$B$3)/(E1259+Settings!$B$7)</f>
        <v>0.0290495166373316</v>
      </c>
      <c r="R1259" s="61" t="n">
        <f aca="false">PERCENTRANK($H$2:$H$1780,H1259,6)</f>
        <v>0</v>
      </c>
      <c r="S1259" s="61" t="n">
        <f aca="false">PERCENTRANK($Q$2:$Q$1780,Q1259,6)</f>
        <v>0.365579</v>
      </c>
      <c r="T1259" s="61" t="n">
        <f aca="false">PERCENTRANK($F$2:$F$1780,F1259,6)</f>
        <v>0</v>
      </c>
      <c r="U1259" s="62" t="n">
        <f aca="false">IF(F1259&gt;0,(Settings!$B$8*T1259+Settings!$B$9*R1259+Settings!$B$10*S1259)/SUM(Settings!$B$8:$B$10),0)</f>
        <v>0</v>
      </c>
      <c r="V1259" s="56" t="str">
        <f aca="false">IF(U1259&gt;0,RANK(U1259,$U$2:$U$1780)+COUNTIF($U$2:U1259,U1259)-1,"")</f>
        <v/>
      </c>
      <c r="W1259" s="56" t="str">
        <f aca="false">IF(V1259="","",IF(V1259&lt;=Settings!$B$11,"1 - Fix first",IF(V1259&lt;=Settings!$B$12,"2 - Review","3 - Monitor")))</f>
        <v/>
      </c>
      <c r="X1259" s="56" t="str">
        <f aca="false">IF(AND(E1259&gt;=Settings!$B$4,F1259&gt;=Settings!$B$5,O1259&gt;=Settings!$B$6),"HIGH RATE","")</f>
        <v/>
      </c>
      <c r="Y1259" s="56" t="str">
        <f aca="false">IF(F1259&gt;0,RANK(F1259,$F$2:$F$1780)+COUNTIF($F$2:F1259,F1259)-1,"")</f>
        <v/>
      </c>
      <c r="Z1259" s="56" t="str">
        <f aca="false">IF(H1259&gt;0,RANK(H1259,$H$2:$H$1780)+COUNTIF($H$2:H1259,H1259)-1,"")</f>
        <v/>
      </c>
      <c r="AA1259" s="56" t="str">
        <f aca="false">IF(AC1259="","",RANK(AC1259,$AC$2:$AC$1780)+COUNTIF($AC$2:AC1259,AC1259)-1)</f>
        <v/>
      </c>
      <c r="AB1259" s="56" t="str">
        <f aca="false">IF(AD1259="","",RANK(AD1259,$AD$2:$AD$1780)+COUNTIF($AD$2:AD1259,AD1259)-1)</f>
        <v/>
      </c>
      <c r="AC1259" s="56" t="str">
        <f aca="false">IF(AND(F1259&gt;0,E1259&gt;=Settings!$B$4),J1259,"")</f>
        <v/>
      </c>
      <c r="AD1259" s="56" t="str">
        <f aca="false">IF(X1259="HIGH RATE",O1259,"")</f>
        <v/>
      </c>
    </row>
    <row r="1260" customFormat="false" ht="15" hidden="false" customHeight="false" outlineLevel="0" collapsed="false">
      <c r="A1260" s="56" t="s">
        <v>2635</v>
      </c>
      <c r="B1260" s="56" t="s">
        <v>2634</v>
      </c>
      <c r="C1260" s="56" t="s">
        <v>692</v>
      </c>
      <c r="D1260" s="56" t="str">
        <f aca="false">IFERROR(INDEX('Brand Map'!$B$4:$B$124,MATCH(C1260,'Brand Map'!$A$4:$A$124,0)),"Other")</f>
        <v>Other (small prefixes)</v>
      </c>
      <c r="E1260" s="57" t="n">
        <v>1</v>
      </c>
      <c r="F1260" s="57" t="n">
        <v>0</v>
      </c>
      <c r="G1260" s="58" t="n">
        <v>49.95</v>
      </c>
      <c r="H1260" s="58" t="n">
        <v>0</v>
      </c>
      <c r="I1260" s="58" t="n">
        <v>49.95</v>
      </c>
      <c r="J1260" s="32" t="n">
        <f aca="false">IF(E1260&gt;0,F1260/E1260,0)</f>
        <v>0</v>
      </c>
      <c r="K1260" s="32" t="n">
        <f aca="false">IF(G1260&gt;0,H1260/G1260,0)</f>
        <v>-0</v>
      </c>
      <c r="L1260" s="59" t="n">
        <f aca="false">H1260/Settings!$B$16</f>
        <v>-0</v>
      </c>
      <c r="M1260" s="59" t="n">
        <f aca="false">H1260/Settings!$B$20</f>
        <v>-0</v>
      </c>
      <c r="N1260" s="60" t="n">
        <f aca="false">E1260*Settings!$B$3</f>
        <v>0.0309861510798204</v>
      </c>
      <c r="O1260" s="60" t="n">
        <f aca="false">IF(E1260&gt;0,(F1260-N1260)/SQRT(E1260*Settings!$B$3*(1-Settings!$B$3)),0)</f>
        <v>-0.178821125934444</v>
      </c>
      <c r="P1260" s="60" t="n">
        <f aca="false">MAX(0,F1260-N1260)</f>
        <v>0</v>
      </c>
      <c r="Q1260" s="32" t="n">
        <f aca="false">(F1260+Settings!$B$7*Settings!$B$3)/(E1260+Settings!$B$7)</f>
        <v>0.0299865978191811</v>
      </c>
      <c r="R1260" s="61" t="n">
        <f aca="false">PERCENTRANK($H$2:$H$1780,H1260,6)</f>
        <v>0</v>
      </c>
      <c r="S1260" s="61" t="n">
        <f aca="false">PERCENTRANK($Q$2:$Q$1780,Q1260,6)</f>
        <v>0.486502</v>
      </c>
      <c r="T1260" s="61" t="n">
        <f aca="false">PERCENTRANK($F$2:$F$1780,F1260,6)</f>
        <v>0</v>
      </c>
      <c r="U1260" s="62" t="n">
        <f aca="false">IF(F1260&gt;0,(Settings!$B$8*T1260+Settings!$B$9*R1260+Settings!$B$10*S1260)/SUM(Settings!$B$8:$B$10),0)</f>
        <v>0</v>
      </c>
      <c r="V1260" s="56" t="str">
        <f aca="false">IF(U1260&gt;0,RANK(U1260,$U$2:$U$1780)+COUNTIF($U$2:U1260,U1260)-1,"")</f>
        <v/>
      </c>
      <c r="W1260" s="56" t="str">
        <f aca="false">IF(V1260="","",IF(V1260&lt;=Settings!$B$11,"1 - Fix first",IF(V1260&lt;=Settings!$B$12,"2 - Review","3 - Monitor")))</f>
        <v/>
      </c>
      <c r="X1260" s="56" t="str">
        <f aca="false">IF(AND(E1260&gt;=Settings!$B$4,F1260&gt;=Settings!$B$5,O1260&gt;=Settings!$B$6),"HIGH RATE","")</f>
        <v/>
      </c>
      <c r="Y1260" s="56" t="str">
        <f aca="false">IF(F1260&gt;0,RANK(F1260,$F$2:$F$1780)+COUNTIF($F$2:F1260,F1260)-1,"")</f>
        <v/>
      </c>
      <c r="Z1260" s="56" t="str">
        <f aca="false">IF(H1260&gt;0,RANK(H1260,$H$2:$H$1780)+COUNTIF($H$2:H1260,H1260)-1,"")</f>
        <v/>
      </c>
      <c r="AA1260" s="56" t="str">
        <f aca="false">IF(AC1260="","",RANK(AC1260,$AC$2:$AC$1780)+COUNTIF($AC$2:AC1260,AC1260)-1)</f>
        <v/>
      </c>
      <c r="AB1260" s="56" t="str">
        <f aca="false">IF(AD1260="","",RANK(AD1260,$AD$2:$AD$1780)+COUNTIF($AD$2:AD1260,AD1260)-1)</f>
        <v/>
      </c>
      <c r="AC1260" s="56" t="str">
        <f aca="false">IF(AND(F1260&gt;0,E1260&gt;=Settings!$B$4),J1260,"")</f>
        <v/>
      </c>
      <c r="AD1260" s="56" t="str">
        <f aca="false">IF(X1260="HIGH RATE",O1260,"")</f>
        <v/>
      </c>
    </row>
    <row r="1261" customFormat="false" ht="15" hidden="false" customHeight="false" outlineLevel="0" collapsed="false">
      <c r="A1261" s="56" t="s">
        <v>2636</v>
      </c>
      <c r="B1261" s="56" t="s">
        <v>2634</v>
      </c>
      <c r="C1261" s="56" t="s">
        <v>692</v>
      </c>
      <c r="D1261" s="56" t="str">
        <f aca="false">IFERROR(INDEX('Brand Map'!$B$4:$B$124,MATCH(C1261,'Brand Map'!$A$4:$A$124,0)),"Other")</f>
        <v>Other (small prefixes)</v>
      </c>
      <c r="E1261" s="57" t="n">
        <v>2</v>
      </c>
      <c r="F1261" s="57" t="n">
        <v>0</v>
      </c>
      <c r="G1261" s="58" t="n">
        <v>69.9</v>
      </c>
      <c r="H1261" s="58" t="n">
        <v>0</v>
      </c>
      <c r="I1261" s="58" t="n">
        <v>69.9</v>
      </c>
      <c r="J1261" s="32" t="n">
        <f aca="false">IF(E1261&gt;0,F1261/E1261,0)</f>
        <v>0</v>
      </c>
      <c r="K1261" s="32" t="n">
        <f aca="false">IF(G1261&gt;0,H1261/G1261,0)</f>
        <v>-0</v>
      </c>
      <c r="L1261" s="59" t="n">
        <f aca="false">H1261/Settings!$B$16</f>
        <v>-0</v>
      </c>
      <c r="M1261" s="59" t="n">
        <f aca="false">H1261/Settings!$B$20</f>
        <v>-0</v>
      </c>
      <c r="N1261" s="60" t="n">
        <f aca="false">E1261*Settings!$B$3</f>
        <v>0.0619723021596408</v>
      </c>
      <c r="O1261" s="60" t="n">
        <f aca="false">IF(E1261&gt;0,(F1261-N1261)/SQRT(E1261*Settings!$B$3*(1-Settings!$B$3)),0)</f>
        <v>-0.252891261535318</v>
      </c>
      <c r="P1261" s="60" t="n">
        <f aca="false">MAX(0,F1261-N1261)</f>
        <v>0</v>
      </c>
      <c r="Q1261" s="32" t="n">
        <f aca="false">(F1261+Settings!$B$7*Settings!$B$3)/(E1261+Settings!$B$7)</f>
        <v>0.0290495166373316</v>
      </c>
      <c r="R1261" s="61" t="n">
        <f aca="false">PERCENTRANK($H$2:$H$1780,H1261,6)</f>
        <v>0</v>
      </c>
      <c r="S1261" s="61" t="n">
        <f aca="false">PERCENTRANK($Q$2:$Q$1780,Q1261,6)</f>
        <v>0.365579</v>
      </c>
      <c r="T1261" s="61" t="n">
        <f aca="false">PERCENTRANK($F$2:$F$1780,F1261,6)</f>
        <v>0</v>
      </c>
      <c r="U1261" s="62" t="n">
        <f aca="false">IF(F1261&gt;0,(Settings!$B$8*T1261+Settings!$B$9*R1261+Settings!$B$10*S1261)/SUM(Settings!$B$8:$B$10),0)</f>
        <v>0</v>
      </c>
      <c r="V1261" s="56" t="str">
        <f aca="false">IF(U1261&gt;0,RANK(U1261,$U$2:$U$1780)+COUNTIF($U$2:U1261,U1261)-1,"")</f>
        <v/>
      </c>
      <c r="W1261" s="56" t="str">
        <f aca="false">IF(V1261="","",IF(V1261&lt;=Settings!$B$11,"1 - Fix first",IF(V1261&lt;=Settings!$B$12,"2 - Review","3 - Monitor")))</f>
        <v/>
      </c>
      <c r="X1261" s="56" t="str">
        <f aca="false">IF(AND(E1261&gt;=Settings!$B$4,F1261&gt;=Settings!$B$5,O1261&gt;=Settings!$B$6),"HIGH RATE","")</f>
        <v/>
      </c>
      <c r="Y1261" s="56" t="str">
        <f aca="false">IF(F1261&gt;0,RANK(F1261,$F$2:$F$1780)+COUNTIF($F$2:F1261,F1261)-1,"")</f>
        <v/>
      </c>
      <c r="Z1261" s="56" t="str">
        <f aca="false">IF(H1261&gt;0,RANK(H1261,$H$2:$H$1780)+COUNTIF($H$2:H1261,H1261)-1,"")</f>
        <v/>
      </c>
      <c r="AA1261" s="56" t="str">
        <f aca="false">IF(AC1261="","",RANK(AC1261,$AC$2:$AC$1780)+COUNTIF($AC$2:AC1261,AC1261)-1)</f>
        <v/>
      </c>
      <c r="AB1261" s="56" t="str">
        <f aca="false">IF(AD1261="","",RANK(AD1261,$AD$2:$AD$1780)+COUNTIF($AD$2:AD1261,AD1261)-1)</f>
        <v/>
      </c>
      <c r="AC1261" s="56" t="str">
        <f aca="false">IF(AND(F1261&gt;0,E1261&gt;=Settings!$B$4),J1261,"")</f>
        <v/>
      </c>
      <c r="AD1261" s="56" t="str">
        <f aca="false">IF(X1261="HIGH RATE",O1261,"")</f>
        <v/>
      </c>
    </row>
    <row r="1262" customFormat="false" ht="15" hidden="false" customHeight="false" outlineLevel="0" collapsed="false">
      <c r="A1262" s="56" t="s">
        <v>331</v>
      </c>
      <c r="B1262" s="56" t="s">
        <v>546</v>
      </c>
      <c r="C1262" s="56" t="s">
        <v>79</v>
      </c>
      <c r="D1262" s="56" t="str">
        <f aca="false">IFERROR(INDEX('Brand Map'!$B$4:$B$124,MATCH(C1262,'Brand Map'!$A$4:$A$124,0)),"Other")</f>
        <v>AUSMJ</v>
      </c>
      <c r="E1262" s="57" t="n">
        <v>5</v>
      </c>
      <c r="F1262" s="57" t="n">
        <v>0</v>
      </c>
      <c r="G1262" s="58" t="n">
        <v>449.75</v>
      </c>
      <c r="H1262" s="58" t="n">
        <v>0</v>
      </c>
      <c r="I1262" s="58" t="n">
        <v>449.75</v>
      </c>
      <c r="J1262" s="32" t="n">
        <f aca="false">IF(E1262&gt;0,F1262/E1262,0)</f>
        <v>0</v>
      </c>
      <c r="K1262" s="32" t="n">
        <f aca="false">IF(G1262&gt;0,H1262/G1262,0)</f>
        <v>-0</v>
      </c>
      <c r="L1262" s="59" t="n">
        <f aca="false">H1262/Settings!$B$16</f>
        <v>-0</v>
      </c>
      <c r="M1262" s="59" t="n">
        <f aca="false">H1262/Settings!$B$20</f>
        <v>-0</v>
      </c>
      <c r="N1262" s="60" t="n">
        <f aca="false">E1262*Settings!$B$3</f>
        <v>0.154930755399102</v>
      </c>
      <c r="O1262" s="60" t="n">
        <f aca="false">IF(E1262&gt;0,(F1262-N1262)/SQRT(E1262*Settings!$B$3*(1-Settings!$B$3)),0)</f>
        <v>-0.399856193402468</v>
      </c>
      <c r="P1262" s="60" t="n">
        <f aca="false">MAX(0,F1262-N1262)</f>
        <v>0</v>
      </c>
      <c r="Q1262" s="32" t="n">
        <f aca="false">(F1262+Settings!$B$7*Settings!$B$3)/(E1262+Settings!$B$7)</f>
        <v>0.0265595580684175</v>
      </c>
      <c r="R1262" s="61" t="n">
        <f aca="false">PERCENTRANK($H$2:$H$1780,H1262,6)</f>
        <v>0</v>
      </c>
      <c r="S1262" s="61" t="n">
        <f aca="false">PERCENTRANK($Q$2:$Q$1780,Q1262,6)</f>
        <v>0.220472</v>
      </c>
      <c r="T1262" s="61" t="n">
        <f aca="false">PERCENTRANK($F$2:$F$1780,F1262,6)</f>
        <v>0</v>
      </c>
      <c r="U1262" s="62" t="n">
        <f aca="false">IF(F1262&gt;0,(Settings!$B$8*T1262+Settings!$B$9*R1262+Settings!$B$10*S1262)/SUM(Settings!$B$8:$B$10),0)</f>
        <v>0</v>
      </c>
      <c r="V1262" s="56" t="str">
        <f aca="false">IF(U1262&gt;0,RANK(U1262,$U$2:$U$1780)+COUNTIF($U$2:U1262,U1262)-1,"")</f>
        <v/>
      </c>
      <c r="W1262" s="56" t="str">
        <f aca="false">IF(V1262="","",IF(V1262&lt;=Settings!$B$11,"1 - Fix first",IF(V1262&lt;=Settings!$B$12,"2 - Review","3 - Monitor")))</f>
        <v/>
      </c>
      <c r="X1262" s="56" t="str">
        <f aca="false">IF(AND(E1262&gt;=Settings!$B$4,F1262&gt;=Settings!$B$5,O1262&gt;=Settings!$B$6),"HIGH RATE","")</f>
        <v/>
      </c>
      <c r="Y1262" s="56" t="str">
        <f aca="false">IF(F1262&gt;0,RANK(F1262,$F$2:$F$1780)+COUNTIF($F$2:F1262,F1262)-1,"")</f>
        <v/>
      </c>
      <c r="Z1262" s="56" t="str">
        <f aca="false">IF(H1262&gt;0,RANK(H1262,$H$2:$H$1780)+COUNTIF($H$2:H1262,H1262)-1,"")</f>
        <v/>
      </c>
      <c r="AA1262" s="56" t="str">
        <f aca="false">IF(AC1262="","",RANK(AC1262,$AC$2:$AC$1780)+COUNTIF($AC$2:AC1262,AC1262)-1)</f>
        <v/>
      </c>
      <c r="AB1262" s="56" t="str">
        <f aca="false">IF(AD1262="","",RANK(AD1262,$AD$2:$AD$1780)+COUNTIF($AD$2:AD1262,AD1262)-1)</f>
        <v/>
      </c>
      <c r="AC1262" s="56" t="str">
        <f aca="false">IF(AND(F1262&gt;0,E1262&gt;=Settings!$B$4),J1262,"")</f>
        <v/>
      </c>
      <c r="AD1262" s="56" t="str">
        <f aca="false">IF(X1262="HIGH RATE",O1262,"")</f>
        <v/>
      </c>
    </row>
    <row r="1263" customFormat="false" ht="15" hidden="false" customHeight="false" outlineLevel="0" collapsed="false">
      <c r="A1263" s="56" t="s">
        <v>332</v>
      </c>
      <c r="B1263" s="56" t="s">
        <v>546</v>
      </c>
      <c r="C1263" s="56" t="s">
        <v>79</v>
      </c>
      <c r="D1263" s="56" t="str">
        <f aca="false">IFERROR(INDEX('Brand Map'!$B$4:$B$124,MATCH(C1263,'Brand Map'!$A$4:$A$124,0)),"Other")</f>
        <v>AUSMJ</v>
      </c>
      <c r="E1263" s="57" t="n">
        <v>2</v>
      </c>
      <c r="F1263" s="57" t="n">
        <v>0</v>
      </c>
      <c r="G1263" s="58" t="n">
        <v>209.9</v>
      </c>
      <c r="H1263" s="58" t="n">
        <v>0</v>
      </c>
      <c r="I1263" s="58" t="n">
        <v>209.9</v>
      </c>
      <c r="J1263" s="32" t="n">
        <f aca="false">IF(E1263&gt;0,F1263/E1263,0)</f>
        <v>0</v>
      </c>
      <c r="K1263" s="32" t="n">
        <f aca="false">IF(G1263&gt;0,H1263/G1263,0)</f>
        <v>-0</v>
      </c>
      <c r="L1263" s="59" t="n">
        <f aca="false">H1263/Settings!$B$16</f>
        <v>-0</v>
      </c>
      <c r="M1263" s="59" t="n">
        <f aca="false">H1263/Settings!$B$20</f>
        <v>-0</v>
      </c>
      <c r="N1263" s="60" t="n">
        <f aca="false">E1263*Settings!$B$3</f>
        <v>0.0619723021596408</v>
      </c>
      <c r="O1263" s="60" t="n">
        <f aca="false">IF(E1263&gt;0,(F1263-N1263)/SQRT(E1263*Settings!$B$3*(1-Settings!$B$3)),0)</f>
        <v>-0.252891261535318</v>
      </c>
      <c r="P1263" s="60" t="n">
        <f aca="false">MAX(0,F1263-N1263)</f>
        <v>0</v>
      </c>
      <c r="Q1263" s="32" t="n">
        <f aca="false">(F1263+Settings!$B$7*Settings!$B$3)/(E1263+Settings!$B$7)</f>
        <v>0.0290495166373316</v>
      </c>
      <c r="R1263" s="61" t="n">
        <f aca="false">PERCENTRANK($H$2:$H$1780,H1263,6)</f>
        <v>0</v>
      </c>
      <c r="S1263" s="61" t="n">
        <f aca="false">PERCENTRANK($Q$2:$Q$1780,Q1263,6)</f>
        <v>0.365579</v>
      </c>
      <c r="T1263" s="61" t="n">
        <f aca="false">PERCENTRANK($F$2:$F$1780,F1263,6)</f>
        <v>0</v>
      </c>
      <c r="U1263" s="62" t="n">
        <f aca="false">IF(F1263&gt;0,(Settings!$B$8*T1263+Settings!$B$9*R1263+Settings!$B$10*S1263)/SUM(Settings!$B$8:$B$10),0)</f>
        <v>0</v>
      </c>
      <c r="V1263" s="56" t="str">
        <f aca="false">IF(U1263&gt;0,RANK(U1263,$U$2:$U$1780)+COUNTIF($U$2:U1263,U1263)-1,"")</f>
        <v/>
      </c>
      <c r="W1263" s="56" t="str">
        <f aca="false">IF(V1263="","",IF(V1263&lt;=Settings!$B$11,"1 - Fix first",IF(V1263&lt;=Settings!$B$12,"2 - Review","3 - Monitor")))</f>
        <v/>
      </c>
      <c r="X1263" s="56" t="str">
        <f aca="false">IF(AND(E1263&gt;=Settings!$B$4,F1263&gt;=Settings!$B$5,O1263&gt;=Settings!$B$6),"HIGH RATE","")</f>
        <v/>
      </c>
      <c r="Y1263" s="56" t="str">
        <f aca="false">IF(F1263&gt;0,RANK(F1263,$F$2:$F$1780)+COUNTIF($F$2:F1263,F1263)-1,"")</f>
        <v/>
      </c>
      <c r="Z1263" s="56" t="str">
        <f aca="false">IF(H1263&gt;0,RANK(H1263,$H$2:$H$1780)+COUNTIF($H$2:H1263,H1263)-1,"")</f>
        <v/>
      </c>
      <c r="AA1263" s="56" t="str">
        <f aca="false">IF(AC1263="","",RANK(AC1263,$AC$2:$AC$1780)+COUNTIF($AC$2:AC1263,AC1263)-1)</f>
        <v/>
      </c>
      <c r="AB1263" s="56" t="str">
        <f aca="false">IF(AD1263="","",RANK(AD1263,$AD$2:$AD$1780)+COUNTIF($AD$2:AD1263,AD1263)-1)</f>
        <v/>
      </c>
      <c r="AC1263" s="56" t="str">
        <f aca="false">IF(AND(F1263&gt;0,E1263&gt;=Settings!$B$4),J1263,"")</f>
        <v/>
      </c>
      <c r="AD1263" s="56" t="str">
        <f aca="false">IF(X1263="HIGH RATE",O1263,"")</f>
        <v/>
      </c>
    </row>
    <row r="1264" customFormat="false" ht="15" hidden="false" customHeight="false" outlineLevel="0" collapsed="false">
      <c r="A1264" s="56" t="s">
        <v>2637</v>
      </c>
      <c r="B1264" s="56" t="s">
        <v>601</v>
      </c>
      <c r="C1264" s="56" t="s">
        <v>154</v>
      </c>
      <c r="D1264" s="56" t="str">
        <f aca="false">IFERROR(INDEX('Brand Map'!$B$4:$B$124,MATCH(C1264,'Brand Map'!$A$4:$A$124,0)),"Other")</f>
        <v>AUSRP</v>
      </c>
      <c r="E1264" s="57" t="n">
        <v>1</v>
      </c>
      <c r="F1264" s="57" t="n">
        <v>0</v>
      </c>
      <c r="G1264" s="58" t="n">
        <v>24.99</v>
      </c>
      <c r="H1264" s="58" t="n">
        <v>0</v>
      </c>
      <c r="I1264" s="58" t="n">
        <v>24.99</v>
      </c>
      <c r="J1264" s="32" t="n">
        <f aca="false">IF(E1264&gt;0,F1264/E1264,0)</f>
        <v>0</v>
      </c>
      <c r="K1264" s="32" t="n">
        <f aca="false">IF(G1264&gt;0,H1264/G1264,0)</f>
        <v>-0</v>
      </c>
      <c r="L1264" s="59" t="n">
        <f aca="false">H1264/Settings!$B$16</f>
        <v>-0</v>
      </c>
      <c r="M1264" s="59" t="n">
        <f aca="false">H1264/Settings!$B$20</f>
        <v>-0</v>
      </c>
      <c r="N1264" s="60" t="n">
        <f aca="false">E1264*Settings!$B$3</f>
        <v>0.0309861510798204</v>
      </c>
      <c r="O1264" s="60" t="n">
        <f aca="false">IF(E1264&gt;0,(F1264-N1264)/SQRT(E1264*Settings!$B$3*(1-Settings!$B$3)),0)</f>
        <v>-0.178821125934444</v>
      </c>
      <c r="P1264" s="60" t="n">
        <f aca="false">MAX(0,F1264-N1264)</f>
        <v>0</v>
      </c>
      <c r="Q1264" s="32" t="n">
        <f aca="false">(F1264+Settings!$B$7*Settings!$B$3)/(E1264+Settings!$B$7)</f>
        <v>0.0299865978191811</v>
      </c>
      <c r="R1264" s="61" t="n">
        <f aca="false">PERCENTRANK($H$2:$H$1780,H1264,6)</f>
        <v>0</v>
      </c>
      <c r="S1264" s="61" t="n">
        <f aca="false">PERCENTRANK($Q$2:$Q$1780,Q1264,6)</f>
        <v>0.486502</v>
      </c>
      <c r="T1264" s="61" t="n">
        <f aca="false">PERCENTRANK($F$2:$F$1780,F1264,6)</f>
        <v>0</v>
      </c>
      <c r="U1264" s="62" t="n">
        <f aca="false">IF(F1264&gt;0,(Settings!$B$8*T1264+Settings!$B$9*R1264+Settings!$B$10*S1264)/SUM(Settings!$B$8:$B$10),0)</f>
        <v>0</v>
      </c>
      <c r="V1264" s="56" t="str">
        <f aca="false">IF(U1264&gt;0,RANK(U1264,$U$2:$U$1780)+COUNTIF($U$2:U1264,U1264)-1,"")</f>
        <v/>
      </c>
      <c r="W1264" s="56" t="str">
        <f aca="false">IF(V1264="","",IF(V1264&lt;=Settings!$B$11,"1 - Fix first",IF(V1264&lt;=Settings!$B$12,"2 - Review","3 - Monitor")))</f>
        <v/>
      </c>
      <c r="X1264" s="56" t="str">
        <f aca="false">IF(AND(E1264&gt;=Settings!$B$4,F1264&gt;=Settings!$B$5,O1264&gt;=Settings!$B$6),"HIGH RATE","")</f>
        <v/>
      </c>
      <c r="Y1264" s="56" t="str">
        <f aca="false">IF(F1264&gt;0,RANK(F1264,$F$2:$F$1780)+COUNTIF($F$2:F1264,F1264)-1,"")</f>
        <v/>
      </c>
      <c r="Z1264" s="56" t="str">
        <f aca="false">IF(H1264&gt;0,RANK(H1264,$H$2:$H$1780)+COUNTIF($H$2:H1264,H1264)-1,"")</f>
        <v/>
      </c>
      <c r="AA1264" s="56" t="str">
        <f aca="false">IF(AC1264="","",RANK(AC1264,$AC$2:$AC$1780)+COUNTIF($AC$2:AC1264,AC1264)-1)</f>
        <v/>
      </c>
      <c r="AB1264" s="56" t="str">
        <f aca="false">IF(AD1264="","",RANK(AD1264,$AD$2:$AD$1780)+COUNTIF($AD$2:AD1264,AD1264)-1)</f>
        <v/>
      </c>
      <c r="AC1264" s="56" t="str">
        <f aca="false">IF(AND(F1264&gt;0,E1264&gt;=Settings!$B$4),J1264,"")</f>
        <v/>
      </c>
      <c r="AD1264" s="56" t="str">
        <f aca="false">IF(X1264="HIGH RATE",O1264,"")</f>
        <v/>
      </c>
    </row>
    <row r="1265" customFormat="false" ht="15" hidden="false" customHeight="false" outlineLevel="0" collapsed="false">
      <c r="A1265" s="56" t="s">
        <v>2638</v>
      </c>
      <c r="B1265" s="56" t="s">
        <v>601</v>
      </c>
      <c r="C1265" s="56" t="s">
        <v>154</v>
      </c>
      <c r="D1265" s="56" t="str">
        <f aca="false">IFERROR(INDEX('Brand Map'!$B$4:$B$124,MATCH(C1265,'Brand Map'!$A$4:$A$124,0)),"Other")</f>
        <v>AUSRP</v>
      </c>
      <c r="E1265" s="57" t="n">
        <v>4</v>
      </c>
      <c r="F1265" s="57" t="n">
        <v>0</v>
      </c>
      <c r="G1265" s="58" t="n">
        <v>39.96</v>
      </c>
      <c r="H1265" s="58" t="n">
        <v>0</v>
      </c>
      <c r="I1265" s="58" t="n">
        <v>39.96</v>
      </c>
      <c r="J1265" s="32" t="n">
        <f aca="false">IF(E1265&gt;0,F1265/E1265,0)</f>
        <v>0</v>
      </c>
      <c r="K1265" s="32" t="n">
        <f aca="false">IF(G1265&gt;0,H1265/G1265,0)</f>
        <v>-0</v>
      </c>
      <c r="L1265" s="59" t="n">
        <f aca="false">H1265/Settings!$B$16</f>
        <v>-0</v>
      </c>
      <c r="M1265" s="59" t="n">
        <f aca="false">H1265/Settings!$B$20</f>
        <v>-0</v>
      </c>
      <c r="N1265" s="60" t="n">
        <f aca="false">E1265*Settings!$B$3</f>
        <v>0.123944604319282</v>
      </c>
      <c r="O1265" s="60" t="n">
        <f aca="false">IF(E1265&gt;0,(F1265-N1265)/SQRT(E1265*Settings!$B$3*(1-Settings!$B$3)),0)</f>
        <v>-0.357642251868888</v>
      </c>
      <c r="P1265" s="60" t="n">
        <f aca="false">MAX(0,F1265-N1265)</f>
        <v>0</v>
      </c>
      <c r="Q1265" s="32" t="n">
        <f aca="false">(F1265+Settings!$B$7*Settings!$B$3)/(E1265+Settings!$B$7)</f>
        <v>0.027340721541018</v>
      </c>
      <c r="R1265" s="61" t="n">
        <f aca="false">PERCENTRANK($H$2:$H$1780,H1265,6)</f>
        <v>0</v>
      </c>
      <c r="S1265" s="61" t="n">
        <f aca="false">PERCENTRANK($Q$2:$Q$1780,Q1265,6)</f>
        <v>0.253656</v>
      </c>
      <c r="T1265" s="61" t="n">
        <f aca="false">PERCENTRANK($F$2:$F$1780,F1265,6)</f>
        <v>0</v>
      </c>
      <c r="U1265" s="62" t="n">
        <f aca="false">IF(F1265&gt;0,(Settings!$B$8*T1265+Settings!$B$9*R1265+Settings!$B$10*S1265)/SUM(Settings!$B$8:$B$10),0)</f>
        <v>0</v>
      </c>
      <c r="V1265" s="56" t="str">
        <f aca="false">IF(U1265&gt;0,RANK(U1265,$U$2:$U$1780)+COUNTIF($U$2:U1265,U1265)-1,"")</f>
        <v/>
      </c>
      <c r="W1265" s="56" t="str">
        <f aca="false">IF(V1265="","",IF(V1265&lt;=Settings!$B$11,"1 - Fix first",IF(V1265&lt;=Settings!$B$12,"2 - Review","3 - Monitor")))</f>
        <v/>
      </c>
      <c r="X1265" s="56" t="str">
        <f aca="false">IF(AND(E1265&gt;=Settings!$B$4,F1265&gt;=Settings!$B$5,O1265&gt;=Settings!$B$6),"HIGH RATE","")</f>
        <v/>
      </c>
      <c r="Y1265" s="56" t="str">
        <f aca="false">IF(F1265&gt;0,RANK(F1265,$F$2:$F$1780)+COUNTIF($F$2:F1265,F1265)-1,"")</f>
        <v/>
      </c>
      <c r="Z1265" s="56" t="str">
        <f aca="false">IF(H1265&gt;0,RANK(H1265,$H$2:$H$1780)+COUNTIF($H$2:H1265,H1265)-1,"")</f>
        <v/>
      </c>
      <c r="AA1265" s="56" t="str">
        <f aca="false">IF(AC1265="","",RANK(AC1265,$AC$2:$AC$1780)+COUNTIF($AC$2:AC1265,AC1265)-1)</f>
        <v/>
      </c>
      <c r="AB1265" s="56" t="str">
        <f aca="false">IF(AD1265="","",RANK(AD1265,$AD$2:$AD$1780)+COUNTIF($AD$2:AD1265,AD1265)-1)</f>
        <v/>
      </c>
      <c r="AC1265" s="56" t="str">
        <f aca="false">IF(AND(F1265&gt;0,E1265&gt;=Settings!$B$4),J1265,"")</f>
        <v/>
      </c>
      <c r="AD1265" s="56" t="str">
        <f aca="false">IF(X1265="HIGH RATE",O1265,"")</f>
        <v/>
      </c>
    </row>
    <row r="1266" customFormat="false" ht="15" hidden="false" customHeight="false" outlineLevel="0" collapsed="false">
      <c r="A1266" s="56" t="s">
        <v>2639</v>
      </c>
      <c r="B1266" s="56" t="s">
        <v>649</v>
      </c>
      <c r="C1266" s="56" t="s">
        <v>647</v>
      </c>
      <c r="D1266" s="56" t="str">
        <f aca="false">IFERROR(INDEX('Brand Map'!$B$4:$B$124,MATCH(C1266,'Brand Map'!$A$4:$A$124,0)),"Other")</f>
        <v>Other (small prefixes)</v>
      </c>
      <c r="E1266" s="57" t="n">
        <v>6</v>
      </c>
      <c r="F1266" s="57" t="n">
        <v>0</v>
      </c>
      <c r="G1266" s="58" t="n">
        <v>119.7</v>
      </c>
      <c r="H1266" s="58" t="n">
        <v>0</v>
      </c>
      <c r="I1266" s="58" t="n">
        <v>119.7</v>
      </c>
      <c r="J1266" s="32" t="n">
        <f aca="false">IF(E1266&gt;0,F1266/E1266,0)</f>
        <v>0</v>
      </c>
      <c r="K1266" s="32" t="n">
        <f aca="false">IF(G1266&gt;0,H1266/G1266,0)</f>
        <v>-0</v>
      </c>
      <c r="L1266" s="59" t="n">
        <f aca="false">H1266/Settings!$B$16</f>
        <v>-0</v>
      </c>
      <c r="M1266" s="59" t="n">
        <f aca="false">H1266/Settings!$B$20</f>
        <v>-0</v>
      </c>
      <c r="N1266" s="60" t="n">
        <f aca="false">E1266*Settings!$B$3</f>
        <v>0.185916906478923</v>
      </c>
      <c r="O1266" s="60" t="n">
        <f aca="false">IF(E1266&gt;0,(F1266-N1266)/SQRT(E1266*Settings!$B$3*(1-Settings!$B$3)),0)</f>
        <v>-0.43802051376936</v>
      </c>
      <c r="P1266" s="60" t="n">
        <f aca="false">MAX(0,F1266-N1266)</f>
        <v>0</v>
      </c>
      <c r="Q1266" s="32" t="n">
        <f aca="false">(F1266+Settings!$B$7*Settings!$B$3)/(E1266+Settings!$B$7)</f>
        <v>0.025821792566517</v>
      </c>
      <c r="R1266" s="61" t="n">
        <f aca="false">PERCENTRANK($H$2:$H$1780,H1266,6)</f>
        <v>0</v>
      </c>
      <c r="S1266" s="61" t="n">
        <f aca="false">PERCENTRANK($Q$2:$Q$1780,Q1266,6)</f>
        <v>0.189539</v>
      </c>
      <c r="T1266" s="61" t="n">
        <f aca="false">PERCENTRANK($F$2:$F$1780,F1266,6)</f>
        <v>0</v>
      </c>
      <c r="U1266" s="62" t="n">
        <f aca="false">IF(F1266&gt;0,(Settings!$B$8*T1266+Settings!$B$9*R1266+Settings!$B$10*S1266)/SUM(Settings!$B$8:$B$10),0)</f>
        <v>0</v>
      </c>
      <c r="V1266" s="56" t="str">
        <f aca="false">IF(U1266&gt;0,RANK(U1266,$U$2:$U$1780)+COUNTIF($U$2:U1266,U1266)-1,"")</f>
        <v/>
      </c>
      <c r="W1266" s="56" t="str">
        <f aca="false">IF(V1266="","",IF(V1266&lt;=Settings!$B$11,"1 - Fix first",IF(V1266&lt;=Settings!$B$12,"2 - Review","3 - Monitor")))</f>
        <v/>
      </c>
      <c r="X1266" s="56" t="str">
        <f aca="false">IF(AND(E1266&gt;=Settings!$B$4,F1266&gt;=Settings!$B$5,O1266&gt;=Settings!$B$6),"HIGH RATE","")</f>
        <v/>
      </c>
      <c r="Y1266" s="56" t="str">
        <f aca="false">IF(F1266&gt;0,RANK(F1266,$F$2:$F$1780)+COUNTIF($F$2:F1266,F1266)-1,"")</f>
        <v/>
      </c>
      <c r="Z1266" s="56" t="str">
        <f aca="false">IF(H1266&gt;0,RANK(H1266,$H$2:$H$1780)+COUNTIF($H$2:H1266,H1266)-1,"")</f>
        <v/>
      </c>
      <c r="AA1266" s="56" t="str">
        <f aca="false">IF(AC1266="","",RANK(AC1266,$AC$2:$AC$1780)+COUNTIF($AC$2:AC1266,AC1266)-1)</f>
        <v/>
      </c>
      <c r="AB1266" s="56" t="str">
        <f aca="false">IF(AD1266="","",RANK(AD1266,$AD$2:$AD$1780)+COUNTIF($AD$2:AD1266,AD1266)-1)</f>
        <v/>
      </c>
      <c r="AC1266" s="56" t="str">
        <f aca="false">IF(AND(F1266&gt;0,E1266&gt;=Settings!$B$4),J1266,"")</f>
        <v/>
      </c>
      <c r="AD1266" s="56" t="str">
        <f aca="false">IF(X1266="HIGH RATE",O1266,"")</f>
        <v/>
      </c>
    </row>
    <row r="1267" customFormat="false" ht="15" hidden="false" customHeight="false" outlineLevel="0" collapsed="false">
      <c r="A1267" s="56" t="s">
        <v>2640</v>
      </c>
      <c r="B1267" s="56" t="s">
        <v>1104</v>
      </c>
      <c r="C1267" s="56" t="s">
        <v>139</v>
      </c>
      <c r="D1267" s="56" t="str">
        <f aca="false">IFERROR(INDEX('Brand Map'!$B$4:$B$124,MATCH(C1267,'Brand Map'!$A$4:$A$124,0)),"Other")</f>
        <v>AUSTRT</v>
      </c>
      <c r="E1267" s="57" t="n">
        <v>1</v>
      </c>
      <c r="F1267" s="57" t="n">
        <v>0</v>
      </c>
      <c r="G1267" s="58" t="n">
        <v>49.95</v>
      </c>
      <c r="H1267" s="58" t="n">
        <v>0</v>
      </c>
      <c r="I1267" s="58" t="n">
        <v>49.95</v>
      </c>
      <c r="J1267" s="32" t="n">
        <f aca="false">IF(E1267&gt;0,F1267/E1267,0)</f>
        <v>0</v>
      </c>
      <c r="K1267" s="32" t="n">
        <f aca="false">IF(G1267&gt;0,H1267/G1267,0)</f>
        <v>-0</v>
      </c>
      <c r="L1267" s="59" t="n">
        <f aca="false">H1267/Settings!$B$16</f>
        <v>-0</v>
      </c>
      <c r="M1267" s="59" t="n">
        <f aca="false">H1267/Settings!$B$20</f>
        <v>-0</v>
      </c>
      <c r="N1267" s="60" t="n">
        <f aca="false">E1267*Settings!$B$3</f>
        <v>0.0309861510798204</v>
      </c>
      <c r="O1267" s="60" t="n">
        <f aca="false">IF(E1267&gt;0,(F1267-N1267)/SQRT(E1267*Settings!$B$3*(1-Settings!$B$3)),0)</f>
        <v>-0.178821125934444</v>
      </c>
      <c r="P1267" s="60" t="n">
        <f aca="false">MAX(0,F1267-N1267)</f>
        <v>0</v>
      </c>
      <c r="Q1267" s="32" t="n">
        <f aca="false">(F1267+Settings!$B$7*Settings!$B$3)/(E1267+Settings!$B$7)</f>
        <v>0.0299865978191811</v>
      </c>
      <c r="R1267" s="61" t="n">
        <f aca="false">PERCENTRANK($H$2:$H$1780,H1267,6)</f>
        <v>0</v>
      </c>
      <c r="S1267" s="61" t="n">
        <f aca="false">PERCENTRANK($Q$2:$Q$1780,Q1267,6)</f>
        <v>0.486502</v>
      </c>
      <c r="T1267" s="61" t="n">
        <f aca="false">PERCENTRANK($F$2:$F$1780,F1267,6)</f>
        <v>0</v>
      </c>
      <c r="U1267" s="62" t="n">
        <f aca="false">IF(F1267&gt;0,(Settings!$B$8*T1267+Settings!$B$9*R1267+Settings!$B$10*S1267)/SUM(Settings!$B$8:$B$10),0)</f>
        <v>0</v>
      </c>
      <c r="V1267" s="56" t="str">
        <f aca="false">IF(U1267&gt;0,RANK(U1267,$U$2:$U$1780)+COUNTIF($U$2:U1267,U1267)-1,"")</f>
        <v/>
      </c>
      <c r="W1267" s="56" t="str">
        <f aca="false">IF(V1267="","",IF(V1267&lt;=Settings!$B$11,"1 - Fix first",IF(V1267&lt;=Settings!$B$12,"2 - Review","3 - Monitor")))</f>
        <v/>
      </c>
      <c r="X1267" s="56" t="str">
        <f aca="false">IF(AND(E1267&gt;=Settings!$B$4,F1267&gt;=Settings!$B$5,O1267&gt;=Settings!$B$6),"HIGH RATE","")</f>
        <v/>
      </c>
      <c r="Y1267" s="56" t="str">
        <f aca="false">IF(F1267&gt;0,RANK(F1267,$F$2:$F$1780)+COUNTIF($F$2:F1267,F1267)-1,"")</f>
        <v/>
      </c>
      <c r="Z1267" s="56" t="str">
        <f aca="false">IF(H1267&gt;0,RANK(H1267,$H$2:$H$1780)+COUNTIF($H$2:H1267,H1267)-1,"")</f>
        <v/>
      </c>
      <c r="AA1267" s="56" t="str">
        <f aca="false">IF(AC1267="","",RANK(AC1267,$AC$2:$AC$1780)+COUNTIF($AC$2:AC1267,AC1267)-1)</f>
        <v/>
      </c>
      <c r="AB1267" s="56" t="str">
        <f aca="false">IF(AD1267="","",RANK(AD1267,$AD$2:$AD$1780)+COUNTIF($AD$2:AD1267,AD1267)-1)</f>
        <v/>
      </c>
      <c r="AC1267" s="56" t="str">
        <f aca="false">IF(AND(F1267&gt;0,E1267&gt;=Settings!$B$4),J1267,"")</f>
        <v/>
      </c>
      <c r="AD1267" s="56" t="str">
        <f aca="false">IF(X1267="HIGH RATE",O1267,"")</f>
        <v/>
      </c>
    </row>
    <row r="1268" customFormat="false" ht="15" hidden="false" customHeight="false" outlineLevel="0" collapsed="false">
      <c r="A1268" s="56" t="s">
        <v>2641</v>
      </c>
      <c r="B1268" s="56" t="s">
        <v>1104</v>
      </c>
      <c r="C1268" s="56" t="s">
        <v>139</v>
      </c>
      <c r="D1268" s="56" t="str">
        <f aca="false">IFERROR(INDEX('Brand Map'!$B$4:$B$124,MATCH(C1268,'Brand Map'!$A$4:$A$124,0)),"Other")</f>
        <v>AUSTRT</v>
      </c>
      <c r="E1268" s="57" t="n">
        <v>1</v>
      </c>
      <c r="F1268" s="57" t="n">
        <v>0</v>
      </c>
      <c r="G1268" s="58" t="n">
        <v>64.95</v>
      </c>
      <c r="H1268" s="58" t="n">
        <v>0</v>
      </c>
      <c r="I1268" s="58" t="n">
        <v>64.95</v>
      </c>
      <c r="J1268" s="32" t="n">
        <f aca="false">IF(E1268&gt;0,F1268/E1268,0)</f>
        <v>0</v>
      </c>
      <c r="K1268" s="32" t="n">
        <f aca="false">IF(G1268&gt;0,H1268/G1268,0)</f>
        <v>-0</v>
      </c>
      <c r="L1268" s="59" t="n">
        <f aca="false">H1268/Settings!$B$16</f>
        <v>-0</v>
      </c>
      <c r="M1268" s="59" t="n">
        <f aca="false">H1268/Settings!$B$20</f>
        <v>-0</v>
      </c>
      <c r="N1268" s="60" t="n">
        <f aca="false">E1268*Settings!$B$3</f>
        <v>0.0309861510798204</v>
      </c>
      <c r="O1268" s="60" t="n">
        <f aca="false">IF(E1268&gt;0,(F1268-N1268)/SQRT(E1268*Settings!$B$3*(1-Settings!$B$3)),0)</f>
        <v>-0.178821125934444</v>
      </c>
      <c r="P1268" s="60" t="n">
        <f aca="false">MAX(0,F1268-N1268)</f>
        <v>0</v>
      </c>
      <c r="Q1268" s="32" t="n">
        <f aca="false">(F1268+Settings!$B$7*Settings!$B$3)/(E1268+Settings!$B$7)</f>
        <v>0.0299865978191811</v>
      </c>
      <c r="R1268" s="61" t="n">
        <f aca="false">PERCENTRANK($H$2:$H$1780,H1268,6)</f>
        <v>0</v>
      </c>
      <c r="S1268" s="61" t="n">
        <f aca="false">PERCENTRANK($Q$2:$Q$1780,Q1268,6)</f>
        <v>0.486502</v>
      </c>
      <c r="T1268" s="61" t="n">
        <f aca="false">PERCENTRANK($F$2:$F$1780,F1268,6)</f>
        <v>0</v>
      </c>
      <c r="U1268" s="62" t="n">
        <f aca="false">IF(F1268&gt;0,(Settings!$B$8*T1268+Settings!$B$9*R1268+Settings!$B$10*S1268)/SUM(Settings!$B$8:$B$10),0)</f>
        <v>0</v>
      </c>
      <c r="V1268" s="56" t="str">
        <f aca="false">IF(U1268&gt;0,RANK(U1268,$U$2:$U$1780)+COUNTIF($U$2:U1268,U1268)-1,"")</f>
        <v/>
      </c>
      <c r="W1268" s="56" t="str">
        <f aca="false">IF(V1268="","",IF(V1268&lt;=Settings!$B$11,"1 - Fix first",IF(V1268&lt;=Settings!$B$12,"2 - Review","3 - Monitor")))</f>
        <v/>
      </c>
      <c r="X1268" s="56" t="str">
        <f aca="false">IF(AND(E1268&gt;=Settings!$B$4,F1268&gt;=Settings!$B$5,O1268&gt;=Settings!$B$6),"HIGH RATE","")</f>
        <v/>
      </c>
      <c r="Y1268" s="56" t="str">
        <f aca="false">IF(F1268&gt;0,RANK(F1268,$F$2:$F$1780)+COUNTIF($F$2:F1268,F1268)-1,"")</f>
        <v/>
      </c>
      <c r="Z1268" s="56" t="str">
        <f aca="false">IF(H1268&gt;0,RANK(H1268,$H$2:$H$1780)+COUNTIF($H$2:H1268,H1268)-1,"")</f>
        <v/>
      </c>
      <c r="AA1268" s="56" t="str">
        <f aca="false">IF(AC1268="","",RANK(AC1268,$AC$2:$AC$1780)+COUNTIF($AC$2:AC1268,AC1268)-1)</f>
        <v/>
      </c>
      <c r="AB1268" s="56" t="str">
        <f aca="false">IF(AD1268="","",RANK(AD1268,$AD$2:$AD$1780)+COUNTIF($AD$2:AD1268,AD1268)-1)</f>
        <v/>
      </c>
      <c r="AC1268" s="56" t="str">
        <f aca="false">IF(AND(F1268&gt;0,E1268&gt;=Settings!$B$4),J1268,"")</f>
        <v/>
      </c>
      <c r="AD1268" s="56" t="str">
        <f aca="false">IF(X1268="HIGH RATE",O1268,"")</f>
        <v/>
      </c>
    </row>
    <row r="1269" customFormat="false" ht="15" hidden="false" customHeight="false" outlineLevel="0" collapsed="false">
      <c r="A1269" s="56" t="s">
        <v>2642</v>
      </c>
      <c r="B1269" s="56" t="s">
        <v>1104</v>
      </c>
      <c r="C1269" s="56" t="s">
        <v>139</v>
      </c>
      <c r="D1269" s="56" t="str">
        <f aca="false">IFERROR(INDEX('Brand Map'!$B$4:$B$124,MATCH(C1269,'Brand Map'!$A$4:$A$124,0)),"Other")</f>
        <v>AUSTRT</v>
      </c>
      <c r="E1269" s="57" t="n">
        <v>4</v>
      </c>
      <c r="F1269" s="57" t="n">
        <v>0</v>
      </c>
      <c r="G1269" s="58" t="n">
        <v>139.8</v>
      </c>
      <c r="H1269" s="58" t="n">
        <v>0</v>
      </c>
      <c r="I1269" s="58" t="n">
        <v>139.8</v>
      </c>
      <c r="J1269" s="32" t="n">
        <f aca="false">IF(E1269&gt;0,F1269/E1269,0)</f>
        <v>0</v>
      </c>
      <c r="K1269" s="32" t="n">
        <f aca="false">IF(G1269&gt;0,H1269/G1269,0)</f>
        <v>-0</v>
      </c>
      <c r="L1269" s="59" t="n">
        <f aca="false">H1269/Settings!$B$16</f>
        <v>-0</v>
      </c>
      <c r="M1269" s="59" t="n">
        <f aca="false">H1269/Settings!$B$20</f>
        <v>-0</v>
      </c>
      <c r="N1269" s="60" t="n">
        <f aca="false">E1269*Settings!$B$3</f>
        <v>0.123944604319282</v>
      </c>
      <c r="O1269" s="60" t="n">
        <f aca="false">IF(E1269&gt;0,(F1269-N1269)/SQRT(E1269*Settings!$B$3*(1-Settings!$B$3)),0)</f>
        <v>-0.357642251868888</v>
      </c>
      <c r="P1269" s="60" t="n">
        <f aca="false">MAX(0,F1269-N1269)</f>
        <v>0</v>
      </c>
      <c r="Q1269" s="32" t="n">
        <f aca="false">(F1269+Settings!$B$7*Settings!$B$3)/(E1269+Settings!$B$7)</f>
        <v>0.027340721541018</v>
      </c>
      <c r="R1269" s="61" t="n">
        <f aca="false">PERCENTRANK($H$2:$H$1780,H1269,6)</f>
        <v>0</v>
      </c>
      <c r="S1269" s="61" t="n">
        <f aca="false">PERCENTRANK($Q$2:$Q$1780,Q1269,6)</f>
        <v>0.253656</v>
      </c>
      <c r="T1269" s="61" t="n">
        <f aca="false">PERCENTRANK($F$2:$F$1780,F1269,6)</f>
        <v>0</v>
      </c>
      <c r="U1269" s="62" t="n">
        <f aca="false">IF(F1269&gt;0,(Settings!$B$8*T1269+Settings!$B$9*R1269+Settings!$B$10*S1269)/SUM(Settings!$B$8:$B$10),0)</f>
        <v>0</v>
      </c>
      <c r="V1269" s="56" t="str">
        <f aca="false">IF(U1269&gt;0,RANK(U1269,$U$2:$U$1780)+COUNTIF($U$2:U1269,U1269)-1,"")</f>
        <v/>
      </c>
      <c r="W1269" s="56" t="str">
        <f aca="false">IF(V1269="","",IF(V1269&lt;=Settings!$B$11,"1 - Fix first",IF(V1269&lt;=Settings!$B$12,"2 - Review","3 - Monitor")))</f>
        <v/>
      </c>
      <c r="X1269" s="56" t="str">
        <f aca="false">IF(AND(E1269&gt;=Settings!$B$4,F1269&gt;=Settings!$B$5,O1269&gt;=Settings!$B$6),"HIGH RATE","")</f>
        <v/>
      </c>
      <c r="Y1269" s="56" t="str">
        <f aca="false">IF(F1269&gt;0,RANK(F1269,$F$2:$F$1780)+COUNTIF($F$2:F1269,F1269)-1,"")</f>
        <v/>
      </c>
      <c r="Z1269" s="56" t="str">
        <f aca="false">IF(H1269&gt;0,RANK(H1269,$H$2:$H$1780)+COUNTIF($H$2:H1269,H1269)-1,"")</f>
        <v/>
      </c>
      <c r="AA1269" s="56" t="str">
        <f aca="false">IF(AC1269="","",RANK(AC1269,$AC$2:$AC$1780)+COUNTIF($AC$2:AC1269,AC1269)-1)</f>
        <v/>
      </c>
      <c r="AB1269" s="56" t="str">
        <f aca="false">IF(AD1269="","",RANK(AD1269,$AD$2:$AD$1780)+COUNTIF($AD$2:AD1269,AD1269)-1)</f>
        <v/>
      </c>
      <c r="AC1269" s="56" t="str">
        <f aca="false">IF(AND(F1269&gt;0,E1269&gt;=Settings!$B$4),J1269,"")</f>
        <v/>
      </c>
      <c r="AD1269" s="56" t="str">
        <f aca="false">IF(X1269="HIGH RATE",O1269,"")</f>
        <v/>
      </c>
    </row>
    <row r="1270" customFormat="false" ht="15" hidden="false" customHeight="false" outlineLevel="0" collapsed="false">
      <c r="A1270" s="56" t="s">
        <v>2643</v>
      </c>
      <c r="B1270" s="56" t="s">
        <v>568</v>
      </c>
      <c r="C1270" s="56" t="s">
        <v>139</v>
      </c>
      <c r="D1270" s="56" t="str">
        <f aca="false">IFERROR(INDEX('Brand Map'!$B$4:$B$124,MATCH(C1270,'Brand Map'!$A$4:$A$124,0)),"Other")</f>
        <v>AUSTRT</v>
      </c>
      <c r="E1270" s="57" t="n">
        <v>3</v>
      </c>
      <c r="F1270" s="57" t="n">
        <v>0</v>
      </c>
      <c r="G1270" s="58" t="n">
        <v>149.85</v>
      </c>
      <c r="H1270" s="58" t="n">
        <v>0</v>
      </c>
      <c r="I1270" s="58" t="n">
        <v>149.85</v>
      </c>
      <c r="J1270" s="32" t="n">
        <f aca="false">IF(E1270&gt;0,F1270/E1270,0)</f>
        <v>0</v>
      </c>
      <c r="K1270" s="32" t="n">
        <f aca="false">IF(G1270&gt;0,H1270/G1270,0)</f>
        <v>-0</v>
      </c>
      <c r="L1270" s="59" t="n">
        <f aca="false">H1270/Settings!$B$16</f>
        <v>-0</v>
      </c>
      <c r="M1270" s="59" t="n">
        <f aca="false">H1270/Settings!$B$20</f>
        <v>-0</v>
      </c>
      <c r="N1270" s="60" t="n">
        <f aca="false">E1270*Settings!$B$3</f>
        <v>0.0929584532394613</v>
      </c>
      <c r="O1270" s="60" t="n">
        <f aca="false">IF(E1270&gt;0,(F1270-N1270)/SQRT(E1270*Settings!$B$3*(1-Settings!$B$3)),0)</f>
        <v>-0.30972727558513</v>
      </c>
      <c r="P1270" s="60" t="n">
        <f aca="false">MAX(0,F1270-N1270)</f>
        <v>0</v>
      </c>
      <c r="Q1270" s="32" t="n">
        <f aca="false">(F1270+Settings!$B$7*Settings!$B$3)/(E1270+Settings!$B$7)</f>
        <v>0.0281692282543822</v>
      </c>
      <c r="R1270" s="61" t="n">
        <f aca="false">PERCENTRANK($H$2:$H$1780,H1270,6)</f>
        <v>0</v>
      </c>
      <c r="S1270" s="61" t="n">
        <f aca="false">PERCENTRANK($Q$2:$Q$1780,Q1270,6)</f>
        <v>0.294151</v>
      </c>
      <c r="T1270" s="61" t="n">
        <f aca="false">PERCENTRANK($F$2:$F$1780,F1270,6)</f>
        <v>0</v>
      </c>
      <c r="U1270" s="62" t="n">
        <f aca="false">IF(F1270&gt;0,(Settings!$B$8*T1270+Settings!$B$9*R1270+Settings!$B$10*S1270)/SUM(Settings!$B$8:$B$10),0)</f>
        <v>0</v>
      </c>
      <c r="V1270" s="56" t="str">
        <f aca="false">IF(U1270&gt;0,RANK(U1270,$U$2:$U$1780)+COUNTIF($U$2:U1270,U1270)-1,"")</f>
        <v/>
      </c>
      <c r="W1270" s="56" t="str">
        <f aca="false">IF(V1270="","",IF(V1270&lt;=Settings!$B$11,"1 - Fix first",IF(V1270&lt;=Settings!$B$12,"2 - Review","3 - Monitor")))</f>
        <v/>
      </c>
      <c r="X1270" s="56" t="str">
        <f aca="false">IF(AND(E1270&gt;=Settings!$B$4,F1270&gt;=Settings!$B$5,O1270&gt;=Settings!$B$6),"HIGH RATE","")</f>
        <v/>
      </c>
      <c r="Y1270" s="56" t="str">
        <f aca="false">IF(F1270&gt;0,RANK(F1270,$F$2:$F$1780)+COUNTIF($F$2:F1270,F1270)-1,"")</f>
        <v/>
      </c>
      <c r="Z1270" s="56" t="str">
        <f aca="false">IF(H1270&gt;0,RANK(H1270,$H$2:$H$1780)+COUNTIF($H$2:H1270,H1270)-1,"")</f>
        <v/>
      </c>
      <c r="AA1270" s="56" t="str">
        <f aca="false">IF(AC1270="","",RANK(AC1270,$AC$2:$AC$1780)+COUNTIF($AC$2:AC1270,AC1270)-1)</f>
        <v/>
      </c>
      <c r="AB1270" s="56" t="str">
        <f aca="false">IF(AD1270="","",RANK(AD1270,$AD$2:$AD$1780)+COUNTIF($AD$2:AD1270,AD1270)-1)</f>
        <v/>
      </c>
      <c r="AC1270" s="56" t="str">
        <f aca="false">IF(AND(F1270&gt;0,E1270&gt;=Settings!$B$4),J1270,"")</f>
        <v/>
      </c>
      <c r="AD1270" s="56" t="str">
        <f aca="false">IF(X1270="HIGH RATE",O1270,"")</f>
        <v/>
      </c>
    </row>
    <row r="1271" customFormat="false" ht="15" hidden="false" customHeight="false" outlineLevel="0" collapsed="false">
      <c r="A1271" s="56" t="s">
        <v>2644</v>
      </c>
      <c r="B1271" s="56" t="s">
        <v>568</v>
      </c>
      <c r="C1271" s="56" t="s">
        <v>139</v>
      </c>
      <c r="D1271" s="56" t="str">
        <f aca="false">IFERROR(INDEX('Brand Map'!$B$4:$B$124,MATCH(C1271,'Brand Map'!$A$4:$A$124,0)),"Other")</f>
        <v>AUSTRT</v>
      </c>
      <c r="E1271" s="57" t="n">
        <v>2</v>
      </c>
      <c r="F1271" s="57" t="n">
        <v>0</v>
      </c>
      <c r="G1271" s="58" t="n">
        <v>159.9</v>
      </c>
      <c r="H1271" s="58" t="n">
        <v>0</v>
      </c>
      <c r="I1271" s="58" t="n">
        <v>159.9</v>
      </c>
      <c r="J1271" s="32" t="n">
        <f aca="false">IF(E1271&gt;0,F1271/E1271,0)</f>
        <v>0</v>
      </c>
      <c r="K1271" s="32" t="n">
        <f aca="false">IF(G1271&gt;0,H1271/G1271,0)</f>
        <v>-0</v>
      </c>
      <c r="L1271" s="59" t="n">
        <f aca="false">H1271/Settings!$B$16</f>
        <v>-0</v>
      </c>
      <c r="M1271" s="59" t="n">
        <f aca="false">H1271/Settings!$B$20</f>
        <v>-0</v>
      </c>
      <c r="N1271" s="60" t="n">
        <f aca="false">E1271*Settings!$B$3</f>
        <v>0.0619723021596408</v>
      </c>
      <c r="O1271" s="60" t="n">
        <f aca="false">IF(E1271&gt;0,(F1271-N1271)/SQRT(E1271*Settings!$B$3*(1-Settings!$B$3)),0)</f>
        <v>-0.252891261535318</v>
      </c>
      <c r="P1271" s="60" t="n">
        <f aca="false">MAX(0,F1271-N1271)</f>
        <v>0</v>
      </c>
      <c r="Q1271" s="32" t="n">
        <f aca="false">(F1271+Settings!$B$7*Settings!$B$3)/(E1271+Settings!$B$7)</f>
        <v>0.0290495166373316</v>
      </c>
      <c r="R1271" s="61" t="n">
        <f aca="false">PERCENTRANK($H$2:$H$1780,H1271,6)</f>
        <v>0</v>
      </c>
      <c r="S1271" s="61" t="n">
        <f aca="false">PERCENTRANK($Q$2:$Q$1780,Q1271,6)</f>
        <v>0.365579</v>
      </c>
      <c r="T1271" s="61" t="n">
        <f aca="false">PERCENTRANK($F$2:$F$1780,F1271,6)</f>
        <v>0</v>
      </c>
      <c r="U1271" s="62" t="n">
        <f aca="false">IF(F1271&gt;0,(Settings!$B$8*T1271+Settings!$B$9*R1271+Settings!$B$10*S1271)/SUM(Settings!$B$8:$B$10),0)</f>
        <v>0</v>
      </c>
      <c r="V1271" s="56" t="str">
        <f aca="false">IF(U1271&gt;0,RANK(U1271,$U$2:$U$1780)+COUNTIF($U$2:U1271,U1271)-1,"")</f>
        <v/>
      </c>
      <c r="W1271" s="56" t="str">
        <f aca="false">IF(V1271="","",IF(V1271&lt;=Settings!$B$11,"1 - Fix first",IF(V1271&lt;=Settings!$B$12,"2 - Review","3 - Monitor")))</f>
        <v/>
      </c>
      <c r="X1271" s="56" t="str">
        <f aca="false">IF(AND(E1271&gt;=Settings!$B$4,F1271&gt;=Settings!$B$5,O1271&gt;=Settings!$B$6),"HIGH RATE","")</f>
        <v/>
      </c>
      <c r="Y1271" s="56" t="str">
        <f aca="false">IF(F1271&gt;0,RANK(F1271,$F$2:$F$1780)+COUNTIF($F$2:F1271,F1271)-1,"")</f>
        <v/>
      </c>
      <c r="Z1271" s="56" t="str">
        <f aca="false">IF(H1271&gt;0,RANK(H1271,$H$2:$H$1780)+COUNTIF($H$2:H1271,H1271)-1,"")</f>
        <v/>
      </c>
      <c r="AA1271" s="56" t="str">
        <f aca="false">IF(AC1271="","",RANK(AC1271,$AC$2:$AC$1780)+COUNTIF($AC$2:AC1271,AC1271)-1)</f>
        <v/>
      </c>
      <c r="AB1271" s="56" t="str">
        <f aca="false">IF(AD1271="","",RANK(AD1271,$AD$2:$AD$1780)+COUNTIF($AD$2:AD1271,AD1271)-1)</f>
        <v/>
      </c>
      <c r="AC1271" s="56" t="str">
        <f aca="false">IF(AND(F1271&gt;0,E1271&gt;=Settings!$B$4),J1271,"")</f>
        <v/>
      </c>
      <c r="AD1271" s="56" t="str">
        <f aca="false">IF(X1271="HIGH RATE",O1271,"")</f>
        <v/>
      </c>
    </row>
    <row r="1272" customFormat="false" ht="15" hidden="false" customHeight="false" outlineLevel="0" collapsed="false">
      <c r="A1272" s="56" t="s">
        <v>2645</v>
      </c>
      <c r="B1272" s="56" t="s">
        <v>568</v>
      </c>
      <c r="C1272" s="56" t="s">
        <v>139</v>
      </c>
      <c r="D1272" s="56" t="str">
        <f aca="false">IFERROR(INDEX('Brand Map'!$B$4:$B$124,MATCH(C1272,'Brand Map'!$A$4:$A$124,0)),"Other")</f>
        <v>AUSTRT</v>
      </c>
      <c r="E1272" s="57" t="n">
        <v>27</v>
      </c>
      <c r="F1272" s="57" t="n">
        <v>0</v>
      </c>
      <c r="G1272" s="58" t="n">
        <v>943.65</v>
      </c>
      <c r="H1272" s="58" t="n">
        <v>0</v>
      </c>
      <c r="I1272" s="58" t="n">
        <v>943.65</v>
      </c>
      <c r="J1272" s="32" t="n">
        <f aca="false">IF(E1272&gt;0,F1272/E1272,0)</f>
        <v>0</v>
      </c>
      <c r="K1272" s="32" t="n">
        <f aca="false">IF(G1272&gt;0,H1272/G1272,0)</f>
        <v>-0</v>
      </c>
      <c r="L1272" s="59" t="n">
        <f aca="false">H1272/Settings!$B$16</f>
        <v>-0</v>
      </c>
      <c r="M1272" s="59" t="n">
        <f aca="false">H1272/Settings!$B$20</f>
        <v>-0</v>
      </c>
      <c r="N1272" s="60" t="n">
        <f aca="false">E1272*Settings!$B$3</f>
        <v>0.836626079155151</v>
      </c>
      <c r="O1272" s="60" t="n">
        <f aca="false">IF(E1272&gt;0,(F1272-N1272)/SQRT(E1272*Settings!$B$3*(1-Settings!$B$3)),0)</f>
        <v>-0.929181826755389</v>
      </c>
      <c r="P1272" s="60" t="n">
        <f aca="false">MAX(0,F1272-N1272)</f>
        <v>0</v>
      </c>
      <c r="Q1272" s="32" t="n">
        <f aca="false">(F1272+Settings!$B$7*Settings!$B$3)/(E1272+Settings!$B$7)</f>
        <v>0.0163085005683265</v>
      </c>
      <c r="R1272" s="61" t="n">
        <f aca="false">PERCENTRANK($H$2:$H$1780,H1272,6)</f>
        <v>0</v>
      </c>
      <c r="S1272" s="61" t="n">
        <f aca="false">PERCENTRANK($Q$2:$Q$1780,Q1272,6)</f>
        <v>0.0489314</v>
      </c>
      <c r="T1272" s="61" t="n">
        <f aca="false">PERCENTRANK($F$2:$F$1780,F1272,6)</f>
        <v>0</v>
      </c>
      <c r="U1272" s="62" t="n">
        <f aca="false">IF(F1272&gt;0,(Settings!$B$8*T1272+Settings!$B$9*R1272+Settings!$B$10*S1272)/SUM(Settings!$B$8:$B$10),0)</f>
        <v>0</v>
      </c>
      <c r="V1272" s="56" t="str">
        <f aca="false">IF(U1272&gt;0,RANK(U1272,$U$2:$U$1780)+COUNTIF($U$2:U1272,U1272)-1,"")</f>
        <v/>
      </c>
      <c r="W1272" s="56" t="str">
        <f aca="false">IF(V1272="","",IF(V1272&lt;=Settings!$B$11,"1 - Fix first",IF(V1272&lt;=Settings!$B$12,"2 - Review","3 - Monitor")))</f>
        <v/>
      </c>
      <c r="X1272" s="56" t="str">
        <f aca="false">IF(AND(E1272&gt;=Settings!$B$4,F1272&gt;=Settings!$B$5,O1272&gt;=Settings!$B$6),"HIGH RATE","")</f>
        <v/>
      </c>
      <c r="Y1272" s="56" t="str">
        <f aca="false">IF(F1272&gt;0,RANK(F1272,$F$2:$F$1780)+COUNTIF($F$2:F1272,F1272)-1,"")</f>
        <v/>
      </c>
      <c r="Z1272" s="56" t="str">
        <f aca="false">IF(H1272&gt;0,RANK(H1272,$H$2:$H$1780)+COUNTIF($H$2:H1272,H1272)-1,"")</f>
        <v/>
      </c>
      <c r="AA1272" s="56" t="str">
        <f aca="false">IF(AC1272="","",RANK(AC1272,$AC$2:$AC$1780)+COUNTIF($AC$2:AC1272,AC1272)-1)</f>
        <v/>
      </c>
      <c r="AB1272" s="56" t="str">
        <f aca="false">IF(AD1272="","",RANK(AD1272,$AD$2:$AD$1780)+COUNTIF($AD$2:AD1272,AD1272)-1)</f>
        <v/>
      </c>
      <c r="AC1272" s="56" t="str">
        <f aca="false">IF(AND(F1272&gt;0,E1272&gt;=Settings!$B$4),J1272,"")</f>
        <v/>
      </c>
      <c r="AD1272" s="56" t="str">
        <f aca="false">IF(X1272="HIGH RATE",O1272,"")</f>
        <v/>
      </c>
    </row>
    <row r="1273" customFormat="false" ht="15" hidden="false" customHeight="false" outlineLevel="0" collapsed="false">
      <c r="A1273" s="56" t="s">
        <v>2646</v>
      </c>
      <c r="B1273" s="56" t="s">
        <v>1428</v>
      </c>
      <c r="C1273" s="56" t="s">
        <v>139</v>
      </c>
      <c r="D1273" s="56" t="str">
        <f aca="false">IFERROR(INDEX('Brand Map'!$B$4:$B$124,MATCH(C1273,'Brand Map'!$A$4:$A$124,0)),"Other")</f>
        <v>AUSTRT</v>
      </c>
      <c r="E1273" s="57" t="n">
        <v>1</v>
      </c>
      <c r="F1273" s="57" t="n">
        <v>0</v>
      </c>
      <c r="G1273" s="58" t="n">
        <v>79.95</v>
      </c>
      <c r="H1273" s="58" t="n">
        <v>0</v>
      </c>
      <c r="I1273" s="58" t="n">
        <v>79.95</v>
      </c>
      <c r="J1273" s="32" t="n">
        <f aca="false">IF(E1273&gt;0,F1273/E1273,0)</f>
        <v>0</v>
      </c>
      <c r="K1273" s="32" t="n">
        <f aca="false">IF(G1273&gt;0,H1273/G1273,0)</f>
        <v>-0</v>
      </c>
      <c r="L1273" s="59" t="n">
        <f aca="false">H1273/Settings!$B$16</f>
        <v>-0</v>
      </c>
      <c r="M1273" s="59" t="n">
        <f aca="false">H1273/Settings!$B$20</f>
        <v>-0</v>
      </c>
      <c r="N1273" s="60" t="n">
        <f aca="false">E1273*Settings!$B$3</f>
        <v>0.0309861510798204</v>
      </c>
      <c r="O1273" s="60" t="n">
        <f aca="false">IF(E1273&gt;0,(F1273-N1273)/SQRT(E1273*Settings!$B$3*(1-Settings!$B$3)),0)</f>
        <v>-0.178821125934444</v>
      </c>
      <c r="P1273" s="60" t="n">
        <f aca="false">MAX(0,F1273-N1273)</f>
        <v>0</v>
      </c>
      <c r="Q1273" s="32" t="n">
        <f aca="false">(F1273+Settings!$B$7*Settings!$B$3)/(E1273+Settings!$B$7)</f>
        <v>0.0299865978191811</v>
      </c>
      <c r="R1273" s="61" t="n">
        <f aca="false">PERCENTRANK($H$2:$H$1780,H1273,6)</f>
        <v>0</v>
      </c>
      <c r="S1273" s="61" t="n">
        <f aca="false">PERCENTRANK($Q$2:$Q$1780,Q1273,6)</f>
        <v>0.486502</v>
      </c>
      <c r="T1273" s="61" t="n">
        <f aca="false">PERCENTRANK($F$2:$F$1780,F1273,6)</f>
        <v>0</v>
      </c>
      <c r="U1273" s="62" t="n">
        <f aca="false">IF(F1273&gt;0,(Settings!$B$8*T1273+Settings!$B$9*R1273+Settings!$B$10*S1273)/SUM(Settings!$B$8:$B$10),0)</f>
        <v>0</v>
      </c>
      <c r="V1273" s="56" t="str">
        <f aca="false">IF(U1273&gt;0,RANK(U1273,$U$2:$U$1780)+COUNTIF($U$2:U1273,U1273)-1,"")</f>
        <v/>
      </c>
      <c r="W1273" s="56" t="str">
        <f aca="false">IF(V1273="","",IF(V1273&lt;=Settings!$B$11,"1 - Fix first",IF(V1273&lt;=Settings!$B$12,"2 - Review","3 - Monitor")))</f>
        <v/>
      </c>
      <c r="X1273" s="56" t="str">
        <f aca="false">IF(AND(E1273&gt;=Settings!$B$4,F1273&gt;=Settings!$B$5,O1273&gt;=Settings!$B$6),"HIGH RATE","")</f>
        <v/>
      </c>
      <c r="Y1273" s="56" t="str">
        <f aca="false">IF(F1273&gt;0,RANK(F1273,$F$2:$F$1780)+COUNTIF($F$2:F1273,F1273)-1,"")</f>
        <v/>
      </c>
      <c r="Z1273" s="56" t="str">
        <f aca="false">IF(H1273&gt;0,RANK(H1273,$H$2:$H$1780)+COUNTIF($H$2:H1273,H1273)-1,"")</f>
        <v/>
      </c>
      <c r="AA1273" s="56" t="str">
        <f aca="false">IF(AC1273="","",RANK(AC1273,$AC$2:$AC$1780)+COUNTIF($AC$2:AC1273,AC1273)-1)</f>
        <v/>
      </c>
      <c r="AB1273" s="56" t="str">
        <f aca="false">IF(AD1273="","",RANK(AD1273,$AD$2:$AD$1780)+COUNTIF($AD$2:AD1273,AD1273)-1)</f>
        <v/>
      </c>
      <c r="AC1273" s="56" t="str">
        <f aca="false">IF(AND(F1273&gt;0,E1273&gt;=Settings!$B$4),J1273,"")</f>
        <v/>
      </c>
      <c r="AD1273" s="56" t="str">
        <f aca="false">IF(X1273="HIGH RATE",O1273,"")</f>
        <v/>
      </c>
    </row>
    <row r="1274" customFormat="false" ht="15" hidden="false" customHeight="false" outlineLevel="0" collapsed="false">
      <c r="A1274" s="56" t="s">
        <v>2647</v>
      </c>
      <c r="B1274" s="56" t="s">
        <v>1428</v>
      </c>
      <c r="C1274" s="56" t="s">
        <v>139</v>
      </c>
      <c r="D1274" s="56" t="str">
        <f aca="false">IFERROR(INDEX('Brand Map'!$B$4:$B$124,MATCH(C1274,'Brand Map'!$A$4:$A$124,0)),"Other")</f>
        <v>AUSTRT</v>
      </c>
      <c r="E1274" s="57" t="n">
        <v>1</v>
      </c>
      <c r="F1274" s="57" t="n">
        <v>0</v>
      </c>
      <c r="G1274" s="58" t="n">
        <v>34.95</v>
      </c>
      <c r="H1274" s="58" t="n">
        <v>0</v>
      </c>
      <c r="I1274" s="58" t="n">
        <v>34.95</v>
      </c>
      <c r="J1274" s="32" t="n">
        <f aca="false">IF(E1274&gt;0,F1274/E1274,0)</f>
        <v>0</v>
      </c>
      <c r="K1274" s="32" t="n">
        <f aca="false">IF(G1274&gt;0,H1274/G1274,0)</f>
        <v>-0</v>
      </c>
      <c r="L1274" s="59" t="n">
        <f aca="false">H1274/Settings!$B$16</f>
        <v>-0</v>
      </c>
      <c r="M1274" s="59" t="n">
        <f aca="false">H1274/Settings!$B$20</f>
        <v>-0</v>
      </c>
      <c r="N1274" s="60" t="n">
        <f aca="false">E1274*Settings!$B$3</f>
        <v>0.0309861510798204</v>
      </c>
      <c r="O1274" s="60" t="n">
        <f aca="false">IF(E1274&gt;0,(F1274-N1274)/SQRT(E1274*Settings!$B$3*(1-Settings!$B$3)),0)</f>
        <v>-0.178821125934444</v>
      </c>
      <c r="P1274" s="60" t="n">
        <f aca="false">MAX(0,F1274-N1274)</f>
        <v>0</v>
      </c>
      <c r="Q1274" s="32" t="n">
        <f aca="false">(F1274+Settings!$B$7*Settings!$B$3)/(E1274+Settings!$B$7)</f>
        <v>0.0299865978191811</v>
      </c>
      <c r="R1274" s="61" t="n">
        <f aca="false">PERCENTRANK($H$2:$H$1780,H1274,6)</f>
        <v>0</v>
      </c>
      <c r="S1274" s="61" t="n">
        <f aca="false">PERCENTRANK($Q$2:$Q$1780,Q1274,6)</f>
        <v>0.486502</v>
      </c>
      <c r="T1274" s="61" t="n">
        <f aca="false">PERCENTRANK($F$2:$F$1780,F1274,6)</f>
        <v>0</v>
      </c>
      <c r="U1274" s="62" t="n">
        <f aca="false">IF(F1274&gt;0,(Settings!$B$8*T1274+Settings!$B$9*R1274+Settings!$B$10*S1274)/SUM(Settings!$B$8:$B$10),0)</f>
        <v>0</v>
      </c>
      <c r="V1274" s="56" t="str">
        <f aca="false">IF(U1274&gt;0,RANK(U1274,$U$2:$U$1780)+COUNTIF($U$2:U1274,U1274)-1,"")</f>
        <v/>
      </c>
      <c r="W1274" s="56" t="str">
        <f aca="false">IF(V1274="","",IF(V1274&lt;=Settings!$B$11,"1 - Fix first",IF(V1274&lt;=Settings!$B$12,"2 - Review","3 - Monitor")))</f>
        <v/>
      </c>
      <c r="X1274" s="56" t="str">
        <f aca="false">IF(AND(E1274&gt;=Settings!$B$4,F1274&gt;=Settings!$B$5,O1274&gt;=Settings!$B$6),"HIGH RATE","")</f>
        <v/>
      </c>
      <c r="Y1274" s="56" t="str">
        <f aca="false">IF(F1274&gt;0,RANK(F1274,$F$2:$F$1780)+COUNTIF($F$2:F1274,F1274)-1,"")</f>
        <v/>
      </c>
      <c r="Z1274" s="56" t="str">
        <f aca="false">IF(H1274&gt;0,RANK(H1274,$H$2:$H$1780)+COUNTIF($H$2:H1274,H1274)-1,"")</f>
        <v/>
      </c>
      <c r="AA1274" s="56" t="str">
        <f aca="false">IF(AC1274="","",RANK(AC1274,$AC$2:$AC$1780)+COUNTIF($AC$2:AC1274,AC1274)-1)</f>
        <v/>
      </c>
      <c r="AB1274" s="56" t="str">
        <f aca="false">IF(AD1274="","",RANK(AD1274,$AD$2:$AD$1780)+COUNTIF($AD$2:AD1274,AD1274)-1)</f>
        <v/>
      </c>
      <c r="AC1274" s="56" t="str">
        <f aca="false">IF(AND(F1274&gt;0,E1274&gt;=Settings!$B$4),J1274,"")</f>
        <v/>
      </c>
      <c r="AD1274" s="56" t="str">
        <f aca="false">IF(X1274="HIGH RATE",O1274,"")</f>
        <v/>
      </c>
    </row>
    <row r="1275" customFormat="false" ht="15" hidden="false" customHeight="false" outlineLevel="0" collapsed="false">
      <c r="A1275" s="56" t="s">
        <v>2648</v>
      </c>
      <c r="B1275" s="56" t="s">
        <v>2649</v>
      </c>
      <c r="C1275" s="56" t="s">
        <v>174</v>
      </c>
      <c r="D1275" s="56" t="str">
        <f aca="false">IFERROR(INDEX('Brand Map'!$B$4:$B$124,MATCH(C1275,'Brand Map'!$A$4:$A$124,0)),"Other")</f>
        <v>AUV</v>
      </c>
      <c r="E1275" s="57" t="n">
        <v>1</v>
      </c>
      <c r="F1275" s="57" t="n">
        <v>0</v>
      </c>
      <c r="G1275" s="58" t="n">
        <v>154.95</v>
      </c>
      <c r="H1275" s="58" t="n">
        <v>0</v>
      </c>
      <c r="I1275" s="58" t="n">
        <v>154.95</v>
      </c>
      <c r="J1275" s="32" t="n">
        <f aca="false">IF(E1275&gt;0,F1275/E1275,0)</f>
        <v>0</v>
      </c>
      <c r="K1275" s="32" t="n">
        <f aca="false">IF(G1275&gt;0,H1275/G1275,0)</f>
        <v>-0</v>
      </c>
      <c r="L1275" s="59" t="n">
        <f aca="false">H1275/Settings!$B$16</f>
        <v>-0</v>
      </c>
      <c r="M1275" s="59" t="n">
        <f aca="false">H1275/Settings!$B$20</f>
        <v>-0</v>
      </c>
      <c r="N1275" s="60" t="n">
        <f aca="false">E1275*Settings!$B$3</f>
        <v>0.0309861510798204</v>
      </c>
      <c r="O1275" s="60" t="n">
        <f aca="false">IF(E1275&gt;0,(F1275-N1275)/SQRT(E1275*Settings!$B$3*(1-Settings!$B$3)),0)</f>
        <v>-0.178821125934444</v>
      </c>
      <c r="P1275" s="60" t="n">
        <f aca="false">MAX(0,F1275-N1275)</f>
        <v>0</v>
      </c>
      <c r="Q1275" s="32" t="n">
        <f aca="false">(F1275+Settings!$B$7*Settings!$B$3)/(E1275+Settings!$B$7)</f>
        <v>0.0299865978191811</v>
      </c>
      <c r="R1275" s="61" t="n">
        <f aca="false">PERCENTRANK($H$2:$H$1780,H1275,6)</f>
        <v>0</v>
      </c>
      <c r="S1275" s="61" t="n">
        <f aca="false">PERCENTRANK($Q$2:$Q$1780,Q1275,6)</f>
        <v>0.486502</v>
      </c>
      <c r="T1275" s="61" t="n">
        <f aca="false">PERCENTRANK($F$2:$F$1780,F1275,6)</f>
        <v>0</v>
      </c>
      <c r="U1275" s="62" t="n">
        <f aca="false">IF(F1275&gt;0,(Settings!$B$8*T1275+Settings!$B$9*R1275+Settings!$B$10*S1275)/SUM(Settings!$B$8:$B$10),0)</f>
        <v>0</v>
      </c>
      <c r="V1275" s="56" t="str">
        <f aca="false">IF(U1275&gt;0,RANK(U1275,$U$2:$U$1780)+COUNTIF($U$2:U1275,U1275)-1,"")</f>
        <v/>
      </c>
      <c r="W1275" s="56" t="str">
        <f aca="false">IF(V1275="","",IF(V1275&lt;=Settings!$B$11,"1 - Fix first",IF(V1275&lt;=Settings!$B$12,"2 - Review","3 - Monitor")))</f>
        <v/>
      </c>
      <c r="X1275" s="56" t="str">
        <f aca="false">IF(AND(E1275&gt;=Settings!$B$4,F1275&gt;=Settings!$B$5,O1275&gt;=Settings!$B$6),"HIGH RATE","")</f>
        <v/>
      </c>
      <c r="Y1275" s="56" t="str">
        <f aca="false">IF(F1275&gt;0,RANK(F1275,$F$2:$F$1780)+COUNTIF($F$2:F1275,F1275)-1,"")</f>
        <v/>
      </c>
      <c r="Z1275" s="56" t="str">
        <f aca="false">IF(H1275&gt;0,RANK(H1275,$H$2:$H$1780)+COUNTIF($H$2:H1275,H1275)-1,"")</f>
        <v/>
      </c>
      <c r="AA1275" s="56" t="str">
        <f aca="false">IF(AC1275="","",RANK(AC1275,$AC$2:$AC$1780)+COUNTIF($AC$2:AC1275,AC1275)-1)</f>
        <v/>
      </c>
      <c r="AB1275" s="56" t="str">
        <f aca="false">IF(AD1275="","",RANK(AD1275,$AD$2:$AD$1780)+COUNTIF($AD$2:AD1275,AD1275)-1)</f>
        <v/>
      </c>
      <c r="AC1275" s="56" t="str">
        <f aca="false">IF(AND(F1275&gt;0,E1275&gt;=Settings!$B$4),J1275,"")</f>
        <v/>
      </c>
      <c r="AD1275" s="56" t="str">
        <f aca="false">IF(X1275="HIGH RATE",O1275,"")</f>
        <v/>
      </c>
    </row>
    <row r="1276" customFormat="false" ht="15" hidden="false" customHeight="false" outlineLevel="0" collapsed="false">
      <c r="A1276" s="56" t="s">
        <v>2650</v>
      </c>
      <c r="B1276" s="56" t="s">
        <v>2651</v>
      </c>
      <c r="C1276" s="56" t="s">
        <v>174</v>
      </c>
      <c r="D1276" s="56" t="str">
        <f aca="false">IFERROR(INDEX('Brand Map'!$B$4:$B$124,MATCH(C1276,'Brand Map'!$A$4:$A$124,0)),"Other")</f>
        <v>AUV</v>
      </c>
      <c r="E1276" s="57" t="n">
        <v>1</v>
      </c>
      <c r="F1276" s="57" t="n">
        <v>0</v>
      </c>
      <c r="G1276" s="58" t="n">
        <v>134.95</v>
      </c>
      <c r="H1276" s="58" t="n">
        <v>0</v>
      </c>
      <c r="I1276" s="58" t="n">
        <v>134.95</v>
      </c>
      <c r="J1276" s="32" t="n">
        <f aca="false">IF(E1276&gt;0,F1276/E1276,0)</f>
        <v>0</v>
      </c>
      <c r="K1276" s="32" t="n">
        <f aca="false">IF(G1276&gt;0,H1276/G1276,0)</f>
        <v>-0</v>
      </c>
      <c r="L1276" s="59" t="n">
        <f aca="false">H1276/Settings!$B$16</f>
        <v>-0</v>
      </c>
      <c r="M1276" s="59" t="n">
        <f aca="false">H1276/Settings!$B$20</f>
        <v>-0</v>
      </c>
      <c r="N1276" s="60" t="n">
        <f aca="false">E1276*Settings!$B$3</f>
        <v>0.0309861510798204</v>
      </c>
      <c r="O1276" s="60" t="n">
        <f aca="false">IF(E1276&gt;0,(F1276-N1276)/SQRT(E1276*Settings!$B$3*(1-Settings!$B$3)),0)</f>
        <v>-0.178821125934444</v>
      </c>
      <c r="P1276" s="60" t="n">
        <f aca="false">MAX(0,F1276-N1276)</f>
        <v>0</v>
      </c>
      <c r="Q1276" s="32" t="n">
        <f aca="false">(F1276+Settings!$B$7*Settings!$B$3)/(E1276+Settings!$B$7)</f>
        <v>0.0299865978191811</v>
      </c>
      <c r="R1276" s="61" t="n">
        <f aca="false">PERCENTRANK($H$2:$H$1780,H1276,6)</f>
        <v>0</v>
      </c>
      <c r="S1276" s="61" t="n">
        <f aca="false">PERCENTRANK($Q$2:$Q$1780,Q1276,6)</f>
        <v>0.486502</v>
      </c>
      <c r="T1276" s="61" t="n">
        <f aca="false">PERCENTRANK($F$2:$F$1780,F1276,6)</f>
        <v>0</v>
      </c>
      <c r="U1276" s="62" t="n">
        <f aca="false">IF(F1276&gt;0,(Settings!$B$8*T1276+Settings!$B$9*R1276+Settings!$B$10*S1276)/SUM(Settings!$B$8:$B$10),0)</f>
        <v>0</v>
      </c>
      <c r="V1276" s="56" t="str">
        <f aca="false">IF(U1276&gt;0,RANK(U1276,$U$2:$U$1780)+COUNTIF($U$2:U1276,U1276)-1,"")</f>
        <v/>
      </c>
      <c r="W1276" s="56" t="str">
        <f aca="false">IF(V1276="","",IF(V1276&lt;=Settings!$B$11,"1 - Fix first",IF(V1276&lt;=Settings!$B$12,"2 - Review","3 - Monitor")))</f>
        <v/>
      </c>
      <c r="X1276" s="56" t="str">
        <f aca="false">IF(AND(E1276&gt;=Settings!$B$4,F1276&gt;=Settings!$B$5,O1276&gt;=Settings!$B$6),"HIGH RATE","")</f>
        <v/>
      </c>
      <c r="Y1276" s="56" t="str">
        <f aca="false">IF(F1276&gt;0,RANK(F1276,$F$2:$F$1780)+COUNTIF($F$2:F1276,F1276)-1,"")</f>
        <v/>
      </c>
      <c r="Z1276" s="56" t="str">
        <f aca="false">IF(H1276&gt;0,RANK(H1276,$H$2:$H$1780)+COUNTIF($H$2:H1276,H1276)-1,"")</f>
        <v/>
      </c>
      <c r="AA1276" s="56" t="str">
        <f aca="false">IF(AC1276="","",RANK(AC1276,$AC$2:$AC$1780)+COUNTIF($AC$2:AC1276,AC1276)-1)</f>
        <v/>
      </c>
      <c r="AB1276" s="56" t="str">
        <f aca="false">IF(AD1276="","",RANK(AD1276,$AD$2:$AD$1780)+COUNTIF($AD$2:AD1276,AD1276)-1)</f>
        <v/>
      </c>
      <c r="AC1276" s="56" t="str">
        <f aca="false">IF(AND(F1276&gt;0,E1276&gt;=Settings!$B$4),J1276,"")</f>
        <v/>
      </c>
      <c r="AD1276" s="56" t="str">
        <f aca="false">IF(X1276="HIGH RATE",O1276,"")</f>
        <v/>
      </c>
    </row>
    <row r="1277" customFormat="false" ht="15" hidden="false" customHeight="false" outlineLevel="0" collapsed="false">
      <c r="A1277" s="56" t="s">
        <v>2652</v>
      </c>
      <c r="B1277" s="56" t="s">
        <v>2653</v>
      </c>
      <c r="C1277" s="56" t="s">
        <v>174</v>
      </c>
      <c r="D1277" s="56" t="str">
        <f aca="false">IFERROR(INDEX('Brand Map'!$B$4:$B$124,MATCH(C1277,'Brand Map'!$A$4:$A$124,0)),"Other")</f>
        <v>AUV</v>
      </c>
      <c r="E1277" s="57" t="n">
        <v>1</v>
      </c>
      <c r="F1277" s="57" t="n">
        <v>0</v>
      </c>
      <c r="G1277" s="58" t="n">
        <v>164.95</v>
      </c>
      <c r="H1277" s="58" t="n">
        <v>0</v>
      </c>
      <c r="I1277" s="58" t="n">
        <v>164.95</v>
      </c>
      <c r="J1277" s="32" t="n">
        <f aca="false">IF(E1277&gt;0,F1277/E1277,0)</f>
        <v>0</v>
      </c>
      <c r="K1277" s="32" t="n">
        <f aca="false">IF(G1277&gt;0,H1277/G1277,0)</f>
        <v>-0</v>
      </c>
      <c r="L1277" s="59" t="n">
        <f aca="false">H1277/Settings!$B$16</f>
        <v>-0</v>
      </c>
      <c r="M1277" s="59" t="n">
        <f aca="false">H1277/Settings!$B$20</f>
        <v>-0</v>
      </c>
      <c r="N1277" s="60" t="n">
        <f aca="false">E1277*Settings!$B$3</f>
        <v>0.0309861510798204</v>
      </c>
      <c r="O1277" s="60" t="n">
        <f aca="false">IF(E1277&gt;0,(F1277-N1277)/SQRT(E1277*Settings!$B$3*(1-Settings!$B$3)),0)</f>
        <v>-0.178821125934444</v>
      </c>
      <c r="P1277" s="60" t="n">
        <f aca="false">MAX(0,F1277-N1277)</f>
        <v>0</v>
      </c>
      <c r="Q1277" s="32" t="n">
        <f aca="false">(F1277+Settings!$B$7*Settings!$B$3)/(E1277+Settings!$B$7)</f>
        <v>0.0299865978191811</v>
      </c>
      <c r="R1277" s="61" t="n">
        <f aca="false">PERCENTRANK($H$2:$H$1780,H1277,6)</f>
        <v>0</v>
      </c>
      <c r="S1277" s="61" t="n">
        <f aca="false">PERCENTRANK($Q$2:$Q$1780,Q1277,6)</f>
        <v>0.486502</v>
      </c>
      <c r="T1277" s="61" t="n">
        <f aca="false">PERCENTRANK($F$2:$F$1780,F1277,6)</f>
        <v>0</v>
      </c>
      <c r="U1277" s="62" t="n">
        <f aca="false">IF(F1277&gt;0,(Settings!$B$8*T1277+Settings!$B$9*R1277+Settings!$B$10*S1277)/SUM(Settings!$B$8:$B$10),0)</f>
        <v>0</v>
      </c>
      <c r="V1277" s="56" t="str">
        <f aca="false">IF(U1277&gt;0,RANK(U1277,$U$2:$U$1780)+COUNTIF($U$2:U1277,U1277)-1,"")</f>
        <v/>
      </c>
      <c r="W1277" s="56" t="str">
        <f aca="false">IF(V1277="","",IF(V1277&lt;=Settings!$B$11,"1 - Fix first",IF(V1277&lt;=Settings!$B$12,"2 - Review","3 - Monitor")))</f>
        <v/>
      </c>
      <c r="X1277" s="56" t="str">
        <f aca="false">IF(AND(E1277&gt;=Settings!$B$4,F1277&gt;=Settings!$B$5,O1277&gt;=Settings!$B$6),"HIGH RATE","")</f>
        <v/>
      </c>
      <c r="Y1277" s="56" t="str">
        <f aca="false">IF(F1277&gt;0,RANK(F1277,$F$2:$F$1780)+COUNTIF($F$2:F1277,F1277)-1,"")</f>
        <v/>
      </c>
      <c r="Z1277" s="56" t="str">
        <f aca="false">IF(H1277&gt;0,RANK(H1277,$H$2:$H$1780)+COUNTIF($H$2:H1277,H1277)-1,"")</f>
        <v/>
      </c>
      <c r="AA1277" s="56" t="str">
        <f aca="false">IF(AC1277="","",RANK(AC1277,$AC$2:$AC$1780)+COUNTIF($AC$2:AC1277,AC1277)-1)</f>
        <v/>
      </c>
      <c r="AB1277" s="56" t="str">
        <f aca="false">IF(AD1277="","",RANK(AD1277,$AD$2:$AD$1780)+COUNTIF($AD$2:AD1277,AD1277)-1)</f>
        <v/>
      </c>
      <c r="AC1277" s="56" t="str">
        <f aca="false">IF(AND(F1277&gt;0,E1277&gt;=Settings!$B$4),J1277,"")</f>
        <v/>
      </c>
      <c r="AD1277" s="56" t="str">
        <f aca="false">IF(X1277="HIGH RATE",O1277,"")</f>
        <v/>
      </c>
    </row>
    <row r="1278" customFormat="false" ht="15" hidden="false" customHeight="false" outlineLevel="0" collapsed="false">
      <c r="A1278" s="56" t="s">
        <v>2654</v>
      </c>
      <c r="B1278" s="56" t="s">
        <v>2653</v>
      </c>
      <c r="C1278" s="56" t="s">
        <v>174</v>
      </c>
      <c r="D1278" s="56" t="str">
        <f aca="false">IFERROR(INDEX('Brand Map'!$B$4:$B$124,MATCH(C1278,'Brand Map'!$A$4:$A$124,0)),"Other")</f>
        <v>AUV</v>
      </c>
      <c r="E1278" s="57" t="n">
        <v>1</v>
      </c>
      <c r="F1278" s="57" t="n">
        <v>0</v>
      </c>
      <c r="G1278" s="58" t="n">
        <v>179.95</v>
      </c>
      <c r="H1278" s="58" t="n">
        <v>0</v>
      </c>
      <c r="I1278" s="58" t="n">
        <v>179.95</v>
      </c>
      <c r="J1278" s="32" t="n">
        <f aca="false">IF(E1278&gt;0,F1278/E1278,0)</f>
        <v>0</v>
      </c>
      <c r="K1278" s="32" t="n">
        <f aca="false">IF(G1278&gt;0,H1278/G1278,0)</f>
        <v>-0</v>
      </c>
      <c r="L1278" s="59" t="n">
        <f aca="false">H1278/Settings!$B$16</f>
        <v>-0</v>
      </c>
      <c r="M1278" s="59" t="n">
        <f aca="false">H1278/Settings!$B$20</f>
        <v>-0</v>
      </c>
      <c r="N1278" s="60" t="n">
        <f aca="false">E1278*Settings!$B$3</f>
        <v>0.0309861510798204</v>
      </c>
      <c r="O1278" s="60" t="n">
        <f aca="false">IF(E1278&gt;0,(F1278-N1278)/SQRT(E1278*Settings!$B$3*(1-Settings!$B$3)),0)</f>
        <v>-0.178821125934444</v>
      </c>
      <c r="P1278" s="60" t="n">
        <f aca="false">MAX(0,F1278-N1278)</f>
        <v>0</v>
      </c>
      <c r="Q1278" s="32" t="n">
        <f aca="false">(F1278+Settings!$B$7*Settings!$B$3)/(E1278+Settings!$B$7)</f>
        <v>0.0299865978191811</v>
      </c>
      <c r="R1278" s="61" t="n">
        <f aca="false">PERCENTRANK($H$2:$H$1780,H1278,6)</f>
        <v>0</v>
      </c>
      <c r="S1278" s="61" t="n">
        <f aca="false">PERCENTRANK($Q$2:$Q$1780,Q1278,6)</f>
        <v>0.486502</v>
      </c>
      <c r="T1278" s="61" t="n">
        <f aca="false">PERCENTRANK($F$2:$F$1780,F1278,6)</f>
        <v>0</v>
      </c>
      <c r="U1278" s="62" t="n">
        <f aca="false">IF(F1278&gt;0,(Settings!$B$8*T1278+Settings!$B$9*R1278+Settings!$B$10*S1278)/SUM(Settings!$B$8:$B$10),0)</f>
        <v>0</v>
      </c>
      <c r="V1278" s="56" t="str">
        <f aca="false">IF(U1278&gt;0,RANK(U1278,$U$2:$U$1780)+COUNTIF($U$2:U1278,U1278)-1,"")</f>
        <v/>
      </c>
      <c r="W1278" s="56" t="str">
        <f aca="false">IF(V1278="","",IF(V1278&lt;=Settings!$B$11,"1 - Fix first",IF(V1278&lt;=Settings!$B$12,"2 - Review","3 - Monitor")))</f>
        <v/>
      </c>
      <c r="X1278" s="56" t="str">
        <f aca="false">IF(AND(E1278&gt;=Settings!$B$4,F1278&gt;=Settings!$B$5,O1278&gt;=Settings!$B$6),"HIGH RATE","")</f>
        <v/>
      </c>
      <c r="Y1278" s="56" t="str">
        <f aca="false">IF(F1278&gt;0,RANK(F1278,$F$2:$F$1780)+COUNTIF($F$2:F1278,F1278)-1,"")</f>
        <v/>
      </c>
      <c r="Z1278" s="56" t="str">
        <f aca="false">IF(H1278&gt;0,RANK(H1278,$H$2:$H$1780)+COUNTIF($H$2:H1278,H1278)-1,"")</f>
        <v/>
      </c>
      <c r="AA1278" s="56" t="str">
        <f aca="false">IF(AC1278="","",RANK(AC1278,$AC$2:$AC$1780)+COUNTIF($AC$2:AC1278,AC1278)-1)</f>
        <v/>
      </c>
      <c r="AB1278" s="56" t="str">
        <f aca="false">IF(AD1278="","",RANK(AD1278,$AD$2:$AD$1780)+COUNTIF($AD$2:AD1278,AD1278)-1)</f>
        <v/>
      </c>
      <c r="AC1278" s="56" t="str">
        <f aca="false">IF(AND(F1278&gt;0,E1278&gt;=Settings!$B$4),J1278,"")</f>
        <v/>
      </c>
      <c r="AD1278" s="56" t="str">
        <f aca="false">IF(X1278="HIGH RATE",O1278,"")</f>
        <v/>
      </c>
    </row>
    <row r="1279" customFormat="false" ht="15" hidden="false" customHeight="false" outlineLevel="0" collapsed="false">
      <c r="A1279" s="56" t="s">
        <v>2655</v>
      </c>
      <c r="B1279" s="56" t="s">
        <v>2653</v>
      </c>
      <c r="C1279" s="56" t="s">
        <v>174</v>
      </c>
      <c r="D1279" s="56" t="str">
        <f aca="false">IFERROR(INDEX('Brand Map'!$B$4:$B$124,MATCH(C1279,'Brand Map'!$A$4:$A$124,0)),"Other")</f>
        <v>AUV</v>
      </c>
      <c r="E1279" s="57" t="n">
        <v>1</v>
      </c>
      <c r="F1279" s="57" t="n">
        <v>0</v>
      </c>
      <c r="G1279" s="58" t="n">
        <v>194.95</v>
      </c>
      <c r="H1279" s="58" t="n">
        <v>0</v>
      </c>
      <c r="I1279" s="58" t="n">
        <v>194.95</v>
      </c>
      <c r="J1279" s="32" t="n">
        <f aca="false">IF(E1279&gt;0,F1279/E1279,0)</f>
        <v>0</v>
      </c>
      <c r="K1279" s="32" t="n">
        <f aca="false">IF(G1279&gt;0,H1279/G1279,0)</f>
        <v>-0</v>
      </c>
      <c r="L1279" s="59" t="n">
        <f aca="false">H1279/Settings!$B$16</f>
        <v>-0</v>
      </c>
      <c r="M1279" s="59" t="n">
        <f aca="false">H1279/Settings!$B$20</f>
        <v>-0</v>
      </c>
      <c r="N1279" s="60" t="n">
        <f aca="false">E1279*Settings!$B$3</f>
        <v>0.0309861510798204</v>
      </c>
      <c r="O1279" s="60" t="n">
        <f aca="false">IF(E1279&gt;0,(F1279-N1279)/SQRT(E1279*Settings!$B$3*(1-Settings!$B$3)),0)</f>
        <v>-0.178821125934444</v>
      </c>
      <c r="P1279" s="60" t="n">
        <f aca="false">MAX(0,F1279-N1279)</f>
        <v>0</v>
      </c>
      <c r="Q1279" s="32" t="n">
        <f aca="false">(F1279+Settings!$B$7*Settings!$B$3)/(E1279+Settings!$B$7)</f>
        <v>0.0299865978191811</v>
      </c>
      <c r="R1279" s="61" t="n">
        <f aca="false">PERCENTRANK($H$2:$H$1780,H1279,6)</f>
        <v>0</v>
      </c>
      <c r="S1279" s="61" t="n">
        <f aca="false">PERCENTRANK($Q$2:$Q$1780,Q1279,6)</f>
        <v>0.486502</v>
      </c>
      <c r="T1279" s="61" t="n">
        <f aca="false">PERCENTRANK($F$2:$F$1780,F1279,6)</f>
        <v>0</v>
      </c>
      <c r="U1279" s="62" t="n">
        <f aca="false">IF(F1279&gt;0,(Settings!$B$8*T1279+Settings!$B$9*R1279+Settings!$B$10*S1279)/SUM(Settings!$B$8:$B$10),0)</f>
        <v>0</v>
      </c>
      <c r="V1279" s="56" t="str">
        <f aca="false">IF(U1279&gt;0,RANK(U1279,$U$2:$U$1780)+COUNTIF($U$2:U1279,U1279)-1,"")</f>
        <v/>
      </c>
      <c r="W1279" s="56" t="str">
        <f aca="false">IF(V1279="","",IF(V1279&lt;=Settings!$B$11,"1 - Fix first",IF(V1279&lt;=Settings!$B$12,"2 - Review","3 - Monitor")))</f>
        <v/>
      </c>
      <c r="X1279" s="56" t="str">
        <f aca="false">IF(AND(E1279&gt;=Settings!$B$4,F1279&gt;=Settings!$B$5,O1279&gt;=Settings!$B$6),"HIGH RATE","")</f>
        <v/>
      </c>
      <c r="Y1279" s="56" t="str">
        <f aca="false">IF(F1279&gt;0,RANK(F1279,$F$2:$F$1780)+COUNTIF($F$2:F1279,F1279)-1,"")</f>
        <v/>
      </c>
      <c r="Z1279" s="56" t="str">
        <f aca="false">IF(H1279&gt;0,RANK(H1279,$H$2:$H$1780)+COUNTIF($H$2:H1279,H1279)-1,"")</f>
        <v/>
      </c>
      <c r="AA1279" s="56" t="str">
        <f aca="false">IF(AC1279="","",RANK(AC1279,$AC$2:$AC$1780)+COUNTIF($AC$2:AC1279,AC1279)-1)</f>
        <v/>
      </c>
      <c r="AB1279" s="56" t="str">
        <f aca="false">IF(AD1279="","",RANK(AD1279,$AD$2:$AD$1780)+COUNTIF($AD$2:AD1279,AD1279)-1)</f>
        <v/>
      </c>
      <c r="AC1279" s="56" t="str">
        <f aca="false">IF(AND(F1279&gt;0,E1279&gt;=Settings!$B$4),J1279,"")</f>
        <v/>
      </c>
      <c r="AD1279" s="56" t="str">
        <f aca="false">IF(X1279="HIGH RATE",O1279,"")</f>
        <v/>
      </c>
    </row>
    <row r="1280" customFormat="false" ht="15" hidden="false" customHeight="false" outlineLevel="0" collapsed="false">
      <c r="A1280" s="56" t="s">
        <v>2656</v>
      </c>
      <c r="B1280" s="56" t="s">
        <v>2653</v>
      </c>
      <c r="C1280" s="56" t="s">
        <v>174</v>
      </c>
      <c r="D1280" s="56" t="str">
        <f aca="false">IFERROR(INDEX('Brand Map'!$B$4:$B$124,MATCH(C1280,'Brand Map'!$A$4:$A$124,0)),"Other")</f>
        <v>AUV</v>
      </c>
      <c r="E1280" s="57" t="n">
        <v>2</v>
      </c>
      <c r="F1280" s="57" t="n">
        <v>0</v>
      </c>
      <c r="G1280" s="58" t="n">
        <v>419.9</v>
      </c>
      <c r="H1280" s="58" t="n">
        <v>0</v>
      </c>
      <c r="I1280" s="58" t="n">
        <v>419.9</v>
      </c>
      <c r="J1280" s="32" t="n">
        <f aca="false">IF(E1280&gt;0,F1280/E1280,0)</f>
        <v>0</v>
      </c>
      <c r="K1280" s="32" t="n">
        <f aca="false">IF(G1280&gt;0,H1280/G1280,0)</f>
        <v>-0</v>
      </c>
      <c r="L1280" s="59" t="n">
        <f aca="false">H1280/Settings!$B$16</f>
        <v>-0</v>
      </c>
      <c r="M1280" s="59" t="n">
        <f aca="false">H1280/Settings!$B$20</f>
        <v>-0</v>
      </c>
      <c r="N1280" s="60" t="n">
        <f aca="false">E1280*Settings!$B$3</f>
        <v>0.0619723021596408</v>
      </c>
      <c r="O1280" s="60" t="n">
        <f aca="false">IF(E1280&gt;0,(F1280-N1280)/SQRT(E1280*Settings!$B$3*(1-Settings!$B$3)),0)</f>
        <v>-0.252891261535318</v>
      </c>
      <c r="P1280" s="60" t="n">
        <f aca="false">MAX(0,F1280-N1280)</f>
        <v>0</v>
      </c>
      <c r="Q1280" s="32" t="n">
        <f aca="false">(F1280+Settings!$B$7*Settings!$B$3)/(E1280+Settings!$B$7)</f>
        <v>0.0290495166373316</v>
      </c>
      <c r="R1280" s="61" t="n">
        <f aca="false">PERCENTRANK($H$2:$H$1780,H1280,6)</f>
        <v>0</v>
      </c>
      <c r="S1280" s="61" t="n">
        <f aca="false">PERCENTRANK($Q$2:$Q$1780,Q1280,6)</f>
        <v>0.365579</v>
      </c>
      <c r="T1280" s="61" t="n">
        <f aca="false">PERCENTRANK($F$2:$F$1780,F1280,6)</f>
        <v>0</v>
      </c>
      <c r="U1280" s="62" t="n">
        <f aca="false">IF(F1280&gt;0,(Settings!$B$8*T1280+Settings!$B$9*R1280+Settings!$B$10*S1280)/SUM(Settings!$B$8:$B$10),0)</f>
        <v>0</v>
      </c>
      <c r="V1280" s="56" t="str">
        <f aca="false">IF(U1280&gt;0,RANK(U1280,$U$2:$U$1780)+COUNTIF($U$2:U1280,U1280)-1,"")</f>
        <v/>
      </c>
      <c r="W1280" s="56" t="str">
        <f aca="false">IF(V1280="","",IF(V1280&lt;=Settings!$B$11,"1 - Fix first",IF(V1280&lt;=Settings!$B$12,"2 - Review","3 - Monitor")))</f>
        <v/>
      </c>
      <c r="X1280" s="56" t="str">
        <f aca="false">IF(AND(E1280&gt;=Settings!$B$4,F1280&gt;=Settings!$B$5,O1280&gt;=Settings!$B$6),"HIGH RATE","")</f>
        <v/>
      </c>
      <c r="Y1280" s="56" t="str">
        <f aca="false">IF(F1280&gt;0,RANK(F1280,$F$2:$F$1780)+COUNTIF($F$2:F1280,F1280)-1,"")</f>
        <v/>
      </c>
      <c r="Z1280" s="56" t="str">
        <f aca="false">IF(H1280&gt;0,RANK(H1280,$H$2:$H$1780)+COUNTIF($H$2:H1280,H1280)-1,"")</f>
        <v/>
      </c>
      <c r="AA1280" s="56" t="str">
        <f aca="false">IF(AC1280="","",RANK(AC1280,$AC$2:$AC$1780)+COUNTIF($AC$2:AC1280,AC1280)-1)</f>
        <v/>
      </c>
      <c r="AB1280" s="56" t="str">
        <f aca="false">IF(AD1280="","",RANK(AD1280,$AD$2:$AD$1780)+COUNTIF($AD$2:AD1280,AD1280)-1)</f>
        <v/>
      </c>
      <c r="AC1280" s="56" t="str">
        <f aca="false">IF(AND(F1280&gt;0,E1280&gt;=Settings!$B$4),J1280,"")</f>
        <v/>
      </c>
      <c r="AD1280" s="56" t="str">
        <f aca="false">IF(X1280="HIGH RATE",O1280,"")</f>
        <v/>
      </c>
    </row>
    <row r="1281" customFormat="false" ht="15" hidden="false" customHeight="false" outlineLevel="0" collapsed="false">
      <c r="A1281" s="56" t="s">
        <v>2657</v>
      </c>
      <c r="B1281" s="56" t="s">
        <v>2658</v>
      </c>
      <c r="C1281" s="56" t="s">
        <v>174</v>
      </c>
      <c r="D1281" s="56" t="str">
        <f aca="false">IFERROR(INDEX('Brand Map'!$B$4:$B$124,MATCH(C1281,'Brand Map'!$A$4:$A$124,0)),"Other")</f>
        <v>AUV</v>
      </c>
      <c r="E1281" s="57" t="n">
        <v>1</v>
      </c>
      <c r="F1281" s="57" t="n">
        <v>0</v>
      </c>
      <c r="G1281" s="58" t="n">
        <v>184.95</v>
      </c>
      <c r="H1281" s="58" t="n">
        <v>0</v>
      </c>
      <c r="I1281" s="58" t="n">
        <v>184.95</v>
      </c>
      <c r="J1281" s="32" t="n">
        <f aca="false">IF(E1281&gt;0,F1281/E1281,0)</f>
        <v>0</v>
      </c>
      <c r="K1281" s="32" t="n">
        <f aca="false">IF(G1281&gt;0,H1281/G1281,0)</f>
        <v>-0</v>
      </c>
      <c r="L1281" s="59" t="n">
        <f aca="false">H1281/Settings!$B$16</f>
        <v>-0</v>
      </c>
      <c r="M1281" s="59" t="n">
        <f aca="false">H1281/Settings!$B$20</f>
        <v>-0</v>
      </c>
      <c r="N1281" s="60" t="n">
        <f aca="false">E1281*Settings!$B$3</f>
        <v>0.0309861510798204</v>
      </c>
      <c r="O1281" s="60" t="n">
        <f aca="false">IF(E1281&gt;0,(F1281-N1281)/SQRT(E1281*Settings!$B$3*(1-Settings!$B$3)),0)</f>
        <v>-0.178821125934444</v>
      </c>
      <c r="P1281" s="60" t="n">
        <f aca="false">MAX(0,F1281-N1281)</f>
        <v>0</v>
      </c>
      <c r="Q1281" s="32" t="n">
        <f aca="false">(F1281+Settings!$B$7*Settings!$B$3)/(E1281+Settings!$B$7)</f>
        <v>0.0299865978191811</v>
      </c>
      <c r="R1281" s="61" t="n">
        <f aca="false">PERCENTRANK($H$2:$H$1780,H1281,6)</f>
        <v>0</v>
      </c>
      <c r="S1281" s="61" t="n">
        <f aca="false">PERCENTRANK($Q$2:$Q$1780,Q1281,6)</f>
        <v>0.486502</v>
      </c>
      <c r="T1281" s="61" t="n">
        <f aca="false">PERCENTRANK($F$2:$F$1780,F1281,6)</f>
        <v>0</v>
      </c>
      <c r="U1281" s="62" t="n">
        <f aca="false">IF(F1281&gt;0,(Settings!$B$8*T1281+Settings!$B$9*R1281+Settings!$B$10*S1281)/SUM(Settings!$B$8:$B$10),0)</f>
        <v>0</v>
      </c>
      <c r="V1281" s="56" t="str">
        <f aca="false">IF(U1281&gt;0,RANK(U1281,$U$2:$U$1780)+COUNTIF($U$2:U1281,U1281)-1,"")</f>
        <v/>
      </c>
      <c r="W1281" s="56" t="str">
        <f aca="false">IF(V1281="","",IF(V1281&lt;=Settings!$B$11,"1 - Fix first",IF(V1281&lt;=Settings!$B$12,"2 - Review","3 - Monitor")))</f>
        <v/>
      </c>
      <c r="X1281" s="56" t="str">
        <f aca="false">IF(AND(E1281&gt;=Settings!$B$4,F1281&gt;=Settings!$B$5,O1281&gt;=Settings!$B$6),"HIGH RATE","")</f>
        <v/>
      </c>
      <c r="Y1281" s="56" t="str">
        <f aca="false">IF(F1281&gt;0,RANK(F1281,$F$2:$F$1780)+COUNTIF($F$2:F1281,F1281)-1,"")</f>
        <v/>
      </c>
      <c r="Z1281" s="56" t="str">
        <f aca="false">IF(H1281&gt;0,RANK(H1281,$H$2:$H$1780)+COUNTIF($H$2:H1281,H1281)-1,"")</f>
        <v/>
      </c>
      <c r="AA1281" s="56" t="str">
        <f aca="false">IF(AC1281="","",RANK(AC1281,$AC$2:$AC$1780)+COUNTIF($AC$2:AC1281,AC1281)-1)</f>
        <v/>
      </c>
      <c r="AB1281" s="56" t="str">
        <f aca="false">IF(AD1281="","",RANK(AD1281,$AD$2:$AD$1780)+COUNTIF($AD$2:AD1281,AD1281)-1)</f>
        <v/>
      </c>
      <c r="AC1281" s="56" t="str">
        <f aca="false">IF(AND(F1281&gt;0,E1281&gt;=Settings!$B$4),J1281,"")</f>
        <v/>
      </c>
      <c r="AD1281" s="56" t="str">
        <f aca="false">IF(X1281="HIGH RATE",O1281,"")</f>
        <v/>
      </c>
    </row>
    <row r="1282" customFormat="false" ht="15" hidden="false" customHeight="false" outlineLevel="0" collapsed="false">
      <c r="A1282" s="56" t="s">
        <v>2659</v>
      </c>
      <c r="B1282" s="56" t="s">
        <v>585</v>
      </c>
      <c r="C1282" s="56" t="s">
        <v>174</v>
      </c>
      <c r="D1282" s="56" t="str">
        <f aca="false">IFERROR(INDEX('Brand Map'!$B$4:$B$124,MATCH(C1282,'Brand Map'!$A$4:$A$124,0)),"Other")</f>
        <v>AUV</v>
      </c>
      <c r="E1282" s="57" t="n">
        <v>62</v>
      </c>
      <c r="F1282" s="57" t="n">
        <v>0</v>
      </c>
      <c r="G1282" s="58" t="n">
        <v>7746.9</v>
      </c>
      <c r="H1282" s="58" t="n">
        <v>0</v>
      </c>
      <c r="I1282" s="58" t="n">
        <v>7746.9</v>
      </c>
      <c r="J1282" s="32" t="n">
        <f aca="false">IF(E1282&gt;0,F1282/E1282,0)</f>
        <v>0</v>
      </c>
      <c r="K1282" s="32" t="n">
        <f aca="false">IF(G1282&gt;0,H1282/G1282,0)</f>
        <v>-0</v>
      </c>
      <c r="L1282" s="59" t="n">
        <f aca="false">H1282/Settings!$B$16</f>
        <v>-0</v>
      </c>
      <c r="M1282" s="59" t="n">
        <f aca="false">H1282/Settings!$B$20</f>
        <v>-0</v>
      </c>
      <c r="N1282" s="60" t="n">
        <f aca="false">E1282*Settings!$B$3</f>
        <v>1.92114136694887</v>
      </c>
      <c r="O1282" s="60" t="n">
        <f aca="false">IF(E1282&gt;0,(F1282-N1282)/SQRT(E1282*Settings!$B$3*(1-Settings!$B$3)),0)</f>
        <v>-1.40803895364747</v>
      </c>
      <c r="P1282" s="60" t="n">
        <f aca="false">MAX(0,F1282-N1282)</f>
        <v>0</v>
      </c>
      <c r="Q1282" s="32" t="n">
        <f aca="false">(F1282+Settings!$B$7*Settings!$B$3)/(E1282+Settings!$B$7)</f>
        <v>0.0101041796999414</v>
      </c>
      <c r="R1282" s="61" t="n">
        <f aca="false">PERCENTRANK($H$2:$H$1780,H1282,6)</f>
        <v>0</v>
      </c>
      <c r="S1282" s="61" t="n">
        <f aca="false">PERCENTRANK($Q$2:$Q$1780,Q1282,6)</f>
        <v>0.0146232</v>
      </c>
      <c r="T1282" s="61" t="n">
        <f aca="false">PERCENTRANK($F$2:$F$1780,F1282,6)</f>
        <v>0</v>
      </c>
      <c r="U1282" s="62" t="n">
        <f aca="false">IF(F1282&gt;0,(Settings!$B$8*T1282+Settings!$B$9*R1282+Settings!$B$10*S1282)/SUM(Settings!$B$8:$B$10),0)</f>
        <v>0</v>
      </c>
      <c r="V1282" s="56" t="str">
        <f aca="false">IF(U1282&gt;0,RANK(U1282,$U$2:$U$1780)+COUNTIF($U$2:U1282,U1282)-1,"")</f>
        <v/>
      </c>
      <c r="W1282" s="56" t="str">
        <f aca="false">IF(V1282="","",IF(V1282&lt;=Settings!$B$11,"1 - Fix first",IF(V1282&lt;=Settings!$B$12,"2 - Review","3 - Monitor")))</f>
        <v/>
      </c>
      <c r="X1282" s="56" t="str">
        <f aca="false">IF(AND(E1282&gt;=Settings!$B$4,F1282&gt;=Settings!$B$5,O1282&gt;=Settings!$B$6),"HIGH RATE","")</f>
        <v/>
      </c>
      <c r="Y1282" s="56" t="str">
        <f aca="false">IF(F1282&gt;0,RANK(F1282,$F$2:$F$1780)+COUNTIF($F$2:F1282,F1282)-1,"")</f>
        <v/>
      </c>
      <c r="Z1282" s="56" t="str">
        <f aca="false">IF(H1282&gt;0,RANK(H1282,$H$2:$H$1780)+COUNTIF($H$2:H1282,H1282)-1,"")</f>
        <v/>
      </c>
      <c r="AA1282" s="56" t="str">
        <f aca="false">IF(AC1282="","",RANK(AC1282,$AC$2:$AC$1780)+COUNTIF($AC$2:AC1282,AC1282)-1)</f>
        <v/>
      </c>
      <c r="AB1282" s="56" t="str">
        <f aca="false">IF(AD1282="","",RANK(AD1282,$AD$2:$AD$1780)+COUNTIF($AD$2:AD1282,AD1282)-1)</f>
        <v/>
      </c>
      <c r="AC1282" s="56" t="str">
        <f aca="false">IF(AND(F1282&gt;0,E1282&gt;=Settings!$B$4),J1282,"")</f>
        <v/>
      </c>
      <c r="AD1282" s="56" t="str">
        <f aca="false">IF(X1282="HIGH RATE",O1282,"")</f>
        <v/>
      </c>
    </row>
    <row r="1283" customFormat="false" ht="15" hidden="false" customHeight="false" outlineLevel="0" collapsed="false">
      <c r="A1283" s="56" t="s">
        <v>2660</v>
      </c>
      <c r="B1283" s="56" t="s">
        <v>585</v>
      </c>
      <c r="C1283" s="56" t="s">
        <v>174</v>
      </c>
      <c r="D1283" s="56" t="str">
        <f aca="false">IFERROR(INDEX('Brand Map'!$B$4:$B$124,MATCH(C1283,'Brand Map'!$A$4:$A$124,0)),"Other")</f>
        <v>AUV</v>
      </c>
      <c r="E1283" s="57" t="n">
        <v>23</v>
      </c>
      <c r="F1283" s="57" t="n">
        <v>0</v>
      </c>
      <c r="G1283" s="58" t="n">
        <v>3218.85</v>
      </c>
      <c r="H1283" s="58" t="n">
        <v>0</v>
      </c>
      <c r="I1283" s="58" t="n">
        <v>3218.85</v>
      </c>
      <c r="J1283" s="32" t="n">
        <f aca="false">IF(E1283&gt;0,F1283/E1283,0)</f>
        <v>0</v>
      </c>
      <c r="K1283" s="32" t="n">
        <f aca="false">IF(G1283&gt;0,H1283/G1283,0)</f>
        <v>-0</v>
      </c>
      <c r="L1283" s="59" t="n">
        <f aca="false">H1283/Settings!$B$16</f>
        <v>-0</v>
      </c>
      <c r="M1283" s="59" t="n">
        <f aca="false">H1283/Settings!$B$20</f>
        <v>-0</v>
      </c>
      <c r="N1283" s="60" t="n">
        <f aca="false">E1283*Settings!$B$3</f>
        <v>0.71268147483587</v>
      </c>
      <c r="O1283" s="60" t="n">
        <f aca="false">IF(E1283&gt;0,(F1283-N1283)/SQRT(E1283*Settings!$B$3*(1-Settings!$B$3)),0)</f>
        <v>-0.85759599279068</v>
      </c>
      <c r="P1283" s="60" t="n">
        <f aca="false">MAX(0,F1283-N1283)</f>
        <v>0</v>
      </c>
      <c r="Q1283" s="32" t="n">
        <f aca="false">(F1283+Settings!$B$7*Settings!$B$3)/(E1283+Settings!$B$7)</f>
        <v>0.0175393307998984</v>
      </c>
      <c r="R1283" s="61" t="n">
        <f aca="false">PERCENTRANK($H$2:$H$1780,H1283,6)</f>
        <v>0</v>
      </c>
      <c r="S1283" s="61" t="n">
        <f aca="false">PERCENTRANK($Q$2:$Q$1780,Q1283,6)</f>
        <v>0.0579303</v>
      </c>
      <c r="T1283" s="61" t="n">
        <f aca="false">PERCENTRANK($F$2:$F$1780,F1283,6)</f>
        <v>0</v>
      </c>
      <c r="U1283" s="62" t="n">
        <f aca="false">IF(F1283&gt;0,(Settings!$B$8*T1283+Settings!$B$9*R1283+Settings!$B$10*S1283)/SUM(Settings!$B$8:$B$10),0)</f>
        <v>0</v>
      </c>
      <c r="V1283" s="56" t="str">
        <f aca="false">IF(U1283&gt;0,RANK(U1283,$U$2:$U$1780)+COUNTIF($U$2:U1283,U1283)-1,"")</f>
        <v/>
      </c>
      <c r="W1283" s="56" t="str">
        <f aca="false">IF(V1283="","",IF(V1283&lt;=Settings!$B$11,"1 - Fix first",IF(V1283&lt;=Settings!$B$12,"2 - Review","3 - Monitor")))</f>
        <v/>
      </c>
      <c r="X1283" s="56" t="str">
        <f aca="false">IF(AND(E1283&gt;=Settings!$B$4,F1283&gt;=Settings!$B$5,O1283&gt;=Settings!$B$6),"HIGH RATE","")</f>
        <v/>
      </c>
      <c r="Y1283" s="56" t="str">
        <f aca="false">IF(F1283&gt;0,RANK(F1283,$F$2:$F$1780)+COUNTIF($F$2:F1283,F1283)-1,"")</f>
        <v/>
      </c>
      <c r="Z1283" s="56" t="str">
        <f aca="false">IF(H1283&gt;0,RANK(H1283,$H$2:$H$1780)+COUNTIF($H$2:H1283,H1283)-1,"")</f>
        <v/>
      </c>
      <c r="AA1283" s="56" t="str">
        <f aca="false">IF(AC1283="","",RANK(AC1283,$AC$2:$AC$1780)+COUNTIF($AC$2:AC1283,AC1283)-1)</f>
        <v/>
      </c>
      <c r="AB1283" s="56" t="str">
        <f aca="false">IF(AD1283="","",RANK(AD1283,$AD$2:$AD$1780)+COUNTIF($AD$2:AD1283,AD1283)-1)</f>
        <v/>
      </c>
      <c r="AC1283" s="56" t="str">
        <f aca="false">IF(AND(F1283&gt;0,E1283&gt;=Settings!$B$4),J1283,"")</f>
        <v/>
      </c>
      <c r="AD1283" s="56" t="str">
        <f aca="false">IF(X1283="HIGH RATE",O1283,"")</f>
        <v/>
      </c>
    </row>
    <row r="1284" customFormat="false" ht="15" hidden="false" customHeight="false" outlineLevel="0" collapsed="false">
      <c r="A1284" s="56" t="s">
        <v>2661</v>
      </c>
      <c r="B1284" s="56" t="s">
        <v>700</v>
      </c>
      <c r="C1284" s="56" t="s">
        <v>698</v>
      </c>
      <c r="D1284" s="56" t="str">
        <f aca="false">IFERROR(INDEX('Brand Map'!$B$4:$B$124,MATCH(C1284,'Brand Map'!$A$4:$A$124,0)),"Other")</f>
        <v>Other (small prefixes)</v>
      </c>
      <c r="E1284" s="57" t="n">
        <v>4</v>
      </c>
      <c r="F1284" s="57" t="n">
        <v>0</v>
      </c>
      <c r="G1284" s="58" t="n">
        <v>219.8</v>
      </c>
      <c r="H1284" s="58" t="n">
        <v>0</v>
      </c>
      <c r="I1284" s="58" t="n">
        <v>219.8</v>
      </c>
      <c r="J1284" s="32" t="n">
        <f aca="false">IF(E1284&gt;0,F1284/E1284,0)</f>
        <v>0</v>
      </c>
      <c r="K1284" s="32" t="n">
        <f aca="false">IF(G1284&gt;0,H1284/G1284,0)</f>
        <v>-0</v>
      </c>
      <c r="L1284" s="59" t="n">
        <f aca="false">H1284/Settings!$B$16</f>
        <v>-0</v>
      </c>
      <c r="M1284" s="59" t="n">
        <f aca="false">H1284/Settings!$B$20</f>
        <v>-0</v>
      </c>
      <c r="N1284" s="60" t="n">
        <f aca="false">E1284*Settings!$B$3</f>
        <v>0.123944604319282</v>
      </c>
      <c r="O1284" s="60" t="n">
        <f aca="false">IF(E1284&gt;0,(F1284-N1284)/SQRT(E1284*Settings!$B$3*(1-Settings!$B$3)),0)</f>
        <v>-0.357642251868888</v>
      </c>
      <c r="P1284" s="60" t="n">
        <f aca="false">MAX(0,F1284-N1284)</f>
        <v>0</v>
      </c>
      <c r="Q1284" s="32" t="n">
        <f aca="false">(F1284+Settings!$B$7*Settings!$B$3)/(E1284+Settings!$B$7)</f>
        <v>0.027340721541018</v>
      </c>
      <c r="R1284" s="61" t="n">
        <f aca="false">PERCENTRANK($H$2:$H$1780,H1284,6)</f>
        <v>0</v>
      </c>
      <c r="S1284" s="61" t="n">
        <f aca="false">PERCENTRANK($Q$2:$Q$1780,Q1284,6)</f>
        <v>0.253656</v>
      </c>
      <c r="T1284" s="61" t="n">
        <f aca="false">PERCENTRANK($F$2:$F$1780,F1284,6)</f>
        <v>0</v>
      </c>
      <c r="U1284" s="62" t="n">
        <f aca="false">IF(F1284&gt;0,(Settings!$B$8*T1284+Settings!$B$9*R1284+Settings!$B$10*S1284)/SUM(Settings!$B$8:$B$10),0)</f>
        <v>0</v>
      </c>
      <c r="V1284" s="56" t="str">
        <f aca="false">IF(U1284&gt;0,RANK(U1284,$U$2:$U$1780)+COUNTIF($U$2:U1284,U1284)-1,"")</f>
        <v/>
      </c>
      <c r="W1284" s="56" t="str">
        <f aca="false">IF(V1284="","",IF(V1284&lt;=Settings!$B$11,"1 - Fix first",IF(V1284&lt;=Settings!$B$12,"2 - Review","3 - Monitor")))</f>
        <v/>
      </c>
      <c r="X1284" s="56" t="str">
        <f aca="false">IF(AND(E1284&gt;=Settings!$B$4,F1284&gt;=Settings!$B$5,O1284&gt;=Settings!$B$6),"HIGH RATE","")</f>
        <v/>
      </c>
      <c r="Y1284" s="56" t="str">
        <f aca="false">IF(F1284&gt;0,RANK(F1284,$F$2:$F$1780)+COUNTIF($F$2:F1284,F1284)-1,"")</f>
        <v/>
      </c>
      <c r="Z1284" s="56" t="str">
        <f aca="false">IF(H1284&gt;0,RANK(H1284,$H$2:$H$1780)+COUNTIF($H$2:H1284,H1284)-1,"")</f>
        <v/>
      </c>
      <c r="AA1284" s="56" t="str">
        <f aca="false">IF(AC1284="","",RANK(AC1284,$AC$2:$AC$1780)+COUNTIF($AC$2:AC1284,AC1284)-1)</f>
        <v/>
      </c>
      <c r="AB1284" s="56" t="str">
        <f aca="false">IF(AD1284="","",RANK(AD1284,$AD$2:$AD$1780)+COUNTIF($AD$2:AD1284,AD1284)-1)</f>
        <v/>
      </c>
      <c r="AC1284" s="56" t="str">
        <f aca="false">IF(AND(F1284&gt;0,E1284&gt;=Settings!$B$4),J1284,"")</f>
        <v/>
      </c>
      <c r="AD1284" s="56" t="str">
        <f aca="false">IF(X1284="HIGH RATE",O1284,"")</f>
        <v/>
      </c>
    </row>
    <row r="1285" customFormat="false" ht="15" hidden="false" customHeight="false" outlineLevel="0" collapsed="false">
      <c r="A1285" s="56" t="s">
        <v>2662</v>
      </c>
      <c r="B1285" s="56" t="s">
        <v>700</v>
      </c>
      <c r="C1285" s="56" t="s">
        <v>698</v>
      </c>
      <c r="D1285" s="56" t="str">
        <f aca="false">IFERROR(INDEX('Brand Map'!$B$4:$B$124,MATCH(C1285,'Brand Map'!$A$4:$A$124,0)),"Other")</f>
        <v>Other (small prefixes)</v>
      </c>
      <c r="E1285" s="57" t="n">
        <v>1</v>
      </c>
      <c r="F1285" s="57" t="n">
        <v>0</v>
      </c>
      <c r="G1285" s="58" t="n">
        <v>69.95</v>
      </c>
      <c r="H1285" s="58" t="n">
        <v>0</v>
      </c>
      <c r="I1285" s="58" t="n">
        <v>69.95</v>
      </c>
      <c r="J1285" s="32" t="n">
        <f aca="false">IF(E1285&gt;0,F1285/E1285,0)</f>
        <v>0</v>
      </c>
      <c r="K1285" s="32" t="n">
        <f aca="false">IF(G1285&gt;0,H1285/G1285,0)</f>
        <v>-0</v>
      </c>
      <c r="L1285" s="59" t="n">
        <f aca="false">H1285/Settings!$B$16</f>
        <v>-0</v>
      </c>
      <c r="M1285" s="59" t="n">
        <f aca="false">H1285/Settings!$B$20</f>
        <v>-0</v>
      </c>
      <c r="N1285" s="60" t="n">
        <f aca="false">E1285*Settings!$B$3</f>
        <v>0.0309861510798204</v>
      </c>
      <c r="O1285" s="60" t="n">
        <f aca="false">IF(E1285&gt;0,(F1285-N1285)/SQRT(E1285*Settings!$B$3*(1-Settings!$B$3)),0)</f>
        <v>-0.178821125934444</v>
      </c>
      <c r="P1285" s="60" t="n">
        <f aca="false">MAX(0,F1285-N1285)</f>
        <v>0</v>
      </c>
      <c r="Q1285" s="32" t="n">
        <f aca="false">(F1285+Settings!$B$7*Settings!$B$3)/(E1285+Settings!$B$7)</f>
        <v>0.0299865978191811</v>
      </c>
      <c r="R1285" s="61" t="n">
        <f aca="false">PERCENTRANK($H$2:$H$1780,H1285,6)</f>
        <v>0</v>
      </c>
      <c r="S1285" s="61" t="n">
        <f aca="false">PERCENTRANK($Q$2:$Q$1780,Q1285,6)</f>
        <v>0.486502</v>
      </c>
      <c r="T1285" s="61" t="n">
        <f aca="false">PERCENTRANK($F$2:$F$1780,F1285,6)</f>
        <v>0</v>
      </c>
      <c r="U1285" s="62" t="n">
        <f aca="false">IF(F1285&gt;0,(Settings!$B$8*T1285+Settings!$B$9*R1285+Settings!$B$10*S1285)/SUM(Settings!$B$8:$B$10),0)</f>
        <v>0</v>
      </c>
      <c r="V1285" s="56" t="str">
        <f aca="false">IF(U1285&gt;0,RANK(U1285,$U$2:$U$1780)+COUNTIF($U$2:U1285,U1285)-1,"")</f>
        <v/>
      </c>
      <c r="W1285" s="56" t="str">
        <f aca="false">IF(V1285="","",IF(V1285&lt;=Settings!$B$11,"1 - Fix first",IF(V1285&lt;=Settings!$B$12,"2 - Review","3 - Monitor")))</f>
        <v/>
      </c>
      <c r="X1285" s="56" t="str">
        <f aca="false">IF(AND(E1285&gt;=Settings!$B$4,F1285&gt;=Settings!$B$5,O1285&gt;=Settings!$B$6),"HIGH RATE","")</f>
        <v/>
      </c>
      <c r="Y1285" s="56" t="str">
        <f aca="false">IF(F1285&gt;0,RANK(F1285,$F$2:$F$1780)+COUNTIF($F$2:F1285,F1285)-1,"")</f>
        <v/>
      </c>
      <c r="Z1285" s="56" t="str">
        <f aca="false">IF(H1285&gt;0,RANK(H1285,$H$2:$H$1780)+COUNTIF($H$2:H1285,H1285)-1,"")</f>
        <v/>
      </c>
      <c r="AA1285" s="56" t="str">
        <f aca="false">IF(AC1285="","",RANK(AC1285,$AC$2:$AC$1780)+COUNTIF($AC$2:AC1285,AC1285)-1)</f>
        <v/>
      </c>
      <c r="AB1285" s="56" t="str">
        <f aca="false">IF(AD1285="","",RANK(AD1285,$AD$2:$AD$1780)+COUNTIF($AD$2:AD1285,AD1285)-1)</f>
        <v/>
      </c>
      <c r="AC1285" s="56" t="str">
        <f aca="false">IF(AND(F1285&gt;0,E1285&gt;=Settings!$B$4),J1285,"")</f>
        <v/>
      </c>
      <c r="AD1285" s="56" t="str">
        <f aca="false">IF(X1285="HIGH RATE",O1285,"")</f>
        <v/>
      </c>
    </row>
    <row r="1286" customFormat="false" ht="15" hidden="false" customHeight="false" outlineLevel="0" collapsed="false">
      <c r="A1286" s="56" t="s">
        <v>2663</v>
      </c>
      <c r="B1286" s="56" t="s">
        <v>700</v>
      </c>
      <c r="C1286" s="56" t="s">
        <v>698</v>
      </c>
      <c r="D1286" s="56" t="str">
        <f aca="false">IFERROR(INDEX('Brand Map'!$B$4:$B$124,MATCH(C1286,'Brand Map'!$A$4:$A$124,0)),"Other")</f>
        <v>Other (small prefixes)</v>
      </c>
      <c r="E1286" s="57" t="n">
        <v>3</v>
      </c>
      <c r="F1286" s="57" t="n">
        <v>0</v>
      </c>
      <c r="G1286" s="58" t="n">
        <v>254.85</v>
      </c>
      <c r="H1286" s="58" t="n">
        <v>0</v>
      </c>
      <c r="I1286" s="58" t="n">
        <v>254.85</v>
      </c>
      <c r="J1286" s="32" t="n">
        <f aca="false">IF(E1286&gt;0,F1286/E1286,0)</f>
        <v>0</v>
      </c>
      <c r="K1286" s="32" t="n">
        <f aca="false">IF(G1286&gt;0,H1286/G1286,0)</f>
        <v>-0</v>
      </c>
      <c r="L1286" s="59" t="n">
        <f aca="false">H1286/Settings!$B$16</f>
        <v>-0</v>
      </c>
      <c r="M1286" s="59" t="n">
        <f aca="false">H1286/Settings!$B$20</f>
        <v>-0</v>
      </c>
      <c r="N1286" s="60" t="n">
        <f aca="false">E1286*Settings!$B$3</f>
        <v>0.0929584532394613</v>
      </c>
      <c r="O1286" s="60" t="n">
        <f aca="false">IF(E1286&gt;0,(F1286-N1286)/SQRT(E1286*Settings!$B$3*(1-Settings!$B$3)),0)</f>
        <v>-0.30972727558513</v>
      </c>
      <c r="P1286" s="60" t="n">
        <f aca="false">MAX(0,F1286-N1286)</f>
        <v>0</v>
      </c>
      <c r="Q1286" s="32" t="n">
        <f aca="false">(F1286+Settings!$B$7*Settings!$B$3)/(E1286+Settings!$B$7)</f>
        <v>0.0281692282543822</v>
      </c>
      <c r="R1286" s="61" t="n">
        <f aca="false">PERCENTRANK($H$2:$H$1780,H1286,6)</f>
        <v>0</v>
      </c>
      <c r="S1286" s="61" t="n">
        <f aca="false">PERCENTRANK($Q$2:$Q$1780,Q1286,6)</f>
        <v>0.294151</v>
      </c>
      <c r="T1286" s="61" t="n">
        <f aca="false">PERCENTRANK($F$2:$F$1780,F1286,6)</f>
        <v>0</v>
      </c>
      <c r="U1286" s="62" t="n">
        <f aca="false">IF(F1286&gt;0,(Settings!$B$8*T1286+Settings!$B$9*R1286+Settings!$B$10*S1286)/SUM(Settings!$B$8:$B$10),0)</f>
        <v>0</v>
      </c>
      <c r="V1286" s="56" t="str">
        <f aca="false">IF(U1286&gt;0,RANK(U1286,$U$2:$U$1780)+COUNTIF($U$2:U1286,U1286)-1,"")</f>
        <v/>
      </c>
      <c r="W1286" s="56" t="str">
        <f aca="false">IF(V1286="","",IF(V1286&lt;=Settings!$B$11,"1 - Fix first",IF(V1286&lt;=Settings!$B$12,"2 - Review","3 - Monitor")))</f>
        <v/>
      </c>
      <c r="X1286" s="56" t="str">
        <f aca="false">IF(AND(E1286&gt;=Settings!$B$4,F1286&gt;=Settings!$B$5,O1286&gt;=Settings!$B$6),"HIGH RATE","")</f>
        <v/>
      </c>
      <c r="Y1286" s="56" t="str">
        <f aca="false">IF(F1286&gt;0,RANK(F1286,$F$2:$F$1780)+COUNTIF($F$2:F1286,F1286)-1,"")</f>
        <v/>
      </c>
      <c r="Z1286" s="56" t="str">
        <f aca="false">IF(H1286&gt;0,RANK(H1286,$H$2:$H$1780)+COUNTIF($H$2:H1286,H1286)-1,"")</f>
        <v/>
      </c>
      <c r="AA1286" s="56" t="str">
        <f aca="false">IF(AC1286="","",RANK(AC1286,$AC$2:$AC$1780)+COUNTIF($AC$2:AC1286,AC1286)-1)</f>
        <v/>
      </c>
      <c r="AB1286" s="56" t="str">
        <f aca="false">IF(AD1286="","",RANK(AD1286,$AD$2:$AD$1780)+COUNTIF($AD$2:AD1286,AD1286)-1)</f>
        <v/>
      </c>
      <c r="AC1286" s="56" t="str">
        <f aca="false">IF(AND(F1286&gt;0,E1286&gt;=Settings!$B$4),J1286,"")</f>
        <v/>
      </c>
      <c r="AD1286" s="56" t="str">
        <f aca="false">IF(X1286="HIGH RATE",O1286,"")</f>
        <v/>
      </c>
    </row>
    <row r="1287" customFormat="false" ht="15" hidden="false" customHeight="false" outlineLevel="0" collapsed="false">
      <c r="A1287" s="56" t="s">
        <v>2664</v>
      </c>
      <c r="B1287" s="56" t="s">
        <v>700</v>
      </c>
      <c r="C1287" s="56" t="s">
        <v>698</v>
      </c>
      <c r="D1287" s="56" t="str">
        <f aca="false">IFERROR(INDEX('Brand Map'!$B$4:$B$124,MATCH(C1287,'Brand Map'!$A$4:$A$124,0)),"Other")</f>
        <v>Other (small prefixes)</v>
      </c>
      <c r="E1287" s="57" t="n">
        <v>22</v>
      </c>
      <c r="F1287" s="57" t="n">
        <v>0</v>
      </c>
      <c r="G1287" s="58" t="n">
        <v>878.9</v>
      </c>
      <c r="H1287" s="58" t="n">
        <v>0</v>
      </c>
      <c r="I1287" s="58" t="n">
        <v>878.9</v>
      </c>
      <c r="J1287" s="32" t="n">
        <f aca="false">IF(E1287&gt;0,F1287/E1287,0)</f>
        <v>0</v>
      </c>
      <c r="K1287" s="32" t="n">
        <f aca="false">IF(G1287&gt;0,H1287/G1287,0)</f>
        <v>-0</v>
      </c>
      <c r="L1287" s="59" t="n">
        <f aca="false">H1287/Settings!$B$16</f>
        <v>-0</v>
      </c>
      <c r="M1287" s="59" t="n">
        <f aca="false">H1287/Settings!$B$20</f>
        <v>-0</v>
      </c>
      <c r="N1287" s="60" t="n">
        <f aca="false">E1287*Settings!$B$3</f>
        <v>0.681695323756049</v>
      </c>
      <c r="O1287" s="60" t="n">
        <f aca="false">IF(E1287&gt;0,(F1287-N1287)/SQRT(E1287*Settings!$B$3*(1-Settings!$B$3)),0)</f>
        <v>-0.838745427272287</v>
      </c>
      <c r="P1287" s="60" t="n">
        <f aca="false">MAX(0,F1287-N1287)</f>
        <v>0</v>
      </c>
      <c r="Q1287" s="32" t="n">
        <f aca="false">(F1287+Settings!$B$7*Settings!$B$3)/(E1287+Settings!$B$7)</f>
        <v>0.0178766256229733</v>
      </c>
      <c r="R1287" s="61" t="n">
        <f aca="false">PERCENTRANK($H$2:$H$1780,H1287,6)</f>
        <v>0</v>
      </c>
      <c r="S1287" s="61" t="n">
        <f aca="false">PERCENTRANK($Q$2:$Q$1780,Q1287,6)</f>
        <v>0.0658043</v>
      </c>
      <c r="T1287" s="61" t="n">
        <f aca="false">PERCENTRANK($F$2:$F$1780,F1287,6)</f>
        <v>0</v>
      </c>
      <c r="U1287" s="62" t="n">
        <f aca="false">IF(F1287&gt;0,(Settings!$B$8*T1287+Settings!$B$9*R1287+Settings!$B$10*S1287)/SUM(Settings!$B$8:$B$10),0)</f>
        <v>0</v>
      </c>
      <c r="V1287" s="56" t="str">
        <f aca="false">IF(U1287&gt;0,RANK(U1287,$U$2:$U$1780)+COUNTIF($U$2:U1287,U1287)-1,"")</f>
        <v/>
      </c>
      <c r="W1287" s="56" t="str">
        <f aca="false">IF(V1287="","",IF(V1287&lt;=Settings!$B$11,"1 - Fix first",IF(V1287&lt;=Settings!$B$12,"2 - Review","3 - Monitor")))</f>
        <v/>
      </c>
      <c r="X1287" s="56" t="str">
        <f aca="false">IF(AND(E1287&gt;=Settings!$B$4,F1287&gt;=Settings!$B$5,O1287&gt;=Settings!$B$6),"HIGH RATE","")</f>
        <v/>
      </c>
      <c r="Y1287" s="56" t="str">
        <f aca="false">IF(F1287&gt;0,RANK(F1287,$F$2:$F$1780)+COUNTIF($F$2:F1287,F1287)-1,"")</f>
        <v/>
      </c>
      <c r="Z1287" s="56" t="str">
        <f aca="false">IF(H1287&gt;0,RANK(H1287,$H$2:$H$1780)+COUNTIF($H$2:H1287,H1287)-1,"")</f>
        <v/>
      </c>
      <c r="AA1287" s="56" t="str">
        <f aca="false">IF(AC1287="","",RANK(AC1287,$AC$2:$AC$1780)+COUNTIF($AC$2:AC1287,AC1287)-1)</f>
        <v/>
      </c>
      <c r="AB1287" s="56" t="str">
        <f aca="false">IF(AD1287="","",RANK(AD1287,$AD$2:$AD$1780)+COUNTIF($AD$2:AD1287,AD1287)-1)</f>
        <v/>
      </c>
      <c r="AC1287" s="56" t="str">
        <f aca="false">IF(AND(F1287&gt;0,E1287&gt;=Settings!$B$4),J1287,"")</f>
        <v/>
      </c>
      <c r="AD1287" s="56" t="str">
        <f aca="false">IF(X1287="HIGH RATE",O1287,"")</f>
        <v/>
      </c>
    </row>
    <row r="1288" customFormat="false" ht="15" hidden="false" customHeight="false" outlineLevel="0" collapsed="false">
      <c r="A1288" s="56" t="s">
        <v>2665</v>
      </c>
      <c r="B1288" s="56" t="s">
        <v>2666</v>
      </c>
      <c r="C1288" s="56" t="s">
        <v>698</v>
      </c>
      <c r="D1288" s="56" t="str">
        <f aca="false">IFERROR(INDEX('Brand Map'!$B$4:$B$124,MATCH(C1288,'Brand Map'!$A$4:$A$124,0)),"Other")</f>
        <v>Other (small prefixes)</v>
      </c>
      <c r="E1288" s="57" t="n">
        <v>1</v>
      </c>
      <c r="F1288" s="57" t="n">
        <v>0</v>
      </c>
      <c r="G1288" s="58" t="n">
        <v>139.95</v>
      </c>
      <c r="H1288" s="58" t="n">
        <v>0</v>
      </c>
      <c r="I1288" s="58" t="n">
        <v>139.95</v>
      </c>
      <c r="J1288" s="32" t="n">
        <f aca="false">IF(E1288&gt;0,F1288/E1288,0)</f>
        <v>0</v>
      </c>
      <c r="K1288" s="32" t="n">
        <f aca="false">IF(G1288&gt;0,H1288/G1288,0)</f>
        <v>-0</v>
      </c>
      <c r="L1288" s="59" t="n">
        <f aca="false">H1288/Settings!$B$16</f>
        <v>-0</v>
      </c>
      <c r="M1288" s="59" t="n">
        <f aca="false">H1288/Settings!$B$20</f>
        <v>-0</v>
      </c>
      <c r="N1288" s="60" t="n">
        <f aca="false">E1288*Settings!$B$3</f>
        <v>0.0309861510798204</v>
      </c>
      <c r="O1288" s="60" t="n">
        <f aca="false">IF(E1288&gt;0,(F1288-N1288)/SQRT(E1288*Settings!$B$3*(1-Settings!$B$3)),0)</f>
        <v>-0.178821125934444</v>
      </c>
      <c r="P1288" s="60" t="n">
        <f aca="false">MAX(0,F1288-N1288)</f>
        <v>0</v>
      </c>
      <c r="Q1288" s="32" t="n">
        <f aca="false">(F1288+Settings!$B$7*Settings!$B$3)/(E1288+Settings!$B$7)</f>
        <v>0.0299865978191811</v>
      </c>
      <c r="R1288" s="61" t="n">
        <f aca="false">PERCENTRANK($H$2:$H$1780,H1288,6)</f>
        <v>0</v>
      </c>
      <c r="S1288" s="61" t="n">
        <f aca="false">PERCENTRANK($Q$2:$Q$1780,Q1288,6)</f>
        <v>0.486502</v>
      </c>
      <c r="T1288" s="61" t="n">
        <f aca="false">PERCENTRANK($F$2:$F$1780,F1288,6)</f>
        <v>0</v>
      </c>
      <c r="U1288" s="62" t="n">
        <f aca="false">IF(F1288&gt;0,(Settings!$B$8*T1288+Settings!$B$9*R1288+Settings!$B$10*S1288)/SUM(Settings!$B$8:$B$10),0)</f>
        <v>0</v>
      </c>
      <c r="V1288" s="56" t="str">
        <f aca="false">IF(U1288&gt;0,RANK(U1288,$U$2:$U$1780)+COUNTIF($U$2:U1288,U1288)-1,"")</f>
        <v/>
      </c>
      <c r="W1288" s="56" t="str">
        <f aca="false">IF(V1288="","",IF(V1288&lt;=Settings!$B$11,"1 - Fix first",IF(V1288&lt;=Settings!$B$12,"2 - Review","3 - Monitor")))</f>
        <v/>
      </c>
      <c r="X1288" s="56" t="str">
        <f aca="false">IF(AND(E1288&gt;=Settings!$B$4,F1288&gt;=Settings!$B$5,O1288&gt;=Settings!$B$6),"HIGH RATE","")</f>
        <v/>
      </c>
      <c r="Y1288" s="56" t="str">
        <f aca="false">IF(F1288&gt;0,RANK(F1288,$F$2:$F$1780)+COUNTIF($F$2:F1288,F1288)-1,"")</f>
        <v/>
      </c>
      <c r="Z1288" s="56" t="str">
        <f aca="false">IF(H1288&gt;0,RANK(H1288,$H$2:$H$1780)+COUNTIF($H$2:H1288,H1288)-1,"")</f>
        <v/>
      </c>
      <c r="AA1288" s="56" t="str">
        <f aca="false">IF(AC1288="","",RANK(AC1288,$AC$2:$AC$1780)+COUNTIF($AC$2:AC1288,AC1288)-1)</f>
        <v/>
      </c>
      <c r="AB1288" s="56" t="str">
        <f aca="false">IF(AD1288="","",RANK(AD1288,$AD$2:$AD$1780)+COUNTIF($AD$2:AD1288,AD1288)-1)</f>
        <v/>
      </c>
      <c r="AC1288" s="56" t="str">
        <f aca="false">IF(AND(F1288&gt;0,E1288&gt;=Settings!$B$4),J1288,"")</f>
        <v/>
      </c>
      <c r="AD1288" s="56" t="str">
        <f aca="false">IF(X1288="HIGH RATE",O1288,"")</f>
        <v/>
      </c>
    </row>
    <row r="1289" customFormat="false" ht="15" hidden="false" customHeight="false" outlineLevel="0" collapsed="false">
      <c r="A1289" s="56" t="s">
        <v>2667</v>
      </c>
      <c r="B1289" s="56" t="s">
        <v>2668</v>
      </c>
      <c r="C1289" s="56" t="s">
        <v>698</v>
      </c>
      <c r="D1289" s="56" t="str">
        <f aca="false">IFERROR(INDEX('Brand Map'!$B$4:$B$124,MATCH(C1289,'Brand Map'!$A$4:$A$124,0)),"Other")</f>
        <v>Other (small prefixes)</v>
      </c>
      <c r="E1289" s="57" t="n">
        <v>1</v>
      </c>
      <c r="F1289" s="57" t="n">
        <v>0</v>
      </c>
      <c r="G1289" s="58" t="n">
        <v>139.95</v>
      </c>
      <c r="H1289" s="58" t="n">
        <v>0</v>
      </c>
      <c r="I1289" s="58" t="n">
        <v>139.95</v>
      </c>
      <c r="J1289" s="32" t="n">
        <f aca="false">IF(E1289&gt;0,F1289/E1289,0)</f>
        <v>0</v>
      </c>
      <c r="K1289" s="32" t="n">
        <f aca="false">IF(G1289&gt;0,H1289/G1289,0)</f>
        <v>-0</v>
      </c>
      <c r="L1289" s="59" t="n">
        <f aca="false">H1289/Settings!$B$16</f>
        <v>-0</v>
      </c>
      <c r="M1289" s="59" t="n">
        <f aca="false">H1289/Settings!$B$20</f>
        <v>-0</v>
      </c>
      <c r="N1289" s="60" t="n">
        <f aca="false">E1289*Settings!$B$3</f>
        <v>0.0309861510798204</v>
      </c>
      <c r="O1289" s="60" t="n">
        <f aca="false">IF(E1289&gt;0,(F1289-N1289)/SQRT(E1289*Settings!$B$3*(1-Settings!$B$3)),0)</f>
        <v>-0.178821125934444</v>
      </c>
      <c r="P1289" s="60" t="n">
        <f aca="false">MAX(0,F1289-N1289)</f>
        <v>0</v>
      </c>
      <c r="Q1289" s="32" t="n">
        <f aca="false">(F1289+Settings!$B$7*Settings!$B$3)/(E1289+Settings!$B$7)</f>
        <v>0.0299865978191811</v>
      </c>
      <c r="R1289" s="61" t="n">
        <f aca="false">PERCENTRANK($H$2:$H$1780,H1289,6)</f>
        <v>0</v>
      </c>
      <c r="S1289" s="61" t="n">
        <f aca="false">PERCENTRANK($Q$2:$Q$1780,Q1289,6)</f>
        <v>0.486502</v>
      </c>
      <c r="T1289" s="61" t="n">
        <f aca="false">PERCENTRANK($F$2:$F$1780,F1289,6)</f>
        <v>0</v>
      </c>
      <c r="U1289" s="62" t="n">
        <f aca="false">IF(F1289&gt;0,(Settings!$B$8*T1289+Settings!$B$9*R1289+Settings!$B$10*S1289)/SUM(Settings!$B$8:$B$10),0)</f>
        <v>0</v>
      </c>
      <c r="V1289" s="56" t="str">
        <f aca="false">IF(U1289&gt;0,RANK(U1289,$U$2:$U$1780)+COUNTIF($U$2:U1289,U1289)-1,"")</f>
        <v/>
      </c>
      <c r="W1289" s="56" t="str">
        <f aca="false">IF(V1289="","",IF(V1289&lt;=Settings!$B$11,"1 - Fix first",IF(V1289&lt;=Settings!$B$12,"2 - Review","3 - Monitor")))</f>
        <v/>
      </c>
      <c r="X1289" s="56" t="str">
        <f aca="false">IF(AND(E1289&gt;=Settings!$B$4,F1289&gt;=Settings!$B$5,O1289&gt;=Settings!$B$6),"HIGH RATE","")</f>
        <v/>
      </c>
      <c r="Y1289" s="56" t="str">
        <f aca="false">IF(F1289&gt;0,RANK(F1289,$F$2:$F$1780)+COUNTIF($F$2:F1289,F1289)-1,"")</f>
        <v/>
      </c>
      <c r="Z1289" s="56" t="str">
        <f aca="false">IF(H1289&gt;0,RANK(H1289,$H$2:$H$1780)+COUNTIF($H$2:H1289,H1289)-1,"")</f>
        <v/>
      </c>
      <c r="AA1289" s="56" t="str">
        <f aca="false">IF(AC1289="","",RANK(AC1289,$AC$2:$AC$1780)+COUNTIF($AC$2:AC1289,AC1289)-1)</f>
        <v/>
      </c>
      <c r="AB1289" s="56" t="str">
        <f aca="false">IF(AD1289="","",RANK(AD1289,$AD$2:$AD$1780)+COUNTIF($AD$2:AD1289,AD1289)-1)</f>
        <v/>
      </c>
      <c r="AC1289" s="56" t="str">
        <f aca="false">IF(AND(F1289&gt;0,E1289&gt;=Settings!$B$4),J1289,"")</f>
        <v/>
      </c>
      <c r="AD1289" s="56" t="str">
        <f aca="false">IF(X1289="HIGH RATE",O1289,"")</f>
        <v/>
      </c>
    </row>
    <row r="1290" customFormat="false" ht="15" hidden="false" customHeight="false" outlineLevel="0" collapsed="false">
      <c r="A1290" s="56" t="s">
        <v>803</v>
      </c>
      <c r="B1290" s="56" t="s">
        <v>804</v>
      </c>
      <c r="C1290" s="56" t="s">
        <v>802</v>
      </c>
      <c r="D1290" s="56" t="str">
        <f aca="false">IFERROR(INDEX('Brand Map'!$B$4:$B$124,MATCH(C1290,'Brand Map'!$A$4:$A$124,0)),"Other")</f>
        <v>Other (small prefixes)</v>
      </c>
      <c r="E1290" s="57" t="n">
        <v>1</v>
      </c>
      <c r="F1290" s="57" t="n">
        <v>0</v>
      </c>
      <c r="G1290" s="58" t="n">
        <v>85</v>
      </c>
      <c r="H1290" s="58" t="n">
        <v>0</v>
      </c>
      <c r="I1290" s="58" t="n">
        <v>85</v>
      </c>
      <c r="J1290" s="32" t="n">
        <f aca="false">IF(E1290&gt;0,F1290/E1290,0)</f>
        <v>0</v>
      </c>
      <c r="K1290" s="32" t="n">
        <f aca="false">IF(G1290&gt;0,H1290/G1290,0)</f>
        <v>-0</v>
      </c>
      <c r="L1290" s="59" t="n">
        <f aca="false">H1290/Settings!$B$16</f>
        <v>-0</v>
      </c>
      <c r="M1290" s="59" t="n">
        <f aca="false">H1290/Settings!$B$20</f>
        <v>-0</v>
      </c>
      <c r="N1290" s="60" t="n">
        <f aca="false">E1290*Settings!$B$3</f>
        <v>0.0309861510798204</v>
      </c>
      <c r="O1290" s="60" t="n">
        <f aca="false">IF(E1290&gt;0,(F1290-N1290)/SQRT(E1290*Settings!$B$3*(1-Settings!$B$3)),0)</f>
        <v>-0.178821125934444</v>
      </c>
      <c r="P1290" s="60" t="n">
        <f aca="false">MAX(0,F1290-N1290)</f>
        <v>0</v>
      </c>
      <c r="Q1290" s="32" t="n">
        <f aca="false">(F1290+Settings!$B$7*Settings!$B$3)/(E1290+Settings!$B$7)</f>
        <v>0.0299865978191811</v>
      </c>
      <c r="R1290" s="61" t="n">
        <f aca="false">PERCENTRANK($H$2:$H$1780,H1290,6)</f>
        <v>0</v>
      </c>
      <c r="S1290" s="61" t="n">
        <f aca="false">PERCENTRANK($Q$2:$Q$1780,Q1290,6)</f>
        <v>0.486502</v>
      </c>
      <c r="T1290" s="61" t="n">
        <f aca="false">PERCENTRANK($F$2:$F$1780,F1290,6)</f>
        <v>0</v>
      </c>
      <c r="U1290" s="62" t="n">
        <f aca="false">IF(F1290&gt;0,(Settings!$B$8*T1290+Settings!$B$9*R1290+Settings!$B$10*S1290)/SUM(Settings!$B$8:$B$10),0)</f>
        <v>0</v>
      </c>
      <c r="V1290" s="56" t="str">
        <f aca="false">IF(U1290&gt;0,RANK(U1290,$U$2:$U$1780)+COUNTIF($U$2:U1290,U1290)-1,"")</f>
        <v/>
      </c>
      <c r="W1290" s="56" t="str">
        <f aca="false">IF(V1290="","",IF(V1290&lt;=Settings!$B$11,"1 - Fix first",IF(V1290&lt;=Settings!$B$12,"2 - Review","3 - Monitor")))</f>
        <v/>
      </c>
      <c r="X1290" s="56" t="str">
        <f aca="false">IF(AND(E1290&gt;=Settings!$B$4,F1290&gt;=Settings!$B$5,O1290&gt;=Settings!$B$6),"HIGH RATE","")</f>
        <v/>
      </c>
      <c r="Y1290" s="56" t="str">
        <f aca="false">IF(F1290&gt;0,RANK(F1290,$F$2:$F$1780)+COUNTIF($F$2:F1290,F1290)-1,"")</f>
        <v/>
      </c>
      <c r="Z1290" s="56" t="str">
        <f aca="false">IF(H1290&gt;0,RANK(H1290,$H$2:$H$1780)+COUNTIF($H$2:H1290,H1290)-1,"")</f>
        <v/>
      </c>
      <c r="AA1290" s="56" t="str">
        <f aca="false">IF(AC1290="","",RANK(AC1290,$AC$2:$AC$1780)+COUNTIF($AC$2:AC1290,AC1290)-1)</f>
        <v/>
      </c>
      <c r="AB1290" s="56" t="str">
        <f aca="false">IF(AD1290="","",RANK(AD1290,$AD$2:$AD$1780)+COUNTIF($AD$2:AD1290,AD1290)-1)</f>
        <v/>
      </c>
      <c r="AC1290" s="56" t="str">
        <f aca="false">IF(AND(F1290&gt;0,E1290&gt;=Settings!$B$4),J1290,"")</f>
        <v/>
      </c>
      <c r="AD1290" s="56" t="str">
        <f aca="false">IF(X1290="HIGH RATE",O1290,"")</f>
        <v/>
      </c>
    </row>
    <row r="1291" customFormat="false" ht="15" hidden="false" customHeight="false" outlineLevel="0" collapsed="false">
      <c r="A1291" s="56" t="s">
        <v>2669</v>
      </c>
      <c r="B1291" s="56" t="s">
        <v>2670</v>
      </c>
      <c r="C1291" s="56" t="s">
        <v>656</v>
      </c>
      <c r="D1291" s="56" t="str">
        <f aca="false">IFERROR(INDEX('Brand Map'!$B$4:$B$124,MATCH(C1291,'Brand Map'!$A$4:$A$124,0)),"Other")</f>
        <v>Other (small prefixes)</v>
      </c>
      <c r="E1291" s="57" t="n">
        <v>11</v>
      </c>
      <c r="F1291" s="57" t="n">
        <v>0</v>
      </c>
      <c r="G1291" s="58" t="n">
        <v>853.9</v>
      </c>
      <c r="H1291" s="58" t="n">
        <v>0</v>
      </c>
      <c r="I1291" s="58" t="n">
        <v>853.9</v>
      </c>
      <c r="J1291" s="32" t="n">
        <f aca="false">IF(E1291&gt;0,F1291/E1291,0)</f>
        <v>0</v>
      </c>
      <c r="K1291" s="32" t="n">
        <f aca="false">IF(G1291&gt;0,H1291/G1291,0)</f>
        <v>-0</v>
      </c>
      <c r="L1291" s="59" t="n">
        <f aca="false">H1291/Settings!$B$16</f>
        <v>-0</v>
      </c>
      <c r="M1291" s="59" t="n">
        <f aca="false">H1291/Settings!$B$20</f>
        <v>-0</v>
      </c>
      <c r="N1291" s="60" t="n">
        <f aca="false">E1291*Settings!$B$3</f>
        <v>0.340847661878025</v>
      </c>
      <c r="O1291" s="60" t="n">
        <f aca="false">IF(E1291&gt;0,(F1291-N1291)/SQRT(E1291*Settings!$B$3*(1-Settings!$B$3)),0)</f>
        <v>-0.593082579313442</v>
      </c>
      <c r="P1291" s="60" t="n">
        <f aca="false">MAX(0,F1291-N1291)</f>
        <v>0</v>
      </c>
      <c r="Q1291" s="32" t="n">
        <f aca="false">(F1291+Settings!$B$7*Settings!$B$3)/(E1291+Settings!$B$7)</f>
        <v>0.0226727934730393</v>
      </c>
      <c r="R1291" s="61" t="n">
        <f aca="false">PERCENTRANK($H$2:$H$1780,H1291,6)</f>
        <v>0</v>
      </c>
      <c r="S1291" s="61" t="n">
        <f aca="false">PERCENTRANK($Q$2:$Q$1780,Q1291,6)</f>
        <v>0.117548</v>
      </c>
      <c r="T1291" s="61" t="n">
        <f aca="false">PERCENTRANK($F$2:$F$1780,F1291,6)</f>
        <v>0</v>
      </c>
      <c r="U1291" s="62" t="n">
        <f aca="false">IF(F1291&gt;0,(Settings!$B$8*T1291+Settings!$B$9*R1291+Settings!$B$10*S1291)/SUM(Settings!$B$8:$B$10),0)</f>
        <v>0</v>
      </c>
      <c r="V1291" s="56" t="str">
        <f aca="false">IF(U1291&gt;0,RANK(U1291,$U$2:$U$1780)+COUNTIF($U$2:U1291,U1291)-1,"")</f>
        <v/>
      </c>
      <c r="W1291" s="56" t="str">
        <f aca="false">IF(V1291="","",IF(V1291&lt;=Settings!$B$11,"1 - Fix first",IF(V1291&lt;=Settings!$B$12,"2 - Review","3 - Monitor")))</f>
        <v/>
      </c>
      <c r="X1291" s="56" t="str">
        <f aca="false">IF(AND(E1291&gt;=Settings!$B$4,F1291&gt;=Settings!$B$5,O1291&gt;=Settings!$B$6),"HIGH RATE","")</f>
        <v/>
      </c>
      <c r="Y1291" s="56" t="str">
        <f aca="false">IF(F1291&gt;0,RANK(F1291,$F$2:$F$1780)+COUNTIF($F$2:F1291,F1291)-1,"")</f>
        <v/>
      </c>
      <c r="Z1291" s="56" t="str">
        <f aca="false">IF(H1291&gt;0,RANK(H1291,$H$2:$H$1780)+COUNTIF($H$2:H1291,H1291)-1,"")</f>
        <v/>
      </c>
      <c r="AA1291" s="56" t="str">
        <f aca="false">IF(AC1291="","",RANK(AC1291,$AC$2:$AC$1780)+COUNTIF($AC$2:AC1291,AC1291)-1)</f>
        <v/>
      </c>
      <c r="AB1291" s="56" t="str">
        <f aca="false">IF(AD1291="","",RANK(AD1291,$AD$2:$AD$1780)+COUNTIF($AD$2:AD1291,AD1291)-1)</f>
        <v/>
      </c>
      <c r="AC1291" s="56" t="str">
        <f aca="false">IF(AND(F1291&gt;0,E1291&gt;=Settings!$B$4),J1291,"")</f>
        <v/>
      </c>
      <c r="AD1291" s="56" t="str">
        <f aca="false">IF(X1291="HIGH RATE",O1291,"")</f>
        <v/>
      </c>
    </row>
    <row r="1292" customFormat="false" ht="15" hidden="false" customHeight="false" outlineLevel="0" collapsed="false">
      <c r="A1292" s="56" t="s">
        <v>2671</v>
      </c>
      <c r="B1292" s="56" t="s">
        <v>2672</v>
      </c>
      <c r="C1292" s="56" t="s">
        <v>656</v>
      </c>
      <c r="D1292" s="56" t="str">
        <f aca="false">IFERROR(INDEX('Brand Map'!$B$4:$B$124,MATCH(C1292,'Brand Map'!$A$4:$A$124,0)),"Other")</f>
        <v>Other (small prefixes)</v>
      </c>
      <c r="E1292" s="57" t="n">
        <v>7</v>
      </c>
      <c r="F1292" s="57" t="n">
        <v>0</v>
      </c>
      <c r="G1292" s="58" t="n">
        <v>506.51</v>
      </c>
      <c r="H1292" s="58" t="n">
        <v>0</v>
      </c>
      <c r="I1292" s="58" t="n">
        <v>506.51</v>
      </c>
      <c r="J1292" s="32" t="n">
        <f aca="false">IF(E1292&gt;0,F1292/E1292,0)</f>
        <v>0</v>
      </c>
      <c r="K1292" s="32" t="n">
        <f aca="false">IF(G1292&gt;0,H1292/G1292,0)</f>
        <v>-0</v>
      </c>
      <c r="L1292" s="59" t="n">
        <f aca="false">H1292/Settings!$B$16</f>
        <v>-0</v>
      </c>
      <c r="M1292" s="59" t="n">
        <f aca="false">H1292/Settings!$B$20</f>
        <v>-0</v>
      </c>
      <c r="N1292" s="60" t="n">
        <f aca="false">E1292*Settings!$B$3</f>
        <v>0.216903057558743</v>
      </c>
      <c r="O1292" s="60" t="n">
        <f aca="false">IF(E1292&gt;0,(F1292-N1292)/SQRT(E1292*Settings!$B$3*(1-Settings!$B$3)),0)</f>
        <v>-0.473116228387102</v>
      </c>
      <c r="P1292" s="60" t="n">
        <f aca="false">MAX(0,F1292-N1292)</f>
        <v>0</v>
      </c>
      <c r="Q1292" s="32" t="n">
        <f aca="false">(F1292+Settings!$B$7*Settings!$B$3)/(E1292+Settings!$B$7)</f>
        <v>0.0251239062809355</v>
      </c>
      <c r="R1292" s="61" t="n">
        <f aca="false">PERCENTRANK($H$2:$H$1780,H1292,6)</f>
        <v>0</v>
      </c>
      <c r="S1292" s="61" t="n">
        <f aca="false">PERCENTRANK($Q$2:$Q$1780,Q1292,6)</f>
        <v>0.168166</v>
      </c>
      <c r="T1292" s="61" t="n">
        <f aca="false">PERCENTRANK($F$2:$F$1780,F1292,6)</f>
        <v>0</v>
      </c>
      <c r="U1292" s="62" t="n">
        <f aca="false">IF(F1292&gt;0,(Settings!$B$8*T1292+Settings!$B$9*R1292+Settings!$B$10*S1292)/SUM(Settings!$B$8:$B$10),0)</f>
        <v>0</v>
      </c>
      <c r="V1292" s="56" t="str">
        <f aca="false">IF(U1292&gt;0,RANK(U1292,$U$2:$U$1780)+COUNTIF($U$2:U1292,U1292)-1,"")</f>
        <v/>
      </c>
      <c r="W1292" s="56" t="str">
        <f aca="false">IF(V1292="","",IF(V1292&lt;=Settings!$B$11,"1 - Fix first",IF(V1292&lt;=Settings!$B$12,"2 - Review","3 - Monitor")))</f>
        <v/>
      </c>
      <c r="X1292" s="56" t="str">
        <f aca="false">IF(AND(E1292&gt;=Settings!$B$4,F1292&gt;=Settings!$B$5,O1292&gt;=Settings!$B$6),"HIGH RATE","")</f>
        <v/>
      </c>
      <c r="Y1292" s="56" t="str">
        <f aca="false">IF(F1292&gt;0,RANK(F1292,$F$2:$F$1780)+COUNTIF($F$2:F1292,F1292)-1,"")</f>
        <v/>
      </c>
      <c r="Z1292" s="56" t="str">
        <f aca="false">IF(H1292&gt;0,RANK(H1292,$H$2:$H$1780)+COUNTIF($H$2:H1292,H1292)-1,"")</f>
        <v/>
      </c>
      <c r="AA1292" s="56" t="str">
        <f aca="false">IF(AC1292="","",RANK(AC1292,$AC$2:$AC$1780)+COUNTIF($AC$2:AC1292,AC1292)-1)</f>
        <v/>
      </c>
      <c r="AB1292" s="56" t="str">
        <f aca="false">IF(AD1292="","",RANK(AD1292,$AD$2:$AD$1780)+COUNTIF($AD$2:AD1292,AD1292)-1)</f>
        <v/>
      </c>
      <c r="AC1292" s="56" t="str">
        <f aca="false">IF(AND(F1292&gt;0,E1292&gt;=Settings!$B$4),J1292,"")</f>
        <v/>
      </c>
      <c r="AD1292" s="56" t="str">
        <f aca="false">IF(X1292="HIGH RATE",O1292,"")</f>
        <v/>
      </c>
    </row>
    <row r="1293" customFormat="false" ht="15" hidden="false" customHeight="false" outlineLevel="0" collapsed="false">
      <c r="A1293" s="56" t="s">
        <v>2673</v>
      </c>
      <c r="B1293" s="56" t="s">
        <v>2674</v>
      </c>
      <c r="C1293" s="56" t="s">
        <v>656</v>
      </c>
      <c r="D1293" s="56" t="str">
        <f aca="false">IFERROR(INDEX('Brand Map'!$B$4:$B$124,MATCH(C1293,'Brand Map'!$A$4:$A$124,0)),"Other")</f>
        <v>Other (small prefixes)</v>
      </c>
      <c r="E1293" s="57" t="n">
        <v>6</v>
      </c>
      <c r="F1293" s="57" t="n">
        <v>0</v>
      </c>
      <c r="G1293" s="58" t="n">
        <v>522.89</v>
      </c>
      <c r="H1293" s="58" t="n">
        <v>0</v>
      </c>
      <c r="I1293" s="58" t="n">
        <v>522.89</v>
      </c>
      <c r="J1293" s="32" t="n">
        <f aca="false">IF(E1293&gt;0,F1293/E1293,0)</f>
        <v>0</v>
      </c>
      <c r="K1293" s="32" t="n">
        <f aca="false">IF(G1293&gt;0,H1293/G1293,0)</f>
        <v>-0</v>
      </c>
      <c r="L1293" s="59" t="n">
        <f aca="false">H1293/Settings!$B$16</f>
        <v>-0</v>
      </c>
      <c r="M1293" s="59" t="n">
        <f aca="false">H1293/Settings!$B$20</f>
        <v>-0</v>
      </c>
      <c r="N1293" s="60" t="n">
        <f aca="false">E1293*Settings!$B$3</f>
        <v>0.185916906478923</v>
      </c>
      <c r="O1293" s="60" t="n">
        <f aca="false">IF(E1293&gt;0,(F1293-N1293)/SQRT(E1293*Settings!$B$3*(1-Settings!$B$3)),0)</f>
        <v>-0.43802051376936</v>
      </c>
      <c r="P1293" s="60" t="n">
        <f aca="false">MAX(0,F1293-N1293)</f>
        <v>0</v>
      </c>
      <c r="Q1293" s="32" t="n">
        <f aca="false">(F1293+Settings!$B$7*Settings!$B$3)/(E1293+Settings!$B$7)</f>
        <v>0.025821792566517</v>
      </c>
      <c r="R1293" s="61" t="n">
        <f aca="false">PERCENTRANK($H$2:$H$1780,H1293,6)</f>
        <v>0</v>
      </c>
      <c r="S1293" s="61" t="n">
        <f aca="false">PERCENTRANK($Q$2:$Q$1780,Q1293,6)</f>
        <v>0.189539</v>
      </c>
      <c r="T1293" s="61" t="n">
        <f aca="false">PERCENTRANK($F$2:$F$1780,F1293,6)</f>
        <v>0</v>
      </c>
      <c r="U1293" s="62" t="n">
        <f aca="false">IF(F1293&gt;0,(Settings!$B$8*T1293+Settings!$B$9*R1293+Settings!$B$10*S1293)/SUM(Settings!$B$8:$B$10),0)</f>
        <v>0</v>
      </c>
      <c r="V1293" s="56" t="str">
        <f aca="false">IF(U1293&gt;0,RANK(U1293,$U$2:$U$1780)+COUNTIF($U$2:U1293,U1293)-1,"")</f>
        <v/>
      </c>
      <c r="W1293" s="56" t="str">
        <f aca="false">IF(V1293="","",IF(V1293&lt;=Settings!$B$11,"1 - Fix first",IF(V1293&lt;=Settings!$B$12,"2 - Review","3 - Monitor")))</f>
        <v/>
      </c>
      <c r="X1293" s="56" t="str">
        <f aca="false">IF(AND(E1293&gt;=Settings!$B$4,F1293&gt;=Settings!$B$5,O1293&gt;=Settings!$B$6),"HIGH RATE","")</f>
        <v/>
      </c>
      <c r="Y1293" s="56" t="str">
        <f aca="false">IF(F1293&gt;0,RANK(F1293,$F$2:$F$1780)+COUNTIF($F$2:F1293,F1293)-1,"")</f>
        <v/>
      </c>
      <c r="Z1293" s="56" t="str">
        <f aca="false">IF(H1293&gt;0,RANK(H1293,$H$2:$H$1780)+COUNTIF($H$2:H1293,H1293)-1,"")</f>
        <v/>
      </c>
      <c r="AA1293" s="56" t="str">
        <f aca="false">IF(AC1293="","",RANK(AC1293,$AC$2:$AC$1780)+COUNTIF($AC$2:AC1293,AC1293)-1)</f>
        <v/>
      </c>
      <c r="AB1293" s="56" t="str">
        <f aca="false">IF(AD1293="","",RANK(AD1293,$AD$2:$AD$1780)+COUNTIF($AD$2:AD1293,AD1293)-1)</f>
        <v/>
      </c>
      <c r="AC1293" s="56" t="str">
        <f aca="false">IF(AND(F1293&gt;0,E1293&gt;=Settings!$B$4),J1293,"")</f>
        <v/>
      </c>
      <c r="AD1293" s="56" t="str">
        <f aca="false">IF(X1293="HIGH RATE",O1293,"")</f>
        <v/>
      </c>
    </row>
    <row r="1294" customFormat="false" ht="15" hidden="false" customHeight="false" outlineLevel="0" collapsed="false">
      <c r="A1294" s="56" t="s">
        <v>657</v>
      </c>
      <c r="B1294" s="56" t="s">
        <v>658</v>
      </c>
      <c r="C1294" s="56" t="s">
        <v>656</v>
      </c>
      <c r="D1294" s="56" t="str">
        <f aca="false">IFERROR(INDEX('Brand Map'!$B$4:$B$124,MATCH(C1294,'Brand Map'!$A$4:$A$124,0)),"Other")</f>
        <v>Other (small prefixes)</v>
      </c>
      <c r="E1294" s="57" t="n">
        <v>19</v>
      </c>
      <c r="F1294" s="57" t="n">
        <v>0</v>
      </c>
      <c r="G1294" s="58" t="n">
        <v>1880.15</v>
      </c>
      <c r="H1294" s="58" t="n">
        <v>0</v>
      </c>
      <c r="I1294" s="58" t="n">
        <v>1852.92</v>
      </c>
      <c r="J1294" s="32" t="n">
        <f aca="false">IF(E1294&gt;0,F1294/E1294,0)</f>
        <v>0</v>
      </c>
      <c r="K1294" s="32" t="n">
        <f aca="false">IF(G1294&gt;0,H1294/G1294,0)</f>
        <v>-0</v>
      </c>
      <c r="L1294" s="59" t="n">
        <f aca="false">H1294/Settings!$B$16</f>
        <v>-0</v>
      </c>
      <c r="M1294" s="59" t="n">
        <f aca="false">H1294/Settings!$B$20</f>
        <v>-0</v>
      </c>
      <c r="N1294" s="60" t="n">
        <f aca="false">E1294*Settings!$B$3</f>
        <v>0.588736870516588</v>
      </c>
      <c r="O1294" s="60" t="n">
        <f aca="false">IF(E1294&gt;0,(F1294-N1294)/SQRT(E1294*Settings!$B$3*(1-Settings!$B$3)),0)</f>
        <v>-0.779463216918402</v>
      </c>
      <c r="P1294" s="60" t="n">
        <f aca="false">MAX(0,F1294-N1294)</f>
        <v>0</v>
      </c>
      <c r="Q1294" s="32" t="n">
        <f aca="false">(F1294+Settings!$B$7*Settings!$B$3)/(E1294+Settings!$B$7)</f>
        <v>0.0189711129060125</v>
      </c>
      <c r="R1294" s="61" t="n">
        <f aca="false">PERCENTRANK($H$2:$H$1780,H1294,6)</f>
        <v>0</v>
      </c>
      <c r="S1294" s="61" t="n">
        <f aca="false">PERCENTRANK($Q$2:$Q$1780,Q1294,6)</f>
        <v>0.0776153</v>
      </c>
      <c r="T1294" s="61" t="n">
        <f aca="false">PERCENTRANK($F$2:$F$1780,F1294,6)</f>
        <v>0</v>
      </c>
      <c r="U1294" s="62" t="n">
        <f aca="false">IF(F1294&gt;0,(Settings!$B$8*T1294+Settings!$B$9*R1294+Settings!$B$10*S1294)/SUM(Settings!$B$8:$B$10),0)</f>
        <v>0</v>
      </c>
      <c r="V1294" s="56" t="str">
        <f aca="false">IF(U1294&gt;0,RANK(U1294,$U$2:$U$1780)+COUNTIF($U$2:U1294,U1294)-1,"")</f>
        <v/>
      </c>
      <c r="W1294" s="56" t="str">
        <f aca="false">IF(V1294="","",IF(V1294&lt;=Settings!$B$11,"1 - Fix first",IF(V1294&lt;=Settings!$B$12,"2 - Review","3 - Monitor")))</f>
        <v/>
      </c>
      <c r="X1294" s="56" t="str">
        <f aca="false">IF(AND(E1294&gt;=Settings!$B$4,F1294&gt;=Settings!$B$5,O1294&gt;=Settings!$B$6),"HIGH RATE","")</f>
        <v/>
      </c>
      <c r="Y1294" s="56" t="str">
        <f aca="false">IF(F1294&gt;0,RANK(F1294,$F$2:$F$1780)+COUNTIF($F$2:F1294,F1294)-1,"")</f>
        <v/>
      </c>
      <c r="Z1294" s="56" t="str">
        <f aca="false">IF(H1294&gt;0,RANK(H1294,$H$2:$H$1780)+COUNTIF($H$2:H1294,H1294)-1,"")</f>
        <v/>
      </c>
      <c r="AA1294" s="56" t="str">
        <f aca="false">IF(AC1294="","",RANK(AC1294,$AC$2:$AC$1780)+COUNTIF($AC$2:AC1294,AC1294)-1)</f>
        <v/>
      </c>
      <c r="AB1294" s="56" t="str">
        <f aca="false">IF(AD1294="","",RANK(AD1294,$AD$2:$AD$1780)+COUNTIF($AD$2:AD1294,AD1294)-1)</f>
        <v/>
      </c>
      <c r="AC1294" s="56" t="str">
        <f aca="false">IF(AND(F1294&gt;0,E1294&gt;=Settings!$B$4),J1294,"")</f>
        <v/>
      </c>
      <c r="AD1294" s="56" t="str">
        <f aca="false">IF(X1294="HIGH RATE",O1294,"")</f>
        <v/>
      </c>
    </row>
    <row r="1295" customFormat="false" ht="15" hidden="false" customHeight="false" outlineLevel="0" collapsed="false">
      <c r="A1295" s="56" t="s">
        <v>2675</v>
      </c>
      <c r="B1295" s="56" t="s">
        <v>2676</v>
      </c>
      <c r="C1295" s="56" t="s">
        <v>656</v>
      </c>
      <c r="D1295" s="56" t="str">
        <f aca="false">IFERROR(INDEX('Brand Map'!$B$4:$B$124,MATCH(C1295,'Brand Map'!$A$4:$A$124,0)),"Other")</f>
        <v>Other (small prefixes)</v>
      </c>
      <c r="E1295" s="57" t="n">
        <v>6</v>
      </c>
      <c r="F1295" s="57" t="n">
        <v>0</v>
      </c>
      <c r="G1295" s="58" t="n">
        <v>748.34</v>
      </c>
      <c r="H1295" s="58" t="n">
        <v>0</v>
      </c>
      <c r="I1295" s="58" t="n">
        <v>709.37</v>
      </c>
      <c r="J1295" s="32" t="n">
        <f aca="false">IF(E1295&gt;0,F1295/E1295,0)</f>
        <v>0</v>
      </c>
      <c r="K1295" s="32" t="n">
        <f aca="false">IF(G1295&gt;0,H1295/G1295,0)</f>
        <v>-0</v>
      </c>
      <c r="L1295" s="59" t="n">
        <f aca="false">H1295/Settings!$B$16</f>
        <v>-0</v>
      </c>
      <c r="M1295" s="59" t="n">
        <f aca="false">H1295/Settings!$B$20</f>
        <v>-0</v>
      </c>
      <c r="N1295" s="60" t="n">
        <f aca="false">E1295*Settings!$B$3</f>
        <v>0.185916906478923</v>
      </c>
      <c r="O1295" s="60" t="n">
        <f aca="false">IF(E1295&gt;0,(F1295-N1295)/SQRT(E1295*Settings!$B$3*(1-Settings!$B$3)),0)</f>
        <v>-0.43802051376936</v>
      </c>
      <c r="P1295" s="60" t="n">
        <f aca="false">MAX(0,F1295-N1295)</f>
        <v>0</v>
      </c>
      <c r="Q1295" s="32" t="n">
        <f aca="false">(F1295+Settings!$B$7*Settings!$B$3)/(E1295+Settings!$B$7)</f>
        <v>0.025821792566517</v>
      </c>
      <c r="R1295" s="61" t="n">
        <f aca="false">PERCENTRANK($H$2:$H$1780,H1295,6)</f>
        <v>0</v>
      </c>
      <c r="S1295" s="61" t="n">
        <f aca="false">PERCENTRANK($Q$2:$Q$1780,Q1295,6)</f>
        <v>0.189539</v>
      </c>
      <c r="T1295" s="61" t="n">
        <f aca="false">PERCENTRANK($F$2:$F$1780,F1295,6)</f>
        <v>0</v>
      </c>
      <c r="U1295" s="62" t="n">
        <f aca="false">IF(F1295&gt;0,(Settings!$B$8*T1295+Settings!$B$9*R1295+Settings!$B$10*S1295)/SUM(Settings!$B$8:$B$10),0)</f>
        <v>0</v>
      </c>
      <c r="V1295" s="56" t="str">
        <f aca="false">IF(U1295&gt;0,RANK(U1295,$U$2:$U$1780)+COUNTIF($U$2:U1295,U1295)-1,"")</f>
        <v/>
      </c>
      <c r="W1295" s="56" t="str">
        <f aca="false">IF(V1295="","",IF(V1295&lt;=Settings!$B$11,"1 - Fix first",IF(V1295&lt;=Settings!$B$12,"2 - Review","3 - Monitor")))</f>
        <v/>
      </c>
      <c r="X1295" s="56" t="str">
        <f aca="false">IF(AND(E1295&gt;=Settings!$B$4,F1295&gt;=Settings!$B$5,O1295&gt;=Settings!$B$6),"HIGH RATE","")</f>
        <v/>
      </c>
      <c r="Y1295" s="56" t="str">
        <f aca="false">IF(F1295&gt;0,RANK(F1295,$F$2:$F$1780)+COUNTIF($F$2:F1295,F1295)-1,"")</f>
        <v/>
      </c>
      <c r="Z1295" s="56" t="str">
        <f aca="false">IF(H1295&gt;0,RANK(H1295,$H$2:$H$1780)+COUNTIF($H$2:H1295,H1295)-1,"")</f>
        <v/>
      </c>
      <c r="AA1295" s="56" t="str">
        <f aca="false">IF(AC1295="","",RANK(AC1295,$AC$2:$AC$1780)+COUNTIF($AC$2:AC1295,AC1295)-1)</f>
        <v/>
      </c>
      <c r="AB1295" s="56" t="str">
        <f aca="false">IF(AD1295="","",RANK(AD1295,$AD$2:$AD$1780)+COUNTIF($AD$2:AD1295,AD1295)-1)</f>
        <v/>
      </c>
      <c r="AC1295" s="56" t="str">
        <f aca="false">IF(AND(F1295&gt;0,E1295&gt;=Settings!$B$4),J1295,"")</f>
        <v/>
      </c>
      <c r="AD1295" s="56" t="str">
        <f aca="false">IF(X1295="HIGH RATE",O1295,"")</f>
        <v/>
      </c>
    </row>
    <row r="1296" customFormat="false" ht="15" hidden="false" customHeight="false" outlineLevel="0" collapsed="false">
      <c r="A1296" s="56" t="s">
        <v>2677</v>
      </c>
      <c r="B1296" s="56" t="s">
        <v>2678</v>
      </c>
      <c r="C1296" s="56" t="s">
        <v>656</v>
      </c>
      <c r="D1296" s="56" t="str">
        <f aca="false">IFERROR(INDEX('Brand Map'!$B$4:$B$124,MATCH(C1296,'Brand Map'!$A$4:$A$124,0)),"Other")</f>
        <v>Other (small prefixes)</v>
      </c>
      <c r="E1296" s="57" t="n">
        <v>3</v>
      </c>
      <c r="F1296" s="57" t="n">
        <v>0</v>
      </c>
      <c r="G1296" s="58" t="n">
        <v>350.76</v>
      </c>
      <c r="H1296" s="58" t="n">
        <v>0</v>
      </c>
      <c r="I1296" s="58" t="n">
        <v>350.76</v>
      </c>
      <c r="J1296" s="32" t="n">
        <f aca="false">IF(E1296&gt;0,F1296/E1296,0)</f>
        <v>0</v>
      </c>
      <c r="K1296" s="32" t="n">
        <f aca="false">IF(G1296&gt;0,H1296/G1296,0)</f>
        <v>-0</v>
      </c>
      <c r="L1296" s="59" t="n">
        <f aca="false">H1296/Settings!$B$16</f>
        <v>-0</v>
      </c>
      <c r="M1296" s="59" t="n">
        <f aca="false">H1296/Settings!$B$20</f>
        <v>-0</v>
      </c>
      <c r="N1296" s="60" t="n">
        <f aca="false">E1296*Settings!$B$3</f>
        <v>0.0929584532394613</v>
      </c>
      <c r="O1296" s="60" t="n">
        <f aca="false">IF(E1296&gt;0,(F1296-N1296)/SQRT(E1296*Settings!$B$3*(1-Settings!$B$3)),0)</f>
        <v>-0.30972727558513</v>
      </c>
      <c r="P1296" s="60" t="n">
        <f aca="false">MAX(0,F1296-N1296)</f>
        <v>0</v>
      </c>
      <c r="Q1296" s="32" t="n">
        <f aca="false">(F1296+Settings!$B$7*Settings!$B$3)/(E1296+Settings!$B$7)</f>
        <v>0.0281692282543822</v>
      </c>
      <c r="R1296" s="61" t="n">
        <f aca="false">PERCENTRANK($H$2:$H$1780,H1296,6)</f>
        <v>0</v>
      </c>
      <c r="S1296" s="61" t="n">
        <f aca="false">PERCENTRANK($Q$2:$Q$1780,Q1296,6)</f>
        <v>0.294151</v>
      </c>
      <c r="T1296" s="61" t="n">
        <f aca="false">PERCENTRANK($F$2:$F$1780,F1296,6)</f>
        <v>0</v>
      </c>
      <c r="U1296" s="62" t="n">
        <f aca="false">IF(F1296&gt;0,(Settings!$B$8*T1296+Settings!$B$9*R1296+Settings!$B$10*S1296)/SUM(Settings!$B$8:$B$10),0)</f>
        <v>0</v>
      </c>
      <c r="V1296" s="56" t="str">
        <f aca="false">IF(U1296&gt;0,RANK(U1296,$U$2:$U$1780)+COUNTIF($U$2:U1296,U1296)-1,"")</f>
        <v/>
      </c>
      <c r="W1296" s="56" t="str">
        <f aca="false">IF(V1296="","",IF(V1296&lt;=Settings!$B$11,"1 - Fix first",IF(V1296&lt;=Settings!$B$12,"2 - Review","3 - Monitor")))</f>
        <v/>
      </c>
      <c r="X1296" s="56" t="str">
        <f aca="false">IF(AND(E1296&gt;=Settings!$B$4,F1296&gt;=Settings!$B$5,O1296&gt;=Settings!$B$6),"HIGH RATE","")</f>
        <v/>
      </c>
      <c r="Y1296" s="56" t="str">
        <f aca="false">IF(F1296&gt;0,RANK(F1296,$F$2:$F$1780)+COUNTIF($F$2:F1296,F1296)-1,"")</f>
        <v/>
      </c>
      <c r="Z1296" s="56" t="str">
        <f aca="false">IF(H1296&gt;0,RANK(H1296,$H$2:$H$1780)+COUNTIF($H$2:H1296,H1296)-1,"")</f>
        <v/>
      </c>
      <c r="AA1296" s="56" t="str">
        <f aca="false">IF(AC1296="","",RANK(AC1296,$AC$2:$AC$1780)+COUNTIF($AC$2:AC1296,AC1296)-1)</f>
        <v/>
      </c>
      <c r="AB1296" s="56" t="str">
        <f aca="false">IF(AD1296="","",RANK(AD1296,$AD$2:$AD$1780)+COUNTIF($AD$2:AD1296,AD1296)-1)</f>
        <v/>
      </c>
      <c r="AC1296" s="56" t="str">
        <f aca="false">IF(AND(F1296&gt;0,E1296&gt;=Settings!$B$4),J1296,"")</f>
        <v/>
      </c>
      <c r="AD1296" s="56" t="str">
        <f aca="false">IF(X1296="HIGH RATE",O1296,"")</f>
        <v/>
      </c>
    </row>
    <row r="1297" customFormat="false" ht="15" hidden="false" customHeight="false" outlineLevel="0" collapsed="false">
      <c r="A1297" s="56" t="s">
        <v>2679</v>
      </c>
      <c r="B1297" s="56" t="s">
        <v>2680</v>
      </c>
      <c r="C1297" s="56" t="s">
        <v>656</v>
      </c>
      <c r="D1297" s="56" t="str">
        <f aca="false">IFERROR(INDEX('Brand Map'!$B$4:$B$124,MATCH(C1297,'Brand Map'!$A$4:$A$124,0)),"Other")</f>
        <v>Other (small prefixes)</v>
      </c>
      <c r="E1297" s="57" t="n">
        <v>2</v>
      </c>
      <c r="F1297" s="57" t="n">
        <v>0</v>
      </c>
      <c r="G1297" s="58" t="n">
        <v>274</v>
      </c>
      <c r="H1297" s="58" t="n">
        <v>0</v>
      </c>
      <c r="I1297" s="58" t="n">
        <v>274</v>
      </c>
      <c r="J1297" s="32" t="n">
        <f aca="false">IF(E1297&gt;0,F1297/E1297,0)</f>
        <v>0</v>
      </c>
      <c r="K1297" s="32" t="n">
        <f aca="false">IF(G1297&gt;0,H1297/G1297,0)</f>
        <v>-0</v>
      </c>
      <c r="L1297" s="59" t="n">
        <f aca="false">H1297/Settings!$B$16</f>
        <v>-0</v>
      </c>
      <c r="M1297" s="59" t="n">
        <f aca="false">H1297/Settings!$B$20</f>
        <v>-0</v>
      </c>
      <c r="N1297" s="60" t="n">
        <f aca="false">E1297*Settings!$B$3</f>
        <v>0.0619723021596408</v>
      </c>
      <c r="O1297" s="60" t="n">
        <f aca="false">IF(E1297&gt;0,(F1297-N1297)/SQRT(E1297*Settings!$B$3*(1-Settings!$B$3)),0)</f>
        <v>-0.252891261535318</v>
      </c>
      <c r="P1297" s="60" t="n">
        <f aca="false">MAX(0,F1297-N1297)</f>
        <v>0</v>
      </c>
      <c r="Q1297" s="32" t="n">
        <f aca="false">(F1297+Settings!$B$7*Settings!$B$3)/(E1297+Settings!$B$7)</f>
        <v>0.0290495166373316</v>
      </c>
      <c r="R1297" s="61" t="n">
        <f aca="false">PERCENTRANK($H$2:$H$1780,H1297,6)</f>
        <v>0</v>
      </c>
      <c r="S1297" s="61" t="n">
        <f aca="false">PERCENTRANK($Q$2:$Q$1780,Q1297,6)</f>
        <v>0.365579</v>
      </c>
      <c r="T1297" s="61" t="n">
        <f aca="false">PERCENTRANK($F$2:$F$1780,F1297,6)</f>
        <v>0</v>
      </c>
      <c r="U1297" s="62" t="n">
        <f aca="false">IF(F1297&gt;0,(Settings!$B$8*T1297+Settings!$B$9*R1297+Settings!$B$10*S1297)/SUM(Settings!$B$8:$B$10),0)</f>
        <v>0</v>
      </c>
      <c r="V1297" s="56" t="str">
        <f aca="false">IF(U1297&gt;0,RANK(U1297,$U$2:$U$1780)+COUNTIF($U$2:U1297,U1297)-1,"")</f>
        <v/>
      </c>
      <c r="W1297" s="56" t="str">
        <f aca="false">IF(V1297="","",IF(V1297&lt;=Settings!$B$11,"1 - Fix first",IF(V1297&lt;=Settings!$B$12,"2 - Review","3 - Monitor")))</f>
        <v/>
      </c>
      <c r="X1297" s="56" t="str">
        <f aca="false">IF(AND(E1297&gt;=Settings!$B$4,F1297&gt;=Settings!$B$5,O1297&gt;=Settings!$B$6),"HIGH RATE","")</f>
        <v/>
      </c>
      <c r="Y1297" s="56" t="str">
        <f aca="false">IF(F1297&gt;0,RANK(F1297,$F$2:$F$1780)+COUNTIF($F$2:F1297,F1297)-1,"")</f>
        <v/>
      </c>
      <c r="Z1297" s="56" t="str">
        <f aca="false">IF(H1297&gt;0,RANK(H1297,$H$2:$H$1780)+COUNTIF($H$2:H1297,H1297)-1,"")</f>
        <v/>
      </c>
      <c r="AA1297" s="56" t="str">
        <f aca="false">IF(AC1297="","",RANK(AC1297,$AC$2:$AC$1780)+COUNTIF($AC$2:AC1297,AC1297)-1)</f>
        <v/>
      </c>
      <c r="AB1297" s="56" t="str">
        <f aca="false">IF(AD1297="","",RANK(AD1297,$AD$2:$AD$1780)+COUNTIF($AD$2:AD1297,AD1297)-1)</f>
        <v/>
      </c>
      <c r="AC1297" s="56" t="str">
        <f aca="false">IF(AND(F1297&gt;0,E1297&gt;=Settings!$B$4),J1297,"")</f>
        <v/>
      </c>
      <c r="AD1297" s="56" t="str">
        <f aca="false">IF(X1297="HIGH RATE",O1297,"")</f>
        <v/>
      </c>
    </row>
    <row r="1298" customFormat="false" ht="15" hidden="false" customHeight="false" outlineLevel="0" collapsed="false">
      <c r="A1298" s="56" t="s">
        <v>2681</v>
      </c>
      <c r="B1298" s="56" t="s">
        <v>2682</v>
      </c>
      <c r="C1298" s="56" t="s">
        <v>656</v>
      </c>
      <c r="D1298" s="56" t="str">
        <f aca="false">IFERROR(INDEX('Brand Map'!$B$4:$B$124,MATCH(C1298,'Brand Map'!$A$4:$A$124,0)),"Other")</f>
        <v>Other (small prefixes)</v>
      </c>
      <c r="E1298" s="57" t="n">
        <v>3</v>
      </c>
      <c r="F1298" s="57" t="n">
        <v>0</v>
      </c>
      <c r="G1298" s="58" t="n">
        <v>368.49</v>
      </c>
      <c r="H1298" s="58" t="n">
        <v>0</v>
      </c>
      <c r="I1298" s="58" t="n">
        <v>349</v>
      </c>
      <c r="J1298" s="32" t="n">
        <f aca="false">IF(E1298&gt;0,F1298/E1298,0)</f>
        <v>0</v>
      </c>
      <c r="K1298" s="32" t="n">
        <f aca="false">IF(G1298&gt;0,H1298/G1298,0)</f>
        <v>-0</v>
      </c>
      <c r="L1298" s="59" t="n">
        <f aca="false">H1298/Settings!$B$16</f>
        <v>-0</v>
      </c>
      <c r="M1298" s="59" t="n">
        <f aca="false">H1298/Settings!$B$20</f>
        <v>-0</v>
      </c>
      <c r="N1298" s="60" t="n">
        <f aca="false">E1298*Settings!$B$3</f>
        <v>0.0929584532394613</v>
      </c>
      <c r="O1298" s="60" t="n">
        <f aca="false">IF(E1298&gt;0,(F1298-N1298)/SQRT(E1298*Settings!$B$3*(1-Settings!$B$3)),0)</f>
        <v>-0.30972727558513</v>
      </c>
      <c r="P1298" s="60" t="n">
        <f aca="false">MAX(0,F1298-N1298)</f>
        <v>0</v>
      </c>
      <c r="Q1298" s="32" t="n">
        <f aca="false">(F1298+Settings!$B$7*Settings!$B$3)/(E1298+Settings!$B$7)</f>
        <v>0.0281692282543822</v>
      </c>
      <c r="R1298" s="61" t="n">
        <f aca="false">PERCENTRANK($H$2:$H$1780,H1298,6)</f>
        <v>0</v>
      </c>
      <c r="S1298" s="61" t="n">
        <f aca="false">PERCENTRANK($Q$2:$Q$1780,Q1298,6)</f>
        <v>0.294151</v>
      </c>
      <c r="T1298" s="61" t="n">
        <f aca="false">PERCENTRANK($F$2:$F$1780,F1298,6)</f>
        <v>0</v>
      </c>
      <c r="U1298" s="62" t="n">
        <f aca="false">IF(F1298&gt;0,(Settings!$B$8*T1298+Settings!$B$9*R1298+Settings!$B$10*S1298)/SUM(Settings!$B$8:$B$10),0)</f>
        <v>0</v>
      </c>
      <c r="V1298" s="56" t="str">
        <f aca="false">IF(U1298&gt;0,RANK(U1298,$U$2:$U$1780)+COUNTIF($U$2:U1298,U1298)-1,"")</f>
        <v/>
      </c>
      <c r="W1298" s="56" t="str">
        <f aca="false">IF(V1298="","",IF(V1298&lt;=Settings!$B$11,"1 - Fix first",IF(V1298&lt;=Settings!$B$12,"2 - Review","3 - Monitor")))</f>
        <v/>
      </c>
      <c r="X1298" s="56" t="str">
        <f aca="false">IF(AND(E1298&gt;=Settings!$B$4,F1298&gt;=Settings!$B$5,O1298&gt;=Settings!$B$6),"HIGH RATE","")</f>
        <v/>
      </c>
      <c r="Y1298" s="56" t="str">
        <f aca="false">IF(F1298&gt;0,RANK(F1298,$F$2:$F$1780)+COUNTIF($F$2:F1298,F1298)-1,"")</f>
        <v/>
      </c>
      <c r="Z1298" s="56" t="str">
        <f aca="false">IF(H1298&gt;0,RANK(H1298,$H$2:$H$1780)+COUNTIF($H$2:H1298,H1298)-1,"")</f>
        <v/>
      </c>
      <c r="AA1298" s="56" t="str">
        <f aca="false">IF(AC1298="","",RANK(AC1298,$AC$2:$AC$1780)+COUNTIF($AC$2:AC1298,AC1298)-1)</f>
        <v/>
      </c>
      <c r="AB1298" s="56" t="str">
        <f aca="false">IF(AD1298="","",RANK(AD1298,$AD$2:$AD$1780)+COUNTIF($AD$2:AD1298,AD1298)-1)</f>
        <v/>
      </c>
      <c r="AC1298" s="56" t="str">
        <f aca="false">IF(AND(F1298&gt;0,E1298&gt;=Settings!$B$4),J1298,"")</f>
        <v/>
      </c>
      <c r="AD1298" s="56" t="str">
        <f aca="false">IF(X1298="HIGH RATE",O1298,"")</f>
        <v/>
      </c>
    </row>
    <row r="1299" customFormat="false" ht="15" hidden="false" customHeight="false" outlineLevel="0" collapsed="false">
      <c r="A1299" s="56" t="s">
        <v>2683</v>
      </c>
      <c r="B1299" s="56" t="s">
        <v>2684</v>
      </c>
      <c r="C1299" s="56" t="s">
        <v>656</v>
      </c>
      <c r="D1299" s="56" t="str">
        <f aca="false">IFERROR(INDEX('Brand Map'!$B$4:$B$124,MATCH(C1299,'Brand Map'!$A$4:$A$124,0)),"Other")</f>
        <v>Other (small prefixes)</v>
      </c>
      <c r="E1299" s="57" t="n">
        <v>4</v>
      </c>
      <c r="F1299" s="57" t="n">
        <v>0</v>
      </c>
      <c r="G1299" s="58" t="n">
        <v>807.07</v>
      </c>
      <c r="H1299" s="58" t="n">
        <v>0</v>
      </c>
      <c r="I1299" s="58" t="n">
        <v>777.77</v>
      </c>
      <c r="J1299" s="32" t="n">
        <f aca="false">IF(E1299&gt;0,F1299/E1299,0)</f>
        <v>0</v>
      </c>
      <c r="K1299" s="32" t="n">
        <f aca="false">IF(G1299&gt;0,H1299/G1299,0)</f>
        <v>-0</v>
      </c>
      <c r="L1299" s="59" t="n">
        <f aca="false">H1299/Settings!$B$16</f>
        <v>-0</v>
      </c>
      <c r="M1299" s="59" t="n">
        <f aca="false">H1299/Settings!$B$20</f>
        <v>-0</v>
      </c>
      <c r="N1299" s="60" t="n">
        <f aca="false">E1299*Settings!$B$3</f>
        <v>0.123944604319282</v>
      </c>
      <c r="O1299" s="60" t="n">
        <f aca="false">IF(E1299&gt;0,(F1299-N1299)/SQRT(E1299*Settings!$B$3*(1-Settings!$B$3)),0)</f>
        <v>-0.357642251868888</v>
      </c>
      <c r="P1299" s="60" t="n">
        <f aca="false">MAX(0,F1299-N1299)</f>
        <v>0</v>
      </c>
      <c r="Q1299" s="32" t="n">
        <f aca="false">(F1299+Settings!$B$7*Settings!$B$3)/(E1299+Settings!$B$7)</f>
        <v>0.027340721541018</v>
      </c>
      <c r="R1299" s="61" t="n">
        <f aca="false">PERCENTRANK($H$2:$H$1780,H1299,6)</f>
        <v>0</v>
      </c>
      <c r="S1299" s="61" t="n">
        <f aca="false">PERCENTRANK($Q$2:$Q$1780,Q1299,6)</f>
        <v>0.253656</v>
      </c>
      <c r="T1299" s="61" t="n">
        <f aca="false">PERCENTRANK($F$2:$F$1780,F1299,6)</f>
        <v>0</v>
      </c>
      <c r="U1299" s="62" t="n">
        <f aca="false">IF(F1299&gt;0,(Settings!$B$8*T1299+Settings!$B$9*R1299+Settings!$B$10*S1299)/SUM(Settings!$B$8:$B$10),0)</f>
        <v>0</v>
      </c>
      <c r="V1299" s="56" t="str">
        <f aca="false">IF(U1299&gt;0,RANK(U1299,$U$2:$U$1780)+COUNTIF($U$2:U1299,U1299)-1,"")</f>
        <v/>
      </c>
      <c r="W1299" s="56" t="str">
        <f aca="false">IF(V1299="","",IF(V1299&lt;=Settings!$B$11,"1 - Fix first",IF(V1299&lt;=Settings!$B$12,"2 - Review","3 - Monitor")))</f>
        <v/>
      </c>
      <c r="X1299" s="56" t="str">
        <f aca="false">IF(AND(E1299&gt;=Settings!$B$4,F1299&gt;=Settings!$B$5,O1299&gt;=Settings!$B$6),"HIGH RATE","")</f>
        <v/>
      </c>
      <c r="Y1299" s="56" t="str">
        <f aca="false">IF(F1299&gt;0,RANK(F1299,$F$2:$F$1780)+COUNTIF($F$2:F1299,F1299)-1,"")</f>
        <v/>
      </c>
      <c r="Z1299" s="56" t="str">
        <f aca="false">IF(H1299&gt;0,RANK(H1299,$H$2:$H$1780)+COUNTIF($H$2:H1299,H1299)-1,"")</f>
        <v/>
      </c>
      <c r="AA1299" s="56" t="str">
        <f aca="false">IF(AC1299="","",RANK(AC1299,$AC$2:$AC$1780)+COUNTIF($AC$2:AC1299,AC1299)-1)</f>
        <v/>
      </c>
      <c r="AB1299" s="56" t="str">
        <f aca="false">IF(AD1299="","",RANK(AD1299,$AD$2:$AD$1780)+COUNTIF($AD$2:AD1299,AD1299)-1)</f>
        <v/>
      </c>
      <c r="AC1299" s="56" t="str">
        <f aca="false">IF(AND(F1299&gt;0,E1299&gt;=Settings!$B$4),J1299,"")</f>
        <v/>
      </c>
      <c r="AD1299" s="56" t="str">
        <f aca="false">IF(X1299="HIGH RATE",O1299,"")</f>
        <v/>
      </c>
    </row>
    <row r="1300" customFormat="false" ht="15" hidden="false" customHeight="false" outlineLevel="0" collapsed="false">
      <c r="A1300" s="56" t="s">
        <v>2685</v>
      </c>
      <c r="B1300" s="56" t="s">
        <v>2686</v>
      </c>
      <c r="C1300" s="56" t="s">
        <v>656</v>
      </c>
      <c r="D1300" s="56" t="str">
        <f aca="false">IFERROR(INDEX('Brand Map'!$B$4:$B$124,MATCH(C1300,'Brand Map'!$A$4:$A$124,0)),"Other")</f>
        <v>Other (small prefixes)</v>
      </c>
      <c r="E1300" s="57" t="n">
        <v>3</v>
      </c>
      <c r="F1300" s="57" t="n">
        <v>0</v>
      </c>
      <c r="G1300" s="58" t="n">
        <v>394.41</v>
      </c>
      <c r="H1300" s="58" t="n">
        <v>0</v>
      </c>
      <c r="I1300" s="58" t="n">
        <v>394.41</v>
      </c>
      <c r="J1300" s="32" t="n">
        <f aca="false">IF(E1300&gt;0,F1300/E1300,0)</f>
        <v>0</v>
      </c>
      <c r="K1300" s="32" t="n">
        <f aca="false">IF(G1300&gt;0,H1300/G1300,0)</f>
        <v>-0</v>
      </c>
      <c r="L1300" s="59" t="n">
        <f aca="false">H1300/Settings!$B$16</f>
        <v>-0</v>
      </c>
      <c r="M1300" s="59" t="n">
        <f aca="false">H1300/Settings!$B$20</f>
        <v>-0</v>
      </c>
      <c r="N1300" s="60" t="n">
        <f aca="false">E1300*Settings!$B$3</f>
        <v>0.0929584532394613</v>
      </c>
      <c r="O1300" s="60" t="n">
        <f aca="false">IF(E1300&gt;0,(F1300-N1300)/SQRT(E1300*Settings!$B$3*(1-Settings!$B$3)),0)</f>
        <v>-0.30972727558513</v>
      </c>
      <c r="P1300" s="60" t="n">
        <f aca="false">MAX(0,F1300-N1300)</f>
        <v>0</v>
      </c>
      <c r="Q1300" s="32" t="n">
        <f aca="false">(F1300+Settings!$B$7*Settings!$B$3)/(E1300+Settings!$B$7)</f>
        <v>0.0281692282543822</v>
      </c>
      <c r="R1300" s="61" t="n">
        <f aca="false">PERCENTRANK($H$2:$H$1780,H1300,6)</f>
        <v>0</v>
      </c>
      <c r="S1300" s="61" t="n">
        <f aca="false">PERCENTRANK($Q$2:$Q$1780,Q1300,6)</f>
        <v>0.294151</v>
      </c>
      <c r="T1300" s="61" t="n">
        <f aca="false">PERCENTRANK($F$2:$F$1780,F1300,6)</f>
        <v>0</v>
      </c>
      <c r="U1300" s="62" t="n">
        <f aca="false">IF(F1300&gt;0,(Settings!$B$8*T1300+Settings!$B$9*R1300+Settings!$B$10*S1300)/SUM(Settings!$B$8:$B$10),0)</f>
        <v>0</v>
      </c>
      <c r="V1300" s="56" t="str">
        <f aca="false">IF(U1300&gt;0,RANK(U1300,$U$2:$U$1780)+COUNTIF($U$2:U1300,U1300)-1,"")</f>
        <v/>
      </c>
      <c r="W1300" s="56" t="str">
        <f aca="false">IF(V1300="","",IF(V1300&lt;=Settings!$B$11,"1 - Fix first",IF(V1300&lt;=Settings!$B$12,"2 - Review","3 - Monitor")))</f>
        <v/>
      </c>
      <c r="X1300" s="56" t="str">
        <f aca="false">IF(AND(E1300&gt;=Settings!$B$4,F1300&gt;=Settings!$B$5,O1300&gt;=Settings!$B$6),"HIGH RATE","")</f>
        <v/>
      </c>
      <c r="Y1300" s="56" t="str">
        <f aca="false">IF(F1300&gt;0,RANK(F1300,$F$2:$F$1780)+COUNTIF($F$2:F1300,F1300)-1,"")</f>
        <v/>
      </c>
      <c r="Z1300" s="56" t="str">
        <f aca="false">IF(H1300&gt;0,RANK(H1300,$H$2:$H$1780)+COUNTIF($H$2:H1300,H1300)-1,"")</f>
        <v/>
      </c>
      <c r="AA1300" s="56" t="str">
        <f aca="false">IF(AC1300="","",RANK(AC1300,$AC$2:$AC$1780)+COUNTIF($AC$2:AC1300,AC1300)-1)</f>
        <v/>
      </c>
      <c r="AB1300" s="56" t="str">
        <f aca="false">IF(AD1300="","",RANK(AD1300,$AD$2:$AD$1780)+COUNTIF($AD$2:AD1300,AD1300)-1)</f>
        <v/>
      </c>
      <c r="AC1300" s="56" t="str">
        <f aca="false">IF(AND(F1300&gt;0,E1300&gt;=Settings!$B$4),J1300,"")</f>
        <v/>
      </c>
      <c r="AD1300" s="56" t="str">
        <f aca="false">IF(X1300="HIGH RATE",O1300,"")</f>
        <v/>
      </c>
    </row>
    <row r="1301" customFormat="false" ht="15" hidden="false" customHeight="false" outlineLevel="0" collapsed="false">
      <c r="A1301" s="56" t="s">
        <v>2687</v>
      </c>
      <c r="B1301" s="56" t="s">
        <v>2688</v>
      </c>
      <c r="C1301" s="56" t="s">
        <v>656</v>
      </c>
      <c r="D1301" s="56" t="str">
        <f aca="false">IFERROR(INDEX('Brand Map'!$B$4:$B$124,MATCH(C1301,'Brand Map'!$A$4:$A$124,0)),"Other")</f>
        <v>Other (small prefixes)</v>
      </c>
      <c r="E1301" s="57" t="n">
        <v>1</v>
      </c>
      <c r="F1301" s="57" t="n">
        <v>0</v>
      </c>
      <c r="G1301" s="58" t="n">
        <v>218.14</v>
      </c>
      <c r="H1301" s="58" t="n">
        <v>0</v>
      </c>
      <c r="I1301" s="58" t="n">
        <v>218.14</v>
      </c>
      <c r="J1301" s="32" t="n">
        <f aca="false">IF(E1301&gt;0,F1301/E1301,0)</f>
        <v>0</v>
      </c>
      <c r="K1301" s="32" t="n">
        <f aca="false">IF(G1301&gt;0,H1301/G1301,0)</f>
        <v>-0</v>
      </c>
      <c r="L1301" s="59" t="n">
        <f aca="false">H1301/Settings!$B$16</f>
        <v>-0</v>
      </c>
      <c r="M1301" s="59" t="n">
        <f aca="false">H1301/Settings!$B$20</f>
        <v>-0</v>
      </c>
      <c r="N1301" s="60" t="n">
        <f aca="false">E1301*Settings!$B$3</f>
        <v>0.0309861510798204</v>
      </c>
      <c r="O1301" s="60" t="n">
        <f aca="false">IF(E1301&gt;0,(F1301-N1301)/SQRT(E1301*Settings!$B$3*(1-Settings!$B$3)),0)</f>
        <v>-0.178821125934444</v>
      </c>
      <c r="P1301" s="60" t="n">
        <f aca="false">MAX(0,F1301-N1301)</f>
        <v>0</v>
      </c>
      <c r="Q1301" s="32" t="n">
        <f aca="false">(F1301+Settings!$B$7*Settings!$B$3)/(E1301+Settings!$B$7)</f>
        <v>0.0299865978191811</v>
      </c>
      <c r="R1301" s="61" t="n">
        <f aca="false">PERCENTRANK($H$2:$H$1780,H1301,6)</f>
        <v>0</v>
      </c>
      <c r="S1301" s="61" t="n">
        <f aca="false">PERCENTRANK($Q$2:$Q$1780,Q1301,6)</f>
        <v>0.486502</v>
      </c>
      <c r="T1301" s="61" t="n">
        <f aca="false">PERCENTRANK($F$2:$F$1780,F1301,6)</f>
        <v>0</v>
      </c>
      <c r="U1301" s="62" t="n">
        <f aca="false">IF(F1301&gt;0,(Settings!$B$8*T1301+Settings!$B$9*R1301+Settings!$B$10*S1301)/SUM(Settings!$B$8:$B$10),0)</f>
        <v>0</v>
      </c>
      <c r="V1301" s="56" t="str">
        <f aca="false">IF(U1301&gt;0,RANK(U1301,$U$2:$U$1780)+COUNTIF($U$2:U1301,U1301)-1,"")</f>
        <v/>
      </c>
      <c r="W1301" s="56" t="str">
        <f aca="false">IF(V1301="","",IF(V1301&lt;=Settings!$B$11,"1 - Fix first",IF(V1301&lt;=Settings!$B$12,"2 - Review","3 - Monitor")))</f>
        <v/>
      </c>
      <c r="X1301" s="56" t="str">
        <f aca="false">IF(AND(E1301&gt;=Settings!$B$4,F1301&gt;=Settings!$B$5,O1301&gt;=Settings!$B$6),"HIGH RATE","")</f>
        <v/>
      </c>
      <c r="Y1301" s="56" t="str">
        <f aca="false">IF(F1301&gt;0,RANK(F1301,$F$2:$F$1780)+COUNTIF($F$2:F1301,F1301)-1,"")</f>
        <v/>
      </c>
      <c r="Z1301" s="56" t="str">
        <f aca="false">IF(H1301&gt;0,RANK(H1301,$H$2:$H$1780)+COUNTIF($H$2:H1301,H1301)-1,"")</f>
        <v/>
      </c>
      <c r="AA1301" s="56" t="str">
        <f aca="false">IF(AC1301="","",RANK(AC1301,$AC$2:$AC$1780)+COUNTIF($AC$2:AC1301,AC1301)-1)</f>
        <v/>
      </c>
      <c r="AB1301" s="56" t="str">
        <f aca="false">IF(AD1301="","",RANK(AD1301,$AD$2:$AD$1780)+COUNTIF($AD$2:AD1301,AD1301)-1)</f>
        <v/>
      </c>
      <c r="AC1301" s="56" t="str">
        <f aca="false">IF(AND(F1301&gt;0,E1301&gt;=Settings!$B$4),J1301,"")</f>
        <v/>
      </c>
      <c r="AD1301" s="56" t="str">
        <f aca="false">IF(X1301="HIGH RATE",O1301,"")</f>
        <v/>
      </c>
    </row>
    <row r="1302" customFormat="false" ht="15" hidden="false" customHeight="false" outlineLevel="0" collapsed="false">
      <c r="A1302" s="56" t="s">
        <v>836</v>
      </c>
      <c r="B1302" s="56" t="s">
        <v>837</v>
      </c>
      <c r="C1302" s="56" t="s">
        <v>835</v>
      </c>
      <c r="D1302" s="56" t="str">
        <f aca="false">IFERROR(INDEX('Brand Map'!$B$4:$B$124,MATCH(C1302,'Brand Map'!$A$4:$A$124,0)),"Other")</f>
        <v>Free / add-on / admin items</v>
      </c>
      <c r="E1302" s="57" t="n">
        <v>6633</v>
      </c>
      <c r="F1302" s="57" t="n">
        <v>0</v>
      </c>
      <c r="G1302" s="58" t="n">
        <v>0</v>
      </c>
      <c r="H1302" s="58" t="n">
        <v>0</v>
      </c>
      <c r="I1302" s="58" t="n">
        <v>0</v>
      </c>
      <c r="J1302" s="32" t="n">
        <f aca="false">IF(E1302&gt;0,F1302/E1302,0)</f>
        <v>0</v>
      </c>
      <c r="K1302" s="32" t="n">
        <f aca="false">IF(G1302&gt;0,H1302/G1302,0)</f>
        <v>0</v>
      </c>
      <c r="L1302" s="59" t="n">
        <f aca="false">H1302/Settings!$B$16</f>
        <v>-0</v>
      </c>
      <c r="M1302" s="59" t="n">
        <f aca="false">H1302/Settings!$B$20</f>
        <v>-0</v>
      </c>
      <c r="N1302" s="60" t="n">
        <f aca="false">E1302*Settings!$B$3</f>
        <v>205.531140112449</v>
      </c>
      <c r="O1302" s="60" t="n">
        <f aca="false">IF(E1302&gt;0,(F1302-N1302)/SQRT(E1302*Settings!$B$3*(1-Settings!$B$3)),0)</f>
        <v>-14.5637704035976</v>
      </c>
      <c r="P1302" s="60" t="n">
        <f aca="false">MAX(0,F1302-N1302)</f>
        <v>0</v>
      </c>
      <c r="Q1302" s="32" t="n">
        <f aca="false">(F1302+Settings!$B$7*Settings!$B$3)/(E1302+Settings!$B$7)</f>
        <v>0.000139514412786224</v>
      </c>
      <c r="R1302" s="61" t="n">
        <f aca="false">PERCENTRANK($H$2:$H$1780,H1302,6)</f>
        <v>0</v>
      </c>
      <c r="S1302" s="61" t="n">
        <f aca="false">PERCENTRANK($Q$2:$Q$1780,Q1302,6)</f>
        <v>0.00056243</v>
      </c>
      <c r="T1302" s="61" t="n">
        <f aca="false">PERCENTRANK($F$2:$F$1780,F1302,6)</f>
        <v>0</v>
      </c>
      <c r="U1302" s="62" t="n">
        <f aca="false">IF(F1302&gt;0,(Settings!$B$8*T1302+Settings!$B$9*R1302+Settings!$B$10*S1302)/SUM(Settings!$B$8:$B$10),0)</f>
        <v>0</v>
      </c>
      <c r="V1302" s="56" t="str">
        <f aca="false">IF(U1302&gt;0,RANK(U1302,$U$2:$U$1780)+COUNTIF($U$2:U1302,U1302)-1,"")</f>
        <v/>
      </c>
      <c r="W1302" s="56" t="str">
        <f aca="false">IF(V1302="","",IF(V1302&lt;=Settings!$B$11,"1 - Fix first",IF(V1302&lt;=Settings!$B$12,"2 - Review","3 - Monitor")))</f>
        <v/>
      </c>
      <c r="X1302" s="56" t="str">
        <f aca="false">IF(AND(E1302&gt;=Settings!$B$4,F1302&gt;=Settings!$B$5,O1302&gt;=Settings!$B$6),"HIGH RATE","")</f>
        <v/>
      </c>
      <c r="Y1302" s="56" t="str">
        <f aca="false">IF(F1302&gt;0,RANK(F1302,$F$2:$F$1780)+COUNTIF($F$2:F1302,F1302)-1,"")</f>
        <v/>
      </c>
      <c r="Z1302" s="56" t="str">
        <f aca="false">IF(H1302&gt;0,RANK(H1302,$H$2:$H$1780)+COUNTIF($H$2:H1302,H1302)-1,"")</f>
        <v/>
      </c>
      <c r="AA1302" s="56" t="str">
        <f aca="false">IF(AC1302="","",RANK(AC1302,$AC$2:$AC$1780)+COUNTIF($AC$2:AC1302,AC1302)-1)</f>
        <v/>
      </c>
      <c r="AB1302" s="56" t="str">
        <f aca="false">IF(AD1302="","",RANK(AD1302,$AD$2:$AD$1780)+COUNTIF($AD$2:AD1302,AD1302)-1)</f>
        <v/>
      </c>
      <c r="AC1302" s="56" t="str">
        <f aca="false">IF(AND(F1302&gt;0,E1302&gt;=Settings!$B$4),J1302,"")</f>
        <v/>
      </c>
      <c r="AD1302" s="56" t="str">
        <f aca="false">IF(X1302="HIGH RATE",O1302,"")</f>
        <v/>
      </c>
    </row>
    <row r="1303" customFormat="false" ht="15" hidden="false" customHeight="false" outlineLevel="0" collapsed="false">
      <c r="A1303" s="56" t="s">
        <v>2689</v>
      </c>
      <c r="B1303" s="56" t="s">
        <v>2690</v>
      </c>
      <c r="C1303" s="56" t="s">
        <v>835</v>
      </c>
      <c r="D1303" s="56" t="str">
        <f aca="false">IFERROR(INDEX('Brand Map'!$B$4:$B$124,MATCH(C1303,'Brand Map'!$A$4:$A$124,0)),"Other")</f>
        <v>Free / add-on / admin items</v>
      </c>
      <c r="E1303" s="57" t="n">
        <v>4</v>
      </c>
      <c r="F1303" s="57" t="n">
        <v>0</v>
      </c>
      <c r="G1303" s="58" t="n">
        <v>0</v>
      </c>
      <c r="H1303" s="58" t="n">
        <v>0</v>
      </c>
      <c r="I1303" s="58" t="n">
        <v>0</v>
      </c>
      <c r="J1303" s="32" t="n">
        <f aca="false">IF(E1303&gt;0,F1303/E1303,0)</f>
        <v>0</v>
      </c>
      <c r="K1303" s="32" t="n">
        <f aca="false">IF(G1303&gt;0,H1303/G1303,0)</f>
        <v>0</v>
      </c>
      <c r="L1303" s="59" t="n">
        <f aca="false">H1303/Settings!$B$16</f>
        <v>-0</v>
      </c>
      <c r="M1303" s="59" t="n">
        <f aca="false">H1303/Settings!$B$20</f>
        <v>-0</v>
      </c>
      <c r="N1303" s="60" t="n">
        <f aca="false">E1303*Settings!$B$3</f>
        <v>0.123944604319282</v>
      </c>
      <c r="O1303" s="60" t="n">
        <f aca="false">IF(E1303&gt;0,(F1303-N1303)/SQRT(E1303*Settings!$B$3*(1-Settings!$B$3)),0)</f>
        <v>-0.357642251868888</v>
      </c>
      <c r="P1303" s="60" t="n">
        <f aca="false">MAX(0,F1303-N1303)</f>
        <v>0</v>
      </c>
      <c r="Q1303" s="32" t="n">
        <f aca="false">(F1303+Settings!$B$7*Settings!$B$3)/(E1303+Settings!$B$7)</f>
        <v>0.027340721541018</v>
      </c>
      <c r="R1303" s="61" t="n">
        <f aca="false">PERCENTRANK($H$2:$H$1780,H1303,6)</f>
        <v>0</v>
      </c>
      <c r="S1303" s="61" t="n">
        <f aca="false">PERCENTRANK($Q$2:$Q$1780,Q1303,6)</f>
        <v>0.253656</v>
      </c>
      <c r="T1303" s="61" t="n">
        <f aca="false">PERCENTRANK($F$2:$F$1780,F1303,6)</f>
        <v>0</v>
      </c>
      <c r="U1303" s="62" t="n">
        <f aca="false">IF(F1303&gt;0,(Settings!$B$8*T1303+Settings!$B$9*R1303+Settings!$B$10*S1303)/SUM(Settings!$B$8:$B$10),0)</f>
        <v>0</v>
      </c>
      <c r="V1303" s="56" t="str">
        <f aca="false">IF(U1303&gt;0,RANK(U1303,$U$2:$U$1780)+COUNTIF($U$2:U1303,U1303)-1,"")</f>
        <v/>
      </c>
      <c r="W1303" s="56" t="str">
        <f aca="false">IF(V1303="","",IF(V1303&lt;=Settings!$B$11,"1 - Fix first",IF(V1303&lt;=Settings!$B$12,"2 - Review","3 - Monitor")))</f>
        <v/>
      </c>
      <c r="X1303" s="56" t="str">
        <f aca="false">IF(AND(E1303&gt;=Settings!$B$4,F1303&gt;=Settings!$B$5,O1303&gt;=Settings!$B$6),"HIGH RATE","")</f>
        <v/>
      </c>
      <c r="Y1303" s="56" t="str">
        <f aca="false">IF(F1303&gt;0,RANK(F1303,$F$2:$F$1780)+COUNTIF($F$2:F1303,F1303)-1,"")</f>
        <v/>
      </c>
      <c r="Z1303" s="56" t="str">
        <f aca="false">IF(H1303&gt;0,RANK(H1303,$H$2:$H$1780)+COUNTIF($H$2:H1303,H1303)-1,"")</f>
        <v/>
      </c>
      <c r="AA1303" s="56" t="str">
        <f aca="false">IF(AC1303="","",RANK(AC1303,$AC$2:$AC$1780)+COUNTIF($AC$2:AC1303,AC1303)-1)</f>
        <v/>
      </c>
      <c r="AB1303" s="56" t="str">
        <f aca="false">IF(AD1303="","",RANK(AD1303,$AD$2:$AD$1780)+COUNTIF($AD$2:AD1303,AD1303)-1)</f>
        <v/>
      </c>
      <c r="AC1303" s="56" t="str">
        <f aca="false">IF(AND(F1303&gt;0,E1303&gt;=Settings!$B$4),J1303,"")</f>
        <v/>
      </c>
      <c r="AD1303" s="56" t="str">
        <f aca="false">IF(X1303="HIGH RATE",O1303,"")</f>
        <v/>
      </c>
    </row>
    <row r="1304" customFormat="false" ht="15" hidden="false" customHeight="false" outlineLevel="0" collapsed="false">
      <c r="A1304" s="56" t="s">
        <v>2691</v>
      </c>
      <c r="B1304" s="56" t="s">
        <v>2692</v>
      </c>
      <c r="C1304" s="56" t="s">
        <v>121</v>
      </c>
      <c r="D1304" s="56" t="str">
        <f aca="false">IFERROR(INDEX('Brand Map'!$B$4:$B$124,MATCH(C1304,'Brand Map'!$A$4:$A$124,0)),"Other")</f>
        <v>BLXNZ</v>
      </c>
      <c r="E1304" s="57" t="n">
        <v>1</v>
      </c>
      <c r="F1304" s="57" t="n">
        <v>0</v>
      </c>
      <c r="G1304" s="58" t="n">
        <v>109.05</v>
      </c>
      <c r="H1304" s="58" t="n">
        <v>0</v>
      </c>
      <c r="I1304" s="58" t="n">
        <v>109.05</v>
      </c>
      <c r="J1304" s="32" t="n">
        <f aca="false">IF(E1304&gt;0,F1304/E1304,0)</f>
        <v>0</v>
      </c>
      <c r="K1304" s="32" t="n">
        <f aca="false">IF(G1304&gt;0,H1304/G1304,0)</f>
        <v>-0</v>
      </c>
      <c r="L1304" s="59" t="n">
        <f aca="false">H1304/Settings!$B$16</f>
        <v>-0</v>
      </c>
      <c r="M1304" s="59" t="n">
        <f aca="false">H1304/Settings!$B$20</f>
        <v>-0</v>
      </c>
      <c r="N1304" s="60" t="n">
        <f aca="false">E1304*Settings!$B$3</f>
        <v>0.0309861510798204</v>
      </c>
      <c r="O1304" s="60" t="n">
        <f aca="false">IF(E1304&gt;0,(F1304-N1304)/SQRT(E1304*Settings!$B$3*(1-Settings!$B$3)),0)</f>
        <v>-0.178821125934444</v>
      </c>
      <c r="P1304" s="60" t="n">
        <f aca="false">MAX(0,F1304-N1304)</f>
        <v>0</v>
      </c>
      <c r="Q1304" s="32" t="n">
        <f aca="false">(F1304+Settings!$B$7*Settings!$B$3)/(E1304+Settings!$B$7)</f>
        <v>0.0299865978191811</v>
      </c>
      <c r="R1304" s="61" t="n">
        <f aca="false">PERCENTRANK($H$2:$H$1780,H1304,6)</f>
        <v>0</v>
      </c>
      <c r="S1304" s="61" t="n">
        <f aca="false">PERCENTRANK($Q$2:$Q$1780,Q1304,6)</f>
        <v>0.486502</v>
      </c>
      <c r="T1304" s="61" t="n">
        <f aca="false">PERCENTRANK($F$2:$F$1780,F1304,6)</f>
        <v>0</v>
      </c>
      <c r="U1304" s="62" t="n">
        <f aca="false">IF(F1304&gt;0,(Settings!$B$8*T1304+Settings!$B$9*R1304+Settings!$B$10*S1304)/SUM(Settings!$B$8:$B$10),0)</f>
        <v>0</v>
      </c>
      <c r="V1304" s="56" t="str">
        <f aca="false">IF(U1304&gt;0,RANK(U1304,$U$2:$U$1780)+COUNTIF($U$2:U1304,U1304)-1,"")</f>
        <v/>
      </c>
      <c r="W1304" s="56" t="str">
        <f aca="false">IF(V1304="","",IF(V1304&lt;=Settings!$B$11,"1 - Fix first",IF(V1304&lt;=Settings!$B$12,"2 - Review","3 - Monitor")))</f>
        <v/>
      </c>
      <c r="X1304" s="56" t="str">
        <f aca="false">IF(AND(E1304&gt;=Settings!$B$4,F1304&gt;=Settings!$B$5,O1304&gt;=Settings!$B$6),"HIGH RATE","")</f>
        <v/>
      </c>
      <c r="Y1304" s="56" t="str">
        <f aca="false">IF(F1304&gt;0,RANK(F1304,$F$2:$F$1780)+COUNTIF($F$2:F1304,F1304)-1,"")</f>
        <v/>
      </c>
      <c r="Z1304" s="56" t="str">
        <f aca="false">IF(H1304&gt;0,RANK(H1304,$H$2:$H$1780)+COUNTIF($H$2:H1304,H1304)-1,"")</f>
        <v/>
      </c>
      <c r="AA1304" s="56" t="str">
        <f aca="false">IF(AC1304="","",RANK(AC1304,$AC$2:$AC$1780)+COUNTIF($AC$2:AC1304,AC1304)-1)</f>
        <v/>
      </c>
      <c r="AB1304" s="56" t="str">
        <f aca="false">IF(AD1304="","",RANK(AD1304,$AD$2:$AD$1780)+COUNTIF($AD$2:AD1304,AD1304)-1)</f>
        <v/>
      </c>
      <c r="AC1304" s="56" t="str">
        <f aca="false">IF(AND(F1304&gt;0,E1304&gt;=Settings!$B$4),J1304,"")</f>
        <v/>
      </c>
      <c r="AD1304" s="56" t="str">
        <f aca="false">IF(X1304="HIGH RATE",O1304,"")</f>
        <v/>
      </c>
    </row>
    <row r="1305" customFormat="false" ht="15" hidden="false" customHeight="false" outlineLevel="0" collapsed="false">
      <c r="A1305" s="56" t="s">
        <v>2693</v>
      </c>
      <c r="B1305" s="56" t="s">
        <v>2694</v>
      </c>
      <c r="C1305" s="56" t="s">
        <v>121</v>
      </c>
      <c r="D1305" s="56" t="str">
        <f aca="false">IFERROR(INDEX('Brand Map'!$B$4:$B$124,MATCH(C1305,'Brand Map'!$A$4:$A$124,0)),"Other")</f>
        <v>BLXNZ</v>
      </c>
      <c r="E1305" s="57" t="n">
        <v>3</v>
      </c>
      <c r="F1305" s="57" t="n">
        <v>0</v>
      </c>
      <c r="G1305" s="58" t="n">
        <v>314.41</v>
      </c>
      <c r="H1305" s="58" t="n">
        <v>0</v>
      </c>
      <c r="I1305" s="58" t="n">
        <v>298.33</v>
      </c>
      <c r="J1305" s="32" t="n">
        <f aca="false">IF(E1305&gt;0,F1305/E1305,0)</f>
        <v>0</v>
      </c>
      <c r="K1305" s="32" t="n">
        <f aca="false">IF(G1305&gt;0,H1305/G1305,0)</f>
        <v>-0</v>
      </c>
      <c r="L1305" s="59" t="n">
        <f aca="false">H1305/Settings!$B$16</f>
        <v>-0</v>
      </c>
      <c r="M1305" s="59" t="n">
        <f aca="false">H1305/Settings!$B$20</f>
        <v>-0</v>
      </c>
      <c r="N1305" s="60" t="n">
        <f aca="false">E1305*Settings!$B$3</f>
        <v>0.0929584532394613</v>
      </c>
      <c r="O1305" s="60" t="n">
        <f aca="false">IF(E1305&gt;0,(F1305-N1305)/SQRT(E1305*Settings!$B$3*(1-Settings!$B$3)),0)</f>
        <v>-0.30972727558513</v>
      </c>
      <c r="P1305" s="60" t="n">
        <f aca="false">MAX(0,F1305-N1305)</f>
        <v>0</v>
      </c>
      <c r="Q1305" s="32" t="n">
        <f aca="false">(F1305+Settings!$B$7*Settings!$B$3)/(E1305+Settings!$B$7)</f>
        <v>0.0281692282543822</v>
      </c>
      <c r="R1305" s="61" t="n">
        <f aca="false">PERCENTRANK($H$2:$H$1780,H1305,6)</f>
        <v>0</v>
      </c>
      <c r="S1305" s="61" t="n">
        <f aca="false">PERCENTRANK($Q$2:$Q$1780,Q1305,6)</f>
        <v>0.294151</v>
      </c>
      <c r="T1305" s="61" t="n">
        <f aca="false">PERCENTRANK($F$2:$F$1780,F1305,6)</f>
        <v>0</v>
      </c>
      <c r="U1305" s="62" t="n">
        <f aca="false">IF(F1305&gt;0,(Settings!$B$8*T1305+Settings!$B$9*R1305+Settings!$B$10*S1305)/SUM(Settings!$B$8:$B$10),0)</f>
        <v>0</v>
      </c>
      <c r="V1305" s="56" t="str">
        <f aca="false">IF(U1305&gt;0,RANK(U1305,$U$2:$U$1780)+COUNTIF($U$2:U1305,U1305)-1,"")</f>
        <v/>
      </c>
      <c r="W1305" s="56" t="str">
        <f aca="false">IF(V1305="","",IF(V1305&lt;=Settings!$B$11,"1 - Fix first",IF(V1305&lt;=Settings!$B$12,"2 - Review","3 - Monitor")))</f>
        <v/>
      </c>
      <c r="X1305" s="56" t="str">
        <f aca="false">IF(AND(E1305&gt;=Settings!$B$4,F1305&gt;=Settings!$B$5,O1305&gt;=Settings!$B$6),"HIGH RATE","")</f>
        <v/>
      </c>
      <c r="Y1305" s="56" t="str">
        <f aca="false">IF(F1305&gt;0,RANK(F1305,$F$2:$F$1780)+COUNTIF($F$2:F1305,F1305)-1,"")</f>
        <v/>
      </c>
      <c r="Z1305" s="56" t="str">
        <f aca="false">IF(H1305&gt;0,RANK(H1305,$H$2:$H$1780)+COUNTIF($H$2:H1305,H1305)-1,"")</f>
        <v/>
      </c>
      <c r="AA1305" s="56" t="str">
        <f aca="false">IF(AC1305="","",RANK(AC1305,$AC$2:$AC$1780)+COUNTIF($AC$2:AC1305,AC1305)-1)</f>
        <v/>
      </c>
      <c r="AB1305" s="56" t="str">
        <f aca="false">IF(AD1305="","",RANK(AD1305,$AD$2:$AD$1780)+COUNTIF($AD$2:AD1305,AD1305)-1)</f>
        <v/>
      </c>
      <c r="AC1305" s="56" t="str">
        <f aca="false">IF(AND(F1305&gt;0,E1305&gt;=Settings!$B$4),J1305,"")</f>
        <v/>
      </c>
      <c r="AD1305" s="56" t="str">
        <f aca="false">IF(X1305="HIGH RATE",O1305,"")</f>
        <v/>
      </c>
    </row>
    <row r="1306" customFormat="false" ht="15" hidden="false" customHeight="false" outlineLevel="0" collapsed="false">
      <c r="A1306" s="56" t="s">
        <v>2695</v>
      </c>
      <c r="B1306" s="56" t="s">
        <v>572</v>
      </c>
      <c r="C1306" s="56" t="s">
        <v>121</v>
      </c>
      <c r="D1306" s="56" t="str">
        <f aca="false">IFERROR(INDEX('Brand Map'!$B$4:$B$124,MATCH(C1306,'Brand Map'!$A$4:$A$124,0)),"Other")</f>
        <v>BLXNZ</v>
      </c>
      <c r="E1306" s="57" t="n">
        <v>5</v>
      </c>
      <c r="F1306" s="57" t="n">
        <v>0</v>
      </c>
      <c r="G1306" s="58" t="n">
        <v>574.75</v>
      </c>
      <c r="H1306" s="58" t="n">
        <v>0</v>
      </c>
      <c r="I1306" s="58" t="n">
        <v>574.75</v>
      </c>
      <c r="J1306" s="32" t="n">
        <f aca="false">IF(E1306&gt;0,F1306/E1306,0)</f>
        <v>0</v>
      </c>
      <c r="K1306" s="32" t="n">
        <f aca="false">IF(G1306&gt;0,H1306/G1306,0)</f>
        <v>-0</v>
      </c>
      <c r="L1306" s="59" t="n">
        <f aca="false">H1306/Settings!$B$16</f>
        <v>-0</v>
      </c>
      <c r="M1306" s="59" t="n">
        <f aca="false">H1306/Settings!$B$20</f>
        <v>-0</v>
      </c>
      <c r="N1306" s="60" t="n">
        <f aca="false">E1306*Settings!$B$3</f>
        <v>0.154930755399102</v>
      </c>
      <c r="O1306" s="60" t="n">
        <f aca="false">IF(E1306&gt;0,(F1306-N1306)/SQRT(E1306*Settings!$B$3*(1-Settings!$B$3)),0)</f>
        <v>-0.399856193402468</v>
      </c>
      <c r="P1306" s="60" t="n">
        <f aca="false">MAX(0,F1306-N1306)</f>
        <v>0</v>
      </c>
      <c r="Q1306" s="32" t="n">
        <f aca="false">(F1306+Settings!$B$7*Settings!$B$3)/(E1306+Settings!$B$7)</f>
        <v>0.0265595580684175</v>
      </c>
      <c r="R1306" s="61" t="n">
        <f aca="false">PERCENTRANK($H$2:$H$1780,H1306,6)</f>
        <v>0</v>
      </c>
      <c r="S1306" s="61" t="n">
        <f aca="false">PERCENTRANK($Q$2:$Q$1780,Q1306,6)</f>
        <v>0.220472</v>
      </c>
      <c r="T1306" s="61" t="n">
        <f aca="false">PERCENTRANK($F$2:$F$1780,F1306,6)</f>
        <v>0</v>
      </c>
      <c r="U1306" s="62" t="n">
        <f aca="false">IF(F1306&gt;0,(Settings!$B$8*T1306+Settings!$B$9*R1306+Settings!$B$10*S1306)/SUM(Settings!$B$8:$B$10),0)</f>
        <v>0</v>
      </c>
      <c r="V1306" s="56" t="str">
        <f aca="false">IF(U1306&gt;0,RANK(U1306,$U$2:$U$1780)+COUNTIF($U$2:U1306,U1306)-1,"")</f>
        <v/>
      </c>
      <c r="W1306" s="56" t="str">
        <f aca="false">IF(V1306="","",IF(V1306&lt;=Settings!$B$11,"1 - Fix first",IF(V1306&lt;=Settings!$B$12,"2 - Review","3 - Monitor")))</f>
        <v/>
      </c>
      <c r="X1306" s="56" t="str">
        <f aca="false">IF(AND(E1306&gt;=Settings!$B$4,F1306&gt;=Settings!$B$5,O1306&gt;=Settings!$B$6),"HIGH RATE","")</f>
        <v/>
      </c>
      <c r="Y1306" s="56" t="str">
        <f aca="false">IF(F1306&gt;0,RANK(F1306,$F$2:$F$1780)+COUNTIF($F$2:F1306,F1306)-1,"")</f>
        <v/>
      </c>
      <c r="Z1306" s="56" t="str">
        <f aca="false">IF(H1306&gt;0,RANK(H1306,$H$2:$H$1780)+COUNTIF($H$2:H1306,H1306)-1,"")</f>
        <v/>
      </c>
      <c r="AA1306" s="56" t="str">
        <f aca="false">IF(AC1306="","",RANK(AC1306,$AC$2:$AC$1780)+COUNTIF($AC$2:AC1306,AC1306)-1)</f>
        <v/>
      </c>
      <c r="AB1306" s="56" t="str">
        <f aca="false">IF(AD1306="","",RANK(AD1306,$AD$2:$AD$1780)+COUNTIF($AD$2:AD1306,AD1306)-1)</f>
        <v/>
      </c>
      <c r="AC1306" s="56" t="str">
        <f aca="false">IF(AND(F1306&gt;0,E1306&gt;=Settings!$B$4),J1306,"")</f>
        <v/>
      </c>
      <c r="AD1306" s="56" t="str">
        <f aca="false">IF(X1306="HIGH RATE",O1306,"")</f>
        <v/>
      </c>
    </row>
    <row r="1307" customFormat="false" ht="15" hidden="false" customHeight="false" outlineLevel="0" collapsed="false">
      <c r="A1307" s="56" t="s">
        <v>2696</v>
      </c>
      <c r="B1307" s="56" t="s">
        <v>572</v>
      </c>
      <c r="C1307" s="56" t="s">
        <v>121</v>
      </c>
      <c r="D1307" s="56" t="str">
        <f aca="false">IFERROR(INDEX('Brand Map'!$B$4:$B$124,MATCH(C1307,'Brand Map'!$A$4:$A$124,0)),"Other")</f>
        <v>BLXNZ</v>
      </c>
      <c r="E1307" s="57" t="n">
        <v>1</v>
      </c>
      <c r="F1307" s="57" t="n">
        <v>0</v>
      </c>
      <c r="G1307" s="58" t="n">
        <v>129.95</v>
      </c>
      <c r="H1307" s="58" t="n">
        <v>0</v>
      </c>
      <c r="I1307" s="58" t="n">
        <v>129.95</v>
      </c>
      <c r="J1307" s="32" t="n">
        <f aca="false">IF(E1307&gt;0,F1307/E1307,0)</f>
        <v>0</v>
      </c>
      <c r="K1307" s="32" t="n">
        <f aca="false">IF(G1307&gt;0,H1307/G1307,0)</f>
        <v>-0</v>
      </c>
      <c r="L1307" s="59" t="n">
        <f aca="false">H1307/Settings!$B$16</f>
        <v>-0</v>
      </c>
      <c r="M1307" s="59" t="n">
        <f aca="false">H1307/Settings!$B$20</f>
        <v>-0</v>
      </c>
      <c r="N1307" s="60" t="n">
        <f aca="false">E1307*Settings!$B$3</f>
        <v>0.0309861510798204</v>
      </c>
      <c r="O1307" s="60" t="n">
        <f aca="false">IF(E1307&gt;0,(F1307-N1307)/SQRT(E1307*Settings!$B$3*(1-Settings!$B$3)),0)</f>
        <v>-0.178821125934444</v>
      </c>
      <c r="P1307" s="60" t="n">
        <f aca="false">MAX(0,F1307-N1307)</f>
        <v>0</v>
      </c>
      <c r="Q1307" s="32" t="n">
        <f aca="false">(F1307+Settings!$B$7*Settings!$B$3)/(E1307+Settings!$B$7)</f>
        <v>0.0299865978191811</v>
      </c>
      <c r="R1307" s="61" t="n">
        <f aca="false">PERCENTRANK($H$2:$H$1780,H1307,6)</f>
        <v>0</v>
      </c>
      <c r="S1307" s="61" t="n">
        <f aca="false">PERCENTRANK($Q$2:$Q$1780,Q1307,6)</f>
        <v>0.486502</v>
      </c>
      <c r="T1307" s="61" t="n">
        <f aca="false">PERCENTRANK($F$2:$F$1780,F1307,6)</f>
        <v>0</v>
      </c>
      <c r="U1307" s="62" t="n">
        <f aca="false">IF(F1307&gt;0,(Settings!$B$8*T1307+Settings!$B$9*R1307+Settings!$B$10*S1307)/SUM(Settings!$B$8:$B$10),0)</f>
        <v>0</v>
      </c>
      <c r="V1307" s="56" t="str">
        <f aca="false">IF(U1307&gt;0,RANK(U1307,$U$2:$U$1780)+COUNTIF($U$2:U1307,U1307)-1,"")</f>
        <v/>
      </c>
      <c r="W1307" s="56" t="str">
        <f aca="false">IF(V1307="","",IF(V1307&lt;=Settings!$B$11,"1 - Fix first",IF(V1307&lt;=Settings!$B$12,"2 - Review","3 - Monitor")))</f>
        <v/>
      </c>
      <c r="X1307" s="56" t="str">
        <f aca="false">IF(AND(E1307&gt;=Settings!$B$4,F1307&gt;=Settings!$B$5,O1307&gt;=Settings!$B$6),"HIGH RATE","")</f>
        <v/>
      </c>
      <c r="Y1307" s="56" t="str">
        <f aca="false">IF(F1307&gt;0,RANK(F1307,$F$2:$F$1780)+COUNTIF($F$2:F1307,F1307)-1,"")</f>
        <v/>
      </c>
      <c r="Z1307" s="56" t="str">
        <f aca="false">IF(H1307&gt;0,RANK(H1307,$H$2:$H$1780)+COUNTIF($H$2:H1307,H1307)-1,"")</f>
        <v/>
      </c>
      <c r="AA1307" s="56" t="str">
        <f aca="false">IF(AC1307="","",RANK(AC1307,$AC$2:$AC$1780)+COUNTIF($AC$2:AC1307,AC1307)-1)</f>
        <v/>
      </c>
      <c r="AB1307" s="56" t="str">
        <f aca="false">IF(AD1307="","",RANK(AD1307,$AD$2:$AD$1780)+COUNTIF($AD$2:AD1307,AD1307)-1)</f>
        <v/>
      </c>
      <c r="AC1307" s="56" t="str">
        <f aca="false">IF(AND(F1307&gt;0,E1307&gt;=Settings!$B$4),J1307,"")</f>
        <v/>
      </c>
      <c r="AD1307" s="56" t="str">
        <f aca="false">IF(X1307="HIGH RATE",O1307,"")</f>
        <v/>
      </c>
    </row>
    <row r="1308" customFormat="false" ht="15" hidden="false" customHeight="false" outlineLevel="0" collapsed="false">
      <c r="A1308" s="56" t="s">
        <v>2697</v>
      </c>
      <c r="B1308" s="56" t="s">
        <v>572</v>
      </c>
      <c r="C1308" s="56" t="s">
        <v>121</v>
      </c>
      <c r="D1308" s="56" t="str">
        <f aca="false">IFERROR(INDEX('Brand Map'!$B$4:$B$124,MATCH(C1308,'Brand Map'!$A$4:$A$124,0)),"Other")</f>
        <v>BLXNZ</v>
      </c>
      <c r="E1308" s="57" t="n">
        <v>1</v>
      </c>
      <c r="F1308" s="57" t="n">
        <v>0</v>
      </c>
      <c r="G1308" s="58" t="n">
        <v>144.95</v>
      </c>
      <c r="H1308" s="58" t="n">
        <v>0</v>
      </c>
      <c r="I1308" s="58" t="n">
        <v>144.95</v>
      </c>
      <c r="J1308" s="32" t="n">
        <f aca="false">IF(E1308&gt;0,F1308/E1308,0)</f>
        <v>0</v>
      </c>
      <c r="K1308" s="32" t="n">
        <f aca="false">IF(G1308&gt;0,H1308/G1308,0)</f>
        <v>-0</v>
      </c>
      <c r="L1308" s="59" t="n">
        <f aca="false">H1308/Settings!$B$16</f>
        <v>-0</v>
      </c>
      <c r="M1308" s="59" t="n">
        <f aca="false">H1308/Settings!$B$20</f>
        <v>-0</v>
      </c>
      <c r="N1308" s="60" t="n">
        <f aca="false">E1308*Settings!$B$3</f>
        <v>0.0309861510798204</v>
      </c>
      <c r="O1308" s="60" t="n">
        <f aca="false">IF(E1308&gt;0,(F1308-N1308)/SQRT(E1308*Settings!$B$3*(1-Settings!$B$3)),0)</f>
        <v>-0.178821125934444</v>
      </c>
      <c r="P1308" s="60" t="n">
        <f aca="false">MAX(0,F1308-N1308)</f>
        <v>0</v>
      </c>
      <c r="Q1308" s="32" t="n">
        <f aca="false">(F1308+Settings!$B$7*Settings!$B$3)/(E1308+Settings!$B$7)</f>
        <v>0.0299865978191811</v>
      </c>
      <c r="R1308" s="61" t="n">
        <f aca="false">PERCENTRANK($H$2:$H$1780,H1308,6)</f>
        <v>0</v>
      </c>
      <c r="S1308" s="61" t="n">
        <f aca="false">PERCENTRANK($Q$2:$Q$1780,Q1308,6)</f>
        <v>0.486502</v>
      </c>
      <c r="T1308" s="61" t="n">
        <f aca="false">PERCENTRANK($F$2:$F$1780,F1308,6)</f>
        <v>0</v>
      </c>
      <c r="U1308" s="62" t="n">
        <f aca="false">IF(F1308&gt;0,(Settings!$B$8*T1308+Settings!$B$9*R1308+Settings!$B$10*S1308)/SUM(Settings!$B$8:$B$10),0)</f>
        <v>0</v>
      </c>
      <c r="V1308" s="56" t="str">
        <f aca="false">IF(U1308&gt;0,RANK(U1308,$U$2:$U$1780)+COUNTIF($U$2:U1308,U1308)-1,"")</f>
        <v/>
      </c>
      <c r="W1308" s="56" t="str">
        <f aca="false">IF(V1308="","",IF(V1308&lt;=Settings!$B$11,"1 - Fix first",IF(V1308&lt;=Settings!$B$12,"2 - Review","3 - Monitor")))</f>
        <v/>
      </c>
      <c r="X1308" s="56" t="str">
        <f aca="false">IF(AND(E1308&gt;=Settings!$B$4,F1308&gt;=Settings!$B$5,O1308&gt;=Settings!$B$6),"HIGH RATE","")</f>
        <v/>
      </c>
      <c r="Y1308" s="56" t="str">
        <f aca="false">IF(F1308&gt;0,RANK(F1308,$F$2:$F$1780)+COUNTIF($F$2:F1308,F1308)-1,"")</f>
        <v/>
      </c>
      <c r="Z1308" s="56" t="str">
        <f aca="false">IF(H1308&gt;0,RANK(H1308,$H$2:$H$1780)+COUNTIF($H$2:H1308,H1308)-1,"")</f>
        <v/>
      </c>
      <c r="AA1308" s="56" t="str">
        <f aca="false">IF(AC1308="","",RANK(AC1308,$AC$2:$AC$1780)+COUNTIF($AC$2:AC1308,AC1308)-1)</f>
        <v/>
      </c>
      <c r="AB1308" s="56" t="str">
        <f aca="false">IF(AD1308="","",RANK(AD1308,$AD$2:$AD$1780)+COUNTIF($AD$2:AD1308,AD1308)-1)</f>
        <v/>
      </c>
      <c r="AC1308" s="56" t="str">
        <f aca="false">IF(AND(F1308&gt;0,E1308&gt;=Settings!$B$4),J1308,"")</f>
        <v/>
      </c>
      <c r="AD1308" s="56" t="str">
        <f aca="false">IF(X1308="HIGH RATE",O1308,"")</f>
        <v/>
      </c>
    </row>
    <row r="1309" customFormat="false" ht="15" hidden="false" customHeight="false" outlineLevel="0" collapsed="false">
      <c r="A1309" s="56" t="s">
        <v>2698</v>
      </c>
      <c r="B1309" s="56" t="s">
        <v>572</v>
      </c>
      <c r="C1309" s="56" t="s">
        <v>121</v>
      </c>
      <c r="D1309" s="56" t="str">
        <f aca="false">IFERROR(INDEX('Brand Map'!$B$4:$B$124,MATCH(C1309,'Brand Map'!$A$4:$A$124,0)),"Other")</f>
        <v>BLXNZ</v>
      </c>
      <c r="E1309" s="57" t="n">
        <v>6</v>
      </c>
      <c r="F1309" s="57" t="n">
        <v>0</v>
      </c>
      <c r="G1309" s="58" t="n">
        <v>599.7</v>
      </c>
      <c r="H1309" s="58" t="n">
        <v>0</v>
      </c>
      <c r="I1309" s="58" t="n">
        <v>599.7</v>
      </c>
      <c r="J1309" s="32" t="n">
        <f aca="false">IF(E1309&gt;0,F1309/E1309,0)</f>
        <v>0</v>
      </c>
      <c r="K1309" s="32" t="n">
        <f aca="false">IF(G1309&gt;0,H1309/G1309,0)</f>
        <v>-0</v>
      </c>
      <c r="L1309" s="59" t="n">
        <f aca="false">H1309/Settings!$B$16</f>
        <v>-0</v>
      </c>
      <c r="M1309" s="59" t="n">
        <f aca="false">H1309/Settings!$B$20</f>
        <v>-0</v>
      </c>
      <c r="N1309" s="60" t="n">
        <f aca="false">E1309*Settings!$B$3</f>
        <v>0.185916906478923</v>
      </c>
      <c r="O1309" s="60" t="n">
        <f aca="false">IF(E1309&gt;0,(F1309-N1309)/SQRT(E1309*Settings!$B$3*(1-Settings!$B$3)),0)</f>
        <v>-0.43802051376936</v>
      </c>
      <c r="P1309" s="60" t="n">
        <f aca="false">MAX(0,F1309-N1309)</f>
        <v>0</v>
      </c>
      <c r="Q1309" s="32" t="n">
        <f aca="false">(F1309+Settings!$B$7*Settings!$B$3)/(E1309+Settings!$B$7)</f>
        <v>0.025821792566517</v>
      </c>
      <c r="R1309" s="61" t="n">
        <f aca="false">PERCENTRANK($H$2:$H$1780,H1309,6)</f>
        <v>0</v>
      </c>
      <c r="S1309" s="61" t="n">
        <f aca="false">PERCENTRANK($Q$2:$Q$1780,Q1309,6)</f>
        <v>0.189539</v>
      </c>
      <c r="T1309" s="61" t="n">
        <f aca="false">PERCENTRANK($F$2:$F$1780,F1309,6)</f>
        <v>0</v>
      </c>
      <c r="U1309" s="62" t="n">
        <f aca="false">IF(F1309&gt;0,(Settings!$B$8*T1309+Settings!$B$9*R1309+Settings!$B$10*S1309)/SUM(Settings!$B$8:$B$10),0)</f>
        <v>0</v>
      </c>
      <c r="V1309" s="56" t="str">
        <f aca="false">IF(U1309&gt;0,RANK(U1309,$U$2:$U$1780)+COUNTIF($U$2:U1309,U1309)-1,"")</f>
        <v/>
      </c>
      <c r="W1309" s="56" t="str">
        <f aca="false">IF(V1309="","",IF(V1309&lt;=Settings!$B$11,"1 - Fix first",IF(V1309&lt;=Settings!$B$12,"2 - Review","3 - Monitor")))</f>
        <v/>
      </c>
      <c r="X1309" s="56" t="str">
        <f aca="false">IF(AND(E1309&gt;=Settings!$B$4,F1309&gt;=Settings!$B$5,O1309&gt;=Settings!$B$6),"HIGH RATE","")</f>
        <v/>
      </c>
      <c r="Y1309" s="56" t="str">
        <f aca="false">IF(F1309&gt;0,RANK(F1309,$F$2:$F$1780)+COUNTIF($F$2:F1309,F1309)-1,"")</f>
        <v/>
      </c>
      <c r="Z1309" s="56" t="str">
        <f aca="false">IF(H1309&gt;0,RANK(H1309,$H$2:$H$1780)+COUNTIF($H$2:H1309,H1309)-1,"")</f>
        <v/>
      </c>
      <c r="AA1309" s="56" t="str">
        <f aca="false">IF(AC1309="","",RANK(AC1309,$AC$2:$AC$1780)+COUNTIF($AC$2:AC1309,AC1309)-1)</f>
        <v/>
      </c>
      <c r="AB1309" s="56" t="str">
        <f aca="false">IF(AD1309="","",RANK(AD1309,$AD$2:$AD$1780)+COUNTIF($AD$2:AD1309,AD1309)-1)</f>
        <v/>
      </c>
      <c r="AC1309" s="56" t="str">
        <f aca="false">IF(AND(F1309&gt;0,E1309&gt;=Settings!$B$4),J1309,"")</f>
        <v/>
      </c>
      <c r="AD1309" s="56" t="str">
        <f aca="false">IF(X1309="HIGH RATE",O1309,"")</f>
        <v/>
      </c>
    </row>
    <row r="1310" customFormat="false" ht="15" hidden="false" customHeight="false" outlineLevel="0" collapsed="false">
      <c r="A1310" s="56" t="s">
        <v>2699</v>
      </c>
      <c r="B1310" s="56" t="s">
        <v>783</v>
      </c>
      <c r="C1310" s="56" t="s">
        <v>781</v>
      </c>
      <c r="D1310" s="56" t="str">
        <f aca="false">IFERROR(INDEX('Brand Map'!$B$4:$B$124,MATCH(C1310,'Brand Map'!$A$4:$A$124,0)),"Other")</f>
        <v>Other (small prefixes)</v>
      </c>
      <c r="E1310" s="57" t="n">
        <v>1</v>
      </c>
      <c r="F1310" s="57" t="n">
        <v>0</v>
      </c>
      <c r="G1310" s="58" t="n">
        <v>74.95</v>
      </c>
      <c r="H1310" s="58" t="n">
        <v>0</v>
      </c>
      <c r="I1310" s="58" t="n">
        <v>74.95</v>
      </c>
      <c r="J1310" s="32" t="n">
        <f aca="false">IF(E1310&gt;0,F1310/E1310,0)</f>
        <v>0</v>
      </c>
      <c r="K1310" s="32" t="n">
        <f aca="false">IF(G1310&gt;0,H1310/G1310,0)</f>
        <v>-0</v>
      </c>
      <c r="L1310" s="59" t="n">
        <f aca="false">H1310/Settings!$B$16</f>
        <v>-0</v>
      </c>
      <c r="M1310" s="59" t="n">
        <f aca="false">H1310/Settings!$B$20</f>
        <v>-0</v>
      </c>
      <c r="N1310" s="60" t="n">
        <f aca="false">E1310*Settings!$B$3</f>
        <v>0.0309861510798204</v>
      </c>
      <c r="O1310" s="60" t="n">
        <f aca="false">IF(E1310&gt;0,(F1310-N1310)/SQRT(E1310*Settings!$B$3*(1-Settings!$B$3)),0)</f>
        <v>-0.178821125934444</v>
      </c>
      <c r="P1310" s="60" t="n">
        <f aca="false">MAX(0,F1310-N1310)</f>
        <v>0</v>
      </c>
      <c r="Q1310" s="32" t="n">
        <f aca="false">(F1310+Settings!$B$7*Settings!$B$3)/(E1310+Settings!$B$7)</f>
        <v>0.0299865978191811</v>
      </c>
      <c r="R1310" s="61" t="n">
        <f aca="false">PERCENTRANK($H$2:$H$1780,H1310,6)</f>
        <v>0</v>
      </c>
      <c r="S1310" s="61" t="n">
        <f aca="false">PERCENTRANK($Q$2:$Q$1780,Q1310,6)</f>
        <v>0.486502</v>
      </c>
      <c r="T1310" s="61" t="n">
        <f aca="false">PERCENTRANK($F$2:$F$1780,F1310,6)</f>
        <v>0</v>
      </c>
      <c r="U1310" s="62" t="n">
        <f aca="false">IF(F1310&gt;0,(Settings!$B$8*T1310+Settings!$B$9*R1310+Settings!$B$10*S1310)/SUM(Settings!$B$8:$B$10),0)</f>
        <v>0</v>
      </c>
      <c r="V1310" s="56" t="str">
        <f aca="false">IF(U1310&gt;0,RANK(U1310,$U$2:$U$1780)+COUNTIF($U$2:U1310,U1310)-1,"")</f>
        <v/>
      </c>
      <c r="W1310" s="56" t="str">
        <f aca="false">IF(V1310="","",IF(V1310&lt;=Settings!$B$11,"1 - Fix first",IF(V1310&lt;=Settings!$B$12,"2 - Review","3 - Monitor")))</f>
        <v/>
      </c>
      <c r="X1310" s="56" t="str">
        <f aca="false">IF(AND(E1310&gt;=Settings!$B$4,F1310&gt;=Settings!$B$5,O1310&gt;=Settings!$B$6),"HIGH RATE","")</f>
        <v/>
      </c>
      <c r="Y1310" s="56" t="str">
        <f aca="false">IF(F1310&gt;0,RANK(F1310,$F$2:$F$1780)+COUNTIF($F$2:F1310,F1310)-1,"")</f>
        <v/>
      </c>
      <c r="Z1310" s="56" t="str">
        <f aca="false">IF(H1310&gt;0,RANK(H1310,$H$2:$H$1780)+COUNTIF($H$2:H1310,H1310)-1,"")</f>
        <v/>
      </c>
      <c r="AA1310" s="56" t="str">
        <f aca="false">IF(AC1310="","",RANK(AC1310,$AC$2:$AC$1780)+COUNTIF($AC$2:AC1310,AC1310)-1)</f>
        <v/>
      </c>
      <c r="AB1310" s="56" t="str">
        <f aca="false">IF(AD1310="","",RANK(AD1310,$AD$2:$AD$1780)+COUNTIF($AD$2:AD1310,AD1310)-1)</f>
        <v/>
      </c>
      <c r="AC1310" s="56" t="str">
        <f aca="false">IF(AND(F1310&gt;0,E1310&gt;=Settings!$B$4),J1310,"")</f>
        <v/>
      </c>
      <c r="AD1310" s="56" t="str">
        <f aca="false">IF(X1310="HIGH RATE",O1310,"")</f>
        <v/>
      </c>
    </row>
    <row r="1311" customFormat="false" ht="15" hidden="false" customHeight="false" outlineLevel="0" collapsed="false">
      <c r="A1311" s="56" t="s">
        <v>782</v>
      </c>
      <c r="B1311" s="56" t="s">
        <v>783</v>
      </c>
      <c r="C1311" s="56" t="s">
        <v>781</v>
      </c>
      <c r="D1311" s="56" t="str">
        <f aca="false">IFERROR(INDEX('Brand Map'!$B$4:$B$124,MATCH(C1311,'Brand Map'!$A$4:$A$124,0)),"Other")</f>
        <v>Other (small prefixes)</v>
      </c>
      <c r="E1311" s="57" t="n">
        <v>2</v>
      </c>
      <c r="F1311" s="57" t="n">
        <v>0</v>
      </c>
      <c r="G1311" s="58" t="n">
        <v>89.9</v>
      </c>
      <c r="H1311" s="58" t="n">
        <v>0</v>
      </c>
      <c r="I1311" s="58" t="n">
        <v>89.9</v>
      </c>
      <c r="J1311" s="32" t="n">
        <f aca="false">IF(E1311&gt;0,F1311/E1311,0)</f>
        <v>0</v>
      </c>
      <c r="K1311" s="32" t="n">
        <f aca="false">IF(G1311&gt;0,H1311/G1311,0)</f>
        <v>-0</v>
      </c>
      <c r="L1311" s="59" t="n">
        <f aca="false">H1311/Settings!$B$16</f>
        <v>-0</v>
      </c>
      <c r="M1311" s="59" t="n">
        <f aca="false">H1311/Settings!$B$20</f>
        <v>-0</v>
      </c>
      <c r="N1311" s="60" t="n">
        <f aca="false">E1311*Settings!$B$3</f>
        <v>0.0619723021596408</v>
      </c>
      <c r="O1311" s="60" t="n">
        <f aca="false">IF(E1311&gt;0,(F1311-N1311)/SQRT(E1311*Settings!$B$3*(1-Settings!$B$3)),0)</f>
        <v>-0.252891261535318</v>
      </c>
      <c r="P1311" s="60" t="n">
        <f aca="false">MAX(0,F1311-N1311)</f>
        <v>0</v>
      </c>
      <c r="Q1311" s="32" t="n">
        <f aca="false">(F1311+Settings!$B$7*Settings!$B$3)/(E1311+Settings!$B$7)</f>
        <v>0.0290495166373316</v>
      </c>
      <c r="R1311" s="61" t="n">
        <f aca="false">PERCENTRANK($H$2:$H$1780,H1311,6)</f>
        <v>0</v>
      </c>
      <c r="S1311" s="61" t="n">
        <f aca="false">PERCENTRANK($Q$2:$Q$1780,Q1311,6)</f>
        <v>0.365579</v>
      </c>
      <c r="T1311" s="61" t="n">
        <f aca="false">PERCENTRANK($F$2:$F$1780,F1311,6)</f>
        <v>0</v>
      </c>
      <c r="U1311" s="62" t="n">
        <f aca="false">IF(F1311&gt;0,(Settings!$B$8*T1311+Settings!$B$9*R1311+Settings!$B$10*S1311)/SUM(Settings!$B$8:$B$10),0)</f>
        <v>0</v>
      </c>
      <c r="V1311" s="56" t="str">
        <f aca="false">IF(U1311&gt;0,RANK(U1311,$U$2:$U$1780)+COUNTIF($U$2:U1311,U1311)-1,"")</f>
        <v/>
      </c>
      <c r="W1311" s="56" t="str">
        <f aca="false">IF(V1311="","",IF(V1311&lt;=Settings!$B$11,"1 - Fix first",IF(V1311&lt;=Settings!$B$12,"2 - Review","3 - Monitor")))</f>
        <v/>
      </c>
      <c r="X1311" s="56" t="str">
        <f aca="false">IF(AND(E1311&gt;=Settings!$B$4,F1311&gt;=Settings!$B$5,O1311&gt;=Settings!$B$6),"HIGH RATE","")</f>
        <v/>
      </c>
      <c r="Y1311" s="56" t="str">
        <f aca="false">IF(F1311&gt;0,RANK(F1311,$F$2:$F$1780)+COUNTIF($F$2:F1311,F1311)-1,"")</f>
        <v/>
      </c>
      <c r="Z1311" s="56" t="str">
        <f aca="false">IF(H1311&gt;0,RANK(H1311,$H$2:$H$1780)+COUNTIF($H$2:H1311,H1311)-1,"")</f>
        <v/>
      </c>
      <c r="AA1311" s="56" t="str">
        <f aca="false">IF(AC1311="","",RANK(AC1311,$AC$2:$AC$1780)+COUNTIF($AC$2:AC1311,AC1311)-1)</f>
        <v/>
      </c>
      <c r="AB1311" s="56" t="str">
        <f aca="false">IF(AD1311="","",RANK(AD1311,$AD$2:$AD$1780)+COUNTIF($AD$2:AD1311,AD1311)-1)</f>
        <v/>
      </c>
      <c r="AC1311" s="56" t="str">
        <f aca="false">IF(AND(F1311&gt;0,E1311&gt;=Settings!$B$4),J1311,"")</f>
        <v/>
      </c>
      <c r="AD1311" s="56" t="str">
        <f aca="false">IF(X1311="HIGH RATE",O1311,"")</f>
        <v/>
      </c>
    </row>
    <row r="1312" customFormat="false" ht="15" hidden="false" customHeight="false" outlineLevel="0" collapsed="false">
      <c r="A1312" s="56" t="s">
        <v>797</v>
      </c>
      <c r="B1312" s="56" t="s">
        <v>798</v>
      </c>
      <c r="C1312" s="56" t="s">
        <v>796</v>
      </c>
      <c r="D1312" s="56" t="str">
        <f aca="false">IFERROR(INDEX('Brand Map'!$B$4:$B$124,MATCH(C1312,'Brand Map'!$A$4:$A$124,0)),"Other")</f>
        <v>Other (small prefixes)</v>
      </c>
      <c r="E1312" s="57" t="n">
        <v>1</v>
      </c>
      <c r="F1312" s="57" t="n">
        <v>0</v>
      </c>
      <c r="G1312" s="58" t="n">
        <v>59.95</v>
      </c>
      <c r="H1312" s="58" t="n">
        <v>0</v>
      </c>
      <c r="I1312" s="58" t="n">
        <v>59.95</v>
      </c>
      <c r="J1312" s="32" t="n">
        <f aca="false">IF(E1312&gt;0,F1312/E1312,0)</f>
        <v>0</v>
      </c>
      <c r="K1312" s="32" t="n">
        <f aca="false">IF(G1312&gt;0,H1312/G1312,0)</f>
        <v>-0</v>
      </c>
      <c r="L1312" s="59" t="n">
        <f aca="false">H1312/Settings!$B$16</f>
        <v>-0</v>
      </c>
      <c r="M1312" s="59" t="n">
        <f aca="false">H1312/Settings!$B$20</f>
        <v>-0</v>
      </c>
      <c r="N1312" s="60" t="n">
        <f aca="false">E1312*Settings!$B$3</f>
        <v>0.0309861510798204</v>
      </c>
      <c r="O1312" s="60" t="n">
        <f aca="false">IF(E1312&gt;0,(F1312-N1312)/SQRT(E1312*Settings!$B$3*(1-Settings!$B$3)),0)</f>
        <v>-0.178821125934444</v>
      </c>
      <c r="P1312" s="60" t="n">
        <f aca="false">MAX(0,F1312-N1312)</f>
        <v>0</v>
      </c>
      <c r="Q1312" s="32" t="n">
        <f aca="false">(F1312+Settings!$B$7*Settings!$B$3)/(E1312+Settings!$B$7)</f>
        <v>0.0299865978191811</v>
      </c>
      <c r="R1312" s="61" t="n">
        <f aca="false">PERCENTRANK($H$2:$H$1780,H1312,6)</f>
        <v>0</v>
      </c>
      <c r="S1312" s="61" t="n">
        <f aca="false">PERCENTRANK($Q$2:$Q$1780,Q1312,6)</f>
        <v>0.486502</v>
      </c>
      <c r="T1312" s="61" t="n">
        <f aca="false">PERCENTRANK($F$2:$F$1780,F1312,6)</f>
        <v>0</v>
      </c>
      <c r="U1312" s="62" t="n">
        <f aca="false">IF(F1312&gt;0,(Settings!$B$8*T1312+Settings!$B$9*R1312+Settings!$B$10*S1312)/SUM(Settings!$B$8:$B$10),0)</f>
        <v>0</v>
      </c>
      <c r="V1312" s="56" t="str">
        <f aca="false">IF(U1312&gt;0,RANK(U1312,$U$2:$U$1780)+COUNTIF($U$2:U1312,U1312)-1,"")</f>
        <v/>
      </c>
      <c r="W1312" s="56" t="str">
        <f aca="false">IF(V1312="","",IF(V1312&lt;=Settings!$B$11,"1 - Fix first",IF(V1312&lt;=Settings!$B$12,"2 - Review","3 - Monitor")))</f>
        <v/>
      </c>
      <c r="X1312" s="56" t="str">
        <f aca="false">IF(AND(E1312&gt;=Settings!$B$4,F1312&gt;=Settings!$B$5,O1312&gt;=Settings!$B$6),"HIGH RATE","")</f>
        <v/>
      </c>
      <c r="Y1312" s="56" t="str">
        <f aca="false">IF(F1312&gt;0,RANK(F1312,$F$2:$F$1780)+COUNTIF($F$2:F1312,F1312)-1,"")</f>
        <v/>
      </c>
      <c r="Z1312" s="56" t="str">
        <f aca="false">IF(H1312&gt;0,RANK(H1312,$H$2:$H$1780)+COUNTIF($H$2:H1312,H1312)-1,"")</f>
        <v/>
      </c>
      <c r="AA1312" s="56" t="str">
        <f aca="false">IF(AC1312="","",RANK(AC1312,$AC$2:$AC$1780)+COUNTIF($AC$2:AC1312,AC1312)-1)</f>
        <v/>
      </c>
      <c r="AB1312" s="56" t="str">
        <f aca="false">IF(AD1312="","",RANK(AD1312,$AD$2:$AD$1780)+COUNTIF($AD$2:AD1312,AD1312)-1)</f>
        <v/>
      </c>
      <c r="AC1312" s="56" t="str">
        <f aca="false">IF(AND(F1312&gt;0,E1312&gt;=Settings!$B$4),J1312,"")</f>
        <v/>
      </c>
      <c r="AD1312" s="56" t="str">
        <f aca="false">IF(X1312="HIGH RATE",O1312,"")</f>
        <v/>
      </c>
    </row>
    <row r="1313" customFormat="false" ht="15" hidden="false" customHeight="false" outlineLevel="0" collapsed="false">
      <c r="A1313" s="56" t="s">
        <v>2700</v>
      </c>
      <c r="B1313" s="56" t="s">
        <v>2701</v>
      </c>
      <c r="C1313" s="56" t="s">
        <v>796</v>
      </c>
      <c r="D1313" s="56" t="str">
        <f aca="false">IFERROR(INDEX('Brand Map'!$B$4:$B$124,MATCH(C1313,'Brand Map'!$A$4:$A$124,0)),"Other")</f>
        <v>Other (small prefixes)</v>
      </c>
      <c r="E1313" s="57" t="n">
        <v>1</v>
      </c>
      <c r="F1313" s="57" t="n">
        <v>0</v>
      </c>
      <c r="G1313" s="58" t="n">
        <v>34.95</v>
      </c>
      <c r="H1313" s="58" t="n">
        <v>0</v>
      </c>
      <c r="I1313" s="58" t="n">
        <v>34.95</v>
      </c>
      <c r="J1313" s="32" t="n">
        <f aca="false">IF(E1313&gt;0,F1313/E1313,0)</f>
        <v>0</v>
      </c>
      <c r="K1313" s="32" t="n">
        <f aca="false">IF(G1313&gt;0,H1313/G1313,0)</f>
        <v>-0</v>
      </c>
      <c r="L1313" s="59" t="n">
        <f aca="false">H1313/Settings!$B$16</f>
        <v>-0</v>
      </c>
      <c r="M1313" s="59" t="n">
        <f aca="false">H1313/Settings!$B$20</f>
        <v>-0</v>
      </c>
      <c r="N1313" s="60" t="n">
        <f aca="false">E1313*Settings!$B$3</f>
        <v>0.0309861510798204</v>
      </c>
      <c r="O1313" s="60" t="n">
        <f aca="false">IF(E1313&gt;0,(F1313-N1313)/SQRT(E1313*Settings!$B$3*(1-Settings!$B$3)),0)</f>
        <v>-0.178821125934444</v>
      </c>
      <c r="P1313" s="60" t="n">
        <f aca="false">MAX(0,F1313-N1313)</f>
        <v>0</v>
      </c>
      <c r="Q1313" s="32" t="n">
        <f aca="false">(F1313+Settings!$B$7*Settings!$B$3)/(E1313+Settings!$B$7)</f>
        <v>0.0299865978191811</v>
      </c>
      <c r="R1313" s="61" t="n">
        <f aca="false">PERCENTRANK($H$2:$H$1780,H1313,6)</f>
        <v>0</v>
      </c>
      <c r="S1313" s="61" t="n">
        <f aca="false">PERCENTRANK($Q$2:$Q$1780,Q1313,6)</f>
        <v>0.486502</v>
      </c>
      <c r="T1313" s="61" t="n">
        <f aca="false">PERCENTRANK($F$2:$F$1780,F1313,6)</f>
        <v>0</v>
      </c>
      <c r="U1313" s="62" t="n">
        <f aca="false">IF(F1313&gt;0,(Settings!$B$8*T1313+Settings!$B$9*R1313+Settings!$B$10*S1313)/SUM(Settings!$B$8:$B$10),0)</f>
        <v>0</v>
      </c>
      <c r="V1313" s="56" t="str">
        <f aca="false">IF(U1313&gt;0,RANK(U1313,$U$2:$U$1780)+COUNTIF($U$2:U1313,U1313)-1,"")</f>
        <v/>
      </c>
      <c r="W1313" s="56" t="str">
        <f aca="false">IF(V1313="","",IF(V1313&lt;=Settings!$B$11,"1 - Fix first",IF(V1313&lt;=Settings!$B$12,"2 - Review","3 - Monitor")))</f>
        <v/>
      </c>
      <c r="X1313" s="56" t="str">
        <f aca="false">IF(AND(E1313&gt;=Settings!$B$4,F1313&gt;=Settings!$B$5,O1313&gt;=Settings!$B$6),"HIGH RATE","")</f>
        <v/>
      </c>
      <c r="Y1313" s="56" t="str">
        <f aca="false">IF(F1313&gt;0,RANK(F1313,$F$2:$F$1780)+COUNTIF($F$2:F1313,F1313)-1,"")</f>
        <v/>
      </c>
      <c r="Z1313" s="56" t="str">
        <f aca="false">IF(H1313&gt;0,RANK(H1313,$H$2:$H$1780)+COUNTIF($H$2:H1313,H1313)-1,"")</f>
        <v/>
      </c>
      <c r="AA1313" s="56" t="str">
        <f aca="false">IF(AC1313="","",RANK(AC1313,$AC$2:$AC$1780)+COUNTIF($AC$2:AC1313,AC1313)-1)</f>
        <v/>
      </c>
      <c r="AB1313" s="56" t="str">
        <f aca="false">IF(AD1313="","",RANK(AD1313,$AD$2:$AD$1780)+COUNTIF($AD$2:AD1313,AD1313)-1)</f>
        <v/>
      </c>
      <c r="AC1313" s="56" t="str">
        <f aca="false">IF(AND(F1313&gt;0,E1313&gt;=Settings!$B$4),J1313,"")</f>
        <v/>
      </c>
      <c r="AD1313" s="56" t="str">
        <f aca="false">IF(X1313="HIGH RATE",O1313,"")</f>
        <v/>
      </c>
    </row>
    <row r="1314" customFormat="false" ht="15" hidden="false" customHeight="false" outlineLevel="0" collapsed="false">
      <c r="A1314" s="56" t="s">
        <v>2702</v>
      </c>
      <c r="B1314" s="56" t="s">
        <v>2703</v>
      </c>
      <c r="C1314" s="56" t="s">
        <v>689</v>
      </c>
      <c r="D1314" s="56" t="str">
        <f aca="false">IFERROR(INDEX('Brand Map'!$B$4:$B$124,MATCH(C1314,'Brand Map'!$A$4:$A$124,0)),"Other")</f>
        <v>Other (small prefixes)</v>
      </c>
      <c r="E1314" s="57" t="n">
        <v>1</v>
      </c>
      <c r="F1314" s="57" t="n">
        <v>0</v>
      </c>
      <c r="G1314" s="58" t="n">
        <v>95.95</v>
      </c>
      <c r="H1314" s="58" t="n">
        <v>0</v>
      </c>
      <c r="I1314" s="58" t="n">
        <v>95.95</v>
      </c>
      <c r="J1314" s="32" t="n">
        <f aca="false">IF(E1314&gt;0,F1314/E1314,0)</f>
        <v>0</v>
      </c>
      <c r="K1314" s="32" t="n">
        <f aca="false">IF(G1314&gt;0,H1314/G1314,0)</f>
        <v>-0</v>
      </c>
      <c r="L1314" s="59" t="n">
        <f aca="false">H1314/Settings!$B$16</f>
        <v>-0</v>
      </c>
      <c r="M1314" s="59" t="n">
        <f aca="false">H1314/Settings!$B$20</f>
        <v>-0</v>
      </c>
      <c r="N1314" s="60" t="n">
        <f aca="false">E1314*Settings!$B$3</f>
        <v>0.0309861510798204</v>
      </c>
      <c r="O1314" s="60" t="n">
        <f aca="false">IF(E1314&gt;0,(F1314-N1314)/SQRT(E1314*Settings!$B$3*(1-Settings!$B$3)),0)</f>
        <v>-0.178821125934444</v>
      </c>
      <c r="P1314" s="60" t="n">
        <f aca="false">MAX(0,F1314-N1314)</f>
        <v>0</v>
      </c>
      <c r="Q1314" s="32" t="n">
        <f aca="false">(F1314+Settings!$B$7*Settings!$B$3)/(E1314+Settings!$B$7)</f>
        <v>0.0299865978191811</v>
      </c>
      <c r="R1314" s="61" t="n">
        <f aca="false">PERCENTRANK($H$2:$H$1780,H1314,6)</f>
        <v>0</v>
      </c>
      <c r="S1314" s="61" t="n">
        <f aca="false">PERCENTRANK($Q$2:$Q$1780,Q1314,6)</f>
        <v>0.486502</v>
      </c>
      <c r="T1314" s="61" t="n">
        <f aca="false">PERCENTRANK($F$2:$F$1780,F1314,6)</f>
        <v>0</v>
      </c>
      <c r="U1314" s="62" t="n">
        <f aca="false">IF(F1314&gt;0,(Settings!$B$8*T1314+Settings!$B$9*R1314+Settings!$B$10*S1314)/SUM(Settings!$B$8:$B$10),0)</f>
        <v>0</v>
      </c>
      <c r="V1314" s="56" t="str">
        <f aca="false">IF(U1314&gt;0,RANK(U1314,$U$2:$U$1780)+COUNTIF($U$2:U1314,U1314)-1,"")</f>
        <v/>
      </c>
      <c r="W1314" s="56" t="str">
        <f aca="false">IF(V1314="","",IF(V1314&lt;=Settings!$B$11,"1 - Fix first",IF(V1314&lt;=Settings!$B$12,"2 - Review","3 - Monitor")))</f>
        <v/>
      </c>
      <c r="X1314" s="56" t="str">
        <f aca="false">IF(AND(E1314&gt;=Settings!$B$4,F1314&gt;=Settings!$B$5,O1314&gt;=Settings!$B$6),"HIGH RATE","")</f>
        <v/>
      </c>
      <c r="Y1314" s="56" t="str">
        <f aca="false">IF(F1314&gt;0,RANK(F1314,$F$2:$F$1780)+COUNTIF($F$2:F1314,F1314)-1,"")</f>
        <v/>
      </c>
      <c r="Z1314" s="56" t="str">
        <f aca="false">IF(H1314&gt;0,RANK(H1314,$H$2:$H$1780)+COUNTIF($H$2:H1314,H1314)-1,"")</f>
        <v/>
      </c>
      <c r="AA1314" s="56" t="str">
        <f aca="false">IF(AC1314="","",RANK(AC1314,$AC$2:$AC$1780)+COUNTIF($AC$2:AC1314,AC1314)-1)</f>
        <v/>
      </c>
      <c r="AB1314" s="56" t="str">
        <f aca="false">IF(AD1314="","",RANK(AD1314,$AD$2:$AD$1780)+COUNTIF($AD$2:AD1314,AD1314)-1)</f>
        <v/>
      </c>
      <c r="AC1314" s="56" t="str">
        <f aca="false">IF(AND(F1314&gt;0,E1314&gt;=Settings!$B$4),J1314,"")</f>
        <v/>
      </c>
      <c r="AD1314" s="56" t="str">
        <f aca="false">IF(X1314="HIGH RATE",O1314,"")</f>
        <v/>
      </c>
    </row>
    <row r="1315" customFormat="false" ht="15" hidden="false" customHeight="false" outlineLevel="0" collapsed="false">
      <c r="A1315" s="56" t="s">
        <v>2704</v>
      </c>
      <c r="B1315" s="56" t="s">
        <v>2705</v>
      </c>
      <c r="C1315" s="56" t="s">
        <v>689</v>
      </c>
      <c r="D1315" s="56" t="str">
        <f aca="false">IFERROR(INDEX('Brand Map'!$B$4:$B$124,MATCH(C1315,'Brand Map'!$A$4:$A$124,0)),"Other")</f>
        <v>Other (small prefixes)</v>
      </c>
      <c r="E1315" s="57" t="n">
        <v>1</v>
      </c>
      <c r="F1315" s="57" t="n">
        <v>0</v>
      </c>
      <c r="G1315" s="58" t="n">
        <v>55.95</v>
      </c>
      <c r="H1315" s="58" t="n">
        <v>0</v>
      </c>
      <c r="I1315" s="58" t="n">
        <v>55.95</v>
      </c>
      <c r="J1315" s="32" t="n">
        <f aca="false">IF(E1315&gt;0,F1315/E1315,0)</f>
        <v>0</v>
      </c>
      <c r="K1315" s="32" t="n">
        <f aca="false">IF(G1315&gt;0,H1315/G1315,0)</f>
        <v>-0</v>
      </c>
      <c r="L1315" s="59" t="n">
        <f aca="false">H1315/Settings!$B$16</f>
        <v>-0</v>
      </c>
      <c r="M1315" s="59" t="n">
        <f aca="false">H1315/Settings!$B$20</f>
        <v>-0</v>
      </c>
      <c r="N1315" s="60" t="n">
        <f aca="false">E1315*Settings!$B$3</f>
        <v>0.0309861510798204</v>
      </c>
      <c r="O1315" s="60" t="n">
        <f aca="false">IF(E1315&gt;0,(F1315-N1315)/SQRT(E1315*Settings!$B$3*(1-Settings!$B$3)),0)</f>
        <v>-0.178821125934444</v>
      </c>
      <c r="P1315" s="60" t="n">
        <f aca="false">MAX(0,F1315-N1315)</f>
        <v>0</v>
      </c>
      <c r="Q1315" s="32" t="n">
        <f aca="false">(F1315+Settings!$B$7*Settings!$B$3)/(E1315+Settings!$B$7)</f>
        <v>0.0299865978191811</v>
      </c>
      <c r="R1315" s="61" t="n">
        <f aca="false">PERCENTRANK($H$2:$H$1780,H1315,6)</f>
        <v>0</v>
      </c>
      <c r="S1315" s="61" t="n">
        <f aca="false">PERCENTRANK($Q$2:$Q$1780,Q1315,6)</f>
        <v>0.486502</v>
      </c>
      <c r="T1315" s="61" t="n">
        <f aca="false">PERCENTRANK($F$2:$F$1780,F1315,6)</f>
        <v>0</v>
      </c>
      <c r="U1315" s="62" t="n">
        <f aca="false">IF(F1315&gt;0,(Settings!$B$8*T1315+Settings!$B$9*R1315+Settings!$B$10*S1315)/SUM(Settings!$B$8:$B$10),0)</f>
        <v>0</v>
      </c>
      <c r="V1315" s="56" t="str">
        <f aca="false">IF(U1315&gt;0,RANK(U1315,$U$2:$U$1780)+COUNTIF($U$2:U1315,U1315)-1,"")</f>
        <v/>
      </c>
      <c r="W1315" s="56" t="str">
        <f aca="false">IF(V1315="","",IF(V1315&lt;=Settings!$B$11,"1 - Fix first",IF(V1315&lt;=Settings!$B$12,"2 - Review","3 - Monitor")))</f>
        <v/>
      </c>
      <c r="X1315" s="56" t="str">
        <f aca="false">IF(AND(E1315&gt;=Settings!$B$4,F1315&gt;=Settings!$B$5,O1315&gt;=Settings!$B$6),"HIGH RATE","")</f>
        <v/>
      </c>
      <c r="Y1315" s="56" t="str">
        <f aca="false">IF(F1315&gt;0,RANK(F1315,$F$2:$F$1780)+COUNTIF($F$2:F1315,F1315)-1,"")</f>
        <v/>
      </c>
      <c r="Z1315" s="56" t="str">
        <f aca="false">IF(H1315&gt;0,RANK(H1315,$H$2:$H$1780)+COUNTIF($H$2:H1315,H1315)-1,"")</f>
        <v/>
      </c>
      <c r="AA1315" s="56" t="str">
        <f aca="false">IF(AC1315="","",RANK(AC1315,$AC$2:$AC$1780)+COUNTIF($AC$2:AC1315,AC1315)-1)</f>
        <v/>
      </c>
      <c r="AB1315" s="56" t="str">
        <f aca="false">IF(AD1315="","",RANK(AD1315,$AD$2:$AD$1780)+COUNTIF($AD$2:AD1315,AD1315)-1)</f>
        <v/>
      </c>
      <c r="AC1315" s="56" t="str">
        <f aca="false">IF(AND(F1315&gt;0,E1315&gt;=Settings!$B$4),J1315,"")</f>
        <v/>
      </c>
      <c r="AD1315" s="56" t="str">
        <f aca="false">IF(X1315="HIGH RATE",O1315,"")</f>
        <v/>
      </c>
    </row>
    <row r="1316" customFormat="false" ht="15" hidden="false" customHeight="false" outlineLevel="0" collapsed="false">
      <c r="A1316" s="56" t="s">
        <v>690</v>
      </c>
      <c r="B1316" s="56" t="s">
        <v>691</v>
      </c>
      <c r="C1316" s="56" t="s">
        <v>689</v>
      </c>
      <c r="D1316" s="56" t="str">
        <f aca="false">IFERROR(INDEX('Brand Map'!$B$4:$B$124,MATCH(C1316,'Brand Map'!$A$4:$A$124,0)),"Other")</f>
        <v>Other (small prefixes)</v>
      </c>
      <c r="E1316" s="57" t="n">
        <v>29</v>
      </c>
      <c r="F1316" s="57" t="n">
        <v>0</v>
      </c>
      <c r="G1316" s="58" t="n">
        <v>3767.19</v>
      </c>
      <c r="H1316" s="58" t="n">
        <v>0</v>
      </c>
      <c r="I1316" s="58" t="n">
        <v>3647.9</v>
      </c>
      <c r="J1316" s="32" t="n">
        <f aca="false">IF(E1316&gt;0,F1316/E1316,0)</f>
        <v>0</v>
      </c>
      <c r="K1316" s="32" t="n">
        <f aca="false">IF(G1316&gt;0,H1316/G1316,0)</f>
        <v>-0</v>
      </c>
      <c r="L1316" s="59" t="n">
        <f aca="false">H1316/Settings!$B$16</f>
        <v>-0</v>
      </c>
      <c r="M1316" s="59" t="n">
        <f aca="false">H1316/Settings!$B$20</f>
        <v>-0</v>
      </c>
      <c r="N1316" s="60" t="n">
        <f aca="false">E1316*Settings!$B$3</f>
        <v>0.898598381314792</v>
      </c>
      <c r="O1316" s="60" t="n">
        <f aca="false">IF(E1316&gt;0,(F1316-N1316)/SQRT(E1316*Settings!$B$3*(1-Settings!$B$3)),0)</f>
        <v>-0.962981234154335</v>
      </c>
      <c r="P1316" s="60" t="n">
        <f aca="false">MAX(0,F1316-N1316)</f>
        <v>0</v>
      </c>
      <c r="Q1316" s="32" t="n">
        <f aca="false">(F1316+Settings!$B$7*Settings!$B$3)/(E1316+Settings!$B$7)</f>
        <v>0.0157556700405867</v>
      </c>
      <c r="R1316" s="61" t="n">
        <f aca="false">PERCENTRANK($H$2:$H$1780,H1316,6)</f>
        <v>0</v>
      </c>
      <c r="S1316" s="61" t="n">
        <f aca="false">PERCENTRANK($Q$2:$Q$1780,Q1316,6)</f>
        <v>0.0433071</v>
      </c>
      <c r="T1316" s="61" t="n">
        <f aca="false">PERCENTRANK($F$2:$F$1780,F1316,6)</f>
        <v>0</v>
      </c>
      <c r="U1316" s="62" t="n">
        <f aca="false">IF(F1316&gt;0,(Settings!$B$8*T1316+Settings!$B$9*R1316+Settings!$B$10*S1316)/SUM(Settings!$B$8:$B$10),0)</f>
        <v>0</v>
      </c>
      <c r="V1316" s="56" t="str">
        <f aca="false">IF(U1316&gt;0,RANK(U1316,$U$2:$U$1780)+COUNTIF($U$2:U1316,U1316)-1,"")</f>
        <v/>
      </c>
      <c r="W1316" s="56" t="str">
        <f aca="false">IF(V1316="","",IF(V1316&lt;=Settings!$B$11,"1 - Fix first",IF(V1316&lt;=Settings!$B$12,"2 - Review","3 - Monitor")))</f>
        <v/>
      </c>
      <c r="X1316" s="56" t="str">
        <f aca="false">IF(AND(E1316&gt;=Settings!$B$4,F1316&gt;=Settings!$B$5,O1316&gt;=Settings!$B$6),"HIGH RATE","")</f>
        <v/>
      </c>
      <c r="Y1316" s="56" t="str">
        <f aca="false">IF(F1316&gt;0,RANK(F1316,$F$2:$F$1780)+COUNTIF($F$2:F1316,F1316)-1,"")</f>
        <v/>
      </c>
      <c r="Z1316" s="56" t="str">
        <f aca="false">IF(H1316&gt;0,RANK(H1316,$H$2:$H$1780)+COUNTIF($H$2:H1316,H1316)-1,"")</f>
        <v/>
      </c>
      <c r="AA1316" s="56" t="str">
        <f aca="false">IF(AC1316="","",RANK(AC1316,$AC$2:$AC$1780)+COUNTIF($AC$2:AC1316,AC1316)-1)</f>
        <v/>
      </c>
      <c r="AB1316" s="56" t="str">
        <f aca="false">IF(AD1316="","",RANK(AD1316,$AD$2:$AD$1780)+COUNTIF($AD$2:AD1316,AD1316)-1)</f>
        <v/>
      </c>
      <c r="AC1316" s="56" t="str">
        <f aca="false">IF(AND(F1316&gt;0,E1316&gt;=Settings!$B$4),J1316,"")</f>
        <v/>
      </c>
      <c r="AD1316" s="56" t="str">
        <f aca="false">IF(X1316="HIGH RATE",O1316,"")</f>
        <v/>
      </c>
    </row>
    <row r="1317" customFormat="false" ht="15" hidden="false" customHeight="false" outlineLevel="0" collapsed="false">
      <c r="A1317" s="56" t="s">
        <v>2706</v>
      </c>
      <c r="B1317" s="56" t="s">
        <v>2707</v>
      </c>
      <c r="C1317" s="56" t="s">
        <v>689</v>
      </c>
      <c r="D1317" s="56" t="str">
        <f aca="false">IFERROR(INDEX('Brand Map'!$B$4:$B$124,MATCH(C1317,'Brand Map'!$A$4:$A$124,0)),"Other")</f>
        <v>Other (small prefixes)</v>
      </c>
      <c r="E1317" s="57" t="n">
        <v>3</v>
      </c>
      <c r="F1317" s="57" t="n">
        <v>0</v>
      </c>
      <c r="G1317" s="58" t="n">
        <v>377.85</v>
      </c>
      <c r="H1317" s="58" t="n">
        <v>0</v>
      </c>
      <c r="I1317" s="58" t="n">
        <v>377.85</v>
      </c>
      <c r="J1317" s="32" t="n">
        <f aca="false">IF(E1317&gt;0,F1317/E1317,0)</f>
        <v>0</v>
      </c>
      <c r="K1317" s="32" t="n">
        <f aca="false">IF(G1317&gt;0,H1317/G1317,0)</f>
        <v>-0</v>
      </c>
      <c r="L1317" s="59" t="n">
        <f aca="false">H1317/Settings!$B$16</f>
        <v>-0</v>
      </c>
      <c r="M1317" s="59" t="n">
        <f aca="false">H1317/Settings!$B$20</f>
        <v>-0</v>
      </c>
      <c r="N1317" s="60" t="n">
        <f aca="false">E1317*Settings!$B$3</f>
        <v>0.0929584532394613</v>
      </c>
      <c r="O1317" s="60" t="n">
        <f aca="false">IF(E1317&gt;0,(F1317-N1317)/SQRT(E1317*Settings!$B$3*(1-Settings!$B$3)),0)</f>
        <v>-0.30972727558513</v>
      </c>
      <c r="P1317" s="60" t="n">
        <f aca="false">MAX(0,F1317-N1317)</f>
        <v>0</v>
      </c>
      <c r="Q1317" s="32" t="n">
        <f aca="false">(F1317+Settings!$B$7*Settings!$B$3)/(E1317+Settings!$B$7)</f>
        <v>0.0281692282543822</v>
      </c>
      <c r="R1317" s="61" t="n">
        <f aca="false">PERCENTRANK($H$2:$H$1780,H1317,6)</f>
        <v>0</v>
      </c>
      <c r="S1317" s="61" t="n">
        <f aca="false">PERCENTRANK($Q$2:$Q$1780,Q1317,6)</f>
        <v>0.294151</v>
      </c>
      <c r="T1317" s="61" t="n">
        <f aca="false">PERCENTRANK($F$2:$F$1780,F1317,6)</f>
        <v>0</v>
      </c>
      <c r="U1317" s="62" t="n">
        <f aca="false">IF(F1317&gt;0,(Settings!$B$8*T1317+Settings!$B$9*R1317+Settings!$B$10*S1317)/SUM(Settings!$B$8:$B$10),0)</f>
        <v>0</v>
      </c>
      <c r="V1317" s="56" t="str">
        <f aca="false">IF(U1317&gt;0,RANK(U1317,$U$2:$U$1780)+COUNTIF($U$2:U1317,U1317)-1,"")</f>
        <v/>
      </c>
      <c r="W1317" s="56" t="str">
        <f aca="false">IF(V1317="","",IF(V1317&lt;=Settings!$B$11,"1 - Fix first",IF(V1317&lt;=Settings!$B$12,"2 - Review","3 - Monitor")))</f>
        <v/>
      </c>
      <c r="X1317" s="56" t="str">
        <f aca="false">IF(AND(E1317&gt;=Settings!$B$4,F1317&gt;=Settings!$B$5,O1317&gt;=Settings!$B$6),"HIGH RATE","")</f>
        <v/>
      </c>
      <c r="Y1317" s="56" t="str">
        <f aca="false">IF(F1317&gt;0,RANK(F1317,$F$2:$F$1780)+COUNTIF($F$2:F1317,F1317)-1,"")</f>
        <v/>
      </c>
      <c r="Z1317" s="56" t="str">
        <f aca="false">IF(H1317&gt;0,RANK(H1317,$H$2:$H$1780)+COUNTIF($H$2:H1317,H1317)-1,"")</f>
        <v/>
      </c>
      <c r="AA1317" s="56" t="str">
        <f aca="false">IF(AC1317="","",RANK(AC1317,$AC$2:$AC$1780)+COUNTIF($AC$2:AC1317,AC1317)-1)</f>
        <v/>
      </c>
      <c r="AB1317" s="56" t="str">
        <f aca="false">IF(AD1317="","",RANK(AD1317,$AD$2:$AD$1780)+COUNTIF($AD$2:AD1317,AD1317)-1)</f>
        <v/>
      </c>
      <c r="AC1317" s="56" t="str">
        <f aca="false">IF(AND(F1317&gt;0,E1317&gt;=Settings!$B$4),J1317,"")</f>
        <v/>
      </c>
      <c r="AD1317" s="56" t="str">
        <f aca="false">IF(X1317="HIGH RATE",O1317,"")</f>
        <v/>
      </c>
    </row>
    <row r="1318" customFormat="false" ht="15" hidden="false" customHeight="false" outlineLevel="0" collapsed="false">
      <c r="A1318" s="56" t="s">
        <v>723</v>
      </c>
      <c r="B1318" s="56" t="s">
        <v>724</v>
      </c>
      <c r="C1318" s="56" t="s">
        <v>722</v>
      </c>
      <c r="D1318" s="56" t="str">
        <f aca="false">IFERROR(INDEX('Brand Map'!$B$4:$B$124,MATCH(C1318,'Brand Map'!$A$4:$A$124,0)),"Other")</f>
        <v>Other (small prefixes)</v>
      </c>
      <c r="E1318" s="57" t="n">
        <v>3</v>
      </c>
      <c r="F1318" s="57" t="n">
        <v>0</v>
      </c>
      <c r="G1318" s="58" t="n">
        <v>1302.4</v>
      </c>
      <c r="H1318" s="58" t="n">
        <v>0</v>
      </c>
      <c r="I1318" s="58" t="n">
        <v>1302.4</v>
      </c>
      <c r="J1318" s="32" t="n">
        <f aca="false">IF(E1318&gt;0,F1318/E1318,0)</f>
        <v>0</v>
      </c>
      <c r="K1318" s="32" t="n">
        <f aca="false">IF(G1318&gt;0,H1318/G1318,0)</f>
        <v>-0</v>
      </c>
      <c r="L1318" s="59" t="n">
        <f aca="false">H1318/Settings!$B$16</f>
        <v>-0</v>
      </c>
      <c r="M1318" s="59" t="n">
        <f aca="false">H1318/Settings!$B$20</f>
        <v>-0</v>
      </c>
      <c r="N1318" s="60" t="n">
        <f aca="false">E1318*Settings!$B$3</f>
        <v>0.0929584532394613</v>
      </c>
      <c r="O1318" s="60" t="n">
        <f aca="false">IF(E1318&gt;0,(F1318-N1318)/SQRT(E1318*Settings!$B$3*(1-Settings!$B$3)),0)</f>
        <v>-0.30972727558513</v>
      </c>
      <c r="P1318" s="60" t="n">
        <f aca="false">MAX(0,F1318-N1318)</f>
        <v>0</v>
      </c>
      <c r="Q1318" s="32" t="n">
        <f aca="false">(F1318+Settings!$B$7*Settings!$B$3)/(E1318+Settings!$B$7)</f>
        <v>0.0281692282543822</v>
      </c>
      <c r="R1318" s="61" t="n">
        <f aca="false">PERCENTRANK($H$2:$H$1780,H1318,6)</f>
        <v>0</v>
      </c>
      <c r="S1318" s="61" t="n">
        <f aca="false">PERCENTRANK($Q$2:$Q$1780,Q1318,6)</f>
        <v>0.294151</v>
      </c>
      <c r="T1318" s="61" t="n">
        <f aca="false">PERCENTRANK($F$2:$F$1780,F1318,6)</f>
        <v>0</v>
      </c>
      <c r="U1318" s="62" t="n">
        <f aca="false">IF(F1318&gt;0,(Settings!$B$8*T1318+Settings!$B$9*R1318+Settings!$B$10*S1318)/SUM(Settings!$B$8:$B$10),0)</f>
        <v>0</v>
      </c>
      <c r="V1318" s="56" t="str">
        <f aca="false">IF(U1318&gt;0,RANK(U1318,$U$2:$U$1780)+COUNTIF($U$2:U1318,U1318)-1,"")</f>
        <v/>
      </c>
      <c r="W1318" s="56" t="str">
        <f aca="false">IF(V1318="","",IF(V1318&lt;=Settings!$B$11,"1 - Fix first",IF(V1318&lt;=Settings!$B$12,"2 - Review","3 - Monitor")))</f>
        <v/>
      </c>
      <c r="X1318" s="56" t="str">
        <f aca="false">IF(AND(E1318&gt;=Settings!$B$4,F1318&gt;=Settings!$B$5,O1318&gt;=Settings!$B$6),"HIGH RATE","")</f>
        <v/>
      </c>
      <c r="Y1318" s="56" t="str">
        <f aca="false">IF(F1318&gt;0,RANK(F1318,$F$2:$F$1780)+COUNTIF($F$2:F1318,F1318)-1,"")</f>
        <v/>
      </c>
      <c r="Z1318" s="56" t="str">
        <f aca="false">IF(H1318&gt;0,RANK(H1318,$H$2:$H$1780)+COUNTIF($H$2:H1318,H1318)-1,"")</f>
        <v/>
      </c>
      <c r="AA1318" s="56" t="str">
        <f aca="false">IF(AC1318="","",RANK(AC1318,$AC$2:$AC$1780)+COUNTIF($AC$2:AC1318,AC1318)-1)</f>
        <v/>
      </c>
      <c r="AB1318" s="56" t="str">
        <f aca="false">IF(AD1318="","",RANK(AD1318,$AD$2:$AD$1780)+COUNTIF($AD$2:AD1318,AD1318)-1)</f>
        <v/>
      </c>
      <c r="AC1318" s="56" t="str">
        <f aca="false">IF(AND(F1318&gt;0,E1318&gt;=Settings!$B$4),J1318,"")</f>
        <v/>
      </c>
      <c r="AD1318" s="56" t="str">
        <f aca="false">IF(X1318="HIGH RATE",O1318,"")</f>
        <v/>
      </c>
    </row>
    <row r="1319" customFormat="false" ht="15" hidden="false" customHeight="false" outlineLevel="0" collapsed="false">
      <c r="A1319" s="56" t="s">
        <v>2708</v>
      </c>
      <c r="B1319" s="56" t="s">
        <v>2709</v>
      </c>
      <c r="C1319" s="56" t="s">
        <v>755</v>
      </c>
      <c r="D1319" s="56" t="str">
        <f aca="false">IFERROR(INDEX('Brand Map'!$B$4:$B$124,MATCH(C1319,'Brand Map'!$A$4:$A$124,0)),"Other")</f>
        <v>Other (small prefixes)</v>
      </c>
      <c r="E1319" s="57" t="n">
        <v>3</v>
      </c>
      <c r="F1319" s="57" t="n">
        <v>0</v>
      </c>
      <c r="G1319" s="58" t="n">
        <v>89.85</v>
      </c>
      <c r="H1319" s="58" t="n">
        <v>0</v>
      </c>
      <c r="I1319" s="58" t="n">
        <v>89.85</v>
      </c>
      <c r="J1319" s="32" t="n">
        <f aca="false">IF(E1319&gt;0,F1319/E1319,0)</f>
        <v>0</v>
      </c>
      <c r="K1319" s="32" t="n">
        <f aca="false">IF(G1319&gt;0,H1319/G1319,0)</f>
        <v>-0</v>
      </c>
      <c r="L1319" s="59" t="n">
        <f aca="false">H1319/Settings!$B$16</f>
        <v>-0</v>
      </c>
      <c r="M1319" s="59" t="n">
        <f aca="false">H1319/Settings!$B$20</f>
        <v>-0</v>
      </c>
      <c r="N1319" s="60" t="n">
        <f aca="false">E1319*Settings!$B$3</f>
        <v>0.0929584532394613</v>
      </c>
      <c r="O1319" s="60" t="n">
        <f aca="false">IF(E1319&gt;0,(F1319-N1319)/SQRT(E1319*Settings!$B$3*(1-Settings!$B$3)),0)</f>
        <v>-0.30972727558513</v>
      </c>
      <c r="P1319" s="60" t="n">
        <f aca="false">MAX(0,F1319-N1319)</f>
        <v>0</v>
      </c>
      <c r="Q1319" s="32" t="n">
        <f aca="false">(F1319+Settings!$B$7*Settings!$B$3)/(E1319+Settings!$B$7)</f>
        <v>0.0281692282543822</v>
      </c>
      <c r="R1319" s="61" t="n">
        <f aca="false">PERCENTRANK($H$2:$H$1780,H1319,6)</f>
        <v>0</v>
      </c>
      <c r="S1319" s="61" t="n">
        <f aca="false">PERCENTRANK($Q$2:$Q$1780,Q1319,6)</f>
        <v>0.294151</v>
      </c>
      <c r="T1319" s="61" t="n">
        <f aca="false">PERCENTRANK($F$2:$F$1780,F1319,6)</f>
        <v>0</v>
      </c>
      <c r="U1319" s="62" t="n">
        <f aca="false">IF(F1319&gt;0,(Settings!$B$8*T1319+Settings!$B$9*R1319+Settings!$B$10*S1319)/SUM(Settings!$B$8:$B$10),0)</f>
        <v>0</v>
      </c>
      <c r="V1319" s="56" t="str">
        <f aca="false">IF(U1319&gt;0,RANK(U1319,$U$2:$U$1780)+COUNTIF($U$2:U1319,U1319)-1,"")</f>
        <v/>
      </c>
      <c r="W1319" s="56" t="str">
        <f aca="false">IF(V1319="","",IF(V1319&lt;=Settings!$B$11,"1 - Fix first",IF(V1319&lt;=Settings!$B$12,"2 - Review","3 - Monitor")))</f>
        <v/>
      </c>
      <c r="X1319" s="56" t="str">
        <f aca="false">IF(AND(E1319&gt;=Settings!$B$4,F1319&gt;=Settings!$B$5,O1319&gt;=Settings!$B$6),"HIGH RATE","")</f>
        <v/>
      </c>
      <c r="Y1319" s="56" t="str">
        <f aca="false">IF(F1319&gt;0,RANK(F1319,$F$2:$F$1780)+COUNTIF($F$2:F1319,F1319)-1,"")</f>
        <v/>
      </c>
      <c r="Z1319" s="56" t="str">
        <f aca="false">IF(H1319&gt;0,RANK(H1319,$H$2:$H$1780)+COUNTIF($H$2:H1319,H1319)-1,"")</f>
        <v/>
      </c>
      <c r="AA1319" s="56" t="str">
        <f aca="false">IF(AC1319="","",RANK(AC1319,$AC$2:$AC$1780)+COUNTIF($AC$2:AC1319,AC1319)-1)</f>
        <v/>
      </c>
      <c r="AB1319" s="56" t="str">
        <f aca="false">IF(AD1319="","",RANK(AD1319,$AD$2:$AD$1780)+COUNTIF($AD$2:AD1319,AD1319)-1)</f>
        <v/>
      </c>
      <c r="AC1319" s="56" t="str">
        <f aca="false">IF(AND(F1319&gt;0,E1319&gt;=Settings!$B$4),J1319,"")</f>
        <v/>
      </c>
      <c r="AD1319" s="56" t="str">
        <f aca="false">IF(X1319="HIGH RATE",O1319,"")</f>
        <v/>
      </c>
    </row>
    <row r="1320" customFormat="false" ht="15" hidden="false" customHeight="false" outlineLevel="0" collapsed="false">
      <c r="A1320" s="56" t="s">
        <v>2710</v>
      </c>
      <c r="B1320" s="56" t="s">
        <v>2711</v>
      </c>
      <c r="C1320" s="56" t="s">
        <v>755</v>
      </c>
      <c r="D1320" s="56" t="str">
        <f aca="false">IFERROR(INDEX('Brand Map'!$B$4:$B$124,MATCH(C1320,'Brand Map'!$A$4:$A$124,0)),"Other")</f>
        <v>Other (small prefixes)</v>
      </c>
      <c r="E1320" s="57" t="n">
        <v>2</v>
      </c>
      <c r="F1320" s="57" t="n">
        <v>0</v>
      </c>
      <c r="G1320" s="58" t="n">
        <v>79.9</v>
      </c>
      <c r="H1320" s="58" t="n">
        <v>0</v>
      </c>
      <c r="I1320" s="58" t="n">
        <v>79.9</v>
      </c>
      <c r="J1320" s="32" t="n">
        <f aca="false">IF(E1320&gt;0,F1320/E1320,0)</f>
        <v>0</v>
      </c>
      <c r="K1320" s="32" t="n">
        <f aca="false">IF(G1320&gt;0,H1320/G1320,0)</f>
        <v>-0</v>
      </c>
      <c r="L1320" s="59" t="n">
        <f aca="false">H1320/Settings!$B$16</f>
        <v>-0</v>
      </c>
      <c r="M1320" s="59" t="n">
        <f aca="false">H1320/Settings!$B$20</f>
        <v>-0</v>
      </c>
      <c r="N1320" s="60" t="n">
        <f aca="false">E1320*Settings!$B$3</f>
        <v>0.0619723021596408</v>
      </c>
      <c r="O1320" s="60" t="n">
        <f aca="false">IF(E1320&gt;0,(F1320-N1320)/SQRT(E1320*Settings!$B$3*(1-Settings!$B$3)),0)</f>
        <v>-0.252891261535318</v>
      </c>
      <c r="P1320" s="60" t="n">
        <f aca="false">MAX(0,F1320-N1320)</f>
        <v>0</v>
      </c>
      <c r="Q1320" s="32" t="n">
        <f aca="false">(F1320+Settings!$B$7*Settings!$B$3)/(E1320+Settings!$B$7)</f>
        <v>0.0290495166373316</v>
      </c>
      <c r="R1320" s="61" t="n">
        <f aca="false">PERCENTRANK($H$2:$H$1780,H1320,6)</f>
        <v>0</v>
      </c>
      <c r="S1320" s="61" t="n">
        <f aca="false">PERCENTRANK($Q$2:$Q$1780,Q1320,6)</f>
        <v>0.365579</v>
      </c>
      <c r="T1320" s="61" t="n">
        <f aca="false">PERCENTRANK($F$2:$F$1780,F1320,6)</f>
        <v>0</v>
      </c>
      <c r="U1320" s="62" t="n">
        <f aca="false">IF(F1320&gt;0,(Settings!$B$8*T1320+Settings!$B$9*R1320+Settings!$B$10*S1320)/SUM(Settings!$B$8:$B$10),0)</f>
        <v>0</v>
      </c>
      <c r="V1320" s="56" t="str">
        <f aca="false">IF(U1320&gt;0,RANK(U1320,$U$2:$U$1780)+COUNTIF($U$2:U1320,U1320)-1,"")</f>
        <v/>
      </c>
      <c r="W1320" s="56" t="str">
        <f aca="false">IF(V1320="","",IF(V1320&lt;=Settings!$B$11,"1 - Fix first",IF(V1320&lt;=Settings!$B$12,"2 - Review","3 - Monitor")))</f>
        <v/>
      </c>
      <c r="X1320" s="56" t="str">
        <f aca="false">IF(AND(E1320&gt;=Settings!$B$4,F1320&gt;=Settings!$B$5,O1320&gt;=Settings!$B$6),"HIGH RATE","")</f>
        <v/>
      </c>
      <c r="Y1320" s="56" t="str">
        <f aca="false">IF(F1320&gt;0,RANK(F1320,$F$2:$F$1780)+COUNTIF($F$2:F1320,F1320)-1,"")</f>
        <v/>
      </c>
      <c r="Z1320" s="56" t="str">
        <f aca="false">IF(H1320&gt;0,RANK(H1320,$H$2:$H$1780)+COUNTIF($H$2:H1320,H1320)-1,"")</f>
        <v/>
      </c>
      <c r="AA1320" s="56" t="str">
        <f aca="false">IF(AC1320="","",RANK(AC1320,$AC$2:$AC$1780)+COUNTIF($AC$2:AC1320,AC1320)-1)</f>
        <v/>
      </c>
      <c r="AB1320" s="56" t="str">
        <f aca="false">IF(AD1320="","",RANK(AD1320,$AD$2:$AD$1780)+COUNTIF($AD$2:AD1320,AD1320)-1)</f>
        <v/>
      </c>
      <c r="AC1320" s="56" t="str">
        <f aca="false">IF(AND(F1320&gt;0,E1320&gt;=Settings!$B$4),J1320,"")</f>
        <v/>
      </c>
      <c r="AD1320" s="56" t="str">
        <f aca="false">IF(X1320="HIGH RATE",O1320,"")</f>
        <v/>
      </c>
    </row>
    <row r="1321" customFormat="false" ht="15" hidden="false" customHeight="false" outlineLevel="0" collapsed="false">
      <c r="A1321" s="56" t="s">
        <v>2712</v>
      </c>
      <c r="B1321" s="56" t="s">
        <v>757</v>
      </c>
      <c r="C1321" s="56" t="s">
        <v>755</v>
      </c>
      <c r="D1321" s="56" t="str">
        <f aca="false">IFERROR(INDEX('Brand Map'!$B$4:$B$124,MATCH(C1321,'Brand Map'!$A$4:$A$124,0)),"Other")</f>
        <v>Other (small prefixes)</v>
      </c>
      <c r="E1321" s="57" t="n">
        <v>1</v>
      </c>
      <c r="F1321" s="57" t="n">
        <v>0</v>
      </c>
      <c r="G1321" s="58" t="n">
        <v>64.95</v>
      </c>
      <c r="H1321" s="58" t="n">
        <v>0</v>
      </c>
      <c r="I1321" s="58" t="n">
        <v>64.95</v>
      </c>
      <c r="J1321" s="32" t="n">
        <f aca="false">IF(E1321&gt;0,F1321/E1321,0)</f>
        <v>0</v>
      </c>
      <c r="K1321" s="32" t="n">
        <f aca="false">IF(G1321&gt;0,H1321/G1321,0)</f>
        <v>-0</v>
      </c>
      <c r="L1321" s="59" t="n">
        <f aca="false">H1321/Settings!$B$16</f>
        <v>-0</v>
      </c>
      <c r="M1321" s="59" t="n">
        <f aca="false">H1321/Settings!$B$20</f>
        <v>-0</v>
      </c>
      <c r="N1321" s="60" t="n">
        <f aca="false">E1321*Settings!$B$3</f>
        <v>0.0309861510798204</v>
      </c>
      <c r="O1321" s="60" t="n">
        <f aca="false">IF(E1321&gt;0,(F1321-N1321)/SQRT(E1321*Settings!$B$3*(1-Settings!$B$3)),0)</f>
        <v>-0.178821125934444</v>
      </c>
      <c r="P1321" s="60" t="n">
        <f aca="false">MAX(0,F1321-N1321)</f>
        <v>0</v>
      </c>
      <c r="Q1321" s="32" t="n">
        <f aca="false">(F1321+Settings!$B$7*Settings!$B$3)/(E1321+Settings!$B$7)</f>
        <v>0.0299865978191811</v>
      </c>
      <c r="R1321" s="61" t="n">
        <f aca="false">PERCENTRANK($H$2:$H$1780,H1321,6)</f>
        <v>0</v>
      </c>
      <c r="S1321" s="61" t="n">
        <f aca="false">PERCENTRANK($Q$2:$Q$1780,Q1321,6)</f>
        <v>0.486502</v>
      </c>
      <c r="T1321" s="61" t="n">
        <f aca="false">PERCENTRANK($F$2:$F$1780,F1321,6)</f>
        <v>0</v>
      </c>
      <c r="U1321" s="62" t="n">
        <f aca="false">IF(F1321&gt;0,(Settings!$B$8*T1321+Settings!$B$9*R1321+Settings!$B$10*S1321)/SUM(Settings!$B$8:$B$10),0)</f>
        <v>0</v>
      </c>
      <c r="V1321" s="56" t="str">
        <f aca="false">IF(U1321&gt;0,RANK(U1321,$U$2:$U$1780)+COUNTIF($U$2:U1321,U1321)-1,"")</f>
        <v/>
      </c>
      <c r="W1321" s="56" t="str">
        <f aca="false">IF(V1321="","",IF(V1321&lt;=Settings!$B$11,"1 - Fix first",IF(V1321&lt;=Settings!$B$12,"2 - Review","3 - Monitor")))</f>
        <v/>
      </c>
      <c r="X1321" s="56" t="str">
        <f aca="false">IF(AND(E1321&gt;=Settings!$B$4,F1321&gt;=Settings!$B$5,O1321&gt;=Settings!$B$6),"HIGH RATE","")</f>
        <v/>
      </c>
      <c r="Y1321" s="56" t="str">
        <f aca="false">IF(F1321&gt;0,RANK(F1321,$F$2:$F$1780)+COUNTIF($F$2:F1321,F1321)-1,"")</f>
        <v/>
      </c>
      <c r="Z1321" s="56" t="str">
        <f aca="false">IF(H1321&gt;0,RANK(H1321,$H$2:$H$1780)+COUNTIF($H$2:H1321,H1321)-1,"")</f>
        <v/>
      </c>
      <c r="AA1321" s="56" t="str">
        <f aca="false">IF(AC1321="","",RANK(AC1321,$AC$2:$AC$1780)+COUNTIF($AC$2:AC1321,AC1321)-1)</f>
        <v/>
      </c>
      <c r="AB1321" s="56" t="str">
        <f aca="false">IF(AD1321="","",RANK(AD1321,$AD$2:$AD$1780)+COUNTIF($AD$2:AD1321,AD1321)-1)</f>
        <v/>
      </c>
      <c r="AC1321" s="56" t="str">
        <f aca="false">IF(AND(F1321&gt;0,E1321&gt;=Settings!$B$4),J1321,"")</f>
        <v/>
      </c>
      <c r="AD1321" s="56" t="str">
        <f aca="false">IF(X1321="HIGH RATE",O1321,"")</f>
        <v/>
      </c>
    </row>
    <row r="1322" customFormat="false" ht="15" hidden="false" customHeight="false" outlineLevel="0" collapsed="false">
      <c r="A1322" s="56" t="s">
        <v>756</v>
      </c>
      <c r="B1322" s="56" t="s">
        <v>757</v>
      </c>
      <c r="C1322" s="56" t="s">
        <v>755</v>
      </c>
      <c r="D1322" s="56" t="str">
        <f aca="false">IFERROR(INDEX('Brand Map'!$B$4:$B$124,MATCH(C1322,'Brand Map'!$A$4:$A$124,0)),"Other")</f>
        <v>Other (small prefixes)</v>
      </c>
      <c r="E1322" s="57" t="n">
        <v>3</v>
      </c>
      <c r="F1322" s="57" t="n">
        <v>0</v>
      </c>
      <c r="G1322" s="58" t="n">
        <v>149.85</v>
      </c>
      <c r="H1322" s="58" t="n">
        <v>0</v>
      </c>
      <c r="I1322" s="58" t="n">
        <v>149.85</v>
      </c>
      <c r="J1322" s="32" t="n">
        <f aca="false">IF(E1322&gt;0,F1322/E1322,0)</f>
        <v>0</v>
      </c>
      <c r="K1322" s="32" t="n">
        <f aca="false">IF(G1322&gt;0,H1322/G1322,0)</f>
        <v>-0</v>
      </c>
      <c r="L1322" s="59" t="n">
        <f aca="false">H1322/Settings!$B$16</f>
        <v>-0</v>
      </c>
      <c r="M1322" s="59" t="n">
        <f aca="false">H1322/Settings!$B$20</f>
        <v>-0</v>
      </c>
      <c r="N1322" s="60" t="n">
        <f aca="false">E1322*Settings!$B$3</f>
        <v>0.0929584532394613</v>
      </c>
      <c r="O1322" s="60" t="n">
        <f aca="false">IF(E1322&gt;0,(F1322-N1322)/SQRT(E1322*Settings!$B$3*(1-Settings!$B$3)),0)</f>
        <v>-0.30972727558513</v>
      </c>
      <c r="P1322" s="60" t="n">
        <f aca="false">MAX(0,F1322-N1322)</f>
        <v>0</v>
      </c>
      <c r="Q1322" s="32" t="n">
        <f aca="false">(F1322+Settings!$B$7*Settings!$B$3)/(E1322+Settings!$B$7)</f>
        <v>0.0281692282543822</v>
      </c>
      <c r="R1322" s="61" t="n">
        <f aca="false">PERCENTRANK($H$2:$H$1780,H1322,6)</f>
        <v>0</v>
      </c>
      <c r="S1322" s="61" t="n">
        <f aca="false">PERCENTRANK($Q$2:$Q$1780,Q1322,6)</f>
        <v>0.294151</v>
      </c>
      <c r="T1322" s="61" t="n">
        <f aca="false">PERCENTRANK($F$2:$F$1780,F1322,6)</f>
        <v>0</v>
      </c>
      <c r="U1322" s="62" t="n">
        <f aca="false">IF(F1322&gt;0,(Settings!$B$8*T1322+Settings!$B$9*R1322+Settings!$B$10*S1322)/SUM(Settings!$B$8:$B$10),0)</f>
        <v>0</v>
      </c>
      <c r="V1322" s="56" t="str">
        <f aca="false">IF(U1322&gt;0,RANK(U1322,$U$2:$U$1780)+COUNTIF($U$2:U1322,U1322)-1,"")</f>
        <v/>
      </c>
      <c r="W1322" s="56" t="str">
        <f aca="false">IF(V1322="","",IF(V1322&lt;=Settings!$B$11,"1 - Fix first",IF(V1322&lt;=Settings!$B$12,"2 - Review","3 - Monitor")))</f>
        <v/>
      </c>
      <c r="X1322" s="56" t="str">
        <f aca="false">IF(AND(E1322&gt;=Settings!$B$4,F1322&gt;=Settings!$B$5,O1322&gt;=Settings!$B$6),"HIGH RATE","")</f>
        <v/>
      </c>
      <c r="Y1322" s="56" t="str">
        <f aca="false">IF(F1322&gt;0,RANK(F1322,$F$2:$F$1780)+COUNTIF($F$2:F1322,F1322)-1,"")</f>
        <v/>
      </c>
      <c r="Z1322" s="56" t="str">
        <f aca="false">IF(H1322&gt;0,RANK(H1322,$H$2:$H$1780)+COUNTIF($H$2:H1322,H1322)-1,"")</f>
        <v/>
      </c>
      <c r="AA1322" s="56" t="str">
        <f aca="false">IF(AC1322="","",RANK(AC1322,$AC$2:$AC$1780)+COUNTIF($AC$2:AC1322,AC1322)-1)</f>
        <v/>
      </c>
      <c r="AB1322" s="56" t="str">
        <f aca="false">IF(AD1322="","",RANK(AD1322,$AD$2:$AD$1780)+COUNTIF($AD$2:AD1322,AD1322)-1)</f>
        <v/>
      </c>
      <c r="AC1322" s="56" t="str">
        <f aca="false">IF(AND(F1322&gt;0,E1322&gt;=Settings!$B$4),J1322,"")</f>
        <v/>
      </c>
      <c r="AD1322" s="56" t="str">
        <f aca="false">IF(X1322="HIGH RATE",O1322,"")</f>
        <v/>
      </c>
    </row>
    <row r="1323" customFormat="false" ht="15" hidden="false" customHeight="false" outlineLevel="0" collapsed="false">
      <c r="A1323" s="56" t="s">
        <v>2713</v>
      </c>
      <c r="B1323" s="56" t="s">
        <v>2714</v>
      </c>
      <c r="C1323" s="56" t="s">
        <v>577</v>
      </c>
      <c r="D1323" s="56" t="str">
        <f aca="false">IFERROR(INDEX('Brand Map'!$B$4:$B$124,MATCH(C1323,'Brand Map'!$A$4:$A$124,0)),"Other")</f>
        <v>Free / add-on / admin items</v>
      </c>
      <c r="E1323" s="57" t="n">
        <v>2950</v>
      </c>
      <c r="F1323" s="57" t="n">
        <v>0</v>
      </c>
      <c r="G1323" s="58" t="n">
        <v>2950</v>
      </c>
      <c r="H1323" s="58" t="n">
        <v>0</v>
      </c>
      <c r="I1323" s="58" t="n">
        <v>2950</v>
      </c>
      <c r="J1323" s="32" t="n">
        <f aca="false">IF(E1323&gt;0,F1323/E1323,0)</f>
        <v>0</v>
      </c>
      <c r="K1323" s="32" t="n">
        <f aca="false">IF(G1323&gt;0,H1323/G1323,0)</f>
        <v>-0</v>
      </c>
      <c r="L1323" s="59" t="n">
        <f aca="false">H1323/Settings!$B$16</f>
        <v>-0</v>
      </c>
      <c r="M1323" s="59" t="n">
        <f aca="false">H1323/Settings!$B$20</f>
        <v>-0</v>
      </c>
      <c r="N1323" s="60" t="n">
        <f aca="false">E1323*Settings!$B$3</f>
        <v>91.4091456854702</v>
      </c>
      <c r="O1323" s="60" t="n">
        <f aca="false">IF(E1323&gt;0,(F1323-N1323)/SQRT(E1323*Settings!$B$3*(1-Settings!$B$3)),0)</f>
        <v>-9.71247319107568</v>
      </c>
      <c r="P1323" s="60" t="n">
        <f aca="false">MAX(0,F1323-N1323)</f>
        <v>0</v>
      </c>
      <c r="Q1323" s="32" t="n">
        <f aca="false">(F1323+Settings!$B$7*Settings!$B$3)/(E1323+Settings!$B$7)</f>
        <v>0.000311941118253226</v>
      </c>
      <c r="R1323" s="61" t="n">
        <f aca="false">PERCENTRANK($H$2:$H$1780,H1323,6)</f>
        <v>0</v>
      </c>
      <c r="S1323" s="61" t="n">
        <f aca="false">PERCENTRANK($Q$2:$Q$1780,Q1323,6)</f>
        <v>0.00112486</v>
      </c>
      <c r="T1323" s="61" t="n">
        <f aca="false">PERCENTRANK($F$2:$F$1780,F1323,6)</f>
        <v>0</v>
      </c>
      <c r="U1323" s="62" t="n">
        <f aca="false">IF(F1323&gt;0,(Settings!$B$8*T1323+Settings!$B$9*R1323+Settings!$B$10*S1323)/SUM(Settings!$B$8:$B$10),0)</f>
        <v>0</v>
      </c>
      <c r="V1323" s="56" t="str">
        <f aca="false">IF(U1323&gt;0,RANK(U1323,$U$2:$U$1780)+COUNTIF($U$2:U1323,U1323)-1,"")</f>
        <v/>
      </c>
      <c r="W1323" s="56" t="str">
        <f aca="false">IF(V1323="","",IF(V1323&lt;=Settings!$B$11,"1 - Fix first",IF(V1323&lt;=Settings!$B$12,"2 - Review","3 - Monitor")))</f>
        <v/>
      </c>
      <c r="X1323" s="56" t="str">
        <f aca="false">IF(AND(E1323&gt;=Settings!$B$4,F1323&gt;=Settings!$B$5,O1323&gt;=Settings!$B$6),"HIGH RATE","")</f>
        <v/>
      </c>
      <c r="Y1323" s="56" t="str">
        <f aca="false">IF(F1323&gt;0,RANK(F1323,$F$2:$F$1780)+COUNTIF($F$2:F1323,F1323)-1,"")</f>
        <v/>
      </c>
      <c r="Z1323" s="56" t="str">
        <f aca="false">IF(H1323&gt;0,RANK(H1323,$H$2:$H$1780)+COUNTIF($H$2:H1323,H1323)-1,"")</f>
        <v/>
      </c>
      <c r="AA1323" s="56" t="str">
        <f aca="false">IF(AC1323="","",RANK(AC1323,$AC$2:$AC$1780)+COUNTIF($AC$2:AC1323,AC1323)-1)</f>
        <v/>
      </c>
      <c r="AB1323" s="56" t="str">
        <f aca="false">IF(AD1323="","",RANK(AD1323,$AD$2:$AD$1780)+COUNTIF($AD$2:AD1323,AD1323)-1)</f>
        <v/>
      </c>
      <c r="AC1323" s="56" t="str">
        <f aca="false">IF(AND(F1323&gt;0,E1323&gt;=Settings!$B$4),J1323,"")</f>
        <v/>
      </c>
      <c r="AD1323" s="56" t="str">
        <f aca="false">IF(X1323="HIGH RATE",O1323,"")</f>
        <v/>
      </c>
    </row>
    <row r="1324" customFormat="false" ht="15" hidden="false" customHeight="false" outlineLevel="0" collapsed="false">
      <c r="A1324" s="56" t="s">
        <v>578</v>
      </c>
      <c r="B1324" s="56" t="s">
        <v>579</v>
      </c>
      <c r="C1324" s="56" t="s">
        <v>577</v>
      </c>
      <c r="D1324" s="56" t="str">
        <f aca="false">IFERROR(INDEX('Brand Map'!$B$4:$B$124,MATCH(C1324,'Brand Map'!$A$4:$A$124,0)),"Other")</f>
        <v>Free / add-on / admin items</v>
      </c>
      <c r="E1324" s="57" t="n">
        <v>53079</v>
      </c>
      <c r="F1324" s="57" t="n">
        <v>0</v>
      </c>
      <c r="G1324" s="58" t="n">
        <v>53079</v>
      </c>
      <c r="H1324" s="58" t="n">
        <v>0</v>
      </c>
      <c r="I1324" s="58" t="n">
        <v>53079</v>
      </c>
      <c r="J1324" s="32" t="n">
        <f aca="false">IF(E1324&gt;0,F1324/E1324,0)</f>
        <v>0</v>
      </c>
      <c r="K1324" s="32" t="n">
        <f aca="false">IF(G1324&gt;0,H1324/G1324,0)</f>
        <v>-0</v>
      </c>
      <c r="L1324" s="59" t="n">
        <f aca="false">H1324/Settings!$B$16</f>
        <v>-0</v>
      </c>
      <c r="M1324" s="59" t="n">
        <f aca="false">H1324/Settings!$B$20</f>
        <v>-0</v>
      </c>
      <c r="N1324" s="60" t="n">
        <f aca="false">E1324*Settings!$B$3</f>
        <v>1644.71391316579</v>
      </c>
      <c r="O1324" s="60" t="n">
        <f aca="false">IF(E1324&gt;0,(F1324-N1324)/SQRT(E1324*Settings!$B$3*(1-Settings!$B$3)),0)</f>
        <v>-41.1983849425661</v>
      </c>
      <c r="P1324" s="60" t="n">
        <f aca="false">MAX(0,F1324-N1324)</f>
        <v>0</v>
      </c>
      <c r="Q1324" s="32" t="n">
        <f aca="false">(F1324+Settings!$B$7*Settings!$B$3)/(E1324+Settings!$B$7)</f>
        <v>1.7503333378422E-005</v>
      </c>
      <c r="R1324" s="61" t="n">
        <f aca="false">PERCENTRANK($H$2:$H$1780,H1324,6)</f>
        <v>0</v>
      </c>
      <c r="S1324" s="61" t="n">
        <f aca="false">PERCENTRANK($Q$2:$Q$1780,Q1324,6)</f>
        <v>0</v>
      </c>
      <c r="T1324" s="61" t="n">
        <f aca="false">PERCENTRANK($F$2:$F$1780,F1324,6)</f>
        <v>0</v>
      </c>
      <c r="U1324" s="62" t="n">
        <f aca="false">IF(F1324&gt;0,(Settings!$B$8*T1324+Settings!$B$9*R1324+Settings!$B$10*S1324)/SUM(Settings!$B$8:$B$10),0)</f>
        <v>0</v>
      </c>
      <c r="V1324" s="56" t="str">
        <f aca="false">IF(U1324&gt;0,RANK(U1324,$U$2:$U$1780)+COUNTIF($U$2:U1324,U1324)-1,"")</f>
        <v/>
      </c>
      <c r="W1324" s="56" t="str">
        <f aca="false">IF(V1324="","",IF(V1324&lt;=Settings!$B$11,"1 - Fix first",IF(V1324&lt;=Settings!$B$12,"2 - Review","3 - Monitor")))</f>
        <v/>
      </c>
      <c r="X1324" s="56" t="str">
        <f aca="false">IF(AND(E1324&gt;=Settings!$B$4,F1324&gt;=Settings!$B$5,O1324&gt;=Settings!$B$6),"HIGH RATE","")</f>
        <v/>
      </c>
      <c r="Y1324" s="56" t="str">
        <f aca="false">IF(F1324&gt;0,RANK(F1324,$F$2:$F$1780)+COUNTIF($F$2:F1324,F1324)-1,"")</f>
        <v/>
      </c>
      <c r="Z1324" s="56" t="str">
        <f aca="false">IF(H1324&gt;0,RANK(H1324,$H$2:$H$1780)+COUNTIF($H$2:H1324,H1324)-1,"")</f>
        <v/>
      </c>
      <c r="AA1324" s="56" t="str">
        <f aca="false">IF(AC1324="","",RANK(AC1324,$AC$2:$AC$1780)+COUNTIF($AC$2:AC1324,AC1324)-1)</f>
        <v/>
      </c>
      <c r="AB1324" s="56" t="str">
        <f aca="false">IF(AD1324="","",RANK(AD1324,$AD$2:$AD$1780)+COUNTIF($AD$2:AD1324,AD1324)-1)</f>
        <v/>
      </c>
      <c r="AC1324" s="56" t="str">
        <f aca="false">IF(AND(F1324&gt;0,E1324&gt;=Settings!$B$4),J1324,"")</f>
        <v/>
      </c>
      <c r="AD1324" s="56" t="str">
        <f aca="false">IF(X1324="HIGH RATE",O1324,"")</f>
        <v/>
      </c>
    </row>
    <row r="1325" customFormat="false" ht="15" hidden="false" customHeight="false" outlineLevel="0" collapsed="false">
      <c r="A1325" s="56" t="s">
        <v>705</v>
      </c>
      <c r="B1325" s="56" t="s">
        <v>706</v>
      </c>
      <c r="C1325" s="56" t="s">
        <v>704</v>
      </c>
      <c r="D1325" s="56" t="str">
        <f aca="false">IFERROR(INDEX('Brand Map'!$B$4:$B$124,MATCH(C1325,'Brand Map'!$A$4:$A$124,0)),"Other")</f>
        <v>Other (small prefixes)</v>
      </c>
      <c r="E1325" s="57" t="n">
        <v>21</v>
      </c>
      <c r="F1325" s="57" t="n">
        <v>0</v>
      </c>
      <c r="G1325" s="58" t="n">
        <v>2446.38</v>
      </c>
      <c r="H1325" s="58" t="n">
        <v>0</v>
      </c>
      <c r="I1325" s="58" t="n">
        <v>2427.99</v>
      </c>
      <c r="J1325" s="32" t="n">
        <f aca="false">IF(E1325&gt;0,F1325/E1325,0)</f>
        <v>0</v>
      </c>
      <c r="K1325" s="32" t="n">
        <f aca="false">IF(G1325&gt;0,H1325/G1325,0)</f>
        <v>-0</v>
      </c>
      <c r="L1325" s="59" t="n">
        <f aca="false">H1325/Settings!$B$16</f>
        <v>-0</v>
      </c>
      <c r="M1325" s="59" t="n">
        <f aca="false">H1325/Settings!$B$20</f>
        <v>-0</v>
      </c>
      <c r="N1325" s="60" t="n">
        <f aca="false">E1325*Settings!$B$3</f>
        <v>0.650709172676229</v>
      </c>
      <c r="O1325" s="60" t="n">
        <f aca="false">IF(E1325&gt;0,(F1325-N1325)/SQRT(E1325*Settings!$B$3*(1-Settings!$B$3)),0)</f>
        <v>-0.819461345451821</v>
      </c>
      <c r="P1325" s="60" t="n">
        <f aca="false">MAX(0,F1325-N1325)</f>
        <v>0</v>
      </c>
      <c r="Q1325" s="32" t="n">
        <f aca="false">(F1325+Settings!$B$7*Settings!$B$3)/(E1325+Settings!$B$7)</f>
        <v>0.018227147694012</v>
      </c>
      <c r="R1325" s="61" t="n">
        <f aca="false">PERCENTRANK($H$2:$H$1780,H1325,6)</f>
        <v>0</v>
      </c>
      <c r="S1325" s="61" t="n">
        <f aca="false">PERCENTRANK($Q$2:$Q$1780,Q1325,6)</f>
        <v>0.0697413</v>
      </c>
      <c r="T1325" s="61" t="n">
        <f aca="false">PERCENTRANK($F$2:$F$1780,F1325,6)</f>
        <v>0</v>
      </c>
      <c r="U1325" s="62" t="n">
        <f aca="false">IF(F1325&gt;0,(Settings!$B$8*T1325+Settings!$B$9*R1325+Settings!$B$10*S1325)/SUM(Settings!$B$8:$B$10),0)</f>
        <v>0</v>
      </c>
      <c r="V1325" s="56" t="str">
        <f aca="false">IF(U1325&gt;0,RANK(U1325,$U$2:$U$1780)+COUNTIF($U$2:U1325,U1325)-1,"")</f>
        <v/>
      </c>
      <c r="W1325" s="56" t="str">
        <f aca="false">IF(V1325="","",IF(V1325&lt;=Settings!$B$11,"1 - Fix first",IF(V1325&lt;=Settings!$B$12,"2 - Review","3 - Monitor")))</f>
        <v/>
      </c>
      <c r="X1325" s="56" t="str">
        <f aca="false">IF(AND(E1325&gt;=Settings!$B$4,F1325&gt;=Settings!$B$5,O1325&gt;=Settings!$B$6),"HIGH RATE","")</f>
        <v/>
      </c>
      <c r="Y1325" s="56" t="str">
        <f aca="false">IF(F1325&gt;0,RANK(F1325,$F$2:$F$1780)+COUNTIF($F$2:F1325,F1325)-1,"")</f>
        <v/>
      </c>
      <c r="Z1325" s="56" t="str">
        <f aca="false">IF(H1325&gt;0,RANK(H1325,$H$2:$H$1780)+COUNTIF($H$2:H1325,H1325)-1,"")</f>
        <v/>
      </c>
      <c r="AA1325" s="56" t="str">
        <f aca="false">IF(AC1325="","",RANK(AC1325,$AC$2:$AC$1780)+COUNTIF($AC$2:AC1325,AC1325)-1)</f>
        <v/>
      </c>
      <c r="AB1325" s="56" t="str">
        <f aca="false">IF(AD1325="","",RANK(AD1325,$AD$2:$AD$1780)+COUNTIF($AD$2:AD1325,AD1325)-1)</f>
        <v/>
      </c>
      <c r="AC1325" s="56" t="str">
        <f aca="false">IF(AND(F1325&gt;0,E1325&gt;=Settings!$B$4),J1325,"")</f>
        <v/>
      </c>
      <c r="AD1325" s="56" t="str">
        <f aca="false">IF(X1325="HIGH RATE",O1325,"")</f>
        <v/>
      </c>
    </row>
    <row r="1326" customFormat="false" ht="15" hidden="false" customHeight="false" outlineLevel="0" collapsed="false">
      <c r="A1326" s="56" t="s">
        <v>249</v>
      </c>
      <c r="B1326" s="56" t="s">
        <v>1292</v>
      </c>
      <c r="C1326" s="56" t="s">
        <v>59</v>
      </c>
      <c r="D1326" s="56" t="str">
        <f aca="false">IFERROR(INDEX('Brand Map'!$B$4:$B$124,MATCH(C1326,'Brand Map'!$A$4:$A$124,0)),"Other")</f>
        <v>DC</v>
      </c>
      <c r="E1326" s="57" t="n">
        <v>1</v>
      </c>
      <c r="F1326" s="57" t="n">
        <v>0</v>
      </c>
      <c r="G1326" s="58" t="n">
        <v>155.95</v>
      </c>
      <c r="H1326" s="58" t="n">
        <v>0</v>
      </c>
      <c r="I1326" s="58" t="n">
        <v>155.95</v>
      </c>
      <c r="J1326" s="32" t="n">
        <f aca="false">IF(E1326&gt;0,F1326/E1326,0)</f>
        <v>0</v>
      </c>
      <c r="K1326" s="32" t="n">
        <f aca="false">IF(G1326&gt;0,H1326/G1326,0)</f>
        <v>-0</v>
      </c>
      <c r="L1326" s="59" t="n">
        <f aca="false">H1326/Settings!$B$16</f>
        <v>-0</v>
      </c>
      <c r="M1326" s="59" t="n">
        <f aca="false">H1326/Settings!$B$20</f>
        <v>-0</v>
      </c>
      <c r="N1326" s="60" t="n">
        <f aca="false">E1326*Settings!$B$3</f>
        <v>0.0309861510798204</v>
      </c>
      <c r="O1326" s="60" t="n">
        <f aca="false">IF(E1326&gt;0,(F1326-N1326)/SQRT(E1326*Settings!$B$3*(1-Settings!$B$3)),0)</f>
        <v>-0.178821125934444</v>
      </c>
      <c r="P1326" s="60" t="n">
        <f aca="false">MAX(0,F1326-N1326)</f>
        <v>0</v>
      </c>
      <c r="Q1326" s="32" t="n">
        <f aca="false">(F1326+Settings!$B$7*Settings!$B$3)/(E1326+Settings!$B$7)</f>
        <v>0.0299865978191811</v>
      </c>
      <c r="R1326" s="61" t="n">
        <f aca="false">PERCENTRANK($H$2:$H$1780,H1326,6)</f>
        <v>0</v>
      </c>
      <c r="S1326" s="61" t="n">
        <f aca="false">PERCENTRANK($Q$2:$Q$1780,Q1326,6)</f>
        <v>0.486502</v>
      </c>
      <c r="T1326" s="61" t="n">
        <f aca="false">PERCENTRANK($F$2:$F$1780,F1326,6)</f>
        <v>0</v>
      </c>
      <c r="U1326" s="62" t="n">
        <f aca="false">IF(F1326&gt;0,(Settings!$B$8*T1326+Settings!$B$9*R1326+Settings!$B$10*S1326)/SUM(Settings!$B$8:$B$10),0)</f>
        <v>0</v>
      </c>
      <c r="V1326" s="56" t="str">
        <f aca="false">IF(U1326&gt;0,RANK(U1326,$U$2:$U$1780)+COUNTIF($U$2:U1326,U1326)-1,"")</f>
        <v/>
      </c>
      <c r="W1326" s="56" t="str">
        <f aca="false">IF(V1326="","",IF(V1326&lt;=Settings!$B$11,"1 - Fix first",IF(V1326&lt;=Settings!$B$12,"2 - Review","3 - Monitor")))</f>
        <v/>
      </c>
      <c r="X1326" s="56" t="str">
        <f aca="false">IF(AND(E1326&gt;=Settings!$B$4,F1326&gt;=Settings!$B$5,O1326&gt;=Settings!$B$6),"HIGH RATE","")</f>
        <v/>
      </c>
      <c r="Y1326" s="56" t="str">
        <f aca="false">IF(F1326&gt;0,RANK(F1326,$F$2:$F$1780)+COUNTIF($F$2:F1326,F1326)-1,"")</f>
        <v/>
      </c>
      <c r="Z1326" s="56" t="str">
        <f aca="false">IF(H1326&gt;0,RANK(H1326,$H$2:$H$1780)+COUNTIF($H$2:H1326,H1326)-1,"")</f>
        <v/>
      </c>
      <c r="AA1326" s="56" t="str">
        <f aca="false">IF(AC1326="","",RANK(AC1326,$AC$2:$AC$1780)+COUNTIF($AC$2:AC1326,AC1326)-1)</f>
        <v/>
      </c>
      <c r="AB1326" s="56" t="str">
        <f aca="false">IF(AD1326="","",RANK(AD1326,$AD$2:$AD$1780)+COUNTIF($AD$2:AD1326,AD1326)-1)</f>
        <v/>
      </c>
      <c r="AC1326" s="56" t="str">
        <f aca="false">IF(AND(F1326&gt;0,E1326&gt;=Settings!$B$4),J1326,"")</f>
        <v/>
      </c>
      <c r="AD1326" s="56" t="str">
        <f aca="false">IF(X1326="HIGH RATE",O1326,"")</f>
        <v/>
      </c>
    </row>
    <row r="1327" customFormat="false" ht="15" hidden="false" customHeight="false" outlineLevel="0" collapsed="false">
      <c r="A1327" s="56" t="s">
        <v>250</v>
      </c>
      <c r="B1327" s="56" t="s">
        <v>1292</v>
      </c>
      <c r="C1327" s="56" t="s">
        <v>59</v>
      </c>
      <c r="D1327" s="56" t="str">
        <f aca="false">IFERROR(INDEX('Brand Map'!$B$4:$B$124,MATCH(C1327,'Brand Map'!$A$4:$A$124,0)),"Other")</f>
        <v>DC</v>
      </c>
      <c r="E1327" s="57" t="n">
        <v>1</v>
      </c>
      <c r="F1327" s="57" t="n">
        <v>0</v>
      </c>
      <c r="G1327" s="58" t="n">
        <v>180.95</v>
      </c>
      <c r="H1327" s="58" t="n">
        <v>0</v>
      </c>
      <c r="I1327" s="58" t="n">
        <v>180.95</v>
      </c>
      <c r="J1327" s="32" t="n">
        <f aca="false">IF(E1327&gt;0,F1327/E1327,0)</f>
        <v>0</v>
      </c>
      <c r="K1327" s="32" t="n">
        <f aca="false">IF(G1327&gt;0,H1327/G1327,0)</f>
        <v>-0</v>
      </c>
      <c r="L1327" s="59" t="n">
        <f aca="false">H1327/Settings!$B$16</f>
        <v>-0</v>
      </c>
      <c r="M1327" s="59" t="n">
        <f aca="false">H1327/Settings!$B$20</f>
        <v>-0</v>
      </c>
      <c r="N1327" s="60" t="n">
        <f aca="false">E1327*Settings!$B$3</f>
        <v>0.0309861510798204</v>
      </c>
      <c r="O1327" s="60" t="n">
        <f aca="false">IF(E1327&gt;0,(F1327-N1327)/SQRT(E1327*Settings!$B$3*(1-Settings!$B$3)),0)</f>
        <v>-0.178821125934444</v>
      </c>
      <c r="P1327" s="60" t="n">
        <f aca="false">MAX(0,F1327-N1327)</f>
        <v>0</v>
      </c>
      <c r="Q1327" s="32" t="n">
        <f aca="false">(F1327+Settings!$B$7*Settings!$B$3)/(E1327+Settings!$B$7)</f>
        <v>0.0299865978191811</v>
      </c>
      <c r="R1327" s="61" t="n">
        <f aca="false">PERCENTRANK($H$2:$H$1780,H1327,6)</f>
        <v>0</v>
      </c>
      <c r="S1327" s="61" t="n">
        <f aca="false">PERCENTRANK($Q$2:$Q$1780,Q1327,6)</f>
        <v>0.486502</v>
      </c>
      <c r="T1327" s="61" t="n">
        <f aca="false">PERCENTRANK($F$2:$F$1780,F1327,6)</f>
        <v>0</v>
      </c>
      <c r="U1327" s="62" t="n">
        <f aca="false">IF(F1327&gt;0,(Settings!$B$8*T1327+Settings!$B$9*R1327+Settings!$B$10*S1327)/SUM(Settings!$B$8:$B$10),0)</f>
        <v>0</v>
      </c>
      <c r="V1327" s="56" t="str">
        <f aca="false">IF(U1327&gt;0,RANK(U1327,$U$2:$U$1780)+COUNTIF($U$2:U1327,U1327)-1,"")</f>
        <v/>
      </c>
      <c r="W1327" s="56" t="str">
        <f aca="false">IF(V1327="","",IF(V1327&lt;=Settings!$B$11,"1 - Fix first",IF(V1327&lt;=Settings!$B$12,"2 - Review","3 - Monitor")))</f>
        <v/>
      </c>
      <c r="X1327" s="56" t="str">
        <f aca="false">IF(AND(E1327&gt;=Settings!$B$4,F1327&gt;=Settings!$B$5,O1327&gt;=Settings!$B$6),"HIGH RATE","")</f>
        <v/>
      </c>
      <c r="Y1327" s="56" t="str">
        <f aca="false">IF(F1327&gt;0,RANK(F1327,$F$2:$F$1780)+COUNTIF($F$2:F1327,F1327)-1,"")</f>
        <v/>
      </c>
      <c r="Z1327" s="56" t="str">
        <f aca="false">IF(H1327&gt;0,RANK(H1327,$H$2:$H$1780)+COUNTIF($H$2:H1327,H1327)-1,"")</f>
        <v/>
      </c>
      <c r="AA1327" s="56" t="str">
        <f aca="false">IF(AC1327="","",RANK(AC1327,$AC$2:$AC$1780)+COUNTIF($AC$2:AC1327,AC1327)-1)</f>
        <v/>
      </c>
      <c r="AB1327" s="56" t="str">
        <f aca="false">IF(AD1327="","",RANK(AD1327,$AD$2:$AD$1780)+COUNTIF($AD$2:AD1327,AD1327)-1)</f>
        <v/>
      </c>
      <c r="AC1327" s="56" t="str">
        <f aca="false">IF(AND(F1327&gt;0,E1327&gt;=Settings!$B$4),J1327,"")</f>
        <v/>
      </c>
      <c r="AD1327" s="56" t="str">
        <f aca="false">IF(X1327="HIGH RATE",O1327,"")</f>
        <v/>
      </c>
    </row>
    <row r="1328" customFormat="false" ht="15" hidden="false" customHeight="false" outlineLevel="0" collapsed="false">
      <c r="A1328" s="56" t="s">
        <v>251</v>
      </c>
      <c r="B1328" s="56" t="s">
        <v>2715</v>
      </c>
      <c r="C1328" s="56" t="s">
        <v>59</v>
      </c>
      <c r="D1328" s="56" t="str">
        <f aca="false">IFERROR(INDEX('Brand Map'!$B$4:$B$124,MATCH(C1328,'Brand Map'!$A$4:$A$124,0)),"Other")</f>
        <v>DC</v>
      </c>
      <c r="E1328" s="57" t="n">
        <v>1</v>
      </c>
      <c r="F1328" s="57" t="n">
        <v>0</v>
      </c>
      <c r="G1328" s="58" t="n">
        <v>112.7</v>
      </c>
      <c r="H1328" s="58" t="n">
        <v>0</v>
      </c>
      <c r="I1328" s="58" t="n">
        <v>112.7</v>
      </c>
      <c r="J1328" s="32" t="n">
        <f aca="false">IF(E1328&gt;0,F1328/E1328,0)</f>
        <v>0</v>
      </c>
      <c r="K1328" s="32" t="n">
        <f aca="false">IF(G1328&gt;0,H1328/G1328,0)</f>
        <v>-0</v>
      </c>
      <c r="L1328" s="59" t="n">
        <f aca="false">H1328/Settings!$B$16</f>
        <v>-0</v>
      </c>
      <c r="M1328" s="59" t="n">
        <f aca="false">H1328/Settings!$B$20</f>
        <v>-0</v>
      </c>
      <c r="N1328" s="60" t="n">
        <f aca="false">E1328*Settings!$B$3</f>
        <v>0.0309861510798204</v>
      </c>
      <c r="O1328" s="60" t="n">
        <f aca="false">IF(E1328&gt;0,(F1328-N1328)/SQRT(E1328*Settings!$B$3*(1-Settings!$B$3)),0)</f>
        <v>-0.178821125934444</v>
      </c>
      <c r="P1328" s="60" t="n">
        <f aca="false">MAX(0,F1328-N1328)</f>
        <v>0</v>
      </c>
      <c r="Q1328" s="32" t="n">
        <f aca="false">(F1328+Settings!$B$7*Settings!$B$3)/(E1328+Settings!$B$7)</f>
        <v>0.0299865978191811</v>
      </c>
      <c r="R1328" s="61" t="n">
        <f aca="false">PERCENTRANK($H$2:$H$1780,H1328,6)</f>
        <v>0</v>
      </c>
      <c r="S1328" s="61" t="n">
        <f aca="false">PERCENTRANK($Q$2:$Q$1780,Q1328,6)</f>
        <v>0.486502</v>
      </c>
      <c r="T1328" s="61" t="n">
        <f aca="false">PERCENTRANK($F$2:$F$1780,F1328,6)</f>
        <v>0</v>
      </c>
      <c r="U1328" s="62" t="n">
        <f aca="false">IF(F1328&gt;0,(Settings!$B$8*T1328+Settings!$B$9*R1328+Settings!$B$10*S1328)/SUM(Settings!$B$8:$B$10),0)</f>
        <v>0</v>
      </c>
      <c r="V1328" s="56" t="str">
        <f aca="false">IF(U1328&gt;0,RANK(U1328,$U$2:$U$1780)+COUNTIF($U$2:U1328,U1328)-1,"")</f>
        <v/>
      </c>
      <c r="W1328" s="56" t="str">
        <f aca="false">IF(V1328="","",IF(V1328&lt;=Settings!$B$11,"1 - Fix first",IF(V1328&lt;=Settings!$B$12,"2 - Review","3 - Monitor")))</f>
        <v/>
      </c>
      <c r="X1328" s="56" t="str">
        <f aca="false">IF(AND(E1328&gt;=Settings!$B$4,F1328&gt;=Settings!$B$5,O1328&gt;=Settings!$B$6),"HIGH RATE","")</f>
        <v/>
      </c>
      <c r="Y1328" s="56" t="str">
        <f aca="false">IF(F1328&gt;0,RANK(F1328,$F$2:$F$1780)+COUNTIF($F$2:F1328,F1328)-1,"")</f>
        <v/>
      </c>
      <c r="Z1328" s="56" t="str">
        <f aca="false">IF(H1328&gt;0,RANK(H1328,$H$2:$H$1780)+COUNTIF($H$2:H1328,H1328)-1,"")</f>
        <v/>
      </c>
      <c r="AA1328" s="56" t="str">
        <f aca="false">IF(AC1328="","",RANK(AC1328,$AC$2:$AC$1780)+COUNTIF($AC$2:AC1328,AC1328)-1)</f>
        <v/>
      </c>
      <c r="AB1328" s="56" t="str">
        <f aca="false">IF(AD1328="","",RANK(AD1328,$AD$2:$AD$1780)+COUNTIF($AD$2:AD1328,AD1328)-1)</f>
        <v/>
      </c>
      <c r="AC1328" s="56" t="str">
        <f aca="false">IF(AND(F1328&gt;0,E1328&gt;=Settings!$B$4),J1328,"")</f>
        <v/>
      </c>
      <c r="AD1328" s="56" t="str">
        <f aca="false">IF(X1328="HIGH RATE",O1328,"")</f>
        <v/>
      </c>
    </row>
    <row r="1329" customFormat="false" ht="15" hidden="false" customHeight="false" outlineLevel="0" collapsed="false">
      <c r="A1329" s="56" t="s">
        <v>252</v>
      </c>
      <c r="B1329" s="56" t="s">
        <v>2716</v>
      </c>
      <c r="C1329" s="56" t="s">
        <v>59</v>
      </c>
      <c r="D1329" s="56" t="str">
        <f aca="false">IFERROR(INDEX('Brand Map'!$B$4:$B$124,MATCH(C1329,'Brand Map'!$A$4:$A$124,0)),"Other")</f>
        <v>DC</v>
      </c>
      <c r="E1329" s="57" t="n">
        <v>1</v>
      </c>
      <c r="F1329" s="57" t="n">
        <v>0</v>
      </c>
      <c r="G1329" s="58" t="n">
        <v>119.95</v>
      </c>
      <c r="H1329" s="58" t="n">
        <v>0</v>
      </c>
      <c r="I1329" s="58" t="n">
        <v>119.95</v>
      </c>
      <c r="J1329" s="32" t="n">
        <f aca="false">IF(E1329&gt;0,F1329/E1329,0)</f>
        <v>0</v>
      </c>
      <c r="K1329" s="32" t="n">
        <f aca="false">IF(G1329&gt;0,H1329/G1329,0)</f>
        <v>-0</v>
      </c>
      <c r="L1329" s="59" t="n">
        <f aca="false">H1329/Settings!$B$16</f>
        <v>-0</v>
      </c>
      <c r="M1329" s="59" t="n">
        <f aca="false">H1329/Settings!$B$20</f>
        <v>-0</v>
      </c>
      <c r="N1329" s="60" t="n">
        <f aca="false">E1329*Settings!$B$3</f>
        <v>0.0309861510798204</v>
      </c>
      <c r="O1329" s="60" t="n">
        <f aca="false">IF(E1329&gt;0,(F1329-N1329)/SQRT(E1329*Settings!$B$3*(1-Settings!$B$3)),0)</f>
        <v>-0.178821125934444</v>
      </c>
      <c r="P1329" s="60" t="n">
        <f aca="false">MAX(0,F1329-N1329)</f>
        <v>0</v>
      </c>
      <c r="Q1329" s="32" t="n">
        <f aca="false">(F1329+Settings!$B$7*Settings!$B$3)/(E1329+Settings!$B$7)</f>
        <v>0.0299865978191811</v>
      </c>
      <c r="R1329" s="61" t="n">
        <f aca="false">PERCENTRANK($H$2:$H$1780,H1329,6)</f>
        <v>0</v>
      </c>
      <c r="S1329" s="61" t="n">
        <f aca="false">PERCENTRANK($Q$2:$Q$1780,Q1329,6)</f>
        <v>0.486502</v>
      </c>
      <c r="T1329" s="61" t="n">
        <f aca="false">PERCENTRANK($F$2:$F$1780,F1329,6)</f>
        <v>0</v>
      </c>
      <c r="U1329" s="62" t="n">
        <f aca="false">IF(F1329&gt;0,(Settings!$B$8*T1329+Settings!$B$9*R1329+Settings!$B$10*S1329)/SUM(Settings!$B$8:$B$10),0)</f>
        <v>0</v>
      </c>
      <c r="V1329" s="56" t="str">
        <f aca="false">IF(U1329&gt;0,RANK(U1329,$U$2:$U$1780)+COUNTIF($U$2:U1329,U1329)-1,"")</f>
        <v/>
      </c>
      <c r="W1329" s="56" t="str">
        <f aca="false">IF(V1329="","",IF(V1329&lt;=Settings!$B$11,"1 - Fix first",IF(V1329&lt;=Settings!$B$12,"2 - Review","3 - Monitor")))</f>
        <v/>
      </c>
      <c r="X1329" s="56" t="str">
        <f aca="false">IF(AND(E1329&gt;=Settings!$B$4,F1329&gt;=Settings!$B$5,O1329&gt;=Settings!$B$6),"HIGH RATE","")</f>
        <v/>
      </c>
      <c r="Y1329" s="56" t="str">
        <f aca="false">IF(F1329&gt;0,RANK(F1329,$F$2:$F$1780)+COUNTIF($F$2:F1329,F1329)-1,"")</f>
        <v/>
      </c>
      <c r="Z1329" s="56" t="str">
        <f aca="false">IF(H1329&gt;0,RANK(H1329,$H$2:$H$1780)+COUNTIF($H$2:H1329,H1329)-1,"")</f>
        <v/>
      </c>
      <c r="AA1329" s="56" t="str">
        <f aca="false">IF(AC1329="","",RANK(AC1329,$AC$2:$AC$1780)+COUNTIF($AC$2:AC1329,AC1329)-1)</f>
        <v/>
      </c>
      <c r="AB1329" s="56" t="str">
        <f aca="false">IF(AD1329="","",RANK(AD1329,$AD$2:$AD$1780)+COUNTIF($AD$2:AD1329,AD1329)-1)</f>
        <v/>
      </c>
      <c r="AC1329" s="56" t="str">
        <f aca="false">IF(AND(F1329&gt;0,E1329&gt;=Settings!$B$4),J1329,"")</f>
        <v/>
      </c>
      <c r="AD1329" s="56" t="str">
        <f aca="false">IF(X1329="HIGH RATE",O1329,"")</f>
        <v/>
      </c>
    </row>
    <row r="1330" customFormat="false" ht="15" hidden="false" customHeight="false" outlineLevel="0" collapsed="false">
      <c r="A1330" s="56" t="s">
        <v>2717</v>
      </c>
      <c r="B1330" s="56" t="s">
        <v>2718</v>
      </c>
      <c r="C1330" s="56" t="s">
        <v>59</v>
      </c>
      <c r="D1330" s="56" t="str">
        <f aca="false">IFERROR(INDEX('Brand Map'!$B$4:$B$124,MATCH(C1330,'Brand Map'!$A$4:$A$124,0)),"Other")</f>
        <v>DC</v>
      </c>
      <c r="E1330" s="57" t="n">
        <v>1</v>
      </c>
      <c r="F1330" s="57" t="n">
        <v>0</v>
      </c>
      <c r="G1330" s="58" t="n">
        <v>93.45</v>
      </c>
      <c r="H1330" s="58" t="n">
        <v>0</v>
      </c>
      <c r="I1330" s="58" t="n">
        <v>93.45</v>
      </c>
      <c r="J1330" s="32" t="n">
        <f aca="false">IF(E1330&gt;0,F1330/E1330,0)</f>
        <v>0</v>
      </c>
      <c r="K1330" s="32" t="n">
        <f aca="false">IF(G1330&gt;0,H1330/G1330,0)</f>
        <v>-0</v>
      </c>
      <c r="L1330" s="59" t="n">
        <f aca="false">H1330/Settings!$B$16</f>
        <v>-0</v>
      </c>
      <c r="M1330" s="59" t="n">
        <f aca="false">H1330/Settings!$B$20</f>
        <v>-0</v>
      </c>
      <c r="N1330" s="60" t="n">
        <f aca="false">E1330*Settings!$B$3</f>
        <v>0.0309861510798204</v>
      </c>
      <c r="O1330" s="60" t="n">
        <f aca="false">IF(E1330&gt;0,(F1330-N1330)/SQRT(E1330*Settings!$B$3*(1-Settings!$B$3)),0)</f>
        <v>-0.178821125934444</v>
      </c>
      <c r="P1330" s="60" t="n">
        <f aca="false">MAX(0,F1330-N1330)</f>
        <v>0</v>
      </c>
      <c r="Q1330" s="32" t="n">
        <f aca="false">(F1330+Settings!$B$7*Settings!$B$3)/(E1330+Settings!$B$7)</f>
        <v>0.0299865978191811</v>
      </c>
      <c r="R1330" s="61" t="n">
        <f aca="false">PERCENTRANK($H$2:$H$1780,H1330,6)</f>
        <v>0</v>
      </c>
      <c r="S1330" s="61" t="n">
        <f aca="false">PERCENTRANK($Q$2:$Q$1780,Q1330,6)</f>
        <v>0.486502</v>
      </c>
      <c r="T1330" s="61" t="n">
        <f aca="false">PERCENTRANK($F$2:$F$1780,F1330,6)</f>
        <v>0</v>
      </c>
      <c r="U1330" s="62" t="n">
        <f aca="false">IF(F1330&gt;0,(Settings!$B$8*T1330+Settings!$B$9*R1330+Settings!$B$10*S1330)/SUM(Settings!$B$8:$B$10),0)</f>
        <v>0</v>
      </c>
      <c r="V1330" s="56" t="str">
        <f aca="false">IF(U1330&gt;0,RANK(U1330,$U$2:$U$1780)+COUNTIF($U$2:U1330,U1330)-1,"")</f>
        <v/>
      </c>
      <c r="W1330" s="56" t="str">
        <f aca="false">IF(V1330="","",IF(V1330&lt;=Settings!$B$11,"1 - Fix first",IF(V1330&lt;=Settings!$B$12,"2 - Review","3 - Monitor")))</f>
        <v/>
      </c>
      <c r="X1330" s="56" t="str">
        <f aca="false">IF(AND(E1330&gt;=Settings!$B$4,F1330&gt;=Settings!$B$5,O1330&gt;=Settings!$B$6),"HIGH RATE","")</f>
        <v/>
      </c>
      <c r="Y1330" s="56" t="str">
        <f aca="false">IF(F1330&gt;0,RANK(F1330,$F$2:$F$1780)+COUNTIF($F$2:F1330,F1330)-1,"")</f>
        <v/>
      </c>
      <c r="Z1330" s="56" t="str">
        <f aca="false">IF(H1330&gt;0,RANK(H1330,$H$2:$H$1780)+COUNTIF($H$2:H1330,H1330)-1,"")</f>
        <v/>
      </c>
      <c r="AA1330" s="56" t="str">
        <f aca="false">IF(AC1330="","",RANK(AC1330,$AC$2:$AC$1780)+COUNTIF($AC$2:AC1330,AC1330)-1)</f>
        <v/>
      </c>
      <c r="AB1330" s="56" t="str">
        <f aca="false">IF(AD1330="","",RANK(AD1330,$AD$2:$AD$1780)+COUNTIF($AD$2:AD1330,AD1330)-1)</f>
        <v/>
      </c>
      <c r="AC1330" s="56" t="str">
        <f aca="false">IF(AND(F1330&gt;0,E1330&gt;=Settings!$B$4),J1330,"")</f>
        <v/>
      </c>
      <c r="AD1330" s="56" t="str">
        <f aca="false">IF(X1330="HIGH RATE",O1330,"")</f>
        <v/>
      </c>
    </row>
    <row r="1331" customFormat="false" ht="15" hidden="false" customHeight="false" outlineLevel="0" collapsed="false">
      <c r="A1331" s="56" t="s">
        <v>2719</v>
      </c>
      <c r="B1331" s="56" t="s">
        <v>1171</v>
      </c>
      <c r="C1331" s="56" t="s">
        <v>59</v>
      </c>
      <c r="D1331" s="56" t="str">
        <f aca="false">IFERROR(INDEX('Brand Map'!$B$4:$B$124,MATCH(C1331,'Brand Map'!$A$4:$A$124,0)),"Other")</f>
        <v>DC</v>
      </c>
      <c r="E1331" s="57" t="n">
        <v>1</v>
      </c>
      <c r="F1331" s="57" t="n">
        <v>0</v>
      </c>
      <c r="G1331" s="58" t="n">
        <v>179.95</v>
      </c>
      <c r="H1331" s="58" t="n">
        <v>0</v>
      </c>
      <c r="I1331" s="58" t="n">
        <v>179.95</v>
      </c>
      <c r="J1331" s="32" t="n">
        <f aca="false">IF(E1331&gt;0,F1331/E1331,0)</f>
        <v>0</v>
      </c>
      <c r="K1331" s="32" t="n">
        <f aca="false">IF(G1331&gt;0,H1331/G1331,0)</f>
        <v>-0</v>
      </c>
      <c r="L1331" s="59" t="n">
        <f aca="false">H1331/Settings!$B$16</f>
        <v>-0</v>
      </c>
      <c r="M1331" s="59" t="n">
        <f aca="false">H1331/Settings!$B$20</f>
        <v>-0</v>
      </c>
      <c r="N1331" s="60" t="n">
        <f aca="false">E1331*Settings!$B$3</f>
        <v>0.0309861510798204</v>
      </c>
      <c r="O1331" s="60" t="n">
        <f aca="false">IF(E1331&gt;0,(F1331-N1331)/SQRT(E1331*Settings!$B$3*(1-Settings!$B$3)),0)</f>
        <v>-0.178821125934444</v>
      </c>
      <c r="P1331" s="60" t="n">
        <f aca="false">MAX(0,F1331-N1331)</f>
        <v>0</v>
      </c>
      <c r="Q1331" s="32" t="n">
        <f aca="false">(F1331+Settings!$B$7*Settings!$B$3)/(E1331+Settings!$B$7)</f>
        <v>0.0299865978191811</v>
      </c>
      <c r="R1331" s="61" t="n">
        <f aca="false">PERCENTRANK($H$2:$H$1780,H1331,6)</f>
        <v>0</v>
      </c>
      <c r="S1331" s="61" t="n">
        <f aca="false">PERCENTRANK($Q$2:$Q$1780,Q1331,6)</f>
        <v>0.486502</v>
      </c>
      <c r="T1331" s="61" t="n">
        <f aca="false">PERCENTRANK($F$2:$F$1780,F1331,6)</f>
        <v>0</v>
      </c>
      <c r="U1331" s="62" t="n">
        <f aca="false">IF(F1331&gt;0,(Settings!$B$8*T1331+Settings!$B$9*R1331+Settings!$B$10*S1331)/SUM(Settings!$B$8:$B$10),0)</f>
        <v>0</v>
      </c>
      <c r="V1331" s="56" t="str">
        <f aca="false">IF(U1331&gt;0,RANK(U1331,$U$2:$U$1780)+COUNTIF($U$2:U1331,U1331)-1,"")</f>
        <v/>
      </c>
      <c r="W1331" s="56" t="str">
        <f aca="false">IF(V1331="","",IF(V1331&lt;=Settings!$B$11,"1 - Fix first",IF(V1331&lt;=Settings!$B$12,"2 - Review","3 - Monitor")))</f>
        <v/>
      </c>
      <c r="X1331" s="56" t="str">
        <f aca="false">IF(AND(E1331&gt;=Settings!$B$4,F1331&gt;=Settings!$B$5,O1331&gt;=Settings!$B$6),"HIGH RATE","")</f>
        <v/>
      </c>
      <c r="Y1331" s="56" t="str">
        <f aca="false">IF(F1331&gt;0,RANK(F1331,$F$2:$F$1780)+COUNTIF($F$2:F1331,F1331)-1,"")</f>
        <v/>
      </c>
      <c r="Z1331" s="56" t="str">
        <f aca="false">IF(H1331&gt;0,RANK(H1331,$H$2:$H$1780)+COUNTIF($H$2:H1331,H1331)-1,"")</f>
        <v/>
      </c>
      <c r="AA1331" s="56" t="str">
        <f aca="false">IF(AC1331="","",RANK(AC1331,$AC$2:$AC$1780)+COUNTIF($AC$2:AC1331,AC1331)-1)</f>
        <v/>
      </c>
      <c r="AB1331" s="56" t="str">
        <f aca="false">IF(AD1331="","",RANK(AD1331,$AD$2:$AD$1780)+COUNTIF($AD$2:AD1331,AD1331)-1)</f>
        <v/>
      </c>
      <c r="AC1331" s="56" t="str">
        <f aca="false">IF(AND(F1331&gt;0,E1331&gt;=Settings!$B$4),J1331,"")</f>
        <v/>
      </c>
      <c r="AD1331" s="56" t="str">
        <f aca="false">IF(X1331="HIGH RATE",O1331,"")</f>
        <v/>
      </c>
    </row>
    <row r="1332" customFormat="false" ht="15" hidden="false" customHeight="false" outlineLevel="0" collapsed="false">
      <c r="A1332" s="56" t="s">
        <v>2720</v>
      </c>
      <c r="B1332" s="56" t="s">
        <v>574</v>
      </c>
      <c r="C1332" s="56" t="s">
        <v>125</v>
      </c>
      <c r="D1332" s="56" t="str">
        <f aca="false">IFERROR(INDEX('Brand Map'!$B$4:$B$124,MATCH(C1332,'Brand Map'!$A$4:$A$124,0)),"Other")</f>
        <v>DCB</v>
      </c>
      <c r="E1332" s="57" t="n">
        <v>1</v>
      </c>
      <c r="F1332" s="57" t="n">
        <v>0</v>
      </c>
      <c r="G1332" s="58" t="n">
        <v>164.95</v>
      </c>
      <c r="H1332" s="58" t="n">
        <v>0</v>
      </c>
      <c r="I1332" s="58" t="n">
        <v>164.95</v>
      </c>
      <c r="J1332" s="32" t="n">
        <f aca="false">IF(E1332&gt;0,F1332/E1332,0)</f>
        <v>0</v>
      </c>
      <c r="K1332" s="32" t="n">
        <f aca="false">IF(G1332&gt;0,H1332/G1332,0)</f>
        <v>-0</v>
      </c>
      <c r="L1332" s="59" t="n">
        <f aca="false">H1332/Settings!$B$16</f>
        <v>-0</v>
      </c>
      <c r="M1332" s="59" t="n">
        <f aca="false">H1332/Settings!$B$20</f>
        <v>-0</v>
      </c>
      <c r="N1332" s="60" t="n">
        <f aca="false">E1332*Settings!$B$3</f>
        <v>0.0309861510798204</v>
      </c>
      <c r="O1332" s="60" t="n">
        <f aca="false">IF(E1332&gt;0,(F1332-N1332)/SQRT(E1332*Settings!$B$3*(1-Settings!$B$3)),0)</f>
        <v>-0.178821125934444</v>
      </c>
      <c r="P1332" s="60" t="n">
        <f aca="false">MAX(0,F1332-N1332)</f>
        <v>0</v>
      </c>
      <c r="Q1332" s="32" t="n">
        <f aca="false">(F1332+Settings!$B$7*Settings!$B$3)/(E1332+Settings!$B$7)</f>
        <v>0.0299865978191811</v>
      </c>
      <c r="R1332" s="61" t="n">
        <f aca="false">PERCENTRANK($H$2:$H$1780,H1332,6)</f>
        <v>0</v>
      </c>
      <c r="S1332" s="61" t="n">
        <f aca="false">PERCENTRANK($Q$2:$Q$1780,Q1332,6)</f>
        <v>0.486502</v>
      </c>
      <c r="T1332" s="61" t="n">
        <f aca="false">PERCENTRANK($F$2:$F$1780,F1332,6)</f>
        <v>0</v>
      </c>
      <c r="U1332" s="62" t="n">
        <f aca="false">IF(F1332&gt;0,(Settings!$B$8*T1332+Settings!$B$9*R1332+Settings!$B$10*S1332)/SUM(Settings!$B$8:$B$10),0)</f>
        <v>0</v>
      </c>
      <c r="V1332" s="56" t="str">
        <f aca="false">IF(U1332&gt;0,RANK(U1332,$U$2:$U$1780)+COUNTIF($U$2:U1332,U1332)-1,"")</f>
        <v/>
      </c>
      <c r="W1332" s="56" t="str">
        <f aca="false">IF(V1332="","",IF(V1332&lt;=Settings!$B$11,"1 - Fix first",IF(V1332&lt;=Settings!$B$12,"2 - Review","3 - Monitor")))</f>
        <v/>
      </c>
      <c r="X1332" s="56" t="str">
        <f aca="false">IF(AND(E1332&gt;=Settings!$B$4,F1332&gt;=Settings!$B$5,O1332&gt;=Settings!$B$6),"HIGH RATE","")</f>
        <v/>
      </c>
      <c r="Y1332" s="56" t="str">
        <f aca="false">IF(F1332&gt;0,RANK(F1332,$F$2:$F$1780)+COUNTIF($F$2:F1332,F1332)-1,"")</f>
        <v/>
      </c>
      <c r="Z1332" s="56" t="str">
        <f aca="false">IF(H1332&gt;0,RANK(H1332,$H$2:$H$1780)+COUNTIF($H$2:H1332,H1332)-1,"")</f>
        <v/>
      </c>
      <c r="AA1332" s="56" t="str">
        <f aca="false">IF(AC1332="","",RANK(AC1332,$AC$2:$AC$1780)+COUNTIF($AC$2:AC1332,AC1332)-1)</f>
        <v/>
      </c>
      <c r="AB1332" s="56" t="str">
        <f aca="false">IF(AD1332="","",RANK(AD1332,$AD$2:$AD$1780)+COUNTIF($AD$2:AD1332,AD1332)-1)</f>
        <v/>
      </c>
      <c r="AC1332" s="56" t="str">
        <f aca="false">IF(AND(F1332&gt;0,E1332&gt;=Settings!$B$4),J1332,"")</f>
        <v/>
      </c>
      <c r="AD1332" s="56" t="str">
        <f aca="false">IF(X1332="HIGH RATE",O1332,"")</f>
        <v/>
      </c>
    </row>
    <row r="1333" customFormat="false" ht="15" hidden="false" customHeight="false" outlineLevel="0" collapsed="false">
      <c r="A1333" s="56" t="s">
        <v>2721</v>
      </c>
      <c r="B1333" s="56" t="s">
        <v>574</v>
      </c>
      <c r="C1333" s="56" t="s">
        <v>125</v>
      </c>
      <c r="D1333" s="56" t="str">
        <f aca="false">IFERROR(INDEX('Brand Map'!$B$4:$B$124,MATCH(C1333,'Brand Map'!$A$4:$A$124,0)),"Other")</f>
        <v>DCB</v>
      </c>
      <c r="E1333" s="57" t="n">
        <v>1</v>
      </c>
      <c r="F1333" s="57" t="n">
        <v>0</v>
      </c>
      <c r="G1333" s="58" t="n">
        <v>119.95</v>
      </c>
      <c r="H1333" s="58" t="n">
        <v>0</v>
      </c>
      <c r="I1333" s="58" t="n">
        <v>119.95</v>
      </c>
      <c r="J1333" s="32" t="n">
        <f aca="false">IF(E1333&gt;0,F1333/E1333,0)</f>
        <v>0</v>
      </c>
      <c r="K1333" s="32" t="n">
        <f aca="false">IF(G1333&gt;0,H1333/G1333,0)</f>
        <v>-0</v>
      </c>
      <c r="L1333" s="59" t="n">
        <f aca="false">H1333/Settings!$B$16</f>
        <v>-0</v>
      </c>
      <c r="M1333" s="59" t="n">
        <f aca="false">H1333/Settings!$B$20</f>
        <v>-0</v>
      </c>
      <c r="N1333" s="60" t="n">
        <f aca="false">E1333*Settings!$B$3</f>
        <v>0.0309861510798204</v>
      </c>
      <c r="O1333" s="60" t="n">
        <f aca="false">IF(E1333&gt;0,(F1333-N1333)/SQRT(E1333*Settings!$B$3*(1-Settings!$B$3)),0)</f>
        <v>-0.178821125934444</v>
      </c>
      <c r="P1333" s="60" t="n">
        <f aca="false">MAX(0,F1333-N1333)</f>
        <v>0</v>
      </c>
      <c r="Q1333" s="32" t="n">
        <f aca="false">(F1333+Settings!$B$7*Settings!$B$3)/(E1333+Settings!$B$7)</f>
        <v>0.0299865978191811</v>
      </c>
      <c r="R1333" s="61" t="n">
        <f aca="false">PERCENTRANK($H$2:$H$1780,H1333,6)</f>
        <v>0</v>
      </c>
      <c r="S1333" s="61" t="n">
        <f aca="false">PERCENTRANK($Q$2:$Q$1780,Q1333,6)</f>
        <v>0.486502</v>
      </c>
      <c r="T1333" s="61" t="n">
        <f aca="false">PERCENTRANK($F$2:$F$1780,F1333,6)</f>
        <v>0</v>
      </c>
      <c r="U1333" s="62" t="n">
        <f aca="false">IF(F1333&gt;0,(Settings!$B$8*T1333+Settings!$B$9*R1333+Settings!$B$10*S1333)/SUM(Settings!$B$8:$B$10),0)</f>
        <v>0</v>
      </c>
      <c r="V1333" s="56" t="str">
        <f aca="false">IF(U1333&gt;0,RANK(U1333,$U$2:$U$1780)+COUNTIF($U$2:U1333,U1333)-1,"")</f>
        <v/>
      </c>
      <c r="W1333" s="56" t="str">
        <f aca="false">IF(V1333="","",IF(V1333&lt;=Settings!$B$11,"1 - Fix first",IF(V1333&lt;=Settings!$B$12,"2 - Review","3 - Monitor")))</f>
        <v/>
      </c>
      <c r="X1333" s="56" t="str">
        <f aca="false">IF(AND(E1333&gt;=Settings!$B$4,F1333&gt;=Settings!$B$5,O1333&gt;=Settings!$B$6),"HIGH RATE","")</f>
        <v/>
      </c>
      <c r="Y1333" s="56" t="str">
        <f aca="false">IF(F1333&gt;0,RANK(F1333,$F$2:$F$1780)+COUNTIF($F$2:F1333,F1333)-1,"")</f>
        <v/>
      </c>
      <c r="Z1333" s="56" t="str">
        <f aca="false">IF(H1333&gt;0,RANK(H1333,$H$2:$H$1780)+COUNTIF($H$2:H1333,H1333)-1,"")</f>
        <v/>
      </c>
      <c r="AA1333" s="56" t="str">
        <f aca="false">IF(AC1333="","",RANK(AC1333,$AC$2:$AC$1780)+COUNTIF($AC$2:AC1333,AC1333)-1)</f>
        <v/>
      </c>
      <c r="AB1333" s="56" t="str">
        <f aca="false">IF(AD1333="","",RANK(AD1333,$AD$2:$AD$1780)+COUNTIF($AD$2:AD1333,AD1333)-1)</f>
        <v/>
      </c>
      <c r="AC1333" s="56" t="str">
        <f aca="false">IF(AND(F1333&gt;0,E1333&gt;=Settings!$B$4),J1333,"")</f>
        <v/>
      </c>
      <c r="AD1333" s="56" t="str">
        <f aca="false">IF(X1333="HIGH RATE",O1333,"")</f>
        <v/>
      </c>
    </row>
    <row r="1334" customFormat="false" ht="15" hidden="false" customHeight="false" outlineLevel="0" collapsed="false">
      <c r="A1334" s="56" t="s">
        <v>2722</v>
      </c>
      <c r="B1334" s="56" t="s">
        <v>1233</v>
      </c>
      <c r="C1334" s="56" t="s">
        <v>125</v>
      </c>
      <c r="D1334" s="56" t="str">
        <f aca="false">IFERROR(INDEX('Brand Map'!$B$4:$B$124,MATCH(C1334,'Brand Map'!$A$4:$A$124,0)),"Other")</f>
        <v>DCB</v>
      </c>
      <c r="E1334" s="57" t="n">
        <v>4</v>
      </c>
      <c r="F1334" s="57" t="n">
        <v>0</v>
      </c>
      <c r="G1334" s="58" t="n">
        <v>636.19</v>
      </c>
      <c r="H1334" s="58" t="n">
        <v>0</v>
      </c>
      <c r="I1334" s="58" t="n">
        <v>580.53</v>
      </c>
      <c r="J1334" s="32" t="n">
        <f aca="false">IF(E1334&gt;0,F1334/E1334,0)</f>
        <v>0</v>
      </c>
      <c r="K1334" s="32" t="n">
        <f aca="false">IF(G1334&gt;0,H1334/G1334,0)</f>
        <v>-0</v>
      </c>
      <c r="L1334" s="59" t="n">
        <f aca="false">H1334/Settings!$B$16</f>
        <v>-0</v>
      </c>
      <c r="M1334" s="59" t="n">
        <f aca="false">H1334/Settings!$B$20</f>
        <v>-0</v>
      </c>
      <c r="N1334" s="60" t="n">
        <f aca="false">E1334*Settings!$B$3</f>
        <v>0.123944604319282</v>
      </c>
      <c r="O1334" s="60" t="n">
        <f aca="false">IF(E1334&gt;0,(F1334-N1334)/SQRT(E1334*Settings!$B$3*(1-Settings!$B$3)),0)</f>
        <v>-0.357642251868888</v>
      </c>
      <c r="P1334" s="60" t="n">
        <f aca="false">MAX(0,F1334-N1334)</f>
        <v>0</v>
      </c>
      <c r="Q1334" s="32" t="n">
        <f aca="false">(F1334+Settings!$B$7*Settings!$B$3)/(E1334+Settings!$B$7)</f>
        <v>0.027340721541018</v>
      </c>
      <c r="R1334" s="61" t="n">
        <f aca="false">PERCENTRANK($H$2:$H$1780,H1334,6)</f>
        <v>0</v>
      </c>
      <c r="S1334" s="61" t="n">
        <f aca="false">PERCENTRANK($Q$2:$Q$1780,Q1334,6)</f>
        <v>0.253656</v>
      </c>
      <c r="T1334" s="61" t="n">
        <f aca="false">PERCENTRANK($F$2:$F$1780,F1334,6)</f>
        <v>0</v>
      </c>
      <c r="U1334" s="62" t="n">
        <f aca="false">IF(F1334&gt;0,(Settings!$B$8*T1334+Settings!$B$9*R1334+Settings!$B$10*S1334)/SUM(Settings!$B$8:$B$10),0)</f>
        <v>0</v>
      </c>
      <c r="V1334" s="56" t="str">
        <f aca="false">IF(U1334&gt;0,RANK(U1334,$U$2:$U$1780)+COUNTIF($U$2:U1334,U1334)-1,"")</f>
        <v/>
      </c>
      <c r="W1334" s="56" t="str">
        <f aca="false">IF(V1334="","",IF(V1334&lt;=Settings!$B$11,"1 - Fix first",IF(V1334&lt;=Settings!$B$12,"2 - Review","3 - Monitor")))</f>
        <v/>
      </c>
      <c r="X1334" s="56" t="str">
        <f aca="false">IF(AND(E1334&gt;=Settings!$B$4,F1334&gt;=Settings!$B$5,O1334&gt;=Settings!$B$6),"HIGH RATE","")</f>
        <v/>
      </c>
      <c r="Y1334" s="56" t="str">
        <f aca="false">IF(F1334&gt;0,RANK(F1334,$F$2:$F$1780)+COUNTIF($F$2:F1334,F1334)-1,"")</f>
        <v/>
      </c>
      <c r="Z1334" s="56" t="str">
        <f aca="false">IF(H1334&gt;0,RANK(H1334,$H$2:$H$1780)+COUNTIF($H$2:H1334,H1334)-1,"")</f>
        <v/>
      </c>
      <c r="AA1334" s="56" t="str">
        <f aca="false">IF(AC1334="","",RANK(AC1334,$AC$2:$AC$1780)+COUNTIF($AC$2:AC1334,AC1334)-1)</f>
        <v/>
      </c>
      <c r="AB1334" s="56" t="str">
        <f aca="false">IF(AD1334="","",RANK(AD1334,$AD$2:$AD$1780)+COUNTIF($AD$2:AD1334,AD1334)-1)</f>
        <v/>
      </c>
      <c r="AC1334" s="56" t="str">
        <f aca="false">IF(AND(F1334&gt;0,E1334&gt;=Settings!$B$4),J1334,"")</f>
        <v/>
      </c>
      <c r="AD1334" s="56" t="str">
        <f aca="false">IF(X1334="HIGH RATE",O1334,"")</f>
        <v/>
      </c>
    </row>
    <row r="1335" customFormat="false" ht="15" hidden="false" customHeight="false" outlineLevel="0" collapsed="false">
      <c r="A1335" s="56" t="s">
        <v>812</v>
      </c>
      <c r="B1335" s="56" t="s">
        <v>813</v>
      </c>
      <c r="C1335" s="56" t="s">
        <v>811</v>
      </c>
      <c r="D1335" s="56" t="str">
        <f aca="false">IFERROR(INDEX('Brand Map'!$B$4:$B$124,MATCH(C1335,'Brand Map'!$A$4:$A$124,0)),"Other")</f>
        <v>Other (small prefixes)</v>
      </c>
      <c r="E1335" s="57" t="n">
        <v>1</v>
      </c>
      <c r="F1335" s="57" t="n">
        <v>0</v>
      </c>
      <c r="G1335" s="58" t="n">
        <v>73.95</v>
      </c>
      <c r="H1335" s="58" t="n">
        <v>0</v>
      </c>
      <c r="I1335" s="58" t="n">
        <v>73.95</v>
      </c>
      <c r="J1335" s="32" t="n">
        <f aca="false">IF(E1335&gt;0,F1335/E1335,0)</f>
        <v>0</v>
      </c>
      <c r="K1335" s="32" t="n">
        <f aca="false">IF(G1335&gt;0,H1335/G1335,0)</f>
        <v>-0</v>
      </c>
      <c r="L1335" s="59" t="n">
        <f aca="false">H1335/Settings!$B$16</f>
        <v>-0</v>
      </c>
      <c r="M1335" s="59" t="n">
        <f aca="false">H1335/Settings!$B$20</f>
        <v>-0</v>
      </c>
      <c r="N1335" s="60" t="n">
        <f aca="false">E1335*Settings!$B$3</f>
        <v>0.0309861510798204</v>
      </c>
      <c r="O1335" s="60" t="n">
        <f aca="false">IF(E1335&gt;0,(F1335-N1335)/SQRT(E1335*Settings!$B$3*(1-Settings!$B$3)),0)</f>
        <v>-0.178821125934444</v>
      </c>
      <c r="P1335" s="60" t="n">
        <f aca="false">MAX(0,F1335-N1335)</f>
        <v>0</v>
      </c>
      <c r="Q1335" s="32" t="n">
        <f aca="false">(F1335+Settings!$B$7*Settings!$B$3)/(E1335+Settings!$B$7)</f>
        <v>0.0299865978191811</v>
      </c>
      <c r="R1335" s="61" t="n">
        <f aca="false">PERCENTRANK($H$2:$H$1780,H1335,6)</f>
        <v>0</v>
      </c>
      <c r="S1335" s="61" t="n">
        <f aca="false">PERCENTRANK($Q$2:$Q$1780,Q1335,6)</f>
        <v>0.486502</v>
      </c>
      <c r="T1335" s="61" t="n">
        <f aca="false">PERCENTRANK($F$2:$F$1780,F1335,6)</f>
        <v>0</v>
      </c>
      <c r="U1335" s="62" t="n">
        <f aca="false">IF(F1335&gt;0,(Settings!$B$8*T1335+Settings!$B$9*R1335+Settings!$B$10*S1335)/SUM(Settings!$B$8:$B$10),0)</f>
        <v>0</v>
      </c>
      <c r="V1335" s="56" t="str">
        <f aca="false">IF(U1335&gt;0,RANK(U1335,$U$2:$U$1780)+COUNTIF($U$2:U1335,U1335)-1,"")</f>
        <v/>
      </c>
      <c r="W1335" s="56" t="str">
        <f aca="false">IF(V1335="","",IF(V1335&lt;=Settings!$B$11,"1 - Fix first",IF(V1335&lt;=Settings!$B$12,"2 - Review","3 - Monitor")))</f>
        <v/>
      </c>
      <c r="X1335" s="56" t="str">
        <f aca="false">IF(AND(E1335&gt;=Settings!$B$4,F1335&gt;=Settings!$B$5,O1335&gt;=Settings!$B$6),"HIGH RATE","")</f>
        <v/>
      </c>
      <c r="Y1335" s="56" t="str">
        <f aca="false">IF(F1335&gt;0,RANK(F1335,$F$2:$F$1780)+COUNTIF($F$2:F1335,F1335)-1,"")</f>
        <v/>
      </c>
      <c r="Z1335" s="56" t="str">
        <f aca="false">IF(H1335&gt;0,RANK(H1335,$H$2:$H$1780)+COUNTIF($H$2:H1335,H1335)-1,"")</f>
        <v/>
      </c>
      <c r="AA1335" s="56" t="str">
        <f aca="false">IF(AC1335="","",RANK(AC1335,$AC$2:$AC$1780)+COUNTIF($AC$2:AC1335,AC1335)-1)</f>
        <v/>
      </c>
      <c r="AB1335" s="56" t="str">
        <f aca="false">IF(AD1335="","",RANK(AD1335,$AD$2:$AD$1780)+COUNTIF($AD$2:AD1335,AD1335)-1)</f>
        <v/>
      </c>
      <c r="AC1335" s="56" t="str">
        <f aca="false">IF(AND(F1335&gt;0,E1335&gt;=Settings!$B$4),J1335,"")</f>
        <v/>
      </c>
      <c r="AD1335" s="56" t="str">
        <f aca="false">IF(X1335="HIGH RATE",O1335,"")</f>
        <v/>
      </c>
    </row>
    <row r="1336" customFormat="false" ht="15" hidden="false" customHeight="false" outlineLevel="0" collapsed="false">
      <c r="A1336" s="56" t="s">
        <v>2723</v>
      </c>
      <c r="B1336" s="56" t="s">
        <v>685</v>
      </c>
      <c r="C1336" s="56" t="s">
        <v>683</v>
      </c>
      <c r="D1336" s="56" t="str">
        <f aca="false">IFERROR(INDEX('Brand Map'!$B$4:$B$124,MATCH(C1336,'Brand Map'!$A$4:$A$124,0)),"Other")</f>
        <v>Other (small prefixes)</v>
      </c>
      <c r="E1336" s="57" t="n">
        <v>2</v>
      </c>
      <c r="F1336" s="57" t="n">
        <v>0</v>
      </c>
      <c r="G1336" s="58" t="n">
        <v>49.9</v>
      </c>
      <c r="H1336" s="58" t="n">
        <v>0</v>
      </c>
      <c r="I1336" s="58" t="n">
        <v>49.9</v>
      </c>
      <c r="J1336" s="32" t="n">
        <f aca="false">IF(E1336&gt;0,F1336/E1336,0)</f>
        <v>0</v>
      </c>
      <c r="K1336" s="32" t="n">
        <f aca="false">IF(G1336&gt;0,H1336/G1336,0)</f>
        <v>-0</v>
      </c>
      <c r="L1336" s="59" t="n">
        <f aca="false">H1336/Settings!$B$16</f>
        <v>-0</v>
      </c>
      <c r="M1336" s="59" t="n">
        <f aca="false">H1336/Settings!$B$20</f>
        <v>-0</v>
      </c>
      <c r="N1336" s="60" t="n">
        <f aca="false">E1336*Settings!$B$3</f>
        <v>0.0619723021596408</v>
      </c>
      <c r="O1336" s="60" t="n">
        <f aca="false">IF(E1336&gt;0,(F1336-N1336)/SQRT(E1336*Settings!$B$3*(1-Settings!$B$3)),0)</f>
        <v>-0.252891261535318</v>
      </c>
      <c r="P1336" s="60" t="n">
        <f aca="false">MAX(0,F1336-N1336)</f>
        <v>0</v>
      </c>
      <c r="Q1336" s="32" t="n">
        <f aca="false">(F1336+Settings!$B$7*Settings!$B$3)/(E1336+Settings!$B$7)</f>
        <v>0.0290495166373316</v>
      </c>
      <c r="R1336" s="61" t="n">
        <f aca="false">PERCENTRANK($H$2:$H$1780,H1336,6)</f>
        <v>0</v>
      </c>
      <c r="S1336" s="61" t="n">
        <f aca="false">PERCENTRANK($Q$2:$Q$1780,Q1336,6)</f>
        <v>0.365579</v>
      </c>
      <c r="T1336" s="61" t="n">
        <f aca="false">PERCENTRANK($F$2:$F$1780,F1336,6)</f>
        <v>0</v>
      </c>
      <c r="U1336" s="62" t="n">
        <f aca="false">IF(F1336&gt;0,(Settings!$B$8*T1336+Settings!$B$9*R1336+Settings!$B$10*S1336)/SUM(Settings!$B$8:$B$10),0)</f>
        <v>0</v>
      </c>
      <c r="V1336" s="56" t="str">
        <f aca="false">IF(U1336&gt;0,RANK(U1336,$U$2:$U$1780)+COUNTIF($U$2:U1336,U1336)-1,"")</f>
        <v/>
      </c>
      <c r="W1336" s="56" t="str">
        <f aca="false">IF(V1336="","",IF(V1336&lt;=Settings!$B$11,"1 - Fix first",IF(V1336&lt;=Settings!$B$12,"2 - Review","3 - Monitor")))</f>
        <v/>
      </c>
      <c r="X1336" s="56" t="str">
        <f aca="false">IF(AND(E1336&gt;=Settings!$B$4,F1336&gt;=Settings!$B$5,O1336&gt;=Settings!$B$6),"HIGH RATE","")</f>
        <v/>
      </c>
      <c r="Y1336" s="56" t="str">
        <f aca="false">IF(F1336&gt;0,RANK(F1336,$F$2:$F$1780)+COUNTIF($F$2:F1336,F1336)-1,"")</f>
        <v/>
      </c>
      <c r="Z1336" s="56" t="str">
        <f aca="false">IF(H1336&gt;0,RANK(H1336,$H$2:$H$1780)+COUNTIF($H$2:H1336,H1336)-1,"")</f>
        <v/>
      </c>
      <c r="AA1336" s="56" t="str">
        <f aca="false">IF(AC1336="","",RANK(AC1336,$AC$2:$AC$1780)+COUNTIF($AC$2:AC1336,AC1336)-1)</f>
        <v/>
      </c>
      <c r="AB1336" s="56" t="str">
        <f aca="false">IF(AD1336="","",RANK(AD1336,$AD$2:$AD$1780)+COUNTIF($AD$2:AD1336,AD1336)-1)</f>
        <v/>
      </c>
      <c r="AC1336" s="56" t="str">
        <f aca="false">IF(AND(F1336&gt;0,E1336&gt;=Settings!$B$4),J1336,"")</f>
        <v/>
      </c>
      <c r="AD1336" s="56" t="str">
        <f aca="false">IF(X1336="HIGH RATE",O1336,"")</f>
        <v/>
      </c>
    </row>
    <row r="1337" customFormat="false" ht="15" hidden="false" customHeight="false" outlineLevel="0" collapsed="false">
      <c r="A1337" s="56" t="s">
        <v>2724</v>
      </c>
      <c r="B1337" s="56" t="s">
        <v>685</v>
      </c>
      <c r="C1337" s="56" t="s">
        <v>683</v>
      </c>
      <c r="D1337" s="56" t="str">
        <f aca="false">IFERROR(INDEX('Brand Map'!$B$4:$B$124,MATCH(C1337,'Brand Map'!$A$4:$A$124,0)),"Other")</f>
        <v>Other (small prefixes)</v>
      </c>
      <c r="E1337" s="57" t="n">
        <v>1</v>
      </c>
      <c r="F1337" s="57" t="n">
        <v>0</v>
      </c>
      <c r="G1337" s="58" t="n">
        <v>24.95</v>
      </c>
      <c r="H1337" s="58" t="n">
        <v>0</v>
      </c>
      <c r="I1337" s="58" t="n">
        <v>24.95</v>
      </c>
      <c r="J1337" s="32" t="n">
        <f aca="false">IF(E1337&gt;0,F1337/E1337,0)</f>
        <v>0</v>
      </c>
      <c r="K1337" s="32" t="n">
        <f aca="false">IF(G1337&gt;0,H1337/G1337,0)</f>
        <v>-0</v>
      </c>
      <c r="L1337" s="59" t="n">
        <f aca="false">H1337/Settings!$B$16</f>
        <v>-0</v>
      </c>
      <c r="M1337" s="59" t="n">
        <f aca="false">H1337/Settings!$B$20</f>
        <v>-0</v>
      </c>
      <c r="N1337" s="60" t="n">
        <f aca="false">E1337*Settings!$B$3</f>
        <v>0.0309861510798204</v>
      </c>
      <c r="O1337" s="60" t="n">
        <f aca="false">IF(E1337&gt;0,(F1337-N1337)/SQRT(E1337*Settings!$B$3*(1-Settings!$B$3)),0)</f>
        <v>-0.178821125934444</v>
      </c>
      <c r="P1337" s="60" t="n">
        <f aca="false">MAX(0,F1337-N1337)</f>
        <v>0</v>
      </c>
      <c r="Q1337" s="32" t="n">
        <f aca="false">(F1337+Settings!$B$7*Settings!$B$3)/(E1337+Settings!$B$7)</f>
        <v>0.0299865978191811</v>
      </c>
      <c r="R1337" s="61" t="n">
        <f aca="false">PERCENTRANK($H$2:$H$1780,H1337,6)</f>
        <v>0</v>
      </c>
      <c r="S1337" s="61" t="n">
        <f aca="false">PERCENTRANK($Q$2:$Q$1780,Q1337,6)</f>
        <v>0.486502</v>
      </c>
      <c r="T1337" s="61" t="n">
        <f aca="false">PERCENTRANK($F$2:$F$1780,F1337,6)</f>
        <v>0</v>
      </c>
      <c r="U1337" s="62" t="n">
        <f aca="false">IF(F1337&gt;0,(Settings!$B$8*T1337+Settings!$B$9*R1337+Settings!$B$10*S1337)/SUM(Settings!$B$8:$B$10),0)</f>
        <v>0</v>
      </c>
      <c r="V1337" s="56" t="str">
        <f aca="false">IF(U1337&gt;0,RANK(U1337,$U$2:$U$1780)+COUNTIF($U$2:U1337,U1337)-1,"")</f>
        <v/>
      </c>
      <c r="W1337" s="56" t="str">
        <f aca="false">IF(V1337="","",IF(V1337&lt;=Settings!$B$11,"1 - Fix first",IF(V1337&lt;=Settings!$B$12,"2 - Review","3 - Monitor")))</f>
        <v/>
      </c>
      <c r="X1337" s="56" t="str">
        <f aca="false">IF(AND(E1337&gt;=Settings!$B$4,F1337&gt;=Settings!$B$5,O1337&gt;=Settings!$B$6),"HIGH RATE","")</f>
        <v/>
      </c>
      <c r="Y1337" s="56" t="str">
        <f aca="false">IF(F1337&gt;0,RANK(F1337,$F$2:$F$1780)+COUNTIF($F$2:F1337,F1337)-1,"")</f>
        <v/>
      </c>
      <c r="Z1337" s="56" t="str">
        <f aca="false">IF(H1337&gt;0,RANK(H1337,$H$2:$H$1780)+COUNTIF($H$2:H1337,H1337)-1,"")</f>
        <v/>
      </c>
      <c r="AA1337" s="56" t="str">
        <f aca="false">IF(AC1337="","",RANK(AC1337,$AC$2:$AC$1780)+COUNTIF($AC$2:AC1337,AC1337)-1)</f>
        <v/>
      </c>
      <c r="AB1337" s="56" t="str">
        <f aca="false">IF(AD1337="","",RANK(AD1337,$AD$2:$AD$1780)+COUNTIF($AD$2:AD1337,AD1337)-1)</f>
        <v/>
      </c>
      <c r="AC1337" s="56" t="str">
        <f aca="false">IF(AND(F1337&gt;0,E1337&gt;=Settings!$B$4),J1337,"")</f>
        <v/>
      </c>
      <c r="AD1337" s="56" t="str">
        <f aca="false">IF(X1337="HIGH RATE",O1337,"")</f>
        <v/>
      </c>
    </row>
    <row r="1338" customFormat="false" ht="15" hidden="false" customHeight="false" outlineLevel="0" collapsed="false">
      <c r="A1338" s="56" t="s">
        <v>818</v>
      </c>
      <c r="B1338" s="56" t="s">
        <v>819</v>
      </c>
      <c r="C1338" s="56" t="s">
        <v>817</v>
      </c>
      <c r="D1338" s="56" t="str">
        <f aca="false">IFERROR(INDEX('Brand Map'!$B$4:$B$124,MATCH(C1338,'Brand Map'!$A$4:$A$124,0)),"Other")</f>
        <v>Other (small prefixes)</v>
      </c>
      <c r="E1338" s="57" t="n">
        <v>2</v>
      </c>
      <c r="F1338" s="57" t="n">
        <v>0</v>
      </c>
      <c r="G1338" s="58" t="n">
        <v>49.9</v>
      </c>
      <c r="H1338" s="58" t="n">
        <v>0</v>
      </c>
      <c r="I1338" s="58" t="n">
        <v>49.9</v>
      </c>
      <c r="J1338" s="32" t="n">
        <f aca="false">IF(E1338&gt;0,F1338/E1338,0)</f>
        <v>0</v>
      </c>
      <c r="K1338" s="32" t="n">
        <f aca="false">IF(G1338&gt;0,H1338/G1338,0)</f>
        <v>-0</v>
      </c>
      <c r="L1338" s="59" t="n">
        <f aca="false">H1338/Settings!$B$16</f>
        <v>-0</v>
      </c>
      <c r="M1338" s="59" t="n">
        <f aca="false">H1338/Settings!$B$20</f>
        <v>-0</v>
      </c>
      <c r="N1338" s="60" t="n">
        <f aca="false">E1338*Settings!$B$3</f>
        <v>0.0619723021596408</v>
      </c>
      <c r="O1338" s="60" t="n">
        <f aca="false">IF(E1338&gt;0,(F1338-N1338)/SQRT(E1338*Settings!$B$3*(1-Settings!$B$3)),0)</f>
        <v>-0.252891261535318</v>
      </c>
      <c r="P1338" s="60" t="n">
        <f aca="false">MAX(0,F1338-N1338)</f>
        <v>0</v>
      </c>
      <c r="Q1338" s="32" t="n">
        <f aca="false">(F1338+Settings!$B$7*Settings!$B$3)/(E1338+Settings!$B$7)</f>
        <v>0.0290495166373316</v>
      </c>
      <c r="R1338" s="61" t="n">
        <f aca="false">PERCENTRANK($H$2:$H$1780,H1338,6)</f>
        <v>0</v>
      </c>
      <c r="S1338" s="61" t="n">
        <f aca="false">PERCENTRANK($Q$2:$Q$1780,Q1338,6)</f>
        <v>0.365579</v>
      </c>
      <c r="T1338" s="61" t="n">
        <f aca="false">PERCENTRANK($F$2:$F$1780,F1338,6)</f>
        <v>0</v>
      </c>
      <c r="U1338" s="62" t="n">
        <f aca="false">IF(F1338&gt;0,(Settings!$B$8*T1338+Settings!$B$9*R1338+Settings!$B$10*S1338)/SUM(Settings!$B$8:$B$10),0)</f>
        <v>0</v>
      </c>
      <c r="V1338" s="56" t="str">
        <f aca="false">IF(U1338&gt;0,RANK(U1338,$U$2:$U$1780)+COUNTIF($U$2:U1338,U1338)-1,"")</f>
        <v/>
      </c>
      <c r="W1338" s="56" t="str">
        <f aca="false">IF(V1338="","",IF(V1338&lt;=Settings!$B$11,"1 - Fix first",IF(V1338&lt;=Settings!$B$12,"2 - Review","3 - Monitor")))</f>
        <v/>
      </c>
      <c r="X1338" s="56" t="str">
        <f aca="false">IF(AND(E1338&gt;=Settings!$B$4,F1338&gt;=Settings!$B$5,O1338&gt;=Settings!$B$6),"HIGH RATE","")</f>
        <v/>
      </c>
      <c r="Y1338" s="56" t="str">
        <f aca="false">IF(F1338&gt;0,RANK(F1338,$F$2:$F$1780)+COUNTIF($F$2:F1338,F1338)-1,"")</f>
        <v/>
      </c>
      <c r="Z1338" s="56" t="str">
        <f aca="false">IF(H1338&gt;0,RANK(H1338,$H$2:$H$1780)+COUNTIF($H$2:H1338,H1338)-1,"")</f>
        <v/>
      </c>
      <c r="AA1338" s="56" t="str">
        <f aca="false">IF(AC1338="","",RANK(AC1338,$AC$2:$AC$1780)+COUNTIF($AC$2:AC1338,AC1338)-1)</f>
        <v/>
      </c>
      <c r="AB1338" s="56" t="str">
        <f aca="false">IF(AD1338="","",RANK(AD1338,$AD$2:$AD$1780)+COUNTIF($AD$2:AD1338,AD1338)-1)</f>
        <v/>
      </c>
      <c r="AC1338" s="56" t="str">
        <f aca="false">IF(AND(F1338&gt;0,E1338&gt;=Settings!$B$4),J1338,"")</f>
        <v/>
      </c>
      <c r="AD1338" s="56" t="str">
        <f aca="false">IF(X1338="HIGH RATE",O1338,"")</f>
        <v/>
      </c>
    </row>
    <row r="1339" customFormat="false" ht="15" hidden="false" customHeight="false" outlineLevel="0" collapsed="false">
      <c r="A1339" s="56" t="s">
        <v>809</v>
      </c>
      <c r="B1339" s="56" t="s">
        <v>810</v>
      </c>
      <c r="C1339" s="56" t="s">
        <v>808</v>
      </c>
      <c r="D1339" s="56" t="str">
        <f aca="false">IFERROR(INDEX('Brand Map'!$B$4:$B$124,MATCH(C1339,'Brand Map'!$A$4:$A$124,0)),"Other")</f>
        <v>Other (small prefixes)</v>
      </c>
      <c r="E1339" s="57" t="n">
        <v>1</v>
      </c>
      <c r="F1339" s="57" t="n">
        <v>0</v>
      </c>
      <c r="G1339" s="58" t="n">
        <v>44.95</v>
      </c>
      <c r="H1339" s="58" t="n">
        <v>0</v>
      </c>
      <c r="I1339" s="58" t="n">
        <v>44.95</v>
      </c>
      <c r="J1339" s="32" t="n">
        <f aca="false">IF(E1339&gt;0,F1339/E1339,0)</f>
        <v>0</v>
      </c>
      <c r="K1339" s="32" t="n">
        <f aca="false">IF(G1339&gt;0,H1339/G1339,0)</f>
        <v>-0</v>
      </c>
      <c r="L1339" s="59" t="n">
        <f aca="false">H1339/Settings!$B$16</f>
        <v>-0</v>
      </c>
      <c r="M1339" s="59" t="n">
        <f aca="false">H1339/Settings!$B$20</f>
        <v>-0</v>
      </c>
      <c r="N1339" s="60" t="n">
        <f aca="false">E1339*Settings!$B$3</f>
        <v>0.0309861510798204</v>
      </c>
      <c r="O1339" s="60" t="n">
        <f aca="false">IF(E1339&gt;0,(F1339-N1339)/SQRT(E1339*Settings!$B$3*(1-Settings!$B$3)),0)</f>
        <v>-0.178821125934444</v>
      </c>
      <c r="P1339" s="60" t="n">
        <f aca="false">MAX(0,F1339-N1339)</f>
        <v>0</v>
      </c>
      <c r="Q1339" s="32" t="n">
        <f aca="false">(F1339+Settings!$B$7*Settings!$B$3)/(E1339+Settings!$B$7)</f>
        <v>0.0299865978191811</v>
      </c>
      <c r="R1339" s="61" t="n">
        <f aca="false">PERCENTRANK($H$2:$H$1780,H1339,6)</f>
        <v>0</v>
      </c>
      <c r="S1339" s="61" t="n">
        <f aca="false">PERCENTRANK($Q$2:$Q$1780,Q1339,6)</f>
        <v>0.486502</v>
      </c>
      <c r="T1339" s="61" t="n">
        <f aca="false">PERCENTRANK($F$2:$F$1780,F1339,6)</f>
        <v>0</v>
      </c>
      <c r="U1339" s="62" t="n">
        <f aca="false">IF(F1339&gt;0,(Settings!$B$8*T1339+Settings!$B$9*R1339+Settings!$B$10*S1339)/SUM(Settings!$B$8:$B$10),0)</f>
        <v>0</v>
      </c>
      <c r="V1339" s="56" t="str">
        <f aca="false">IF(U1339&gt;0,RANK(U1339,$U$2:$U$1780)+COUNTIF($U$2:U1339,U1339)-1,"")</f>
        <v/>
      </c>
      <c r="W1339" s="56" t="str">
        <f aca="false">IF(V1339="","",IF(V1339&lt;=Settings!$B$11,"1 - Fix first",IF(V1339&lt;=Settings!$B$12,"2 - Review","3 - Monitor")))</f>
        <v/>
      </c>
      <c r="X1339" s="56" t="str">
        <f aca="false">IF(AND(E1339&gt;=Settings!$B$4,F1339&gt;=Settings!$B$5,O1339&gt;=Settings!$B$6),"HIGH RATE","")</f>
        <v/>
      </c>
      <c r="Y1339" s="56" t="str">
        <f aca="false">IF(F1339&gt;0,RANK(F1339,$F$2:$F$1780)+COUNTIF($F$2:F1339,F1339)-1,"")</f>
        <v/>
      </c>
      <c r="Z1339" s="56" t="str">
        <f aca="false">IF(H1339&gt;0,RANK(H1339,$H$2:$H$1780)+COUNTIF($H$2:H1339,H1339)-1,"")</f>
        <v/>
      </c>
      <c r="AA1339" s="56" t="str">
        <f aca="false">IF(AC1339="","",RANK(AC1339,$AC$2:$AC$1780)+COUNTIF($AC$2:AC1339,AC1339)-1)</f>
        <v/>
      </c>
      <c r="AB1339" s="56" t="str">
        <f aca="false">IF(AD1339="","",RANK(AD1339,$AD$2:$AD$1780)+COUNTIF($AD$2:AD1339,AD1339)-1)</f>
        <v/>
      </c>
      <c r="AC1339" s="56" t="str">
        <f aca="false">IF(AND(F1339&gt;0,E1339&gt;=Settings!$B$4),J1339,"")</f>
        <v/>
      </c>
      <c r="AD1339" s="56" t="str">
        <f aca="false">IF(X1339="HIGH RATE",O1339,"")</f>
        <v/>
      </c>
    </row>
    <row r="1340" customFormat="false" ht="15" hidden="false" customHeight="false" outlineLevel="0" collapsed="false">
      <c r="A1340" s="56" t="s">
        <v>2725</v>
      </c>
      <c r="B1340" s="56" t="s">
        <v>810</v>
      </c>
      <c r="C1340" s="56" t="s">
        <v>808</v>
      </c>
      <c r="D1340" s="56" t="str">
        <f aca="false">IFERROR(INDEX('Brand Map'!$B$4:$B$124,MATCH(C1340,'Brand Map'!$A$4:$A$124,0)),"Other")</f>
        <v>Other (small prefixes)</v>
      </c>
      <c r="E1340" s="57" t="n">
        <v>1</v>
      </c>
      <c r="F1340" s="57" t="n">
        <v>0</v>
      </c>
      <c r="G1340" s="58" t="n">
        <v>29.95</v>
      </c>
      <c r="H1340" s="58" t="n">
        <v>0</v>
      </c>
      <c r="I1340" s="58" t="n">
        <v>29.95</v>
      </c>
      <c r="J1340" s="32" t="n">
        <f aca="false">IF(E1340&gt;0,F1340/E1340,0)</f>
        <v>0</v>
      </c>
      <c r="K1340" s="32" t="n">
        <f aca="false">IF(G1340&gt;0,H1340/G1340,0)</f>
        <v>-0</v>
      </c>
      <c r="L1340" s="59" t="n">
        <f aca="false">H1340/Settings!$B$16</f>
        <v>-0</v>
      </c>
      <c r="M1340" s="59" t="n">
        <f aca="false">H1340/Settings!$B$20</f>
        <v>-0</v>
      </c>
      <c r="N1340" s="60" t="n">
        <f aca="false">E1340*Settings!$B$3</f>
        <v>0.0309861510798204</v>
      </c>
      <c r="O1340" s="60" t="n">
        <f aca="false">IF(E1340&gt;0,(F1340-N1340)/SQRT(E1340*Settings!$B$3*(1-Settings!$B$3)),0)</f>
        <v>-0.178821125934444</v>
      </c>
      <c r="P1340" s="60" t="n">
        <f aca="false">MAX(0,F1340-N1340)</f>
        <v>0</v>
      </c>
      <c r="Q1340" s="32" t="n">
        <f aca="false">(F1340+Settings!$B$7*Settings!$B$3)/(E1340+Settings!$B$7)</f>
        <v>0.0299865978191811</v>
      </c>
      <c r="R1340" s="61" t="n">
        <f aca="false">PERCENTRANK($H$2:$H$1780,H1340,6)</f>
        <v>0</v>
      </c>
      <c r="S1340" s="61" t="n">
        <f aca="false">PERCENTRANK($Q$2:$Q$1780,Q1340,6)</f>
        <v>0.486502</v>
      </c>
      <c r="T1340" s="61" t="n">
        <f aca="false">PERCENTRANK($F$2:$F$1780,F1340,6)</f>
        <v>0</v>
      </c>
      <c r="U1340" s="62" t="n">
        <f aca="false">IF(F1340&gt;0,(Settings!$B$8*T1340+Settings!$B$9*R1340+Settings!$B$10*S1340)/SUM(Settings!$B$8:$B$10),0)</f>
        <v>0</v>
      </c>
      <c r="V1340" s="56" t="str">
        <f aca="false">IF(U1340&gt;0,RANK(U1340,$U$2:$U$1780)+COUNTIF($U$2:U1340,U1340)-1,"")</f>
        <v/>
      </c>
      <c r="W1340" s="56" t="str">
        <f aca="false">IF(V1340="","",IF(V1340&lt;=Settings!$B$11,"1 - Fix first",IF(V1340&lt;=Settings!$B$12,"2 - Review","3 - Monitor")))</f>
        <v/>
      </c>
      <c r="X1340" s="56" t="str">
        <f aca="false">IF(AND(E1340&gt;=Settings!$B$4,F1340&gt;=Settings!$B$5,O1340&gt;=Settings!$B$6),"HIGH RATE","")</f>
        <v/>
      </c>
      <c r="Y1340" s="56" t="str">
        <f aca="false">IF(F1340&gt;0,RANK(F1340,$F$2:$F$1780)+COUNTIF($F$2:F1340,F1340)-1,"")</f>
        <v/>
      </c>
      <c r="Z1340" s="56" t="str">
        <f aca="false">IF(H1340&gt;0,RANK(H1340,$H$2:$H$1780)+COUNTIF($H$2:H1340,H1340)-1,"")</f>
        <v/>
      </c>
      <c r="AA1340" s="56" t="str">
        <f aca="false">IF(AC1340="","",RANK(AC1340,$AC$2:$AC$1780)+COUNTIF($AC$2:AC1340,AC1340)-1)</f>
        <v/>
      </c>
      <c r="AB1340" s="56" t="str">
        <f aca="false">IF(AD1340="","",RANK(AD1340,$AD$2:$AD$1780)+COUNTIF($AD$2:AD1340,AD1340)-1)</f>
        <v/>
      </c>
      <c r="AC1340" s="56" t="str">
        <f aca="false">IF(AND(F1340&gt;0,E1340&gt;=Settings!$B$4),J1340,"")</f>
        <v/>
      </c>
      <c r="AD1340" s="56" t="str">
        <f aca="false">IF(X1340="HIGH RATE",O1340,"")</f>
        <v/>
      </c>
    </row>
    <row r="1341" customFormat="false" ht="15" hidden="false" customHeight="false" outlineLevel="0" collapsed="false">
      <c r="A1341" s="56" t="s">
        <v>830</v>
      </c>
      <c r="B1341" s="56" t="s">
        <v>831</v>
      </c>
      <c r="C1341" s="56" t="s">
        <v>829</v>
      </c>
      <c r="D1341" s="56" t="str">
        <f aca="false">IFERROR(INDEX('Brand Map'!$B$4:$B$124,MATCH(C1341,'Brand Map'!$A$4:$A$124,0)),"Other")</f>
        <v>Free / add-on / admin items</v>
      </c>
      <c r="E1341" s="57" t="n">
        <v>12</v>
      </c>
      <c r="F1341" s="57" t="n">
        <v>0</v>
      </c>
      <c r="G1341" s="58" t="n">
        <v>0</v>
      </c>
      <c r="H1341" s="58" t="n">
        <v>0</v>
      </c>
      <c r="I1341" s="58" t="n">
        <v>0</v>
      </c>
      <c r="J1341" s="32" t="n">
        <f aca="false">IF(E1341&gt;0,F1341/E1341,0)</f>
        <v>0</v>
      </c>
      <c r="K1341" s="32" t="n">
        <f aca="false">IF(G1341&gt;0,H1341/G1341,0)</f>
        <v>0</v>
      </c>
      <c r="L1341" s="59" t="n">
        <f aca="false">H1341/Settings!$B$16</f>
        <v>-0</v>
      </c>
      <c r="M1341" s="59" t="n">
        <f aca="false">H1341/Settings!$B$20</f>
        <v>-0</v>
      </c>
      <c r="N1341" s="60" t="n">
        <f aca="false">E1341*Settings!$B$3</f>
        <v>0.371833812957845</v>
      </c>
      <c r="O1341" s="60" t="n">
        <f aca="false">IF(E1341&gt;0,(F1341-N1341)/SQRT(E1341*Settings!$B$3*(1-Settings!$B$3)),0)</f>
        <v>-0.61945455117026</v>
      </c>
      <c r="P1341" s="60" t="n">
        <f aca="false">MAX(0,F1341-N1341)</f>
        <v>0</v>
      </c>
      <c r="Q1341" s="32" t="n">
        <f aca="false">(F1341+Settings!$B$7*Settings!$B$3)/(E1341+Settings!$B$7)</f>
        <v>0.0221329650570146</v>
      </c>
      <c r="R1341" s="61" t="n">
        <f aca="false">PERCENTRANK($H$2:$H$1780,H1341,6)</f>
        <v>0</v>
      </c>
      <c r="S1341" s="61" t="n">
        <f aca="false">PERCENTRANK($Q$2:$Q$1780,Q1341,6)</f>
        <v>0.109674</v>
      </c>
      <c r="T1341" s="61" t="n">
        <f aca="false">PERCENTRANK($F$2:$F$1780,F1341,6)</f>
        <v>0</v>
      </c>
      <c r="U1341" s="62" t="n">
        <f aca="false">IF(F1341&gt;0,(Settings!$B$8*T1341+Settings!$B$9*R1341+Settings!$B$10*S1341)/SUM(Settings!$B$8:$B$10),0)</f>
        <v>0</v>
      </c>
      <c r="V1341" s="56" t="str">
        <f aca="false">IF(U1341&gt;0,RANK(U1341,$U$2:$U$1780)+COUNTIF($U$2:U1341,U1341)-1,"")</f>
        <v/>
      </c>
      <c r="W1341" s="56" t="str">
        <f aca="false">IF(V1341="","",IF(V1341&lt;=Settings!$B$11,"1 - Fix first",IF(V1341&lt;=Settings!$B$12,"2 - Review","3 - Monitor")))</f>
        <v/>
      </c>
      <c r="X1341" s="56" t="str">
        <f aca="false">IF(AND(E1341&gt;=Settings!$B$4,F1341&gt;=Settings!$B$5,O1341&gt;=Settings!$B$6),"HIGH RATE","")</f>
        <v/>
      </c>
      <c r="Y1341" s="56" t="str">
        <f aca="false">IF(F1341&gt;0,RANK(F1341,$F$2:$F$1780)+COUNTIF($F$2:F1341,F1341)-1,"")</f>
        <v/>
      </c>
      <c r="Z1341" s="56" t="str">
        <f aca="false">IF(H1341&gt;0,RANK(H1341,$H$2:$H$1780)+COUNTIF($H$2:H1341,H1341)-1,"")</f>
        <v/>
      </c>
      <c r="AA1341" s="56" t="str">
        <f aca="false">IF(AC1341="","",RANK(AC1341,$AC$2:$AC$1780)+COUNTIF($AC$2:AC1341,AC1341)-1)</f>
        <v/>
      </c>
      <c r="AB1341" s="56" t="str">
        <f aca="false">IF(AD1341="","",RANK(AD1341,$AD$2:$AD$1780)+COUNTIF($AD$2:AD1341,AD1341)-1)</f>
        <v/>
      </c>
      <c r="AC1341" s="56" t="str">
        <f aca="false">IF(AND(F1341&gt;0,E1341&gt;=Settings!$B$4),J1341,"")</f>
        <v/>
      </c>
      <c r="AD1341" s="56" t="str">
        <f aca="false">IF(X1341="HIGH RATE",O1341,"")</f>
        <v/>
      </c>
    </row>
    <row r="1342" customFormat="false" ht="15" hidden="false" customHeight="false" outlineLevel="0" collapsed="false">
      <c r="A1342" s="56" t="s">
        <v>2726</v>
      </c>
      <c r="B1342" s="56" t="s">
        <v>2727</v>
      </c>
      <c r="C1342" s="56" t="s">
        <v>148</v>
      </c>
      <c r="D1342" s="56" t="str">
        <f aca="false">IFERROR(INDEX('Brand Map'!$B$4:$B$124,MATCH(C1342,'Brand Map'!$A$4:$A$124,0)),"Other")</f>
        <v>FBAU</v>
      </c>
      <c r="E1342" s="57" t="n">
        <v>18</v>
      </c>
      <c r="F1342" s="57" t="n">
        <v>0</v>
      </c>
      <c r="G1342" s="58" t="n">
        <v>1554.69</v>
      </c>
      <c r="H1342" s="58" t="n">
        <v>0</v>
      </c>
      <c r="I1342" s="58" t="n">
        <v>1521.53</v>
      </c>
      <c r="J1342" s="32" t="n">
        <f aca="false">IF(E1342&gt;0,F1342/E1342,0)</f>
        <v>0</v>
      </c>
      <c r="K1342" s="32" t="n">
        <f aca="false">IF(G1342&gt;0,H1342/G1342,0)</f>
        <v>-0</v>
      </c>
      <c r="L1342" s="59" t="n">
        <f aca="false">H1342/Settings!$B$16</f>
        <v>-0</v>
      </c>
      <c r="M1342" s="59" t="n">
        <f aca="false">H1342/Settings!$B$20</f>
        <v>-0</v>
      </c>
      <c r="N1342" s="60" t="n">
        <f aca="false">E1342*Settings!$B$3</f>
        <v>0.557750719436768</v>
      </c>
      <c r="O1342" s="60" t="n">
        <f aca="false">IF(E1342&gt;0,(F1342-N1342)/SQRT(E1342*Settings!$B$3*(1-Settings!$B$3)),0)</f>
        <v>-0.758673784605954</v>
      </c>
      <c r="P1342" s="60" t="n">
        <f aca="false">MAX(0,F1342-N1342)</f>
        <v>0</v>
      </c>
      <c r="Q1342" s="32" t="n">
        <f aca="false">(F1342+Settings!$B$7*Settings!$B$3)/(E1342+Settings!$B$7)</f>
        <v>0.0193663444248878</v>
      </c>
      <c r="R1342" s="61" t="n">
        <f aca="false">PERCENTRANK($H$2:$H$1780,H1342,6)</f>
        <v>0</v>
      </c>
      <c r="S1342" s="61" t="n">
        <f aca="false">PERCENTRANK($Q$2:$Q$1780,Q1342,6)</f>
        <v>0.083802</v>
      </c>
      <c r="T1342" s="61" t="n">
        <f aca="false">PERCENTRANK($F$2:$F$1780,F1342,6)</f>
        <v>0</v>
      </c>
      <c r="U1342" s="62" t="n">
        <f aca="false">IF(F1342&gt;0,(Settings!$B$8*T1342+Settings!$B$9*R1342+Settings!$B$10*S1342)/SUM(Settings!$B$8:$B$10),0)</f>
        <v>0</v>
      </c>
      <c r="V1342" s="56" t="str">
        <f aca="false">IF(U1342&gt;0,RANK(U1342,$U$2:$U$1780)+COUNTIF($U$2:U1342,U1342)-1,"")</f>
        <v/>
      </c>
      <c r="W1342" s="56" t="str">
        <f aca="false">IF(V1342="","",IF(V1342&lt;=Settings!$B$11,"1 - Fix first",IF(V1342&lt;=Settings!$B$12,"2 - Review","3 - Monitor")))</f>
        <v/>
      </c>
      <c r="X1342" s="56" t="str">
        <f aca="false">IF(AND(E1342&gt;=Settings!$B$4,F1342&gt;=Settings!$B$5,O1342&gt;=Settings!$B$6),"HIGH RATE","")</f>
        <v/>
      </c>
      <c r="Y1342" s="56" t="str">
        <f aca="false">IF(F1342&gt;0,RANK(F1342,$F$2:$F$1780)+COUNTIF($F$2:F1342,F1342)-1,"")</f>
        <v/>
      </c>
      <c r="Z1342" s="56" t="str">
        <f aca="false">IF(H1342&gt;0,RANK(H1342,$H$2:$H$1780)+COUNTIF($H$2:H1342,H1342)-1,"")</f>
        <v/>
      </c>
      <c r="AA1342" s="56" t="str">
        <f aca="false">IF(AC1342="","",RANK(AC1342,$AC$2:$AC$1780)+COUNTIF($AC$2:AC1342,AC1342)-1)</f>
        <v/>
      </c>
      <c r="AB1342" s="56" t="str">
        <f aca="false">IF(AD1342="","",RANK(AD1342,$AD$2:$AD$1780)+COUNTIF($AD$2:AD1342,AD1342)-1)</f>
        <v/>
      </c>
      <c r="AC1342" s="56" t="str">
        <f aca="false">IF(AND(F1342&gt;0,E1342&gt;=Settings!$B$4),J1342,"")</f>
        <v/>
      </c>
      <c r="AD1342" s="56" t="str">
        <f aca="false">IF(X1342="HIGH RATE",O1342,"")</f>
        <v/>
      </c>
    </row>
    <row r="1343" customFormat="false" ht="15" hidden="false" customHeight="false" outlineLevel="0" collapsed="false">
      <c r="A1343" s="56" t="s">
        <v>2728</v>
      </c>
      <c r="B1343" s="56" t="s">
        <v>2729</v>
      </c>
      <c r="C1343" s="56" t="s">
        <v>148</v>
      </c>
      <c r="D1343" s="56" t="str">
        <f aca="false">IFERROR(INDEX('Brand Map'!$B$4:$B$124,MATCH(C1343,'Brand Map'!$A$4:$A$124,0)),"Other")</f>
        <v>FBAU</v>
      </c>
      <c r="E1343" s="57" t="n">
        <v>43</v>
      </c>
      <c r="F1343" s="57" t="n">
        <v>0</v>
      </c>
      <c r="G1343" s="58" t="n">
        <v>2559.79</v>
      </c>
      <c r="H1343" s="58" t="n">
        <v>0</v>
      </c>
      <c r="I1343" s="58" t="n">
        <v>2476.04</v>
      </c>
      <c r="J1343" s="32" t="n">
        <f aca="false">IF(E1343&gt;0,F1343/E1343,0)</f>
        <v>0</v>
      </c>
      <c r="K1343" s="32" t="n">
        <f aca="false">IF(G1343&gt;0,H1343/G1343,0)</f>
        <v>-0</v>
      </c>
      <c r="L1343" s="59" t="n">
        <f aca="false">H1343/Settings!$B$16</f>
        <v>-0</v>
      </c>
      <c r="M1343" s="59" t="n">
        <f aca="false">H1343/Settings!$B$20</f>
        <v>-0</v>
      </c>
      <c r="N1343" s="60" t="n">
        <f aca="false">E1343*Settings!$B$3</f>
        <v>1.33240449643228</v>
      </c>
      <c r="O1343" s="60" t="n">
        <f aca="false">IF(E1343&gt;0,(F1343-N1343)/SQRT(E1343*Settings!$B$3*(1-Settings!$B$3)),0)</f>
        <v>-1.17260854016158</v>
      </c>
      <c r="P1343" s="60" t="n">
        <f aca="false">MAX(0,F1343-N1343)</f>
        <v>0</v>
      </c>
      <c r="Q1343" s="32" t="n">
        <f aca="false">(F1343+Settings!$B$7*Settings!$B$3)/(E1343+Settings!$B$7)</f>
        <v>0.0127340346903372</v>
      </c>
      <c r="R1343" s="61" t="n">
        <f aca="false">PERCENTRANK($H$2:$H$1780,H1343,6)</f>
        <v>0</v>
      </c>
      <c r="S1343" s="61" t="n">
        <f aca="false">PERCENTRANK($Q$2:$Q$1780,Q1343,6)</f>
        <v>0.0264342</v>
      </c>
      <c r="T1343" s="61" t="n">
        <f aca="false">PERCENTRANK($F$2:$F$1780,F1343,6)</f>
        <v>0</v>
      </c>
      <c r="U1343" s="62" t="n">
        <f aca="false">IF(F1343&gt;0,(Settings!$B$8*T1343+Settings!$B$9*R1343+Settings!$B$10*S1343)/SUM(Settings!$B$8:$B$10),0)</f>
        <v>0</v>
      </c>
      <c r="V1343" s="56" t="str">
        <f aca="false">IF(U1343&gt;0,RANK(U1343,$U$2:$U$1780)+COUNTIF($U$2:U1343,U1343)-1,"")</f>
        <v/>
      </c>
      <c r="W1343" s="56" t="str">
        <f aca="false">IF(V1343="","",IF(V1343&lt;=Settings!$B$11,"1 - Fix first",IF(V1343&lt;=Settings!$B$12,"2 - Review","3 - Monitor")))</f>
        <v/>
      </c>
      <c r="X1343" s="56" t="str">
        <f aca="false">IF(AND(E1343&gt;=Settings!$B$4,F1343&gt;=Settings!$B$5,O1343&gt;=Settings!$B$6),"HIGH RATE","")</f>
        <v/>
      </c>
      <c r="Y1343" s="56" t="str">
        <f aca="false">IF(F1343&gt;0,RANK(F1343,$F$2:$F$1780)+COUNTIF($F$2:F1343,F1343)-1,"")</f>
        <v/>
      </c>
      <c r="Z1343" s="56" t="str">
        <f aca="false">IF(H1343&gt;0,RANK(H1343,$H$2:$H$1780)+COUNTIF($H$2:H1343,H1343)-1,"")</f>
        <v/>
      </c>
      <c r="AA1343" s="56" t="str">
        <f aca="false">IF(AC1343="","",RANK(AC1343,$AC$2:$AC$1780)+COUNTIF($AC$2:AC1343,AC1343)-1)</f>
        <v/>
      </c>
      <c r="AB1343" s="56" t="str">
        <f aca="false">IF(AD1343="","",RANK(AD1343,$AD$2:$AD$1780)+COUNTIF($AD$2:AD1343,AD1343)-1)</f>
        <v/>
      </c>
      <c r="AC1343" s="56" t="str">
        <f aca="false">IF(AND(F1343&gt;0,E1343&gt;=Settings!$B$4),J1343,"")</f>
        <v/>
      </c>
      <c r="AD1343" s="56" t="str">
        <f aca="false">IF(X1343="HIGH RATE",O1343,"")</f>
        <v/>
      </c>
    </row>
    <row r="1344" customFormat="false" ht="15" hidden="false" customHeight="false" outlineLevel="0" collapsed="false">
      <c r="A1344" s="56" t="s">
        <v>2730</v>
      </c>
      <c r="B1344" s="56" t="s">
        <v>2731</v>
      </c>
      <c r="C1344" s="56" t="s">
        <v>148</v>
      </c>
      <c r="D1344" s="56" t="str">
        <f aca="false">IFERROR(INDEX('Brand Map'!$B$4:$B$124,MATCH(C1344,'Brand Map'!$A$4:$A$124,0)),"Other")</f>
        <v>FBAU</v>
      </c>
      <c r="E1344" s="57" t="n">
        <v>93</v>
      </c>
      <c r="F1344" s="57" t="n">
        <v>0</v>
      </c>
      <c r="G1344" s="58" t="n">
        <v>6382.35</v>
      </c>
      <c r="H1344" s="58" t="n">
        <v>0</v>
      </c>
      <c r="I1344" s="58" t="n">
        <v>6316.14</v>
      </c>
      <c r="J1344" s="32" t="n">
        <f aca="false">IF(E1344&gt;0,F1344/E1344,0)</f>
        <v>0</v>
      </c>
      <c r="K1344" s="32" t="n">
        <f aca="false">IF(G1344&gt;0,H1344/G1344,0)</f>
        <v>-0</v>
      </c>
      <c r="L1344" s="59" t="n">
        <f aca="false">H1344/Settings!$B$16</f>
        <v>-0</v>
      </c>
      <c r="M1344" s="59" t="n">
        <f aca="false">H1344/Settings!$B$20</f>
        <v>-0</v>
      </c>
      <c r="N1344" s="60" t="n">
        <f aca="false">E1344*Settings!$B$3</f>
        <v>2.8817120504233</v>
      </c>
      <c r="O1344" s="60" t="n">
        <f aca="false">IF(E1344&gt;0,(F1344-N1344)/SQRT(E1344*Settings!$B$3*(1-Settings!$B$3)),0)</f>
        <v>-1.72448848719932</v>
      </c>
      <c r="P1344" s="60" t="n">
        <f aca="false">MAX(0,F1344-N1344)</f>
        <v>0</v>
      </c>
      <c r="Q1344" s="32" t="n">
        <f aca="false">(F1344+Settings!$B$7*Settings!$B$3)/(E1344+Settings!$B$7)</f>
        <v>0.00755759782434644</v>
      </c>
      <c r="R1344" s="61" t="n">
        <f aca="false">PERCENTRANK($H$2:$H$1780,H1344,6)</f>
        <v>0</v>
      </c>
      <c r="S1344" s="61" t="n">
        <f aca="false">PERCENTRANK($Q$2:$Q$1780,Q1344,6)</f>
        <v>0.00899888</v>
      </c>
      <c r="T1344" s="61" t="n">
        <f aca="false">PERCENTRANK($F$2:$F$1780,F1344,6)</f>
        <v>0</v>
      </c>
      <c r="U1344" s="62" t="n">
        <f aca="false">IF(F1344&gt;0,(Settings!$B$8*T1344+Settings!$B$9*R1344+Settings!$B$10*S1344)/SUM(Settings!$B$8:$B$10),0)</f>
        <v>0</v>
      </c>
      <c r="V1344" s="56" t="str">
        <f aca="false">IF(U1344&gt;0,RANK(U1344,$U$2:$U$1780)+COUNTIF($U$2:U1344,U1344)-1,"")</f>
        <v/>
      </c>
      <c r="W1344" s="56" t="str">
        <f aca="false">IF(V1344="","",IF(V1344&lt;=Settings!$B$11,"1 - Fix first",IF(V1344&lt;=Settings!$B$12,"2 - Review","3 - Monitor")))</f>
        <v/>
      </c>
      <c r="X1344" s="56" t="str">
        <f aca="false">IF(AND(E1344&gt;=Settings!$B$4,F1344&gt;=Settings!$B$5,O1344&gt;=Settings!$B$6),"HIGH RATE","")</f>
        <v/>
      </c>
      <c r="Y1344" s="56" t="str">
        <f aca="false">IF(F1344&gt;0,RANK(F1344,$F$2:$F$1780)+COUNTIF($F$2:F1344,F1344)-1,"")</f>
        <v/>
      </c>
      <c r="Z1344" s="56" t="str">
        <f aca="false">IF(H1344&gt;0,RANK(H1344,$H$2:$H$1780)+COUNTIF($H$2:H1344,H1344)-1,"")</f>
        <v/>
      </c>
      <c r="AA1344" s="56" t="str">
        <f aca="false">IF(AC1344="","",RANK(AC1344,$AC$2:$AC$1780)+COUNTIF($AC$2:AC1344,AC1344)-1)</f>
        <v/>
      </c>
      <c r="AB1344" s="56" t="str">
        <f aca="false">IF(AD1344="","",RANK(AD1344,$AD$2:$AD$1780)+COUNTIF($AD$2:AD1344,AD1344)-1)</f>
        <v/>
      </c>
      <c r="AC1344" s="56" t="str">
        <f aca="false">IF(AND(F1344&gt;0,E1344&gt;=Settings!$B$4),J1344,"")</f>
        <v/>
      </c>
      <c r="AD1344" s="56" t="str">
        <f aca="false">IF(X1344="HIGH RATE",O1344,"")</f>
        <v/>
      </c>
    </row>
    <row r="1345" customFormat="false" ht="15" hidden="false" customHeight="false" outlineLevel="0" collapsed="false">
      <c r="A1345" s="56" t="s">
        <v>2732</v>
      </c>
      <c r="B1345" s="56" t="s">
        <v>2733</v>
      </c>
      <c r="C1345" s="56" t="s">
        <v>148</v>
      </c>
      <c r="D1345" s="56" t="str">
        <f aca="false">IFERROR(INDEX('Brand Map'!$B$4:$B$124,MATCH(C1345,'Brand Map'!$A$4:$A$124,0)),"Other")</f>
        <v>FBAU</v>
      </c>
      <c r="E1345" s="57" t="n">
        <v>6</v>
      </c>
      <c r="F1345" s="57" t="n">
        <v>0</v>
      </c>
      <c r="G1345" s="58" t="n">
        <v>580.63</v>
      </c>
      <c r="H1345" s="58" t="n">
        <v>0</v>
      </c>
      <c r="I1345" s="58" t="n">
        <v>565.64</v>
      </c>
      <c r="J1345" s="32" t="n">
        <f aca="false">IF(E1345&gt;0,F1345/E1345,0)</f>
        <v>0</v>
      </c>
      <c r="K1345" s="32" t="n">
        <f aca="false">IF(G1345&gt;0,H1345/G1345,0)</f>
        <v>-0</v>
      </c>
      <c r="L1345" s="59" t="n">
        <f aca="false">H1345/Settings!$B$16</f>
        <v>-0</v>
      </c>
      <c r="M1345" s="59" t="n">
        <f aca="false">H1345/Settings!$B$20</f>
        <v>-0</v>
      </c>
      <c r="N1345" s="60" t="n">
        <f aca="false">E1345*Settings!$B$3</f>
        <v>0.185916906478923</v>
      </c>
      <c r="O1345" s="60" t="n">
        <f aca="false">IF(E1345&gt;0,(F1345-N1345)/SQRT(E1345*Settings!$B$3*(1-Settings!$B$3)),0)</f>
        <v>-0.43802051376936</v>
      </c>
      <c r="P1345" s="60" t="n">
        <f aca="false">MAX(0,F1345-N1345)</f>
        <v>0</v>
      </c>
      <c r="Q1345" s="32" t="n">
        <f aca="false">(F1345+Settings!$B$7*Settings!$B$3)/(E1345+Settings!$B$7)</f>
        <v>0.025821792566517</v>
      </c>
      <c r="R1345" s="61" t="n">
        <f aca="false">PERCENTRANK($H$2:$H$1780,H1345,6)</f>
        <v>0</v>
      </c>
      <c r="S1345" s="61" t="n">
        <f aca="false">PERCENTRANK($Q$2:$Q$1780,Q1345,6)</f>
        <v>0.189539</v>
      </c>
      <c r="T1345" s="61" t="n">
        <f aca="false">PERCENTRANK($F$2:$F$1780,F1345,6)</f>
        <v>0</v>
      </c>
      <c r="U1345" s="62" t="n">
        <f aca="false">IF(F1345&gt;0,(Settings!$B$8*T1345+Settings!$B$9*R1345+Settings!$B$10*S1345)/SUM(Settings!$B$8:$B$10),0)</f>
        <v>0</v>
      </c>
      <c r="V1345" s="56" t="str">
        <f aca="false">IF(U1345&gt;0,RANK(U1345,$U$2:$U$1780)+COUNTIF($U$2:U1345,U1345)-1,"")</f>
        <v/>
      </c>
      <c r="W1345" s="56" t="str">
        <f aca="false">IF(V1345="","",IF(V1345&lt;=Settings!$B$11,"1 - Fix first",IF(V1345&lt;=Settings!$B$12,"2 - Review","3 - Monitor")))</f>
        <v/>
      </c>
      <c r="X1345" s="56" t="str">
        <f aca="false">IF(AND(E1345&gt;=Settings!$B$4,F1345&gt;=Settings!$B$5,O1345&gt;=Settings!$B$6),"HIGH RATE","")</f>
        <v/>
      </c>
      <c r="Y1345" s="56" t="str">
        <f aca="false">IF(F1345&gt;0,RANK(F1345,$F$2:$F$1780)+COUNTIF($F$2:F1345,F1345)-1,"")</f>
        <v/>
      </c>
      <c r="Z1345" s="56" t="str">
        <f aca="false">IF(H1345&gt;0,RANK(H1345,$H$2:$H$1780)+COUNTIF($H$2:H1345,H1345)-1,"")</f>
        <v/>
      </c>
      <c r="AA1345" s="56" t="str">
        <f aca="false">IF(AC1345="","",RANK(AC1345,$AC$2:$AC$1780)+COUNTIF($AC$2:AC1345,AC1345)-1)</f>
        <v/>
      </c>
      <c r="AB1345" s="56" t="str">
        <f aca="false">IF(AD1345="","",RANK(AD1345,$AD$2:$AD$1780)+COUNTIF($AD$2:AD1345,AD1345)-1)</f>
        <v/>
      </c>
      <c r="AC1345" s="56" t="str">
        <f aca="false">IF(AND(F1345&gt;0,E1345&gt;=Settings!$B$4),J1345,"")</f>
        <v/>
      </c>
      <c r="AD1345" s="56" t="str">
        <f aca="false">IF(X1345="HIGH RATE",O1345,"")</f>
        <v/>
      </c>
    </row>
    <row r="1346" customFormat="false" ht="15" hidden="false" customHeight="false" outlineLevel="0" collapsed="false">
      <c r="A1346" s="56" t="s">
        <v>2734</v>
      </c>
      <c r="B1346" s="56" t="s">
        <v>2735</v>
      </c>
      <c r="C1346" s="56" t="s">
        <v>148</v>
      </c>
      <c r="D1346" s="56" t="str">
        <f aca="false">IFERROR(INDEX('Brand Map'!$B$4:$B$124,MATCH(C1346,'Brand Map'!$A$4:$A$124,0)),"Other")</f>
        <v>FBAU</v>
      </c>
      <c r="E1346" s="57" t="n">
        <v>57</v>
      </c>
      <c r="F1346" s="57" t="n">
        <v>0</v>
      </c>
      <c r="G1346" s="58" t="n">
        <v>2768.98</v>
      </c>
      <c r="H1346" s="58" t="n">
        <v>0</v>
      </c>
      <c r="I1346" s="58" t="n">
        <v>2730.41</v>
      </c>
      <c r="J1346" s="32" t="n">
        <f aca="false">IF(E1346&gt;0,F1346/E1346,0)</f>
        <v>0</v>
      </c>
      <c r="K1346" s="32" t="n">
        <f aca="false">IF(G1346&gt;0,H1346/G1346,0)</f>
        <v>-0</v>
      </c>
      <c r="L1346" s="59" t="n">
        <f aca="false">H1346/Settings!$B$16</f>
        <v>-0</v>
      </c>
      <c r="M1346" s="59" t="n">
        <f aca="false">H1346/Settings!$B$20</f>
        <v>-0</v>
      </c>
      <c r="N1346" s="60" t="n">
        <f aca="false">E1346*Settings!$B$3</f>
        <v>1.76621061154976</v>
      </c>
      <c r="O1346" s="60" t="n">
        <f aca="false">IF(E1346&gt;0,(F1346-N1346)/SQRT(E1346*Settings!$B$3*(1-Settings!$B$3)),0)</f>
        <v>-1.35006989433375</v>
      </c>
      <c r="P1346" s="60" t="n">
        <f aca="false">MAX(0,F1346-N1346)</f>
        <v>0</v>
      </c>
      <c r="Q1346" s="32" t="n">
        <f aca="false">(F1346+Settings!$B$7*Settings!$B$3)/(E1346+Settings!$B$7)</f>
        <v>0.0106848796826967</v>
      </c>
      <c r="R1346" s="61" t="n">
        <f aca="false">PERCENTRANK($H$2:$H$1780,H1346,6)</f>
        <v>0</v>
      </c>
      <c r="S1346" s="61" t="n">
        <f aca="false">PERCENTRANK($Q$2:$Q$1780,Q1346,6)</f>
        <v>0.0185602</v>
      </c>
      <c r="T1346" s="61" t="n">
        <f aca="false">PERCENTRANK($F$2:$F$1780,F1346,6)</f>
        <v>0</v>
      </c>
      <c r="U1346" s="62" t="n">
        <f aca="false">IF(F1346&gt;0,(Settings!$B$8*T1346+Settings!$B$9*R1346+Settings!$B$10*S1346)/SUM(Settings!$B$8:$B$10),0)</f>
        <v>0</v>
      </c>
      <c r="V1346" s="56" t="str">
        <f aca="false">IF(U1346&gt;0,RANK(U1346,$U$2:$U$1780)+COUNTIF($U$2:U1346,U1346)-1,"")</f>
        <v/>
      </c>
      <c r="W1346" s="56" t="str">
        <f aca="false">IF(V1346="","",IF(V1346&lt;=Settings!$B$11,"1 - Fix first",IF(V1346&lt;=Settings!$B$12,"2 - Review","3 - Monitor")))</f>
        <v/>
      </c>
      <c r="X1346" s="56" t="str">
        <f aca="false">IF(AND(E1346&gt;=Settings!$B$4,F1346&gt;=Settings!$B$5,O1346&gt;=Settings!$B$6),"HIGH RATE","")</f>
        <v/>
      </c>
      <c r="Y1346" s="56" t="str">
        <f aca="false">IF(F1346&gt;0,RANK(F1346,$F$2:$F$1780)+COUNTIF($F$2:F1346,F1346)-1,"")</f>
        <v/>
      </c>
      <c r="Z1346" s="56" t="str">
        <f aca="false">IF(H1346&gt;0,RANK(H1346,$H$2:$H$1780)+COUNTIF($H$2:H1346,H1346)-1,"")</f>
        <v/>
      </c>
      <c r="AA1346" s="56" t="str">
        <f aca="false">IF(AC1346="","",RANK(AC1346,$AC$2:$AC$1780)+COUNTIF($AC$2:AC1346,AC1346)-1)</f>
        <v/>
      </c>
      <c r="AB1346" s="56" t="str">
        <f aca="false">IF(AD1346="","",RANK(AD1346,$AD$2:$AD$1780)+COUNTIF($AD$2:AD1346,AD1346)-1)</f>
        <v/>
      </c>
      <c r="AC1346" s="56" t="str">
        <f aca="false">IF(AND(F1346&gt;0,E1346&gt;=Settings!$B$4),J1346,"")</f>
        <v/>
      </c>
      <c r="AD1346" s="56" t="str">
        <f aca="false">IF(X1346="HIGH RATE",O1346,"")</f>
        <v/>
      </c>
    </row>
    <row r="1347" customFormat="false" ht="15" hidden="false" customHeight="false" outlineLevel="0" collapsed="false">
      <c r="A1347" s="56" t="s">
        <v>2736</v>
      </c>
      <c r="B1347" s="56" t="s">
        <v>2737</v>
      </c>
      <c r="C1347" s="56" t="s">
        <v>148</v>
      </c>
      <c r="D1347" s="56" t="str">
        <f aca="false">IFERROR(INDEX('Brand Map'!$B$4:$B$124,MATCH(C1347,'Brand Map'!$A$4:$A$124,0)),"Other")</f>
        <v>FBAU</v>
      </c>
      <c r="E1347" s="57" t="n">
        <v>7</v>
      </c>
      <c r="F1347" s="57" t="n">
        <v>0</v>
      </c>
      <c r="G1347" s="58" t="n">
        <v>1334.03</v>
      </c>
      <c r="H1347" s="58" t="n">
        <v>0</v>
      </c>
      <c r="I1347" s="58" t="n">
        <v>1307.04</v>
      </c>
      <c r="J1347" s="32" t="n">
        <f aca="false">IF(E1347&gt;0,F1347/E1347,0)</f>
        <v>0</v>
      </c>
      <c r="K1347" s="32" t="n">
        <f aca="false">IF(G1347&gt;0,H1347/G1347,0)</f>
        <v>-0</v>
      </c>
      <c r="L1347" s="59" t="n">
        <f aca="false">H1347/Settings!$B$16</f>
        <v>-0</v>
      </c>
      <c r="M1347" s="59" t="n">
        <f aca="false">H1347/Settings!$B$20</f>
        <v>-0</v>
      </c>
      <c r="N1347" s="60" t="n">
        <f aca="false">E1347*Settings!$B$3</f>
        <v>0.216903057558743</v>
      </c>
      <c r="O1347" s="60" t="n">
        <f aca="false">IF(E1347&gt;0,(F1347-N1347)/SQRT(E1347*Settings!$B$3*(1-Settings!$B$3)),0)</f>
        <v>-0.473116228387102</v>
      </c>
      <c r="P1347" s="60" t="n">
        <f aca="false">MAX(0,F1347-N1347)</f>
        <v>0</v>
      </c>
      <c r="Q1347" s="32" t="n">
        <f aca="false">(F1347+Settings!$B$7*Settings!$B$3)/(E1347+Settings!$B$7)</f>
        <v>0.0251239062809355</v>
      </c>
      <c r="R1347" s="61" t="n">
        <f aca="false">PERCENTRANK($H$2:$H$1780,H1347,6)</f>
        <v>0</v>
      </c>
      <c r="S1347" s="61" t="n">
        <f aca="false">PERCENTRANK($Q$2:$Q$1780,Q1347,6)</f>
        <v>0.168166</v>
      </c>
      <c r="T1347" s="61" t="n">
        <f aca="false">PERCENTRANK($F$2:$F$1780,F1347,6)</f>
        <v>0</v>
      </c>
      <c r="U1347" s="62" t="n">
        <f aca="false">IF(F1347&gt;0,(Settings!$B$8*T1347+Settings!$B$9*R1347+Settings!$B$10*S1347)/SUM(Settings!$B$8:$B$10),0)</f>
        <v>0</v>
      </c>
      <c r="V1347" s="56" t="str">
        <f aca="false">IF(U1347&gt;0,RANK(U1347,$U$2:$U$1780)+COUNTIF($U$2:U1347,U1347)-1,"")</f>
        <v/>
      </c>
      <c r="W1347" s="56" t="str">
        <f aca="false">IF(V1347="","",IF(V1347&lt;=Settings!$B$11,"1 - Fix first",IF(V1347&lt;=Settings!$B$12,"2 - Review","3 - Monitor")))</f>
        <v/>
      </c>
      <c r="X1347" s="56" t="str">
        <f aca="false">IF(AND(E1347&gt;=Settings!$B$4,F1347&gt;=Settings!$B$5,O1347&gt;=Settings!$B$6),"HIGH RATE","")</f>
        <v/>
      </c>
      <c r="Y1347" s="56" t="str">
        <f aca="false">IF(F1347&gt;0,RANK(F1347,$F$2:$F$1780)+COUNTIF($F$2:F1347,F1347)-1,"")</f>
        <v/>
      </c>
      <c r="Z1347" s="56" t="str">
        <f aca="false">IF(H1347&gt;0,RANK(H1347,$H$2:$H$1780)+COUNTIF($H$2:H1347,H1347)-1,"")</f>
        <v/>
      </c>
      <c r="AA1347" s="56" t="str">
        <f aca="false">IF(AC1347="","",RANK(AC1347,$AC$2:$AC$1780)+COUNTIF($AC$2:AC1347,AC1347)-1)</f>
        <v/>
      </c>
      <c r="AB1347" s="56" t="str">
        <f aca="false">IF(AD1347="","",RANK(AD1347,$AD$2:$AD$1780)+COUNTIF($AD$2:AD1347,AD1347)-1)</f>
        <v/>
      </c>
      <c r="AC1347" s="56" t="str">
        <f aca="false">IF(AND(F1347&gt;0,E1347&gt;=Settings!$B$4),J1347,"")</f>
        <v/>
      </c>
      <c r="AD1347" s="56" t="str">
        <f aca="false">IF(X1347="HIGH RATE",O1347,"")</f>
        <v/>
      </c>
    </row>
    <row r="1348" customFormat="false" ht="15" hidden="false" customHeight="false" outlineLevel="0" collapsed="false">
      <c r="A1348" s="56" t="s">
        <v>2738</v>
      </c>
      <c r="B1348" s="56" t="s">
        <v>2739</v>
      </c>
      <c r="C1348" s="56" t="s">
        <v>148</v>
      </c>
      <c r="D1348" s="56" t="str">
        <f aca="false">IFERROR(INDEX('Brand Map'!$B$4:$B$124,MATCH(C1348,'Brand Map'!$A$4:$A$124,0)),"Other")</f>
        <v>FBAU</v>
      </c>
      <c r="E1348" s="57" t="n">
        <v>15</v>
      </c>
      <c r="F1348" s="57" t="n">
        <v>0</v>
      </c>
      <c r="G1348" s="58" t="n">
        <v>3620.7</v>
      </c>
      <c r="H1348" s="58" t="n">
        <v>0</v>
      </c>
      <c r="I1348" s="58" t="n">
        <v>3568.89</v>
      </c>
      <c r="J1348" s="32" t="n">
        <f aca="false">IF(E1348&gt;0,F1348/E1348,0)</f>
        <v>0</v>
      </c>
      <c r="K1348" s="32" t="n">
        <f aca="false">IF(G1348&gt;0,H1348/G1348,0)</f>
        <v>-0</v>
      </c>
      <c r="L1348" s="59" t="n">
        <f aca="false">H1348/Settings!$B$16</f>
        <v>-0</v>
      </c>
      <c r="M1348" s="59" t="n">
        <f aca="false">H1348/Settings!$B$20</f>
        <v>-0</v>
      </c>
      <c r="N1348" s="60" t="n">
        <f aca="false">E1348*Settings!$B$3</f>
        <v>0.464792266197306</v>
      </c>
      <c r="O1348" s="60" t="n">
        <f aca="false">IF(E1348&gt;0,(F1348-N1348)/SQRT(E1348*Settings!$B$3*(1-Settings!$B$3)),0)</f>
        <v>-0.692571242694161</v>
      </c>
      <c r="P1348" s="60" t="n">
        <f aca="false">MAX(0,F1348-N1348)</f>
        <v>0</v>
      </c>
      <c r="Q1348" s="32" t="n">
        <f aca="false">(F1348+Settings!$B$7*Settings!$B$3)/(E1348+Settings!$B$7)</f>
        <v>0.0206574340532136</v>
      </c>
      <c r="R1348" s="61" t="n">
        <f aca="false">PERCENTRANK($H$2:$H$1780,H1348,6)</f>
        <v>0</v>
      </c>
      <c r="S1348" s="61" t="n">
        <f aca="false">PERCENTRANK($Q$2:$Q$1780,Q1348,6)</f>
        <v>0.0928009</v>
      </c>
      <c r="T1348" s="61" t="n">
        <f aca="false">PERCENTRANK($F$2:$F$1780,F1348,6)</f>
        <v>0</v>
      </c>
      <c r="U1348" s="62" t="n">
        <f aca="false">IF(F1348&gt;0,(Settings!$B$8*T1348+Settings!$B$9*R1348+Settings!$B$10*S1348)/SUM(Settings!$B$8:$B$10),0)</f>
        <v>0</v>
      </c>
      <c r="V1348" s="56" t="str">
        <f aca="false">IF(U1348&gt;0,RANK(U1348,$U$2:$U$1780)+COUNTIF($U$2:U1348,U1348)-1,"")</f>
        <v/>
      </c>
      <c r="W1348" s="56" t="str">
        <f aca="false">IF(V1348="","",IF(V1348&lt;=Settings!$B$11,"1 - Fix first",IF(V1348&lt;=Settings!$B$12,"2 - Review","3 - Monitor")))</f>
        <v/>
      </c>
      <c r="X1348" s="56" t="str">
        <f aca="false">IF(AND(E1348&gt;=Settings!$B$4,F1348&gt;=Settings!$B$5,O1348&gt;=Settings!$B$6),"HIGH RATE","")</f>
        <v/>
      </c>
      <c r="Y1348" s="56" t="str">
        <f aca="false">IF(F1348&gt;0,RANK(F1348,$F$2:$F$1780)+COUNTIF($F$2:F1348,F1348)-1,"")</f>
        <v/>
      </c>
      <c r="Z1348" s="56" t="str">
        <f aca="false">IF(H1348&gt;0,RANK(H1348,$H$2:$H$1780)+COUNTIF($H$2:H1348,H1348)-1,"")</f>
        <v/>
      </c>
      <c r="AA1348" s="56" t="str">
        <f aca="false">IF(AC1348="","",RANK(AC1348,$AC$2:$AC$1780)+COUNTIF($AC$2:AC1348,AC1348)-1)</f>
        <v/>
      </c>
      <c r="AB1348" s="56" t="str">
        <f aca="false">IF(AD1348="","",RANK(AD1348,$AD$2:$AD$1780)+COUNTIF($AD$2:AD1348,AD1348)-1)</f>
        <v/>
      </c>
      <c r="AC1348" s="56" t="str">
        <f aca="false">IF(AND(F1348&gt;0,E1348&gt;=Settings!$B$4),J1348,"")</f>
        <v/>
      </c>
      <c r="AD1348" s="56" t="str">
        <f aca="false">IF(X1348="HIGH RATE",O1348,"")</f>
        <v/>
      </c>
    </row>
    <row r="1349" customFormat="false" ht="15" hidden="false" customHeight="false" outlineLevel="0" collapsed="false">
      <c r="A1349" s="56" t="s">
        <v>2740</v>
      </c>
      <c r="B1349" s="56" t="s">
        <v>558</v>
      </c>
      <c r="C1349" s="56" t="s">
        <v>148</v>
      </c>
      <c r="D1349" s="56" t="str">
        <f aca="false">IFERROR(INDEX('Brand Map'!$B$4:$B$124,MATCH(C1349,'Brand Map'!$A$4:$A$124,0)),"Other")</f>
        <v>FBAU</v>
      </c>
      <c r="E1349" s="57" t="n">
        <v>2</v>
      </c>
      <c r="F1349" s="57" t="n">
        <v>0</v>
      </c>
      <c r="G1349" s="58" t="n">
        <v>277.9</v>
      </c>
      <c r="H1349" s="58" t="n">
        <v>0</v>
      </c>
      <c r="I1349" s="58" t="n">
        <v>277.9</v>
      </c>
      <c r="J1349" s="32" t="n">
        <f aca="false">IF(E1349&gt;0,F1349/E1349,0)</f>
        <v>0</v>
      </c>
      <c r="K1349" s="32" t="n">
        <f aca="false">IF(G1349&gt;0,H1349/G1349,0)</f>
        <v>-0</v>
      </c>
      <c r="L1349" s="59" t="n">
        <f aca="false">H1349/Settings!$B$16</f>
        <v>-0</v>
      </c>
      <c r="M1349" s="59" t="n">
        <f aca="false">H1349/Settings!$B$20</f>
        <v>-0</v>
      </c>
      <c r="N1349" s="60" t="n">
        <f aca="false">E1349*Settings!$B$3</f>
        <v>0.0619723021596408</v>
      </c>
      <c r="O1349" s="60" t="n">
        <f aca="false">IF(E1349&gt;0,(F1349-N1349)/SQRT(E1349*Settings!$B$3*(1-Settings!$B$3)),0)</f>
        <v>-0.252891261535318</v>
      </c>
      <c r="P1349" s="60" t="n">
        <f aca="false">MAX(0,F1349-N1349)</f>
        <v>0</v>
      </c>
      <c r="Q1349" s="32" t="n">
        <f aca="false">(F1349+Settings!$B$7*Settings!$B$3)/(E1349+Settings!$B$7)</f>
        <v>0.0290495166373316</v>
      </c>
      <c r="R1349" s="61" t="n">
        <f aca="false">PERCENTRANK($H$2:$H$1780,H1349,6)</f>
        <v>0</v>
      </c>
      <c r="S1349" s="61" t="n">
        <f aca="false">PERCENTRANK($Q$2:$Q$1780,Q1349,6)</f>
        <v>0.365579</v>
      </c>
      <c r="T1349" s="61" t="n">
        <f aca="false">PERCENTRANK($F$2:$F$1780,F1349,6)</f>
        <v>0</v>
      </c>
      <c r="U1349" s="62" t="n">
        <f aca="false">IF(F1349&gt;0,(Settings!$B$8*T1349+Settings!$B$9*R1349+Settings!$B$10*S1349)/SUM(Settings!$B$8:$B$10),0)</f>
        <v>0</v>
      </c>
      <c r="V1349" s="56" t="str">
        <f aca="false">IF(U1349&gt;0,RANK(U1349,$U$2:$U$1780)+COUNTIF($U$2:U1349,U1349)-1,"")</f>
        <v/>
      </c>
      <c r="W1349" s="56" t="str">
        <f aca="false">IF(V1349="","",IF(V1349&lt;=Settings!$B$11,"1 - Fix first",IF(V1349&lt;=Settings!$B$12,"2 - Review","3 - Monitor")))</f>
        <v/>
      </c>
      <c r="X1349" s="56" t="str">
        <f aca="false">IF(AND(E1349&gt;=Settings!$B$4,F1349&gt;=Settings!$B$5,O1349&gt;=Settings!$B$6),"HIGH RATE","")</f>
        <v/>
      </c>
      <c r="Y1349" s="56" t="str">
        <f aca="false">IF(F1349&gt;0,RANK(F1349,$F$2:$F$1780)+COUNTIF($F$2:F1349,F1349)-1,"")</f>
        <v/>
      </c>
      <c r="Z1349" s="56" t="str">
        <f aca="false">IF(H1349&gt;0,RANK(H1349,$H$2:$H$1780)+COUNTIF($H$2:H1349,H1349)-1,"")</f>
        <v/>
      </c>
      <c r="AA1349" s="56" t="str">
        <f aca="false">IF(AC1349="","",RANK(AC1349,$AC$2:$AC$1780)+COUNTIF($AC$2:AC1349,AC1349)-1)</f>
        <v/>
      </c>
      <c r="AB1349" s="56" t="str">
        <f aca="false">IF(AD1349="","",RANK(AD1349,$AD$2:$AD$1780)+COUNTIF($AD$2:AD1349,AD1349)-1)</f>
        <v/>
      </c>
      <c r="AC1349" s="56" t="str">
        <f aca="false">IF(AND(F1349&gt;0,E1349&gt;=Settings!$B$4),J1349,"")</f>
        <v/>
      </c>
      <c r="AD1349" s="56" t="str">
        <f aca="false">IF(X1349="HIGH RATE",O1349,"")</f>
        <v/>
      </c>
    </row>
    <row r="1350" customFormat="false" ht="15" hidden="false" customHeight="false" outlineLevel="0" collapsed="false">
      <c r="A1350" s="56" t="s">
        <v>2741</v>
      </c>
      <c r="B1350" s="56" t="s">
        <v>2742</v>
      </c>
      <c r="C1350" s="56" t="s">
        <v>611</v>
      </c>
      <c r="D1350" s="56" t="str">
        <f aca="false">IFERROR(INDEX('Brand Map'!$B$4:$B$124,MATCH(C1350,'Brand Map'!$A$4:$A$124,0)),"Other")</f>
        <v>Other (small prefixes)</v>
      </c>
      <c r="E1350" s="57" t="n">
        <v>51</v>
      </c>
      <c r="F1350" s="57" t="n">
        <v>0</v>
      </c>
      <c r="G1350" s="58" t="n">
        <v>7218.2</v>
      </c>
      <c r="H1350" s="58" t="n">
        <v>0</v>
      </c>
      <c r="I1350" s="58" t="n">
        <v>7044.6</v>
      </c>
      <c r="J1350" s="32" t="n">
        <f aca="false">IF(E1350&gt;0,F1350/E1350,0)</f>
        <v>0</v>
      </c>
      <c r="K1350" s="32" t="n">
        <f aca="false">IF(G1350&gt;0,H1350/G1350,0)</f>
        <v>-0</v>
      </c>
      <c r="L1350" s="59" t="n">
        <f aca="false">H1350/Settings!$B$16</f>
        <v>-0</v>
      </c>
      <c r="M1350" s="59" t="n">
        <f aca="false">H1350/Settings!$B$20</f>
        <v>-0</v>
      </c>
      <c r="N1350" s="60" t="n">
        <f aca="false">E1350*Settings!$B$3</f>
        <v>1.58029370507084</v>
      </c>
      <c r="O1350" s="60" t="n">
        <f aca="false">IF(E1350&gt;0,(F1350-N1350)/SQRT(E1350*Settings!$B$3*(1-Settings!$B$3)),0)</f>
        <v>-1.27703827237228</v>
      </c>
      <c r="P1350" s="60" t="n">
        <f aca="false">MAX(0,F1350-N1350)</f>
        <v>0</v>
      </c>
      <c r="Q1350" s="32" t="n">
        <f aca="false">(F1350+Settings!$B$7*Settings!$B$3)/(E1350+Settings!$B$7)</f>
        <v>0.0114763522517853</v>
      </c>
      <c r="R1350" s="61" t="n">
        <f aca="false">PERCENTRANK($H$2:$H$1780,H1350,6)</f>
        <v>0</v>
      </c>
      <c r="S1350" s="61" t="n">
        <f aca="false">PERCENTRANK($Q$2:$Q$1780,Q1350,6)</f>
        <v>0.019685</v>
      </c>
      <c r="T1350" s="61" t="n">
        <f aca="false">PERCENTRANK($F$2:$F$1780,F1350,6)</f>
        <v>0</v>
      </c>
      <c r="U1350" s="62" t="n">
        <f aca="false">IF(F1350&gt;0,(Settings!$B$8*T1350+Settings!$B$9*R1350+Settings!$B$10*S1350)/SUM(Settings!$B$8:$B$10),0)</f>
        <v>0</v>
      </c>
      <c r="V1350" s="56" t="str">
        <f aca="false">IF(U1350&gt;0,RANK(U1350,$U$2:$U$1780)+COUNTIF($U$2:U1350,U1350)-1,"")</f>
        <v/>
      </c>
      <c r="W1350" s="56" t="str">
        <f aca="false">IF(V1350="","",IF(V1350&lt;=Settings!$B$11,"1 - Fix first",IF(V1350&lt;=Settings!$B$12,"2 - Review","3 - Monitor")))</f>
        <v/>
      </c>
      <c r="X1350" s="56" t="str">
        <f aca="false">IF(AND(E1350&gt;=Settings!$B$4,F1350&gt;=Settings!$B$5,O1350&gt;=Settings!$B$6),"HIGH RATE","")</f>
        <v/>
      </c>
      <c r="Y1350" s="56" t="str">
        <f aca="false">IF(F1350&gt;0,RANK(F1350,$F$2:$F$1780)+COUNTIF($F$2:F1350,F1350)-1,"")</f>
        <v/>
      </c>
      <c r="Z1350" s="56" t="str">
        <f aca="false">IF(H1350&gt;0,RANK(H1350,$H$2:$H$1780)+COUNTIF($H$2:H1350,H1350)-1,"")</f>
        <v/>
      </c>
      <c r="AA1350" s="56" t="str">
        <f aca="false">IF(AC1350="","",RANK(AC1350,$AC$2:$AC$1780)+COUNTIF($AC$2:AC1350,AC1350)-1)</f>
        <v/>
      </c>
      <c r="AB1350" s="56" t="str">
        <f aca="false">IF(AD1350="","",RANK(AD1350,$AD$2:$AD$1780)+COUNTIF($AD$2:AD1350,AD1350)-1)</f>
        <v/>
      </c>
      <c r="AC1350" s="56" t="str">
        <f aca="false">IF(AND(F1350&gt;0,E1350&gt;=Settings!$B$4),J1350,"")</f>
        <v/>
      </c>
      <c r="AD1350" s="56" t="str">
        <f aca="false">IF(X1350="HIGH RATE",O1350,"")</f>
        <v/>
      </c>
    </row>
    <row r="1351" customFormat="false" ht="15" hidden="false" customHeight="false" outlineLevel="0" collapsed="false">
      <c r="A1351" s="56" t="s">
        <v>2743</v>
      </c>
      <c r="B1351" s="56" t="s">
        <v>2744</v>
      </c>
      <c r="C1351" s="56" t="s">
        <v>752</v>
      </c>
      <c r="D1351" s="56" t="str">
        <f aca="false">IFERROR(INDEX('Brand Map'!$B$4:$B$124,MATCH(C1351,'Brand Map'!$A$4:$A$124,0)),"Other")</f>
        <v>Other (small prefixes)</v>
      </c>
      <c r="E1351" s="57" t="n">
        <v>2</v>
      </c>
      <c r="F1351" s="57" t="n">
        <v>0</v>
      </c>
      <c r="G1351" s="58" t="n">
        <v>145.36</v>
      </c>
      <c r="H1351" s="58" t="n">
        <v>0</v>
      </c>
      <c r="I1351" s="58" t="n">
        <v>130.83</v>
      </c>
      <c r="J1351" s="32" t="n">
        <f aca="false">IF(E1351&gt;0,F1351/E1351,0)</f>
        <v>0</v>
      </c>
      <c r="K1351" s="32" t="n">
        <f aca="false">IF(G1351&gt;0,H1351/G1351,0)</f>
        <v>-0</v>
      </c>
      <c r="L1351" s="59" t="n">
        <f aca="false">H1351/Settings!$B$16</f>
        <v>-0</v>
      </c>
      <c r="M1351" s="59" t="n">
        <f aca="false">H1351/Settings!$B$20</f>
        <v>-0</v>
      </c>
      <c r="N1351" s="60" t="n">
        <f aca="false">E1351*Settings!$B$3</f>
        <v>0.0619723021596408</v>
      </c>
      <c r="O1351" s="60" t="n">
        <f aca="false">IF(E1351&gt;0,(F1351-N1351)/SQRT(E1351*Settings!$B$3*(1-Settings!$B$3)),0)</f>
        <v>-0.252891261535318</v>
      </c>
      <c r="P1351" s="60" t="n">
        <f aca="false">MAX(0,F1351-N1351)</f>
        <v>0</v>
      </c>
      <c r="Q1351" s="32" t="n">
        <f aca="false">(F1351+Settings!$B$7*Settings!$B$3)/(E1351+Settings!$B$7)</f>
        <v>0.0290495166373316</v>
      </c>
      <c r="R1351" s="61" t="n">
        <f aca="false">PERCENTRANK($H$2:$H$1780,H1351,6)</f>
        <v>0</v>
      </c>
      <c r="S1351" s="61" t="n">
        <f aca="false">PERCENTRANK($Q$2:$Q$1780,Q1351,6)</f>
        <v>0.365579</v>
      </c>
      <c r="T1351" s="61" t="n">
        <f aca="false">PERCENTRANK($F$2:$F$1780,F1351,6)</f>
        <v>0</v>
      </c>
      <c r="U1351" s="62" t="n">
        <f aca="false">IF(F1351&gt;0,(Settings!$B$8*T1351+Settings!$B$9*R1351+Settings!$B$10*S1351)/SUM(Settings!$B$8:$B$10),0)</f>
        <v>0</v>
      </c>
      <c r="V1351" s="56" t="str">
        <f aca="false">IF(U1351&gt;0,RANK(U1351,$U$2:$U$1780)+COUNTIF($U$2:U1351,U1351)-1,"")</f>
        <v/>
      </c>
      <c r="W1351" s="56" t="str">
        <f aca="false">IF(V1351="","",IF(V1351&lt;=Settings!$B$11,"1 - Fix first",IF(V1351&lt;=Settings!$B$12,"2 - Review","3 - Monitor")))</f>
        <v/>
      </c>
      <c r="X1351" s="56" t="str">
        <f aca="false">IF(AND(E1351&gt;=Settings!$B$4,F1351&gt;=Settings!$B$5,O1351&gt;=Settings!$B$6),"HIGH RATE","")</f>
        <v/>
      </c>
      <c r="Y1351" s="56" t="str">
        <f aca="false">IF(F1351&gt;0,RANK(F1351,$F$2:$F$1780)+COUNTIF($F$2:F1351,F1351)-1,"")</f>
        <v/>
      </c>
      <c r="Z1351" s="56" t="str">
        <f aca="false">IF(H1351&gt;0,RANK(H1351,$H$2:$H$1780)+COUNTIF($H$2:H1351,H1351)-1,"")</f>
        <v/>
      </c>
      <c r="AA1351" s="56" t="str">
        <f aca="false">IF(AC1351="","",RANK(AC1351,$AC$2:$AC$1780)+COUNTIF($AC$2:AC1351,AC1351)-1)</f>
        <v/>
      </c>
      <c r="AB1351" s="56" t="str">
        <f aca="false">IF(AD1351="","",RANK(AD1351,$AD$2:$AD$1780)+COUNTIF($AD$2:AD1351,AD1351)-1)</f>
        <v/>
      </c>
      <c r="AC1351" s="56" t="str">
        <f aca="false">IF(AND(F1351&gt;0,E1351&gt;=Settings!$B$4),J1351,"")</f>
        <v/>
      </c>
      <c r="AD1351" s="56" t="str">
        <f aca="false">IF(X1351="HIGH RATE",O1351,"")</f>
        <v/>
      </c>
    </row>
    <row r="1352" customFormat="false" ht="15" hidden="false" customHeight="false" outlineLevel="0" collapsed="false">
      <c r="A1352" s="56" t="s">
        <v>753</v>
      </c>
      <c r="B1352" s="56" t="s">
        <v>754</v>
      </c>
      <c r="C1352" s="56" t="s">
        <v>752</v>
      </c>
      <c r="D1352" s="56" t="str">
        <f aca="false">IFERROR(INDEX('Brand Map'!$B$4:$B$124,MATCH(C1352,'Brand Map'!$A$4:$A$124,0)),"Other")</f>
        <v>Other (small prefixes)</v>
      </c>
      <c r="E1352" s="57" t="n">
        <v>2</v>
      </c>
      <c r="F1352" s="57" t="n">
        <v>0</v>
      </c>
      <c r="G1352" s="58" t="n">
        <v>190.81</v>
      </c>
      <c r="H1352" s="58" t="n">
        <v>0</v>
      </c>
      <c r="I1352" s="58" t="n">
        <v>176.51</v>
      </c>
      <c r="J1352" s="32" t="n">
        <f aca="false">IF(E1352&gt;0,F1352/E1352,0)</f>
        <v>0</v>
      </c>
      <c r="K1352" s="32" t="n">
        <f aca="false">IF(G1352&gt;0,H1352/G1352,0)</f>
        <v>-0</v>
      </c>
      <c r="L1352" s="59" t="n">
        <f aca="false">H1352/Settings!$B$16</f>
        <v>-0</v>
      </c>
      <c r="M1352" s="59" t="n">
        <f aca="false">H1352/Settings!$B$20</f>
        <v>-0</v>
      </c>
      <c r="N1352" s="60" t="n">
        <f aca="false">E1352*Settings!$B$3</f>
        <v>0.0619723021596408</v>
      </c>
      <c r="O1352" s="60" t="n">
        <f aca="false">IF(E1352&gt;0,(F1352-N1352)/SQRT(E1352*Settings!$B$3*(1-Settings!$B$3)),0)</f>
        <v>-0.252891261535318</v>
      </c>
      <c r="P1352" s="60" t="n">
        <f aca="false">MAX(0,F1352-N1352)</f>
        <v>0</v>
      </c>
      <c r="Q1352" s="32" t="n">
        <f aca="false">(F1352+Settings!$B$7*Settings!$B$3)/(E1352+Settings!$B$7)</f>
        <v>0.0290495166373316</v>
      </c>
      <c r="R1352" s="61" t="n">
        <f aca="false">PERCENTRANK($H$2:$H$1780,H1352,6)</f>
        <v>0</v>
      </c>
      <c r="S1352" s="61" t="n">
        <f aca="false">PERCENTRANK($Q$2:$Q$1780,Q1352,6)</f>
        <v>0.365579</v>
      </c>
      <c r="T1352" s="61" t="n">
        <f aca="false">PERCENTRANK($F$2:$F$1780,F1352,6)</f>
        <v>0</v>
      </c>
      <c r="U1352" s="62" t="n">
        <f aca="false">IF(F1352&gt;0,(Settings!$B$8*T1352+Settings!$B$9*R1352+Settings!$B$10*S1352)/SUM(Settings!$B$8:$B$10),0)</f>
        <v>0</v>
      </c>
      <c r="V1352" s="56" t="str">
        <f aca="false">IF(U1352&gt;0,RANK(U1352,$U$2:$U$1780)+COUNTIF($U$2:U1352,U1352)-1,"")</f>
        <v/>
      </c>
      <c r="W1352" s="56" t="str">
        <f aca="false">IF(V1352="","",IF(V1352&lt;=Settings!$B$11,"1 - Fix first",IF(V1352&lt;=Settings!$B$12,"2 - Review","3 - Monitor")))</f>
        <v/>
      </c>
      <c r="X1352" s="56" t="str">
        <f aca="false">IF(AND(E1352&gt;=Settings!$B$4,F1352&gt;=Settings!$B$5,O1352&gt;=Settings!$B$6),"HIGH RATE","")</f>
        <v/>
      </c>
      <c r="Y1352" s="56" t="str">
        <f aca="false">IF(F1352&gt;0,RANK(F1352,$F$2:$F$1780)+COUNTIF($F$2:F1352,F1352)-1,"")</f>
        <v/>
      </c>
      <c r="Z1352" s="56" t="str">
        <f aca="false">IF(H1352&gt;0,RANK(H1352,$H$2:$H$1780)+COUNTIF($H$2:H1352,H1352)-1,"")</f>
        <v/>
      </c>
      <c r="AA1352" s="56" t="str">
        <f aca="false">IF(AC1352="","",RANK(AC1352,$AC$2:$AC$1780)+COUNTIF($AC$2:AC1352,AC1352)-1)</f>
        <v/>
      </c>
      <c r="AB1352" s="56" t="str">
        <f aca="false">IF(AD1352="","",RANK(AD1352,$AD$2:$AD$1780)+COUNTIF($AD$2:AD1352,AD1352)-1)</f>
        <v/>
      </c>
      <c r="AC1352" s="56" t="str">
        <f aca="false">IF(AND(F1352&gt;0,E1352&gt;=Settings!$B$4),J1352,"")</f>
        <v/>
      </c>
      <c r="AD1352" s="56" t="str">
        <f aca="false">IF(X1352="HIGH RATE",O1352,"")</f>
        <v/>
      </c>
    </row>
    <row r="1353" customFormat="false" ht="15" hidden="false" customHeight="false" outlineLevel="0" collapsed="false">
      <c r="A1353" s="56" t="s">
        <v>2745</v>
      </c>
      <c r="B1353" s="56" t="s">
        <v>2746</v>
      </c>
      <c r="C1353" s="56" t="s">
        <v>752</v>
      </c>
      <c r="D1353" s="56" t="str">
        <f aca="false">IFERROR(INDEX('Brand Map'!$B$4:$B$124,MATCH(C1353,'Brand Map'!$A$4:$A$124,0)),"Other")</f>
        <v>Other (small prefixes)</v>
      </c>
      <c r="E1353" s="57" t="n">
        <v>1</v>
      </c>
      <c r="F1353" s="57" t="n">
        <v>0</v>
      </c>
      <c r="G1353" s="58" t="n">
        <v>144.5</v>
      </c>
      <c r="H1353" s="58" t="n">
        <v>0</v>
      </c>
      <c r="I1353" s="58" t="n">
        <v>144.5</v>
      </c>
      <c r="J1353" s="32" t="n">
        <f aca="false">IF(E1353&gt;0,F1353/E1353,0)</f>
        <v>0</v>
      </c>
      <c r="K1353" s="32" t="n">
        <f aca="false">IF(G1353&gt;0,H1353/G1353,0)</f>
        <v>-0</v>
      </c>
      <c r="L1353" s="59" t="n">
        <f aca="false">H1353/Settings!$B$16</f>
        <v>-0</v>
      </c>
      <c r="M1353" s="59" t="n">
        <f aca="false">H1353/Settings!$B$20</f>
        <v>-0</v>
      </c>
      <c r="N1353" s="60" t="n">
        <f aca="false">E1353*Settings!$B$3</f>
        <v>0.0309861510798204</v>
      </c>
      <c r="O1353" s="60" t="n">
        <f aca="false">IF(E1353&gt;0,(F1353-N1353)/SQRT(E1353*Settings!$B$3*(1-Settings!$B$3)),0)</f>
        <v>-0.178821125934444</v>
      </c>
      <c r="P1353" s="60" t="n">
        <f aca="false">MAX(0,F1353-N1353)</f>
        <v>0</v>
      </c>
      <c r="Q1353" s="32" t="n">
        <f aca="false">(F1353+Settings!$B$7*Settings!$B$3)/(E1353+Settings!$B$7)</f>
        <v>0.0299865978191811</v>
      </c>
      <c r="R1353" s="61" t="n">
        <f aca="false">PERCENTRANK($H$2:$H$1780,H1353,6)</f>
        <v>0</v>
      </c>
      <c r="S1353" s="61" t="n">
        <f aca="false">PERCENTRANK($Q$2:$Q$1780,Q1353,6)</f>
        <v>0.486502</v>
      </c>
      <c r="T1353" s="61" t="n">
        <f aca="false">PERCENTRANK($F$2:$F$1780,F1353,6)</f>
        <v>0</v>
      </c>
      <c r="U1353" s="62" t="n">
        <f aca="false">IF(F1353&gt;0,(Settings!$B$8*T1353+Settings!$B$9*R1353+Settings!$B$10*S1353)/SUM(Settings!$B$8:$B$10),0)</f>
        <v>0</v>
      </c>
      <c r="V1353" s="56" t="str">
        <f aca="false">IF(U1353&gt;0,RANK(U1353,$U$2:$U$1780)+COUNTIF($U$2:U1353,U1353)-1,"")</f>
        <v/>
      </c>
      <c r="W1353" s="56" t="str">
        <f aca="false">IF(V1353="","",IF(V1353&lt;=Settings!$B$11,"1 - Fix first",IF(V1353&lt;=Settings!$B$12,"2 - Review","3 - Monitor")))</f>
        <v/>
      </c>
      <c r="X1353" s="56" t="str">
        <f aca="false">IF(AND(E1353&gt;=Settings!$B$4,F1353&gt;=Settings!$B$5,O1353&gt;=Settings!$B$6),"HIGH RATE","")</f>
        <v/>
      </c>
      <c r="Y1353" s="56" t="str">
        <f aca="false">IF(F1353&gt;0,RANK(F1353,$F$2:$F$1780)+COUNTIF($F$2:F1353,F1353)-1,"")</f>
        <v/>
      </c>
      <c r="Z1353" s="56" t="str">
        <f aca="false">IF(H1353&gt;0,RANK(H1353,$H$2:$H$1780)+COUNTIF($H$2:H1353,H1353)-1,"")</f>
        <v/>
      </c>
      <c r="AA1353" s="56" t="str">
        <f aca="false">IF(AC1353="","",RANK(AC1353,$AC$2:$AC$1780)+COUNTIF($AC$2:AC1353,AC1353)-1)</f>
        <v/>
      </c>
      <c r="AB1353" s="56" t="str">
        <f aca="false">IF(AD1353="","",RANK(AD1353,$AD$2:$AD$1780)+COUNTIF($AD$2:AD1353,AD1353)-1)</f>
        <v/>
      </c>
      <c r="AC1353" s="56" t="str">
        <f aca="false">IF(AND(F1353&gt;0,E1353&gt;=Settings!$B$4),J1353,"")</f>
        <v/>
      </c>
      <c r="AD1353" s="56" t="str">
        <f aca="false">IF(X1353="HIGH RATE",O1353,"")</f>
        <v/>
      </c>
    </row>
    <row r="1354" customFormat="false" ht="15" hidden="false" customHeight="false" outlineLevel="0" collapsed="false">
      <c r="A1354" s="56" t="s">
        <v>845</v>
      </c>
      <c r="B1354" s="56" t="s">
        <v>846</v>
      </c>
      <c r="C1354" s="56" t="s">
        <v>844</v>
      </c>
      <c r="D1354" s="56" t="str">
        <f aca="false">IFERROR(INDEX('Brand Map'!$B$4:$B$124,MATCH(C1354,'Brand Map'!$A$4:$A$124,0)),"Other")</f>
        <v>Free / add-on / admin items</v>
      </c>
      <c r="E1354" s="57" t="n">
        <v>15</v>
      </c>
      <c r="F1354" s="57" t="n">
        <v>0</v>
      </c>
      <c r="G1354" s="58" t="n">
        <v>0</v>
      </c>
      <c r="H1354" s="58" t="n">
        <v>0</v>
      </c>
      <c r="I1354" s="58" t="n">
        <v>0</v>
      </c>
      <c r="J1354" s="32" t="n">
        <f aca="false">IF(E1354&gt;0,F1354/E1354,0)</f>
        <v>0</v>
      </c>
      <c r="K1354" s="32" t="n">
        <f aca="false">IF(G1354&gt;0,H1354/G1354,0)</f>
        <v>0</v>
      </c>
      <c r="L1354" s="59" t="n">
        <f aca="false">H1354/Settings!$B$16</f>
        <v>-0</v>
      </c>
      <c r="M1354" s="59" t="n">
        <f aca="false">H1354/Settings!$B$20</f>
        <v>-0</v>
      </c>
      <c r="N1354" s="60" t="n">
        <f aca="false">E1354*Settings!$B$3</f>
        <v>0.464792266197306</v>
      </c>
      <c r="O1354" s="60" t="n">
        <f aca="false">IF(E1354&gt;0,(F1354-N1354)/SQRT(E1354*Settings!$B$3*(1-Settings!$B$3)),0)</f>
        <v>-0.692571242694161</v>
      </c>
      <c r="P1354" s="60" t="n">
        <f aca="false">MAX(0,F1354-N1354)</f>
        <v>0</v>
      </c>
      <c r="Q1354" s="32" t="n">
        <f aca="false">(F1354+Settings!$B$7*Settings!$B$3)/(E1354+Settings!$B$7)</f>
        <v>0.0206574340532136</v>
      </c>
      <c r="R1354" s="61" t="n">
        <f aca="false">PERCENTRANK($H$2:$H$1780,H1354,6)</f>
        <v>0</v>
      </c>
      <c r="S1354" s="61" t="n">
        <f aca="false">PERCENTRANK($Q$2:$Q$1780,Q1354,6)</f>
        <v>0.0928009</v>
      </c>
      <c r="T1354" s="61" t="n">
        <f aca="false">PERCENTRANK($F$2:$F$1780,F1354,6)</f>
        <v>0</v>
      </c>
      <c r="U1354" s="62" t="n">
        <f aca="false">IF(F1354&gt;0,(Settings!$B$8*T1354+Settings!$B$9*R1354+Settings!$B$10*S1354)/SUM(Settings!$B$8:$B$10),0)</f>
        <v>0</v>
      </c>
      <c r="V1354" s="56" t="str">
        <f aca="false">IF(U1354&gt;0,RANK(U1354,$U$2:$U$1780)+COUNTIF($U$2:U1354,U1354)-1,"")</f>
        <v/>
      </c>
      <c r="W1354" s="56" t="str">
        <f aca="false">IF(V1354="","",IF(V1354&lt;=Settings!$B$11,"1 - Fix first",IF(V1354&lt;=Settings!$B$12,"2 - Review","3 - Monitor")))</f>
        <v/>
      </c>
      <c r="X1354" s="56" t="str">
        <f aca="false">IF(AND(E1354&gt;=Settings!$B$4,F1354&gt;=Settings!$B$5,O1354&gt;=Settings!$B$6),"HIGH RATE","")</f>
        <v/>
      </c>
      <c r="Y1354" s="56" t="str">
        <f aca="false">IF(F1354&gt;0,RANK(F1354,$F$2:$F$1780)+COUNTIF($F$2:F1354,F1354)-1,"")</f>
        <v/>
      </c>
      <c r="Z1354" s="56" t="str">
        <f aca="false">IF(H1354&gt;0,RANK(H1354,$H$2:$H$1780)+COUNTIF($H$2:H1354,H1354)-1,"")</f>
        <v/>
      </c>
      <c r="AA1354" s="56" t="str">
        <f aca="false">IF(AC1354="","",RANK(AC1354,$AC$2:$AC$1780)+COUNTIF($AC$2:AC1354,AC1354)-1)</f>
        <v/>
      </c>
      <c r="AB1354" s="56" t="str">
        <f aca="false">IF(AD1354="","",RANK(AD1354,$AD$2:$AD$1780)+COUNTIF($AD$2:AD1354,AD1354)-1)</f>
        <v/>
      </c>
      <c r="AC1354" s="56" t="str">
        <f aca="false">IF(AND(F1354&gt;0,E1354&gt;=Settings!$B$4),J1354,"")</f>
        <v/>
      </c>
      <c r="AD1354" s="56" t="str">
        <f aca="false">IF(X1354="HIGH RATE",O1354,"")</f>
        <v/>
      </c>
    </row>
    <row r="1355" customFormat="false" ht="15" hidden="false" customHeight="false" outlineLevel="0" collapsed="false">
      <c r="A1355" s="56" t="s">
        <v>848</v>
      </c>
      <c r="B1355" s="56" t="s">
        <v>849</v>
      </c>
      <c r="C1355" s="56" t="s">
        <v>847</v>
      </c>
      <c r="D1355" s="56" t="str">
        <f aca="false">IFERROR(INDEX('Brand Map'!$B$4:$B$124,MATCH(C1355,'Brand Map'!$A$4:$A$124,0)),"Other")</f>
        <v>Free / add-on / admin items</v>
      </c>
      <c r="E1355" s="57" t="n">
        <v>1</v>
      </c>
      <c r="F1355" s="57" t="n">
        <v>0</v>
      </c>
      <c r="G1355" s="58" t="n">
        <v>0</v>
      </c>
      <c r="H1355" s="58" t="n">
        <v>0</v>
      </c>
      <c r="I1355" s="58" t="n">
        <v>0</v>
      </c>
      <c r="J1355" s="32" t="n">
        <f aca="false">IF(E1355&gt;0,F1355/E1355,0)</f>
        <v>0</v>
      </c>
      <c r="K1355" s="32" t="n">
        <f aca="false">IF(G1355&gt;0,H1355/G1355,0)</f>
        <v>0</v>
      </c>
      <c r="L1355" s="59" t="n">
        <f aca="false">H1355/Settings!$B$16</f>
        <v>-0</v>
      </c>
      <c r="M1355" s="59" t="n">
        <f aca="false">H1355/Settings!$B$20</f>
        <v>-0</v>
      </c>
      <c r="N1355" s="60" t="n">
        <f aca="false">E1355*Settings!$B$3</f>
        <v>0.0309861510798204</v>
      </c>
      <c r="O1355" s="60" t="n">
        <f aca="false">IF(E1355&gt;0,(F1355-N1355)/SQRT(E1355*Settings!$B$3*(1-Settings!$B$3)),0)</f>
        <v>-0.178821125934444</v>
      </c>
      <c r="P1355" s="60" t="n">
        <f aca="false">MAX(0,F1355-N1355)</f>
        <v>0</v>
      </c>
      <c r="Q1355" s="32" t="n">
        <f aca="false">(F1355+Settings!$B$7*Settings!$B$3)/(E1355+Settings!$B$7)</f>
        <v>0.0299865978191811</v>
      </c>
      <c r="R1355" s="61" t="n">
        <f aca="false">PERCENTRANK($H$2:$H$1780,H1355,6)</f>
        <v>0</v>
      </c>
      <c r="S1355" s="61" t="n">
        <f aca="false">PERCENTRANK($Q$2:$Q$1780,Q1355,6)</f>
        <v>0.486502</v>
      </c>
      <c r="T1355" s="61" t="n">
        <f aca="false">PERCENTRANK($F$2:$F$1780,F1355,6)</f>
        <v>0</v>
      </c>
      <c r="U1355" s="62" t="n">
        <f aca="false">IF(F1355&gt;0,(Settings!$B$8*T1355+Settings!$B$9*R1355+Settings!$B$10*S1355)/SUM(Settings!$B$8:$B$10),0)</f>
        <v>0</v>
      </c>
      <c r="V1355" s="56" t="str">
        <f aca="false">IF(U1355&gt;0,RANK(U1355,$U$2:$U$1780)+COUNTIF($U$2:U1355,U1355)-1,"")</f>
        <v/>
      </c>
      <c r="W1355" s="56" t="str">
        <f aca="false">IF(V1355="","",IF(V1355&lt;=Settings!$B$11,"1 - Fix first",IF(V1355&lt;=Settings!$B$12,"2 - Review","3 - Monitor")))</f>
        <v/>
      </c>
      <c r="X1355" s="56" t="str">
        <f aca="false">IF(AND(E1355&gt;=Settings!$B$4,F1355&gt;=Settings!$B$5,O1355&gt;=Settings!$B$6),"HIGH RATE","")</f>
        <v/>
      </c>
      <c r="Y1355" s="56" t="str">
        <f aca="false">IF(F1355&gt;0,RANK(F1355,$F$2:$F$1780)+COUNTIF($F$2:F1355,F1355)-1,"")</f>
        <v/>
      </c>
      <c r="Z1355" s="56" t="str">
        <f aca="false">IF(H1355&gt;0,RANK(H1355,$H$2:$H$1780)+COUNTIF($H$2:H1355,H1355)-1,"")</f>
        <v/>
      </c>
      <c r="AA1355" s="56" t="str">
        <f aca="false">IF(AC1355="","",RANK(AC1355,$AC$2:$AC$1780)+COUNTIF($AC$2:AC1355,AC1355)-1)</f>
        <v/>
      </c>
      <c r="AB1355" s="56" t="str">
        <f aca="false">IF(AD1355="","",RANK(AD1355,$AD$2:$AD$1780)+COUNTIF($AD$2:AD1355,AD1355)-1)</f>
        <v/>
      </c>
      <c r="AC1355" s="56" t="str">
        <f aca="false">IF(AND(F1355&gt;0,E1355&gt;=Settings!$B$4),J1355,"")</f>
        <v/>
      </c>
      <c r="AD1355" s="56" t="str">
        <f aca="false">IF(X1355="HIGH RATE",O1355,"")</f>
        <v/>
      </c>
    </row>
    <row r="1356" customFormat="false" ht="15" hidden="false" customHeight="false" outlineLevel="0" collapsed="false">
      <c r="A1356" s="56" t="s">
        <v>2747</v>
      </c>
      <c r="B1356" s="56" t="s">
        <v>2748</v>
      </c>
      <c r="C1356" s="56" t="s">
        <v>674</v>
      </c>
      <c r="D1356" s="56" t="str">
        <f aca="false">IFERROR(INDEX('Brand Map'!$B$4:$B$124,MATCH(C1356,'Brand Map'!$A$4:$A$124,0)),"Other")</f>
        <v>Other (small prefixes)</v>
      </c>
      <c r="E1356" s="57" t="n">
        <v>1</v>
      </c>
      <c r="F1356" s="57" t="n">
        <v>0</v>
      </c>
      <c r="G1356" s="58" t="n">
        <v>99.95</v>
      </c>
      <c r="H1356" s="58" t="n">
        <v>0</v>
      </c>
      <c r="I1356" s="58" t="n">
        <v>99.95</v>
      </c>
      <c r="J1356" s="32" t="n">
        <f aca="false">IF(E1356&gt;0,F1356/E1356,0)</f>
        <v>0</v>
      </c>
      <c r="K1356" s="32" t="n">
        <f aca="false">IF(G1356&gt;0,H1356/G1356,0)</f>
        <v>-0</v>
      </c>
      <c r="L1356" s="59" t="n">
        <f aca="false">H1356/Settings!$B$16</f>
        <v>-0</v>
      </c>
      <c r="M1356" s="59" t="n">
        <f aca="false">H1356/Settings!$B$20</f>
        <v>-0</v>
      </c>
      <c r="N1356" s="60" t="n">
        <f aca="false">E1356*Settings!$B$3</f>
        <v>0.0309861510798204</v>
      </c>
      <c r="O1356" s="60" t="n">
        <f aca="false">IF(E1356&gt;0,(F1356-N1356)/SQRT(E1356*Settings!$B$3*(1-Settings!$B$3)),0)</f>
        <v>-0.178821125934444</v>
      </c>
      <c r="P1356" s="60" t="n">
        <f aca="false">MAX(0,F1356-N1356)</f>
        <v>0</v>
      </c>
      <c r="Q1356" s="32" t="n">
        <f aca="false">(F1356+Settings!$B$7*Settings!$B$3)/(E1356+Settings!$B$7)</f>
        <v>0.0299865978191811</v>
      </c>
      <c r="R1356" s="61" t="n">
        <f aca="false">PERCENTRANK($H$2:$H$1780,H1356,6)</f>
        <v>0</v>
      </c>
      <c r="S1356" s="61" t="n">
        <f aca="false">PERCENTRANK($Q$2:$Q$1780,Q1356,6)</f>
        <v>0.486502</v>
      </c>
      <c r="T1356" s="61" t="n">
        <f aca="false">PERCENTRANK($F$2:$F$1780,F1356,6)</f>
        <v>0</v>
      </c>
      <c r="U1356" s="62" t="n">
        <f aca="false">IF(F1356&gt;0,(Settings!$B$8*T1356+Settings!$B$9*R1356+Settings!$B$10*S1356)/SUM(Settings!$B$8:$B$10),0)</f>
        <v>0</v>
      </c>
      <c r="V1356" s="56" t="str">
        <f aca="false">IF(U1356&gt;0,RANK(U1356,$U$2:$U$1780)+COUNTIF($U$2:U1356,U1356)-1,"")</f>
        <v/>
      </c>
      <c r="W1356" s="56" t="str">
        <f aca="false">IF(V1356="","",IF(V1356&lt;=Settings!$B$11,"1 - Fix first",IF(V1356&lt;=Settings!$B$12,"2 - Review","3 - Monitor")))</f>
        <v/>
      </c>
      <c r="X1356" s="56" t="str">
        <f aca="false">IF(AND(E1356&gt;=Settings!$B$4,F1356&gt;=Settings!$B$5,O1356&gt;=Settings!$B$6),"HIGH RATE","")</f>
        <v/>
      </c>
      <c r="Y1356" s="56" t="str">
        <f aca="false">IF(F1356&gt;0,RANK(F1356,$F$2:$F$1780)+COUNTIF($F$2:F1356,F1356)-1,"")</f>
        <v/>
      </c>
      <c r="Z1356" s="56" t="str">
        <f aca="false">IF(H1356&gt;0,RANK(H1356,$H$2:$H$1780)+COUNTIF($H$2:H1356,H1356)-1,"")</f>
        <v/>
      </c>
      <c r="AA1356" s="56" t="str">
        <f aca="false">IF(AC1356="","",RANK(AC1356,$AC$2:$AC$1780)+COUNTIF($AC$2:AC1356,AC1356)-1)</f>
        <v/>
      </c>
      <c r="AB1356" s="56" t="str">
        <f aca="false">IF(AD1356="","",RANK(AD1356,$AD$2:$AD$1780)+COUNTIF($AD$2:AD1356,AD1356)-1)</f>
        <v/>
      </c>
      <c r="AC1356" s="56" t="str">
        <f aca="false">IF(AND(F1356&gt;0,E1356&gt;=Settings!$B$4),J1356,"")</f>
        <v/>
      </c>
      <c r="AD1356" s="56" t="str">
        <f aca="false">IF(X1356="HIGH RATE",O1356,"")</f>
        <v/>
      </c>
    </row>
    <row r="1357" customFormat="false" ht="15" hidden="false" customHeight="false" outlineLevel="0" collapsed="false">
      <c r="A1357" s="56" t="s">
        <v>675</v>
      </c>
      <c r="B1357" s="56" t="s">
        <v>676</v>
      </c>
      <c r="C1357" s="56" t="s">
        <v>674</v>
      </c>
      <c r="D1357" s="56" t="str">
        <f aca="false">IFERROR(INDEX('Brand Map'!$B$4:$B$124,MATCH(C1357,'Brand Map'!$A$4:$A$124,0)),"Other")</f>
        <v>Other (small prefixes)</v>
      </c>
      <c r="E1357" s="57" t="n">
        <v>32</v>
      </c>
      <c r="F1357" s="57" t="n">
        <v>0</v>
      </c>
      <c r="G1357" s="58" t="n">
        <v>4142.03</v>
      </c>
      <c r="H1357" s="58" t="n">
        <v>0</v>
      </c>
      <c r="I1357" s="58" t="n">
        <v>4142.03</v>
      </c>
      <c r="J1357" s="32" t="n">
        <f aca="false">IF(E1357&gt;0,F1357/E1357,0)</f>
        <v>0</v>
      </c>
      <c r="K1357" s="32" t="n">
        <f aca="false">IF(G1357&gt;0,H1357/G1357,0)</f>
        <v>-0</v>
      </c>
      <c r="L1357" s="59" t="n">
        <f aca="false">H1357/Settings!$B$16</f>
        <v>-0</v>
      </c>
      <c r="M1357" s="59" t="n">
        <f aca="false">H1357/Settings!$B$20</f>
        <v>-0</v>
      </c>
      <c r="N1357" s="60" t="n">
        <f aca="false">E1357*Settings!$B$3</f>
        <v>0.991556834554253</v>
      </c>
      <c r="O1357" s="60" t="n">
        <f aca="false">IF(E1357&gt;0,(F1357-N1357)/SQRT(E1357*Settings!$B$3*(1-Settings!$B$3)),0)</f>
        <v>-1.01156504614127</v>
      </c>
      <c r="P1357" s="60" t="n">
        <f aca="false">MAX(0,F1357-N1357)</f>
        <v>0</v>
      </c>
      <c r="Q1357" s="32" t="n">
        <f aca="false">(F1357+Settings!$B$7*Settings!$B$3)/(E1357+Settings!$B$7)</f>
        <v>0.0149932989095905</v>
      </c>
      <c r="R1357" s="61" t="n">
        <f aca="false">PERCENTRANK($H$2:$H$1780,H1357,6)</f>
        <v>0</v>
      </c>
      <c r="S1357" s="61" t="n">
        <f aca="false">PERCENTRANK($Q$2:$Q$1780,Q1357,6)</f>
        <v>0.0399325</v>
      </c>
      <c r="T1357" s="61" t="n">
        <f aca="false">PERCENTRANK($F$2:$F$1780,F1357,6)</f>
        <v>0</v>
      </c>
      <c r="U1357" s="62" t="n">
        <f aca="false">IF(F1357&gt;0,(Settings!$B$8*T1357+Settings!$B$9*R1357+Settings!$B$10*S1357)/SUM(Settings!$B$8:$B$10),0)</f>
        <v>0</v>
      </c>
      <c r="V1357" s="56" t="str">
        <f aca="false">IF(U1357&gt;0,RANK(U1357,$U$2:$U$1780)+COUNTIF($U$2:U1357,U1357)-1,"")</f>
        <v/>
      </c>
      <c r="W1357" s="56" t="str">
        <f aca="false">IF(V1357="","",IF(V1357&lt;=Settings!$B$11,"1 - Fix first",IF(V1357&lt;=Settings!$B$12,"2 - Review","3 - Monitor")))</f>
        <v/>
      </c>
      <c r="X1357" s="56" t="str">
        <f aca="false">IF(AND(E1357&gt;=Settings!$B$4,F1357&gt;=Settings!$B$5,O1357&gt;=Settings!$B$6),"HIGH RATE","")</f>
        <v/>
      </c>
      <c r="Y1357" s="56" t="str">
        <f aca="false">IF(F1357&gt;0,RANK(F1357,$F$2:$F$1780)+COUNTIF($F$2:F1357,F1357)-1,"")</f>
        <v/>
      </c>
      <c r="Z1357" s="56" t="str">
        <f aca="false">IF(H1357&gt;0,RANK(H1357,$H$2:$H$1780)+COUNTIF($H$2:H1357,H1357)-1,"")</f>
        <v/>
      </c>
      <c r="AA1357" s="56" t="str">
        <f aca="false">IF(AC1357="","",RANK(AC1357,$AC$2:$AC$1780)+COUNTIF($AC$2:AC1357,AC1357)-1)</f>
        <v/>
      </c>
      <c r="AB1357" s="56" t="str">
        <f aca="false">IF(AD1357="","",RANK(AD1357,$AD$2:$AD$1780)+COUNTIF($AD$2:AD1357,AD1357)-1)</f>
        <v/>
      </c>
      <c r="AC1357" s="56" t="str">
        <f aca="false">IF(AND(F1357&gt;0,E1357&gt;=Settings!$B$4),J1357,"")</f>
        <v/>
      </c>
      <c r="AD1357" s="56" t="str">
        <f aca="false">IF(X1357="HIGH RATE",O1357,"")</f>
        <v/>
      </c>
    </row>
    <row r="1358" customFormat="false" ht="15" hidden="false" customHeight="false" outlineLevel="0" collapsed="false">
      <c r="A1358" s="56" t="s">
        <v>2749</v>
      </c>
      <c r="B1358" s="56" t="s">
        <v>2750</v>
      </c>
      <c r="C1358" s="56" t="s">
        <v>674</v>
      </c>
      <c r="D1358" s="56" t="str">
        <f aca="false">IFERROR(INDEX('Brand Map'!$B$4:$B$124,MATCH(C1358,'Brand Map'!$A$4:$A$124,0)),"Other")</f>
        <v>Other (small prefixes)</v>
      </c>
      <c r="E1358" s="57" t="n">
        <v>7</v>
      </c>
      <c r="F1358" s="57" t="n">
        <v>0</v>
      </c>
      <c r="G1358" s="58" t="n">
        <v>1803.57</v>
      </c>
      <c r="H1358" s="58" t="n">
        <v>0</v>
      </c>
      <c r="I1358" s="58" t="n">
        <v>1757.07</v>
      </c>
      <c r="J1358" s="32" t="n">
        <f aca="false">IF(E1358&gt;0,F1358/E1358,0)</f>
        <v>0</v>
      </c>
      <c r="K1358" s="32" t="n">
        <f aca="false">IF(G1358&gt;0,H1358/G1358,0)</f>
        <v>-0</v>
      </c>
      <c r="L1358" s="59" t="n">
        <f aca="false">H1358/Settings!$B$16</f>
        <v>-0</v>
      </c>
      <c r="M1358" s="59" t="n">
        <f aca="false">H1358/Settings!$B$20</f>
        <v>-0</v>
      </c>
      <c r="N1358" s="60" t="n">
        <f aca="false">E1358*Settings!$B$3</f>
        <v>0.216903057558743</v>
      </c>
      <c r="O1358" s="60" t="n">
        <f aca="false">IF(E1358&gt;0,(F1358-N1358)/SQRT(E1358*Settings!$B$3*(1-Settings!$B$3)),0)</f>
        <v>-0.473116228387102</v>
      </c>
      <c r="P1358" s="60" t="n">
        <f aca="false">MAX(0,F1358-N1358)</f>
        <v>0</v>
      </c>
      <c r="Q1358" s="32" t="n">
        <f aca="false">(F1358+Settings!$B$7*Settings!$B$3)/(E1358+Settings!$B$7)</f>
        <v>0.0251239062809355</v>
      </c>
      <c r="R1358" s="61" t="n">
        <f aca="false">PERCENTRANK($H$2:$H$1780,H1358,6)</f>
        <v>0</v>
      </c>
      <c r="S1358" s="61" t="n">
        <f aca="false">PERCENTRANK($Q$2:$Q$1780,Q1358,6)</f>
        <v>0.168166</v>
      </c>
      <c r="T1358" s="61" t="n">
        <f aca="false">PERCENTRANK($F$2:$F$1780,F1358,6)</f>
        <v>0</v>
      </c>
      <c r="U1358" s="62" t="n">
        <f aca="false">IF(F1358&gt;0,(Settings!$B$8*T1358+Settings!$B$9*R1358+Settings!$B$10*S1358)/SUM(Settings!$B$8:$B$10),0)</f>
        <v>0</v>
      </c>
      <c r="V1358" s="56" t="str">
        <f aca="false">IF(U1358&gt;0,RANK(U1358,$U$2:$U$1780)+COUNTIF($U$2:U1358,U1358)-1,"")</f>
        <v/>
      </c>
      <c r="W1358" s="56" t="str">
        <f aca="false">IF(V1358="","",IF(V1358&lt;=Settings!$B$11,"1 - Fix first",IF(V1358&lt;=Settings!$B$12,"2 - Review","3 - Monitor")))</f>
        <v/>
      </c>
      <c r="X1358" s="56" t="str">
        <f aca="false">IF(AND(E1358&gt;=Settings!$B$4,F1358&gt;=Settings!$B$5,O1358&gt;=Settings!$B$6),"HIGH RATE","")</f>
        <v/>
      </c>
      <c r="Y1358" s="56" t="str">
        <f aca="false">IF(F1358&gt;0,RANK(F1358,$F$2:$F$1780)+COUNTIF($F$2:F1358,F1358)-1,"")</f>
        <v/>
      </c>
      <c r="Z1358" s="56" t="str">
        <f aca="false">IF(H1358&gt;0,RANK(H1358,$H$2:$H$1780)+COUNTIF($H$2:H1358,H1358)-1,"")</f>
        <v/>
      </c>
      <c r="AA1358" s="56" t="str">
        <f aca="false">IF(AC1358="","",RANK(AC1358,$AC$2:$AC$1780)+COUNTIF($AC$2:AC1358,AC1358)-1)</f>
        <v/>
      </c>
      <c r="AB1358" s="56" t="str">
        <f aca="false">IF(AD1358="","",RANK(AD1358,$AD$2:$AD$1780)+COUNTIF($AD$2:AD1358,AD1358)-1)</f>
        <v/>
      </c>
      <c r="AC1358" s="56" t="str">
        <f aca="false">IF(AND(F1358&gt;0,E1358&gt;=Settings!$B$4),J1358,"")</f>
        <v/>
      </c>
      <c r="AD1358" s="56" t="str">
        <f aca="false">IF(X1358="HIGH RATE",O1358,"")</f>
        <v/>
      </c>
    </row>
    <row r="1359" customFormat="false" ht="15" hidden="false" customHeight="false" outlineLevel="0" collapsed="false">
      <c r="A1359" s="56" t="s">
        <v>2751</v>
      </c>
      <c r="B1359" s="56" t="s">
        <v>2752</v>
      </c>
      <c r="C1359" s="56" t="s">
        <v>87</v>
      </c>
      <c r="D1359" s="56" t="str">
        <f aca="false">IFERROR(INDEX('Brand Map'!$B$4:$B$124,MATCH(C1359,'Brand Map'!$A$4:$A$124,0)),"Other")</f>
        <v>FYF</v>
      </c>
      <c r="E1359" s="57" t="n">
        <v>3</v>
      </c>
      <c r="F1359" s="57" t="n">
        <v>0</v>
      </c>
      <c r="G1359" s="58" t="n">
        <v>299.85</v>
      </c>
      <c r="H1359" s="58" t="n">
        <v>0</v>
      </c>
      <c r="I1359" s="58" t="n">
        <v>299.85</v>
      </c>
      <c r="J1359" s="32" t="n">
        <f aca="false">IF(E1359&gt;0,F1359/E1359,0)</f>
        <v>0</v>
      </c>
      <c r="K1359" s="32" t="n">
        <f aca="false">IF(G1359&gt;0,H1359/G1359,0)</f>
        <v>-0</v>
      </c>
      <c r="L1359" s="59" t="n">
        <f aca="false">H1359/Settings!$B$16</f>
        <v>-0</v>
      </c>
      <c r="M1359" s="59" t="n">
        <f aca="false">H1359/Settings!$B$20</f>
        <v>-0</v>
      </c>
      <c r="N1359" s="60" t="n">
        <f aca="false">E1359*Settings!$B$3</f>
        <v>0.0929584532394613</v>
      </c>
      <c r="O1359" s="60" t="n">
        <f aca="false">IF(E1359&gt;0,(F1359-N1359)/SQRT(E1359*Settings!$B$3*(1-Settings!$B$3)),0)</f>
        <v>-0.30972727558513</v>
      </c>
      <c r="P1359" s="60" t="n">
        <f aca="false">MAX(0,F1359-N1359)</f>
        <v>0</v>
      </c>
      <c r="Q1359" s="32" t="n">
        <f aca="false">(F1359+Settings!$B$7*Settings!$B$3)/(E1359+Settings!$B$7)</f>
        <v>0.0281692282543822</v>
      </c>
      <c r="R1359" s="61" t="n">
        <f aca="false">PERCENTRANK($H$2:$H$1780,H1359,6)</f>
        <v>0</v>
      </c>
      <c r="S1359" s="61" t="n">
        <f aca="false">PERCENTRANK($Q$2:$Q$1780,Q1359,6)</f>
        <v>0.294151</v>
      </c>
      <c r="T1359" s="61" t="n">
        <f aca="false">PERCENTRANK($F$2:$F$1780,F1359,6)</f>
        <v>0</v>
      </c>
      <c r="U1359" s="62" t="n">
        <f aca="false">IF(F1359&gt;0,(Settings!$B$8*T1359+Settings!$B$9*R1359+Settings!$B$10*S1359)/SUM(Settings!$B$8:$B$10),0)</f>
        <v>0</v>
      </c>
      <c r="V1359" s="56" t="str">
        <f aca="false">IF(U1359&gt;0,RANK(U1359,$U$2:$U$1780)+COUNTIF($U$2:U1359,U1359)-1,"")</f>
        <v/>
      </c>
      <c r="W1359" s="56" t="str">
        <f aca="false">IF(V1359="","",IF(V1359&lt;=Settings!$B$11,"1 - Fix first",IF(V1359&lt;=Settings!$B$12,"2 - Review","3 - Monitor")))</f>
        <v/>
      </c>
      <c r="X1359" s="56" t="str">
        <f aca="false">IF(AND(E1359&gt;=Settings!$B$4,F1359&gt;=Settings!$B$5,O1359&gt;=Settings!$B$6),"HIGH RATE","")</f>
        <v/>
      </c>
      <c r="Y1359" s="56" t="str">
        <f aca="false">IF(F1359&gt;0,RANK(F1359,$F$2:$F$1780)+COUNTIF($F$2:F1359,F1359)-1,"")</f>
        <v/>
      </c>
      <c r="Z1359" s="56" t="str">
        <f aca="false">IF(H1359&gt;0,RANK(H1359,$H$2:$H$1780)+COUNTIF($H$2:H1359,H1359)-1,"")</f>
        <v/>
      </c>
      <c r="AA1359" s="56" t="str">
        <f aca="false">IF(AC1359="","",RANK(AC1359,$AC$2:$AC$1780)+COUNTIF($AC$2:AC1359,AC1359)-1)</f>
        <v/>
      </c>
      <c r="AB1359" s="56" t="str">
        <f aca="false">IF(AD1359="","",RANK(AD1359,$AD$2:$AD$1780)+COUNTIF($AD$2:AD1359,AD1359)-1)</f>
        <v/>
      </c>
      <c r="AC1359" s="56" t="str">
        <f aca="false">IF(AND(F1359&gt;0,E1359&gt;=Settings!$B$4),J1359,"")</f>
        <v/>
      </c>
      <c r="AD1359" s="56" t="str">
        <f aca="false">IF(X1359="HIGH RATE",O1359,"")</f>
        <v/>
      </c>
    </row>
    <row r="1360" customFormat="false" ht="15" hidden="false" customHeight="false" outlineLevel="0" collapsed="false">
      <c r="A1360" s="56" t="s">
        <v>2753</v>
      </c>
      <c r="B1360" s="56" t="s">
        <v>2752</v>
      </c>
      <c r="C1360" s="56" t="s">
        <v>87</v>
      </c>
      <c r="D1360" s="56" t="str">
        <f aca="false">IFERROR(INDEX('Brand Map'!$B$4:$B$124,MATCH(C1360,'Brand Map'!$A$4:$A$124,0)),"Other")</f>
        <v>FYF</v>
      </c>
      <c r="E1360" s="57" t="n">
        <v>2</v>
      </c>
      <c r="F1360" s="57" t="n">
        <v>0</v>
      </c>
      <c r="G1360" s="58" t="n">
        <v>339.9</v>
      </c>
      <c r="H1360" s="58" t="n">
        <v>0</v>
      </c>
      <c r="I1360" s="58" t="n">
        <v>339.9</v>
      </c>
      <c r="J1360" s="32" t="n">
        <f aca="false">IF(E1360&gt;0,F1360/E1360,0)</f>
        <v>0</v>
      </c>
      <c r="K1360" s="32" t="n">
        <f aca="false">IF(G1360&gt;0,H1360/G1360,0)</f>
        <v>-0</v>
      </c>
      <c r="L1360" s="59" t="n">
        <f aca="false">H1360/Settings!$B$16</f>
        <v>-0</v>
      </c>
      <c r="M1360" s="59" t="n">
        <f aca="false">H1360/Settings!$B$20</f>
        <v>-0</v>
      </c>
      <c r="N1360" s="60" t="n">
        <f aca="false">E1360*Settings!$B$3</f>
        <v>0.0619723021596408</v>
      </c>
      <c r="O1360" s="60" t="n">
        <f aca="false">IF(E1360&gt;0,(F1360-N1360)/SQRT(E1360*Settings!$B$3*(1-Settings!$B$3)),0)</f>
        <v>-0.252891261535318</v>
      </c>
      <c r="P1360" s="60" t="n">
        <f aca="false">MAX(0,F1360-N1360)</f>
        <v>0</v>
      </c>
      <c r="Q1360" s="32" t="n">
        <f aca="false">(F1360+Settings!$B$7*Settings!$B$3)/(E1360+Settings!$B$7)</f>
        <v>0.0290495166373316</v>
      </c>
      <c r="R1360" s="61" t="n">
        <f aca="false">PERCENTRANK($H$2:$H$1780,H1360,6)</f>
        <v>0</v>
      </c>
      <c r="S1360" s="61" t="n">
        <f aca="false">PERCENTRANK($Q$2:$Q$1780,Q1360,6)</f>
        <v>0.365579</v>
      </c>
      <c r="T1360" s="61" t="n">
        <f aca="false">PERCENTRANK($F$2:$F$1780,F1360,6)</f>
        <v>0</v>
      </c>
      <c r="U1360" s="62" t="n">
        <f aca="false">IF(F1360&gt;0,(Settings!$B$8*T1360+Settings!$B$9*R1360+Settings!$B$10*S1360)/SUM(Settings!$B$8:$B$10),0)</f>
        <v>0</v>
      </c>
      <c r="V1360" s="56" t="str">
        <f aca="false">IF(U1360&gt;0,RANK(U1360,$U$2:$U$1780)+COUNTIF($U$2:U1360,U1360)-1,"")</f>
        <v/>
      </c>
      <c r="W1360" s="56" t="str">
        <f aca="false">IF(V1360="","",IF(V1360&lt;=Settings!$B$11,"1 - Fix first",IF(V1360&lt;=Settings!$B$12,"2 - Review","3 - Monitor")))</f>
        <v/>
      </c>
      <c r="X1360" s="56" t="str">
        <f aca="false">IF(AND(E1360&gt;=Settings!$B$4,F1360&gt;=Settings!$B$5,O1360&gt;=Settings!$B$6),"HIGH RATE","")</f>
        <v/>
      </c>
      <c r="Y1360" s="56" t="str">
        <f aca="false">IF(F1360&gt;0,RANK(F1360,$F$2:$F$1780)+COUNTIF($F$2:F1360,F1360)-1,"")</f>
        <v/>
      </c>
      <c r="Z1360" s="56" t="str">
        <f aca="false">IF(H1360&gt;0,RANK(H1360,$H$2:$H$1780)+COUNTIF($H$2:H1360,H1360)-1,"")</f>
        <v/>
      </c>
      <c r="AA1360" s="56" t="str">
        <f aca="false">IF(AC1360="","",RANK(AC1360,$AC$2:$AC$1780)+COUNTIF($AC$2:AC1360,AC1360)-1)</f>
        <v/>
      </c>
      <c r="AB1360" s="56" t="str">
        <f aca="false">IF(AD1360="","",RANK(AD1360,$AD$2:$AD$1780)+COUNTIF($AD$2:AD1360,AD1360)-1)</f>
        <v/>
      </c>
      <c r="AC1360" s="56" t="str">
        <f aca="false">IF(AND(F1360&gt;0,E1360&gt;=Settings!$B$4),J1360,"")</f>
        <v/>
      </c>
      <c r="AD1360" s="56" t="str">
        <f aca="false">IF(X1360="HIGH RATE",O1360,"")</f>
        <v/>
      </c>
    </row>
    <row r="1361" customFormat="false" ht="15" hidden="false" customHeight="false" outlineLevel="0" collapsed="false">
      <c r="A1361" s="56" t="s">
        <v>2754</v>
      </c>
      <c r="B1361" s="56" t="s">
        <v>2752</v>
      </c>
      <c r="C1361" s="56" t="s">
        <v>87</v>
      </c>
      <c r="D1361" s="56" t="str">
        <f aca="false">IFERROR(INDEX('Brand Map'!$B$4:$B$124,MATCH(C1361,'Brand Map'!$A$4:$A$124,0)),"Other")</f>
        <v>FYF</v>
      </c>
      <c r="E1361" s="57" t="n">
        <v>2</v>
      </c>
      <c r="F1361" s="57" t="n">
        <v>0</v>
      </c>
      <c r="G1361" s="58" t="n">
        <v>229.9</v>
      </c>
      <c r="H1361" s="58" t="n">
        <v>0</v>
      </c>
      <c r="I1361" s="58" t="n">
        <v>229.9</v>
      </c>
      <c r="J1361" s="32" t="n">
        <f aca="false">IF(E1361&gt;0,F1361/E1361,0)</f>
        <v>0</v>
      </c>
      <c r="K1361" s="32" t="n">
        <f aca="false">IF(G1361&gt;0,H1361/G1361,0)</f>
        <v>-0</v>
      </c>
      <c r="L1361" s="59" t="n">
        <f aca="false">H1361/Settings!$B$16</f>
        <v>-0</v>
      </c>
      <c r="M1361" s="59" t="n">
        <f aca="false">H1361/Settings!$B$20</f>
        <v>-0</v>
      </c>
      <c r="N1361" s="60" t="n">
        <f aca="false">E1361*Settings!$B$3</f>
        <v>0.0619723021596408</v>
      </c>
      <c r="O1361" s="60" t="n">
        <f aca="false">IF(E1361&gt;0,(F1361-N1361)/SQRT(E1361*Settings!$B$3*(1-Settings!$B$3)),0)</f>
        <v>-0.252891261535318</v>
      </c>
      <c r="P1361" s="60" t="n">
        <f aca="false">MAX(0,F1361-N1361)</f>
        <v>0</v>
      </c>
      <c r="Q1361" s="32" t="n">
        <f aca="false">(F1361+Settings!$B$7*Settings!$B$3)/(E1361+Settings!$B$7)</f>
        <v>0.0290495166373316</v>
      </c>
      <c r="R1361" s="61" t="n">
        <f aca="false">PERCENTRANK($H$2:$H$1780,H1361,6)</f>
        <v>0</v>
      </c>
      <c r="S1361" s="61" t="n">
        <f aca="false">PERCENTRANK($Q$2:$Q$1780,Q1361,6)</f>
        <v>0.365579</v>
      </c>
      <c r="T1361" s="61" t="n">
        <f aca="false">PERCENTRANK($F$2:$F$1780,F1361,6)</f>
        <v>0</v>
      </c>
      <c r="U1361" s="62" t="n">
        <f aca="false">IF(F1361&gt;0,(Settings!$B$8*T1361+Settings!$B$9*R1361+Settings!$B$10*S1361)/SUM(Settings!$B$8:$B$10),0)</f>
        <v>0</v>
      </c>
      <c r="V1361" s="56" t="str">
        <f aca="false">IF(U1361&gt;0,RANK(U1361,$U$2:$U$1780)+COUNTIF($U$2:U1361,U1361)-1,"")</f>
        <v/>
      </c>
      <c r="W1361" s="56" t="str">
        <f aca="false">IF(V1361="","",IF(V1361&lt;=Settings!$B$11,"1 - Fix first",IF(V1361&lt;=Settings!$B$12,"2 - Review","3 - Monitor")))</f>
        <v/>
      </c>
      <c r="X1361" s="56" t="str">
        <f aca="false">IF(AND(E1361&gt;=Settings!$B$4,F1361&gt;=Settings!$B$5,O1361&gt;=Settings!$B$6),"HIGH RATE","")</f>
        <v/>
      </c>
      <c r="Y1361" s="56" t="str">
        <f aca="false">IF(F1361&gt;0,RANK(F1361,$F$2:$F$1780)+COUNTIF($F$2:F1361,F1361)-1,"")</f>
        <v/>
      </c>
      <c r="Z1361" s="56" t="str">
        <f aca="false">IF(H1361&gt;0,RANK(H1361,$H$2:$H$1780)+COUNTIF($H$2:H1361,H1361)-1,"")</f>
        <v/>
      </c>
      <c r="AA1361" s="56" t="str">
        <f aca="false">IF(AC1361="","",RANK(AC1361,$AC$2:$AC$1780)+COUNTIF($AC$2:AC1361,AC1361)-1)</f>
        <v/>
      </c>
      <c r="AB1361" s="56" t="str">
        <f aca="false">IF(AD1361="","",RANK(AD1361,$AD$2:$AD$1780)+COUNTIF($AD$2:AD1361,AD1361)-1)</f>
        <v/>
      </c>
      <c r="AC1361" s="56" t="str">
        <f aca="false">IF(AND(F1361&gt;0,E1361&gt;=Settings!$B$4),J1361,"")</f>
        <v/>
      </c>
      <c r="AD1361" s="56" t="str">
        <f aca="false">IF(X1361="HIGH RATE",O1361,"")</f>
        <v/>
      </c>
    </row>
    <row r="1362" customFormat="false" ht="15" hidden="false" customHeight="false" outlineLevel="0" collapsed="false">
      <c r="A1362" s="56" t="s">
        <v>2755</v>
      </c>
      <c r="B1362" s="56" t="s">
        <v>2752</v>
      </c>
      <c r="C1362" s="56" t="s">
        <v>87</v>
      </c>
      <c r="D1362" s="56" t="str">
        <f aca="false">IFERROR(INDEX('Brand Map'!$B$4:$B$124,MATCH(C1362,'Brand Map'!$A$4:$A$124,0)),"Other")</f>
        <v>FYF</v>
      </c>
      <c r="E1362" s="57" t="n">
        <v>2</v>
      </c>
      <c r="F1362" s="57" t="n">
        <v>0</v>
      </c>
      <c r="G1362" s="58" t="n">
        <v>249.9</v>
      </c>
      <c r="H1362" s="58" t="n">
        <v>0</v>
      </c>
      <c r="I1362" s="58" t="n">
        <v>249.9</v>
      </c>
      <c r="J1362" s="32" t="n">
        <f aca="false">IF(E1362&gt;0,F1362/E1362,0)</f>
        <v>0</v>
      </c>
      <c r="K1362" s="32" t="n">
        <f aca="false">IF(G1362&gt;0,H1362/G1362,0)</f>
        <v>-0</v>
      </c>
      <c r="L1362" s="59" t="n">
        <f aca="false">H1362/Settings!$B$16</f>
        <v>-0</v>
      </c>
      <c r="M1362" s="59" t="n">
        <f aca="false">H1362/Settings!$B$20</f>
        <v>-0</v>
      </c>
      <c r="N1362" s="60" t="n">
        <f aca="false">E1362*Settings!$B$3</f>
        <v>0.0619723021596408</v>
      </c>
      <c r="O1362" s="60" t="n">
        <f aca="false">IF(E1362&gt;0,(F1362-N1362)/SQRT(E1362*Settings!$B$3*(1-Settings!$B$3)),0)</f>
        <v>-0.252891261535318</v>
      </c>
      <c r="P1362" s="60" t="n">
        <f aca="false">MAX(0,F1362-N1362)</f>
        <v>0</v>
      </c>
      <c r="Q1362" s="32" t="n">
        <f aca="false">(F1362+Settings!$B$7*Settings!$B$3)/(E1362+Settings!$B$7)</f>
        <v>0.0290495166373316</v>
      </c>
      <c r="R1362" s="61" t="n">
        <f aca="false">PERCENTRANK($H$2:$H$1780,H1362,6)</f>
        <v>0</v>
      </c>
      <c r="S1362" s="61" t="n">
        <f aca="false">PERCENTRANK($Q$2:$Q$1780,Q1362,6)</f>
        <v>0.365579</v>
      </c>
      <c r="T1362" s="61" t="n">
        <f aca="false">PERCENTRANK($F$2:$F$1780,F1362,6)</f>
        <v>0</v>
      </c>
      <c r="U1362" s="62" t="n">
        <f aca="false">IF(F1362&gt;0,(Settings!$B$8*T1362+Settings!$B$9*R1362+Settings!$B$10*S1362)/SUM(Settings!$B$8:$B$10),0)</f>
        <v>0</v>
      </c>
      <c r="V1362" s="56" t="str">
        <f aca="false">IF(U1362&gt;0,RANK(U1362,$U$2:$U$1780)+COUNTIF($U$2:U1362,U1362)-1,"")</f>
        <v/>
      </c>
      <c r="W1362" s="56" t="str">
        <f aca="false">IF(V1362="","",IF(V1362&lt;=Settings!$B$11,"1 - Fix first",IF(V1362&lt;=Settings!$B$12,"2 - Review","3 - Monitor")))</f>
        <v/>
      </c>
      <c r="X1362" s="56" t="str">
        <f aca="false">IF(AND(E1362&gt;=Settings!$B$4,F1362&gt;=Settings!$B$5,O1362&gt;=Settings!$B$6),"HIGH RATE","")</f>
        <v/>
      </c>
      <c r="Y1362" s="56" t="str">
        <f aca="false">IF(F1362&gt;0,RANK(F1362,$F$2:$F$1780)+COUNTIF($F$2:F1362,F1362)-1,"")</f>
        <v/>
      </c>
      <c r="Z1362" s="56" t="str">
        <f aca="false">IF(H1362&gt;0,RANK(H1362,$H$2:$H$1780)+COUNTIF($H$2:H1362,H1362)-1,"")</f>
        <v/>
      </c>
      <c r="AA1362" s="56" t="str">
        <f aca="false">IF(AC1362="","",RANK(AC1362,$AC$2:$AC$1780)+COUNTIF($AC$2:AC1362,AC1362)-1)</f>
        <v/>
      </c>
      <c r="AB1362" s="56" t="str">
        <f aca="false">IF(AD1362="","",RANK(AD1362,$AD$2:$AD$1780)+COUNTIF($AD$2:AD1362,AD1362)-1)</f>
        <v/>
      </c>
      <c r="AC1362" s="56" t="str">
        <f aca="false">IF(AND(F1362&gt;0,E1362&gt;=Settings!$B$4),J1362,"")</f>
        <v/>
      </c>
      <c r="AD1362" s="56" t="str">
        <f aca="false">IF(X1362="HIGH RATE",O1362,"")</f>
        <v/>
      </c>
    </row>
    <row r="1363" customFormat="false" ht="15" hidden="false" customHeight="false" outlineLevel="0" collapsed="false">
      <c r="A1363" s="56" t="s">
        <v>2756</v>
      </c>
      <c r="B1363" s="56" t="s">
        <v>2752</v>
      </c>
      <c r="C1363" s="56" t="s">
        <v>87</v>
      </c>
      <c r="D1363" s="56" t="str">
        <f aca="false">IFERROR(INDEX('Brand Map'!$B$4:$B$124,MATCH(C1363,'Brand Map'!$A$4:$A$124,0)),"Other")</f>
        <v>FYF</v>
      </c>
      <c r="E1363" s="57" t="n">
        <v>1</v>
      </c>
      <c r="F1363" s="57" t="n">
        <v>0</v>
      </c>
      <c r="G1363" s="58" t="n">
        <v>194.95</v>
      </c>
      <c r="H1363" s="58" t="n">
        <v>0</v>
      </c>
      <c r="I1363" s="58" t="n">
        <v>194.95</v>
      </c>
      <c r="J1363" s="32" t="n">
        <f aca="false">IF(E1363&gt;0,F1363/E1363,0)</f>
        <v>0</v>
      </c>
      <c r="K1363" s="32" t="n">
        <f aca="false">IF(G1363&gt;0,H1363/G1363,0)</f>
        <v>-0</v>
      </c>
      <c r="L1363" s="59" t="n">
        <f aca="false">H1363/Settings!$B$16</f>
        <v>-0</v>
      </c>
      <c r="M1363" s="59" t="n">
        <f aca="false">H1363/Settings!$B$20</f>
        <v>-0</v>
      </c>
      <c r="N1363" s="60" t="n">
        <f aca="false">E1363*Settings!$B$3</f>
        <v>0.0309861510798204</v>
      </c>
      <c r="O1363" s="60" t="n">
        <f aca="false">IF(E1363&gt;0,(F1363-N1363)/SQRT(E1363*Settings!$B$3*(1-Settings!$B$3)),0)</f>
        <v>-0.178821125934444</v>
      </c>
      <c r="P1363" s="60" t="n">
        <f aca="false">MAX(0,F1363-N1363)</f>
        <v>0</v>
      </c>
      <c r="Q1363" s="32" t="n">
        <f aca="false">(F1363+Settings!$B$7*Settings!$B$3)/(E1363+Settings!$B$7)</f>
        <v>0.0299865978191811</v>
      </c>
      <c r="R1363" s="61" t="n">
        <f aca="false">PERCENTRANK($H$2:$H$1780,H1363,6)</f>
        <v>0</v>
      </c>
      <c r="S1363" s="61" t="n">
        <f aca="false">PERCENTRANK($Q$2:$Q$1780,Q1363,6)</f>
        <v>0.486502</v>
      </c>
      <c r="T1363" s="61" t="n">
        <f aca="false">PERCENTRANK($F$2:$F$1780,F1363,6)</f>
        <v>0</v>
      </c>
      <c r="U1363" s="62" t="n">
        <f aca="false">IF(F1363&gt;0,(Settings!$B$8*T1363+Settings!$B$9*R1363+Settings!$B$10*S1363)/SUM(Settings!$B$8:$B$10),0)</f>
        <v>0</v>
      </c>
      <c r="V1363" s="56" t="str">
        <f aca="false">IF(U1363&gt;0,RANK(U1363,$U$2:$U$1780)+COUNTIF($U$2:U1363,U1363)-1,"")</f>
        <v/>
      </c>
      <c r="W1363" s="56" t="str">
        <f aca="false">IF(V1363="","",IF(V1363&lt;=Settings!$B$11,"1 - Fix first",IF(V1363&lt;=Settings!$B$12,"2 - Review","3 - Monitor")))</f>
        <v/>
      </c>
      <c r="X1363" s="56" t="str">
        <f aca="false">IF(AND(E1363&gt;=Settings!$B$4,F1363&gt;=Settings!$B$5,O1363&gt;=Settings!$B$6),"HIGH RATE","")</f>
        <v/>
      </c>
      <c r="Y1363" s="56" t="str">
        <f aca="false">IF(F1363&gt;0,RANK(F1363,$F$2:$F$1780)+COUNTIF($F$2:F1363,F1363)-1,"")</f>
        <v/>
      </c>
      <c r="Z1363" s="56" t="str">
        <f aca="false">IF(H1363&gt;0,RANK(H1363,$H$2:$H$1780)+COUNTIF($H$2:H1363,H1363)-1,"")</f>
        <v/>
      </c>
      <c r="AA1363" s="56" t="str">
        <f aca="false">IF(AC1363="","",RANK(AC1363,$AC$2:$AC$1780)+COUNTIF($AC$2:AC1363,AC1363)-1)</f>
        <v/>
      </c>
      <c r="AB1363" s="56" t="str">
        <f aca="false">IF(AD1363="","",RANK(AD1363,$AD$2:$AD$1780)+COUNTIF($AD$2:AD1363,AD1363)-1)</f>
        <v/>
      </c>
      <c r="AC1363" s="56" t="str">
        <f aca="false">IF(AND(F1363&gt;0,E1363&gt;=Settings!$B$4),J1363,"")</f>
        <v/>
      </c>
      <c r="AD1363" s="56" t="str">
        <f aca="false">IF(X1363="HIGH RATE",O1363,"")</f>
        <v/>
      </c>
    </row>
    <row r="1364" customFormat="false" ht="15" hidden="false" customHeight="false" outlineLevel="0" collapsed="false">
      <c r="A1364" s="56" t="s">
        <v>2757</v>
      </c>
      <c r="B1364" s="56" t="s">
        <v>2758</v>
      </c>
      <c r="C1364" s="56" t="s">
        <v>87</v>
      </c>
      <c r="D1364" s="56" t="str">
        <f aca="false">IFERROR(INDEX('Brand Map'!$B$4:$B$124,MATCH(C1364,'Brand Map'!$A$4:$A$124,0)),"Other")</f>
        <v>FYF</v>
      </c>
      <c r="E1364" s="57" t="n">
        <v>1</v>
      </c>
      <c r="F1364" s="57" t="n">
        <v>0</v>
      </c>
      <c r="G1364" s="58" t="n">
        <v>59.95</v>
      </c>
      <c r="H1364" s="58" t="n">
        <v>0</v>
      </c>
      <c r="I1364" s="58" t="n">
        <v>59.95</v>
      </c>
      <c r="J1364" s="32" t="n">
        <f aca="false">IF(E1364&gt;0,F1364/E1364,0)</f>
        <v>0</v>
      </c>
      <c r="K1364" s="32" t="n">
        <f aca="false">IF(G1364&gt;0,H1364/G1364,0)</f>
        <v>-0</v>
      </c>
      <c r="L1364" s="59" t="n">
        <f aca="false">H1364/Settings!$B$16</f>
        <v>-0</v>
      </c>
      <c r="M1364" s="59" t="n">
        <f aca="false">H1364/Settings!$B$20</f>
        <v>-0</v>
      </c>
      <c r="N1364" s="60" t="n">
        <f aca="false">E1364*Settings!$B$3</f>
        <v>0.0309861510798204</v>
      </c>
      <c r="O1364" s="60" t="n">
        <f aca="false">IF(E1364&gt;0,(F1364-N1364)/SQRT(E1364*Settings!$B$3*(1-Settings!$B$3)),0)</f>
        <v>-0.178821125934444</v>
      </c>
      <c r="P1364" s="60" t="n">
        <f aca="false">MAX(0,F1364-N1364)</f>
        <v>0</v>
      </c>
      <c r="Q1364" s="32" t="n">
        <f aca="false">(F1364+Settings!$B$7*Settings!$B$3)/(E1364+Settings!$B$7)</f>
        <v>0.0299865978191811</v>
      </c>
      <c r="R1364" s="61" t="n">
        <f aca="false">PERCENTRANK($H$2:$H$1780,H1364,6)</f>
        <v>0</v>
      </c>
      <c r="S1364" s="61" t="n">
        <f aca="false">PERCENTRANK($Q$2:$Q$1780,Q1364,6)</f>
        <v>0.486502</v>
      </c>
      <c r="T1364" s="61" t="n">
        <f aca="false">PERCENTRANK($F$2:$F$1780,F1364,6)</f>
        <v>0</v>
      </c>
      <c r="U1364" s="62" t="n">
        <f aca="false">IF(F1364&gt;0,(Settings!$B$8*T1364+Settings!$B$9*R1364+Settings!$B$10*S1364)/SUM(Settings!$B$8:$B$10),0)</f>
        <v>0</v>
      </c>
      <c r="V1364" s="56" t="str">
        <f aca="false">IF(U1364&gt;0,RANK(U1364,$U$2:$U$1780)+COUNTIF($U$2:U1364,U1364)-1,"")</f>
        <v/>
      </c>
      <c r="W1364" s="56" t="str">
        <f aca="false">IF(V1364="","",IF(V1364&lt;=Settings!$B$11,"1 - Fix first",IF(V1364&lt;=Settings!$B$12,"2 - Review","3 - Monitor")))</f>
        <v/>
      </c>
      <c r="X1364" s="56" t="str">
        <f aca="false">IF(AND(E1364&gt;=Settings!$B$4,F1364&gt;=Settings!$B$5,O1364&gt;=Settings!$B$6),"HIGH RATE","")</f>
        <v/>
      </c>
      <c r="Y1364" s="56" t="str">
        <f aca="false">IF(F1364&gt;0,RANK(F1364,$F$2:$F$1780)+COUNTIF($F$2:F1364,F1364)-1,"")</f>
        <v/>
      </c>
      <c r="Z1364" s="56" t="str">
        <f aca="false">IF(H1364&gt;0,RANK(H1364,$H$2:$H$1780)+COUNTIF($H$2:H1364,H1364)-1,"")</f>
        <v/>
      </c>
      <c r="AA1364" s="56" t="str">
        <f aca="false">IF(AC1364="","",RANK(AC1364,$AC$2:$AC$1780)+COUNTIF($AC$2:AC1364,AC1364)-1)</f>
        <v/>
      </c>
      <c r="AB1364" s="56" t="str">
        <f aca="false">IF(AD1364="","",RANK(AD1364,$AD$2:$AD$1780)+COUNTIF($AD$2:AD1364,AD1364)-1)</f>
        <v/>
      </c>
      <c r="AC1364" s="56" t="str">
        <f aca="false">IF(AND(F1364&gt;0,E1364&gt;=Settings!$B$4),J1364,"")</f>
        <v/>
      </c>
      <c r="AD1364" s="56" t="str">
        <f aca="false">IF(X1364="HIGH RATE",O1364,"")</f>
        <v/>
      </c>
    </row>
    <row r="1365" customFormat="false" ht="15" hidden="false" customHeight="false" outlineLevel="0" collapsed="false">
      <c r="A1365" s="56" t="s">
        <v>2759</v>
      </c>
      <c r="B1365" s="56" t="s">
        <v>1213</v>
      </c>
      <c r="C1365" s="56" t="s">
        <v>87</v>
      </c>
      <c r="D1365" s="56" t="str">
        <f aca="false">IFERROR(INDEX('Brand Map'!$B$4:$B$124,MATCH(C1365,'Brand Map'!$A$4:$A$124,0)),"Other")</f>
        <v>FYF</v>
      </c>
      <c r="E1365" s="57" t="n">
        <v>26</v>
      </c>
      <c r="F1365" s="57" t="n">
        <v>0</v>
      </c>
      <c r="G1365" s="58" t="n">
        <v>3508.7</v>
      </c>
      <c r="H1365" s="58" t="n">
        <v>0</v>
      </c>
      <c r="I1365" s="58" t="n">
        <v>3508.7</v>
      </c>
      <c r="J1365" s="32" t="n">
        <f aca="false">IF(E1365&gt;0,F1365/E1365,0)</f>
        <v>0</v>
      </c>
      <c r="K1365" s="32" t="n">
        <f aca="false">IF(G1365&gt;0,H1365/G1365,0)</f>
        <v>-0</v>
      </c>
      <c r="L1365" s="59" t="n">
        <f aca="false">H1365/Settings!$B$16</f>
        <v>-0</v>
      </c>
      <c r="M1365" s="59" t="n">
        <f aca="false">H1365/Settings!$B$20</f>
        <v>-0</v>
      </c>
      <c r="N1365" s="60" t="n">
        <f aca="false">E1365*Settings!$B$3</f>
        <v>0.805639928075331</v>
      </c>
      <c r="O1365" s="60" t="n">
        <f aca="false">IF(E1365&gt;0,(F1365-N1365)/SQRT(E1365*Settings!$B$3*(1-Settings!$B$3)),0)</f>
        <v>-0.911812410582363</v>
      </c>
      <c r="P1365" s="60" t="n">
        <f aca="false">MAX(0,F1365-N1365)</f>
        <v>0</v>
      </c>
      <c r="Q1365" s="32" t="n">
        <f aca="false">(F1365+Settings!$B$7*Settings!$B$3)/(E1365+Settings!$B$7)</f>
        <v>0.0165997237927609</v>
      </c>
      <c r="R1365" s="61" t="n">
        <f aca="false">PERCENTRANK($H$2:$H$1780,H1365,6)</f>
        <v>0</v>
      </c>
      <c r="S1365" s="61" t="n">
        <f aca="false">PERCENTRANK($Q$2:$Q$1780,Q1365,6)</f>
        <v>0.0528684</v>
      </c>
      <c r="T1365" s="61" t="n">
        <f aca="false">PERCENTRANK($F$2:$F$1780,F1365,6)</f>
        <v>0</v>
      </c>
      <c r="U1365" s="62" t="n">
        <f aca="false">IF(F1365&gt;0,(Settings!$B$8*T1365+Settings!$B$9*R1365+Settings!$B$10*S1365)/SUM(Settings!$B$8:$B$10),0)</f>
        <v>0</v>
      </c>
      <c r="V1365" s="56" t="str">
        <f aca="false">IF(U1365&gt;0,RANK(U1365,$U$2:$U$1780)+COUNTIF($U$2:U1365,U1365)-1,"")</f>
        <v/>
      </c>
      <c r="W1365" s="56" t="str">
        <f aca="false">IF(V1365="","",IF(V1365&lt;=Settings!$B$11,"1 - Fix first",IF(V1365&lt;=Settings!$B$12,"2 - Review","3 - Monitor")))</f>
        <v/>
      </c>
      <c r="X1365" s="56" t="str">
        <f aca="false">IF(AND(E1365&gt;=Settings!$B$4,F1365&gt;=Settings!$B$5,O1365&gt;=Settings!$B$6),"HIGH RATE","")</f>
        <v/>
      </c>
      <c r="Y1365" s="56" t="str">
        <f aca="false">IF(F1365&gt;0,RANK(F1365,$F$2:$F$1780)+COUNTIF($F$2:F1365,F1365)-1,"")</f>
        <v/>
      </c>
      <c r="Z1365" s="56" t="str">
        <f aca="false">IF(H1365&gt;0,RANK(H1365,$H$2:$H$1780)+COUNTIF($H$2:H1365,H1365)-1,"")</f>
        <v/>
      </c>
      <c r="AA1365" s="56" t="str">
        <f aca="false">IF(AC1365="","",RANK(AC1365,$AC$2:$AC$1780)+COUNTIF($AC$2:AC1365,AC1365)-1)</f>
        <v/>
      </c>
      <c r="AB1365" s="56" t="str">
        <f aca="false">IF(AD1365="","",RANK(AD1365,$AD$2:$AD$1780)+COUNTIF($AD$2:AD1365,AD1365)-1)</f>
        <v/>
      </c>
      <c r="AC1365" s="56" t="str">
        <f aca="false">IF(AND(F1365&gt;0,E1365&gt;=Settings!$B$4),J1365,"")</f>
        <v/>
      </c>
      <c r="AD1365" s="56" t="str">
        <f aca="false">IF(X1365="HIGH RATE",O1365,"")</f>
        <v/>
      </c>
    </row>
    <row r="1366" customFormat="false" ht="15" hidden="false" customHeight="false" outlineLevel="0" collapsed="false">
      <c r="A1366" s="56" t="s">
        <v>2760</v>
      </c>
      <c r="B1366" s="56" t="s">
        <v>1213</v>
      </c>
      <c r="C1366" s="56" t="s">
        <v>87</v>
      </c>
      <c r="D1366" s="56" t="str">
        <f aca="false">IFERROR(INDEX('Brand Map'!$B$4:$B$124,MATCH(C1366,'Brand Map'!$A$4:$A$124,0)),"Other")</f>
        <v>FYF</v>
      </c>
      <c r="E1366" s="57" t="n">
        <v>11</v>
      </c>
      <c r="F1366" s="57" t="n">
        <v>0</v>
      </c>
      <c r="G1366" s="58" t="n">
        <v>1594.45</v>
      </c>
      <c r="H1366" s="58" t="n">
        <v>0</v>
      </c>
      <c r="I1366" s="58" t="n">
        <v>1594.45</v>
      </c>
      <c r="J1366" s="32" t="n">
        <f aca="false">IF(E1366&gt;0,F1366/E1366,0)</f>
        <v>0</v>
      </c>
      <c r="K1366" s="32" t="n">
        <f aca="false">IF(G1366&gt;0,H1366/G1366,0)</f>
        <v>-0</v>
      </c>
      <c r="L1366" s="59" t="n">
        <f aca="false">H1366/Settings!$B$16</f>
        <v>-0</v>
      </c>
      <c r="M1366" s="59" t="n">
        <f aca="false">H1366/Settings!$B$20</f>
        <v>-0</v>
      </c>
      <c r="N1366" s="60" t="n">
        <f aca="false">E1366*Settings!$B$3</f>
        <v>0.340847661878025</v>
      </c>
      <c r="O1366" s="60" t="n">
        <f aca="false">IF(E1366&gt;0,(F1366-N1366)/SQRT(E1366*Settings!$B$3*(1-Settings!$B$3)),0)</f>
        <v>-0.593082579313442</v>
      </c>
      <c r="P1366" s="60" t="n">
        <f aca="false">MAX(0,F1366-N1366)</f>
        <v>0</v>
      </c>
      <c r="Q1366" s="32" t="n">
        <f aca="false">(F1366+Settings!$B$7*Settings!$B$3)/(E1366+Settings!$B$7)</f>
        <v>0.0226727934730393</v>
      </c>
      <c r="R1366" s="61" t="n">
        <f aca="false">PERCENTRANK($H$2:$H$1780,H1366,6)</f>
        <v>0</v>
      </c>
      <c r="S1366" s="61" t="n">
        <f aca="false">PERCENTRANK($Q$2:$Q$1780,Q1366,6)</f>
        <v>0.117548</v>
      </c>
      <c r="T1366" s="61" t="n">
        <f aca="false">PERCENTRANK($F$2:$F$1780,F1366,6)</f>
        <v>0</v>
      </c>
      <c r="U1366" s="62" t="n">
        <f aca="false">IF(F1366&gt;0,(Settings!$B$8*T1366+Settings!$B$9*R1366+Settings!$B$10*S1366)/SUM(Settings!$B$8:$B$10),0)</f>
        <v>0</v>
      </c>
      <c r="V1366" s="56" t="str">
        <f aca="false">IF(U1366&gt;0,RANK(U1366,$U$2:$U$1780)+COUNTIF($U$2:U1366,U1366)-1,"")</f>
        <v/>
      </c>
      <c r="W1366" s="56" t="str">
        <f aca="false">IF(V1366="","",IF(V1366&lt;=Settings!$B$11,"1 - Fix first",IF(V1366&lt;=Settings!$B$12,"2 - Review","3 - Monitor")))</f>
        <v/>
      </c>
      <c r="X1366" s="56" t="str">
        <f aca="false">IF(AND(E1366&gt;=Settings!$B$4,F1366&gt;=Settings!$B$5,O1366&gt;=Settings!$B$6),"HIGH RATE","")</f>
        <v/>
      </c>
      <c r="Y1366" s="56" t="str">
        <f aca="false">IF(F1366&gt;0,RANK(F1366,$F$2:$F$1780)+COUNTIF($F$2:F1366,F1366)-1,"")</f>
        <v/>
      </c>
      <c r="Z1366" s="56" t="str">
        <f aca="false">IF(H1366&gt;0,RANK(H1366,$H$2:$H$1780)+COUNTIF($H$2:H1366,H1366)-1,"")</f>
        <v/>
      </c>
      <c r="AA1366" s="56" t="str">
        <f aca="false">IF(AC1366="","",RANK(AC1366,$AC$2:$AC$1780)+COUNTIF($AC$2:AC1366,AC1366)-1)</f>
        <v/>
      </c>
      <c r="AB1366" s="56" t="str">
        <f aca="false">IF(AD1366="","",RANK(AD1366,$AD$2:$AD$1780)+COUNTIF($AD$2:AD1366,AD1366)-1)</f>
        <v/>
      </c>
      <c r="AC1366" s="56" t="str">
        <f aca="false">IF(AND(F1366&gt;0,E1366&gt;=Settings!$B$4),J1366,"")</f>
        <v/>
      </c>
      <c r="AD1366" s="56" t="str">
        <f aca="false">IF(X1366="HIGH RATE",O1366,"")</f>
        <v/>
      </c>
    </row>
    <row r="1367" customFormat="false" ht="15" hidden="false" customHeight="false" outlineLevel="0" collapsed="false">
      <c r="A1367" s="56" t="s">
        <v>2761</v>
      </c>
      <c r="B1367" s="56" t="s">
        <v>1373</v>
      </c>
      <c r="C1367" s="56" t="s">
        <v>87</v>
      </c>
      <c r="D1367" s="56" t="str">
        <f aca="false">IFERROR(INDEX('Brand Map'!$B$4:$B$124,MATCH(C1367,'Brand Map'!$A$4:$A$124,0)),"Other")</f>
        <v>FYF</v>
      </c>
      <c r="E1367" s="57" t="n">
        <v>5</v>
      </c>
      <c r="F1367" s="57" t="n">
        <v>0</v>
      </c>
      <c r="G1367" s="58" t="n">
        <v>624.75</v>
      </c>
      <c r="H1367" s="58" t="n">
        <v>0</v>
      </c>
      <c r="I1367" s="58" t="n">
        <v>624.75</v>
      </c>
      <c r="J1367" s="32" t="n">
        <f aca="false">IF(E1367&gt;0,F1367/E1367,0)</f>
        <v>0</v>
      </c>
      <c r="K1367" s="32" t="n">
        <f aca="false">IF(G1367&gt;0,H1367/G1367,0)</f>
        <v>-0</v>
      </c>
      <c r="L1367" s="59" t="n">
        <f aca="false">H1367/Settings!$B$16</f>
        <v>-0</v>
      </c>
      <c r="M1367" s="59" t="n">
        <f aca="false">H1367/Settings!$B$20</f>
        <v>-0</v>
      </c>
      <c r="N1367" s="60" t="n">
        <f aca="false">E1367*Settings!$B$3</f>
        <v>0.154930755399102</v>
      </c>
      <c r="O1367" s="60" t="n">
        <f aca="false">IF(E1367&gt;0,(F1367-N1367)/SQRT(E1367*Settings!$B$3*(1-Settings!$B$3)),0)</f>
        <v>-0.399856193402468</v>
      </c>
      <c r="P1367" s="60" t="n">
        <f aca="false">MAX(0,F1367-N1367)</f>
        <v>0</v>
      </c>
      <c r="Q1367" s="32" t="n">
        <f aca="false">(F1367+Settings!$B$7*Settings!$B$3)/(E1367+Settings!$B$7)</f>
        <v>0.0265595580684175</v>
      </c>
      <c r="R1367" s="61" t="n">
        <f aca="false">PERCENTRANK($H$2:$H$1780,H1367,6)</f>
        <v>0</v>
      </c>
      <c r="S1367" s="61" t="n">
        <f aca="false">PERCENTRANK($Q$2:$Q$1780,Q1367,6)</f>
        <v>0.220472</v>
      </c>
      <c r="T1367" s="61" t="n">
        <f aca="false">PERCENTRANK($F$2:$F$1780,F1367,6)</f>
        <v>0</v>
      </c>
      <c r="U1367" s="62" t="n">
        <f aca="false">IF(F1367&gt;0,(Settings!$B$8*T1367+Settings!$B$9*R1367+Settings!$B$10*S1367)/SUM(Settings!$B$8:$B$10),0)</f>
        <v>0</v>
      </c>
      <c r="V1367" s="56" t="str">
        <f aca="false">IF(U1367&gt;0,RANK(U1367,$U$2:$U$1780)+COUNTIF($U$2:U1367,U1367)-1,"")</f>
        <v/>
      </c>
      <c r="W1367" s="56" t="str">
        <f aca="false">IF(V1367="","",IF(V1367&lt;=Settings!$B$11,"1 - Fix first",IF(V1367&lt;=Settings!$B$12,"2 - Review","3 - Monitor")))</f>
        <v/>
      </c>
      <c r="X1367" s="56" t="str">
        <f aca="false">IF(AND(E1367&gt;=Settings!$B$4,F1367&gt;=Settings!$B$5,O1367&gt;=Settings!$B$6),"HIGH RATE","")</f>
        <v/>
      </c>
      <c r="Y1367" s="56" t="str">
        <f aca="false">IF(F1367&gt;0,RANK(F1367,$F$2:$F$1780)+COUNTIF($F$2:F1367,F1367)-1,"")</f>
        <v/>
      </c>
      <c r="Z1367" s="56" t="str">
        <f aca="false">IF(H1367&gt;0,RANK(H1367,$H$2:$H$1780)+COUNTIF($H$2:H1367,H1367)-1,"")</f>
        <v/>
      </c>
      <c r="AA1367" s="56" t="str">
        <f aca="false">IF(AC1367="","",RANK(AC1367,$AC$2:$AC$1780)+COUNTIF($AC$2:AC1367,AC1367)-1)</f>
        <v/>
      </c>
      <c r="AB1367" s="56" t="str">
        <f aca="false">IF(AD1367="","",RANK(AD1367,$AD$2:$AD$1780)+COUNTIF($AD$2:AD1367,AD1367)-1)</f>
        <v/>
      </c>
      <c r="AC1367" s="56" t="str">
        <f aca="false">IF(AND(F1367&gt;0,E1367&gt;=Settings!$B$4),J1367,"")</f>
        <v/>
      </c>
      <c r="AD1367" s="56" t="str">
        <f aca="false">IF(X1367="HIGH RATE",O1367,"")</f>
        <v/>
      </c>
    </row>
    <row r="1368" customFormat="false" ht="15" hidden="false" customHeight="false" outlineLevel="0" collapsed="false">
      <c r="A1368" s="56" t="s">
        <v>2762</v>
      </c>
      <c r="B1368" s="56" t="s">
        <v>1373</v>
      </c>
      <c r="C1368" s="56" t="s">
        <v>87</v>
      </c>
      <c r="D1368" s="56" t="str">
        <f aca="false">IFERROR(INDEX('Brand Map'!$B$4:$B$124,MATCH(C1368,'Brand Map'!$A$4:$A$124,0)),"Other")</f>
        <v>FYF</v>
      </c>
      <c r="E1368" s="57" t="n">
        <v>7</v>
      </c>
      <c r="F1368" s="57" t="n">
        <v>0</v>
      </c>
      <c r="G1368" s="58" t="n">
        <v>944.65</v>
      </c>
      <c r="H1368" s="58" t="n">
        <v>0</v>
      </c>
      <c r="I1368" s="58" t="n">
        <v>944.65</v>
      </c>
      <c r="J1368" s="32" t="n">
        <f aca="false">IF(E1368&gt;0,F1368/E1368,0)</f>
        <v>0</v>
      </c>
      <c r="K1368" s="32" t="n">
        <f aca="false">IF(G1368&gt;0,H1368/G1368,0)</f>
        <v>-0</v>
      </c>
      <c r="L1368" s="59" t="n">
        <f aca="false">H1368/Settings!$B$16</f>
        <v>-0</v>
      </c>
      <c r="M1368" s="59" t="n">
        <f aca="false">H1368/Settings!$B$20</f>
        <v>-0</v>
      </c>
      <c r="N1368" s="60" t="n">
        <f aca="false">E1368*Settings!$B$3</f>
        <v>0.216903057558743</v>
      </c>
      <c r="O1368" s="60" t="n">
        <f aca="false">IF(E1368&gt;0,(F1368-N1368)/SQRT(E1368*Settings!$B$3*(1-Settings!$B$3)),0)</f>
        <v>-0.473116228387102</v>
      </c>
      <c r="P1368" s="60" t="n">
        <f aca="false">MAX(0,F1368-N1368)</f>
        <v>0</v>
      </c>
      <c r="Q1368" s="32" t="n">
        <f aca="false">(F1368+Settings!$B$7*Settings!$B$3)/(E1368+Settings!$B$7)</f>
        <v>0.0251239062809355</v>
      </c>
      <c r="R1368" s="61" t="n">
        <f aca="false">PERCENTRANK($H$2:$H$1780,H1368,6)</f>
        <v>0</v>
      </c>
      <c r="S1368" s="61" t="n">
        <f aca="false">PERCENTRANK($Q$2:$Q$1780,Q1368,6)</f>
        <v>0.168166</v>
      </c>
      <c r="T1368" s="61" t="n">
        <f aca="false">PERCENTRANK($F$2:$F$1780,F1368,6)</f>
        <v>0</v>
      </c>
      <c r="U1368" s="62" t="n">
        <f aca="false">IF(F1368&gt;0,(Settings!$B$8*T1368+Settings!$B$9*R1368+Settings!$B$10*S1368)/SUM(Settings!$B$8:$B$10),0)</f>
        <v>0</v>
      </c>
      <c r="V1368" s="56" t="str">
        <f aca="false">IF(U1368&gt;0,RANK(U1368,$U$2:$U$1780)+COUNTIF($U$2:U1368,U1368)-1,"")</f>
        <v/>
      </c>
      <c r="W1368" s="56" t="str">
        <f aca="false">IF(V1368="","",IF(V1368&lt;=Settings!$B$11,"1 - Fix first",IF(V1368&lt;=Settings!$B$12,"2 - Review","3 - Monitor")))</f>
        <v/>
      </c>
      <c r="X1368" s="56" t="str">
        <f aca="false">IF(AND(E1368&gt;=Settings!$B$4,F1368&gt;=Settings!$B$5,O1368&gt;=Settings!$B$6),"HIGH RATE","")</f>
        <v/>
      </c>
      <c r="Y1368" s="56" t="str">
        <f aca="false">IF(F1368&gt;0,RANK(F1368,$F$2:$F$1780)+COUNTIF($F$2:F1368,F1368)-1,"")</f>
        <v/>
      </c>
      <c r="Z1368" s="56" t="str">
        <f aca="false">IF(H1368&gt;0,RANK(H1368,$H$2:$H$1780)+COUNTIF($H$2:H1368,H1368)-1,"")</f>
        <v/>
      </c>
      <c r="AA1368" s="56" t="str">
        <f aca="false">IF(AC1368="","",RANK(AC1368,$AC$2:$AC$1780)+COUNTIF($AC$2:AC1368,AC1368)-1)</f>
        <v/>
      </c>
      <c r="AB1368" s="56" t="str">
        <f aca="false">IF(AD1368="","",RANK(AD1368,$AD$2:$AD$1780)+COUNTIF($AD$2:AD1368,AD1368)-1)</f>
        <v/>
      </c>
      <c r="AC1368" s="56" t="str">
        <f aca="false">IF(AND(F1368&gt;0,E1368&gt;=Settings!$B$4),J1368,"")</f>
        <v/>
      </c>
      <c r="AD1368" s="56" t="str">
        <f aca="false">IF(X1368="HIGH RATE",O1368,"")</f>
        <v/>
      </c>
    </row>
    <row r="1369" customFormat="false" ht="15" hidden="false" customHeight="false" outlineLevel="0" collapsed="false">
      <c r="A1369" s="56" t="s">
        <v>2763</v>
      </c>
      <c r="B1369" s="56" t="s">
        <v>2764</v>
      </c>
      <c r="C1369" s="56" t="s">
        <v>87</v>
      </c>
      <c r="D1369" s="56" t="str">
        <f aca="false">IFERROR(INDEX('Brand Map'!$B$4:$B$124,MATCH(C1369,'Brand Map'!$A$4:$A$124,0)),"Other")</f>
        <v>FYF</v>
      </c>
      <c r="E1369" s="57" t="n">
        <v>6</v>
      </c>
      <c r="F1369" s="57" t="n">
        <v>0</v>
      </c>
      <c r="G1369" s="58" t="n">
        <v>509.7</v>
      </c>
      <c r="H1369" s="58" t="n">
        <v>0</v>
      </c>
      <c r="I1369" s="58" t="n">
        <v>509.7</v>
      </c>
      <c r="J1369" s="32" t="n">
        <f aca="false">IF(E1369&gt;0,F1369/E1369,0)</f>
        <v>0</v>
      </c>
      <c r="K1369" s="32" t="n">
        <f aca="false">IF(G1369&gt;0,H1369/G1369,0)</f>
        <v>-0</v>
      </c>
      <c r="L1369" s="59" t="n">
        <f aca="false">H1369/Settings!$B$16</f>
        <v>-0</v>
      </c>
      <c r="M1369" s="59" t="n">
        <f aca="false">H1369/Settings!$B$20</f>
        <v>-0</v>
      </c>
      <c r="N1369" s="60" t="n">
        <f aca="false">E1369*Settings!$B$3</f>
        <v>0.185916906478923</v>
      </c>
      <c r="O1369" s="60" t="n">
        <f aca="false">IF(E1369&gt;0,(F1369-N1369)/SQRT(E1369*Settings!$B$3*(1-Settings!$B$3)),0)</f>
        <v>-0.43802051376936</v>
      </c>
      <c r="P1369" s="60" t="n">
        <f aca="false">MAX(0,F1369-N1369)</f>
        <v>0</v>
      </c>
      <c r="Q1369" s="32" t="n">
        <f aca="false">(F1369+Settings!$B$7*Settings!$B$3)/(E1369+Settings!$B$7)</f>
        <v>0.025821792566517</v>
      </c>
      <c r="R1369" s="61" t="n">
        <f aca="false">PERCENTRANK($H$2:$H$1780,H1369,6)</f>
        <v>0</v>
      </c>
      <c r="S1369" s="61" t="n">
        <f aca="false">PERCENTRANK($Q$2:$Q$1780,Q1369,6)</f>
        <v>0.189539</v>
      </c>
      <c r="T1369" s="61" t="n">
        <f aca="false">PERCENTRANK($F$2:$F$1780,F1369,6)</f>
        <v>0</v>
      </c>
      <c r="U1369" s="62" t="n">
        <f aca="false">IF(F1369&gt;0,(Settings!$B$8*T1369+Settings!$B$9*R1369+Settings!$B$10*S1369)/SUM(Settings!$B$8:$B$10),0)</f>
        <v>0</v>
      </c>
      <c r="V1369" s="56" t="str">
        <f aca="false">IF(U1369&gt;0,RANK(U1369,$U$2:$U$1780)+COUNTIF($U$2:U1369,U1369)-1,"")</f>
        <v/>
      </c>
      <c r="W1369" s="56" t="str">
        <f aca="false">IF(V1369="","",IF(V1369&lt;=Settings!$B$11,"1 - Fix first",IF(V1369&lt;=Settings!$B$12,"2 - Review","3 - Monitor")))</f>
        <v/>
      </c>
      <c r="X1369" s="56" t="str">
        <f aca="false">IF(AND(E1369&gt;=Settings!$B$4,F1369&gt;=Settings!$B$5,O1369&gt;=Settings!$B$6),"HIGH RATE","")</f>
        <v/>
      </c>
      <c r="Y1369" s="56" t="str">
        <f aca="false">IF(F1369&gt;0,RANK(F1369,$F$2:$F$1780)+COUNTIF($F$2:F1369,F1369)-1,"")</f>
        <v/>
      </c>
      <c r="Z1369" s="56" t="str">
        <f aca="false">IF(H1369&gt;0,RANK(H1369,$H$2:$H$1780)+COUNTIF($H$2:H1369,H1369)-1,"")</f>
        <v/>
      </c>
      <c r="AA1369" s="56" t="str">
        <f aca="false">IF(AC1369="","",RANK(AC1369,$AC$2:$AC$1780)+COUNTIF($AC$2:AC1369,AC1369)-1)</f>
        <v/>
      </c>
      <c r="AB1369" s="56" t="str">
        <f aca="false">IF(AD1369="","",RANK(AD1369,$AD$2:$AD$1780)+COUNTIF($AD$2:AD1369,AD1369)-1)</f>
        <v/>
      </c>
      <c r="AC1369" s="56" t="str">
        <f aca="false">IF(AND(F1369&gt;0,E1369&gt;=Settings!$B$4),J1369,"")</f>
        <v/>
      </c>
      <c r="AD1369" s="56" t="str">
        <f aca="false">IF(X1369="HIGH RATE",O1369,"")</f>
        <v/>
      </c>
    </row>
    <row r="1370" customFormat="false" ht="15" hidden="false" customHeight="false" outlineLevel="0" collapsed="false">
      <c r="A1370" s="56" t="s">
        <v>2765</v>
      </c>
      <c r="B1370" s="56" t="s">
        <v>2764</v>
      </c>
      <c r="C1370" s="56" t="s">
        <v>87</v>
      </c>
      <c r="D1370" s="56" t="str">
        <f aca="false">IFERROR(INDEX('Brand Map'!$B$4:$B$124,MATCH(C1370,'Brand Map'!$A$4:$A$124,0)),"Other")</f>
        <v>FYF</v>
      </c>
      <c r="E1370" s="57" t="n">
        <v>1</v>
      </c>
      <c r="F1370" s="57" t="n">
        <v>0</v>
      </c>
      <c r="G1370" s="58" t="n">
        <v>139.95</v>
      </c>
      <c r="H1370" s="58" t="n">
        <v>0</v>
      </c>
      <c r="I1370" s="58" t="n">
        <v>139.95</v>
      </c>
      <c r="J1370" s="32" t="n">
        <f aca="false">IF(E1370&gt;0,F1370/E1370,0)</f>
        <v>0</v>
      </c>
      <c r="K1370" s="32" t="n">
        <f aca="false">IF(G1370&gt;0,H1370/G1370,0)</f>
        <v>-0</v>
      </c>
      <c r="L1370" s="59" t="n">
        <f aca="false">H1370/Settings!$B$16</f>
        <v>-0</v>
      </c>
      <c r="M1370" s="59" t="n">
        <f aca="false">H1370/Settings!$B$20</f>
        <v>-0</v>
      </c>
      <c r="N1370" s="60" t="n">
        <f aca="false">E1370*Settings!$B$3</f>
        <v>0.0309861510798204</v>
      </c>
      <c r="O1370" s="60" t="n">
        <f aca="false">IF(E1370&gt;0,(F1370-N1370)/SQRT(E1370*Settings!$B$3*(1-Settings!$B$3)),0)</f>
        <v>-0.178821125934444</v>
      </c>
      <c r="P1370" s="60" t="n">
        <f aca="false">MAX(0,F1370-N1370)</f>
        <v>0</v>
      </c>
      <c r="Q1370" s="32" t="n">
        <f aca="false">(F1370+Settings!$B$7*Settings!$B$3)/(E1370+Settings!$B$7)</f>
        <v>0.0299865978191811</v>
      </c>
      <c r="R1370" s="61" t="n">
        <f aca="false">PERCENTRANK($H$2:$H$1780,H1370,6)</f>
        <v>0</v>
      </c>
      <c r="S1370" s="61" t="n">
        <f aca="false">PERCENTRANK($Q$2:$Q$1780,Q1370,6)</f>
        <v>0.486502</v>
      </c>
      <c r="T1370" s="61" t="n">
        <f aca="false">PERCENTRANK($F$2:$F$1780,F1370,6)</f>
        <v>0</v>
      </c>
      <c r="U1370" s="62" t="n">
        <f aca="false">IF(F1370&gt;0,(Settings!$B$8*T1370+Settings!$B$9*R1370+Settings!$B$10*S1370)/SUM(Settings!$B$8:$B$10),0)</f>
        <v>0</v>
      </c>
      <c r="V1370" s="56" t="str">
        <f aca="false">IF(U1370&gt;0,RANK(U1370,$U$2:$U$1780)+COUNTIF($U$2:U1370,U1370)-1,"")</f>
        <v/>
      </c>
      <c r="W1370" s="56" t="str">
        <f aca="false">IF(V1370="","",IF(V1370&lt;=Settings!$B$11,"1 - Fix first",IF(V1370&lt;=Settings!$B$12,"2 - Review","3 - Monitor")))</f>
        <v/>
      </c>
      <c r="X1370" s="56" t="str">
        <f aca="false">IF(AND(E1370&gt;=Settings!$B$4,F1370&gt;=Settings!$B$5,O1370&gt;=Settings!$B$6),"HIGH RATE","")</f>
        <v/>
      </c>
      <c r="Y1370" s="56" t="str">
        <f aca="false">IF(F1370&gt;0,RANK(F1370,$F$2:$F$1780)+COUNTIF($F$2:F1370,F1370)-1,"")</f>
        <v/>
      </c>
      <c r="Z1370" s="56" t="str">
        <f aca="false">IF(H1370&gt;0,RANK(H1370,$H$2:$H$1780)+COUNTIF($H$2:H1370,H1370)-1,"")</f>
        <v/>
      </c>
      <c r="AA1370" s="56" t="str">
        <f aca="false">IF(AC1370="","",RANK(AC1370,$AC$2:$AC$1780)+COUNTIF($AC$2:AC1370,AC1370)-1)</f>
        <v/>
      </c>
      <c r="AB1370" s="56" t="str">
        <f aca="false">IF(AD1370="","",RANK(AD1370,$AD$2:$AD$1780)+COUNTIF($AD$2:AD1370,AD1370)-1)</f>
        <v/>
      </c>
      <c r="AC1370" s="56" t="str">
        <f aca="false">IF(AND(F1370&gt;0,E1370&gt;=Settings!$B$4),J1370,"")</f>
        <v/>
      </c>
      <c r="AD1370" s="56" t="str">
        <f aca="false">IF(X1370="HIGH RATE",O1370,"")</f>
        <v/>
      </c>
    </row>
    <row r="1371" customFormat="false" ht="15" hidden="false" customHeight="false" outlineLevel="0" collapsed="false">
      <c r="A1371" s="56" t="s">
        <v>2766</v>
      </c>
      <c r="B1371" s="56" t="s">
        <v>2764</v>
      </c>
      <c r="C1371" s="56" t="s">
        <v>87</v>
      </c>
      <c r="D1371" s="56" t="str">
        <f aca="false">IFERROR(INDEX('Brand Map'!$B$4:$B$124,MATCH(C1371,'Brand Map'!$A$4:$A$124,0)),"Other")</f>
        <v>FYF</v>
      </c>
      <c r="E1371" s="57" t="n">
        <v>1</v>
      </c>
      <c r="F1371" s="57" t="n">
        <v>0</v>
      </c>
      <c r="G1371" s="58" t="n">
        <v>154.95</v>
      </c>
      <c r="H1371" s="58" t="n">
        <v>0</v>
      </c>
      <c r="I1371" s="58" t="n">
        <v>154.95</v>
      </c>
      <c r="J1371" s="32" t="n">
        <f aca="false">IF(E1371&gt;0,F1371/E1371,0)</f>
        <v>0</v>
      </c>
      <c r="K1371" s="32" t="n">
        <f aca="false">IF(G1371&gt;0,H1371/G1371,0)</f>
        <v>-0</v>
      </c>
      <c r="L1371" s="59" t="n">
        <f aca="false">H1371/Settings!$B$16</f>
        <v>-0</v>
      </c>
      <c r="M1371" s="59" t="n">
        <f aca="false">H1371/Settings!$B$20</f>
        <v>-0</v>
      </c>
      <c r="N1371" s="60" t="n">
        <f aca="false">E1371*Settings!$B$3</f>
        <v>0.0309861510798204</v>
      </c>
      <c r="O1371" s="60" t="n">
        <f aca="false">IF(E1371&gt;0,(F1371-N1371)/SQRT(E1371*Settings!$B$3*(1-Settings!$B$3)),0)</f>
        <v>-0.178821125934444</v>
      </c>
      <c r="P1371" s="60" t="n">
        <f aca="false">MAX(0,F1371-N1371)</f>
        <v>0</v>
      </c>
      <c r="Q1371" s="32" t="n">
        <f aca="false">(F1371+Settings!$B$7*Settings!$B$3)/(E1371+Settings!$B$7)</f>
        <v>0.0299865978191811</v>
      </c>
      <c r="R1371" s="61" t="n">
        <f aca="false">PERCENTRANK($H$2:$H$1780,H1371,6)</f>
        <v>0</v>
      </c>
      <c r="S1371" s="61" t="n">
        <f aca="false">PERCENTRANK($Q$2:$Q$1780,Q1371,6)</f>
        <v>0.486502</v>
      </c>
      <c r="T1371" s="61" t="n">
        <f aca="false">PERCENTRANK($F$2:$F$1780,F1371,6)</f>
        <v>0</v>
      </c>
      <c r="U1371" s="62" t="n">
        <f aca="false">IF(F1371&gt;0,(Settings!$B$8*T1371+Settings!$B$9*R1371+Settings!$B$10*S1371)/SUM(Settings!$B$8:$B$10),0)</f>
        <v>0</v>
      </c>
      <c r="V1371" s="56" t="str">
        <f aca="false">IF(U1371&gt;0,RANK(U1371,$U$2:$U$1780)+COUNTIF($U$2:U1371,U1371)-1,"")</f>
        <v/>
      </c>
      <c r="W1371" s="56" t="str">
        <f aca="false">IF(V1371="","",IF(V1371&lt;=Settings!$B$11,"1 - Fix first",IF(V1371&lt;=Settings!$B$12,"2 - Review","3 - Monitor")))</f>
        <v/>
      </c>
      <c r="X1371" s="56" t="str">
        <f aca="false">IF(AND(E1371&gt;=Settings!$B$4,F1371&gt;=Settings!$B$5,O1371&gt;=Settings!$B$6),"HIGH RATE","")</f>
        <v/>
      </c>
      <c r="Y1371" s="56" t="str">
        <f aca="false">IF(F1371&gt;0,RANK(F1371,$F$2:$F$1780)+COUNTIF($F$2:F1371,F1371)-1,"")</f>
        <v/>
      </c>
      <c r="Z1371" s="56" t="str">
        <f aca="false">IF(H1371&gt;0,RANK(H1371,$H$2:$H$1780)+COUNTIF($H$2:H1371,H1371)-1,"")</f>
        <v/>
      </c>
      <c r="AA1371" s="56" t="str">
        <f aca="false">IF(AC1371="","",RANK(AC1371,$AC$2:$AC$1780)+COUNTIF($AC$2:AC1371,AC1371)-1)</f>
        <v/>
      </c>
      <c r="AB1371" s="56" t="str">
        <f aca="false">IF(AD1371="","",RANK(AD1371,$AD$2:$AD$1780)+COUNTIF($AD$2:AD1371,AD1371)-1)</f>
        <v/>
      </c>
      <c r="AC1371" s="56" t="str">
        <f aca="false">IF(AND(F1371&gt;0,E1371&gt;=Settings!$B$4),J1371,"")</f>
        <v/>
      </c>
      <c r="AD1371" s="56" t="str">
        <f aca="false">IF(X1371="HIGH RATE",O1371,"")</f>
        <v/>
      </c>
    </row>
    <row r="1372" customFormat="false" ht="15" hidden="false" customHeight="false" outlineLevel="0" collapsed="false">
      <c r="A1372" s="56" t="s">
        <v>2767</v>
      </c>
      <c r="B1372" s="56" t="s">
        <v>2764</v>
      </c>
      <c r="C1372" s="56" t="s">
        <v>87</v>
      </c>
      <c r="D1372" s="56" t="str">
        <f aca="false">IFERROR(INDEX('Brand Map'!$B$4:$B$124,MATCH(C1372,'Brand Map'!$A$4:$A$124,0)),"Other")</f>
        <v>FYF</v>
      </c>
      <c r="E1372" s="57" t="n">
        <v>1</v>
      </c>
      <c r="F1372" s="57" t="n">
        <v>0</v>
      </c>
      <c r="G1372" s="58" t="n">
        <v>84.95</v>
      </c>
      <c r="H1372" s="58" t="n">
        <v>0</v>
      </c>
      <c r="I1372" s="58" t="n">
        <v>84.95</v>
      </c>
      <c r="J1372" s="32" t="n">
        <f aca="false">IF(E1372&gt;0,F1372/E1372,0)</f>
        <v>0</v>
      </c>
      <c r="K1372" s="32" t="n">
        <f aca="false">IF(G1372&gt;0,H1372/G1372,0)</f>
        <v>-0</v>
      </c>
      <c r="L1372" s="59" t="n">
        <f aca="false">H1372/Settings!$B$16</f>
        <v>-0</v>
      </c>
      <c r="M1372" s="59" t="n">
        <f aca="false">H1372/Settings!$B$20</f>
        <v>-0</v>
      </c>
      <c r="N1372" s="60" t="n">
        <f aca="false">E1372*Settings!$B$3</f>
        <v>0.0309861510798204</v>
      </c>
      <c r="O1372" s="60" t="n">
        <f aca="false">IF(E1372&gt;0,(F1372-N1372)/SQRT(E1372*Settings!$B$3*(1-Settings!$B$3)),0)</f>
        <v>-0.178821125934444</v>
      </c>
      <c r="P1372" s="60" t="n">
        <f aca="false">MAX(0,F1372-N1372)</f>
        <v>0</v>
      </c>
      <c r="Q1372" s="32" t="n">
        <f aca="false">(F1372+Settings!$B$7*Settings!$B$3)/(E1372+Settings!$B$7)</f>
        <v>0.0299865978191811</v>
      </c>
      <c r="R1372" s="61" t="n">
        <f aca="false">PERCENTRANK($H$2:$H$1780,H1372,6)</f>
        <v>0</v>
      </c>
      <c r="S1372" s="61" t="n">
        <f aca="false">PERCENTRANK($Q$2:$Q$1780,Q1372,6)</f>
        <v>0.486502</v>
      </c>
      <c r="T1372" s="61" t="n">
        <f aca="false">PERCENTRANK($F$2:$F$1780,F1372,6)</f>
        <v>0</v>
      </c>
      <c r="U1372" s="62" t="n">
        <f aca="false">IF(F1372&gt;0,(Settings!$B$8*T1372+Settings!$B$9*R1372+Settings!$B$10*S1372)/SUM(Settings!$B$8:$B$10),0)</f>
        <v>0</v>
      </c>
      <c r="V1372" s="56" t="str">
        <f aca="false">IF(U1372&gt;0,RANK(U1372,$U$2:$U$1780)+COUNTIF($U$2:U1372,U1372)-1,"")</f>
        <v/>
      </c>
      <c r="W1372" s="56" t="str">
        <f aca="false">IF(V1372="","",IF(V1372&lt;=Settings!$B$11,"1 - Fix first",IF(V1372&lt;=Settings!$B$12,"2 - Review","3 - Monitor")))</f>
        <v/>
      </c>
      <c r="X1372" s="56" t="str">
        <f aca="false">IF(AND(E1372&gt;=Settings!$B$4,F1372&gt;=Settings!$B$5,O1372&gt;=Settings!$B$6),"HIGH RATE","")</f>
        <v/>
      </c>
      <c r="Y1372" s="56" t="str">
        <f aca="false">IF(F1372&gt;0,RANK(F1372,$F$2:$F$1780)+COUNTIF($F$2:F1372,F1372)-1,"")</f>
        <v/>
      </c>
      <c r="Z1372" s="56" t="str">
        <f aca="false">IF(H1372&gt;0,RANK(H1372,$H$2:$H$1780)+COUNTIF($H$2:H1372,H1372)-1,"")</f>
        <v/>
      </c>
      <c r="AA1372" s="56" t="str">
        <f aca="false">IF(AC1372="","",RANK(AC1372,$AC$2:$AC$1780)+COUNTIF($AC$2:AC1372,AC1372)-1)</f>
        <v/>
      </c>
      <c r="AB1372" s="56" t="str">
        <f aca="false">IF(AD1372="","",RANK(AD1372,$AD$2:$AD$1780)+COUNTIF($AD$2:AD1372,AD1372)-1)</f>
        <v/>
      </c>
      <c r="AC1372" s="56" t="str">
        <f aca="false">IF(AND(F1372&gt;0,E1372&gt;=Settings!$B$4),J1372,"")</f>
        <v/>
      </c>
      <c r="AD1372" s="56" t="str">
        <f aca="false">IF(X1372="HIGH RATE",O1372,"")</f>
        <v/>
      </c>
    </row>
    <row r="1373" customFormat="false" ht="15" hidden="false" customHeight="false" outlineLevel="0" collapsed="false">
      <c r="A1373" s="56" t="s">
        <v>2768</v>
      </c>
      <c r="B1373" s="56" t="s">
        <v>2764</v>
      </c>
      <c r="C1373" s="56" t="s">
        <v>87</v>
      </c>
      <c r="D1373" s="56" t="str">
        <f aca="false">IFERROR(INDEX('Brand Map'!$B$4:$B$124,MATCH(C1373,'Brand Map'!$A$4:$A$124,0)),"Other")</f>
        <v>FYF</v>
      </c>
      <c r="E1373" s="57" t="n">
        <v>1</v>
      </c>
      <c r="F1373" s="57" t="n">
        <v>0</v>
      </c>
      <c r="G1373" s="58" t="n">
        <v>109.95</v>
      </c>
      <c r="H1373" s="58" t="n">
        <v>0</v>
      </c>
      <c r="I1373" s="58" t="n">
        <v>109.95</v>
      </c>
      <c r="J1373" s="32" t="n">
        <f aca="false">IF(E1373&gt;0,F1373/E1373,0)</f>
        <v>0</v>
      </c>
      <c r="K1373" s="32" t="n">
        <f aca="false">IF(G1373&gt;0,H1373/G1373,0)</f>
        <v>-0</v>
      </c>
      <c r="L1373" s="59" t="n">
        <f aca="false">H1373/Settings!$B$16</f>
        <v>-0</v>
      </c>
      <c r="M1373" s="59" t="n">
        <f aca="false">H1373/Settings!$B$20</f>
        <v>-0</v>
      </c>
      <c r="N1373" s="60" t="n">
        <f aca="false">E1373*Settings!$B$3</f>
        <v>0.0309861510798204</v>
      </c>
      <c r="O1373" s="60" t="n">
        <f aca="false">IF(E1373&gt;0,(F1373-N1373)/SQRT(E1373*Settings!$B$3*(1-Settings!$B$3)),0)</f>
        <v>-0.178821125934444</v>
      </c>
      <c r="P1373" s="60" t="n">
        <f aca="false">MAX(0,F1373-N1373)</f>
        <v>0</v>
      </c>
      <c r="Q1373" s="32" t="n">
        <f aca="false">(F1373+Settings!$B$7*Settings!$B$3)/(E1373+Settings!$B$7)</f>
        <v>0.0299865978191811</v>
      </c>
      <c r="R1373" s="61" t="n">
        <f aca="false">PERCENTRANK($H$2:$H$1780,H1373,6)</f>
        <v>0</v>
      </c>
      <c r="S1373" s="61" t="n">
        <f aca="false">PERCENTRANK($Q$2:$Q$1780,Q1373,6)</f>
        <v>0.486502</v>
      </c>
      <c r="T1373" s="61" t="n">
        <f aca="false">PERCENTRANK($F$2:$F$1780,F1373,6)</f>
        <v>0</v>
      </c>
      <c r="U1373" s="62" t="n">
        <f aca="false">IF(F1373&gt;0,(Settings!$B$8*T1373+Settings!$B$9*R1373+Settings!$B$10*S1373)/SUM(Settings!$B$8:$B$10),0)</f>
        <v>0</v>
      </c>
      <c r="V1373" s="56" t="str">
        <f aca="false">IF(U1373&gt;0,RANK(U1373,$U$2:$U$1780)+COUNTIF($U$2:U1373,U1373)-1,"")</f>
        <v/>
      </c>
      <c r="W1373" s="56" t="str">
        <f aca="false">IF(V1373="","",IF(V1373&lt;=Settings!$B$11,"1 - Fix first",IF(V1373&lt;=Settings!$B$12,"2 - Review","3 - Monitor")))</f>
        <v/>
      </c>
      <c r="X1373" s="56" t="str">
        <f aca="false">IF(AND(E1373&gt;=Settings!$B$4,F1373&gt;=Settings!$B$5,O1373&gt;=Settings!$B$6),"HIGH RATE","")</f>
        <v/>
      </c>
      <c r="Y1373" s="56" t="str">
        <f aca="false">IF(F1373&gt;0,RANK(F1373,$F$2:$F$1780)+COUNTIF($F$2:F1373,F1373)-1,"")</f>
        <v/>
      </c>
      <c r="Z1373" s="56" t="str">
        <f aca="false">IF(H1373&gt;0,RANK(H1373,$H$2:$H$1780)+COUNTIF($H$2:H1373,H1373)-1,"")</f>
        <v/>
      </c>
      <c r="AA1373" s="56" t="str">
        <f aca="false">IF(AC1373="","",RANK(AC1373,$AC$2:$AC$1780)+COUNTIF($AC$2:AC1373,AC1373)-1)</f>
        <v/>
      </c>
      <c r="AB1373" s="56" t="str">
        <f aca="false">IF(AD1373="","",RANK(AD1373,$AD$2:$AD$1780)+COUNTIF($AD$2:AD1373,AD1373)-1)</f>
        <v/>
      </c>
      <c r="AC1373" s="56" t="str">
        <f aca="false">IF(AND(F1373&gt;0,E1373&gt;=Settings!$B$4),J1373,"")</f>
        <v/>
      </c>
      <c r="AD1373" s="56" t="str">
        <f aca="false">IF(X1373="HIGH RATE",O1373,"")</f>
        <v/>
      </c>
    </row>
    <row r="1374" customFormat="false" ht="15" hidden="false" customHeight="false" outlineLevel="0" collapsed="false">
      <c r="A1374" s="56" t="s">
        <v>2769</v>
      </c>
      <c r="B1374" s="56" t="s">
        <v>2764</v>
      </c>
      <c r="C1374" s="56" t="s">
        <v>87</v>
      </c>
      <c r="D1374" s="56" t="str">
        <f aca="false">IFERROR(INDEX('Brand Map'!$B$4:$B$124,MATCH(C1374,'Brand Map'!$A$4:$A$124,0)),"Other")</f>
        <v>FYF</v>
      </c>
      <c r="E1374" s="57" t="n">
        <v>1</v>
      </c>
      <c r="F1374" s="57" t="n">
        <v>0</v>
      </c>
      <c r="G1374" s="58" t="n">
        <v>154.95</v>
      </c>
      <c r="H1374" s="58" t="n">
        <v>0</v>
      </c>
      <c r="I1374" s="58" t="n">
        <v>154.95</v>
      </c>
      <c r="J1374" s="32" t="n">
        <f aca="false">IF(E1374&gt;0,F1374/E1374,0)</f>
        <v>0</v>
      </c>
      <c r="K1374" s="32" t="n">
        <f aca="false">IF(G1374&gt;0,H1374/G1374,0)</f>
        <v>-0</v>
      </c>
      <c r="L1374" s="59" t="n">
        <f aca="false">H1374/Settings!$B$16</f>
        <v>-0</v>
      </c>
      <c r="M1374" s="59" t="n">
        <f aca="false">H1374/Settings!$B$20</f>
        <v>-0</v>
      </c>
      <c r="N1374" s="60" t="n">
        <f aca="false">E1374*Settings!$B$3</f>
        <v>0.0309861510798204</v>
      </c>
      <c r="O1374" s="60" t="n">
        <f aca="false">IF(E1374&gt;0,(F1374-N1374)/SQRT(E1374*Settings!$B$3*(1-Settings!$B$3)),0)</f>
        <v>-0.178821125934444</v>
      </c>
      <c r="P1374" s="60" t="n">
        <f aca="false">MAX(0,F1374-N1374)</f>
        <v>0</v>
      </c>
      <c r="Q1374" s="32" t="n">
        <f aca="false">(F1374+Settings!$B$7*Settings!$B$3)/(E1374+Settings!$B$7)</f>
        <v>0.0299865978191811</v>
      </c>
      <c r="R1374" s="61" t="n">
        <f aca="false">PERCENTRANK($H$2:$H$1780,H1374,6)</f>
        <v>0</v>
      </c>
      <c r="S1374" s="61" t="n">
        <f aca="false">PERCENTRANK($Q$2:$Q$1780,Q1374,6)</f>
        <v>0.486502</v>
      </c>
      <c r="T1374" s="61" t="n">
        <f aca="false">PERCENTRANK($F$2:$F$1780,F1374,6)</f>
        <v>0</v>
      </c>
      <c r="U1374" s="62" t="n">
        <f aca="false">IF(F1374&gt;0,(Settings!$B$8*T1374+Settings!$B$9*R1374+Settings!$B$10*S1374)/SUM(Settings!$B$8:$B$10),0)</f>
        <v>0</v>
      </c>
      <c r="V1374" s="56" t="str">
        <f aca="false">IF(U1374&gt;0,RANK(U1374,$U$2:$U$1780)+COUNTIF($U$2:U1374,U1374)-1,"")</f>
        <v/>
      </c>
      <c r="W1374" s="56" t="str">
        <f aca="false">IF(V1374="","",IF(V1374&lt;=Settings!$B$11,"1 - Fix first",IF(V1374&lt;=Settings!$B$12,"2 - Review","3 - Monitor")))</f>
        <v/>
      </c>
      <c r="X1374" s="56" t="str">
        <f aca="false">IF(AND(E1374&gt;=Settings!$B$4,F1374&gt;=Settings!$B$5,O1374&gt;=Settings!$B$6),"HIGH RATE","")</f>
        <v/>
      </c>
      <c r="Y1374" s="56" t="str">
        <f aca="false">IF(F1374&gt;0,RANK(F1374,$F$2:$F$1780)+COUNTIF($F$2:F1374,F1374)-1,"")</f>
        <v/>
      </c>
      <c r="Z1374" s="56" t="str">
        <f aca="false">IF(H1374&gt;0,RANK(H1374,$H$2:$H$1780)+COUNTIF($H$2:H1374,H1374)-1,"")</f>
        <v/>
      </c>
      <c r="AA1374" s="56" t="str">
        <f aca="false">IF(AC1374="","",RANK(AC1374,$AC$2:$AC$1780)+COUNTIF($AC$2:AC1374,AC1374)-1)</f>
        <v/>
      </c>
      <c r="AB1374" s="56" t="str">
        <f aca="false">IF(AD1374="","",RANK(AD1374,$AD$2:$AD$1780)+COUNTIF($AD$2:AD1374,AD1374)-1)</f>
        <v/>
      </c>
      <c r="AC1374" s="56" t="str">
        <f aca="false">IF(AND(F1374&gt;0,E1374&gt;=Settings!$B$4),J1374,"")</f>
        <v/>
      </c>
      <c r="AD1374" s="56" t="str">
        <f aca="false">IF(X1374="HIGH RATE",O1374,"")</f>
        <v/>
      </c>
    </row>
    <row r="1375" customFormat="false" ht="15" hidden="false" customHeight="false" outlineLevel="0" collapsed="false">
      <c r="A1375" s="56" t="s">
        <v>2770</v>
      </c>
      <c r="B1375" s="56" t="s">
        <v>2764</v>
      </c>
      <c r="C1375" s="56" t="s">
        <v>87</v>
      </c>
      <c r="D1375" s="56" t="str">
        <f aca="false">IFERROR(INDEX('Brand Map'!$B$4:$B$124,MATCH(C1375,'Brand Map'!$A$4:$A$124,0)),"Other")</f>
        <v>FYF</v>
      </c>
      <c r="E1375" s="57" t="n">
        <v>3</v>
      </c>
      <c r="F1375" s="57" t="n">
        <v>0</v>
      </c>
      <c r="G1375" s="58" t="n">
        <v>254.85</v>
      </c>
      <c r="H1375" s="58" t="n">
        <v>0</v>
      </c>
      <c r="I1375" s="58" t="n">
        <v>254.85</v>
      </c>
      <c r="J1375" s="32" t="n">
        <f aca="false">IF(E1375&gt;0,F1375/E1375,0)</f>
        <v>0</v>
      </c>
      <c r="K1375" s="32" t="n">
        <f aca="false">IF(G1375&gt;0,H1375/G1375,0)</f>
        <v>-0</v>
      </c>
      <c r="L1375" s="59" t="n">
        <f aca="false">H1375/Settings!$B$16</f>
        <v>-0</v>
      </c>
      <c r="M1375" s="59" t="n">
        <f aca="false">H1375/Settings!$B$20</f>
        <v>-0</v>
      </c>
      <c r="N1375" s="60" t="n">
        <f aca="false">E1375*Settings!$B$3</f>
        <v>0.0929584532394613</v>
      </c>
      <c r="O1375" s="60" t="n">
        <f aca="false">IF(E1375&gt;0,(F1375-N1375)/SQRT(E1375*Settings!$B$3*(1-Settings!$B$3)),0)</f>
        <v>-0.30972727558513</v>
      </c>
      <c r="P1375" s="60" t="n">
        <f aca="false">MAX(0,F1375-N1375)</f>
        <v>0</v>
      </c>
      <c r="Q1375" s="32" t="n">
        <f aca="false">(F1375+Settings!$B$7*Settings!$B$3)/(E1375+Settings!$B$7)</f>
        <v>0.0281692282543822</v>
      </c>
      <c r="R1375" s="61" t="n">
        <f aca="false">PERCENTRANK($H$2:$H$1780,H1375,6)</f>
        <v>0</v>
      </c>
      <c r="S1375" s="61" t="n">
        <f aca="false">PERCENTRANK($Q$2:$Q$1780,Q1375,6)</f>
        <v>0.294151</v>
      </c>
      <c r="T1375" s="61" t="n">
        <f aca="false">PERCENTRANK($F$2:$F$1780,F1375,6)</f>
        <v>0</v>
      </c>
      <c r="U1375" s="62" t="n">
        <f aca="false">IF(F1375&gt;0,(Settings!$B$8*T1375+Settings!$B$9*R1375+Settings!$B$10*S1375)/SUM(Settings!$B$8:$B$10),0)</f>
        <v>0</v>
      </c>
      <c r="V1375" s="56" t="str">
        <f aca="false">IF(U1375&gt;0,RANK(U1375,$U$2:$U$1780)+COUNTIF($U$2:U1375,U1375)-1,"")</f>
        <v/>
      </c>
      <c r="W1375" s="56" t="str">
        <f aca="false">IF(V1375="","",IF(V1375&lt;=Settings!$B$11,"1 - Fix first",IF(V1375&lt;=Settings!$B$12,"2 - Review","3 - Monitor")))</f>
        <v/>
      </c>
      <c r="X1375" s="56" t="str">
        <f aca="false">IF(AND(E1375&gt;=Settings!$B$4,F1375&gt;=Settings!$B$5,O1375&gt;=Settings!$B$6),"HIGH RATE","")</f>
        <v/>
      </c>
      <c r="Y1375" s="56" t="str">
        <f aca="false">IF(F1375&gt;0,RANK(F1375,$F$2:$F$1780)+COUNTIF($F$2:F1375,F1375)-1,"")</f>
        <v/>
      </c>
      <c r="Z1375" s="56" t="str">
        <f aca="false">IF(H1375&gt;0,RANK(H1375,$H$2:$H$1780)+COUNTIF($H$2:H1375,H1375)-1,"")</f>
        <v/>
      </c>
      <c r="AA1375" s="56" t="str">
        <f aca="false">IF(AC1375="","",RANK(AC1375,$AC$2:$AC$1780)+COUNTIF($AC$2:AC1375,AC1375)-1)</f>
        <v/>
      </c>
      <c r="AB1375" s="56" t="str">
        <f aca="false">IF(AD1375="","",RANK(AD1375,$AD$2:$AD$1780)+COUNTIF($AD$2:AD1375,AD1375)-1)</f>
        <v/>
      </c>
      <c r="AC1375" s="56" t="str">
        <f aca="false">IF(AND(F1375&gt;0,E1375&gt;=Settings!$B$4),J1375,"")</f>
        <v/>
      </c>
      <c r="AD1375" s="56" t="str">
        <f aca="false">IF(X1375="HIGH RATE",O1375,"")</f>
        <v/>
      </c>
    </row>
    <row r="1376" customFormat="false" ht="15" hidden="false" customHeight="false" outlineLevel="0" collapsed="false">
      <c r="A1376" s="56" t="s">
        <v>2771</v>
      </c>
      <c r="B1376" s="56" t="s">
        <v>2764</v>
      </c>
      <c r="C1376" s="56" t="s">
        <v>87</v>
      </c>
      <c r="D1376" s="56" t="str">
        <f aca="false">IFERROR(INDEX('Brand Map'!$B$4:$B$124,MATCH(C1376,'Brand Map'!$A$4:$A$124,0)),"Other")</f>
        <v>FYF</v>
      </c>
      <c r="E1376" s="57" t="n">
        <v>1</v>
      </c>
      <c r="F1376" s="57" t="n">
        <v>0</v>
      </c>
      <c r="G1376" s="58" t="n">
        <v>139.95</v>
      </c>
      <c r="H1376" s="58" t="n">
        <v>0</v>
      </c>
      <c r="I1376" s="58" t="n">
        <v>139.95</v>
      </c>
      <c r="J1376" s="32" t="n">
        <f aca="false">IF(E1376&gt;0,F1376/E1376,0)</f>
        <v>0</v>
      </c>
      <c r="K1376" s="32" t="n">
        <f aca="false">IF(G1376&gt;0,H1376/G1376,0)</f>
        <v>-0</v>
      </c>
      <c r="L1376" s="59" t="n">
        <f aca="false">H1376/Settings!$B$16</f>
        <v>-0</v>
      </c>
      <c r="M1376" s="59" t="n">
        <f aca="false">H1376/Settings!$B$20</f>
        <v>-0</v>
      </c>
      <c r="N1376" s="60" t="n">
        <f aca="false">E1376*Settings!$B$3</f>
        <v>0.0309861510798204</v>
      </c>
      <c r="O1376" s="60" t="n">
        <f aca="false">IF(E1376&gt;0,(F1376-N1376)/SQRT(E1376*Settings!$B$3*(1-Settings!$B$3)),0)</f>
        <v>-0.178821125934444</v>
      </c>
      <c r="P1376" s="60" t="n">
        <f aca="false">MAX(0,F1376-N1376)</f>
        <v>0</v>
      </c>
      <c r="Q1376" s="32" t="n">
        <f aca="false">(F1376+Settings!$B$7*Settings!$B$3)/(E1376+Settings!$B$7)</f>
        <v>0.0299865978191811</v>
      </c>
      <c r="R1376" s="61" t="n">
        <f aca="false">PERCENTRANK($H$2:$H$1780,H1376,6)</f>
        <v>0</v>
      </c>
      <c r="S1376" s="61" t="n">
        <f aca="false">PERCENTRANK($Q$2:$Q$1780,Q1376,6)</f>
        <v>0.486502</v>
      </c>
      <c r="T1376" s="61" t="n">
        <f aca="false">PERCENTRANK($F$2:$F$1780,F1376,6)</f>
        <v>0</v>
      </c>
      <c r="U1376" s="62" t="n">
        <f aca="false">IF(F1376&gt;0,(Settings!$B$8*T1376+Settings!$B$9*R1376+Settings!$B$10*S1376)/SUM(Settings!$B$8:$B$10),0)</f>
        <v>0</v>
      </c>
      <c r="V1376" s="56" t="str">
        <f aca="false">IF(U1376&gt;0,RANK(U1376,$U$2:$U$1780)+COUNTIF($U$2:U1376,U1376)-1,"")</f>
        <v/>
      </c>
      <c r="W1376" s="56" t="str">
        <f aca="false">IF(V1376="","",IF(V1376&lt;=Settings!$B$11,"1 - Fix first",IF(V1376&lt;=Settings!$B$12,"2 - Review","3 - Monitor")))</f>
        <v/>
      </c>
      <c r="X1376" s="56" t="str">
        <f aca="false">IF(AND(E1376&gt;=Settings!$B$4,F1376&gt;=Settings!$B$5,O1376&gt;=Settings!$B$6),"HIGH RATE","")</f>
        <v/>
      </c>
      <c r="Y1376" s="56" t="str">
        <f aca="false">IF(F1376&gt;0,RANK(F1376,$F$2:$F$1780)+COUNTIF($F$2:F1376,F1376)-1,"")</f>
        <v/>
      </c>
      <c r="Z1376" s="56" t="str">
        <f aca="false">IF(H1376&gt;0,RANK(H1376,$H$2:$H$1780)+COUNTIF($H$2:H1376,H1376)-1,"")</f>
        <v/>
      </c>
      <c r="AA1376" s="56" t="str">
        <f aca="false">IF(AC1376="","",RANK(AC1376,$AC$2:$AC$1780)+COUNTIF($AC$2:AC1376,AC1376)-1)</f>
        <v/>
      </c>
      <c r="AB1376" s="56" t="str">
        <f aca="false">IF(AD1376="","",RANK(AD1376,$AD$2:$AD$1780)+COUNTIF($AD$2:AD1376,AD1376)-1)</f>
        <v/>
      </c>
      <c r="AC1376" s="56" t="str">
        <f aca="false">IF(AND(F1376&gt;0,E1376&gt;=Settings!$B$4),J1376,"")</f>
        <v/>
      </c>
      <c r="AD1376" s="56" t="str">
        <f aca="false">IF(X1376="HIGH RATE",O1376,"")</f>
        <v/>
      </c>
    </row>
    <row r="1377" customFormat="false" ht="15" hidden="false" customHeight="false" outlineLevel="0" collapsed="false">
      <c r="A1377" s="56" t="s">
        <v>2772</v>
      </c>
      <c r="B1377" s="56" t="s">
        <v>2773</v>
      </c>
      <c r="C1377" s="56" t="s">
        <v>87</v>
      </c>
      <c r="D1377" s="56" t="str">
        <f aca="false">IFERROR(INDEX('Brand Map'!$B$4:$B$124,MATCH(C1377,'Brand Map'!$A$4:$A$124,0)),"Other")</f>
        <v>FYF</v>
      </c>
      <c r="E1377" s="57" t="n">
        <v>11</v>
      </c>
      <c r="F1377" s="57" t="n">
        <v>0</v>
      </c>
      <c r="G1377" s="58" t="n">
        <v>989.45</v>
      </c>
      <c r="H1377" s="58" t="n">
        <v>0</v>
      </c>
      <c r="I1377" s="58" t="n">
        <v>989.45</v>
      </c>
      <c r="J1377" s="32" t="n">
        <f aca="false">IF(E1377&gt;0,F1377/E1377,0)</f>
        <v>0</v>
      </c>
      <c r="K1377" s="32" t="n">
        <f aca="false">IF(G1377&gt;0,H1377/G1377,0)</f>
        <v>-0</v>
      </c>
      <c r="L1377" s="59" t="n">
        <f aca="false">H1377/Settings!$B$16</f>
        <v>-0</v>
      </c>
      <c r="M1377" s="59" t="n">
        <f aca="false">H1377/Settings!$B$20</f>
        <v>-0</v>
      </c>
      <c r="N1377" s="60" t="n">
        <f aca="false">E1377*Settings!$B$3</f>
        <v>0.340847661878025</v>
      </c>
      <c r="O1377" s="60" t="n">
        <f aca="false">IF(E1377&gt;0,(F1377-N1377)/SQRT(E1377*Settings!$B$3*(1-Settings!$B$3)),0)</f>
        <v>-0.593082579313442</v>
      </c>
      <c r="P1377" s="60" t="n">
        <f aca="false">MAX(0,F1377-N1377)</f>
        <v>0</v>
      </c>
      <c r="Q1377" s="32" t="n">
        <f aca="false">(F1377+Settings!$B$7*Settings!$B$3)/(E1377+Settings!$B$7)</f>
        <v>0.0226727934730393</v>
      </c>
      <c r="R1377" s="61" t="n">
        <f aca="false">PERCENTRANK($H$2:$H$1780,H1377,6)</f>
        <v>0</v>
      </c>
      <c r="S1377" s="61" t="n">
        <f aca="false">PERCENTRANK($Q$2:$Q$1780,Q1377,6)</f>
        <v>0.117548</v>
      </c>
      <c r="T1377" s="61" t="n">
        <f aca="false">PERCENTRANK($F$2:$F$1780,F1377,6)</f>
        <v>0</v>
      </c>
      <c r="U1377" s="62" t="n">
        <f aca="false">IF(F1377&gt;0,(Settings!$B$8*T1377+Settings!$B$9*R1377+Settings!$B$10*S1377)/SUM(Settings!$B$8:$B$10),0)</f>
        <v>0</v>
      </c>
      <c r="V1377" s="56" t="str">
        <f aca="false">IF(U1377&gt;0,RANK(U1377,$U$2:$U$1780)+COUNTIF($U$2:U1377,U1377)-1,"")</f>
        <v/>
      </c>
      <c r="W1377" s="56" t="str">
        <f aca="false">IF(V1377="","",IF(V1377&lt;=Settings!$B$11,"1 - Fix first",IF(V1377&lt;=Settings!$B$12,"2 - Review","3 - Monitor")))</f>
        <v/>
      </c>
      <c r="X1377" s="56" t="str">
        <f aca="false">IF(AND(E1377&gt;=Settings!$B$4,F1377&gt;=Settings!$B$5,O1377&gt;=Settings!$B$6),"HIGH RATE","")</f>
        <v/>
      </c>
      <c r="Y1377" s="56" t="str">
        <f aca="false">IF(F1377&gt;0,RANK(F1377,$F$2:$F$1780)+COUNTIF($F$2:F1377,F1377)-1,"")</f>
        <v/>
      </c>
      <c r="Z1377" s="56" t="str">
        <f aca="false">IF(H1377&gt;0,RANK(H1377,$H$2:$H$1780)+COUNTIF($H$2:H1377,H1377)-1,"")</f>
        <v/>
      </c>
      <c r="AA1377" s="56" t="str">
        <f aca="false">IF(AC1377="","",RANK(AC1377,$AC$2:$AC$1780)+COUNTIF($AC$2:AC1377,AC1377)-1)</f>
        <v/>
      </c>
      <c r="AB1377" s="56" t="str">
        <f aca="false">IF(AD1377="","",RANK(AD1377,$AD$2:$AD$1780)+COUNTIF($AD$2:AD1377,AD1377)-1)</f>
        <v/>
      </c>
      <c r="AC1377" s="56" t="str">
        <f aca="false">IF(AND(F1377&gt;0,E1377&gt;=Settings!$B$4),J1377,"")</f>
        <v/>
      </c>
      <c r="AD1377" s="56" t="str">
        <f aca="false">IF(X1377="HIGH RATE",O1377,"")</f>
        <v/>
      </c>
    </row>
    <row r="1378" customFormat="false" ht="15" hidden="false" customHeight="false" outlineLevel="0" collapsed="false">
      <c r="A1378" s="56" t="s">
        <v>2774</v>
      </c>
      <c r="B1378" s="56" t="s">
        <v>2773</v>
      </c>
      <c r="C1378" s="56" t="s">
        <v>87</v>
      </c>
      <c r="D1378" s="56" t="str">
        <f aca="false">IFERROR(INDEX('Brand Map'!$B$4:$B$124,MATCH(C1378,'Brand Map'!$A$4:$A$124,0)),"Other")</f>
        <v>FYF</v>
      </c>
      <c r="E1378" s="57" t="n">
        <v>4</v>
      </c>
      <c r="F1378" s="57" t="n">
        <v>0</v>
      </c>
      <c r="G1378" s="58" t="n">
        <v>419.8</v>
      </c>
      <c r="H1378" s="58" t="n">
        <v>0</v>
      </c>
      <c r="I1378" s="58" t="n">
        <v>419.8</v>
      </c>
      <c r="J1378" s="32" t="n">
        <f aca="false">IF(E1378&gt;0,F1378/E1378,0)</f>
        <v>0</v>
      </c>
      <c r="K1378" s="32" t="n">
        <f aca="false">IF(G1378&gt;0,H1378/G1378,0)</f>
        <v>-0</v>
      </c>
      <c r="L1378" s="59" t="n">
        <f aca="false">H1378/Settings!$B$16</f>
        <v>-0</v>
      </c>
      <c r="M1378" s="59" t="n">
        <f aca="false">H1378/Settings!$B$20</f>
        <v>-0</v>
      </c>
      <c r="N1378" s="60" t="n">
        <f aca="false">E1378*Settings!$B$3</f>
        <v>0.123944604319282</v>
      </c>
      <c r="O1378" s="60" t="n">
        <f aca="false">IF(E1378&gt;0,(F1378-N1378)/SQRT(E1378*Settings!$B$3*(1-Settings!$B$3)),0)</f>
        <v>-0.357642251868888</v>
      </c>
      <c r="P1378" s="60" t="n">
        <f aca="false">MAX(0,F1378-N1378)</f>
        <v>0</v>
      </c>
      <c r="Q1378" s="32" t="n">
        <f aca="false">(F1378+Settings!$B$7*Settings!$B$3)/(E1378+Settings!$B$7)</f>
        <v>0.027340721541018</v>
      </c>
      <c r="R1378" s="61" t="n">
        <f aca="false">PERCENTRANK($H$2:$H$1780,H1378,6)</f>
        <v>0</v>
      </c>
      <c r="S1378" s="61" t="n">
        <f aca="false">PERCENTRANK($Q$2:$Q$1780,Q1378,6)</f>
        <v>0.253656</v>
      </c>
      <c r="T1378" s="61" t="n">
        <f aca="false">PERCENTRANK($F$2:$F$1780,F1378,6)</f>
        <v>0</v>
      </c>
      <c r="U1378" s="62" t="n">
        <f aca="false">IF(F1378&gt;0,(Settings!$B$8*T1378+Settings!$B$9*R1378+Settings!$B$10*S1378)/SUM(Settings!$B$8:$B$10),0)</f>
        <v>0</v>
      </c>
      <c r="V1378" s="56" t="str">
        <f aca="false">IF(U1378&gt;0,RANK(U1378,$U$2:$U$1780)+COUNTIF($U$2:U1378,U1378)-1,"")</f>
        <v/>
      </c>
      <c r="W1378" s="56" t="str">
        <f aca="false">IF(V1378="","",IF(V1378&lt;=Settings!$B$11,"1 - Fix first",IF(V1378&lt;=Settings!$B$12,"2 - Review","3 - Monitor")))</f>
        <v/>
      </c>
      <c r="X1378" s="56" t="str">
        <f aca="false">IF(AND(E1378&gt;=Settings!$B$4,F1378&gt;=Settings!$B$5,O1378&gt;=Settings!$B$6),"HIGH RATE","")</f>
        <v/>
      </c>
      <c r="Y1378" s="56" t="str">
        <f aca="false">IF(F1378&gt;0,RANK(F1378,$F$2:$F$1780)+COUNTIF($F$2:F1378,F1378)-1,"")</f>
        <v/>
      </c>
      <c r="Z1378" s="56" t="str">
        <f aca="false">IF(H1378&gt;0,RANK(H1378,$H$2:$H$1780)+COUNTIF($H$2:H1378,H1378)-1,"")</f>
        <v/>
      </c>
      <c r="AA1378" s="56" t="str">
        <f aca="false">IF(AC1378="","",RANK(AC1378,$AC$2:$AC$1780)+COUNTIF($AC$2:AC1378,AC1378)-1)</f>
        <v/>
      </c>
      <c r="AB1378" s="56" t="str">
        <f aca="false">IF(AD1378="","",RANK(AD1378,$AD$2:$AD$1780)+COUNTIF($AD$2:AD1378,AD1378)-1)</f>
        <v/>
      </c>
      <c r="AC1378" s="56" t="str">
        <f aca="false">IF(AND(F1378&gt;0,E1378&gt;=Settings!$B$4),J1378,"")</f>
        <v/>
      </c>
      <c r="AD1378" s="56" t="str">
        <f aca="false">IF(X1378="HIGH RATE",O1378,"")</f>
        <v/>
      </c>
    </row>
    <row r="1379" customFormat="false" ht="15" hidden="false" customHeight="false" outlineLevel="0" collapsed="false">
      <c r="A1379" s="56" t="s">
        <v>2775</v>
      </c>
      <c r="B1379" s="56" t="s">
        <v>2773</v>
      </c>
      <c r="C1379" s="56" t="s">
        <v>87</v>
      </c>
      <c r="D1379" s="56" t="str">
        <f aca="false">IFERROR(INDEX('Brand Map'!$B$4:$B$124,MATCH(C1379,'Brand Map'!$A$4:$A$124,0)),"Other")</f>
        <v>FYF</v>
      </c>
      <c r="E1379" s="57" t="n">
        <v>2</v>
      </c>
      <c r="F1379" s="57" t="n">
        <v>0</v>
      </c>
      <c r="G1379" s="58" t="n">
        <v>229.9</v>
      </c>
      <c r="H1379" s="58" t="n">
        <v>0</v>
      </c>
      <c r="I1379" s="58" t="n">
        <v>229.9</v>
      </c>
      <c r="J1379" s="32" t="n">
        <f aca="false">IF(E1379&gt;0,F1379/E1379,0)</f>
        <v>0</v>
      </c>
      <c r="K1379" s="32" t="n">
        <f aca="false">IF(G1379&gt;0,H1379/G1379,0)</f>
        <v>-0</v>
      </c>
      <c r="L1379" s="59" t="n">
        <f aca="false">H1379/Settings!$B$16</f>
        <v>-0</v>
      </c>
      <c r="M1379" s="59" t="n">
        <f aca="false">H1379/Settings!$B$20</f>
        <v>-0</v>
      </c>
      <c r="N1379" s="60" t="n">
        <f aca="false">E1379*Settings!$B$3</f>
        <v>0.0619723021596408</v>
      </c>
      <c r="O1379" s="60" t="n">
        <f aca="false">IF(E1379&gt;0,(F1379-N1379)/SQRT(E1379*Settings!$B$3*(1-Settings!$B$3)),0)</f>
        <v>-0.252891261535318</v>
      </c>
      <c r="P1379" s="60" t="n">
        <f aca="false">MAX(0,F1379-N1379)</f>
        <v>0</v>
      </c>
      <c r="Q1379" s="32" t="n">
        <f aca="false">(F1379+Settings!$B$7*Settings!$B$3)/(E1379+Settings!$B$7)</f>
        <v>0.0290495166373316</v>
      </c>
      <c r="R1379" s="61" t="n">
        <f aca="false">PERCENTRANK($H$2:$H$1780,H1379,6)</f>
        <v>0</v>
      </c>
      <c r="S1379" s="61" t="n">
        <f aca="false">PERCENTRANK($Q$2:$Q$1780,Q1379,6)</f>
        <v>0.365579</v>
      </c>
      <c r="T1379" s="61" t="n">
        <f aca="false">PERCENTRANK($F$2:$F$1780,F1379,6)</f>
        <v>0</v>
      </c>
      <c r="U1379" s="62" t="n">
        <f aca="false">IF(F1379&gt;0,(Settings!$B$8*T1379+Settings!$B$9*R1379+Settings!$B$10*S1379)/SUM(Settings!$B$8:$B$10),0)</f>
        <v>0</v>
      </c>
      <c r="V1379" s="56" t="str">
        <f aca="false">IF(U1379&gt;0,RANK(U1379,$U$2:$U$1780)+COUNTIF($U$2:U1379,U1379)-1,"")</f>
        <v/>
      </c>
      <c r="W1379" s="56" t="str">
        <f aca="false">IF(V1379="","",IF(V1379&lt;=Settings!$B$11,"1 - Fix first",IF(V1379&lt;=Settings!$B$12,"2 - Review","3 - Monitor")))</f>
        <v/>
      </c>
      <c r="X1379" s="56" t="str">
        <f aca="false">IF(AND(E1379&gt;=Settings!$B$4,F1379&gt;=Settings!$B$5,O1379&gt;=Settings!$B$6),"HIGH RATE","")</f>
        <v/>
      </c>
      <c r="Y1379" s="56" t="str">
        <f aca="false">IF(F1379&gt;0,RANK(F1379,$F$2:$F$1780)+COUNTIF($F$2:F1379,F1379)-1,"")</f>
        <v/>
      </c>
      <c r="Z1379" s="56" t="str">
        <f aca="false">IF(H1379&gt;0,RANK(H1379,$H$2:$H$1780)+COUNTIF($H$2:H1379,H1379)-1,"")</f>
        <v/>
      </c>
      <c r="AA1379" s="56" t="str">
        <f aca="false">IF(AC1379="","",RANK(AC1379,$AC$2:$AC$1780)+COUNTIF($AC$2:AC1379,AC1379)-1)</f>
        <v/>
      </c>
      <c r="AB1379" s="56" t="str">
        <f aca="false">IF(AD1379="","",RANK(AD1379,$AD$2:$AD$1780)+COUNTIF($AD$2:AD1379,AD1379)-1)</f>
        <v/>
      </c>
      <c r="AC1379" s="56" t="str">
        <f aca="false">IF(AND(F1379&gt;0,E1379&gt;=Settings!$B$4),J1379,"")</f>
        <v/>
      </c>
      <c r="AD1379" s="56" t="str">
        <f aca="false">IF(X1379="HIGH RATE",O1379,"")</f>
        <v/>
      </c>
    </row>
    <row r="1380" customFormat="false" ht="15" hidden="false" customHeight="false" outlineLevel="0" collapsed="false">
      <c r="A1380" s="56" t="s">
        <v>2776</v>
      </c>
      <c r="B1380" s="56" t="s">
        <v>2777</v>
      </c>
      <c r="C1380" s="56" t="s">
        <v>87</v>
      </c>
      <c r="D1380" s="56" t="str">
        <f aca="false">IFERROR(INDEX('Brand Map'!$B$4:$B$124,MATCH(C1380,'Brand Map'!$A$4:$A$124,0)),"Other")</f>
        <v>FYF</v>
      </c>
      <c r="E1380" s="57" t="n">
        <v>2</v>
      </c>
      <c r="F1380" s="57" t="n">
        <v>0</v>
      </c>
      <c r="G1380" s="58" t="n">
        <v>189.9</v>
      </c>
      <c r="H1380" s="58" t="n">
        <v>0</v>
      </c>
      <c r="I1380" s="58" t="n">
        <v>189.9</v>
      </c>
      <c r="J1380" s="32" t="n">
        <f aca="false">IF(E1380&gt;0,F1380/E1380,0)</f>
        <v>0</v>
      </c>
      <c r="K1380" s="32" t="n">
        <f aca="false">IF(G1380&gt;0,H1380/G1380,0)</f>
        <v>-0</v>
      </c>
      <c r="L1380" s="59" t="n">
        <f aca="false">H1380/Settings!$B$16</f>
        <v>-0</v>
      </c>
      <c r="M1380" s="59" t="n">
        <f aca="false">H1380/Settings!$B$20</f>
        <v>-0</v>
      </c>
      <c r="N1380" s="60" t="n">
        <f aca="false">E1380*Settings!$B$3</f>
        <v>0.0619723021596408</v>
      </c>
      <c r="O1380" s="60" t="n">
        <f aca="false">IF(E1380&gt;0,(F1380-N1380)/SQRT(E1380*Settings!$B$3*(1-Settings!$B$3)),0)</f>
        <v>-0.252891261535318</v>
      </c>
      <c r="P1380" s="60" t="n">
        <f aca="false">MAX(0,F1380-N1380)</f>
        <v>0</v>
      </c>
      <c r="Q1380" s="32" t="n">
        <f aca="false">(F1380+Settings!$B$7*Settings!$B$3)/(E1380+Settings!$B$7)</f>
        <v>0.0290495166373316</v>
      </c>
      <c r="R1380" s="61" t="n">
        <f aca="false">PERCENTRANK($H$2:$H$1780,H1380,6)</f>
        <v>0</v>
      </c>
      <c r="S1380" s="61" t="n">
        <f aca="false">PERCENTRANK($Q$2:$Q$1780,Q1380,6)</f>
        <v>0.365579</v>
      </c>
      <c r="T1380" s="61" t="n">
        <f aca="false">PERCENTRANK($F$2:$F$1780,F1380,6)</f>
        <v>0</v>
      </c>
      <c r="U1380" s="62" t="n">
        <f aca="false">IF(F1380&gt;0,(Settings!$B$8*T1380+Settings!$B$9*R1380+Settings!$B$10*S1380)/SUM(Settings!$B$8:$B$10),0)</f>
        <v>0</v>
      </c>
      <c r="V1380" s="56" t="str">
        <f aca="false">IF(U1380&gt;0,RANK(U1380,$U$2:$U$1780)+COUNTIF($U$2:U1380,U1380)-1,"")</f>
        <v/>
      </c>
      <c r="W1380" s="56" t="str">
        <f aca="false">IF(V1380="","",IF(V1380&lt;=Settings!$B$11,"1 - Fix first",IF(V1380&lt;=Settings!$B$12,"2 - Review","3 - Monitor")))</f>
        <v/>
      </c>
      <c r="X1380" s="56" t="str">
        <f aca="false">IF(AND(E1380&gt;=Settings!$B$4,F1380&gt;=Settings!$B$5,O1380&gt;=Settings!$B$6),"HIGH RATE","")</f>
        <v/>
      </c>
      <c r="Y1380" s="56" t="str">
        <f aca="false">IF(F1380&gt;0,RANK(F1380,$F$2:$F$1780)+COUNTIF($F$2:F1380,F1380)-1,"")</f>
        <v/>
      </c>
      <c r="Z1380" s="56" t="str">
        <f aca="false">IF(H1380&gt;0,RANK(H1380,$H$2:$H$1780)+COUNTIF($H$2:H1380,H1380)-1,"")</f>
        <v/>
      </c>
      <c r="AA1380" s="56" t="str">
        <f aca="false">IF(AC1380="","",RANK(AC1380,$AC$2:$AC$1780)+COUNTIF($AC$2:AC1380,AC1380)-1)</f>
        <v/>
      </c>
      <c r="AB1380" s="56" t="str">
        <f aca="false">IF(AD1380="","",RANK(AD1380,$AD$2:$AD$1780)+COUNTIF($AD$2:AD1380,AD1380)-1)</f>
        <v/>
      </c>
      <c r="AC1380" s="56" t="str">
        <f aca="false">IF(AND(F1380&gt;0,E1380&gt;=Settings!$B$4),J1380,"")</f>
        <v/>
      </c>
      <c r="AD1380" s="56" t="str">
        <f aca="false">IF(X1380="HIGH RATE",O1380,"")</f>
        <v/>
      </c>
    </row>
    <row r="1381" customFormat="false" ht="15" hidden="false" customHeight="false" outlineLevel="0" collapsed="false">
      <c r="A1381" s="56" t="s">
        <v>2778</v>
      </c>
      <c r="B1381" s="56" t="s">
        <v>2777</v>
      </c>
      <c r="C1381" s="56" t="s">
        <v>87</v>
      </c>
      <c r="D1381" s="56" t="str">
        <f aca="false">IFERROR(INDEX('Brand Map'!$B$4:$B$124,MATCH(C1381,'Brand Map'!$A$4:$A$124,0)),"Other")</f>
        <v>FYF</v>
      </c>
      <c r="E1381" s="57" t="n">
        <v>3</v>
      </c>
      <c r="F1381" s="57" t="n">
        <v>0</v>
      </c>
      <c r="G1381" s="58" t="n">
        <v>284.85</v>
      </c>
      <c r="H1381" s="58" t="n">
        <v>0</v>
      </c>
      <c r="I1381" s="58" t="n">
        <v>284.85</v>
      </c>
      <c r="J1381" s="32" t="n">
        <f aca="false">IF(E1381&gt;0,F1381/E1381,0)</f>
        <v>0</v>
      </c>
      <c r="K1381" s="32" t="n">
        <f aca="false">IF(G1381&gt;0,H1381/G1381,0)</f>
        <v>-0</v>
      </c>
      <c r="L1381" s="59" t="n">
        <f aca="false">H1381/Settings!$B$16</f>
        <v>-0</v>
      </c>
      <c r="M1381" s="59" t="n">
        <f aca="false">H1381/Settings!$B$20</f>
        <v>-0</v>
      </c>
      <c r="N1381" s="60" t="n">
        <f aca="false">E1381*Settings!$B$3</f>
        <v>0.0929584532394613</v>
      </c>
      <c r="O1381" s="60" t="n">
        <f aca="false">IF(E1381&gt;0,(F1381-N1381)/SQRT(E1381*Settings!$B$3*(1-Settings!$B$3)),0)</f>
        <v>-0.30972727558513</v>
      </c>
      <c r="P1381" s="60" t="n">
        <f aca="false">MAX(0,F1381-N1381)</f>
        <v>0</v>
      </c>
      <c r="Q1381" s="32" t="n">
        <f aca="false">(F1381+Settings!$B$7*Settings!$B$3)/(E1381+Settings!$B$7)</f>
        <v>0.0281692282543822</v>
      </c>
      <c r="R1381" s="61" t="n">
        <f aca="false">PERCENTRANK($H$2:$H$1780,H1381,6)</f>
        <v>0</v>
      </c>
      <c r="S1381" s="61" t="n">
        <f aca="false">PERCENTRANK($Q$2:$Q$1780,Q1381,6)</f>
        <v>0.294151</v>
      </c>
      <c r="T1381" s="61" t="n">
        <f aca="false">PERCENTRANK($F$2:$F$1780,F1381,6)</f>
        <v>0</v>
      </c>
      <c r="U1381" s="62" t="n">
        <f aca="false">IF(F1381&gt;0,(Settings!$B$8*T1381+Settings!$B$9*R1381+Settings!$B$10*S1381)/SUM(Settings!$B$8:$B$10),0)</f>
        <v>0</v>
      </c>
      <c r="V1381" s="56" t="str">
        <f aca="false">IF(U1381&gt;0,RANK(U1381,$U$2:$U$1780)+COUNTIF($U$2:U1381,U1381)-1,"")</f>
        <v/>
      </c>
      <c r="W1381" s="56" t="str">
        <f aca="false">IF(V1381="","",IF(V1381&lt;=Settings!$B$11,"1 - Fix first",IF(V1381&lt;=Settings!$B$12,"2 - Review","3 - Monitor")))</f>
        <v/>
      </c>
      <c r="X1381" s="56" t="str">
        <f aca="false">IF(AND(E1381&gt;=Settings!$B$4,F1381&gt;=Settings!$B$5,O1381&gt;=Settings!$B$6),"HIGH RATE","")</f>
        <v/>
      </c>
      <c r="Y1381" s="56" t="str">
        <f aca="false">IF(F1381&gt;0,RANK(F1381,$F$2:$F$1780)+COUNTIF($F$2:F1381,F1381)-1,"")</f>
        <v/>
      </c>
      <c r="Z1381" s="56" t="str">
        <f aca="false">IF(H1381&gt;0,RANK(H1381,$H$2:$H$1780)+COUNTIF($H$2:H1381,H1381)-1,"")</f>
        <v/>
      </c>
      <c r="AA1381" s="56" t="str">
        <f aca="false">IF(AC1381="","",RANK(AC1381,$AC$2:$AC$1780)+COUNTIF($AC$2:AC1381,AC1381)-1)</f>
        <v/>
      </c>
      <c r="AB1381" s="56" t="str">
        <f aca="false">IF(AD1381="","",RANK(AD1381,$AD$2:$AD$1780)+COUNTIF($AD$2:AD1381,AD1381)-1)</f>
        <v/>
      </c>
      <c r="AC1381" s="56" t="str">
        <f aca="false">IF(AND(F1381&gt;0,E1381&gt;=Settings!$B$4),J1381,"")</f>
        <v/>
      </c>
      <c r="AD1381" s="56" t="str">
        <f aca="false">IF(X1381="HIGH RATE",O1381,"")</f>
        <v/>
      </c>
    </row>
    <row r="1382" customFormat="false" ht="15" hidden="false" customHeight="false" outlineLevel="0" collapsed="false">
      <c r="A1382" s="56" t="s">
        <v>2779</v>
      </c>
      <c r="B1382" s="56" t="s">
        <v>2777</v>
      </c>
      <c r="C1382" s="56" t="s">
        <v>87</v>
      </c>
      <c r="D1382" s="56" t="str">
        <f aca="false">IFERROR(INDEX('Brand Map'!$B$4:$B$124,MATCH(C1382,'Brand Map'!$A$4:$A$124,0)),"Other")</f>
        <v>FYF</v>
      </c>
      <c r="E1382" s="57" t="n">
        <v>2</v>
      </c>
      <c r="F1382" s="57" t="n">
        <v>0</v>
      </c>
      <c r="G1382" s="58" t="n">
        <v>189.9</v>
      </c>
      <c r="H1382" s="58" t="n">
        <v>0</v>
      </c>
      <c r="I1382" s="58" t="n">
        <v>189.9</v>
      </c>
      <c r="J1382" s="32" t="n">
        <f aca="false">IF(E1382&gt;0,F1382/E1382,0)</f>
        <v>0</v>
      </c>
      <c r="K1382" s="32" t="n">
        <f aca="false">IF(G1382&gt;0,H1382/G1382,0)</f>
        <v>-0</v>
      </c>
      <c r="L1382" s="59" t="n">
        <f aca="false">H1382/Settings!$B$16</f>
        <v>-0</v>
      </c>
      <c r="M1382" s="59" t="n">
        <f aca="false">H1382/Settings!$B$20</f>
        <v>-0</v>
      </c>
      <c r="N1382" s="60" t="n">
        <f aca="false">E1382*Settings!$B$3</f>
        <v>0.0619723021596408</v>
      </c>
      <c r="O1382" s="60" t="n">
        <f aca="false">IF(E1382&gt;0,(F1382-N1382)/SQRT(E1382*Settings!$B$3*(1-Settings!$B$3)),0)</f>
        <v>-0.252891261535318</v>
      </c>
      <c r="P1382" s="60" t="n">
        <f aca="false">MAX(0,F1382-N1382)</f>
        <v>0</v>
      </c>
      <c r="Q1382" s="32" t="n">
        <f aca="false">(F1382+Settings!$B$7*Settings!$B$3)/(E1382+Settings!$B$7)</f>
        <v>0.0290495166373316</v>
      </c>
      <c r="R1382" s="61" t="n">
        <f aca="false">PERCENTRANK($H$2:$H$1780,H1382,6)</f>
        <v>0</v>
      </c>
      <c r="S1382" s="61" t="n">
        <f aca="false">PERCENTRANK($Q$2:$Q$1780,Q1382,6)</f>
        <v>0.365579</v>
      </c>
      <c r="T1382" s="61" t="n">
        <f aca="false">PERCENTRANK($F$2:$F$1780,F1382,6)</f>
        <v>0</v>
      </c>
      <c r="U1382" s="62" t="n">
        <f aca="false">IF(F1382&gt;0,(Settings!$B$8*T1382+Settings!$B$9*R1382+Settings!$B$10*S1382)/SUM(Settings!$B$8:$B$10),0)</f>
        <v>0</v>
      </c>
      <c r="V1382" s="56" t="str">
        <f aca="false">IF(U1382&gt;0,RANK(U1382,$U$2:$U$1780)+COUNTIF($U$2:U1382,U1382)-1,"")</f>
        <v/>
      </c>
      <c r="W1382" s="56" t="str">
        <f aca="false">IF(V1382="","",IF(V1382&lt;=Settings!$B$11,"1 - Fix first",IF(V1382&lt;=Settings!$B$12,"2 - Review","3 - Monitor")))</f>
        <v/>
      </c>
      <c r="X1382" s="56" t="str">
        <f aca="false">IF(AND(E1382&gt;=Settings!$B$4,F1382&gt;=Settings!$B$5,O1382&gt;=Settings!$B$6),"HIGH RATE","")</f>
        <v/>
      </c>
      <c r="Y1382" s="56" t="str">
        <f aca="false">IF(F1382&gt;0,RANK(F1382,$F$2:$F$1780)+COUNTIF($F$2:F1382,F1382)-1,"")</f>
        <v/>
      </c>
      <c r="Z1382" s="56" t="str">
        <f aca="false">IF(H1382&gt;0,RANK(H1382,$H$2:$H$1780)+COUNTIF($H$2:H1382,H1382)-1,"")</f>
        <v/>
      </c>
      <c r="AA1382" s="56" t="str">
        <f aca="false">IF(AC1382="","",RANK(AC1382,$AC$2:$AC$1780)+COUNTIF($AC$2:AC1382,AC1382)-1)</f>
        <v/>
      </c>
      <c r="AB1382" s="56" t="str">
        <f aca="false">IF(AD1382="","",RANK(AD1382,$AD$2:$AD$1780)+COUNTIF($AD$2:AD1382,AD1382)-1)</f>
        <v/>
      </c>
      <c r="AC1382" s="56" t="str">
        <f aca="false">IF(AND(F1382&gt;0,E1382&gt;=Settings!$B$4),J1382,"")</f>
        <v/>
      </c>
      <c r="AD1382" s="56" t="str">
        <f aca="false">IF(X1382="HIGH RATE",O1382,"")</f>
        <v/>
      </c>
    </row>
    <row r="1383" customFormat="false" ht="15" hidden="false" customHeight="false" outlineLevel="0" collapsed="false">
      <c r="A1383" s="56" t="s">
        <v>2780</v>
      </c>
      <c r="B1383" s="56" t="s">
        <v>1113</v>
      </c>
      <c r="C1383" s="56" t="s">
        <v>87</v>
      </c>
      <c r="D1383" s="56" t="str">
        <f aca="false">IFERROR(INDEX('Brand Map'!$B$4:$B$124,MATCH(C1383,'Brand Map'!$A$4:$A$124,0)),"Other")</f>
        <v>FYF</v>
      </c>
      <c r="E1383" s="57" t="n">
        <v>2</v>
      </c>
      <c r="F1383" s="57" t="n">
        <v>0</v>
      </c>
      <c r="G1383" s="58" t="n">
        <v>259.9</v>
      </c>
      <c r="H1383" s="58" t="n">
        <v>0</v>
      </c>
      <c r="I1383" s="58" t="n">
        <v>259.9</v>
      </c>
      <c r="J1383" s="32" t="n">
        <f aca="false">IF(E1383&gt;0,F1383/E1383,0)</f>
        <v>0</v>
      </c>
      <c r="K1383" s="32" t="n">
        <f aca="false">IF(G1383&gt;0,H1383/G1383,0)</f>
        <v>-0</v>
      </c>
      <c r="L1383" s="59" t="n">
        <f aca="false">H1383/Settings!$B$16</f>
        <v>-0</v>
      </c>
      <c r="M1383" s="59" t="n">
        <f aca="false">H1383/Settings!$B$20</f>
        <v>-0</v>
      </c>
      <c r="N1383" s="60" t="n">
        <f aca="false">E1383*Settings!$B$3</f>
        <v>0.0619723021596408</v>
      </c>
      <c r="O1383" s="60" t="n">
        <f aca="false">IF(E1383&gt;0,(F1383-N1383)/SQRT(E1383*Settings!$B$3*(1-Settings!$B$3)),0)</f>
        <v>-0.252891261535318</v>
      </c>
      <c r="P1383" s="60" t="n">
        <f aca="false">MAX(0,F1383-N1383)</f>
        <v>0</v>
      </c>
      <c r="Q1383" s="32" t="n">
        <f aca="false">(F1383+Settings!$B$7*Settings!$B$3)/(E1383+Settings!$B$7)</f>
        <v>0.0290495166373316</v>
      </c>
      <c r="R1383" s="61" t="n">
        <f aca="false">PERCENTRANK($H$2:$H$1780,H1383,6)</f>
        <v>0</v>
      </c>
      <c r="S1383" s="61" t="n">
        <f aca="false">PERCENTRANK($Q$2:$Q$1780,Q1383,6)</f>
        <v>0.365579</v>
      </c>
      <c r="T1383" s="61" t="n">
        <f aca="false">PERCENTRANK($F$2:$F$1780,F1383,6)</f>
        <v>0</v>
      </c>
      <c r="U1383" s="62" t="n">
        <f aca="false">IF(F1383&gt;0,(Settings!$B$8*T1383+Settings!$B$9*R1383+Settings!$B$10*S1383)/SUM(Settings!$B$8:$B$10),0)</f>
        <v>0</v>
      </c>
      <c r="V1383" s="56" t="str">
        <f aca="false">IF(U1383&gt;0,RANK(U1383,$U$2:$U$1780)+COUNTIF($U$2:U1383,U1383)-1,"")</f>
        <v/>
      </c>
      <c r="W1383" s="56" t="str">
        <f aca="false">IF(V1383="","",IF(V1383&lt;=Settings!$B$11,"1 - Fix first",IF(V1383&lt;=Settings!$B$12,"2 - Review","3 - Monitor")))</f>
        <v/>
      </c>
      <c r="X1383" s="56" t="str">
        <f aca="false">IF(AND(E1383&gt;=Settings!$B$4,F1383&gt;=Settings!$B$5,O1383&gt;=Settings!$B$6),"HIGH RATE","")</f>
        <v/>
      </c>
      <c r="Y1383" s="56" t="str">
        <f aca="false">IF(F1383&gt;0,RANK(F1383,$F$2:$F$1780)+COUNTIF($F$2:F1383,F1383)-1,"")</f>
        <v/>
      </c>
      <c r="Z1383" s="56" t="str">
        <f aca="false">IF(H1383&gt;0,RANK(H1383,$H$2:$H$1780)+COUNTIF($H$2:H1383,H1383)-1,"")</f>
        <v/>
      </c>
      <c r="AA1383" s="56" t="str">
        <f aca="false">IF(AC1383="","",RANK(AC1383,$AC$2:$AC$1780)+COUNTIF($AC$2:AC1383,AC1383)-1)</f>
        <v/>
      </c>
      <c r="AB1383" s="56" t="str">
        <f aca="false">IF(AD1383="","",RANK(AD1383,$AD$2:$AD$1780)+COUNTIF($AD$2:AD1383,AD1383)-1)</f>
        <v/>
      </c>
      <c r="AC1383" s="56" t="str">
        <f aca="false">IF(AND(F1383&gt;0,E1383&gt;=Settings!$B$4),J1383,"")</f>
        <v/>
      </c>
      <c r="AD1383" s="56" t="str">
        <f aca="false">IF(X1383="HIGH RATE",O1383,"")</f>
        <v/>
      </c>
    </row>
    <row r="1384" customFormat="false" ht="15" hidden="false" customHeight="false" outlineLevel="0" collapsed="false">
      <c r="A1384" s="56" t="s">
        <v>2781</v>
      </c>
      <c r="B1384" s="56" t="s">
        <v>1113</v>
      </c>
      <c r="C1384" s="56" t="s">
        <v>87</v>
      </c>
      <c r="D1384" s="56" t="str">
        <f aca="false">IFERROR(INDEX('Brand Map'!$B$4:$B$124,MATCH(C1384,'Brand Map'!$A$4:$A$124,0)),"Other")</f>
        <v>FYF</v>
      </c>
      <c r="E1384" s="57" t="n">
        <v>3</v>
      </c>
      <c r="F1384" s="57" t="n">
        <v>0</v>
      </c>
      <c r="G1384" s="58" t="n">
        <v>419.85</v>
      </c>
      <c r="H1384" s="58" t="n">
        <v>0</v>
      </c>
      <c r="I1384" s="58" t="n">
        <v>419.85</v>
      </c>
      <c r="J1384" s="32" t="n">
        <f aca="false">IF(E1384&gt;0,F1384/E1384,0)</f>
        <v>0</v>
      </c>
      <c r="K1384" s="32" t="n">
        <f aca="false">IF(G1384&gt;0,H1384/G1384,0)</f>
        <v>-0</v>
      </c>
      <c r="L1384" s="59" t="n">
        <f aca="false">H1384/Settings!$B$16</f>
        <v>-0</v>
      </c>
      <c r="M1384" s="59" t="n">
        <f aca="false">H1384/Settings!$B$20</f>
        <v>-0</v>
      </c>
      <c r="N1384" s="60" t="n">
        <f aca="false">E1384*Settings!$B$3</f>
        <v>0.0929584532394613</v>
      </c>
      <c r="O1384" s="60" t="n">
        <f aca="false">IF(E1384&gt;0,(F1384-N1384)/SQRT(E1384*Settings!$B$3*(1-Settings!$B$3)),0)</f>
        <v>-0.30972727558513</v>
      </c>
      <c r="P1384" s="60" t="n">
        <f aca="false">MAX(0,F1384-N1384)</f>
        <v>0</v>
      </c>
      <c r="Q1384" s="32" t="n">
        <f aca="false">(F1384+Settings!$B$7*Settings!$B$3)/(E1384+Settings!$B$7)</f>
        <v>0.0281692282543822</v>
      </c>
      <c r="R1384" s="61" t="n">
        <f aca="false">PERCENTRANK($H$2:$H$1780,H1384,6)</f>
        <v>0</v>
      </c>
      <c r="S1384" s="61" t="n">
        <f aca="false">PERCENTRANK($Q$2:$Q$1780,Q1384,6)</f>
        <v>0.294151</v>
      </c>
      <c r="T1384" s="61" t="n">
        <f aca="false">PERCENTRANK($F$2:$F$1780,F1384,6)</f>
        <v>0</v>
      </c>
      <c r="U1384" s="62" t="n">
        <f aca="false">IF(F1384&gt;0,(Settings!$B$8*T1384+Settings!$B$9*R1384+Settings!$B$10*S1384)/SUM(Settings!$B$8:$B$10),0)</f>
        <v>0</v>
      </c>
      <c r="V1384" s="56" t="str">
        <f aca="false">IF(U1384&gt;0,RANK(U1384,$U$2:$U$1780)+COUNTIF($U$2:U1384,U1384)-1,"")</f>
        <v/>
      </c>
      <c r="W1384" s="56" t="str">
        <f aca="false">IF(V1384="","",IF(V1384&lt;=Settings!$B$11,"1 - Fix first",IF(V1384&lt;=Settings!$B$12,"2 - Review","3 - Monitor")))</f>
        <v/>
      </c>
      <c r="X1384" s="56" t="str">
        <f aca="false">IF(AND(E1384&gt;=Settings!$B$4,F1384&gt;=Settings!$B$5,O1384&gt;=Settings!$B$6),"HIGH RATE","")</f>
        <v/>
      </c>
      <c r="Y1384" s="56" t="str">
        <f aca="false">IF(F1384&gt;0,RANK(F1384,$F$2:$F$1780)+COUNTIF($F$2:F1384,F1384)-1,"")</f>
        <v/>
      </c>
      <c r="Z1384" s="56" t="str">
        <f aca="false">IF(H1384&gt;0,RANK(H1384,$H$2:$H$1780)+COUNTIF($H$2:H1384,H1384)-1,"")</f>
        <v/>
      </c>
      <c r="AA1384" s="56" t="str">
        <f aca="false">IF(AC1384="","",RANK(AC1384,$AC$2:$AC$1780)+COUNTIF($AC$2:AC1384,AC1384)-1)</f>
        <v/>
      </c>
      <c r="AB1384" s="56" t="str">
        <f aca="false">IF(AD1384="","",RANK(AD1384,$AD$2:$AD$1780)+COUNTIF($AD$2:AD1384,AD1384)-1)</f>
        <v/>
      </c>
      <c r="AC1384" s="56" t="str">
        <f aca="false">IF(AND(F1384&gt;0,E1384&gt;=Settings!$B$4),J1384,"")</f>
        <v/>
      </c>
      <c r="AD1384" s="56" t="str">
        <f aca="false">IF(X1384="HIGH RATE",O1384,"")</f>
        <v/>
      </c>
    </row>
    <row r="1385" customFormat="false" ht="15" hidden="false" customHeight="false" outlineLevel="0" collapsed="false">
      <c r="A1385" s="56" t="s">
        <v>2782</v>
      </c>
      <c r="B1385" s="56" t="s">
        <v>1179</v>
      </c>
      <c r="C1385" s="56" t="s">
        <v>87</v>
      </c>
      <c r="D1385" s="56" t="str">
        <f aca="false">IFERROR(INDEX('Brand Map'!$B$4:$B$124,MATCH(C1385,'Brand Map'!$A$4:$A$124,0)),"Other")</f>
        <v>FYF</v>
      </c>
      <c r="E1385" s="57" t="n">
        <v>1</v>
      </c>
      <c r="F1385" s="57" t="n">
        <v>0</v>
      </c>
      <c r="G1385" s="58" t="n">
        <v>102.95</v>
      </c>
      <c r="H1385" s="58" t="n">
        <v>0</v>
      </c>
      <c r="I1385" s="58" t="n">
        <v>102.95</v>
      </c>
      <c r="J1385" s="32" t="n">
        <f aca="false">IF(E1385&gt;0,F1385/E1385,0)</f>
        <v>0</v>
      </c>
      <c r="K1385" s="32" t="n">
        <f aca="false">IF(G1385&gt;0,H1385/G1385,0)</f>
        <v>-0</v>
      </c>
      <c r="L1385" s="59" t="n">
        <f aca="false">H1385/Settings!$B$16</f>
        <v>-0</v>
      </c>
      <c r="M1385" s="59" t="n">
        <f aca="false">H1385/Settings!$B$20</f>
        <v>-0</v>
      </c>
      <c r="N1385" s="60" t="n">
        <f aca="false">E1385*Settings!$B$3</f>
        <v>0.0309861510798204</v>
      </c>
      <c r="O1385" s="60" t="n">
        <f aca="false">IF(E1385&gt;0,(F1385-N1385)/SQRT(E1385*Settings!$B$3*(1-Settings!$B$3)),0)</f>
        <v>-0.178821125934444</v>
      </c>
      <c r="P1385" s="60" t="n">
        <f aca="false">MAX(0,F1385-N1385)</f>
        <v>0</v>
      </c>
      <c r="Q1385" s="32" t="n">
        <f aca="false">(F1385+Settings!$B$7*Settings!$B$3)/(E1385+Settings!$B$7)</f>
        <v>0.0299865978191811</v>
      </c>
      <c r="R1385" s="61" t="n">
        <f aca="false">PERCENTRANK($H$2:$H$1780,H1385,6)</f>
        <v>0</v>
      </c>
      <c r="S1385" s="61" t="n">
        <f aca="false">PERCENTRANK($Q$2:$Q$1780,Q1385,6)</f>
        <v>0.486502</v>
      </c>
      <c r="T1385" s="61" t="n">
        <f aca="false">PERCENTRANK($F$2:$F$1780,F1385,6)</f>
        <v>0</v>
      </c>
      <c r="U1385" s="62" t="n">
        <f aca="false">IF(F1385&gt;0,(Settings!$B$8*T1385+Settings!$B$9*R1385+Settings!$B$10*S1385)/SUM(Settings!$B$8:$B$10),0)</f>
        <v>0</v>
      </c>
      <c r="V1385" s="56" t="str">
        <f aca="false">IF(U1385&gt;0,RANK(U1385,$U$2:$U$1780)+COUNTIF($U$2:U1385,U1385)-1,"")</f>
        <v/>
      </c>
      <c r="W1385" s="56" t="str">
        <f aca="false">IF(V1385="","",IF(V1385&lt;=Settings!$B$11,"1 - Fix first",IF(V1385&lt;=Settings!$B$12,"2 - Review","3 - Monitor")))</f>
        <v/>
      </c>
      <c r="X1385" s="56" t="str">
        <f aca="false">IF(AND(E1385&gt;=Settings!$B$4,F1385&gt;=Settings!$B$5,O1385&gt;=Settings!$B$6),"HIGH RATE","")</f>
        <v/>
      </c>
      <c r="Y1385" s="56" t="str">
        <f aca="false">IF(F1385&gt;0,RANK(F1385,$F$2:$F$1780)+COUNTIF($F$2:F1385,F1385)-1,"")</f>
        <v/>
      </c>
      <c r="Z1385" s="56" t="str">
        <f aca="false">IF(H1385&gt;0,RANK(H1385,$H$2:$H$1780)+COUNTIF($H$2:H1385,H1385)-1,"")</f>
        <v/>
      </c>
      <c r="AA1385" s="56" t="str">
        <f aca="false">IF(AC1385="","",RANK(AC1385,$AC$2:$AC$1780)+COUNTIF($AC$2:AC1385,AC1385)-1)</f>
        <v/>
      </c>
      <c r="AB1385" s="56" t="str">
        <f aca="false">IF(AD1385="","",RANK(AD1385,$AD$2:$AD$1780)+COUNTIF($AD$2:AD1385,AD1385)-1)</f>
        <v/>
      </c>
      <c r="AC1385" s="56" t="str">
        <f aca="false">IF(AND(F1385&gt;0,E1385&gt;=Settings!$B$4),J1385,"")</f>
        <v/>
      </c>
      <c r="AD1385" s="56" t="str">
        <f aca="false">IF(X1385="HIGH RATE",O1385,"")</f>
        <v/>
      </c>
    </row>
    <row r="1386" customFormat="false" ht="15" hidden="false" customHeight="false" outlineLevel="0" collapsed="false">
      <c r="A1386" s="56" t="s">
        <v>2783</v>
      </c>
      <c r="B1386" s="56" t="s">
        <v>2784</v>
      </c>
      <c r="C1386" s="56" t="s">
        <v>87</v>
      </c>
      <c r="D1386" s="56" t="str">
        <f aca="false">IFERROR(INDEX('Brand Map'!$B$4:$B$124,MATCH(C1386,'Brand Map'!$A$4:$A$124,0)),"Other")</f>
        <v>FYF</v>
      </c>
      <c r="E1386" s="57" t="n">
        <v>1</v>
      </c>
      <c r="F1386" s="57" t="n">
        <v>0</v>
      </c>
      <c r="G1386" s="58" t="n">
        <v>169.95</v>
      </c>
      <c r="H1386" s="58" t="n">
        <v>0</v>
      </c>
      <c r="I1386" s="58" t="n">
        <v>169.95</v>
      </c>
      <c r="J1386" s="32" t="n">
        <f aca="false">IF(E1386&gt;0,F1386/E1386,0)</f>
        <v>0</v>
      </c>
      <c r="K1386" s="32" t="n">
        <f aca="false">IF(G1386&gt;0,H1386/G1386,0)</f>
        <v>-0</v>
      </c>
      <c r="L1386" s="59" t="n">
        <f aca="false">H1386/Settings!$B$16</f>
        <v>-0</v>
      </c>
      <c r="M1386" s="59" t="n">
        <f aca="false">H1386/Settings!$B$20</f>
        <v>-0</v>
      </c>
      <c r="N1386" s="60" t="n">
        <f aca="false">E1386*Settings!$B$3</f>
        <v>0.0309861510798204</v>
      </c>
      <c r="O1386" s="60" t="n">
        <f aca="false">IF(E1386&gt;0,(F1386-N1386)/SQRT(E1386*Settings!$B$3*(1-Settings!$B$3)),0)</f>
        <v>-0.178821125934444</v>
      </c>
      <c r="P1386" s="60" t="n">
        <f aca="false">MAX(0,F1386-N1386)</f>
        <v>0</v>
      </c>
      <c r="Q1386" s="32" t="n">
        <f aca="false">(F1386+Settings!$B$7*Settings!$B$3)/(E1386+Settings!$B$7)</f>
        <v>0.0299865978191811</v>
      </c>
      <c r="R1386" s="61" t="n">
        <f aca="false">PERCENTRANK($H$2:$H$1780,H1386,6)</f>
        <v>0</v>
      </c>
      <c r="S1386" s="61" t="n">
        <f aca="false">PERCENTRANK($Q$2:$Q$1780,Q1386,6)</f>
        <v>0.486502</v>
      </c>
      <c r="T1386" s="61" t="n">
        <f aca="false">PERCENTRANK($F$2:$F$1780,F1386,6)</f>
        <v>0</v>
      </c>
      <c r="U1386" s="62" t="n">
        <f aca="false">IF(F1386&gt;0,(Settings!$B$8*T1386+Settings!$B$9*R1386+Settings!$B$10*S1386)/SUM(Settings!$B$8:$B$10),0)</f>
        <v>0</v>
      </c>
      <c r="V1386" s="56" t="str">
        <f aca="false">IF(U1386&gt;0,RANK(U1386,$U$2:$U$1780)+COUNTIF($U$2:U1386,U1386)-1,"")</f>
        <v/>
      </c>
      <c r="W1386" s="56" t="str">
        <f aca="false">IF(V1386="","",IF(V1386&lt;=Settings!$B$11,"1 - Fix first",IF(V1386&lt;=Settings!$B$12,"2 - Review","3 - Monitor")))</f>
        <v/>
      </c>
      <c r="X1386" s="56" t="str">
        <f aca="false">IF(AND(E1386&gt;=Settings!$B$4,F1386&gt;=Settings!$B$5,O1386&gt;=Settings!$B$6),"HIGH RATE","")</f>
        <v/>
      </c>
      <c r="Y1386" s="56" t="str">
        <f aca="false">IF(F1386&gt;0,RANK(F1386,$F$2:$F$1780)+COUNTIF($F$2:F1386,F1386)-1,"")</f>
        <v/>
      </c>
      <c r="Z1386" s="56" t="str">
        <f aca="false">IF(H1386&gt;0,RANK(H1386,$H$2:$H$1780)+COUNTIF($H$2:H1386,H1386)-1,"")</f>
        <v/>
      </c>
      <c r="AA1386" s="56" t="str">
        <f aca="false">IF(AC1386="","",RANK(AC1386,$AC$2:$AC$1780)+COUNTIF($AC$2:AC1386,AC1386)-1)</f>
        <v/>
      </c>
      <c r="AB1386" s="56" t="str">
        <f aca="false">IF(AD1386="","",RANK(AD1386,$AD$2:$AD$1780)+COUNTIF($AD$2:AD1386,AD1386)-1)</f>
        <v/>
      </c>
      <c r="AC1386" s="56" t="str">
        <f aca="false">IF(AND(F1386&gt;0,E1386&gt;=Settings!$B$4),J1386,"")</f>
        <v/>
      </c>
      <c r="AD1386" s="56" t="str">
        <f aca="false">IF(X1386="HIGH RATE",O1386,"")</f>
        <v/>
      </c>
    </row>
    <row r="1387" customFormat="false" ht="15" hidden="false" customHeight="false" outlineLevel="0" collapsed="false">
      <c r="A1387" s="56" t="s">
        <v>2785</v>
      </c>
      <c r="B1387" s="56" t="s">
        <v>2786</v>
      </c>
      <c r="C1387" s="56" t="s">
        <v>87</v>
      </c>
      <c r="D1387" s="56" t="str">
        <f aca="false">IFERROR(INDEX('Brand Map'!$B$4:$B$124,MATCH(C1387,'Brand Map'!$A$4:$A$124,0)),"Other")</f>
        <v>FYF</v>
      </c>
      <c r="E1387" s="57" t="n">
        <v>1</v>
      </c>
      <c r="F1387" s="57" t="n">
        <v>0</v>
      </c>
      <c r="G1387" s="58" t="n">
        <v>94.95</v>
      </c>
      <c r="H1387" s="58" t="n">
        <v>0</v>
      </c>
      <c r="I1387" s="58" t="n">
        <v>94.95</v>
      </c>
      <c r="J1387" s="32" t="n">
        <f aca="false">IF(E1387&gt;0,F1387/E1387,0)</f>
        <v>0</v>
      </c>
      <c r="K1387" s="32" t="n">
        <f aca="false">IF(G1387&gt;0,H1387/G1387,0)</f>
        <v>-0</v>
      </c>
      <c r="L1387" s="59" t="n">
        <f aca="false">H1387/Settings!$B$16</f>
        <v>-0</v>
      </c>
      <c r="M1387" s="59" t="n">
        <f aca="false">H1387/Settings!$B$20</f>
        <v>-0</v>
      </c>
      <c r="N1387" s="60" t="n">
        <f aca="false">E1387*Settings!$B$3</f>
        <v>0.0309861510798204</v>
      </c>
      <c r="O1387" s="60" t="n">
        <f aca="false">IF(E1387&gt;0,(F1387-N1387)/SQRT(E1387*Settings!$B$3*(1-Settings!$B$3)),0)</f>
        <v>-0.178821125934444</v>
      </c>
      <c r="P1387" s="60" t="n">
        <f aca="false">MAX(0,F1387-N1387)</f>
        <v>0</v>
      </c>
      <c r="Q1387" s="32" t="n">
        <f aca="false">(F1387+Settings!$B$7*Settings!$B$3)/(E1387+Settings!$B$7)</f>
        <v>0.0299865978191811</v>
      </c>
      <c r="R1387" s="61" t="n">
        <f aca="false">PERCENTRANK($H$2:$H$1780,H1387,6)</f>
        <v>0</v>
      </c>
      <c r="S1387" s="61" t="n">
        <f aca="false">PERCENTRANK($Q$2:$Q$1780,Q1387,6)</f>
        <v>0.486502</v>
      </c>
      <c r="T1387" s="61" t="n">
        <f aca="false">PERCENTRANK($F$2:$F$1780,F1387,6)</f>
        <v>0</v>
      </c>
      <c r="U1387" s="62" t="n">
        <f aca="false">IF(F1387&gt;0,(Settings!$B$8*T1387+Settings!$B$9*R1387+Settings!$B$10*S1387)/SUM(Settings!$B$8:$B$10),0)</f>
        <v>0</v>
      </c>
      <c r="V1387" s="56" t="str">
        <f aca="false">IF(U1387&gt;0,RANK(U1387,$U$2:$U$1780)+COUNTIF($U$2:U1387,U1387)-1,"")</f>
        <v/>
      </c>
      <c r="W1387" s="56" t="str">
        <f aca="false">IF(V1387="","",IF(V1387&lt;=Settings!$B$11,"1 - Fix first",IF(V1387&lt;=Settings!$B$12,"2 - Review","3 - Monitor")))</f>
        <v/>
      </c>
      <c r="X1387" s="56" t="str">
        <f aca="false">IF(AND(E1387&gt;=Settings!$B$4,F1387&gt;=Settings!$B$5,O1387&gt;=Settings!$B$6),"HIGH RATE","")</f>
        <v/>
      </c>
      <c r="Y1387" s="56" t="str">
        <f aca="false">IF(F1387&gt;0,RANK(F1387,$F$2:$F$1780)+COUNTIF($F$2:F1387,F1387)-1,"")</f>
        <v/>
      </c>
      <c r="Z1387" s="56" t="str">
        <f aca="false">IF(H1387&gt;0,RANK(H1387,$H$2:$H$1780)+COUNTIF($H$2:H1387,H1387)-1,"")</f>
        <v/>
      </c>
      <c r="AA1387" s="56" t="str">
        <f aca="false">IF(AC1387="","",RANK(AC1387,$AC$2:$AC$1780)+COUNTIF($AC$2:AC1387,AC1387)-1)</f>
        <v/>
      </c>
      <c r="AB1387" s="56" t="str">
        <f aca="false">IF(AD1387="","",RANK(AD1387,$AD$2:$AD$1780)+COUNTIF($AD$2:AD1387,AD1387)-1)</f>
        <v/>
      </c>
      <c r="AC1387" s="56" t="str">
        <f aca="false">IF(AND(F1387&gt;0,E1387&gt;=Settings!$B$4),J1387,"")</f>
        <v/>
      </c>
      <c r="AD1387" s="56" t="str">
        <f aca="false">IF(X1387="HIGH RATE",O1387,"")</f>
        <v/>
      </c>
    </row>
    <row r="1388" customFormat="false" ht="15" hidden="false" customHeight="false" outlineLevel="0" collapsed="false">
      <c r="A1388" s="56" t="s">
        <v>2787</v>
      </c>
      <c r="B1388" s="56" t="s">
        <v>2786</v>
      </c>
      <c r="C1388" s="56" t="s">
        <v>87</v>
      </c>
      <c r="D1388" s="56" t="str">
        <f aca="false">IFERROR(INDEX('Brand Map'!$B$4:$B$124,MATCH(C1388,'Brand Map'!$A$4:$A$124,0)),"Other")</f>
        <v>FYF</v>
      </c>
      <c r="E1388" s="57" t="n">
        <v>4</v>
      </c>
      <c r="F1388" s="57" t="n">
        <v>0</v>
      </c>
      <c r="G1388" s="58" t="n">
        <v>139.8</v>
      </c>
      <c r="H1388" s="58" t="n">
        <v>0</v>
      </c>
      <c r="I1388" s="58" t="n">
        <v>139.8</v>
      </c>
      <c r="J1388" s="32" t="n">
        <f aca="false">IF(E1388&gt;0,F1388/E1388,0)</f>
        <v>0</v>
      </c>
      <c r="K1388" s="32" t="n">
        <f aca="false">IF(G1388&gt;0,H1388/G1388,0)</f>
        <v>-0</v>
      </c>
      <c r="L1388" s="59" t="n">
        <f aca="false">H1388/Settings!$B$16</f>
        <v>-0</v>
      </c>
      <c r="M1388" s="59" t="n">
        <f aca="false">H1388/Settings!$B$20</f>
        <v>-0</v>
      </c>
      <c r="N1388" s="60" t="n">
        <f aca="false">E1388*Settings!$B$3</f>
        <v>0.123944604319282</v>
      </c>
      <c r="O1388" s="60" t="n">
        <f aca="false">IF(E1388&gt;0,(F1388-N1388)/SQRT(E1388*Settings!$B$3*(1-Settings!$B$3)),0)</f>
        <v>-0.357642251868888</v>
      </c>
      <c r="P1388" s="60" t="n">
        <f aca="false">MAX(0,F1388-N1388)</f>
        <v>0</v>
      </c>
      <c r="Q1388" s="32" t="n">
        <f aca="false">(F1388+Settings!$B$7*Settings!$B$3)/(E1388+Settings!$B$7)</f>
        <v>0.027340721541018</v>
      </c>
      <c r="R1388" s="61" t="n">
        <f aca="false">PERCENTRANK($H$2:$H$1780,H1388,6)</f>
        <v>0</v>
      </c>
      <c r="S1388" s="61" t="n">
        <f aca="false">PERCENTRANK($Q$2:$Q$1780,Q1388,6)</f>
        <v>0.253656</v>
      </c>
      <c r="T1388" s="61" t="n">
        <f aca="false">PERCENTRANK($F$2:$F$1780,F1388,6)</f>
        <v>0</v>
      </c>
      <c r="U1388" s="62" t="n">
        <f aca="false">IF(F1388&gt;0,(Settings!$B$8*T1388+Settings!$B$9*R1388+Settings!$B$10*S1388)/SUM(Settings!$B$8:$B$10),0)</f>
        <v>0</v>
      </c>
      <c r="V1388" s="56" t="str">
        <f aca="false">IF(U1388&gt;0,RANK(U1388,$U$2:$U$1780)+COUNTIF($U$2:U1388,U1388)-1,"")</f>
        <v/>
      </c>
      <c r="W1388" s="56" t="str">
        <f aca="false">IF(V1388="","",IF(V1388&lt;=Settings!$B$11,"1 - Fix first",IF(V1388&lt;=Settings!$B$12,"2 - Review","3 - Monitor")))</f>
        <v/>
      </c>
      <c r="X1388" s="56" t="str">
        <f aca="false">IF(AND(E1388&gt;=Settings!$B$4,F1388&gt;=Settings!$B$5,O1388&gt;=Settings!$B$6),"HIGH RATE","")</f>
        <v/>
      </c>
      <c r="Y1388" s="56" t="str">
        <f aca="false">IF(F1388&gt;0,RANK(F1388,$F$2:$F$1780)+COUNTIF($F$2:F1388,F1388)-1,"")</f>
        <v/>
      </c>
      <c r="Z1388" s="56" t="str">
        <f aca="false">IF(H1388&gt;0,RANK(H1388,$H$2:$H$1780)+COUNTIF($H$2:H1388,H1388)-1,"")</f>
        <v/>
      </c>
      <c r="AA1388" s="56" t="str">
        <f aca="false">IF(AC1388="","",RANK(AC1388,$AC$2:$AC$1780)+COUNTIF($AC$2:AC1388,AC1388)-1)</f>
        <v/>
      </c>
      <c r="AB1388" s="56" t="str">
        <f aca="false">IF(AD1388="","",RANK(AD1388,$AD$2:$AD$1780)+COUNTIF($AD$2:AD1388,AD1388)-1)</f>
        <v/>
      </c>
      <c r="AC1388" s="56" t="str">
        <f aca="false">IF(AND(F1388&gt;0,E1388&gt;=Settings!$B$4),J1388,"")</f>
        <v/>
      </c>
      <c r="AD1388" s="56" t="str">
        <f aca="false">IF(X1388="HIGH RATE",O1388,"")</f>
        <v/>
      </c>
    </row>
    <row r="1389" customFormat="false" ht="15" hidden="false" customHeight="false" outlineLevel="0" collapsed="false">
      <c r="A1389" s="56" t="s">
        <v>2788</v>
      </c>
      <c r="B1389" s="56" t="s">
        <v>2786</v>
      </c>
      <c r="C1389" s="56" t="s">
        <v>87</v>
      </c>
      <c r="D1389" s="56" t="str">
        <f aca="false">IFERROR(INDEX('Brand Map'!$B$4:$B$124,MATCH(C1389,'Brand Map'!$A$4:$A$124,0)),"Other")</f>
        <v>FYF</v>
      </c>
      <c r="E1389" s="57" t="n">
        <v>2</v>
      </c>
      <c r="F1389" s="57" t="n">
        <v>0</v>
      </c>
      <c r="G1389" s="58" t="n">
        <v>47.98</v>
      </c>
      <c r="H1389" s="58" t="n">
        <v>0</v>
      </c>
      <c r="I1389" s="58" t="n">
        <v>47.98</v>
      </c>
      <c r="J1389" s="32" t="n">
        <f aca="false">IF(E1389&gt;0,F1389/E1389,0)</f>
        <v>0</v>
      </c>
      <c r="K1389" s="32" t="n">
        <f aca="false">IF(G1389&gt;0,H1389/G1389,0)</f>
        <v>-0</v>
      </c>
      <c r="L1389" s="59" t="n">
        <f aca="false">H1389/Settings!$B$16</f>
        <v>-0</v>
      </c>
      <c r="M1389" s="59" t="n">
        <f aca="false">H1389/Settings!$B$20</f>
        <v>-0</v>
      </c>
      <c r="N1389" s="60" t="n">
        <f aca="false">E1389*Settings!$B$3</f>
        <v>0.0619723021596408</v>
      </c>
      <c r="O1389" s="60" t="n">
        <f aca="false">IF(E1389&gt;0,(F1389-N1389)/SQRT(E1389*Settings!$B$3*(1-Settings!$B$3)),0)</f>
        <v>-0.252891261535318</v>
      </c>
      <c r="P1389" s="60" t="n">
        <f aca="false">MAX(0,F1389-N1389)</f>
        <v>0</v>
      </c>
      <c r="Q1389" s="32" t="n">
        <f aca="false">(F1389+Settings!$B$7*Settings!$B$3)/(E1389+Settings!$B$7)</f>
        <v>0.0290495166373316</v>
      </c>
      <c r="R1389" s="61" t="n">
        <f aca="false">PERCENTRANK($H$2:$H$1780,H1389,6)</f>
        <v>0</v>
      </c>
      <c r="S1389" s="61" t="n">
        <f aca="false">PERCENTRANK($Q$2:$Q$1780,Q1389,6)</f>
        <v>0.365579</v>
      </c>
      <c r="T1389" s="61" t="n">
        <f aca="false">PERCENTRANK($F$2:$F$1780,F1389,6)</f>
        <v>0</v>
      </c>
      <c r="U1389" s="62" t="n">
        <f aca="false">IF(F1389&gt;0,(Settings!$B$8*T1389+Settings!$B$9*R1389+Settings!$B$10*S1389)/SUM(Settings!$B$8:$B$10),0)</f>
        <v>0</v>
      </c>
      <c r="V1389" s="56" t="str">
        <f aca="false">IF(U1389&gt;0,RANK(U1389,$U$2:$U$1780)+COUNTIF($U$2:U1389,U1389)-1,"")</f>
        <v/>
      </c>
      <c r="W1389" s="56" t="str">
        <f aca="false">IF(V1389="","",IF(V1389&lt;=Settings!$B$11,"1 - Fix first",IF(V1389&lt;=Settings!$B$12,"2 - Review","3 - Monitor")))</f>
        <v/>
      </c>
      <c r="X1389" s="56" t="str">
        <f aca="false">IF(AND(E1389&gt;=Settings!$B$4,F1389&gt;=Settings!$B$5,O1389&gt;=Settings!$B$6),"HIGH RATE","")</f>
        <v/>
      </c>
      <c r="Y1389" s="56" t="str">
        <f aca="false">IF(F1389&gt;0,RANK(F1389,$F$2:$F$1780)+COUNTIF($F$2:F1389,F1389)-1,"")</f>
        <v/>
      </c>
      <c r="Z1389" s="56" t="str">
        <f aca="false">IF(H1389&gt;0,RANK(H1389,$H$2:$H$1780)+COUNTIF($H$2:H1389,H1389)-1,"")</f>
        <v/>
      </c>
      <c r="AA1389" s="56" t="str">
        <f aca="false">IF(AC1389="","",RANK(AC1389,$AC$2:$AC$1780)+COUNTIF($AC$2:AC1389,AC1389)-1)</f>
        <v/>
      </c>
      <c r="AB1389" s="56" t="str">
        <f aca="false">IF(AD1389="","",RANK(AD1389,$AD$2:$AD$1780)+COUNTIF($AD$2:AD1389,AD1389)-1)</f>
        <v/>
      </c>
      <c r="AC1389" s="56" t="str">
        <f aca="false">IF(AND(F1389&gt;0,E1389&gt;=Settings!$B$4),J1389,"")</f>
        <v/>
      </c>
      <c r="AD1389" s="56" t="str">
        <f aca="false">IF(X1389="HIGH RATE",O1389,"")</f>
        <v/>
      </c>
    </row>
    <row r="1390" customFormat="false" ht="15" hidden="false" customHeight="false" outlineLevel="0" collapsed="false">
      <c r="A1390" s="56" t="s">
        <v>2789</v>
      </c>
      <c r="B1390" s="56" t="s">
        <v>2786</v>
      </c>
      <c r="C1390" s="56" t="s">
        <v>87</v>
      </c>
      <c r="D1390" s="56" t="str">
        <f aca="false">IFERROR(INDEX('Brand Map'!$B$4:$B$124,MATCH(C1390,'Brand Map'!$A$4:$A$124,0)),"Other")</f>
        <v>FYF</v>
      </c>
      <c r="E1390" s="57" t="n">
        <v>3</v>
      </c>
      <c r="F1390" s="57" t="n">
        <v>0</v>
      </c>
      <c r="G1390" s="58" t="n">
        <v>224.85</v>
      </c>
      <c r="H1390" s="58" t="n">
        <v>0</v>
      </c>
      <c r="I1390" s="58" t="n">
        <v>224.85</v>
      </c>
      <c r="J1390" s="32" t="n">
        <f aca="false">IF(E1390&gt;0,F1390/E1390,0)</f>
        <v>0</v>
      </c>
      <c r="K1390" s="32" t="n">
        <f aca="false">IF(G1390&gt;0,H1390/G1390,0)</f>
        <v>-0</v>
      </c>
      <c r="L1390" s="59" t="n">
        <f aca="false">H1390/Settings!$B$16</f>
        <v>-0</v>
      </c>
      <c r="M1390" s="59" t="n">
        <f aca="false">H1390/Settings!$B$20</f>
        <v>-0</v>
      </c>
      <c r="N1390" s="60" t="n">
        <f aca="false">E1390*Settings!$B$3</f>
        <v>0.0929584532394613</v>
      </c>
      <c r="O1390" s="60" t="n">
        <f aca="false">IF(E1390&gt;0,(F1390-N1390)/SQRT(E1390*Settings!$B$3*(1-Settings!$B$3)),0)</f>
        <v>-0.30972727558513</v>
      </c>
      <c r="P1390" s="60" t="n">
        <f aca="false">MAX(0,F1390-N1390)</f>
        <v>0</v>
      </c>
      <c r="Q1390" s="32" t="n">
        <f aca="false">(F1390+Settings!$B$7*Settings!$B$3)/(E1390+Settings!$B$7)</f>
        <v>0.0281692282543822</v>
      </c>
      <c r="R1390" s="61" t="n">
        <f aca="false">PERCENTRANK($H$2:$H$1780,H1390,6)</f>
        <v>0</v>
      </c>
      <c r="S1390" s="61" t="n">
        <f aca="false">PERCENTRANK($Q$2:$Q$1780,Q1390,6)</f>
        <v>0.294151</v>
      </c>
      <c r="T1390" s="61" t="n">
        <f aca="false">PERCENTRANK($F$2:$F$1780,F1390,6)</f>
        <v>0</v>
      </c>
      <c r="U1390" s="62" t="n">
        <f aca="false">IF(F1390&gt;0,(Settings!$B$8*T1390+Settings!$B$9*R1390+Settings!$B$10*S1390)/SUM(Settings!$B$8:$B$10),0)</f>
        <v>0</v>
      </c>
      <c r="V1390" s="56" t="str">
        <f aca="false">IF(U1390&gt;0,RANK(U1390,$U$2:$U$1780)+COUNTIF($U$2:U1390,U1390)-1,"")</f>
        <v/>
      </c>
      <c r="W1390" s="56" t="str">
        <f aca="false">IF(V1390="","",IF(V1390&lt;=Settings!$B$11,"1 - Fix first",IF(V1390&lt;=Settings!$B$12,"2 - Review","3 - Monitor")))</f>
        <v/>
      </c>
      <c r="X1390" s="56" t="str">
        <f aca="false">IF(AND(E1390&gt;=Settings!$B$4,F1390&gt;=Settings!$B$5,O1390&gt;=Settings!$B$6),"HIGH RATE","")</f>
        <v/>
      </c>
      <c r="Y1390" s="56" t="str">
        <f aca="false">IF(F1390&gt;0,RANK(F1390,$F$2:$F$1780)+COUNTIF($F$2:F1390,F1390)-1,"")</f>
        <v/>
      </c>
      <c r="Z1390" s="56" t="str">
        <f aca="false">IF(H1390&gt;0,RANK(H1390,$H$2:$H$1780)+COUNTIF($H$2:H1390,H1390)-1,"")</f>
        <v/>
      </c>
      <c r="AA1390" s="56" t="str">
        <f aca="false">IF(AC1390="","",RANK(AC1390,$AC$2:$AC$1780)+COUNTIF($AC$2:AC1390,AC1390)-1)</f>
        <v/>
      </c>
      <c r="AB1390" s="56" t="str">
        <f aca="false">IF(AD1390="","",RANK(AD1390,$AD$2:$AD$1780)+COUNTIF($AD$2:AD1390,AD1390)-1)</f>
        <v/>
      </c>
      <c r="AC1390" s="56" t="str">
        <f aca="false">IF(AND(F1390&gt;0,E1390&gt;=Settings!$B$4),J1390,"")</f>
        <v/>
      </c>
      <c r="AD1390" s="56" t="str">
        <f aca="false">IF(X1390="HIGH RATE",O1390,"")</f>
        <v/>
      </c>
    </row>
    <row r="1391" customFormat="false" ht="15" hidden="false" customHeight="false" outlineLevel="0" collapsed="false">
      <c r="A1391" s="56" t="s">
        <v>2790</v>
      </c>
      <c r="B1391" s="56" t="s">
        <v>2786</v>
      </c>
      <c r="C1391" s="56" t="s">
        <v>87</v>
      </c>
      <c r="D1391" s="56" t="str">
        <f aca="false">IFERROR(INDEX('Brand Map'!$B$4:$B$124,MATCH(C1391,'Brand Map'!$A$4:$A$124,0)),"Other")</f>
        <v>FYF</v>
      </c>
      <c r="E1391" s="57" t="n">
        <v>1</v>
      </c>
      <c r="F1391" s="57" t="n">
        <v>0</v>
      </c>
      <c r="G1391" s="58" t="n">
        <v>109.95</v>
      </c>
      <c r="H1391" s="58" t="n">
        <v>0</v>
      </c>
      <c r="I1391" s="58" t="n">
        <v>109.95</v>
      </c>
      <c r="J1391" s="32" t="n">
        <f aca="false">IF(E1391&gt;0,F1391/E1391,0)</f>
        <v>0</v>
      </c>
      <c r="K1391" s="32" t="n">
        <f aca="false">IF(G1391&gt;0,H1391/G1391,0)</f>
        <v>-0</v>
      </c>
      <c r="L1391" s="59" t="n">
        <f aca="false">H1391/Settings!$B$16</f>
        <v>-0</v>
      </c>
      <c r="M1391" s="59" t="n">
        <f aca="false">H1391/Settings!$B$20</f>
        <v>-0</v>
      </c>
      <c r="N1391" s="60" t="n">
        <f aca="false">E1391*Settings!$B$3</f>
        <v>0.0309861510798204</v>
      </c>
      <c r="O1391" s="60" t="n">
        <f aca="false">IF(E1391&gt;0,(F1391-N1391)/SQRT(E1391*Settings!$B$3*(1-Settings!$B$3)),0)</f>
        <v>-0.178821125934444</v>
      </c>
      <c r="P1391" s="60" t="n">
        <f aca="false">MAX(0,F1391-N1391)</f>
        <v>0</v>
      </c>
      <c r="Q1391" s="32" t="n">
        <f aca="false">(F1391+Settings!$B$7*Settings!$B$3)/(E1391+Settings!$B$7)</f>
        <v>0.0299865978191811</v>
      </c>
      <c r="R1391" s="61" t="n">
        <f aca="false">PERCENTRANK($H$2:$H$1780,H1391,6)</f>
        <v>0</v>
      </c>
      <c r="S1391" s="61" t="n">
        <f aca="false">PERCENTRANK($Q$2:$Q$1780,Q1391,6)</f>
        <v>0.486502</v>
      </c>
      <c r="T1391" s="61" t="n">
        <f aca="false">PERCENTRANK($F$2:$F$1780,F1391,6)</f>
        <v>0</v>
      </c>
      <c r="U1391" s="62" t="n">
        <f aca="false">IF(F1391&gt;0,(Settings!$B$8*T1391+Settings!$B$9*R1391+Settings!$B$10*S1391)/SUM(Settings!$B$8:$B$10),0)</f>
        <v>0</v>
      </c>
      <c r="V1391" s="56" t="str">
        <f aca="false">IF(U1391&gt;0,RANK(U1391,$U$2:$U$1780)+COUNTIF($U$2:U1391,U1391)-1,"")</f>
        <v/>
      </c>
      <c r="W1391" s="56" t="str">
        <f aca="false">IF(V1391="","",IF(V1391&lt;=Settings!$B$11,"1 - Fix first",IF(V1391&lt;=Settings!$B$12,"2 - Review","3 - Monitor")))</f>
        <v/>
      </c>
      <c r="X1391" s="56" t="str">
        <f aca="false">IF(AND(E1391&gt;=Settings!$B$4,F1391&gt;=Settings!$B$5,O1391&gt;=Settings!$B$6),"HIGH RATE","")</f>
        <v/>
      </c>
      <c r="Y1391" s="56" t="str">
        <f aca="false">IF(F1391&gt;0,RANK(F1391,$F$2:$F$1780)+COUNTIF($F$2:F1391,F1391)-1,"")</f>
        <v/>
      </c>
      <c r="Z1391" s="56" t="str">
        <f aca="false">IF(H1391&gt;0,RANK(H1391,$H$2:$H$1780)+COUNTIF($H$2:H1391,H1391)-1,"")</f>
        <v/>
      </c>
      <c r="AA1391" s="56" t="str">
        <f aca="false">IF(AC1391="","",RANK(AC1391,$AC$2:$AC$1780)+COUNTIF($AC$2:AC1391,AC1391)-1)</f>
        <v/>
      </c>
      <c r="AB1391" s="56" t="str">
        <f aca="false">IF(AD1391="","",RANK(AD1391,$AD$2:$AD$1780)+COUNTIF($AD$2:AD1391,AD1391)-1)</f>
        <v/>
      </c>
      <c r="AC1391" s="56" t="str">
        <f aca="false">IF(AND(F1391&gt;0,E1391&gt;=Settings!$B$4),J1391,"")</f>
        <v/>
      </c>
      <c r="AD1391" s="56" t="str">
        <f aca="false">IF(X1391="HIGH RATE",O1391,"")</f>
        <v/>
      </c>
    </row>
    <row r="1392" customFormat="false" ht="15" hidden="false" customHeight="false" outlineLevel="0" collapsed="false">
      <c r="A1392" s="56" t="s">
        <v>2791</v>
      </c>
      <c r="B1392" s="56" t="s">
        <v>2786</v>
      </c>
      <c r="C1392" s="56" t="s">
        <v>87</v>
      </c>
      <c r="D1392" s="56" t="str">
        <f aca="false">IFERROR(INDEX('Brand Map'!$B$4:$B$124,MATCH(C1392,'Brand Map'!$A$4:$A$124,0)),"Other")</f>
        <v>FYF</v>
      </c>
      <c r="E1392" s="57" t="n">
        <v>1</v>
      </c>
      <c r="F1392" s="57" t="n">
        <v>0</v>
      </c>
      <c r="G1392" s="58" t="n">
        <v>99.95</v>
      </c>
      <c r="H1392" s="58" t="n">
        <v>0</v>
      </c>
      <c r="I1392" s="58" t="n">
        <v>99.95</v>
      </c>
      <c r="J1392" s="32" t="n">
        <f aca="false">IF(E1392&gt;0,F1392/E1392,0)</f>
        <v>0</v>
      </c>
      <c r="K1392" s="32" t="n">
        <f aca="false">IF(G1392&gt;0,H1392/G1392,0)</f>
        <v>-0</v>
      </c>
      <c r="L1392" s="59" t="n">
        <f aca="false">H1392/Settings!$B$16</f>
        <v>-0</v>
      </c>
      <c r="M1392" s="59" t="n">
        <f aca="false">H1392/Settings!$B$20</f>
        <v>-0</v>
      </c>
      <c r="N1392" s="60" t="n">
        <f aca="false">E1392*Settings!$B$3</f>
        <v>0.0309861510798204</v>
      </c>
      <c r="O1392" s="60" t="n">
        <f aca="false">IF(E1392&gt;0,(F1392-N1392)/SQRT(E1392*Settings!$B$3*(1-Settings!$B$3)),0)</f>
        <v>-0.178821125934444</v>
      </c>
      <c r="P1392" s="60" t="n">
        <f aca="false">MAX(0,F1392-N1392)</f>
        <v>0</v>
      </c>
      <c r="Q1392" s="32" t="n">
        <f aca="false">(F1392+Settings!$B$7*Settings!$B$3)/(E1392+Settings!$B$7)</f>
        <v>0.0299865978191811</v>
      </c>
      <c r="R1392" s="61" t="n">
        <f aca="false">PERCENTRANK($H$2:$H$1780,H1392,6)</f>
        <v>0</v>
      </c>
      <c r="S1392" s="61" t="n">
        <f aca="false">PERCENTRANK($Q$2:$Q$1780,Q1392,6)</f>
        <v>0.486502</v>
      </c>
      <c r="T1392" s="61" t="n">
        <f aca="false">PERCENTRANK($F$2:$F$1780,F1392,6)</f>
        <v>0</v>
      </c>
      <c r="U1392" s="62" t="n">
        <f aca="false">IF(F1392&gt;0,(Settings!$B$8*T1392+Settings!$B$9*R1392+Settings!$B$10*S1392)/SUM(Settings!$B$8:$B$10),0)</f>
        <v>0</v>
      </c>
      <c r="V1392" s="56" t="str">
        <f aca="false">IF(U1392&gt;0,RANK(U1392,$U$2:$U$1780)+COUNTIF($U$2:U1392,U1392)-1,"")</f>
        <v/>
      </c>
      <c r="W1392" s="56" t="str">
        <f aca="false">IF(V1392="","",IF(V1392&lt;=Settings!$B$11,"1 - Fix first",IF(V1392&lt;=Settings!$B$12,"2 - Review","3 - Monitor")))</f>
        <v/>
      </c>
      <c r="X1392" s="56" t="str">
        <f aca="false">IF(AND(E1392&gt;=Settings!$B$4,F1392&gt;=Settings!$B$5,O1392&gt;=Settings!$B$6),"HIGH RATE","")</f>
        <v/>
      </c>
      <c r="Y1392" s="56" t="str">
        <f aca="false">IF(F1392&gt;0,RANK(F1392,$F$2:$F$1780)+COUNTIF($F$2:F1392,F1392)-1,"")</f>
        <v/>
      </c>
      <c r="Z1392" s="56" t="str">
        <f aca="false">IF(H1392&gt;0,RANK(H1392,$H$2:$H$1780)+COUNTIF($H$2:H1392,H1392)-1,"")</f>
        <v/>
      </c>
      <c r="AA1392" s="56" t="str">
        <f aca="false">IF(AC1392="","",RANK(AC1392,$AC$2:$AC$1780)+COUNTIF($AC$2:AC1392,AC1392)-1)</f>
        <v/>
      </c>
      <c r="AB1392" s="56" t="str">
        <f aca="false">IF(AD1392="","",RANK(AD1392,$AD$2:$AD$1780)+COUNTIF($AD$2:AD1392,AD1392)-1)</f>
        <v/>
      </c>
      <c r="AC1392" s="56" t="str">
        <f aca="false">IF(AND(F1392&gt;0,E1392&gt;=Settings!$B$4),J1392,"")</f>
        <v/>
      </c>
      <c r="AD1392" s="56" t="str">
        <f aca="false">IF(X1392="HIGH RATE",O1392,"")</f>
        <v/>
      </c>
    </row>
    <row r="1393" customFormat="false" ht="15" hidden="false" customHeight="false" outlineLevel="0" collapsed="false">
      <c r="A1393" s="56" t="s">
        <v>2792</v>
      </c>
      <c r="B1393" s="56" t="s">
        <v>2786</v>
      </c>
      <c r="C1393" s="56" t="s">
        <v>87</v>
      </c>
      <c r="D1393" s="56" t="str">
        <f aca="false">IFERROR(INDEX('Brand Map'!$B$4:$B$124,MATCH(C1393,'Brand Map'!$A$4:$A$124,0)),"Other")</f>
        <v>FYF</v>
      </c>
      <c r="E1393" s="57" t="n">
        <v>2</v>
      </c>
      <c r="F1393" s="57" t="n">
        <v>0</v>
      </c>
      <c r="G1393" s="58" t="n">
        <v>199.9</v>
      </c>
      <c r="H1393" s="58" t="n">
        <v>0</v>
      </c>
      <c r="I1393" s="58" t="n">
        <v>199.9</v>
      </c>
      <c r="J1393" s="32" t="n">
        <f aca="false">IF(E1393&gt;0,F1393/E1393,0)</f>
        <v>0</v>
      </c>
      <c r="K1393" s="32" t="n">
        <f aca="false">IF(G1393&gt;0,H1393/G1393,0)</f>
        <v>-0</v>
      </c>
      <c r="L1393" s="59" t="n">
        <f aca="false">H1393/Settings!$B$16</f>
        <v>-0</v>
      </c>
      <c r="M1393" s="59" t="n">
        <f aca="false">H1393/Settings!$B$20</f>
        <v>-0</v>
      </c>
      <c r="N1393" s="60" t="n">
        <f aca="false">E1393*Settings!$B$3</f>
        <v>0.0619723021596408</v>
      </c>
      <c r="O1393" s="60" t="n">
        <f aca="false">IF(E1393&gt;0,(F1393-N1393)/SQRT(E1393*Settings!$B$3*(1-Settings!$B$3)),0)</f>
        <v>-0.252891261535318</v>
      </c>
      <c r="P1393" s="60" t="n">
        <f aca="false">MAX(0,F1393-N1393)</f>
        <v>0</v>
      </c>
      <c r="Q1393" s="32" t="n">
        <f aca="false">(F1393+Settings!$B$7*Settings!$B$3)/(E1393+Settings!$B$7)</f>
        <v>0.0290495166373316</v>
      </c>
      <c r="R1393" s="61" t="n">
        <f aca="false">PERCENTRANK($H$2:$H$1780,H1393,6)</f>
        <v>0</v>
      </c>
      <c r="S1393" s="61" t="n">
        <f aca="false">PERCENTRANK($Q$2:$Q$1780,Q1393,6)</f>
        <v>0.365579</v>
      </c>
      <c r="T1393" s="61" t="n">
        <f aca="false">PERCENTRANK($F$2:$F$1780,F1393,6)</f>
        <v>0</v>
      </c>
      <c r="U1393" s="62" t="n">
        <f aca="false">IF(F1393&gt;0,(Settings!$B$8*T1393+Settings!$B$9*R1393+Settings!$B$10*S1393)/SUM(Settings!$B$8:$B$10),0)</f>
        <v>0</v>
      </c>
      <c r="V1393" s="56" t="str">
        <f aca="false">IF(U1393&gt;0,RANK(U1393,$U$2:$U$1780)+COUNTIF($U$2:U1393,U1393)-1,"")</f>
        <v/>
      </c>
      <c r="W1393" s="56" t="str">
        <f aca="false">IF(V1393="","",IF(V1393&lt;=Settings!$B$11,"1 - Fix first",IF(V1393&lt;=Settings!$B$12,"2 - Review","3 - Monitor")))</f>
        <v/>
      </c>
      <c r="X1393" s="56" t="str">
        <f aca="false">IF(AND(E1393&gt;=Settings!$B$4,F1393&gt;=Settings!$B$5,O1393&gt;=Settings!$B$6),"HIGH RATE","")</f>
        <v/>
      </c>
      <c r="Y1393" s="56" t="str">
        <f aca="false">IF(F1393&gt;0,RANK(F1393,$F$2:$F$1780)+COUNTIF($F$2:F1393,F1393)-1,"")</f>
        <v/>
      </c>
      <c r="Z1393" s="56" t="str">
        <f aca="false">IF(H1393&gt;0,RANK(H1393,$H$2:$H$1780)+COUNTIF($H$2:H1393,H1393)-1,"")</f>
        <v/>
      </c>
      <c r="AA1393" s="56" t="str">
        <f aca="false">IF(AC1393="","",RANK(AC1393,$AC$2:$AC$1780)+COUNTIF($AC$2:AC1393,AC1393)-1)</f>
        <v/>
      </c>
      <c r="AB1393" s="56" t="str">
        <f aca="false">IF(AD1393="","",RANK(AD1393,$AD$2:$AD$1780)+COUNTIF($AD$2:AD1393,AD1393)-1)</f>
        <v/>
      </c>
      <c r="AC1393" s="56" t="str">
        <f aca="false">IF(AND(F1393&gt;0,E1393&gt;=Settings!$B$4),J1393,"")</f>
        <v/>
      </c>
      <c r="AD1393" s="56" t="str">
        <f aca="false">IF(X1393="HIGH RATE",O1393,"")</f>
        <v/>
      </c>
    </row>
    <row r="1394" customFormat="false" ht="15" hidden="false" customHeight="false" outlineLevel="0" collapsed="false">
      <c r="A1394" s="56" t="s">
        <v>2793</v>
      </c>
      <c r="B1394" s="56" t="s">
        <v>2786</v>
      </c>
      <c r="C1394" s="56" t="s">
        <v>87</v>
      </c>
      <c r="D1394" s="56" t="str">
        <f aca="false">IFERROR(INDEX('Brand Map'!$B$4:$B$124,MATCH(C1394,'Brand Map'!$A$4:$A$124,0)),"Other")</f>
        <v>FYF</v>
      </c>
      <c r="E1394" s="57" t="n">
        <v>1</v>
      </c>
      <c r="F1394" s="57" t="n">
        <v>0</v>
      </c>
      <c r="G1394" s="58" t="n">
        <v>94.95</v>
      </c>
      <c r="H1394" s="58" t="n">
        <v>0</v>
      </c>
      <c r="I1394" s="58" t="n">
        <v>94.95</v>
      </c>
      <c r="J1394" s="32" t="n">
        <f aca="false">IF(E1394&gt;0,F1394/E1394,0)</f>
        <v>0</v>
      </c>
      <c r="K1394" s="32" t="n">
        <f aca="false">IF(G1394&gt;0,H1394/G1394,0)</f>
        <v>-0</v>
      </c>
      <c r="L1394" s="59" t="n">
        <f aca="false">H1394/Settings!$B$16</f>
        <v>-0</v>
      </c>
      <c r="M1394" s="59" t="n">
        <f aca="false">H1394/Settings!$B$20</f>
        <v>-0</v>
      </c>
      <c r="N1394" s="60" t="n">
        <f aca="false">E1394*Settings!$B$3</f>
        <v>0.0309861510798204</v>
      </c>
      <c r="O1394" s="60" t="n">
        <f aca="false">IF(E1394&gt;0,(F1394-N1394)/SQRT(E1394*Settings!$B$3*(1-Settings!$B$3)),0)</f>
        <v>-0.178821125934444</v>
      </c>
      <c r="P1394" s="60" t="n">
        <f aca="false">MAX(0,F1394-N1394)</f>
        <v>0</v>
      </c>
      <c r="Q1394" s="32" t="n">
        <f aca="false">(F1394+Settings!$B$7*Settings!$B$3)/(E1394+Settings!$B$7)</f>
        <v>0.0299865978191811</v>
      </c>
      <c r="R1394" s="61" t="n">
        <f aca="false">PERCENTRANK($H$2:$H$1780,H1394,6)</f>
        <v>0</v>
      </c>
      <c r="S1394" s="61" t="n">
        <f aca="false">PERCENTRANK($Q$2:$Q$1780,Q1394,6)</f>
        <v>0.486502</v>
      </c>
      <c r="T1394" s="61" t="n">
        <f aca="false">PERCENTRANK($F$2:$F$1780,F1394,6)</f>
        <v>0</v>
      </c>
      <c r="U1394" s="62" t="n">
        <f aca="false">IF(F1394&gt;0,(Settings!$B$8*T1394+Settings!$B$9*R1394+Settings!$B$10*S1394)/SUM(Settings!$B$8:$B$10),0)</f>
        <v>0</v>
      </c>
      <c r="V1394" s="56" t="str">
        <f aca="false">IF(U1394&gt;0,RANK(U1394,$U$2:$U$1780)+COUNTIF($U$2:U1394,U1394)-1,"")</f>
        <v/>
      </c>
      <c r="W1394" s="56" t="str">
        <f aca="false">IF(V1394="","",IF(V1394&lt;=Settings!$B$11,"1 - Fix first",IF(V1394&lt;=Settings!$B$12,"2 - Review","3 - Monitor")))</f>
        <v/>
      </c>
      <c r="X1394" s="56" t="str">
        <f aca="false">IF(AND(E1394&gt;=Settings!$B$4,F1394&gt;=Settings!$B$5,O1394&gt;=Settings!$B$6),"HIGH RATE","")</f>
        <v/>
      </c>
      <c r="Y1394" s="56" t="str">
        <f aca="false">IF(F1394&gt;0,RANK(F1394,$F$2:$F$1780)+COUNTIF($F$2:F1394,F1394)-1,"")</f>
        <v/>
      </c>
      <c r="Z1394" s="56" t="str">
        <f aca="false">IF(H1394&gt;0,RANK(H1394,$H$2:$H$1780)+COUNTIF($H$2:H1394,H1394)-1,"")</f>
        <v/>
      </c>
      <c r="AA1394" s="56" t="str">
        <f aca="false">IF(AC1394="","",RANK(AC1394,$AC$2:$AC$1780)+COUNTIF($AC$2:AC1394,AC1394)-1)</f>
        <v/>
      </c>
      <c r="AB1394" s="56" t="str">
        <f aca="false">IF(AD1394="","",RANK(AD1394,$AD$2:$AD$1780)+COUNTIF($AD$2:AD1394,AD1394)-1)</f>
        <v/>
      </c>
      <c r="AC1394" s="56" t="str">
        <f aca="false">IF(AND(F1394&gt;0,E1394&gt;=Settings!$B$4),J1394,"")</f>
        <v/>
      </c>
      <c r="AD1394" s="56" t="str">
        <f aca="false">IF(X1394="HIGH RATE",O1394,"")</f>
        <v/>
      </c>
    </row>
    <row r="1395" customFormat="false" ht="15" hidden="false" customHeight="false" outlineLevel="0" collapsed="false">
      <c r="A1395" s="56" t="s">
        <v>2794</v>
      </c>
      <c r="B1395" s="56" t="s">
        <v>2786</v>
      </c>
      <c r="C1395" s="56" t="s">
        <v>87</v>
      </c>
      <c r="D1395" s="56" t="str">
        <f aca="false">IFERROR(INDEX('Brand Map'!$B$4:$B$124,MATCH(C1395,'Brand Map'!$A$4:$A$124,0)),"Other")</f>
        <v>FYF</v>
      </c>
      <c r="E1395" s="57" t="n">
        <v>1</v>
      </c>
      <c r="F1395" s="57" t="n">
        <v>0</v>
      </c>
      <c r="G1395" s="58" t="n">
        <v>114.95</v>
      </c>
      <c r="H1395" s="58" t="n">
        <v>0</v>
      </c>
      <c r="I1395" s="58" t="n">
        <v>114.95</v>
      </c>
      <c r="J1395" s="32" t="n">
        <f aca="false">IF(E1395&gt;0,F1395/E1395,0)</f>
        <v>0</v>
      </c>
      <c r="K1395" s="32" t="n">
        <f aca="false">IF(G1395&gt;0,H1395/G1395,0)</f>
        <v>-0</v>
      </c>
      <c r="L1395" s="59" t="n">
        <f aca="false">H1395/Settings!$B$16</f>
        <v>-0</v>
      </c>
      <c r="M1395" s="59" t="n">
        <f aca="false">H1395/Settings!$B$20</f>
        <v>-0</v>
      </c>
      <c r="N1395" s="60" t="n">
        <f aca="false">E1395*Settings!$B$3</f>
        <v>0.0309861510798204</v>
      </c>
      <c r="O1395" s="60" t="n">
        <f aca="false">IF(E1395&gt;0,(F1395-N1395)/SQRT(E1395*Settings!$B$3*(1-Settings!$B$3)),0)</f>
        <v>-0.178821125934444</v>
      </c>
      <c r="P1395" s="60" t="n">
        <f aca="false">MAX(0,F1395-N1395)</f>
        <v>0</v>
      </c>
      <c r="Q1395" s="32" t="n">
        <f aca="false">(F1395+Settings!$B$7*Settings!$B$3)/(E1395+Settings!$B$7)</f>
        <v>0.0299865978191811</v>
      </c>
      <c r="R1395" s="61" t="n">
        <f aca="false">PERCENTRANK($H$2:$H$1780,H1395,6)</f>
        <v>0</v>
      </c>
      <c r="S1395" s="61" t="n">
        <f aca="false">PERCENTRANK($Q$2:$Q$1780,Q1395,6)</f>
        <v>0.486502</v>
      </c>
      <c r="T1395" s="61" t="n">
        <f aca="false">PERCENTRANK($F$2:$F$1780,F1395,6)</f>
        <v>0</v>
      </c>
      <c r="U1395" s="62" t="n">
        <f aca="false">IF(F1395&gt;0,(Settings!$B$8*T1395+Settings!$B$9*R1395+Settings!$B$10*S1395)/SUM(Settings!$B$8:$B$10),0)</f>
        <v>0</v>
      </c>
      <c r="V1395" s="56" t="str">
        <f aca="false">IF(U1395&gt;0,RANK(U1395,$U$2:$U$1780)+COUNTIF($U$2:U1395,U1395)-1,"")</f>
        <v/>
      </c>
      <c r="W1395" s="56" t="str">
        <f aca="false">IF(V1395="","",IF(V1395&lt;=Settings!$B$11,"1 - Fix first",IF(V1395&lt;=Settings!$B$12,"2 - Review","3 - Monitor")))</f>
        <v/>
      </c>
      <c r="X1395" s="56" t="str">
        <f aca="false">IF(AND(E1395&gt;=Settings!$B$4,F1395&gt;=Settings!$B$5,O1395&gt;=Settings!$B$6),"HIGH RATE","")</f>
        <v/>
      </c>
      <c r="Y1395" s="56" t="str">
        <f aca="false">IF(F1395&gt;0,RANK(F1395,$F$2:$F$1780)+COUNTIF($F$2:F1395,F1395)-1,"")</f>
        <v/>
      </c>
      <c r="Z1395" s="56" t="str">
        <f aca="false">IF(H1395&gt;0,RANK(H1395,$H$2:$H$1780)+COUNTIF($H$2:H1395,H1395)-1,"")</f>
        <v/>
      </c>
      <c r="AA1395" s="56" t="str">
        <f aca="false">IF(AC1395="","",RANK(AC1395,$AC$2:$AC$1780)+COUNTIF($AC$2:AC1395,AC1395)-1)</f>
        <v/>
      </c>
      <c r="AB1395" s="56" t="str">
        <f aca="false">IF(AD1395="","",RANK(AD1395,$AD$2:$AD$1780)+COUNTIF($AD$2:AD1395,AD1395)-1)</f>
        <v/>
      </c>
      <c r="AC1395" s="56" t="str">
        <f aca="false">IF(AND(F1395&gt;0,E1395&gt;=Settings!$B$4),J1395,"")</f>
        <v/>
      </c>
      <c r="AD1395" s="56" t="str">
        <f aca="false">IF(X1395="HIGH RATE",O1395,"")</f>
        <v/>
      </c>
    </row>
    <row r="1396" customFormat="false" ht="15" hidden="false" customHeight="false" outlineLevel="0" collapsed="false">
      <c r="A1396" s="56" t="s">
        <v>2795</v>
      </c>
      <c r="B1396" s="56" t="s">
        <v>2786</v>
      </c>
      <c r="C1396" s="56" t="s">
        <v>87</v>
      </c>
      <c r="D1396" s="56" t="str">
        <f aca="false">IFERROR(INDEX('Brand Map'!$B$4:$B$124,MATCH(C1396,'Brand Map'!$A$4:$A$124,0)),"Other")</f>
        <v>FYF</v>
      </c>
      <c r="E1396" s="57" t="n">
        <v>2</v>
      </c>
      <c r="F1396" s="57" t="n">
        <v>0</v>
      </c>
      <c r="G1396" s="58" t="n">
        <v>319.9</v>
      </c>
      <c r="H1396" s="58" t="n">
        <v>0</v>
      </c>
      <c r="I1396" s="58" t="n">
        <v>319.9</v>
      </c>
      <c r="J1396" s="32" t="n">
        <f aca="false">IF(E1396&gt;0,F1396/E1396,0)</f>
        <v>0</v>
      </c>
      <c r="K1396" s="32" t="n">
        <f aca="false">IF(G1396&gt;0,H1396/G1396,0)</f>
        <v>-0</v>
      </c>
      <c r="L1396" s="59" t="n">
        <f aca="false">H1396/Settings!$B$16</f>
        <v>-0</v>
      </c>
      <c r="M1396" s="59" t="n">
        <f aca="false">H1396/Settings!$B$20</f>
        <v>-0</v>
      </c>
      <c r="N1396" s="60" t="n">
        <f aca="false">E1396*Settings!$B$3</f>
        <v>0.0619723021596408</v>
      </c>
      <c r="O1396" s="60" t="n">
        <f aca="false">IF(E1396&gt;0,(F1396-N1396)/SQRT(E1396*Settings!$B$3*(1-Settings!$B$3)),0)</f>
        <v>-0.252891261535318</v>
      </c>
      <c r="P1396" s="60" t="n">
        <f aca="false">MAX(0,F1396-N1396)</f>
        <v>0</v>
      </c>
      <c r="Q1396" s="32" t="n">
        <f aca="false">(F1396+Settings!$B$7*Settings!$B$3)/(E1396+Settings!$B$7)</f>
        <v>0.0290495166373316</v>
      </c>
      <c r="R1396" s="61" t="n">
        <f aca="false">PERCENTRANK($H$2:$H$1780,H1396,6)</f>
        <v>0</v>
      </c>
      <c r="S1396" s="61" t="n">
        <f aca="false">PERCENTRANK($Q$2:$Q$1780,Q1396,6)</f>
        <v>0.365579</v>
      </c>
      <c r="T1396" s="61" t="n">
        <f aca="false">PERCENTRANK($F$2:$F$1780,F1396,6)</f>
        <v>0</v>
      </c>
      <c r="U1396" s="62" t="n">
        <f aca="false">IF(F1396&gt;0,(Settings!$B$8*T1396+Settings!$B$9*R1396+Settings!$B$10*S1396)/SUM(Settings!$B$8:$B$10),0)</f>
        <v>0</v>
      </c>
      <c r="V1396" s="56" t="str">
        <f aca="false">IF(U1396&gt;0,RANK(U1396,$U$2:$U$1780)+COUNTIF($U$2:U1396,U1396)-1,"")</f>
        <v/>
      </c>
      <c r="W1396" s="56" t="str">
        <f aca="false">IF(V1396="","",IF(V1396&lt;=Settings!$B$11,"1 - Fix first",IF(V1396&lt;=Settings!$B$12,"2 - Review","3 - Monitor")))</f>
        <v/>
      </c>
      <c r="X1396" s="56" t="str">
        <f aca="false">IF(AND(E1396&gt;=Settings!$B$4,F1396&gt;=Settings!$B$5,O1396&gt;=Settings!$B$6),"HIGH RATE","")</f>
        <v/>
      </c>
      <c r="Y1396" s="56" t="str">
        <f aca="false">IF(F1396&gt;0,RANK(F1396,$F$2:$F$1780)+COUNTIF($F$2:F1396,F1396)-1,"")</f>
        <v/>
      </c>
      <c r="Z1396" s="56" t="str">
        <f aca="false">IF(H1396&gt;0,RANK(H1396,$H$2:$H$1780)+COUNTIF($H$2:H1396,H1396)-1,"")</f>
        <v/>
      </c>
      <c r="AA1396" s="56" t="str">
        <f aca="false">IF(AC1396="","",RANK(AC1396,$AC$2:$AC$1780)+COUNTIF($AC$2:AC1396,AC1396)-1)</f>
        <v/>
      </c>
      <c r="AB1396" s="56" t="str">
        <f aca="false">IF(AD1396="","",RANK(AD1396,$AD$2:$AD$1780)+COUNTIF($AD$2:AD1396,AD1396)-1)</f>
        <v/>
      </c>
      <c r="AC1396" s="56" t="str">
        <f aca="false">IF(AND(F1396&gt;0,E1396&gt;=Settings!$B$4),J1396,"")</f>
        <v/>
      </c>
      <c r="AD1396" s="56" t="str">
        <f aca="false">IF(X1396="HIGH RATE",O1396,"")</f>
        <v/>
      </c>
    </row>
    <row r="1397" customFormat="false" ht="15" hidden="false" customHeight="false" outlineLevel="0" collapsed="false">
      <c r="A1397" s="56" t="s">
        <v>2796</v>
      </c>
      <c r="B1397" s="56" t="s">
        <v>2786</v>
      </c>
      <c r="C1397" s="56" t="s">
        <v>87</v>
      </c>
      <c r="D1397" s="56" t="str">
        <f aca="false">IFERROR(INDEX('Brand Map'!$B$4:$B$124,MATCH(C1397,'Brand Map'!$A$4:$A$124,0)),"Other")</f>
        <v>FYF</v>
      </c>
      <c r="E1397" s="57" t="n">
        <v>1</v>
      </c>
      <c r="F1397" s="57" t="n">
        <v>0</v>
      </c>
      <c r="G1397" s="58" t="n">
        <v>34.95</v>
      </c>
      <c r="H1397" s="58" t="n">
        <v>0</v>
      </c>
      <c r="I1397" s="58" t="n">
        <v>34.95</v>
      </c>
      <c r="J1397" s="32" t="n">
        <f aca="false">IF(E1397&gt;0,F1397/E1397,0)</f>
        <v>0</v>
      </c>
      <c r="K1397" s="32" t="n">
        <f aca="false">IF(G1397&gt;0,H1397/G1397,0)</f>
        <v>-0</v>
      </c>
      <c r="L1397" s="59" t="n">
        <f aca="false">H1397/Settings!$B$16</f>
        <v>-0</v>
      </c>
      <c r="M1397" s="59" t="n">
        <f aca="false">H1397/Settings!$B$20</f>
        <v>-0</v>
      </c>
      <c r="N1397" s="60" t="n">
        <f aca="false">E1397*Settings!$B$3</f>
        <v>0.0309861510798204</v>
      </c>
      <c r="O1397" s="60" t="n">
        <f aca="false">IF(E1397&gt;0,(F1397-N1397)/SQRT(E1397*Settings!$B$3*(1-Settings!$B$3)),0)</f>
        <v>-0.178821125934444</v>
      </c>
      <c r="P1397" s="60" t="n">
        <f aca="false">MAX(0,F1397-N1397)</f>
        <v>0</v>
      </c>
      <c r="Q1397" s="32" t="n">
        <f aca="false">(F1397+Settings!$B$7*Settings!$B$3)/(E1397+Settings!$B$7)</f>
        <v>0.0299865978191811</v>
      </c>
      <c r="R1397" s="61" t="n">
        <f aca="false">PERCENTRANK($H$2:$H$1780,H1397,6)</f>
        <v>0</v>
      </c>
      <c r="S1397" s="61" t="n">
        <f aca="false">PERCENTRANK($Q$2:$Q$1780,Q1397,6)</f>
        <v>0.486502</v>
      </c>
      <c r="T1397" s="61" t="n">
        <f aca="false">PERCENTRANK($F$2:$F$1780,F1397,6)</f>
        <v>0</v>
      </c>
      <c r="U1397" s="62" t="n">
        <f aca="false">IF(F1397&gt;0,(Settings!$B$8*T1397+Settings!$B$9*R1397+Settings!$B$10*S1397)/SUM(Settings!$B$8:$B$10),0)</f>
        <v>0</v>
      </c>
      <c r="V1397" s="56" t="str">
        <f aca="false">IF(U1397&gt;0,RANK(U1397,$U$2:$U$1780)+COUNTIF($U$2:U1397,U1397)-1,"")</f>
        <v/>
      </c>
      <c r="W1397" s="56" t="str">
        <f aca="false">IF(V1397="","",IF(V1397&lt;=Settings!$B$11,"1 - Fix first",IF(V1397&lt;=Settings!$B$12,"2 - Review","3 - Monitor")))</f>
        <v/>
      </c>
      <c r="X1397" s="56" t="str">
        <f aca="false">IF(AND(E1397&gt;=Settings!$B$4,F1397&gt;=Settings!$B$5,O1397&gt;=Settings!$B$6),"HIGH RATE","")</f>
        <v/>
      </c>
      <c r="Y1397" s="56" t="str">
        <f aca="false">IF(F1397&gt;0,RANK(F1397,$F$2:$F$1780)+COUNTIF($F$2:F1397,F1397)-1,"")</f>
        <v/>
      </c>
      <c r="Z1397" s="56" t="str">
        <f aca="false">IF(H1397&gt;0,RANK(H1397,$H$2:$H$1780)+COUNTIF($H$2:H1397,H1397)-1,"")</f>
        <v/>
      </c>
      <c r="AA1397" s="56" t="str">
        <f aca="false">IF(AC1397="","",RANK(AC1397,$AC$2:$AC$1780)+COUNTIF($AC$2:AC1397,AC1397)-1)</f>
        <v/>
      </c>
      <c r="AB1397" s="56" t="str">
        <f aca="false">IF(AD1397="","",RANK(AD1397,$AD$2:$AD$1780)+COUNTIF($AD$2:AD1397,AD1397)-1)</f>
        <v/>
      </c>
      <c r="AC1397" s="56" t="str">
        <f aca="false">IF(AND(F1397&gt;0,E1397&gt;=Settings!$B$4),J1397,"")</f>
        <v/>
      </c>
      <c r="AD1397" s="56" t="str">
        <f aca="false">IF(X1397="HIGH RATE",O1397,"")</f>
        <v/>
      </c>
    </row>
    <row r="1398" customFormat="false" ht="15" hidden="false" customHeight="false" outlineLevel="0" collapsed="false">
      <c r="A1398" s="56" t="s">
        <v>2797</v>
      </c>
      <c r="B1398" s="56" t="s">
        <v>2786</v>
      </c>
      <c r="C1398" s="56" t="s">
        <v>87</v>
      </c>
      <c r="D1398" s="56" t="str">
        <f aca="false">IFERROR(INDEX('Brand Map'!$B$4:$B$124,MATCH(C1398,'Brand Map'!$A$4:$A$124,0)),"Other")</f>
        <v>FYF</v>
      </c>
      <c r="E1398" s="57" t="n">
        <v>1</v>
      </c>
      <c r="F1398" s="57" t="n">
        <v>0</v>
      </c>
      <c r="G1398" s="58" t="n">
        <v>74.95</v>
      </c>
      <c r="H1398" s="58" t="n">
        <v>0</v>
      </c>
      <c r="I1398" s="58" t="n">
        <v>74.95</v>
      </c>
      <c r="J1398" s="32" t="n">
        <f aca="false">IF(E1398&gt;0,F1398/E1398,0)</f>
        <v>0</v>
      </c>
      <c r="K1398" s="32" t="n">
        <f aca="false">IF(G1398&gt;0,H1398/G1398,0)</f>
        <v>-0</v>
      </c>
      <c r="L1398" s="59" t="n">
        <f aca="false">H1398/Settings!$B$16</f>
        <v>-0</v>
      </c>
      <c r="M1398" s="59" t="n">
        <f aca="false">H1398/Settings!$B$20</f>
        <v>-0</v>
      </c>
      <c r="N1398" s="60" t="n">
        <f aca="false">E1398*Settings!$B$3</f>
        <v>0.0309861510798204</v>
      </c>
      <c r="O1398" s="60" t="n">
        <f aca="false">IF(E1398&gt;0,(F1398-N1398)/SQRT(E1398*Settings!$B$3*(1-Settings!$B$3)),0)</f>
        <v>-0.178821125934444</v>
      </c>
      <c r="P1398" s="60" t="n">
        <f aca="false">MAX(0,F1398-N1398)</f>
        <v>0</v>
      </c>
      <c r="Q1398" s="32" t="n">
        <f aca="false">(F1398+Settings!$B$7*Settings!$B$3)/(E1398+Settings!$B$7)</f>
        <v>0.0299865978191811</v>
      </c>
      <c r="R1398" s="61" t="n">
        <f aca="false">PERCENTRANK($H$2:$H$1780,H1398,6)</f>
        <v>0</v>
      </c>
      <c r="S1398" s="61" t="n">
        <f aca="false">PERCENTRANK($Q$2:$Q$1780,Q1398,6)</f>
        <v>0.486502</v>
      </c>
      <c r="T1398" s="61" t="n">
        <f aca="false">PERCENTRANK($F$2:$F$1780,F1398,6)</f>
        <v>0</v>
      </c>
      <c r="U1398" s="62" t="n">
        <f aca="false">IF(F1398&gt;0,(Settings!$B$8*T1398+Settings!$B$9*R1398+Settings!$B$10*S1398)/SUM(Settings!$B$8:$B$10),0)</f>
        <v>0</v>
      </c>
      <c r="V1398" s="56" t="str">
        <f aca="false">IF(U1398&gt;0,RANK(U1398,$U$2:$U$1780)+COUNTIF($U$2:U1398,U1398)-1,"")</f>
        <v/>
      </c>
      <c r="W1398" s="56" t="str">
        <f aca="false">IF(V1398="","",IF(V1398&lt;=Settings!$B$11,"1 - Fix first",IF(V1398&lt;=Settings!$B$12,"2 - Review","3 - Monitor")))</f>
        <v/>
      </c>
      <c r="X1398" s="56" t="str">
        <f aca="false">IF(AND(E1398&gt;=Settings!$B$4,F1398&gt;=Settings!$B$5,O1398&gt;=Settings!$B$6),"HIGH RATE","")</f>
        <v/>
      </c>
      <c r="Y1398" s="56" t="str">
        <f aca="false">IF(F1398&gt;0,RANK(F1398,$F$2:$F$1780)+COUNTIF($F$2:F1398,F1398)-1,"")</f>
        <v/>
      </c>
      <c r="Z1398" s="56" t="str">
        <f aca="false">IF(H1398&gt;0,RANK(H1398,$H$2:$H$1780)+COUNTIF($H$2:H1398,H1398)-1,"")</f>
        <v/>
      </c>
      <c r="AA1398" s="56" t="str">
        <f aca="false">IF(AC1398="","",RANK(AC1398,$AC$2:$AC$1780)+COUNTIF($AC$2:AC1398,AC1398)-1)</f>
        <v/>
      </c>
      <c r="AB1398" s="56" t="str">
        <f aca="false">IF(AD1398="","",RANK(AD1398,$AD$2:$AD$1780)+COUNTIF($AD$2:AD1398,AD1398)-1)</f>
        <v/>
      </c>
      <c r="AC1398" s="56" t="str">
        <f aca="false">IF(AND(F1398&gt;0,E1398&gt;=Settings!$B$4),J1398,"")</f>
        <v/>
      </c>
      <c r="AD1398" s="56" t="str">
        <f aca="false">IF(X1398="HIGH RATE",O1398,"")</f>
        <v/>
      </c>
    </row>
    <row r="1399" customFormat="false" ht="15" hidden="false" customHeight="false" outlineLevel="0" collapsed="false">
      <c r="A1399" s="56" t="s">
        <v>2798</v>
      </c>
      <c r="B1399" s="56" t="s">
        <v>2786</v>
      </c>
      <c r="C1399" s="56" t="s">
        <v>87</v>
      </c>
      <c r="D1399" s="56" t="str">
        <f aca="false">IFERROR(INDEX('Brand Map'!$B$4:$B$124,MATCH(C1399,'Brand Map'!$A$4:$A$124,0)),"Other")</f>
        <v>FYF</v>
      </c>
      <c r="E1399" s="57" t="n">
        <v>1</v>
      </c>
      <c r="F1399" s="57" t="n">
        <v>0</v>
      </c>
      <c r="G1399" s="58" t="n">
        <v>114.95</v>
      </c>
      <c r="H1399" s="58" t="n">
        <v>0</v>
      </c>
      <c r="I1399" s="58" t="n">
        <v>114.95</v>
      </c>
      <c r="J1399" s="32" t="n">
        <f aca="false">IF(E1399&gt;0,F1399/E1399,0)</f>
        <v>0</v>
      </c>
      <c r="K1399" s="32" t="n">
        <f aca="false">IF(G1399&gt;0,H1399/G1399,0)</f>
        <v>-0</v>
      </c>
      <c r="L1399" s="59" t="n">
        <f aca="false">H1399/Settings!$B$16</f>
        <v>-0</v>
      </c>
      <c r="M1399" s="59" t="n">
        <f aca="false">H1399/Settings!$B$20</f>
        <v>-0</v>
      </c>
      <c r="N1399" s="60" t="n">
        <f aca="false">E1399*Settings!$B$3</f>
        <v>0.0309861510798204</v>
      </c>
      <c r="O1399" s="60" t="n">
        <f aca="false">IF(E1399&gt;0,(F1399-N1399)/SQRT(E1399*Settings!$B$3*(1-Settings!$B$3)),0)</f>
        <v>-0.178821125934444</v>
      </c>
      <c r="P1399" s="60" t="n">
        <f aca="false">MAX(0,F1399-N1399)</f>
        <v>0</v>
      </c>
      <c r="Q1399" s="32" t="n">
        <f aca="false">(F1399+Settings!$B$7*Settings!$B$3)/(E1399+Settings!$B$7)</f>
        <v>0.0299865978191811</v>
      </c>
      <c r="R1399" s="61" t="n">
        <f aca="false">PERCENTRANK($H$2:$H$1780,H1399,6)</f>
        <v>0</v>
      </c>
      <c r="S1399" s="61" t="n">
        <f aca="false">PERCENTRANK($Q$2:$Q$1780,Q1399,6)</f>
        <v>0.486502</v>
      </c>
      <c r="T1399" s="61" t="n">
        <f aca="false">PERCENTRANK($F$2:$F$1780,F1399,6)</f>
        <v>0</v>
      </c>
      <c r="U1399" s="62" t="n">
        <f aca="false">IF(F1399&gt;0,(Settings!$B$8*T1399+Settings!$B$9*R1399+Settings!$B$10*S1399)/SUM(Settings!$B$8:$B$10),0)</f>
        <v>0</v>
      </c>
      <c r="V1399" s="56" t="str">
        <f aca="false">IF(U1399&gt;0,RANK(U1399,$U$2:$U$1780)+COUNTIF($U$2:U1399,U1399)-1,"")</f>
        <v/>
      </c>
      <c r="W1399" s="56" t="str">
        <f aca="false">IF(V1399="","",IF(V1399&lt;=Settings!$B$11,"1 - Fix first",IF(V1399&lt;=Settings!$B$12,"2 - Review","3 - Monitor")))</f>
        <v/>
      </c>
      <c r="X1399" s="56" t="str">
        <f aca="false">IF(AND(E1399&gt;=Settings!$B$4,F1399&gt;=Settings!$B$5,O1399&gt;=Settings!$B$6),"HIGH RATE","")</f>
        <v/>
      </c>
      <c r="Y1399" s="56" t="str">
        <f aca="false">IF(F1399&gt;0,RANK(F1399,$F$2:$F$1780)+COUNTIF($F$2:F1399,F1399)-1,"")</f>
        <v/>
      </c>
      <c r="Z1399" s="56" t="str">
        <f aca="false">IF(H1399&gt;0,RANK(H1399,$H$2:$H$1780)+COUNTIF($H$2:H1399,H1399)-1,"")</f>
        <v/>
      </c>
      <c r="AA1399" s="56" t="str">
        <f aca="false">IF(AC1399="","",RANK(AC1399,$AC$2:$AC$1780)+COUNTIF($AC$2:AC1399,AC1399)-1)</f>
        <v/>
      </c>
      <c r="AB1399" s="56" t="str">
        <f aca="false">IF(AD1399="","",RANK(AD1399,$AD$2:$AD$1780)+COUNTIF($AD$2:AD1399,AD1399)-1)</f>
        <v/>
      </c>
      <c r="AC1399" s="56" t="str">
        <f aca="false">IF(AND(F1399&gt;0,E1399&gt;=Settings!$B$4),J1399,"")</f>
        <v/>
      </c>
      <c r="AD1399" s="56" t="str">
        <f aca="false">IF(X1399="HIGH RATE",O1399,"")</f>
        <v/>
      </c>
    </row>
    <row r="1400" customFormat="false" ht="15" hidden="false" customHeight="false" outlineLevel="0" collapsed="false">
      <c r="A1400" s="56" t="s">
        <v>2799</v>
      </c>
      <c r="B1400" s="56" t="s">
        <v>2786</v>
      </c>
      <c r="C1400" s="56" t="s">
        <v>87</v>
      </c>
      <c r="D1400" s="56" t="str">
        <f aca="false">IFERROR(INDEX('Brand Map'!$B$4:$B$124,MATCH(C1400,'Brand Map'!$A$4:$A$124,0)),"Other")</f>
        <v>FYF</v>
      </c>
      <c r="E1400" s="57" t="n">
        <v>1</v>
      </c>
      <c r="F1400" s="57" t="n">
        <v>0</v>
      </c>
      <c r="G1400" s="58" t="n">
        <v>99.95</v>
      </c>
      <c r="H1400" s="58" t="n">
        <v>0</v>
      </c>
      <c r="I1400" s="58" t="n">
        <v>99.95</v>
      </c>
      <c r="J1400" s="32" t="n">
        <f aca="false">IF(E1400&gt;0,F1400/E1400,0)</f>
        <v>0</v>
      </c>
      <c r="K1400" s="32" t="n">
        <f aca="false">IF(G1400&gt;0,H1400/G1400,0)</f>
        <v>-0</v>
      </c>
      <c r="L1400" s="59" t="n">
        <f aca="false">H1400/Settings!$B$16</f>
        <v>-0</v>
      </c>
      <c r="M1400" s="59" t="n">
        <f aca="false">H1400/Settings!$B$20</f>
        <v>-0</v>
      </c>
      <c r="N1400" s="60" t="n">
        <f aca="false">E1400*Settings!$B$3</f>
        <v>0.0309861510798204</v>
      </c>
      <c r="O1400" s="60" t="n">
        <f aca="false">IF(E1400&gt;0,(F1400-N1400)/SQRT(E1400*Settings!$B$3*(1-Settings!$B$3)),0)</f>
        <v>-0.178821125934444</v>
      </c>
      <c r="P1400" s="60" t="n">
        <f aca="false">MAX(0,F1400-N1400)</f>
        <v>0</v>
      </c>
      <c r="Q1400" s="32" t="n">
        <f aca="false">(F1400+Settings!$B$7*Settings!$B$3)/(E1400+Settings!$B$7)</f>
        <v>0.0299865978191811</v>
      </c>
      <c r="R1400" s="61" t="n">
        <f aca="false">PERCENTRANK($H$2:$H$1780,H1400,6)</f>
        <v>0</v>
      </c>
      <c r="S1400" s="61" t="n">
        <f aca="false">PERCENTRANK($Q$2:$Q$1780,Q1400,6)</f>
        <v>0.486502</v>
      </c>
      <c r="T1400" s="61" t="n">
        <f aca="false">PERCENTRANK($F$2:$F$1780,F1400,6)</f>
        <v>0</v>
      </c>
      <c r="U1400" s="62" t="n">
        <f aca="false">IF(F1400&gt;0,(Settings!$B$8*T1400+Settings!$B$9*R1400+Settings!$B$10*S1400)/SUM(Settings!$B$8:$B$10),0)</f>
        <v>0</v>
      </c>
      <c r="V1400" s="56" t="str">
        <f aca="false">IF(U1400&gt;0,RANK(U1400,$U$2:$U$1780)+COUNTIF($U$2:U1400,U1400)-1,"")</f>
        <v/>
      </c>
      <c r="W1400" s="56" t="str">
        <f aca="false">IF(V1400="","",IF(V1400&lt;=Settings!$B$11,"1 - Fix first",IF(V1400&lt;=Settings!$B$12,"2 - Review","3 - Monitor")))</f>
        <v/>
      </c>
      <c r="X1400" s="56" t="str">
        <f aca="false">IF(AND(E1400&gt;=Settings!$B$4,F1400&gt;=Settings!$B$5,O1400&gt;=Settings!$B$6),"HIGH RATE","")</f>
        <v/>
      </c>
      <c r="Y1400" s="56" t="str">
        <f aca="false">IF(F1400&gt;0,RANK(F1400,$F$2:$F$1780)+COUNTIF($F$2:F1400,F1400)-1,"")</f>
        <v/>
      </c>
      <c r="Z1400" s="56" t="str">
        <f aca="false">IF(H1400&gt;0,RANK(H1400,$H$2:$H$1780)+COUNTIF($H$2:H1400,H1400)-1,"")</f>
        <v/>
      </c>
      <c r="AA1400" s="56" t="str">
        <f aca="false">IF(AC1400="","",RANK(AC1400,$AC$2:$AC$1780)+COUNTIF($AC$2:AC1400,AC1400)-1)</f>
        <v/>
      </c>
      <c r="AB1400" s="56" t="str">
        <f aca="false">IF(AD1400="","",RANK(AD1400,$AD$2:$AD$1780)+COUNTIF($AD$2:AD1400,AD1400)-1)</f>
        <v/>
      </c>
      <c r="AC1400" s="56" t="str">
        <f aca="false">IF(AND(F1400&gt;0,E1400&gt;=Settings!$B$4),J1400,"")</f>
        <v/>
      </c>
      <c r="AD1400" s="56" t="str">
        <f aca="false">IF(X1400="HIGH RATE",O1400,"")</f>
        <v/>
      </c>
    </row>
    <row r="1401" customFormat="false" ht="15" hidden="false" customHeight="false" outlineLevel="0" collapsed="false">
      <c r="A1401" s="56" t="s">
        <v>2800</v>
      </c>
      <c r="B1401" s="56" t="s">
        <v>2801</v>
      </c>
      <c r="C1401" s="56" t="s">
        <v>87</v>
      </c>
      <c r="D1401" s="56" t="str">
        <f aca="false">IFERROR(INDEX('Brand Map'!$B$4:$B$124,MATCH(C1401,'Brand Map'!$A$4:$A$124,0)),"Other")</f>
        <v>FYF</v>
      </c>
      <c r="E1401" s="57" t="n">
        <v>1</v>
      </c>
      <c r="F1401" s="57" t="n">
        <v>0</v>
      </c>
      <c r="G1401" s="58" t="n">
        <v>69.99</v>
      </c>
      <c r="H1401" s="58" t="n">
        <v>0</v>
      </c>
      <c r="I1401" s="58" t="n">
        <v>69.99</v>
      </c>
      <c r="J1401" s="32" t="n">
        <f aca="false">IF(E1401&gt;0,F1401/E1401,0)</f>
        <v>0</v>
      </c>
      <c r="K1401" s="32" t="n">
        <f aca="false">IF(G1401&gt;0,H1401/G1401,0)</f>
        <v>-0</v>
      </c>
      <c r="L1401" s="59" t="n">
        <f aca="false">H1401/Settings!$B$16</f>
        <v>-0</v>
      </c>
      <c r="M1401" s="59" t="n">
        <f aca="false">H1401/Settings!$B$20</f>
        <v>-0</v>
      </c>
      <c r="N1401" s="60" t="n">
        <f aca="false">E1401*Settings!$B$3</f>
        <v>0.0309861510798204</v>
      </c>
      <c r="O1401" s="60" t="n">
        <f aca="false">IF(E1401&gt;0,(F1401-N1401)/SQRT(E1401*Settings!$B$3*(1-Settings!$B$3)),0)</f>
        <v>-0.178821125934444</v>
      </c>
      <c r="P1401" s="60" t="n">
        <f aca="false">MAX(0,F1401-N1401)</f>
        <v>0</v>
      </c>
      <c r="Q1401" s="32" t="n">
        <f aca="false">(F1401+Settings!$B$7*Settings!$B$3)/(E1401+Settings!$B$7)</f>
        <v>0.0299865978191811</v>
      </c>
      <c r="R1401" s="61" t="n">
        <f aca="false">PERCENTRANK($H$2:$H$1780,H1401,6)</f>
        <v>0</v>
      </c>
      <c r="S1401" s="61" t="n">
        <f aca="false">PERCENTRANK($Q$2:$Q$1780,Q1401,6)</f>
        <v>0.486502</v>
      </c>
      <c r="T1401" s="61" t="n">
        <f aca="false">PERCENTRANK($F$2:$F$1780,F1401,6)</f>
        <v>0</v>
      </c>
      <c r="U1401" s="62" t="n">
        <f aca="false">IF(F1401&gt;0,(Settings!$B$8*T1401+Settings!$B$9*R1401+Settings!$B$10*S1401)/SUM(Settings!$B$8:$B$10),0)</f>
        <v>0</v>
      </c>
      <c r="V1401" s="56" t="str">
        <f aca="false">IF(U1401&gt;0,RANK(U1401,$U$2:$U$1780)+COUNTIF($U$2:U1401,U1401)-1,"")</f>
        <v/>
      </c>
      <c r="W1401" s="56" t="str">
        <f aca="false">IF(V1401="","",IF(V1401&lt;=Settings!$B$11,"1 - Fix first",IF(V1401&lt;=Settings!$B$12,"2 - Review","3 - Monitor")))</f>
        <v/>
      </c>
      <c r="X1401" s="56" t="str">
        <f aca="false">IF(AND(E1401&gt;=Settings!$B$4,F1401&gt;=Settings!$B$5,O1401&gt;=Settings!$B$6),"HIGH RATE","")</f>
        <v/>
      </c>
      <c r="Y1401" s="56" t="str">
        <f aca="false">IF(F1401&gt;0,RANK(F1401,$F$2:$F$1780)+COUNTIF($F$2:F1401,F1401)-1,"")</f>
        <v/>
      </c>
      <c r="Z1401" s="56" t="str">
        <f aca="false">IF(H1401&gt;0,RANK(H1401,$H$2:$H$1780)+COUNTIF($H$2:H1401,H1401)-1,"")</f>
        <v/>
      </c>
      <c r="AA1401" s="56" t="str">
        <f aca="false">IF(AC1401="","",RANK(AC1401,$AC$2:$AC$1780)+COUNTIF($AC$2:AC1401,AC1401)-1)</f>
        <v/>
      </c>
      <c r="AB1401" s="56" t="str">
        <f aca="false">IF(AD1401="","",RANK(AD1401,$AD$2:$AD$1780)+COUNTIF($AD$2:AD1401,AD1401)-1)</f>
        <v/>
      </c>
      <c r="AC1401" s="56" t="str">
        <f aca="false">IF(AND(F1401&gt;0,E1401&gt;=Settings!$B$4),J1401,"")</f>
        <v/>
      </c>
      <c r="AD1401" s="56" t="str">
        <f aca="false">IF(X1401="HIGH RATE",O1401,"")</f>
        <v/>
      </c>
    </row>
    <row r="1402" customFormat="false" ht="15" hidden="false" customHeight="false" outlineLevel="0" collapsed="false">
      <c r="A1402" s="56" t="s">
        <v>2802</v>
      </c>
      <c r="B1402" s="56" t="s">
        <v>2803</v>
      </c>
      <c r="C1402" s="56" t="s">
        <v>87</v>
      </c>
      <c r="D1402" s="56" t="str">
        <f aca="false">IFERROR(INDEX('Brand Map'!$B$4:$B$124,MATCH(C1402,'Brand Map'!$A$4:$A$124,0)),"Other")</f>
        <v>FYF</v>
      </c>
      <c r="E1402" s="57" t="n">
        <v>2</v>
      </c>
      <c r="F1402" s="57" t="n">
        <v>0</v>
      </c>
      <c r="G1402" s="58" t="n">
        <v>169.9</v>
      </c>
      <c r="H1402" s="58" t="n">
        <v>0</v>
      </c>
      <c r="I1402" s="58" t="n">
        <v>169.9</v>
      </c>
      <c r="J1402" s="32" t="n">
        <f aca="false">IF(E1402&gt;0,F1402/E1402,0)</f>
        <v>0</v>
      </c>
      <c r="K1402" s="32" t="n">
        <f aca="false">IF(G1402&gt;0,H1402/G1402,0)</f>
        <v>-0</v>
      </c>
      <c r="L1402" s="59" t="n">
        <f aca="false">H1402/Settings!$B$16</f>
        <v>-0</v>
      </c>
      <c r="M1402" s="59" t="n">
        <f aca="false">H1402/Settings!$B$20</f>
        <v>-0</v>
      </c>
      <c r="N1402" s="60" t="n">
        <f aca="false">E1402*Settings!$B$3</f>
        <v>0.0619723021596408</v>
      </c>
      <c r="O1402" s="60" t="n">
        <f aca="false">IF(E1402&gt;0,(F1402-N1402)/SQRT(E1402*Settings!$B$3*(1-Settings!$B$3)),0)</f>
        <v>-0.252891261535318</v>
      </c>
      <c r="P1402" s="60" t="n">
        <f aca="false">MAX(0,F1402-N1402)</f>
        <v>0</v>
      </c>
      <c r="Q1402" s="32" t="n">
        <f aca="false">(F1402+Settings!$B$7*Settings!$B$3)/(E1402+Settings!$B$7)</f>
        <v>0.0290495166373316</v>
      </c>
      <c r="R1402" s="61" t="n">
        <f aca="false">PERCENTRANK($H$2:$H$1780,H1402,6)</f>
        <v>0</v>
      </c>
      <c r="S1402" s="61" t="n">
        <f aca="false">PERCENTRANK($Q$2:$Q$1780,Q1402,6)</f>
        <v>0.365579</v>
      </c>
      <c r="T1402" s="61" t="n">
        <f aca="false">PERCENTRANK($F$2:$F$1780,F1402,6)</f>
        <v>0</v>
      </c>
      <c r="U1402" s="62" t="n">
        <f aca="false">IF(F1402&gt;0,(Settings!$B$8*T1402+Settings!$B$9*R1402+Settings!$B$10*S1402)/SUM(Settings!$B$8:$B$10),0)</f>
        <v>0</v>
      </c>
      <c r="V1402" s="56" t="str">
        <f aca="false">IF(U1402&gt;0,RANK(U1402,$U$2:$U$1780)+COUNTIF($U$2:U1402,U1402)-1,"")</f>
        <v/>
      </c>
      <c r="W1402" s="56" t="str">
        <f aca="false">IF(V1402="","",IF(V1402&lt;=Settings!$B$11,"1 - Fix first",IF(V1402&lt;=Settings!$B$12,"2 - Review","3 - Monitor")))</f>
        <v/>
      </c>
      <c r="X1402" s="56" t="str">
        <f aca="false">IF(AND(E1402&gt;=Settings!$B$4,F1402&gt;=Settings!$B$5,O1402&gt;=Settings!$B$6),"HIGH RATE","")</f>
        <v/>
      </c>
      <c r="Y1402" s="56" t="str">
        <f aca="false">IF(F1402&gt;0,RANK(F1402,$F$2:$F$1780)+COUNTIF($F$2:F1402,F1402)-1,"")</f>
        <v/>
      </c>
      <c r="Z1402" s="56" t="str">
        <f aca="false">IF(H1402&gt;0,RANK(H1402,$H$2:$H$1780)+COUNTIF($H$2:H1402,H1402)-1,"")</f>
        <v/>
      </c>
      <c r="AA1402" s="56" t="str">
        <f aca="false">IF(AC1402="","",RANK(AC1402,$AC$2:$AC$1780)+COUNTIF($AC$2:AC1402,AC1402)-1)</f>
        <v/>
      </c>
      <c r="AB1402" s="56" t="str">
        <f aca="false">IF(AD1402="","",RANK(AD1402,$AD$2:$AD$1780)+COUNTIF($AD$2:AD1402,AD1402)-1)</f>
        <v/>
      </c>
      <c r="AC1402" s="56" t="str">
        <f aca="false">IF(AND(F1402&gt;0,E1402&gt;=Settings!$B$4),J1402,"")</f>
        <v/>
      </c>
      <c r="AD1402" s="56" t="str">
        <f aca="false">IF(X1402="HIGH RATE",O1402,"")</f>
        <v/>
      </c>
    </row>
    <row r="1403" customFormat="false" ht="15" hidden="false" customHeight="false" outlineLevel="0" collapsed="false">
      <c r="A1403" s="56" t="s">
        <v>2804</v>
      </c>
      <c r="B1403" s="56" t="s">
        <v>2803</v>
      </c>
      <c r="C1403" s="56" t="s">
        <v>87</v>
      </c>
      <c r="D1403" s="56" t="str">
        <f aca="false">IFERROR(INDEX('Brand Map'!$B$4:$B$124,MATCH(C1403,'Brand Map'!$A$4:$A$124,0)),"Other")</f>
        <v>FYF</v>
      </c>
      <c r="E1403" s="57" t="n">
        <v>1</v>
      </c>
      <c r="F1403" s="57" t="n">
        <v>0</v>
      </c>
      <c r="G1403" s="58" t="n">
        <v>84.95</v>
      </c>
      <c r="H1403" s="58" t="n">
        <v>0</v>
      </c>
      <c r="I1403" s="58" t="n">
        <v>84.95</v>
      </c>
      <c r="J1403" s="32" t="n">
        <f aca="false">IF(E1403&gt;0,F1403/E1403,0)</f>
        <v>0</v>
      </c>
      <c r="K1403" s="32" t="n">
        <f aca="false">IF(G1403&gt;0,H1403/G1403,0)</f>
        <v>-0</v>
      </c>
      <c r="L1403" s="59" t="n">
        <f aca="false">H1403/Settings!$B$16</f>
        <v>-0</v>
      </c>
      <c r="M1403" s="59" t="n">
        <f aca="false">H1403/Settings!$B$20</f>
        <v>-0</v>
      </c>
      <c r="N1403" s="60" t="n">
        <f aca="false">E1403*Settings!$B$3</f>
        <v>0.0309861510798204</v>
      </c>
      <c r="O1403" s="60" t="n">
        <f aca="false">IF(E1403&gt;0,(F1403-N1403)/SQRT(E1403*Settings!$B$3*(1-Settings!$B$3)),0)</f>
        <v>-0.178821125934444</v>
      </c>
      <c r="P1403" s="60" t="n">
        <f aca="false">MAX(0,F1403-N1403)</f>
        <v>0</v>
      </c>
      <c r="Q1403" s="32" t="n">
        <f aca="false">(F1403+Settings!$B$7*Settings!$B$3)/(E1403+Settings!$B$7)</f>
        <v>0.0299865978191811</v>
      </c>
      <c r="R1403" s="61" t="n">
        <f aca="false">PERCENTRANK($H$2:$H$1780,H1403,6)</f>
        <v>0</v>
      </c>
      <c r="S1403" s="61" t="n">
        <f aca="false">PERCENTRANK($Q$2:$Q$1780,Q1403,6)</f>
        <v>0.486502</v>
      </c>
      <c r="T1403" s="61" t="n">
        <f aca="false">PERCENTRANK($F$2:$F$1780,F1403,6)</f>
        <v>0</v>
      </c>
      <c r="U1403" s="62" t="n">
        <f aca="false">IF(F1403&gt;0,(Settings!$B$8*T1403+Settings!$B$9*R1403+Settings!$B$10*S1403)/SUM(Settings!$B$8:$B$10),0)</f>
        <v>0</v>
      </c>
      <c r="V1403" s="56" t="str">
        <f aca="false">IF(U1403&gt;0,RANK(U1403,$U$2:$U$1780)+COUNTIF($U$2:U1403,U1403)-1,"")</f>
        <v/>
      </c>
      <c r="W1403" s="56" t="str">
        <f aca="false">IF(V1403="","",IF(V1403&lt;=Settings!$B$11,"1 - Fix first",IF(V1403&lt;=Settings!$B$12,"2 - Review","3 - Monitor")))</f>
        <v/>
      </c>
      <c r="X1403" s="56" t="str">
        <f aca="false">IF(AND(E1403&gt;=Settings!$B$4,F1403&gt;=Settings!$B$5,O1403&gt;=Settings!$B$6),"HIGH RATE","")</f>
        <v/>
      </c>
      <c r="Y1403" s="56" t="str">
        <f aca="false">IF(F1403&gt;0,RANK(F1403,$F$2:$F$1780)+COUNTIF($F$2:F1403,F1403)-1,"")</f>
        <v/>
      </c>
      <c r="Z1403" s="56" t="str">
        <f aca="false">IF(H1403&gt;0,RANK(H1403,$H$2:$H$1780)+COUNTIF($H$2:H1403,H1403)-1,"")</f>
        <v/>
      </c>
      <c r="AA1403" s="56" t="str">
        <f aca="false">IF(AC1403="","",RANK(AC1403,$AC$2:$AC$1780)+COUNTIF($AC$2:AC1403,AC1403)-1)</f>
        <v/>
      </c>
      <c r="AB1403" s="56" t="str">
        <f aca="false">IF(AD1403="","",RANK(AD1403,$AD$2:$AD$1780)+COUNTIF($AD$2:AD1403,AD1403)-1)</f>
        <v/>
      </c>
      <c r="AC1403" s="56" t="str">
        <f aca="false">IF(AND(F1403&gt;0,E1403&gt;=Settings!$B$4),J1403,"")</f>
        <v/>
      </c>
      <c r="AD1403" s="56" t="str">
        <f aca="false">IF(X1403="HIGH RATE",O1403,"")</f>
        <v/>
      </c>
    </row>
    <row r="1404" customFormat="false" ht="15" hidden="false" customHeight="false" outlineLevel="0" collapsed="false">
      <c r="A1404" s="56" t="s">
        <v>2805</v>
      </c>
      <c r="B1404" s="56" t="s">
        <v>1405</v>
      </c>
      <c r="C1404" s="56" t="s">
        <v>87</v>
      </c>
      <c r="D1404" s="56" t="str">
        <f aca="false">IFERROR(INDEX('Brand Map'!$B$4:$B$124,MATCH(C1404,'Brand Map'!$A$4:$A$124,0)),"Other")</f>
        <v>FYF</v>
      </c>
      <c r="E1404" s="57" t="n">
        <v>2</v>
      </c>
      <c r="F1404" s="57" t="n">
        <v>0</v>
      </c>
      <c r="G1404" s="58" t="n">
        <v>189.9</v>
      </c>
      <c r="H1404" s="58" t="n">
        <v>0</v>
      </c>
      <c r="I1404" s="58" t="n">
        <v>189.9</v>
      </c>
      <c r="J1404" s="32" t="n">
        <f aca="false">IF(E1404&gt;0,F1404/E1404,0)</f>
        <v>0</v>
      </c>
      <c r="K1404" s="32" t="n">
        <f aca="false">IF(G1404&gt;0,H1404/G1404,0)</f>
        <v>-0</v>
      </c>
      <c r="L1404" s="59" t="n">
        <f aca="false">H1404/Settings!$B$16</f>
        <v>-0</v>
      </c>
      <c r="M1404" s="59" t="n">
        <f aca="false">H1404/Settings!$B$20</f>
        <v>-0</v>
      </c>
      <c r="N1404" s="60" t="n">
        <f aca="false">E1404*Settings!$B$3</f>
        <v>0.0619723021596408</v>
      </c>
      <c r="O1404" s="60" t="n">
        <f aca="false">IF(E1404&gt;0,(F1404-N1404)/SQRT(E1404*Settings!$B$3*(1-Settings!$B$3)),0)</f>
        <v>-0.252891261535318</v>
      </c>
      <c r="P1404" s="60" t="n">
        <f aca="false">MAX(0,F1404-N1404)</f>
        <v>0</v>
      </c>
      <c r="Q1404" s="32" t="n">
        <f aca="false">(F1404+Settings!$B$7*Settings!$B$3)/(E1404+Settings!$B$7)</f>
        <v>0.0290495166373316</v>
      </c>
      <c r="R1404" s="61" t="n">
        <f aca="false">PERCENTRANK($H$2:$H$1780,H1404,6)</f>
        <v>0</v>
      </c>
      <c r="S1404" s="61" t="n">
        <f aca="false">PERCENTRANK($Q$2:$Q$1780,Q1404,6)</f>
        <v>0.365579</v>
      </c>
      <c r="T1404" s="61" t="n">
        <f aca="false">PERCENTRANK($F$2:$F$1780,F1404,6)</f>
        <v>0</v>
      </c>
      <c r="U1404" s="62" t="n">
        <f aca="false">IF(F1404&gt;0,(Settings!$B$8*T1404+Settings!$B$9*R1404+Settings!$B$10*S1404)/SUM(Settings!$B$8:$B$10),0)</f>
        <v>0</v>
      </c>
      <c r="V1404" s="56" t="str">
        <f aca="false">IF(U1404&gt;0,RANK(U1404,$U$2:$U$1780)+COUNTIF($U$2:U1404,U1404)-1,"")</f>
        <v/>
      </c>
      <c r="W1404" s="56" t="str">
        <f aca="false">IF(V1404="","",IF(V1404&lt;=Settings!$B$11,"1 - Fix first",IF(V1404&lt;=Settings!$B$12,"2 - Review","3 - Monitor")))</f>
        <v/>
      </c>
      <c r="X1404" s="56" t="str">
        <f aca="false">IF(AND(E1404&gt;=Settings!$B$4,F1404&gt;=Settings!$B$5,O1404&gt;=Settings!$B$6),"HIGH RATE","")</f>
        <v/>
      </c>
      <c r="Y1404" s="56" t="str">
        <f aca="false">IF(F1404&gt;0,RANK(F1404,$F$2:$F$1780)+COUNTIF($F$2:F1404,F1404)-1,"")</f>
        <v/>
      </c>
      <c r="Z1404" s="56" t="str">
        <f aca="false">IF(H1404&gt;0,RANK(H1404,$H$2:$H$1780)+COUNTIF($H$2:H1404,H1404)-1,"")</f>
        <v/>
      </c>
      <c r="AA1404" s="56" t="str">
        <f aca="false">IF(AC1404="","",RANK(AC1404,$AC$2:$AC$1780)+COUNTIF($AC$2:AC1404,AC1404)-1)</f>
        <v/>
      </c>
      <c r="AB1404" s="56" t="str">
        <f aca="false">IF(AD1404="","",RANK(AD1404,$AD$2:$AD$1780)+COUNTIF($AD$2:AD1404,AD1404)-1)</f>
        <v/>
      </c>
      <c r="AC1404" s="56" t="str">
        <f aca="false">IF(AND(F1404&gt;0,E1404&gt;=Settings!$B$4),J1404,"")</f>
        <v/>
      </c>
      <c r="AD1404" s="56" t="str">
        <f aca="false">IF(X1404="HIGH RATE",O1404,"")</f>
        <v/>
      </c>
    </row>
    <row r="1405" customFormat="false" ht="15" hidden="false" customHeight="false" outlineLevel="0" collapsed="false">
      <c r="A1405" s="56" t="s">
        <v>2806</v>
      </c>
      <c r="B1405" s="56" t="s">
        <v>1405</v>
      </c>
      <c r="C1405" s="56" t="s">
        <v>87</v>
      </c>
      <c r="D1405" s="56" t="str">
        <f aca="false">IFERROR(INDEX('Brand Map'!$B$4:$B$124,MATCH(C1405,'Brand Map'!$A$4:$A$124,0)),"Other")</f>
        <v>FYF</v>
      </c>
      <c r="E1405" s="57" t="n">
        <v>1</v>
      </c>
      <c r="F1405" s="57" t="n">
        <v>0</v>
      </c>
      <c r="G1405" s="58" t="n">
        <v>104.95</v>
      </c>
      <c r="H1405" s="58" t="n">
        <v>0</v>
      </c>
      <c r="I1405" s="58" t="n">
        <v>104.95</v>
      </c>
      <c r="J1405" s="32" t="n">
        <f aca="false">IF(E1405&gt;0,F1405/E1405,0)</f>
        <v>0</v>
      </c>
      <c r="K1405" s="32" t="n">
        <f aca="false">IF(G1405&gt;0,H1405/G1405,0)</f>
        <v>-0</v>
      </c>
      <c r="L1405" s="59" t="n">
        <f aca="false">H1405/Settings!$B$16</f>
        <v>-0</v>
      </c>
      <c r="M1405" s="59" t="n">
        <f aca="false">H1405/Settings!$B$20</f>
        <v>-0</v>
      </c>
      <c r="N1405" s="60" t="n">
        <f aca="false">E1405*Settings!$B$3</f>
        <v>0.0309861510798204</v>
      </c>
      <c r="O1405" s="60" t="n">
        <f aca="false">IF(E1405&gt;0,(F1405-N1405)/SQRT(E1405*Settings!$B$3*(1-Settings!$B$3)),0)</f>
        <v>-0.178821125934444</v>
      </c>
      <c r="P1405" s="60" t="n">
        <f aca="false">MAX(0,F1405-N1405)</f>
        <v>0</v>
      </c>
      <c r="Q1405" s="32" t="n">
        <f aca="false">(F1405+Settings!$B$7*Settings!$B$3)/(E1405+Settings!$B$7)</f>
        <v>0.0299865978191811</v>
      </c>
      <c r="R1405" s="61" t="n">
        <f aca="false">PERCENTRANK($H$2:$H$1780,H1405,6)</f>
        <v>0</v>
      </c>
      <c r="S1405" s="61" t="n">
        <f aca="false">PERCENTRANK($Q$2:$Q$1780,Q1405,6)</f>
        <v>0.486502</v>
      </c>
      <c r="T1405" s="61" t="n">
        <f aca="false">PERCENTRANK($F$2:$F$1780,F1405,6)</f>
        <v>0</v>
      </c>
      <c r="U1405" s="62" t="n">
        <f aca="false">IF(F1405&gt;0,(Settings!$B$8*T1405+Settings!$B$9*R1405+Settings!$B$10*S1405)/SUM(Settings!$B$8:$B$10),0)</f>
        <v>0</v>
      </c>
      <c r="V1405" s="56" t="str">
        <f aca="false">IF(U1405&gt;0,RANK(U1405,$U$2:$U$1780)+COUNTIF($U$2:U1405,U1405)-1,"")</f>
        <v/>
      </c>
      <c r="W1405" s="56" t="str">
        <f aca="false">IF(V1405="","",IF(V1405&lt;=Settings!$B$11,"1 - Fix first",IF(V1405&lt;=Settings!$B$12,"2 - Review","3 - Monitor")))</f>
        <v/>
      </c>
      <c r="X1405" s="56" t="str">
        <f aca="false">IF(AND(E1405&gt;=Settings!$B$4,F1405&gt;=Settings!$B$5,O1405&gt;=Settings!$B$6),"HIGH RATE","")</f>
        <v/>
      </c>
      <c r="Y1405" s="56" t="str">
        <f aca="false">IF(F1405&gt;0,RANK(F1405,$F$2:$F$1780)+COUNTIF($F$2:F1405,F1405)-1,"")</f>
        <v/>
      </c>
      <c r="Z1405" s="56" t="str">
        <f aca="false">IF(H1405&gt;0,RANK(H1405,$H$2:$H$1780)+COUNTIF($H$2:H1405,H1405)-1,"")</f>
        <v/>
      </c>
      <c r="AA1405" s="56" t="str">
        <f aca="false">IF(AC1405="","",RANK(AC1405,$AC$2:$AC$1780)+COUNTIF($AC$2:AC1405,AC1405)-1)</f>
        <v/>
      </c>
      <c r="AB1405" s="56" t="str">
        <f aca="false">IF(AD1405="","",RANK(AD1405,$AD$2:$AD$1780)+COUNTIF($AD$2:AD1405,AD1405)-1)</f>
        <v/>
      </c>
      <c r="AC1405" s="56" t="str">
        <f aca="false">IF(AND(F1405&gt;0,E1405&gt;=Settings!$B$4),J1405,"")</f>
        <v/>
      </c>
      <c r="AD1405" s="56" t="str">
        <f aca="false">IF(X1405="HIGH RATE",O1405,"")</f>
        <v/>
      </c>
    </row>
    <row r="1406" customFormat="false" ht="15" hidden="false" customHeight="false" outlineLevel="0" collapsed="false">
      <c r="A1406" s="56" t="s">
        <v>2807</v>
      </c>
      <c r="B1406" s="56" t="s">
        <v>2808</v>
      </c>
      <c r="C1406" s="56" t="s">
        <v>87</v>
      </c>
      <c r="D1406" s="56" t="str">
        <f aca="false">IFERROR(INDEX('Brand Map'!$B$4:$B$124,MATCH(C1406,'Brand Map'!$A$4:$A$124,0)),"Other")</f>
        <v>FYF</v>
      </c>
      <c r="E1406" s="57" t="n">
        <v>3</v>
      </c>
      <c r="F1406" s="57" t="n">
        <v>0</v>
      </c>
      <c r="G1406" s="58" t="n">
        <v>404.85</v>
      </c>
      <c r="H1406" s="58" t="n">
        <v>0</v>
      </c>
      <c r="I1406" s="58" t="n">
        <v>404.85</v>
      </c>
      <c r="J1406" s="32" t="n">
        <f aca="false">IF(E1406&gt;0,F1406/E1406,0)</f>
        <v>0</v>
      </c>
      <c r="K1406" s="32" t="n">
        <f aca="false">IF(G1406&gt;0,H1406/G1406,0)</f>
        <v>-0</v>
      </c>
      <c r="L1406" s="59" t="n">
        <f aca="false">H1406/Settings!$B$16</f>
        <v>-0</v>
      </c>
      <c r="M1406" s="59" t="n">
        <f aca="false">H1406/Settings!$B$20</f>
        <v>-0</v>
      </c>
      <c r="N1406" s="60" t="n">
        <f aca="false">E1406*Settings!$B$3</f>
        <v>0.0929584532394613</v>
      </c>
      <c r="O1406" s="60" t="n">
        <f aca="false">IF(E1406&gt;0,(F1406-N1406)/SQRT(E1406*Settings!$B$3*(1-Settings!$B$3)),0)</f>
        <v>-0.30972727558513</v>
      </c>
      <c r="P1406" s="60" t="n">
        <f aca="false">MAX(0,F1406-N1406)</f>
        <v>0</v>
      </c>
      <c r="Q1406" s="32" t="n">
        <f aca="false">(F1406+Settings!$B$7*Settings!$B$3)/(E1406+Settings!$B$7)</f>
        <v>0.0281692282543822</v>
      </c>
      <c r="R1406" s="61" t="n">
        <f aca="false">PERCENTRANK($H$2:$H$1780,H1406,6)</f>
        <v>0</v>
      </c>
      <c r="S1406" s="61" t="n">
        <f aca="false">PERCENTRANK($Q$2:$Q$1780,Q1406,6)</f>
        <v>0.294151</v>
      </c>
      <c r="T1406" s="61" t="n">
        <f aca="false">PERCENTRANK($F$2:$F$1780,F1406,6)</f>
        <v>0</v>
      </c>
      <c r="U1406" s="62" t="n">
        <f aca="false">IF(F1406&gt;0,(Settings!$B$8*T1406+Settings!$B$9*R1406+Settings!$B$10*S1406)/SUM(Settings!$B$8:$B$10),0)</f>
        <v>0</v>
      </c>
      <c r="V1406" s="56" t="str">
        <f aca="false">IF(U1406&gt;0,RANK(U1406,$U$2:$U$1780)+COUNTIF($U$2:U1406,U1406)-1,"")</f>
        <v/>
      </c>
      <c r="W1406" s="56" t="str">
        <f aca="false">IF(V1406="","",IF(V1406&lt;=Settings!$B$11,"1 - Fix first",IF(V1406&lt;=Settings!$B$12,"2 - Review","3 - Monitor")))</f>
        <v/>
      </c>
      <c r="X1406" s="56" t="str">
        <f aca="false">IF(AND(E1406&gt;=Settings!$B$4,F1406&gt;=Settings!$B$5,O1406&gt;=Settings!$B$6),"HIGH RATE","")</f>
        <v/>
      </c>
      <c r="Y1406" s="56" t="str">
        <f aca="false">IF(F1406&gt;0,RANK(F1406,$F$2:$F$1780)+COUNTIF($F$2:F1406,F1406)-1,"")</f>
        <v/>
      </c>
      <c r="Z1406" s="56" t="str">
        <f aca="false">IF(H1406&gt;0,RANK(H1406,$H$2:$H$1780)+COUNTIF($H$2:H1406,H1406)-1,"")</f>
        <v/>
      </c>
      <c r="AA1406" s="56" t="str">
        <f aca="false">IF(AC1406="","",RANK(AC1406,$AC$2:$AC$1780)+COUNTIF($AC$2:AC1406,AC1406)-1)</f>
        <v/>
      </c>
      <c r="AB1406" s="56" t="str">
        <f aca="false">IF(AD1406="","",RANK(AD1406,$AD$2:$AD$1780)+COUNTIF($AD$2:AD1406,AD1406)-1)</f>
        <v/>
      </c>
      <c r="AC1406" s="56" t="str">
        <f aca="false">IF(AND(F1406&gt;0,E1406&gt;=Settings!$B$4),J1406,"")</f>
        <v/>
      </c>
      <c r="AD1406" s="56" t="str">
        <f aca="false">IF(X1406="HIGH RATE",O1406,"")</f>
        <v/>
      </c>
    </row>
    <row r="1407" customFormat="false" ht="15" hidden="false" customHeight="false" outlineLevel="0" collapsed="false">
      <c r="A1407" s="56" t="s">
        <v>2809</v>
      </c>
      <c r="B1407" s="56" t="s">
        <v>2810</v>
      </c>
      <c r="C1407" s="56" t="s">
        <v>87</v>
      </c>
      <c r="D1407" s="56" t="str">
        <f aca="false">IFERROR(INDEX('Brand Map'!$B$4:$B$124,MATCH(C1407,'Brand Map'!$A$4:$A$124,0)),"Other")</f>
        <v>FYF</v>
      </c>
      <c r="E1407" s="57" t="n">
        <v>4</v>
      </c>
      <c r="F1407" s="57" t="n">
        <v>0</v>
      </c>
      <c r="G1407" s="58" t="n">
        <v>359.8</v>
      </c>
      <c r="H1407" s="58" t="n">
        <v>0</v>
      </c>
      <c r="I1407" s="58" t="n">
        <v>359.8</v>
      </c>
      <c r="J1407" s="32" t="n">
        <f aca="false">IF(E1407&gt;0,F1407/E1407,0)</f>
        <v>0</v>
      </c>
      <c r="K1407" s="32" t="n">
        <f aca="false">IF(G1407&gt;0,H1407/G1407,0)</f>
        <v>-0</v>
      </c>
      <c r="L1407" s="59" t="n">
        <f aca="false">H1407/Settings!$B$16</f>
        <v>-0</v>
      </c>
      <c r="M1407" s="59" t="n">
        <f aca="false">H1407/Settings!$B$20</f>
        <v>-0</v>
      </c>
      <c r="N1407" s="60" t="n">
        <f aca="false">E1407*Settings!$B$3</f>
        <v>0.123944604319282</v>
      </c>
      <c r="O1407" s="60" t="n">
        <f aca="false">IF(E1407&gt;0,(F1407-N1407)/SQRT(E1407*Settings!$B$3*(1-Settings!$B$3)),0)</f>
        <v>-0.357642251868888</v>
      </c>
      <c r="P1407" s="60" t="n">
        <f aca="false">MAX(0,F1407-N1407)</f>
        <v>0</v>
      </c>
      <c r="Q1407" s="32" t="n">
        <f aca="false">(F1407+Settings!$B$7*Settings!$B$3)/(E1407+Settings!$B$7)</f>
        <v>0.027340721541018</v>
      </c>
      <c r="R1407" s="61" t="n">
        <f aca="false">PERCENTRANK($H$2:$H$1780,H1407,6)</f>
        <v>0</v>
      </c>
      <c r="S1407" s="61" t="n">
        <f aca="false">PERCENTRANK($Q$2:$Q$1780,Q1407,6)</f>
        <v>0.253656</v>
      </c>
      <c r="T1407" s="61" t="n">
        <f aca="false">PERCENTRANK($F$2:$F$1780,F1407,6)</f>
        <v>0</v>
      </c>
      <c r="U1407" s="62" t="n">
        <f aca="false">IF(F1407&gt;0,(Settings!$B$8*T1407+Settings!$B$9*R1407+Settings!$B$10*S1407)/SUM(Settings!$B$8:$B$10),0)</f>
        <v>0</v>
      </c>
      <c r="V1407" s="56" t="str">
        <f aca="false">IF(U1407&gt;0,RANK(U1407,$U$2:$U$1780)+COUNTIF($U$2:U1407,U1407)-1,"")</f>
        <v/>
      </c>
      <c r="W1407" s="56" t="str">
        <f aca="false">IF(V1407="","",IF(V1407&lt;=Settings!$B$11,"1 - Fix first",IF(V1407&lt;=Settings!$B$12,"2 - Review","3 - Monitor")))</f>
        <v/>
      </c>
      <c r="X1407" s="56" t="str">
        <f aca="false">IF(AND(E1407&gt;=Settings!$B$4,F1407&gt;=Settings!$B$5,O1407&gt;=Settings!$B$6),"HIGH RATE","")</f>
        <v/>
      </c>
      <c r="Y1407" s="56" t="str">
        <f aca="false">IF(F1407&gt;0,RANK(F1407,$F$2:$F$1780)+COUNTIF($F$2:F1407,F1407)-1,"")</f>
        <v/>
      </c>
      <c r="Z1407" s="56" t="str">
        <f aca="false">IF(H1407&gt;0,RANK(H1407,$H$2:$H$1780)+COUNTIF($H$2:H1407,H1407)-1,"")</f>
        <v/>
      </c>
      <c r="AA1407" s="56" t="str">
        <f aca="false">IF(AC1407="","",RANK(AC1407,$AC$2:$AC$1780)+COUNTIF($AC$2:AC1407,AC1407)-1)</f>
        <v/>
      </c>
      <c r="AB1407" s="56" t="str">
        <f aca="false">IF(AD1407="","",RANK(AD1407,$AD$2:$AD$1780)+COUNTIF($AD$2:AD1407,AD1407)-1)</f>
        <v/>
      </c>
      <c r="AC1407" s="56" t="str">
        <f aca="false">IF(AND(F1407&gt;0,E1407&gt;=Settings!$B$4),J1407,"")</f>
        <v/>
      </c>
      <c r="AD1407" s="56" t="str">
        <f aca="false">IF(X1407="HIGH RATE",O1407,"")</f>
        <v/>
      </c>
    </row>
    <row r="1408" customFormat="false" ht="15" hidden="false" customHeight="false" outlineLevel="0" collapsed="false">
      <c r="A1408" s="56" t="s">
        <v>2811</v>
      </c>
      <c r="B1408" s="56" t="s">
        <v>2810</v>
      </c>
      <c r="C1408" s="56" t="s">
        <v>87</v>
      </c>
      <c r="D1408" s="56" t="str">
        <f aca="false">IFERROR(INDEX('Brand Map'!$B$4:$B$124,MATCH(C1408,'Brand Map'!$A$4:$A$124,0)),"Other")</f>
        <v>FYF</v>
      </c>
      <c r="E1408" s="57" t="n">
        <v>3</v>
      </c>
      <c r="F1408" s="57" t="n">
        <v>0</v>
      </c>
      <c r="G1408" s="58" t="n">
        <v>314.85</v>
      </c>
      <c r="H1408" s="58" t="n">
        <v>0</v>
      </c>
      <c r="I1408" s="58" t="n">
        <v>314.85</v>
      </c>
      <c r="J1408" s="32" t="n">
        <f aca="false">IF(E1408&gt;0,F1408/E1408,0)</f>
        <v>0</v>
      </c>
      <c r="K1408" s="32" t="n">
        <f aca="false">IF(G1408&gt;0,H1408/G1408,0)</f>
        <v>-0</v>
      </c>
      <c r="L1408" s="59" t="n">
        <f aca="false">H1408/Settings!$B$16</f>
        <v>-0</v>
      </c>
      <c r="M1408" s="59" t="n">
        <f aca="false">H1408/Settings!$B$20</f>
        <v>-0</v>
      </c>
      <c r="N1408" s="60" t="n">
        <f aca="false">E1408*Settings!$B$3</f>
        <v>0.0929584532394613</v>
      </c>
      <c r="O1408" s="60" t="n">
        <f aca="false">IF(E1408&gt;0,(F1408-N1408)/SQRT(E1408*Settings!$B$3*(1-Settings!$B$3)),0)</f>
        <v>-0.30972727558513</v>
      </c>
      <c r="P1408" s="60" t="n">
        <f aca="false">MAX(0,F1408-N1408)</f>
        <v>0</v>
      </c>
      <c r="Q1408" s="32" t="n">
        <f aca="false">(F1408+Settings!$B$7*Settings!$B$3)/(E1408+Settings!$B$7)</f>
        <v>0.0281692282543822</v>
      </c>
      <c r="R1408" s="61" t="n">
        <f aca="false">PERCENTRANK($H$2:$H$1780,H1408,6)</f>
        <v>0</v>
      </c>
      <c r="S1408" s="61" t="n">
        <f aca="false">PERCENTRANK($Q$2:$Q$1780,Q1408,6)</f>
        <v>0.294151</v>
      </c>
      <c r="T1408" s="61" t="n">
        <f aca="false">PERCENTRANK($F$2:$F$1780,F1408,6)</f>
        <v>0</v>
      </c>
      <c r="U1408" s="62" t="n">
        <f aca="false">IF(F1408&gt;0,(Settings!$B$8*T1408+Settings!$B$9*R1408+Settings!$B$10*S1408)/SUM(Settings!$B$8:$B$10),0)</f>
        <v>0</v>
      </c>
      <c r="V1408" s="56" t="str">
        <f aca="false">IF(U1408&gt;0,RANK(U1408,$U$2:$U$1780)+COUNTIF($U$2:U1408,U1408)-1,"")</f>
        <v/>
      </c>
      <c r="W1408" s="56" t="str">
        <f aca="false">IF(V1408="","",IF(V1408&lt;=Settings!$B$11,"1 - Fix first",IF(V1408&lt;=Settings!$B$12,"2 - Review","3 - Monitor")))</f>
        <v/>
      </c>
      <c r="X1408" s="56" t="str">
        <f aca="false">IF(AND(E1408&gt;=Settings!$B$4,F1408&gt;=Settings!$B$5,O1408&gt;=Settings!$B$6),"HIGH RATE","")</f>
        <v/>
      </c>
      <c r="Y1408" s="56" t="str">
        <f aca="false">IF(F1408&gt;0,RANK(F1408,$F$2:$F$1780)+COUNTIF($F$2:F1408,F1408)-1,"")</f>
        <v/>
      </c>
      <c r="Z1408" s="56" t="str">
        <f aca="false">IF(H1408&gt;0,RANK(H1408,$H$2:$H$1780)+COUNTIF($H$2:H1408,H1408)-1,"")</f>
        <v/>
      </c>
      <c r="AA1408" s="56" t="str">
        <f aca="false">IF(AC1408="","",RANK(AC1408,$AC$2:$AC$1780)+COUNTIF($AC$2:AC1408,AC1408)-1)</f>
        <v/>
      </c>
      <c r="AB1408" s="56" t="str">
        <f aca="false">IF(AD1408="","",RANK(AD1408,$AD$2:$AD$1780)+COUNTIF($AD$2:AD1408,AD1408)-1)</f>
        <v/>
      </c>
      <c r="AC1408" s="56" t="str">
        <f aca="false">IF(AND(F1408&gt;0,E1408&gt;=Settings!$B$4),J1408,"")</f>
        <v/>
      </c>
      <c r="AD1408" s="56" t="str">
        <f aca="false">IF(X1408="HIGH RATE",O1408,"")</f>
        <v/>
      </c>
    </row>
    <row r="1409" customFormat="false" ht="15" hidden="false" customHeight="false" outlineLevel="0" collapsed="false">
      <c r="A1409" s="56" t="s">
        <v>2812</v>
      </c>
      <c r="B1409" s="56" t="s">
        <v>371</v>
      </c>
      <c r="C1409" s="56" t="s">
        <v>87</v>
      </c>
      <c r="D1409" s="56" t="str">
        <f aca="false">IFERROR(INDEX('Brand Map'!$B$4:$B$124,MATCH(C1409,'Brand Map'!$A$4:$A$124,0)),"Other")</f>
        <v>FYF</v>
      </c>
      <c r="E1409" s="57" t="n">
        <v>2</v>
      </c>
      <c r="F1409" s="57" t="n">
        <v>0</v>
      </c>
      <c r="G1409" s="58" t="n">
        <v>209.9</v>
      </c>
      <c r="H1409" s="58" t="n">
        <v>0</v>
      </c>
      <c r="I1409" s="58" t="n">
        <v>209.9</v>
      </c>
      <c r="J1409" s="32" t="n">
        <f aca="false">IF(E1409&gt;0,F1409/E1409,0)</f>
        <v>0</v>
      </c>
      <c r="K1409" s="32" t="n">
        <f aca="false">IF(G1409&gt;0,H1409/G1409,0)</f>
        <v>-0</v>
      </c>
      <c r="L1409" s="59" t="n">
        <f aca="false">H1409/Settings!$B$16</f>
        <v>-0</v>
      </c>
      <c r="M1409" s="59" t="n">
        <f aca="false">H1409/Settings!$B$20</f>
        <v>-0</v>
      </c>
      <c r="N1409" s="60" t="n">
        <f aca="false">E1409*Settings!$B$3</f>
        <v>0.0619723021596408</v>
      </c>
      <c r="O1409" s="60" t="n">
        <f aca="false">IF(E1409&gt;0,(F1409-N1409)/SQRT(E1409*Settings!$B$3*(1-Settings!$B$3)),0)</f>
        <v>-0.252891261535318</v>
      </c>
      <c r="P1409" s="60" t="n">
        <f aca="false">MAX(0,F1409-N1409)</f>
        <v>0</v>
      </c>
      <c r="Q1409" s="32" t="n">
        <f aca="false">(F1409+Settings!$B$7*Settings!$B$3)/(E1409+Settings!$B$7)</f>
        <v>0.0290495166373316</v>
      </c>
      <c r="R1409" s="61" t="n">
        <f aca="false">PERCENTRANK($H$2:$H$1780,H1409,6)</f>
        <v>0</v>
      </c>
      <c r="S1409" s="61" t="n">
        <f aca="false">PERCENTRANK($Q$2:$Q$1780,Q1409,6)</f>
        <v>0.365579</v>
      </c>
      <c r="T1409" s="61" t="n">
        <f aca="false">PERCENTRANK($F$2:$F$1780,F1409,6)</f>
        <v>0</v>
      </c>
      <c r="U1409" s="62" t="n">
        <f aca="false">IF(F1409&gt;0,(Settings!$B$8*T1409+Settings!$B$9*R1409+Settings!$B$10*S1409)/SUM(Settings!$B$8:$B$10),0)</f>
        <v>0</v>
      </c>
      <c r="V1409" s="56" t="str">
        <f aca="false">IF(U1409&gt;0,RANK(U1409,$U$2:$U$1780)+COUNTIF($U$2:U1409,U1409)-1,"")</f>
        <v/>
      </c>
      <c r="W1409" s="56" t="str">
        <f aca="false">IF(V1409="","",IF(V1409&lt;=Settings!$B$11,"1 - Fix first",IF(V1409&lt;=Settings!$B$12,"2 - Review","3 - Monitor")))</f>
        <v/>
      </c>
      <c r="X1409" s="56" t="str">
        <f aca="false">IF(AND(E1409&gt;=Settings!$B$4,F1409&gt;=Settings!$B$5,O1409&gt;=Settings!$B$6),"HIGH RATE","")</f>
        <v/>
      </c>
      <c r="Y1409" s="56" t="str">
        <f aca="false">IF(F1409&gt;0,RANK(F1409,$F$2:$F$1780)+COUNTIF($F$2:F1409,F1409)-1,"")</f>
        <v/>
      </c>
      <c r="Z1409" s="56" t="str">
        <f aca="false">IF(H1409&gt;0,RANK(H1409,$H$2:$H$1780)+COUNTIF($H$2:H1409,H1409)-1,"")</f>
        <v/>
      </c>
      <c r="AA1409" s="56" t="str">
        <f aca="false">IF(AC1409="","",RANK(AC1409,$AC$2:$AC$1780)+COUNTIF($AC$2:AC1409,AC1409)-1)</f>
        <v/>
      </c>
      <c r="AB1409" s="56" t="str">
        <f aca="false">IF(AD1409="","",RANK(AD1409,$AD$2:$AD$1780)+COUNTIF($AD$2:AD1409,AD1409)-1)</f>
        <v/>
      </c>
      <c r="AC1409" s="56" t="str">
        <f aca="false">IF(AND(F1409&gt;0,E1409&gt;=Settings!$B$4),J1409,"")</f>
        <v/>
      </c>
      <c r="AD1409" s="56" t="str">
        <f aca="false">IF(X1409="HIGH RATE",O1409,"")</f>
        <v/>
      </c>
    </row>
    <row r="1410" customFormat="false" ht="15" hidden="false" customHeight="false" outlineLevel="0" collapsed="false">
      <c r="A1410" s="56" t="s">
        <v>2813</v>
      </c>
      <c r="B1410" s="56" t="s">
        <v>2814</v>
      </c>
      <c r="C1410" s="56" t="s">
        <v>87</v>
      </c>
      <c r="D1410" s="56" t="str">
        <f aca="false">IFERROR(INDEX('Brand Map'!$B$4:$B$124,MATCH(C1410,'Brand Map'!$A$4:$A$124,0)),"Other")</f>
        <v>FYF</v>
      </c>
      <c r="E1410" s="57" t="n">
        <v>1</v>
      </c>
      <c r="F1410" s="57" t="n">
        <v>0</v>
      </c>
      <c r="G1410" s="58" t="n">
        <v>64.95</v>
      </c>
      <c r="H1410" s="58" t="n">
        <v>0</v>
      </c>
      <c r="I1410" s="58" t="n">
        <v>64.95</v>
      </c>
      <c r="J1410" s="32" t="n">
        <f aca="false">IF(E1410&gt;0,F1410/E1410,0)</f>
        <v>0</v>
      </c>
      <c r="K1410" s="32" t="n">
        <f aca="false">IF(G1410&gt;0,H1410/G1410,0)</f>
        <v>-0</v>
      </c>
      <c r="L1410" s="59" t="n">
        <f aca="false">H1410/Settings!$B$16</f>
        <v>-0</v>
      </c>
      <c r="M1410" s="59" t="n">
        <f aca="false">H1410/Settings!$B$20</f>
        <v>-0</v>
      </c>
      <c r="N1410" s="60" t="n">
        <f aca="false">E1410*Settings!$B$3</f>
        <v>0.0309861510798204</v>
      </c>
      <c r="O1410" s="60" t="n">
        <f aca="false">IF(E1410&gt;0,(F1410-N1410)/SQRT(E1410*Settings!$B$3*(1-Settings!$B$3)),0)</f>
        <v>-0.178821125934444</v>
      </c>
      <c r="P1410" s="60" t="n">
        <f aca="false">MAX(0,F1410-N1410)</f>
        <v>0</v>
      </c>
      <c r="Q1410" s="32" t="n">
        <f aca="false">(F1410+Settings!$B$7*Settings!$B$3)/(E1410+Settings!$B$7)</f>
        <v>0.0299865978191811</v>
      </c>
      <c r="R1410" s="61" t="n">
        <f aca="false">PERCENTRANK($H$2:$H$1780,H1410,6)</f>
        <v>0</v>
      </c>
      <c r="S1410" s="61" t="n">
        <f aca="false">PERCENTRANK($Q$2:$Q$1780,Q1410,6)</f>
        <v>0.486502</v>
      </c>
      <c r="T1410" s="61" t="n">
        <f aca="false">PERCENTRANK($F$2:$F$1780,F1410,6)</f>
        <v>0</v>
      </c>
      <c r="U1410" s="62" t="n">
        <f aca="false">IF(F1410&gt;0,(Settings!$B$8*T1410+Settings!$B$9*R1410+Settings!$B$10*S1410)/SUM(Settings!$B$8:$B$10),0)</f>
        <v>0</v>
      </c>
      <c r="V1410" s="56" t="str">
        <f aca="false">IF(U1410&gt;0,RANK(U1410,$U$2:$U$1780)+COUNTIF($U$2:U1410,U1410)-1,"")</f>
        <v/>
      </c>
      <c r="W1410" s="56" t="str">
        <f aca="false">IF(V1410="","",IF(V1410&lt;=Settings!$B$11,"1 - Fix first",IF(V1410&lt;=Settings!$B$12,"2 - Review","3 - Monitor")))</f>
        <v/>
      </c>
      <c r="X1410" s="56" t="str">
        <f aca="false">IF(AND(E1410&gt;=Settings!$B$4,F1410&gt;=Settings!$B$5,O1410&gt;=Settings!$B$6),"HIGH RATE","")</f>
        <v/>
      </c>
      <c r="Y1410" s="56" t="str">
        <f aca="false">IF(F1410&gt;0,RANK(F1410,$F$2:$F$1780)+COUNTIF($F$2:F1410,F1410)-1,"")</f>
        <v/>
      </c>
      <c r="Z1410" s="56" t="str">
        <f aca="false">IF(H1410&gt;0,RANK(H1410,$H$2:$H$1780)+COUNTIF($H$2:H1410,H1410)-1,"")</f>
        <v/>
      </c>
      <c r="AA1410" s="56" t="str">
        <f aca="false">IF(AC1410="","",RANK(AC1410,$AC$2:$AC$1780)+COUNTIF($AC$2:AC1410,AC1410)-1)</f>
        <v/>
      </c>
      <c r="AB1410" s="56" t="str">
        <f aca="false">IF(AD1410="","",RANK(AD1410,$AD$2:$AD$1780)+COUNTIF($AD$2:AD1410,AD1410)-1)</f>
        <v/>
      </c>
      <c r="AC1410" s="56" t="str">
        <f aca="false">IF(AND(F1410&gt;0,E1410&gt;=Settings!$B$4),J1410,"")</f>
        <v/>
      </c>
      <c r="AD1410" s="56" t="str">
        <f aca="false">IF(X1410="HIGH RATE",O1410,"")</f>
        <v/>
      </c>
    </row>
    <row r="1411" customFormat="false" ht="15" hidden="false" customHeight="false" outlineLevel="0" collapsed="false">
      <c r="A1411" s="56" t="s">
        <v>2815</v>
      </c>
      <c r="B1411" s="56" t="s">
        <v>2816</v>
      </c>
      <c r="C1411" s="56" t="s">
        <v>87</v>
      </c>
      <c r="D1411" s="56" t="str">
        <f aca="false">IFERROR(INDEX('Brand Map'!$B$4:$B$124,MATCH(C1411,'Brand Map'!$A$4:$A$124,0)),"Other")</f>
        <v>FYF</v>
      </c>
      <c r="E1411" s="57" t="n">
        <v>1</v>
      </c>
      <c r="F1411" s="57" t="n">
        <v>0</v>
      </c>
      <c r="G1411" s="58" t="n">
        <v>149.95</v>
      </c>
      <c r="H1411" s="58" t="n">
        <v>0</v>
      </c>
      <c r="I1411" s="58" t="n">
        <v>149.95</v>
      </c>
      <c r="J1411" s="32" t="n">
        <f aca="false">IF(E1411&gt;0,F1411/E1411,0)</f>
        <v>0</v>
      </c>
      <c r="K1411" s="32" t="n">
        <f aca="false">IF(G1411&gt;0,H1411/G1411,0)</f>
        <v>-0</v>
      </c>
      <c r="L1411" s="59" t="n">
        <f aca="false">H1411/Settings!$B$16</f>
        <v>-0</v>
      </c>
      <c r="M1411" s="59" t="n">
        <f aca="false">H1411/Settings!$B$20</f>
        <v>-0</v>
      </c>
      <c r="N1411" s="60" t="n">
        <f aca="false">E1411*Settings!$B$3</f>
        <v>0.0309861510798204</v>
      </c>
      <c r="O1411" s="60" t="n">
        <f aca="false">IF(E1411&gt;0,(F1411-N1411)/SQRT(E1411*Settings!$B$3*(1-Settings!$B$3)),0)</f>
        <v>-0.178821125934444</v>
      </c>
      <c r="P1411" s="60" t="n">
        <f aca="false">MAX(0,F1411-N1411)</f>
        <v>0</v>
      </c>
      <c r="Q1411" s="32" t="n">
        <f aca="false">(F1411+Settings!$B$7*Settings!$B$3)/(E1411+Settings!$B$7)</f>
        <v>0.0299865978191811</v>
      </c>
      <c r="R1411" s="61" t="n">
        <f aca="false">PERCENTRANK($H$2:$H$1780,H1411,6)</f>
        <v>0</v>
      </c>
      <c r="S1411" s="61" t="n">
        <f aca="false">PERCENTRANK($Q$2:$Q$1780,Q1411,6)</f>
        <v>0.486502</v>
      </c>
      <c r="T1411" s="61" t="n">
        <f aca="false">PERCENTRANK($F$2:$F$1780,F1411,6)</f>
        <v>0</v>
      </c>
      <c r="U1411" s="62" t="n">
        <f aca="false">IF(F1411&gt;0,(Settings!$B$8*T1411+Settings!$B$9*R1411+Settings!$B$10*S1411)/SUM(Settings!$B$8:$B$10),0)</f>
        <v>0</v>
      </c>
      <c r="V1411" s="56" t="str">
        <f aca="false">IF(U1411&gt;0,RANK(U1411,$U$2:$U$1780)+COUNTIF($U$2:U1411,U1411)-1,"")</f>
        <v/>
      </c>
      <c r="W1411" s="56" t="str">
        <f aca="false">IF(V1411="","",IF(V1411&lt;=Settings!$B$11,"1 - Fix first",IF(V1411&lt;=Settings!$B$12,"2 - Review","3 - Monitor")))</f>
        <v/>
      </c>
      <c r="X1411" s="56" t="str">
        <f aca="false">IF(AND(E1411&gt;=Settings!$B$4,F1411&gt;=Settings!$B$5,O1411&gt;=Settings!$B$6),"HIGH RATE","")</f>
        <v/>
      </c>
      <c r="Y1411" s="56" t="str">
        <f aca="false">IF(F1411&gt;0,RANK(F1411,$F$2:$F$1780)+COUNTIF($F$2:F1411,F1411)-1,"")</f>
        <v/>
      </c>
      <c r="Z1411" s="56" t="str">
        <f aca="false">IF(H1411&gt;0,RANK(H1411,$H$2:$H$1780)+COUNTIF($H$2:H1411,H1411)-1,"")</f>
        <v/>
      </c>
      <c r="AA1411" s="56" t="str">
        <f aca="false">IF(AC1411="","",RANK(AC1411,$AC$2:$AC$1780)+COUNTIF($AC$2:AC1411,AC1411)-1)</f>
        <v/>
      </c>
      <c r="AB1411" s="56" t="str">
        <f aca="false">IF(AD1411="","",RANK(AD1411,$AD$2:$AD$1780)+COUNTIF($AD$2:AD1411,AD1411)-1)</f>
        <v/>
      </c>
      <c r="AC1411" s="56" t="str">
        <f aca="false">IF(AND(F1411&gt;0,E1411&gt;=Settings!$B$4),J1411,"")</f>
        <v/>
      </c>
      <c r="AD1411" s="56" t="str">
        <f aca="false">IF(X1411="HIGH RATE",O1411,"")</f>
        <v/>
      </c>
    </row>
    <row r="1412" customFormat="false" ht="15" hidden="false" customHeight="false" outlineLevel="0" collapsed="false">
      <c r="A1412" s="56" t="s">
        <v>2817</v>
      </c>
      <c r="B1412" s="56" t="s">
        <v>2816</v>
      </c>
      <c r="C1412" s="56" t="s">
        <v>87</v>
      </c>
      <c r="D1412" s="56" t="str">
        <f aca="false">IFERROR(INDEX('Brand Map'!$B$4:$B$124,MATCH(C1412,'Brand Map'!$A$4:$A$124,0)),"Other")</f>
        <v>FYF</v>
      </c>
      <c r="E1412" s="57" t="n">
        <v>1</v>
      </c>
      <c r="F1412" s="57" t="n">
        <v>0</v>
      </c>
      <c r="G1412" s="58" t="n">
        <v>174.95</v>
      </c>
      <c r="H1412" s="58" t="n">
        <v>0</v>
      </c>
      <c r="I1412" s="58" t="n">
        <v>174.95</v>
      </c>
      <c r="J1412" s="32" t="n">
        <f aca="false">IF(E1412&gt;0,F1412/E1412,0)</f>
        <v>0</v>
      </c>
      <c r="K1412" s="32" t="n">
        <f aca="false">IF(G1412&gt;0,H1412/G1412,0)</f>
        <v>-0</v>
      </c>
      <c r="L1412" s="59" t="n">
        <f aca="false">H1412/Settings!$B$16</f>
        <v>-0</v>
      </c>
      <c r="M1412" s="59" t="n">
        <f aca="false">H1412/Settings!$B$20</f>
        <v>-0</v>
      </c>
      <c r="N1412" s="60" t="n">
        <f aca="false">E1412*Settings!$B$3</f>
        <v>0.0309861510798204</v>
      </c>
      <c r="O1412" s="60" t="n">
        <f aca="false">IF(E1412&gt;0,(F1412-N1412)/SQRT(E1412*Settings!$B$3*(1-Settings!$B$3)),0)</f>
        <v>-0.178821125934444</v>
      </c>
      <c r="P1412" s="60" t="n">
        <f aca="false">MAX(0,F1412-N1412)</f>
        <v>0</v>
      </c>
      <c r="Q1412" s="32" t="n">
        <f aca="false">(F1412+Settings!$B$7*Settings!$B$3)/(E1412+Settings!$B$7)</f>
        <v>0.0299865978191811</v>
      </c>
      <c r="R1412" s="61" t="n">
        <f aca="false">PERCENTRANK($H$2:$H$1780,H1412,6)</f>
        <v>0</v>
      </c>
      <c r="S1412" s="61" t="n">
        <f aca="false">PERCENTRANK($Q$2:$Q$1780,Q1412,6)</f>
        <v>0.486502</v>
      </c>
      <c r="T1412" s="61" t="n">
        <f aca="false">PERCENTRANK($F$2:$F$1780,F1412,6)</f>
        <v>0</v>
      </c>
      <c r="U1412" s="62" t="n">
        <f aca="false">IF(F1412&gt;0,(Settings!$B$8*T1412+Settings!$B$9*R1412+Settings!$B$10*S1412)/SUM(Settings!$B$8:$B$10),0)</f>
        <v>0</v>
      </c>
      <c r="V1412" s="56" t="str">
        <f aca="false">IF(U1412&gt;0,RANK(U1412,$U$2:$U$1780)+COUNTIF($U$2:U1412,U1412)-1,"")</f>
        <v/>
      </c>
      <c r="W1412" s="56" t="str">
        <f aca="false">IF(V1412="","",IF(V1412&lt;=Settings!$B$11,"1 - Fix first",IF(V1412&lt;=Settings!$B$12,"2 - Review","3 - Monitor")))</f>
        <v/>
      </c>
      <c r="X1412" s="56" t="str">
        <f aca="false">IF(AND(E1412&gt;=Settings!$B$4,F1412&gt;=Settings!$B$5,O1412&gt;=Settings!$B$6),"HIGH RATE","")</f>
        <v/>
      </c>
      <c r="Y1412" s="56" t="str">
        <f aca="false">IF(F1412&gt;0,RANK(F1412,$F$2:$F$1780)+COUNTIF($F$2:F1412,F1412)-1,"")</f>
        <v/>
      </c>
      <c r="Z1412" s="56" t="str">
        <f aca="false">IF(H1412&gt;0,RANK(H1412,$H$2:$H$1780)+COUNTIF($H$2:H1412,H1412)-1,"")</f>
        <v/>
      </c>
      <c r="AA1412" s="56" t="str">
        <f aca="false">IF(AC1412="","",RANK(AC1412,$AC$2:$AC$1780)+COUNTIF($AC$2:AC1412,AC1412)-1)</f>
        <v/>
      </c>
      <c r="AB1412" s="56" t="str">
        <f aca="false">IF(AD1412="","",RANK(AD1412,$AD$2:$AD$1780)+COUNTIF($AD$2:AD1412,AD1412)-1)</f>
        <v/>
      </c>
      <c r="AC1412" s="56" t="str">
        <f aca="false">IF(AND(F1412&gt;0,E1412&gt;=Settings!$B$4),J1412,"")</f>
        <v/>
      </c>
      <c r="AD1412" s="56" t="str">
        <f aca="false">IF(X1412="HIGH RATE",O1412,"")</f>
        <v/>
      </c>
    </row>
    <row r="1413" customFormat="false" ht="15" hidden="false" customHeight="false" outlineLevel="0" collapsed="false">
      <c r="A1413" s="56" t="s">
        <v>2818</v>
      </c>
      <c r="B1413" s="56" t="s">
        <v>1438</v>
      </c>
      <c r="C1413" s="56" t="s">
        <v>87</v>
      </c>
      <c r="D1413" s="56" t="str">
        <f aca="false">IFERROR(INDEX('Brand Map'!$B$4:$B$124,MATCH(C1413,'Brand Map'!$A$4:$A$124,0)),"Other")</f>
        <v>FYF</v>
      </c>
      <c r="E1413" s="57" t="n">
        <v>8</v>
      </c>
      <c r="F1413" s="57" t="n">
        <v>0</v>
      </c>
      <c r="G1413" s="58" t="n">
        <v>639.92</v>
      </c>
      <c r="H1413" s="58" t="n">
        <v>0</v>
      </c>
      <c r="I1413" s="58" t="n">
        <v>639.92</v>
      </c>
      <c r="J1413" s="32" t="n">
        <f aca="false">IF(E1413&gt;0,F1413/E1413,0)</f>
        <v>0</v>
      </c>
      <c r="K1413" s="32" t="n">
        <f aca="false">IF(G1413&gt;0,H1413/G1413,0)</f>
        <v>-0</v>
      </c>
      <c r="L1413" s="59" t="n">
        <f aca="false">H1413/Settings!$B$16</f>
        <v>-0</v>
      </c>
      <c r="M1413" s="59" t="n">
        <f aca="false">H1413/Settings!$B$20</f>
        <v>-0</v>
      </c>
      <c r="N1413" s="60" t="n">
        <f aca="false">E1413*Settings!$B$3</f>
        <v>0.247889208638563</v>
      </c>
      <c r="O1413" s="60" t="n">
        <f aca="false">IF(E1413&gt;0,(F1413-N1413)/SQRT(E1413*Settings!$B$3*(1-Settings!$B$3)),0)</f>
        <v>-0.505782523070636</v>
      </c>
      <c r="P1413" s="60" t="n">
        <f aca="false">MAX(0,F1413-N1413)</f>
        <v>0</v>
      </c>
      <c r="Q1413" s="32" t="n">
        <f aca="false">(F1413+Settings!$B$7*Settings!$B$3)/(E1413+Settings!$B$7)</f>
        <v>0.0244627508524898</v>
      </c>
      <c r="R1413" s="61" t="n">
        <f aca="false">PERCENTRANK($H$2:$H$1780,H1413,6)</f>
        <v>0</v>
      </c>
      <c r="S1413" s="61" t="n">
        <f aca="false">PERCENTRANK($Q$2:$Q$1780,Q1413,6)</f>
        <v>0.154668</v>
      </c>
      <c r="T1413" s="61" t="n">
        <f aca="false">PERCENTRANK($F$2:$F$1780,F1413,6)</f>
        <v>0</v>
      </c>
      <c r="U1413" s="62" t="n">
        <f aca="false">IF(F1413&gt;0,(Settings!$B$8*T1413+Settings!$B$9*R1413+Settings!$B$10*S1413)/SUM(Settings!$B$8:$B$10),0)</f>
        <v>0</v>
      </c>
      <c r="V1413" s="56" t="str">
        <f aca="false">IF(U1413&gt;0,RANK(U1413,$U$2:$U$1780)+COUNTIF($U$2:U1413,U1413)-1,"")</f>
        <v/>
      </c>
      <c r="W1413" s="56" t="str">
        <f aca="false">IF(V1413="","",IF(V1413&lt;=Settings!$B$11,"1 - Fix first",IF(V1413&lt;=Settings!$B$12,"2 - Review","3 - Monitor")))</f>
        <v/>
      </c>
      <c r="X1413" s="56" t="str">
        <f aca="false">IF(AND(E1413&gt;=Settings!$B$4,F1413&gt;=Settings!$B$5,O1413&gt;=Settings!$B$6),"HIGH RATE","")</f>
        <v/>
      </c>
      <c r="Y1413" s="56" t="str">
        <f aca="false">IF(F1413&gt;0,RANK(F1413,$F$2:$F$1780)+COUNTIF($F$2:F1413,F1413)-1,"")</f>
        <v/>
      </c>
      <c r="Z1413" s="56" t="str">
        <f aca="false">IF(H1413&gt;0,RANK(H1413,$H$2:$H$1780)+COUNTIF($H$2:H1413,H1413)-1,"")</f>
        <v/>
      </c>
      <c r="AA1413" s="56" t="str">
        <f aca="false">IF(AC1413="","",RANK(AC1413,$AC$2:$AC$1780)+COUNTIF($AC$2:AC1413,AC1413)-1)</f>
        <v/>
      </c>
      <c r="AB1413" s="56" t="str">
        <f aca="false">IF(AD1413="","",RANK(AD1413,$AD$2:$AD$1780)+COUNTIF($AD$2:AD1413,AD1413)-1)</f>
        <v/>
      </c>
      <c r="AC1413" s="56" t="str">
        <f aca="false">IF(AND(F1413&gt;0,E1413&gt;=Settings!$B$4),J1413,"")</f>
        <v/>
      </c>
      <c r="AD1413" s="56" t="str">
        <f aca="false">IF(X1413="HIGH RATE",O1413,"")</f>
        <v/>
      </c>
    </row>
    <row r="1414" customFormat="false" ht="15" hidden="false" customHeight="false" outlineLevel="0" collapsed="false">
      <c r="A1414" s="56" t="s">
        <v>2819</v>
      </c>
      <c r="B1414" s="56" t="s">
        <v>1438</v>
      </c>
      <c r="C1414" s="56" t="s">
        <v>87</v>
      </c>
      <c r="D1414" s="56" t="str">
        <f aca="false">IFERROR(INDEX('Brand Map'!$B$4:$B$124,MATCH(C1414,'Brand Map'!$A$4:$A$124,0)),"Other")</f>
        <v>FYF</v>
      </c>
      <c r="E1414" s="57" t="n">
        <v>11</v>
      </c>
      <c r="F1414" s="57" t="n">
        <v>0</v>
      </c>
      <c r="G1414" s="58" t="n">
        <v>989.45</v>
      </c>
      <c r="H1414" s="58" t="n">
        <v>0</v>
      </c>
      <c r="I1414" s="58" t="n">
        <v>989.45</v>
      </c>
      <c r="J1414" s="32" t="n">
        <f aca="false">IF(E1414&gt;0,F1414/E1414,0)</f>
        <v>0</v>
      </c>
      <c r="K1414" s="32" t="n">
        <f aca="false">IF(G1414&gt;0,H1414/G1414,0)</f>
        <v>-0</v>
      </c>
      <c r="L1414" s="59" t="n">
        <f aca="false">H1414/Settings!$B$16</f>
        <v>-0</v>
      </c>
      <c r="M1414" s="59" t="n">
        <f aca="false">H1414/Settings!$B$20</f>
        <v>-0</v>
      </c>
      <c r="N1414" s="60" t="n">
        <f aca="false">E1414*Settings!$B$3</f>
        <v>0.340847661878025</v>
      </c>
      <c r="O1414" s="60" t="n">
        <f aca="false">IF(E1414&gt;0,(F1414-N1414)/SQRT(E1414*Settings!$B$3*(1-Settings!$B$3)),0)</f>
        <v>-0.593082579313442</v>
      </c>
      <c r="P1414" s="60" t="n">
        <f aca="false">MAX(0,F1414-N1414)</f>
        <v>0</v>
      </c>
      <c r="Q1414" s="32" t="n">
        <f aca="false">(F1414+Settings!$B$7*Settings!$B$3)/(E1414+Settings!$B$7)</f>
        <v>0.0226727934730393</v>
      </c>
      <c r="R1414" s="61" t="n">
        <f aca="false">PERCENTRANK($H$2:$H$1780,H1414,6)</f>
        <v>0</v>
      </c>
      <c r="S1414" s="61" t="n">
        <f aca="false">PERCENTRANK($Q$2:$Q$1780,Q1414,6)</f>
        <v>0.117548</v>
      </c>
      <c r="T1414" s="61" t="n">
        <f aca="false">PERCENTRANK($F$2:$F$1780,F1414,6)</f>
        <v>0</v>
      </c>
      <c r="U1414" s="62" t="n">
        <f aca="false">IF(F1414&gt;0,(Settings!$B$8*T1414+Settings!$B$9*R1414+Settings!$B$10*S1414)/SUM(Settings!$B$8:$B$10),0)</f>
        <v>0</v>
      </c>
      <c r="V1414" s="56" t="str">
        <f aca="false">IF(U1414&gt;0,RANK(U1414,$U$2:$U$1780)+COUNTIF($U$2:U1414,U1414)-1,"")</f>
        <v/>
      </c>
      <c r="W1414" s="56" t="str">
        <f aca="false">IF(V1414="","",IF(V1414&lt;=Settings!$B$11,"1 - Fix first",IF(V1414&lt;=Settings!$B$12,"2 - Review","3 - Monitor")))</f>
        <v/>
      </c>
      <c r="X1414" s="56" t="str">
        <f aca="false">IF(AND(E1414&gt;=Settings!$B$4,F1414&gt;=Settings!$B$5,O1414&gt;=Settings!$B$6),"HIGH RATE","")</f>
        <v/>
      </c>
      <c r="Y1414" s="56" t="str">
        <f aca="false">IF(F1414&gt;0,RANK(F1414,$F$2:$F$1780)+COUNTIF($F$2:F1414,F1414)-1,"")</f>
        <v/>
      </c>
      <c r="Z1414" s="56" t="str">
        <f aca="false">IF(H1414&gt;0,RANK(H1414,$H$2:$H$1780)+COUNTIF($H$2:H1414,H1414)-1,"")</f>
        <v/>
      </c>
      <c r="AA1414" s="56" t="str">
        <f aca="false">IF(AC1414="","",RANK(AC1414,$AC$2:$AC$1780)+COUNTIF($AC$2:AC1414,AC1414)-1)</f>
        <v/>
      </c>
      <c r="AB1414" s="56" t="str">
        <f aca="false">IF(AD1414="","",RANK(AD1414,$AD$2:$AD$1780)+COUNTIF($AD$2:AD1414,AD1414)-1)</f>
        <v/>
      </c>
      <c r="AC1414" s="56" t="str">
        <f aca="false">IF(AND(F1414&gt;0,E1414&gt;=Settings!$B$4),J1414,"")</f>
        <v/>
      </c>
      <c r="AD1414" s="56" t="str">
        <f aca="false">IF(X1414="HIGH RATE",O1414,"")</f>
        <v/>
      </c>
    </row>
    <row r="1415" customFormat="false" ht="15" hidden="false" customHeight="false" outlineLevel="0" collapsed="false">
      <c r="A1415" s="56" t="s">
        <v>2820</v>
      </c>
      <c r="B1415" s="56" t="s">
        <v>1438</v>
      </c>
      <c r="C1415" s="56" t="s">
        <v>87</v>
      </c>
      <c r="D1415" s="56" t="str">
        <f aca="false">IFERROR(INDEX('Brand Map'!$B$4:$B$124,MATCH(C1415,'Brand Map'!$A$4:$A$124,0)),"Other")</f>
        <v>FYF</v>
      </c>
      <c r="E1415" s="57" t="n">
        <v>4</v>
      </c>
      <c r="F1415" s="57" t="n">
        <v>0</v>
      </c>
      <c r="G1415" s="58" t="n">
        <v>399.8</v>
      </c>
      <c r="H1415" s="58" t="n">
        <v>0</v>
      </c>
      <c r="I1415" s="58" t="n">
        <v>399.8</v>
      </c>
      <c r="J1415" s="32" t="n">
        <f aca="false">IF(E1415&gt;0,F1415/E1415,0)</f>
        <v>0</v>
      </c>
      <c r="K1415" s="32" t="n">
        <f aca="false">IF(G1415&gt;0,H1415/G1415,0)</f>
        <v>-0</v>
      </c>
      <c r="L1415" s="59" t="n">
        <f aca="false">H1415/Settings!$B$16</f>
        <v>-0</v>
      </c>
      <c r="M1415" s="59" t="n">
        <f aca="false">H1415/Settings!$B$20</f>
        <v>-0</v>
      </c>
      <c r="N1415" s="60" t="n">
        <f aca="false">E1415*Settings!$B$3</f>
        <v>0.123944604319282</v>
      </c>
      <c r="O1415" s="60" t="n">
        <f aca="false">IF(E1415&gt;0,(F1415-N1415)/SQRT(E1415*Settings!$B$3*(1-Settings!$B$3)),0)</f>
        <v>-0.357642251868888</v>
      </c>
      <c r="P1415" s="60" t="n">
        <f aca="false">MAX(0,F1415-N1415)</f>
        <v>0</v>
      </c>
      <c r="Q1415" s="32" t="n">
        <f aca="false">(F1415+Settings!$B$7*Settings!$B$3)/(E1415+Settings!$B$7)</f>
        <v>0.027340721541018</v>
      </c>
      <c r="R1415" s="61" t="n">
        <f aca="false">PERCENTRANK($H$2:$H$1780,H1415,6)</f>
        <v>0</v>
      </c>
      <c r="S1415" s="61" t="n">
        <f aca="false">PERCENTRANK($Q$2:$Q$1780,Q1415,6)</f>
        <v>0.253656</v>
      </c>
      <c r="T1415" s="61" t="n">
        <f aca="false">PERCENTRANK($F$2:$F$1780,F1415,6)</f>
        <v>0</v>
      </c>
      <c r="U1415" s="62" t="n">
        <f aca="false">IF(F1415&gt;0,(Settings!$B$8*T1415+Settings!$B$9*R1415+Settings!$B$10*S1415)/SUM(Settings!$B$8:$B$10),0)</f>
        <v>0</v>
      </c>
      <c r="V1415" s="56" t="str">
        <f aca="false">IF(U1415&gt;0,RANK(U1415,$U$2:$U$1780)+COUNTIF($U$2:U1415,U1415)-1,"")</f>
        <v/>
      </c>
      <c r="W1415" s="56" t="str">
        <f aca="false">IF(V1415="","",IF(V1415&lt;=Settings!$B$11,"1 - Fix first",IF(V1415&lt;=Settings!$B$12,"2 - Review","3 - Monitor")))</f>
        <v/>
      </c>
      <c r="X1415" s="56" t="str">
        <f aca="false">IF(AND(E1415&gt;=Settings!$B$4,F1415&gt;=Settings!$B$5,O1415&gt;=Settings!$B$6),"HIGH RATE","")</f>
        <v/>
      </c>
      <c r="Y1415" s="56" t="str">
        <f aca="false">IF(F1415&gt;0,RANK(F1415,$F$2:$F$1780)+COUNTIF($F$2:F1415,F1415)-1,"")</f>
        <v/>
      </c>
      <c r="Z1415" s="56" t="str">
        <f aca="false">IF(H1415&gt;0,RANK(H1415,$H$2:$H$1780)+COUNTIF($H$2:H1415,H1415)-1,"")</f>
        <v/>
      </c>
      <c r="AA1415" s="56" t="str">
        <f aca="false">IF(AC1415="","",RANK(AC1415,$AC$2:$AC$1780)+COUNTIF($AC$2:AC1415,AC1415)-1)</f>
        <v/>
      </c>
      <c r="AB1415" s="56" t="str">
        <f aca="false">IF(AD1415="","",RANK(AD1415,$AD$2:$AD$1780)+COUNTIF($AD$2:AD1415,AD1415)-1)</f>
        <v/>
      </c>
      <c r="AC1415" s="56" t="str">
        <f aca="false">IF(AND(F1415&gt;0,E1415&gt;=Settings!$B$4),J1415,"")</f>
        <v/>
      </c>
      <c r="AD1415" s="56" t="str">
        <f aca="false">IF(X1415="HIGH RATE",O1415,"")</f>
        <v/>
      </c>
    </row>
    <row r="1416" customFormat="false" ht="15" hidden="false" customHeight="false" outlineLevel="0" collapsed="false">
      <c r="A1416" s="56" t="s">
        <v>2821</v>
      </c>
      <c r="B1416" s="56" t="s">
        <v>1438</v>
      </c>
      <c r="C1416" s="56" t="s">
        <v>87</v>
      </c>
      <c r="D1416" s="56" t="str">
        <f aca="false">IFERROR(INDEX('Brand Map'!$B$4:$B$124,MATCH(C1416,'Brand Map'!$A$4:$A$124,0)),"Other")</f>
        <v>FYF</v>
      </c>
      <c r="E1416" s="57" t="n">
        <v>3</v>
      </c>
      <c r="F1416" s="57" t="n">
        <v>0</v>
      </c>
      <c r="G1416" s="58" t="n">
        <v>254.85</v>
      </c>
      <c r="H1416" s="58" t="n">
        <v>0</v>
      </c>
      <c r="I1416" s="58" t="n">
        <v>254.85</v>
      </c>
      <c r="J1416" s="32" t="n">
        <f aca="false">IF(E1416&gt;0,F1416/E1416,0)</f>
        <v>0</v>
      </c>
      <c r="K1416" s="32" t="n">
        <f aca="false">IF(G1416&gt;0,H1416/G1416,0)</f>
        <v>-0</v>
      </c>
      <c r="L1416" s="59" t="n">
        <f aca="false">H1416/Settings!$B$16</f>
        <v>-0</v>
      </c>
      <c r="M1416" s="59" t="n">
        <f aca="false">H1416/Settings!$B$20</f>
        <v>-0</v>
      </c>
      <c r="N1416" s="60" t="n">
        <f aca="false">E1416*Settings!$B$3</f>
        <v>0.0929584532394613</v>
      </c>
      <c r="O1416" s="60" t="n">
        <f aca="false">IF(E1416&gt;0,(F1416-N1416)/SQRT(E1416*Settings!$B$3*(1-Settings!$B$3)),0)</f>
        <v>-0.30972727558513</v>
      </c>
      <c r="P1416" s="60" t="n">
        <f aca="false">MAX(0,F1416-N1416)</f>
        <v>0</v>
      </c>
      <c r="Q1416" s="32" t="n">
        <f aca="false">(F1416+Settings!$B$7*Settings!$B$3)/(E1416+Settings!$B$7)</f>
        <v>0.0281692282543822</v>
      </c>
      <c r="R1416" s="61" t="n">
        <f aca="false">PERCENTRANK($H$2:$H$1780,H1416,6)</f>
        <v>0</v>
      </c>
      <c r="S1416" s="61" t="n">
        <f aca="false">PERCENTRANK($Q$2:$Q$1780,Q1416,6)</f>
        <v>0.294151</v>
      </c>
      <c r="T1416" s="61" t="n">
        <f aca="false">PERCENTRANK($F$2:$F$1780,F1416,6)</f>
        <v>0</v>
      </c>
      <c r="U1416" s="62" t="n">
        <f aca="false">IF(F1416&gt;0,(Settings!$B$8*T1416+Settings!$B$9*R1416+Settings!$B$10*S1416)/SUM(Settings!$B$8:$B$10),0)</f>
        <v>0</v>
      </c>
      <c r="V1416" s="56" t="str">
        <f aca="false">IF(U1416&gt;0,RANK(U1416,$U$2:$U$1780)+COUNTIF($U$2:U1416,U1416)-1,"")</f>
        <v/>
      </c>
      <c r="W1416" s="56" t="str">
        <f aca="false">IF(V1416="","",IF(V1416&lt;=Settings!$B$11,"1 - Fix first",IF(V1416&lt;=Settings!$B$12,"2 - Review","3 - Monitor")))</f>
        <v/>
      </c>
      <c r="X1416" s="56" t="str">
        <f aca="false">IF(AND(E1416&gt;=Settings!$B$4,F1416&gt;=Settings!$B$5,O1416&gt;=Settings!$B$6),"HIGH RATE","")</f>
        <v/>
      </c>
      <c r="Y1416" s="56" t="str">
        <f aca="false">IF(F1416&gt;0,RANK(F1416,$F$2:$F$1780)+COUNTIF($F$2:F1416,F1416)-1,"")</f>
        <v/>
      </c>
      <c r="Z1416" s="56" t="str">
        <f aca="false">IF(H1416&gt;0,RANK(H1416,$H$2:$H$1780)+COUNTIF($H$2:H1416,H1416)-1,"")</f>
        <v/>
      </c>
      <c r="AA1416" s="56" t="str">
        <f aca="false">IF(AC1416="","",RANK(AC1416,$AC$2:$AC$1780)+COUNTIF($AC$2:AC1416,AC1416)-1)</f>
        <v/>
      </c>
      <c r="AB1416" s="56" t="str">
        <f aca="false">IF(AD1416="","",RANK(AD1416,$AD$2:$AD$1780)+COUNTIF($AD$2:AD1416,AD1416)-1)</f>
        <v/>
      </c>
      <c r="AC1416" s="56" t="str">
        <f aca="false">IF(AND(F1416&gt;0,E1416&gt;=Settings!$B$4),J1416,"")</f>
        <v/>
      </c>
      <c r="AD1416" s="56" t="str">
        <f aca="false">IF(X1416="HIGH RATE",O1416,"")</f>
        <v/>
      </c>
    </row>
    <row r="1417" customFormat="false" ht="15" hidden="false" customHeight="false" outlineLevel="0" collapsed="false">
      <c r="A1417" s="56" t="s">
        <v>2822</v>
      </c>
      <c r="B1417" s="56" t="s">
        <v>1438</v>
      </c>
      <c r="C1417" s="56" t="s">
        <v>87</v>
      </c>
      <c r="D1417" s="56" t="str">
        <f aca="false">IFERROR(INDEX('Brand Map'!$B$4:$B$124,MATCH(C1417,'Brand Map'!$A$4:$A$124,0)),"Other")</f>
        <v>FYF</v>
      </c>
      <c r="E1417" s="57" t="n">
        <v>2</v>
      </c>
      <c r="F1417" s="57" t="n">
        <v>0</v>
      </c>
      <c r="G1417" s="58" t="n">
        <v>209.9</v>
      </c>
      <c r="H1417" s="58" t="n">
        <v>0</v>
      </c>
      <c r="I1417" s="58" t="n">
        <v>209.9</v>
      </c>
      <c r="J1417" s="32" t="n">
        <f aca="false">IF(E1417&gt;0,F1417/E1417,0)</f>
        <v>0</v>
      </c>
      <c r="K1417" s="32" t="n">
        <f aca="false">IF(G1417&gt;0,H1417/G1417,0)</f>
        <v>-0</v>
      </c>
      <c r="L1417" s="59" t="n">
        <f aca="false">H1417/Settings!$B$16</f>
        <v>-0</v>
      </c>
      <c r="M1417" s="59" t="n">
        <f aca="false">H1417/Settings!$B$20</f>
        <v>-0</v>
      </c>
      <c r="N1417" s="60" t="n">
        <f aca="false">E1417*Settings!$B$3</f>
        <v>0.0619723021596408</v>
      </c>
      <c r="O1417" s="60" t="n">
        <f aca="false">IF(E1417&gt;0,(F1417-N1417)/SQRT(E1417*Settings!$B$3*(1-Settings!$B$3)),0)</f>
        <v>-0.252891261535318</v>
      </c>
      <c r="P1417" s="60" t="n">
        <f aca="false">MAX(0,F1417-N1417)</f>
        <v>0</v>
      </c>
      <c r="Q1417" s="32" t="n">
        <f aca="false">(F1417+Settings!$B$7*Settings!$B$3)/(E1417+Settings!$B$7)</f>
        <v>0.0290495166373316</v>
      </c>
      <c r="R1417" s="61" t="n">
        <f aca="false">PERCENTRANK($H$2:$H$1780,H1417,6)</f>
        <v>0</v>
      </c>
      <c r="S1417" s="61" t="n">
        <f aca="false">PERCENTRANK($Q$2:$Q$1780,Q1417,6)</f>
        <v>0.365579</v>
      </c>
      <c r="T1417" s="61" t="n">
        <f aca="false">PERCENTRANK($F$2:$F$1780,F1417,6)</f>
        <v>0</v>
      </c>
      <c r="U1417" s="62" t="n">
        <f aca="false">IF(F1417&gt;0,(Settings!$B$8*T1417+Settings!$B$9*R1417+Settings!$B$10*S1417)/SUM(Settings!$B$8:$B$10),0)</f>
        <v>0</v>
      </c>
      <c r="V1417" s="56" t="str">
        <f aca="false">IF(U1417&gt;0,RANK(U1417,$U$2:$U$1780)+COUNTIF($U$2:U1417,U1417)-1,"")</f>
        <v/>
      </c>
      <c r="W1417" s="56" t="str">
        <f aca="false">IF(V1417="","",IF(V1417&lt;=Settings!$B$11,"1 - Fix first",IF(V1417&lt;=Settings!$B$12,"2 - Review","3 - Monitor")))</f>
        <v/>
      </c>
      <c r="X1417" s="56" t="str">
        <f aca="false">IF(AND(E1417&gt;=Settings!$B$4,F1417&gt;=Settings!$B$5,O1417&gt;=Settings!$B$6),"HIGH RATE","")</f>
        <v/>
      </c>
      <c r="Y1417" s="56" t="str">
        <f aca="false">IF(F1417&gt;0,RANK(F1417,$F$2:$F$1780)+COUNTIF($F$2:F1417,F1417)-1,"")</f>
        <v/>
      </c>
      <c r="Z1417" s="56" t="str">
        <f aca="false">IF(H1417&gt;0,RANK(H1417,$H$2:$H$1780)+COUNTIF($H$2:H1417,H1417)-1,"")</f>
        <v/>
      </c>
      <c r="AA1417" s="56" t="str">
        <f aca="false">IF(AC1417="","",RANK(AC1417,$AC$2:$AC$1780)+COUNTIF($AC$2:AC1417,AC1417)-1)</f>
        <v/>
      </c>
      <c r="AB1417" s="56" t="str">
        <f aca="false">IF(AD1417="","",RANK(AD1417,$AD$2:$AD$1780)+COUNTIF($AD$2:AD1417,AD1417)-1)</f>
        <v/>
      </c>
      <c r="AC1417" s="56" t="str">
        <f aca="false">IF(AND(F1417&gt;0,E1417&gt;=Settings!$B$4),J1417,"")</f>
        <v/>
      </c>
      <c r="AD1417" s="56" t="str">
        <f aca="false">IF(X1417="HIGH RATE",O1417,"")</f>
        <v/>
      </c>
    </row>
    <row r="1418" customFormat="false" ht="15" hidden="false" customHeight="false" outlineLevel="0" collapsed="false">
      <c r="A1418" s="56" t="s">
        <v>2823</v>
      </c>
      <c r="B1418" s="56" t="s">
        <v>1438</v>
      </c>
      <c r="C1418" s="56" t="s">
        <v>87</v>
      </c>
      <c r="D1418" s="56" t="str">
        <f aca="false">IFERROR(INDEX('Brand Map'!$B$4:$B$124,MATCH(C1418,'Brand Map'!$A$4:$A$124,0)),"Other")</f>
        <v>FYF</v>
      </c>
      <c r="E1418" s="57" t="n">
        <v>2</v>
      </c>
      <c r="F1418" s="57" t="n">
        <v>0</v>
      </c>
      <c r="G1418" s="58" t="n">
        <v>229.9</v>
      </c>
      <c r="H1418" s="58" t="n">
        <v>0</v>
      </c>
      <c r="I1418" s="58" t="n">
        <v>229.9</v>
      </c>
      <c r="J1418" s="32" t="n">
        <f aca="false">IF(E1418&gt;0,F1418/E1418,0)</f>
        <v>0</v>
      </c>
      <c r="K1418" s="32" t="n">
        <f aca="false">IF(G1418&gt;0,H1418/G1418,0)</f>
        <v>-0</v>
      </c>
      <c r="L1418" s="59" t="n">
        <f aca="false">H1418/Settings!$B$16</f>
        <v>-0</v>
      </c>
      <c r="M1418" s="59" t="n">
        <f aca="false">H1418/Settings!$B$20</f>
        <v>-0</v>
      </c>
      <c r="N1418" s="60" t="n">
        <f aca="false">E1418*Settings!$B$3</f>
        <v>0.0619723021596408</v>
      </c>
      <c r="O1418" s="60" t="n">
        <f aca="false">IF(E1418&gt;0,(F1418-N1418)/SQRT(E1418*Settings!$B$3*(1-Settings!$B$3)),0)</f>
        <v>-0.252891261535318</v>
      </c>
      <c r="P1418" s="60" t="n">
        <f aca="false">MAX(0,F1418-N1418)</f>
        <v>0</v>
      </c>
      <c r="Q1418" s="32" t="n">
        <f aca="false">(F1418+Settings!$B$7*Settings!$B$3)/(E1418+Settings!$B$7)</f>
        <v>0.0290495166373316</v>
      </c>
      <c r="R1418" s="61" t="n">
        <f aca="false">PERCENTRANK($H$2:$H$1780,H1418,6)</f>
        <v>0</v>
      </c>
      <c r="S1418" s="61" t="n">
        <f aca="false">PERCENTRANK($Q$2:$Q$1780,Q1418,6)</f>
        <v>0.365579</v>
      </c>
      <c r="T1418" s="61" t="n">
        <f aca="false">PERCENTRANK($F$2:$F$1780,F1418,6)</f>
        <v>0</v>
      </c>
      <c r="U1418" s="62" t="n">
        <f aca="false">IF(F1418&gt;0,(Settings!$B$8*T1418+Settings!$B$9*R1418+Settings!$B$10*S1418)/SUM(Settings!$B$8:$B$10),0)</f>
        <v>0</v>
      </c>
      <c r="V1418" s="56" t="str">
        <f aca="false">IF(U1418&gt;0,RANK(U1418,$U$2:$U$1780)+COUNTIF($U$2:U1418,U1418)-1,"")</f>
        <v/>
      </c>
      <c r="W1418" s="56" t="str">
        <f aca="false">IF(V1418="","",IF(V1418&lt;=Settings!$B$11,"1 - Fix first",IF(V1418&lt;=Settings!$B$12,"2 - Review","3 - Monitor")))</f>
        <v/>
      </c>
      <c r="X1418" s="56" t="str">
        <f aca="false">IF(AND(E1418&gt;=Settings!$B$4,F1418&gt;=Settings!$B$5,O1418&gt;=Settings!$B$6),"HIGH RATE","")</f>
        <v/>
      </c>
      <c r="Y1418" s="56" t="str">
        <f aca="false">IF(F1418&gt;0,RANK(F1418,$F$2:$F$1780)+COUNTIF($F$2:F1418,F1418)-1,"")</f>
        <v/>
      </c>
      <c r="Z1418" s="56" t="str">
        <f aca="false">IF(H1418&gt;0,RANK(H1418,$H$2:$H$1780)+COUNTIF($H$2:H1418,H1418)-1,"")</f>
        <v/>
      </c>
      <c r="AA1418" s="56" t="str">
        <f aca="false">IF(AC1418="","",RANK(AC1418,$AC$2:$AC$1780)+COUNTIF($AC$2:AC1418,AC1418)-1)</f>
        <v/>
      </c>
      <c r="AB1418" s="56" t="str">
        <f aca="false">IF(AD1418="","",RANK(AD1418,$AD$2:$AD$1780)+COUNTIF($AD$2:AD1418,AD1418)-1)</f>
        <v/>
      </c>
      <c r="AC1418" s="56" t="str">
        <f aca="false">IF(AND(F1418&gt;0,E1418&gt;=Settings!$B$4),J1418,"")</f>
        <v/>
      </c>
      <c r="AD1418" s="56" t="str">
        <f aca="false">IF(X1418="HIGH RATE",O1418,"")</f>
        <v/>
      </c>
    </row>
    <row r="1419" customFormat="false" ht="15" hidden="false" customHeight="false" outlineLevel="0" collapsed="false">
      <c r="A1419" s="56" t="s">
        <v>2824</v>
      </c>
      <c r="B1419" s="56" t="s">
        <v>1438</v>
      </c>
      <c r="C1419" s="56" t="s">
        <v>87</v>
      </c>
      <c r="D1419" s="56" t="str">
        <f aca="false">IFERROR(INDEX('Brand Map'!$B$4:$B$124,MATCH(C1419,'Brand Map'!$A$4:$A$124,0)),"Other")</f>
        <v>FYF</v>
      </c>
      <c r="E1419" s="57" t="n">
        <v>4</v>
      </c>
      <c r="F1419" s="57" t="n">
        <v>0</v>
      </c>
      <c r="G1419" s="58" t="n">
        <v>459.8</v>
      </c>
      <c r="H1419" s="58" t="n">
        <v>0</v>
      </c>
      <c r="I1419" s="58" t="n">
        <v>459.8</v>
      </c>
      <c r="J1419" s="32" t="n">
        <f aca="false">IF(E1419&gt;0,F1419/E1419,0)</f>
        <v>0</v>
      </c>
      <c r="K1419" s="32" t="n">
        <f aca="false">IF(G1419&gt;0,H1419/G1419,0)</f>
        <v>-0</v>
      </c>
      <c r="L1419" s="59" t="n">
        <f aca="false">H1419/Settings!$B$16</f>
        <v>-0</v>
      </c>
      <c r="M1419" s="59" t="n">
        <f aca="false">H1419/Settings!$B$20</f>
        <v>-0</v>
      </c>
      <c r="N1419" s="60" t="n">
        <f aca="false">E1419*Settings!$B$3</f>
        <v>0.123944604319282</v>
      </c>
      <c r="O1419" s="60" t="n">
        <f aca="false">IF(E1419&gt;0,(F1419-N1419)/SQRT(E1419*Settings!$B$3*(1-Settings!$B$3)),0)</f>
        <v>-0.357642251868888</v>
      </c>
      <c r="P1419" s="60" t="n">
        <f aca="false">MAX(0,F1419-N1419)</f>
        <v>0</v>
      </c>
      <c r="Q1419" s="32" t="n">
        <f aca="false">(F1419+Settings!$B$7*Settings!$B$3)/(E1419+Settings!$B$7)</f>
        <v>0.027340721541018</v>
      </c>
      <c r="R1419" s="61" t="n">
        <f aca="false">PERCENTRANK($H$2:$H$1780,H1419,6)</f>
        <v>0</v>
      </c>
      <c r="S1419" s="61" t="n">
        <f aca="false">PERCENTRANK($Q$2:$Q$1780,Q1419,6)</f>
        <v>0.253656</v>
      </c>
      <c r="T1419" s="61" t="n">
        <f aca="false">PERCENTRANK($F$2:$F$1780,F1419,6)</f>
        <v>0</v>
      </c>
      <c r="U1419" s="62" t="n">
        <f aca="false">IF(F1419&gt;0,(Settings!$B$8*T1419+Settings!$B$9*R1419+Settings!$B$10*S1419)/SUM(Settings!$B$8:$B$10),0)</f>
        <v>0</v>
      </c>
      <c r="V1419" s="56" t="str">
        <f aca="false">IF(U1419&gt;0,RANK(U1419,$U$2:$U$1780)+COUNTIF($U$2:U1419,U1419)-1,"")</f>
        <v/>
      </c>
      <c r="W1419" s="56" t="str">
        <f aca="false">IF(V1419="","",IF(V1419&lt;=Settings!$B$11,"1 - Fix first",IF(V1419&lt;=Settings!$B$12,"2 - Review","3 - Monitor")))</f>
        <v/>
      </c>
      <c r="X1419" s="56" t="str">
        <f aca="false">IF(AND(E1419&gt;=Settings!$B$4,F1419&gt;=Settings!$B$5,O1419&gt;=Settings!$B$6),"HIGH RATE","")</f>
        <v/>
      </c>
      <c r="Y1419" s="56" t="str">
        <f aca="false">IF(F1419&gt;0,RANK(F1419,$F$2:$F$1780)+COUNTIF($F$2:F1419,F1419)-1,"")</f>
        <v/>
      </c>
      <c r="Z1419" s="56" t="str">
        <f aca="false">IF(H1419&gt;0,RANK(H1419,$H$2:$H$1780)+COUNTIF($H$2:H1419,H1419)-1,"")</f>
        <v/>
      </c>
      <c r="AA1419" s="56" t="str">
        <f aca="false">IF(AC1419="","",RANK(AC1419,$AC$2:$AC$1780)+COUNTIF($AC$2:AC1419,AC1419)-1)</f>
        <v/>
      </c>
      <c r="AB1419" s="56" t="str">
        <f aca="false">IF(AD1419="","",RANK(AD1419,$AD$2:$AD$1780)+COUNTIF($AD$2:AD1419,AD1419)-1)</f>
        <v/>
      </c>
      <c r="AC1419" s="56" t="str">
        <f aca="false">IF(AND(F1419&gt;0,E1419&gt;=Settings!$B$4),J1419,"")</f>
        <v/>
      </c>
      <c r="AD1419" s="56" t="str">
        <f aca="false">IF(X1419="HIGH RATE",O1419,"")</f>
        <v/>
      </c>
    </row>
    <row r="1420" customFormat="false" ht="15" hidden="false" customHeight="false" outlineLevel="0" collapsed="false">
      <c r="A1420" s="56" t="s">
        <v>2825</v>
      </c>
      <c r="B1420" s="56" t="s">
        <v>1438</v>
      </c>
      <c r="C1420" s="56" t="s">
        <v>87</v>
      </c>
      <c r="D1420" s="56" t="str">
        <f aca="false">IFERROR(INDEX('Brand Map'!$B$4:$B$124,MATCH(C1420,'Brand Map'!$A$4:$A$124,0)),"Other")</f>
        <v>FYF</v>
      </c>
      <c r="E1420" s="57" t="n">
        <v>2</v>
      </c>
      <c r="F1420" s="57" t="n">
        <v>0</v>
      </c>
      <c r="G1420" s="58" t="n">
        <v>249.9</v>
      </c>
      <c r="H1420" s="58" t="n">
        <v>0</v>
      </c>
      <c r="I1420" s="58" t="n">
        <v>249.9</v>
      </c>
      <c r="J1420" s="32" t="n">
        <f aca="false">IF(E1420&gt;0,F1420/E1420,0)</f>
        <v>0</v>
      </c>
      <c r="K1420" s="32" t="n">
        <f aca="false">IF(G1420&gt;0,H1420/G1420,0)</f>
        <v>-0</v>
      </c>
      <c r="L1420" s="59" t="n">
        <f aca="false">H1420/Settings!$B$16</f>
        <v>-0</v>
      </c>
      <c r="M1420" s="59" t="n">
        <f aca="false">H1420/Settings!$B$20</f>
        <v>-0</v>
      </c>
      <c r="N1420" s="60" t="n">
        <f aca="false">E1420*Settings!$B$3</f>
        <v>0.0619723021596408</v>
      </c>
      <c r="O1420" s="60" t="n">
        <f aca="false">IF(E1420&gt;0,(F1420-N1420)/SQRT(E1420*Settings!$B$3*(1-Settings!$B$3)),0)</f>
        <v>-0.252891261535318</v>
      </c>
      <c r="P1420" s="60" t="n">
        <f aca="false">MAX(0,F1420-N1420)</f>
        <v>0</v>
      </c>
      <c r="Q1420" s="32" t="n">
        <f aca="false">(F1420+Settings!$B$7*Settings!$B$3)/(E1420+Settings!$B$7)</f>
        <v>0.0290495166373316</v>
      </c>
      <c r="R1420" s="61" t="n">
        <f aca="false">PERCENTRANK($H$2:$H$1780,H1420,6)</f>
        <v>0</v>
      </c>
      <c r="S1420" s="61" t="n">
        <f aca="false">PERCENTRANK($Q$2:$Q$1780,Q1420,6)</f>
        <v>0.365579</v>
      </c>
      <c r="T1420" s="61" t="n">
        <f aca="false">PERCENTRANK($F$2:$F$1780,F1420,6)</f>
        <v>0</v>
      </c>
      <c r="U1420" s="62" t="n">
        <f aca="false">IF(F1420&gt;0,(Settings!$B$8*T1420+Settings!$B$9*R1420+Settings!$B$10*S1420)/SUM(Settings!$B$8:$B$10),0)</f>
        <v>0</v>
      </c>
      <c r="V1420" s="56" t="str">
        <f aca="false">IF(U1420&gt;0,RANK(U1420,$U$2:$U$1780)+COUNTIF($U$2:U1420,U1420)-1,"")</f>
        <v/>
      </c>
      <c r="W1420" s="56" t="str">
        <f aca="false">IF(V1420="","",IF(V1420&lt;=Settings!$B$11,"1 - Fix first",IF(V1420&lt;=Settings!$B$12,"2 - Review","3 - Monitor")))</f>
        <v/>
      </c>
      <c r="X1420" s="56" t="str">
        <f aca="false">IF(AND(E1420&gt;=Settings!$B$4,F1420&gt;=Settings!$B$5,O1420&gt;=Settings!$B$6),"HIGH RATE","")</f>
        <v/>
      </c>
      <c r="Y1420" s="56" t="str">
        <f aca="false">IF(F1420&gt;0,RANK(F1420,$F$2:$F$1780)+COUNTIF($F$2:F1420,F1420)-1,"")</f>
        <v/>
      </c>
      <c r="Z1420" s="56" t="str">
        <f aca="false">IF(H1420&gt;0,RANK(H1420,$H$2:$H$1780)+COUNTIF($H$2:H1420,H1420)-1,"")</f>
        <v/>
      </c>
      <c r="AA1420" s="56" t="str">
        <f aca="false">IF(AC1420="","",RANK(AC1420,$AC$2:$AC$1780)+COUNTIF($AC$2:AC1420,AC1420)-1)</f>
        <v/>
      </c>
      <c r="AB1420" s="56" t="str">
        <f aca="false">IF(AD1420="","",RANK(AD1420,$AD$2:$AD$1780)+COUNTIF($AD$2:AD1420,AD1420)-1)</f>
        <v/>
      </c>
      <c r="AC1420" s="56" t="str">
        <f aca="false">IF(AND(F1420&gt;0,E1420&gt;=Settings!$B$4),J1420,"")</f>
        <v/>
      </c>
      <c r="AD1420" s="56" t="str">
        <f aca="false">IF(X1420="HIGH RATE",O1420,"")</f>
        <v/>
      </c>
    </row>
    <row r="1421" customFormat="false" ht="15" hidden="false" customHeight="false" outlineLevel="0" collapsed="false">
      <c r="A1421" s="56" t="s">
        <v>2826</v>
      </c>
      <c r="B1421" s="56" t="s">
        <v>2827</v>
      </c>
      <c r="C1421" s="56" t="s">
        <v>87</v>
      </c>
      <c r="D1421" s="56" t="str">
        <f aca="false">IFERROR(INDEX('Brand Map'!$B$4:$B$124,MATCH(C1421,'Brand Map'!$A$4:$A$124,0)),"Other")</f>
        <v>FYF</v>
      </c>
      <c r="E1421" s="57" t="n">
        <v>4</v>
      </c>
      <c r="F1421" s="57" t="n">
        <v>0</v>
      </c>
      <c r="G1421" s="58" t="n">
        <v>519.8</v>
      </c>
      <c r="H1421" s="58" t="n">
        <v>0</v>
      </c>
      <c r="I1421" s="58" t="n">
        <v>519.8</v>
      </c>
      <c r="J1421" s="32" t="n">
        <f aca="false">IF(E1421&gt;0,F1421/E1421,0)</f>
        <v>0</v>
      </c>
      <c r="K1421" s="32" t="n">
        <f aca="false">IF(G1421&gt;0,H1421/G1421,0)</f>
        <v>-0</v>
      </c>
      <c r="L1421" s="59" t="n">
        <f aca="false">H1421/Settings!$B$16</f>
        <v>-0</v>
      </c>
      <c r="M1421" s="59" t="n">
        <f aca="false">H1421/Settings!$B$20</f>
        <v>-0</v>
      </c>
      <c r="N1421" s="60" t="n">
        <f aca="false">E1421*Settings!$B$3</f>
        <v>0.123944604319282</v>
      </c>
      <c r="O1421" s="60" t="n">
        <f aca="false">IF(E1421&gt;0,(F1421-N1421)/SQRT(E1421*Settings!$B$3*(1-Settings!$B$3)),0)</f>
        <v>-0.357642251868888</v>
      </c>
      <c r="P1421" s="60" t="n">
        <f aca="false">MAX(0,F1421-N1421)</f>
        <v>0</v>
      </c>
      <c r="Q1421" s="32" t="n">
        <f aca="false">(F1421+Settings!$B$7*Settings!$B$3)/(E1421+Settings!$B$7)</f>
        <v>0.027340721541018</v>
      </c>
      <c r="R1421" s="61" t="n">
        <f aca="false">PERCENTRANK($H$2:$H$1780,H1421,6)</f>
        <v>0</v>
      </c>
      <c r="S1421" s="61" t="n">
        <f aca="false">PERCENTRANK($Q$2:$Q$1780,Q1421,6)</f>
        <v>0.253656</v>
      </c>
      <c r="T1421" s="61" t="n">
        <f aca="false">PERCENTRANK($F$2:$F$1780,F1421,6)</f>
        <v>0</v>
      </c>
      <c r="U1421" s="62" t="n">
        <f aca="false">IF(F1421&gt;0,(Settings!$B$8*T1421+Settings!$B$9*R1421+Settings!$B$10*S1421)/SUM(Settings!$B$8:$B$10),0)</f>
        <v>0</v>
      </c>
      <c r="V1421" s="56" t="str">
        <f aca="false">IF(U1421&gt;0,RANK(U1421,$U$2:$U$1780)+COUNTIF($U$2:U1421,U1421)-1,"")</f>
        <v/>
      </c>
      <c r="W1421" s="56" t="str">
        <f aca="false">IF(V1421="","",IF(V1421&lt;=Settings!$B$11,"1 - Fix first",IF(V1421&lt;=Settings!$B$12,"2 - Review","3 - Monitor")))</f>
        <v/>
      </c>
      <c r="X1421" s="56" t="str">
        <f aca="false">IF(AND(E1421&gt;=Settings!$B$4,F1421&gt;=Settings!$B$5,O1421&gt;=Settings!$B$6),"HIGH RATE","")</f>
        <v/>
      </c>
      <c r="Y1421" s="56" t="str">
        <f aca="false">IF(F1421&gt;0,RANK(F1421,$F$2:$F$1780)+COUNTIF($F$2:F1421,F1421)-1,"")</f>
        <v/>
      </c>
      <c r="Z1421" s="56" t="str">
        <f aca="false">IF(H1421&gt;0,RANK(H1421,$H$2:$H$1780)+COUNTIF($H$2:H1421,H1421)-1,"")</f>
        <v/>
      </c>
      <c r="AA1421" s="56" t="str">
        <f aca="false">IF(AC1421="","",RANK(AC1421,$AC$2:$AC$1780)+COUNTIF($AC$2:AC1421,AC1421)-1)</f>
        <v/>
      </c>
      <c r="AB1421" s="56" t="str">
        <f aca="false">IF(AD1421="","",RANK(AD1421,$AD$2:$AD$1780)+COUNTIF($AD$2:AD1421,AD1421)-1)</f>
        <v/>
      </c>
      <c r="AC1421" s="56" t="str">
        <f aca="false">IF(AND(F1421&gt;0,E1421&gt;=Settings!$B$4),J1421,"")</f>
        <v/>
      </c>
      <c r="AD1421" s="56" t="str">
        <f aca="false">IF(X1421="HIGH RATE",O1421,"")</f>
        <v/>
      </c>
    </row>
    <row r="1422" customFormat="false" ht="15" hidden="false" customHeight="false" outlineLevel="0" collapsed="false">
      <c r="A1422" s="56" t="s">
        <v>2828</v>
      </c>
      <c r="B1422" s="56" t="s">
        <v>2827</v>
      </c>
      <c r="C1422" s="56" t="s">
        <v>87</v>
      </c>
      <c r="D1422" s="56" t="str">
        <f aca="false">IFERROR(INDEX('Brand Map'!$B$4:$B$124,MATCH(C1422,'Brand Map'!$A$4:$A$124,0)),"Other")</f>
        <v>FYF</v>
      </c>
      <c r="E1422" s="57" t="n">
        <v>2</v>
      </c>
      <c r="F1422" s="57" t="n">
        <v>0</v>
      </c>
      <c r="G1422" s="58" t="n">
        <v>309.9</v>
      </c>
      <c r="H1422" s="58" t="n">
        <v>0</v>
      </c>
      <c r="I1422" s="58" t="n">
        <v>309.9</v>
      </c>
      <c r="J1422" s="32" t="n">
        <f aca="false">IF(E1422&gt;0,F1422/E1422,0)</f>
        <v>0</v>
      </c>
      <c r="K1422" s="32" t="n">
        <f aca="false">IF(G1422&gt;0,H1422/G1422,0)</f>
        <v>-0</v>
      </c>
      <c r="L1422" s="59" t="n">
        <f aca="false">H1422/Settings!$B$16</f>
        <v>-0</v>
      </c>
      <c r="M1422" s="59" t="n">
        <f aca="false">H1422/Settings!$B$20</f>
        <v>-0</v>
      </c>
      <c r="N1422" s="60" t="n">
        <f aca="false">E1422*Settings!$B$3</f>
        <v>0.0619723021596408</v>
      </c>
      <c r="O1422" s="60" t="n">
        <f aca="false">IF(E1422&gt;0,(F1422-N1422)/SQRT(E1422*Settings!$B$3*(1-Settings!$B$3)),0)</f>
        <v>-0.252891261535318</v>
      </c>
      <c r="P1422" s="60" t="n">
        <f aca="false">MAX(0,F1422-N1422)</f>
        <v>0</v>
      </c>
      <c r="Q1422" s="32" t="n">
        <f aca="false">(F1422+Settings!$B$7*Settings!$B$3)/(E1422+Settings!$B$7)</f>
        <v>0.0290495166373316</v>
      </c>
      <c r="R1422" s="61" t="n">
        <f aca="false">PERCENTRANK($H$2:$H$1780,H1422,6)</f>
        <v>0</v>
      </c>
      <c r="S1422" s="61" t="n">
        <f aca="false">PERCENTRANK($Q$2:$Q$1780,Q1422,6)</f>
        <v>0.365579</v>
      </c>
      <c r="T1422" s="61" t="n">
        <f aca="false">PERCENTRANK($F$2:$F$1780,F1422,6)</f>
        <v>0</v>
      </c>
      <c r="U1422" s="62" t="n">
        <f aca="false">IF(F1422&gt;0,(Settings!$B$8*T1422+Settings!$B$9*R1422+Settings!$B$10*S1422)/SUM(Settings!$B$8:$B$10),0)</f>
        <v>0</v>
      </c>
      <c r="V1422" s="56" t="str">
        <f aca="false">IF(U1422&gt;0,RANK(U1422,$U$2:$U$1780)+COUNTIF($U$2:U1422,U1422)-1,"")</f>
        <v/>
      </c>
      <c r="W1422" s="56" t="str">
        <f aca="false">IF(V1422="","",IF(V1422&lt;=Settings!$B$11,"1 - Fix first",IF(V1422&lt;=Settings!$B$12,"2 - Review","3 - Monitor")))</f>
        <v/>
      </c>
      <c r="X1422" s="56" t="str">
        <f aca="false">IF(AND(E1422&gt;=Settings!$B$4,F1422&gt;=Settings!$B$5,O1422&gt;=Settings!$B$6),"HIGH RATE","")</f>
        <v/>
      </c>
      <c r="Y1422" s="56" t="str">
        <f aca="false">IF(F1422&gt;0,RANK(F1422,$F$2:$F$1780)+COUNTIF($F$2:F1422,F1422)-1,"")</f>
        <v/>
      </c>
      <c r="Z1422" s="56" t="str">
        <f aca="false">IF(H1422&gt;0,RANK(H1422,$H$2:$H$1780)+COUNTIF($H$2:H1422,H1422)-1,"")</f>
        <v/>
      </c>
      <c r="AA1422" s="56" t="str">
        <f aca="false">IF(AC1422="","",RANK(AC1422,$AC$2:$AC$1780)+COUNTIF($AC$2:AC1422,AC1422)-1)</f>
        <v/>
      </c>
      <c r="AB1422" s="56" t="str">
        <f aca="false">IF(AD1422="","",RANK(AD1422,$AD$2:$AD$1780)+COUNTIF($AD$2:AD1422,AD1422)-1)</f>
        <v/>
      </c>
      <c r="AC1422" s="56" t="str">
        <f aca="false">IF(AND(F1422&gt;0,E1422&gt;=Settings!$B$4),J1422,"")</f>
        <v/>
      </c>
      <c r="AD1422" s="56" t="str">
        <f aca="false">IF(X1422="HIGH RATE",O1422,"")</f>
        <v/>
      </c>
    </row>
    <row r="1423" customFormat="false" ht="15" hidden="false" customHeight="false" outlineLevel="0" collapsed="false">
      <c r="A1423" s="56" t="s">
        <v>2829</v>
      </c>
      <c r="B1423" s="56" t="s">
        <v>2830</v>
      </c>
      <c r="C1423" s="56" t="s">
        <v>87</v>
      </c>
      <c r="D1423" s="56" t="str">
        <f aca="false">IFERROR(INDEX('Brand Map'!$B$4:$B$124,MATCH(C1423,'Brand Map'!$A$4:$A$124,0)),"Other")</f>
        <v>FYF</v>
      </c>
      <c r="E1423" s="57" t="n">
        <v>1</v>
      </c>
      <c r="F1423" s="57" t="n">
        <v>0</v>
      </c>
      <c r="G1423" s="58" t="n">
        <v>124.95</v>
      </c>
      <c r="H1423" s="58" t="n">
        <v>0</v>
      </c>
      <c r="I1423" s="58" t="n">
        <v>124.95</v>
      </c>
      <c r="J1423" s="32" t="n">
        <f aca="false">IF(E1423&gt;0,F1423/E1423,0)</f>
        <v>0</v>
      </c>
      <c r="K1423" s="32" t="n">
        <f aca="false">IF(G1423&gt;0,H1423/G1423,0)</f>
        <v>-0</v>
      </c>
      <c r="L1423" s="59" t="n">
        <f aca="false">H1423/Settings!$B$16</f>
        <v>-0</v>
      </c>
      <c r="M1423" s="59" t="n">
        <f aca="false">H1423/Settings!$B$20</f>
        <v>-0</v>
      </c>
      <c r="N1423" s="60" t="n">
        <f aca="false">E1423*Settings!$B$3</f>
        <v>0.0309861510798204</v>
      </c>
      <c r="O1423" s="60" t="n">
        <f aca="false">IF(E1423&gt;0,(F1423-N1423)/SQRT(E1423*Settings!$B$3*(1-Settings!$B$3)),0)</f>
        <v>-0.178821125934444</v>
      </c>
      <c r="P1423" s="60" t="n">
        <f aca="false">MAX(0,F1423-N1423)</f>
        <v>0</v>
      </c>
      <c r="Q1423" s="32" t="n">
        <f aca="false">(F1423+Settings!$B$7*Settings!$B$3)/(E1423+Settings!$B$7)</f>
        <v>0.0299865978191811</v>
      </c>
      <c r="R1423" s="61" t="n">
        <f aca="false">PERCENTRANK($H$2:$H$1780,H1423,6)</f>
        <v>0</v>
      </c>
      <c r="S1423" s="61" t="n">
        <f aca="false">PERCENTRANK($Q$2:$Q$1780,Q1423,6)</f>
        <v>0.486502</v>
      </c>
      <c r="T1423" s="61" t="n">
        <f aca="false">PERCENTRANK($F$2:$F$1780,F1423,6)</f>
        <v>0</v>
      </c>
      <c r="U1423" s="62" t="n">
        <f aca="false">IF(F1423&gt;0,(Settings!$B$8*T1423+Settings!$B$9*R1423+Settings!$B$10*S1423)/SUM(Settings!$B$8:$B$10),0)</f>
        <v>0</v>
      </c>
      <c r="V1423" s="56" t="str">
        <f aca="false">IF(U1423&gt;0,RANK(U1423,$U$2:$U$1780)+COUNTIF($U$2:U1423,U1423)-1,"")</f>
        <v/>
      </c>
      <c r="W1423" s="56" t="str">
        <f aca="false">IF(V1423="","",IF(V1423&lt;=Settings!$B$11,"1 - Fix first",IF(V1423&lt;=Settings!$B$12,"2 - Review","3 - Monitor")))</f>
        <v/>
      </c>
      <c r="X1423" s="56" t="str">
        <f aca="false">IF(AND(E1423&gt;=Settings!$B$4,F1423&gt;=Settings!$B$5,O1423&gt;=Settings!$B$6),"HIGH RATE","")</f>
        <v/>
      </c>
      <c r="Y1423" s="56" t="str">
        <f aca="false">IF(F1423&gt;0,RANK(F1423,$F$2:$F$1780)+COUNTIF($F$2:F1423,F1423)-1,"")</f>
        <v/>
      </c>
      <c r="Z1423" s="56" t="str">
        <f aca="false">IF(H1423&gt;0,RANK(H1423,$H$2:$H$1780)+COUNTIF($H$2:H1423,H1423)-1,"")</f>
        <v/>
      </c>
      <c r="AA1423" s="56" t="str">
        <f aca="false">IF(AC1423="","",RANK(AC1423,$AC$2:$AC$1780)+COUNTIF($AC$2:AC1423,AC1423)-1)</f>
        <v/>
      </c>
      <c r="AB1423" s="56" t="str">
        <f aca="false">IF(AD1423="","",RANK(AD1423,$AD$2:$AD$1780)+COUNTIF($AD$2:AD1423,AD1423)-1)</f>
        <v/>
      </c>
      <c r="AC1423" s="56" t="str">
        <f aca="false">IF(AND(F1423&gt;0,E1423&gt;=Settings!$B$4),J1423,"")</f>
        <v/>
      </c>
      <c r="AD1423" s="56" t="str">
        <f aca="false">IF(X1423="HIGH RATE",O1423,"")</f>
        <v/>
      </c>
    </row>
    <row r="1424" customFormat="false" ht="15" hidden="false" customHeight="false" outlineLevel="0" collapsed="false">
      <c r="A1424" s="56" t="s">
        <v>2831</v>
      </c>
      <c r="B1424" s="56" t="s">
        <v>1367</v>
      </c>
      <c r="C1424" s="56" t="s">
        <v>87</v>
      </c>
      <c r="D1424" s="56" t="str">
        <f aca="false">IFERROR(INDEX('Brand Map'!$B$4:$B$124,MATCH(C1424,'Brand Map'!$A$4:$A$124,0)),"Other")</f>
        <v>FYF</v>
      </c>
      <c r="E1424" s="57" t="n">
        <v>12</v>
      </c>
      <c r="F1424" s="57" t="n">
        <v>0</v>
      </c>
      <c r="G1424" s="58" t="n">
        <v>1379.4</v>
      </c>
      <c r="H1424" s="58" t="n">
        <v>0</v>
      </c>
      <c r="I1424" s="58" t="n">
        <v>1379.4</v>
      </c>
      <c r="J1424" s="32" t="n">
        <f aca="false">IF(E1424&gt;0,F1424/E1424,0)</f>
        <v>0</v>
      </c>
      <c r="K1424" s="32" t="n">
        <f aca="false">IF(G1424&gt;0,H1424/G1424,0)</f>
        <v>-0</v>
      </c>
      <c r="L1424" s="59" t="n">
        <f aca="false">H1424/Settings!$B$16</f>
        <v>-0</v>
      </c>
      <c r="M1424" s="59" t="n">
        <f aca="false">H1424/Settings!$B$20</f>
        <v>-0</v>
      </c>
      <c r="N1424" s="60" t="n">
        <f aca="false">E1424*Settings!$B$3</f>
        <v>0.371833812957845</v>
      </c>
      <c r="O1424" s="60" t="n">
        <f aca="false">IF(E1424&gt;0,(F1424-N1424)/SQRT(E1424*Settings!$B$3*(1-Settings!$B$3)),0)</f>
        <v>-0.61945455117026</v>
      </c>
      <c r="P1424" s="60" t="n">
        <f aca="false">MAX(0,F1424-N1424)</f>
        <v>0</v>
      </c>
      <c r="Q1424" s="32" t="n">
        <f aca="false">(F1424+Settings!$B$7*Settings!$B$3)/(E1424+Settings!$B$7)</f>
        <v>0.0221329650570146</v>
      </c>
      <c r="R1424" s="61" t="n">
        <f aca="false">PERCENTRANK($H$2:$H$1780,H1424,6)</f>
        <v>0</v>
      </c>
      <c r="S1424" s="61" t="n">
        <f aca="false">PERCENTRANK($Q$2:$Q$1780,Q1424,6)</f>
        <v>0.109674</v>
      </c>
      <c r="T1424" s="61" t="n">
        <f aca="false">PERCENTRANK($F$2:$F$1780,F1424,6)</f>
        <v>0</v>
      </c>
      <c r="U1424" s="62" t="n">
        <f aca="false">IF(F1424&gt;0,(Settings!$B$8*T1424+Settings!$B$9*R1424+Settings!$B$10*S1424)/SUM(Settings!$B$8:$B$10),0)</f>
        <v>0</v>
      </c>
      <c r="V1424" s="56" t="str">
        <f aca="false">IF(U1424&gt;0,RANK(U1424,$U$2:$U$1780)+COUNTIF($U$2:U1424,U1424)-1,"")</f>
        <v/>
      </c>
      <c r="W1424" s="56" t="str">
        <f aca="false">IF(V1424="","",IF(V1424&lt;=Settings!$B$11,"1 - Fix first",IF(V1424&lt;=Settings!$B$12,"2 - Review","3 - Monitor")))</f>
        <v/>
      </c>
      <c r="X1424" s="56" t="str">
        <f aca="false">IF(AND(E1424&gt;=Settings!$B$4,F1424&gt;=Settings!$B$5,O1424&gt;=Settings!$B$6),"HIGH RATE","")</f>
        <v/>
      </c>
      <c r="Y1424" s="56" t="str">
        <f aca="false">IF(F1424&gt;0,RANK(F1424,$F$2:$F$1780)+COUNTIF($F$2:F1424,F1424)-1,"")</f>
        <v/>
      </c>
      <c r="Z1424" s="56" t="str">
        <f aca="false">IF(H1424&gt;0,RANK(H1424,$H$2:$H$1780)+COUNTIF($H$2:H1424,H1424)-1,"")</f>
        <v/>
      </c>
      <c r="AA1424" s="56" t="str">
        <f aca="false">IF(AC1424="","",RANK(AC1424,$AC$2:$AC$1780)+COUNTIF($AC$2:AC1424,AC1424)-1)</f>
        <v/>
      </c>
      <c r="AB1424" s="56" t="str">
        <f aca="false">IF(AD1424="","",RANK(AD1424,$AD$2:$AD$1780)+COUNTIF($AD$2:AD1424,AD1424)-1)</f>
        <v/>
      </c>
      <c r="AC1424" s="56" t="str">
        <f aca="false">IF(AND(F1424&gt;0,E1424&gt;=Settings!$B$4),J1424,"")</f>
        <v/>
      </c>
      <c r="AD1424" s="56" t="str">
        <f aca="false">IF(X1424="HIGH RATE",O1424,"")</f>
        <v/>
      </c>
    </row>
    <row r="1425" customFormat="false" ht="15" hidden="false" customHeight="false" outlineLevel="0" collapsed="false">
      <c r="A1425" s="56" t="s">
        <v>2832</v>
      </c>
      <c r="B1425" s="56" t="s">
        <v>1367</v>
      </c>
      <c r="C1425" s="56" t="s">
        <v>87</v>
      </c>
      <c r="D1425" s="56" t="str">
        <f aca="false">IFERROR(INDEX('Brand Map'!$B$4:$B$124,MATCH(C1425,'Brand Map'!$A$4:$A$124,0)),"Other")</f>
        <v>FYF</v>
      </c>
      <c r="E1425" s="57" t="n">
        <v>3</v>
      </c>
      <c r="F1425" s="57" t="n">
        <v>0</v>
      </c>
      <c r="G1425" s="58" t="n">
        <v>419.85</v>
      </c>
      <c r="H1425" s="58" t="n">
        <v>0</v>
      </c>
      <c r="I1425" s="58" t="n">
        <v>419.85</v>
      </c>
      <c r="J1425" s="32" t="n">
        <f aca="false">IF(E1425&gt;0,F1425/E1425,0)</f>
        <v>0</v>
      </c>
      <c r="K1425" s="32" t="n">
        <f aca="false">IF(G1425&gt;0,H1425/G1425,0)</f>
        <v>-0</v>
      </c>
      <c r="L1425" s="59" t="n">
        <f aca="false">H1425/Settings!$B$16</f>
        <v>-0</v>
      </c>
      <c r="M1425" s="59" t="n">
        <f aca="false">H1425/Settings!$B$20</f>
        <v>-0</v>
      </c>
      <c r="N1425" s="60" t="n">
        <f aca="false">E1425*Settings!$B$3</f>
        <v>0.0929584532394613</v>
      </c>
      <c r="O1425" s="60" t="n">
        <f aca="false">IF(E1425&gt;0,(F1425-N1425)/SQRT(E1425*Settings!$B$3*(1-Settings!$B$3)),0)</f>
        <v>-0.30972727558513</v>
      </c>
      <c r="P1425" s="60" t="n">
        <f aca="false">MAX(0,F1425-N1425)</f>
        <v>0</v>
      </c>
      <c r="Q1425" s="32" t="n">
        <f aca="false">(F1425+Settings!$B$7*Settings!$B$3)/(E1425+Settings!$B$7)</f>
        <v>0.0281692282543822</v>
      </c>
      <c r="R1425" s="61" t="n">
        <f aca="false">PERCENTRANK($H$2:$H$1780,H1425,6)</f>
        <v>0</v>
      </c>
      <c r="S1425" s="61" t="n">
        <f aca="false">PERCENTRANK($Q$2:$Q$1780,Q1425,6)</f>
        <v>0.294151</v>
      </c>
      <c r="T1425" s="61" t="n">
        <f aca="false">PERCENTRANK($F$2:$F$1780,F1425,6)</f>
        <v>0</v>
      </c>
      <c r="U1425" s="62" t="n">
        <f aca="false">IF(F1425&gt;0,(Settings!$B$8*T1425+Settings!$B$9*R1425+Settings!$B$10*S1425)/SUM(Settings!$B$8:$B$10),0)</f>
        <v>0</v>
      </c>
      <c r="V1425" s="56" t="str">
        <f aca="false">IF(U1425&gt;0,RANK(U1425,$U$2:$U$1780)+COUNTIF($U$2:U1425,U1425)-1,"")</f>
        <v/>
      </c>
      <c r="W1425" s="56" t="str">
        <f aca="false">IF(V1425="","",IF(V1425&lt;=Settings!$B$11,"1 - Fix first",IF(V1425&lt;=Settings!$B$12,"2 - Review","3 - Monitor")))</f>
        <v/>
      </c>
      <c r="X1425" s="56" t="str">
        <f aca="false">IF(AND(E1425&gt;=Settings!$B$4,F1425&gt;=Settings!$B$5,O1425&gt;=Settings!$B$6),"HIGH RATE","")</f>
        <v/>
      </c>
      <c r="Y1425" s="56" t="str">
        <f aca="false">IF(F1425&gt;0,RANK(F1425,$F$2:$F$1780)+COUNTIF($F$2:F1425,F1425)-1,"")</f>
        <v/>
      </c>
      <c r="Z1425" s="56" t="str">
        <f aca="false">IF(H1425&gt;0,RANK(H1425,$H$2:$H$1780)+COUNTIF($H$2:H1425,H1425)-1,"")</f>
        <v/>
      </c>
      <c r="AA1425" s="56" t="str">
        <f aca="false">IF(AC1425="","",RANK(AC1425,$AC$2:$AC$1780)+COUNTIF($AC$2:AC1425,AC1425)-1)</f>
        <v/>
      </c>
      <c r="AB1425" s="56" t="str">
        <f aca="false">IF(AD1425="","",RANK(AD1425,$AD$2:$AD$1780)+COUNTIF($AD$2:AD1425,AD1425)-1)</f>
        <v/>
      </c>
      <c r="AC1425" s="56" t="str">
        <f aca="false">IF(AND(F1425&gt;0,E1425&gt;=Settings!$B$4),J1425,"")</f>
        <v/>
      </c>
      <c r="AD1425" s="56" t="str">
        <f aca="false">IF(X1425="HIGH RATE",O1425,"")</f>
        <v/>
      </c>
    </row>
    <row r="1426" customFormat="false" ht="15" hidden="false" customHeight="false" outlineLevel="0" collapsed="false">
      <c r="A1426" s="56" t="s">
        <v>2833</v>
      </c>
      <c r="B1426" s="56" t="s">
        <v>2834</v>
      </c>
      <c r="C1426" s="56" t="s">
        <v>87</v>
      </c>
      <c r="D1426" s="56" t="str">
        <f aca="false">IFERROR(INDEX('Brand Map'!$B$4:$B$124,MATCH(C1426,'Brand Map'!$A$4:$A$124,0)),"Other")</f>
        <v>FYF</v>
      </c>
      <c r="E1426" s="57" t="n">
        <v>1</v>
      </c>
      <c r="F1426" s="57" t="n">
        <v>0</v>
      </c>
      <c r="G1426" s="58" t="n">
        <v>74.95</v>
      </c>
      <c r="H1426" s="58" t="n">
        <v>0</v>
      </c>
      <c r="I1426" s="58" t="n">
        <v>74.95</v>
      </c>
      <c r="J1426" s="32" t="n">
        <f aca="false">IF(E1426&gt;0,F1426/E1426,0)</f>
        <v>0</v>
      </c>
      <c r="K1426" s="32" t="n">
        <f aca="false">IF(G1426&gt;0,H1426/G1426,0)</f>
        <v>-0</v>
      </c>
      <c r="L1426" s="59" t="n">
        <f aca="false">H1426/Settings!$B$16</f>
        <v>-0</v>
      </c>
      <c r="M1426" s="59" t="n">
        <f aca="false">H1426/Settings!$B$20</f>
        <v>-0</v>
      </c>
      <c r="N1426" s="60" t="n">
        <f aca="false">E1426*Settings!$B$3</f>
        <v>0.0309861510798204</v>
      </c>
      <c r="O1426" s="60" t="n">
        <f aca="false">IF(E1426&gt;0,(F1426-N1426)/SQRT(E1426*Settings!$B$3*(1-Settings!$B$3)),0)</f>
        <v>-0.178821125934444</v>
      </c>
      <c r="P1426" s="60" t="n">
        <f aca="false">MAX(0,F1426-N1426)</f>
        <v>0</v>
      </c>
      <c r="Q1426" s="32" t="n">
        <f aca="false">(F1426+Settings!$B$7*Settings!$B$3)/(E1426+Settings!$B$7)</f>
        <v>0.0299865978191811</v>
      </c>
      <c r="R1426" s="61" t="n">
        <f aca="false">PERCENTRANK($H$2:$H$1780,H1426,6)</f>
        <v>0</v>
      </c>
      <c r="S1426" s="61" t="n">
        <f aca="false">PERCENTRANK($Q$2:$Q$1780,Q1426,6)</f>
        <v>0.486502</v>
      </c>
      <c r="T1426" s="61" t="n">
        <f aca="false">PERCENTRANK($F$2:$F$1780,F1426,6)</f>
        <v>0</v>
      </c>
      <c r="U1426" s="62" t="n">
        <f aca="false">IF(F1426&gt;0,(Settings!$B$8*T1426+Settings!$B$9*R1426+Settings!$B$10*S1426)/SUM(Settings!$B$8:$B$10),0)</f>
        <v>0</v>
      </c>
      <c r="V1426" s="56" t="str">
        <f aca="false">IF(U1426&gt;0,RANK(U1426,$U$2:$U$1780)+COUNTIF($U$2:U1426,U1426)-1,"")</f>
        <v/>
      </c>
      <c r="W1426" s="56" t="str">
        <f aca="false">IF(V1426="","",IF(V1426&lt;=Settings!$B$11,"1 - Fix first",IF(V1426&lt;=Settings!$B$12,"2 - Review","3 - Monitor")))</f>
        <v/>
      </c>
      <c r="X1426" s="56" t="str">
        <f aca="false">IF(AND(E1426&gt;=Settings!$B$4,F1426&gt;=Settings!$B$5,O1426&gt;=Settings!$B$6),"HIGH RATE","")</f>
        <v/>
      </c>
      <c r="Y1426" s="56" t="str">
        <f aca="false">IF(F1426&gt;0,RANK(F1426,$F$2:$F$1780)+COUNTIF($F$2:F1426,F1426)-1,"")</f>
        <v/>
      </c>
      <c r="Z1426" s="56" t="str">
        <f aca="false">IF(H1426&gt;0,RANK(H1426,$H$2:$H$1780)+COUNTIF($H$2:H1426,H1426)-1,"")</f>
        <v/>
      </c>
      <c r="AA1426" s="56" t="str">
        <f aca="false">IF(AC1426="","",RANK(AC1426,$AC$2:$AC$1780)+COUNTIF($AC$2:AC1426,AC1426)-1)</f>
        <v/>
      </c>
      <c r="AB1426" s="56" t="str">
        <f aca="false">IF(AD1426="","",RANK(AD1426,$AD$2:$AD$1780)+COUNTIF($AD$2:AD1426,AD1426)-1)</f>
        <v/>
      </c>
      <c r="AC1426" s="56" t="str">
        <f aca="false">IF(AND(F1426&gt;0,E1426&gt;=Settings!$B$4),J1426,"")</f>
        <v/>
      </c>
      <c r="AD1426" s="56" t="str">
        <f aca="false">IF(X1426="HIGH RATE",O1426,"")</f>
        <v/>
      </c>
    </row>
    <row r="1427" customFormat="false" ht="15" hidden="false" customHeight="false" outlineLevel="0" collapsed="false">
      <c r="A1427" s="56" t="s">
        <v>2835</v>
      </c>
      <c r="B1427" s="56" t="s">
        <v>2836</v>
      </c>
      <c r="C1427" s="56" t="s">
        <v>87</v>
      </c>
      <c r="D1427" s="56" t="str">
        <f aca="false">IFERROR(INDEX('Brand Map'!$B$4:$B$124,MATCH(C1427,'Brand Map'!$A$4:$A$124,0)),"Other")</f>
        <v>FYF</v>
      </c>
      <c r="E1427" s="57" t="n">
        <v>2</v>
      </c>
      <c r="F1427" s="57" t="n">
        <v>0</v>
      </c>
      <c r="G1427" s="58" t="n">
        <v>189.9</v>
      </c>
      <c r="H1427" s="58" t="n">
        <v>0</v>
      </c>
      <c r="I1427" s="58" t="n">
        <v>189.9</v>
      </c>
      <c r="J1427" s="32" t="n">
        <f aca="false">IF(E1427&gt;0,F1427/E1427,0)</f>
        <v>0</v>
      </c>
      <c r="K1427" s="32" t="n">
        <f aca="false">IF(G1427&gt;0,H1427/G1427,0)</f>
        <v>-0</v>
      </c>
      <c r="L1427" s="59" t="n">
        <f aca="false">H1427/Settings!$B$16</f>
        <v>-0</v>
      </c>
      <c r="M1427" s="59" t="n">
        <f aca="false">H1427/Settings!$B$20</f>
        <v>-0</v>
      </c>
      <c r="N1427" s="60" t="n">
        <f aca="false">E1427*Settings!$B$3</f>
        <v>0.0619723021596408</v>
      </c>
      <c r="O1427" s="60" t="n">
        <f aca="false">IF(E1427&gt;0,(F1427-N1427)/SQRT(E1427*Settings!$B$3*(1-Settings!$B$3)),0)</f>
        <v>-0.252891261535318</v>
      </c>
      <c r="P1427" s="60" t="n">
        <f aca="false">MAX(0,F1427-N1427)</f>
        <v>0</v>
      </c>
      <c r="Q1427" s="32" t="n">
        <f aca="false">(F1427+Settings!$B$7*Settings!$B$3)/(E1427+Settings!$B$7)</f>
        <v>0.0290495166373316</v>
      </c>
      <c r="R1427" s="61" t="n">
        <f aca="false">PERCENTRANK($H$2:$H$1780,H1427,6)</f>
        <v>0</v>
      </c>
      <c r="S1427" s="61" t="n">
        <f aca="false">PERCENTRANK($Q$2:$Q$1780,Q1427,6)</f>
        <v>0.365579</v>
      </c>
      <c r="T1427" s="61" t="n">
        <f aca="false">PERCENTRANK($F$2:$F$1780,F1427,6)</f>
        <v>0</v>
      </c>
      <c r="U1427" s="62" t="n">
        <f aca="false">IF(F1427&gt;0,(Settings!$B$8*T1427+Settings!$B$9*R1427+Settings!$B$10*S1427)/SUM(Settings!$B$8:$B$10),0)</f>
        <v>0</v>
      </c>
      <c r="V1427" s="56" t="str">
        <f aca="false">IF(U1427&gt;0,RANK(U1427,$U$2:$U$1780)+COUNTIF($U$2:U1427,U1427)-1,"")</f>
        <v/>
      </c>
      <c r="W1427" s="56" t="str">
        <f aca="false">IF(V1427="","",IF(V1427&lt;=Settings!$B$11,"1 - Fix first",IF(V1427&lt;=Settings!$B$12,"2 - Review","3 - Monitor")))</f>
        <v/>
      </c>
      <c r="X1427" s="56" t="str">
        <f aca="false">IF(AND(E1427&gt;=Settings!$B$4,F1427&gt;=Settings!$B$5,O1427&gt;=Settings!$B$6),"HIGH RATE","")</f>
        <v/>
      </c>
      <c r="Y1427" s="56" t="str">
        <f aca="false">IF(F1427&gt;0,RANK(F1427,$F$2:$F$1780)+COUNTIF($F$2:F1427,F1427)-1,"")</f>
        <v/>
      </c>
      <c r="Z1427" s="56" t="str">
        <f aca="false">IF(H1427&gt;0,RANK(H1427,$H$2:$H$1780)+COUNTIF($H$2:H1427,H1427)-1,"")</f>
        <v/>
      </c>
      <c r="AA1427" s="56" t="str">
        <f aca="false">IF(AC1427="","",RANK(AC1427,$AC$2:$AC$1780)+COUNTIF($AC$2:AC1427,AC1427)-1)</f>
        <v/>
      </c>
      <c r="AB1427" s="56" t="str">
        <f aca="false">IF(AD1427="","",RANK(AD1427,$AD$2:$AD$1780)+COUNTIF($AD$2:AD1427,AD1427)-1)</f>
        <v/>
      </c>
      <c r="AC1427" s="56" t="str">
        <f aca="false">IF(AND(F1427&gt;0,E1427&gt;=Settings!$B$4),J1427,"")</f>
        <v/>
      </c>
      <c r="AD1427" s="56" t="str">
        <f aca="false">IF(X1427="HIGH RATE",O1427,"")</f>
        <v/>
      </c>
    </row>
    <row r="1428" customFormat="false" ht="15" hidden="false" customHeight="false" outlineLevel="0" collapsed="false">
      <c r="A1428" s="56" t="s">
        <v>2837</v>
      </c>
      <c r="B1428" s="56" t="s">
        <v>1595</v>
      </c>
      <c r="C1428" s="56" t="s">
        <v>87</v>
      </c>
      <c r="D1428" s="56" t="str">
        <f aca="false">IFERROR(INDEX('Brand Map'!$B$4:$B$124,MATCH(C1428,'Brand Map'!$A$4:$A$124,0)),"Other")</f>
        <v>FYF</v>
      </c>
      <c r="E1428" s="57" t="n">
        <v>2</v>
      </c>
      <c r="F1428" s="57" t="n">
        <v>0</v>
      </c>
      <c r="G1428" s="58" t="n">
        <v>159.9</v>
      </c>
      <c r="H1428" s="58" t="n">
        <v>0</v>
      </c>
      <c r="I1428" s="58" t="n">
        <v>159.9</v>
      </c>
      <c r="J1428" s="32" t="n">
        <f aca="false">IF(E1428&gt;0,F1428/E1428,0)</f>
        <v>0</v>
      </c>
      <c r="K1428" s="32" t="n">
        <f aca="false">IF(G1428&gt;0,H1428/G1428,0)</f>
        <v>-0</v>
      </c>
      <c r="L1428" s="59" t="n">
        <f aca="false">H1428/Settings!$B$16</f>
        <v>-0</v>
      </c>
      <c r="M1428" s="59" t="n">
        <f aca="false">H1428/Settings!$B$20</f>
        <v>-0</v>
      </c>
      <c r="N1428" s="60" t="n">
        <f aca="false">E1428*Settings!$B$3</f>
        <v>0.0619723021596408</v>
      </c>
      <c r="O1428" s="60" t="n">
        <f aca="false">IF(E1428&gt;0,(F1428-N1428)/SQRT(E1428*Settings!$B$3*(1-Settings!$B$3)),0)</f>
        <v>-0.252891261535318</v>
      </c>
      <c r="P1428" s="60" t="n">
        <f aca="false">MAX(0,F1428-N1428)</f>
        <v>0</v>
      </c>
      <c r="Q1428" s="32" t="n">
        <f aca="false">(F1428+Settings!$B$7*Settings!$B$3)/(E1428+Settings!$B$7)</f>
        <v>0.0290495166373316</v>
      </c>
      <c r="R1428" s="61" t="n">
        <f aca="false">PERCENTRANK($H$2:$H$1780,H1428,6)</f>
        <v>0</v>
      </c>
      <c r="S1428" s="61" t="n">
        <f aca="false">PERCENTRANK($Q$2:$Q$1780,Q1428,6)</f>
        <v>0.365579</v>
      </c>
      <c r="T1428" s="61" t="n">
        <f aca="false">PERCENTRANK($F$2:$F$1780,F1428,6)</f>
        <v>0</v>
      </c>
      <c r="U1428" s="62" t="n">
        <f aca="false">IF(F1428&gt;0,(Settings!$B$8*T1428+Settings!$B$9*R1428+Settings!$B$10*S1428)/SUM(Settings!$B$8:$B$10),0)</f>
        <v>0</v>
      </c>
      <c r="V1428" s="56" t="str">
        <f aca="false">IF(U1428&gt;0,RANK(U1428,$U$2:$U$1780)+COUNTIF($U$2:U1428,U1428)-1,"")</f>
        <v/>
      </c>
      <c r="W1428" s="56" t="str">
        <f aca="false">IF(V1428="","",IF(V1428&lt;=Settings!$B$11,"1 - Fix first",IF(V1428&lt;=Settings!$B$12,"2 - Review","3 - Monitor")))</f>
        <v/>
      </c>
      <c r="X1428" s="56" t="str">
        <f aca="false">IF(AND(E1428&gt;=Settings!$B$4,F1428&gt;=Settings!$B$5,O1428&gt;=Settings!$B$6),"HIGH RATE","")</f>
        <v/>
      </c>
      <c r="Y1428" s="56" t="str">
        <f aca="false">IF(F1428&gt;0,RANK(F1428,$F$2:$F$1780)+COUNTIF($F$2:F1428,F1428)-1,"")</f>
        <v/>
      </c>
      <c r="Z1428" s="56" t="str">
        <f aca="false">IF(H1428&gt;0,RANK(H1428,$H$2:$H$1780)+COUNTIF($H$2:H1428,H1428)-1,"")</f>
        <v/>
      </c>
      <c r="AA1428" s="56" t="str">
        <f aca="false">IF(AC1428="","",RANK(AC1428,$AC$2:$AC$1780)+COUNTIF($AC$2:AC1428,AC1428)-1)</f>
        <v/>
      </c>
      <c r="AB1428" s="56" t="str">
        <f aca="false">IF(AD1428="","",RANK(AD1428,$AD$2:$AD$1780)+COUNTIF($AD$2:AD1428,AD1428)-1)</f>
        <v/>
      </c>
      <c r="AC1428" s="56" t="str">
        <f aca="false">IF(AND(F1428&gt;0,E1428&gt;=Settings!$B$4),J1428,"")</f>
        <v/>
      </c>
      <c r="AD1428" s="56" t="str">
        <f aca="false">IF(X1428="HIGH RATE",O1428,"")</f>
        <v/>
      </c>
    </row>
    <row r="1429" customFormat="false" ht="15" hidden="false" customHeight="false" outlineLevel="0" collapsed="false">
      <c r="A1429" s="56" t="s">
        <v>2838</v>
      </c>
      <c r="B1429" s="56" t="s">
        <v>2839</v>
      </c>
      <c r="C1429" s="56" t="s">
        <v>87</v>
      </c>
      <c r="D1429" s="56" t="str">
        <f aca="false">IFERROR(INDEX('Brand Map'!$B$4:$B$124,MATCH(C1429,'Brand Map'!$A$4:$A$124,0)),"Other")</f>
        <v>FYF</v>
      </c>
      <c r="E1429" s="57" t="n">
        <v>1</v>
      </c>
      <c r="F1429" s="57" t="n">
        <v>0</v>
      </c>
      <c r="G1429" s="58" t="n">
        <v>89.95</v>
      </c>
      <c r="H1429" s="58" t="n">
        <v>0</v>
      </c>
      <c r="I1429" s="58" t="n">
        <v>89.95</v>
      </c>
      <c r="J1429" s="32" t="n">
        <f aca="false">IF(E1429&gt;0,F1429/E1429,0)</f>
        <v>0</v>
      </c>
      <c r="K1429" s="32" t="n">
        <f aca="false">IF(G1429&gt;0,H1429/G1429,0)</f>
        <v>-0</v>
      </c>
      <c r="L1429" s="59" t="n">
        <f aca="false">H1429/Settings!$B$16</f>
        <v>-0</v>
      </c>
      <c r="M1429" s="59" t="n">
        <f aca="false">H1429/Settings!$B$20</f>
        <v>-0</v>
      </c>
      <c r="N1429" s="60" t="n">
        <f aca="false">E1429*Settings!$B$3</f>
        <v>0.0309861510798204</v>
      </c>
      <c r="O1429" s="60" t="n">
        <f aca="false">IF(E1429&gt;0,(F1429-N1429)/SQRT(E1429*Settings!$B$3*(1-Settings!$B$3)),0)</f>
        <v>-0.178821125934444</v>
      </c>
      <c r="P1429" s="60" t="n">
        <f aca="false">MAX(0,F1429-N1429)</f>
        <v>0</v>
      </c>
      <c r="Q1429" s="32" t="n">
        <f aca="false">(F1429+Settings!$B$7*Settings!$B$3)/(E1429+Settings!$B$7)</f>
        <v>0.0299865978191811</v>
      </c>
      <c r="R1429" s="61" t="n">
        <f aca="false">PERCENTRANK($H$2:$H$1780,H1429,6)</f>
        <v>0</v>
      </c>
      <c r="S1429" s="61" t="n">
        <f aca="false">PERCENTRANK($Q$2:$Q$1780,Q1429,6)</f>
        <v>0.486502</v>
      </c>
      <c r="T1429" s="61" t="n">
        <f aca="false">PERCENTRANK($F$2:$F$1780,F1429,6)</f>
        <v>0</v>
      </c>
      <c r="U1429" s="62" t="n">
        <f aca="false">IF(F1429&gt;0,(Settings!$B$8*T1429+Settings!$B$9*R1429+Settings!$B$10*S1429)/SUM(Settings!$B$8:$B$10),0)</f>
        <v>0</v>
      </c>
      <c r="V1429" s="56" t="str">
        <f aca="false">IF(U1429&gt;0,RANK(U1429,$U$2:$U$1780)+COUNTIF($U$2:U1429,U1429)-1,"")</f>
        <v/>
      </c>
      <c r="W1429" s="56" t="str">
        <f aca="false">IF(V1429="","",IF(V1429&lt;=Settings!$B$11,"1 - Fix first",IF(V1429&lt;=Settings!$B$12,"2 - Review","3 - Monitor")))</f>
        <v/>
      </c>
      <c r="X1429" s="56" t="str">
        <f aca="false">IF(AND(E1429&gt;=Settings!$B$4,F1429&gt;=Settings!$B$5,O1429&gt;=Settings!$B$6),"HIGH RATE","")</f>
        <v/>
      </c>
      <c r="Y1429" s="56" t="str">
        <f aca="false">IF(F1429&gt;0,RANK(F1429,$F$2:$F$1780)+COUNTIF($F$2:F1429,F1429)-1,"")</f>
        <v/>
      </c>
      <c r="Z1429" s="56" t="str">
        <f aca="false">IF(H1429&gt;0,RANK(H1429,$H$2:$H$1780)+COUNTIF($H$2:H1429,H1429)-1,"")</f>
        <v/>
      </c>
      <c r="AA1429" s="56" t="str">
        <f aca="false">IF(AC1429="","",RANK(AC1429,$AC$2:$AC$1780)+COUNTIF($AC$2:AC1429,AC1429)-1)</f>
        <v/>
      </c>
      <c r="AB1429" s="56" t="str">
        <f aca="false">IF(AD1429="","",RANK(AD1429,$AD$2:$AD$1780)+COUNTIF($AD$2:AD1429,AD1429)-1)</f>
        <v/>
      </c>
      <c r="AC1429" s="56" t="str">
        <f aca="false">IF(AND(F1429&gt;0,E1429&gt;=Settings!$B$4),J1429,"")</f>
        <v/>
      </c>
      <c r="AD1429" s="56" t="str">
        <f aca="false">IF(X1429="HIGH RATE",O1429,"")</f>
        <v/>
      </c>
    </row>
    <row r="1430" customFormat="false" ht="15" hidden="false" customHeight="false" outlineLevel="0" collapsed="false">
      <c r="A1430" s="56" t="s">
        <v>2840</v>
      </c>
      <c r="B1430" s="56" t="s">
        <v>2841</v>
      </c>
      <c r="C1430" s="56" t="s">
        <v>87</v>
      </c>
      <c r="D1430" s="56" t="str">
        <f aca="false">IFERROR(INDEX('Brand Map'!$B$4:$B$124,MATCH(C1430,'Brand Map'!$A$4:$A$124,0)),"Other")</f>
        <v>FYF</v>
      </c>
      <c r="E1430" s="57" t="n">
        <v>1</v>
      </c>
      <c r="F1430" s="57" t="n">
        <v>0</v>
      </c>
      <c r="G1430" s="58" t="n">
        <v>104.95</v>
      </c>
      <c r="H1430" s="58" t="n">
        <v>0</v>
      </c>
      <c r="I1430" s="58" t="n">
        <v>104.95</v>
      </c>
      <c r="J1430" s="32" t="n">
        <f aca="false">IF(E1430&gt;0,F1430/E1430,0)</f>
        <v>0</v>
      </c>
      <c r="K1430" s="32" t="n">
        <f aca="false">IF(G1430&gt;0,H1430/G1430,0)</f>
        <v>-0</v>
      </c>
      <c r="L1430" s="59" t="n">
        <f aca="false">H1430/Settings!$B$16</f>
        <v>-0</v>
      </c>
      <c r="M1430" s="59" t="n">
        <f aca="false">H1430/Settings!$B$20</f>
        <v>-0</v>
      </c>
      <c r="N1430" s="60" t="n">
        <f aca="false">E1430*Settings!$B$3</f>
        <v>0.0309861510798204</v>
      </c>
      <c r="O1430" s="60" t="n">
        <f aca="false">IF(E1430&gt;0,(F1430-N1430)/SQRT(E1430*Settings!$B$3*(1-Settings!$B$3)),0)</f>
        <v>-0.178821125934444</v>
      </c>
      <c r="P1430" s="60" t="n">
        <f aca="false">MAX(0,F1430-N1430)</f>
        <v>0</v>
      </c>
      <c r="Q1430" s="32" t="n">
        <f aca="false">(F1430+Settings!$B$7*Settings!$B$3)/(E1430+Settings!$B$7)</f>
        <v>0.0299865978191811</v>
      </c>
      <c r="R1430" s="61" t="n">
        <f aca="false">PERCENTRANK($H$2:$H$1780,H1430,6)</f>
        <v>0</v>
      </c>
      <c r="S1430" s="61" t="n">
        <f aca="false">PERCENTRANK($Q$2:$Q$1780,Q1430,6)</f>
        <v>0.486502</v>
      </c>
      <c r="T1430" s="61" t="n">
        <f aca="false">PERCENTRANK($F$2:$F$1780,F1430,6)</f>
        <v>0</v>
      </c>
      <c r="U1430" s="62" t="n">
        <f aca="false">IF(F1430&gt;0,(Settings!$B$8*T1430+Settings!$B$9*R1430+Settings!$B$10*S1430)/SUM(Settings!$B$8:$B$10),0)</f>
        <v>0</v>
      </c>
      <c r="V1430" s="56" t="str">
        <f aca="false">IF(U1430&gt;0,RANK(U1430,$U$2:$U$1780)+COUNTIF($U$2:U1430,U1430)-1,"")</f>
        <v/>
      </c>
      <c r="W1430" s="56" t="str">
        <f aca="false">IF(V1430="","",IF(V1430&lt;=Settings!$B$11,"1 - Fix first",IF(V1430&lt;=Settings!$B$12,"2 - Review","3 - Monitor")))</f>
        <v/>
      </c>
      <c r="X1430" s="56" t="str">
        <f aca="false">IF(AND(E1430&gt;=Settings!$B$4,F1430&gt;=Settings!$B$5,O1430&gt;=Settings!$B$6),"HIGH RATE","")</f>
        <v/>
      </c>
      <c r="Y1430" s="56" t="str">
        <f aca="false">IF(F1430&gt;0,RANK(F1430,$F$2:$F$1780)+COUNTIF($F$2:F1430,F1430)-1,"")</f>
        <v/>
      </c>
      <c r="Z1430" s="56" t="str">
        <f aca="false">IF(H1430&gt;0,RANK(H1430,$H$2:$H$1780)+COUNTIF($H$2:H1430,H1430)-1,"")</f>
        <v/>
      </c>
      <c r="AA1430" s="56" t="str">
        <f aca="false">IF(AC1430="","",RANK(AC1430,$AC$2:$AC$1780)+COUNTIF($AC$2:AC1430,AC1430)-1)</f>
        <v/>
      </c>
      <c r="AB1430" s="56" t="str">
        <f aca="false">IF(AD1430="","",RANK(AD1430,$AD$2:$AD$1780)+COUNTIF($AD$2:AD1430,AD1430)-1)</f>
        <v/>
      </c>
      <c r="AC1430" s="56" t="str">
        <f aca="false">IF(AND(F1430&gt;0,E1430&gt;=Settings!$B$4),J1430,"")</f>
        <v/>
      </c>
      <c r="AD1430" s="56" t="str">
        <f aca="false">IF(X1430="HIGH RATE",O1430,"")</f>
        <v/>
      </c>
    </row>
    <row r="1431" customFormat="false" ht="15" hidden="false" customHeight="false" outlineLevel="0" collapsed="false">
      <c r="A1431" s="56" t="s">
        <v>2842</v>
      </c>
      <c r="B1431" s="56" t="s">
        <v>2841</v>
      </c>
      <c r="C1431" s="56" t="s">
        <v>87</v>
      </c>
      <c r="D1431" s="56" t="str">
        <f aca="false">IFERROR(INDEX('Brand Map'!$B$4:$B$124,MATCH(C1431,'Brand Map'!$A$4:$A$124,0)),"Other")</f>
        <v>FYF</v>
      </c>
      <c r="E1431" s="57" t="n">
        <v>1</v>
      </c>
      <c r="F1431" s="57" t="n">
        <v>0</v>
      </c>
      <c r="G1431" s="58" t="n">
        <v>119.95</v>
      </c>
      <c r="H1431" s="58" t="n">
        <v>0</v>
      </c>
      <c r="I1431" s="58" t="n">
        <v>119.95</v>
      </c>
      <c r="J1431" s="32" t="n">
        <f aca="false">IF(E1431&gt;0,F1431/E1431,0)</f>
        <v>0</v>
      </c>
      <c r="K1431" s="32" t="n">
        <f aca="false">IF(G1431&gt;0,H1431/G1431,0)</f>
        <v>-0</v>
      </c>
      <c r="L1431" s="59" t="n">
        <f aca="false">H1431/Settings!$B$16</f>
        <v>-0</v>
      </c>
      <c r="M1431" s="59" t="n">
        <f aca="false">H1431/Settings!$B$20</f>
        <v>-0</v>
      </c>
      <c r="N1431" s="60" t="n">
        <f aca="false">E1431*Settings!$B$3</f>
        <v>0.0309861510798204</v>
      </c>
      <c r="O1431" s="60" t="n">
        <f aca="false">IF(E1431&gt;0,(F1431-N1431)/SQRT(E1431*Settings!$B$3*(1-Settings!$B$3)),0)</f>
        <v>-0.178821125934444</v>
      </c>
      <c r="P1431" s="60" t="n">
        <f aca="false">MAX(0,F1431-N1431)</f>
        <v>0</v>
      </c>
      <c r="Q1431" s="32" t="n">
        <f aca="false">(F1431+Settings!$B$7*Settings!$B$3)/(E1431+Settings!$B$7)</f>
        <v>0.0299865978191811</v>
      </c>
      <c r="R1431" s="61" t="n">
        <f aca="false">PERCENTRANK($H$2:$H$1780,H1431,6)</f>
        <v>0</v>
      </c>
      <c r="S1431" s="61" t="n">
        <f aca="false">PERCENTRANK($Q$2:$Q$1780,Q1431,6)</f>
        <v>0.486502</v>
      </c>
      <c r="T1431" s="61" t="n">
        <f aca="false">PERCENTRANK($F$2:$F$1780,F1431,6)</f>
        <v>0</v>
      </c>
      <c r="U1431" s="62" t="n">
        <f aca="false">IF(F1431&gt;0,(Settings!$B$8*T1431+Settings!$B$9*R1431+Settings!$B$10*S1431)/SUM(Settings!$B$8:$B$10),0)</f>
        <v>0</v>
      </c>
      <c r="V1431" s="56" t="str">
        <f aca="false">IF(U1431&gt;0,RANK(U1431,$U$2:$U$1780)+COUNTIF($U$2:U1431,U1431)-1,"")</f>
        <v/>
      </c>
      <c r="W1431" s="56" t="str">
        <f aca="false">IF(V1431="","",IF(V1431&lt;=Settings!$B$11,"1 - Fix first",IF(V1431&lt;=Settings!$B$12,"2 - Review","3 - Monitor")))</f>
        <v/>
      </c>
      <c r="X1431" s="56" t="str">
        <f aca="false">IF(AND(E1431&gt;=Settings!$B$4,F1431&gt;=Settings!$B$5,O1431&gt;=Settings!$B$6),"HIGH RATE","")</f>
        <v/>
      </c>
      <c r="Y1431" s="56" t="str">
        <f aca="false">IF(F1431&gt;0,RANK(F1431,$F$2:$F$1780)+COUNTIF($F$2:F1431,F1431)-1,"")</f>
        <v/>
      </c>
      <c r="Z1431" s="56" t="str">
        <f aca="false">IF(H1431&gt;0,RANK(H1431,$H$2:$H$1780)+COUNTIF($H$2:H1431,H1431)-1,"")</f>
        <v/>
      </c>
      <c r="AA1431" s="56" t="str">
        <f aca="false">IF(AC1431="","",RANK(AC1431,$AC$2:$AC$1780)+COUNTIF($AC$2:AC1431,AC1431)-1)</f>
        <v/>
      </c>
      <c r="AB1431" s="56" t="str">
        <f aca="false">IF(AD1431="","",RANK(AD1431,$AD$2:$AD$1780)+COUNTIF($AD$2:AD1431,AD1431)-1)</f>
        <v/>
      </c>
      <c r="AC1431" s="56" t="str">
        <f aca="false">IF(AND(F1431&gt;0,E1431&gt;=Settings!$B$4),J1431,"")</f>
        <v/>
      </c>
      <c r="AD1431" s="56" t="str">
        <f aca="false">IF(X1431="HIGH RATE",O1431,"")</f>
        <v/>
      </c>
    </row>
    <row r="1432" customFormat="false" ht="15" hidden="false" customHeight="false" outlineLevel="0" collapsed="false">
      <c r="A1432" s="56" t="s">
        <v>2843</v>
      </c>
      <c r="B1432" s="56" t="s">
        <v>2841</v>
      </c>
      <c r="C1432" s="56" t="s">
        <v>87</v>
      </c>
      <c r="D1432" s="56" t="str">
        <f aca="false">IFERROR(INDEX('Brand Map'!$B$4:$B$124,MATCH(C1432,'Brand Map'!$A$4:$A$124,0)),"Other")</f>
        <v>FYF</v>
      </c>
      <c r="E1432" s="57" t="n">
        <v>2</v>
      </c>
      <c r="F1432" s="57" t="n">
        <v>0</v>
      </c>
      <c r="G1432" s="58" t="n">
        <v>259.9</v>
      </c>
      <c r="H1432" s="58" t="n">
        <v>0</v>
      </c>
      <c r="I1432" s="58" t="n">
        <v>259.9</v>
      </c>
      <c r="J1432" s="32" t="n">
        <f aca="false">IF(E1432&gt;0,F1432/E1432,0)</f>
        <v>0</v>
      </c>
      <c r="K1432" s="32" t="n">
        <f aca="false">IF(G1432&gt;0,H1432/G1432,0)</f>
        <v>-0</v>
      </c>
      <c r="L1432" s="59" t="n">
        <f aca="false">H1432/Settings!$B$16</f>
        <v>-0</v>
      </c>
      <c r="M1432" s="59" t="n">
        <f aca="false">H1432/Settings!$B$20</f>
        <v>-0</v>
      </c>
      <c r="N1432" s="60" t="n">
        <f aca="false">E1432*Settings!$B$3</f>
        <v>0.0619723021596408</v>
      </c>
      <c r="O1432" s="60" t="n">
        <f aca="false">IF(E1432&gt;0,(F1432-N1432)/SQRT(E1432*Settings!$B$3*(1-Settings!$B$3)),0)</f>
        <v>-0.252891261535318</v>
      </c>
      <c r="P1432" s="60" t="n">
        <f aca="false">MAX(0,F1432-N1432)</f>
        <v>0</v>
      </c>
      <c r="Q1432" s="32" t="n">
        <f aca="false">(F1432+Settings!$B$7*Settings!$B$3)/(E1432+Settings!$B$7)</f>
        <v>0.0290495166373316</v>
      </c>
      <c r="R1432" s="61" t="n">
        <f aca="false">PERCENTRANK($H$2:$H$1780,H1432,6)</f>
        <v>0</v>
      </c>
      <c r="S1432" s="61" t="n">
        <f aca="false">PERCENTRANK($Q$2:$Q$1780,Q1432,6)</f>
        <v>0.365579</v>
      </c>
      <c r="T1432" s="61" t="n">
        <f aca="false">PERCENTRANK($F$2:$F$1780,F1432,6)</f>
        <v>0</v>
      </c>
      <c r="U1432" s="62" t="n">
        <f aca="false">IF(F1432&gt;0,(Settings!$B$8*T1432+Settings!$B$9*R1432+Settings!$B$10*S1432)/SUM(Settings!$B$8:$B$10),0)</f>
        <v>0</v>
      </c>
      <c r="V1432" s="56" t="str">
        <f aca="false">IF(U1432&gt;0,RANK(U1432,$U$2:$U$1780)+COUNTIF($U$2:U1432,U1432)-1,"")</f>
        <v/>
      </c>
      <c r="W1432" s="56" t="str">
        <f aca="false">IF(V1432="","",IF(V1432&lt;=Settings!$B$11,"1 - Fix first",IF(V1432&lt;=Settings!$B$12,"2 - Review","3 - Monitor")))</f>
        <v/>
      </c>
      <c r="X1432" s="56" t="str">
        <f aca="false">IF(AND(E1432&gt;=Settings!$B$4,F1432&gt;=Settings!$B$5,O1432&gt;=Settings!$B$6),"HIGH RATE","")</f>
        <v/>
      </c>
      <c r="Y1432" s="56" t="str">
        <f aca="false">IF(F1432&gt;0,RANK(F1432,$F$2:$F$1780)+COUNTIF($F$2:F1432,F1432)-1,"")</f>
        <v/>
      </c>
      <c r="Z1432" s="56" t="str">
        <f aca="false">IF(H1432&gt;0,RANK(H1432,$H$2:$H$1780)+COUNTIF($H$2:H1432,H1432)-1,"")</f>
        <v/>
      </c>
      <c r="AA1432" s="56" t="str">
        <f aca="false">IF(AC1432="","",RANK(AC1432,$AC$2:$AC$1780)+COUNTIF($AC$2:AC1432,AC1432)-1)</f>
        <v/>
      </c>
      <c r="AB1432" s="56" t="str">
        <f aca="false">IF(AD1432="","",RANK(AD1432,$AD$2:$AD$1780)+COUNTIF($AD$2:AD1432,AD1432)-1)</f>
        <v/>
      </c>
      <c r="AC1432" s="56" t="str">
        <f aca="false">IF(AND(F1432&gt;0,E1432&gt;=Settings!$B$4),J1432,"")</f>
        <v/>
      </c>
      <c r="AD1432" s="56" t="str">
        <f aca="false">IF(X1432="HIGH RATE",O1432,"")</f>
        <v/>
      </c>
    </row>
    <row r="1433" customFormat="false" ht="15" hidden="false" customHeight="false" outlineLevel="0" collapsed="false">
      <c r="A1433" s="56" t="s">
        <v>2844</v>
      </c>
      <c r="B1433" s="56" t="s">
        <v>2845</v>
      </c>
      <c r="C1433" s="56" t="s">
        <v>87</v>
      </c>
      <c r="D1433" s="56" t="str">
        <f aca="false">IFERROR(INDEX('Brand Map'!$B$4:$B$124,MATCH(C1433,'Brand Map'!$A$4:$A$124,0)),"Other")</f>
        <v>FYF</v>
      </c>
      <c r="E1433" s="57" t="n">
        <v>1</v>
      </c>
      <c r="F1433" s="57" t="n">
        <v>0</v>
      </c>
      <c r="G1433" s="58" t="n">
        <v>174.95</v>
      </c>
      <c r="H1433" s="58" t="n">
        <v>0</v>
      </c>
      <c r="I1433" s="58" t="n">
        <v>174.95</v>
      </c>
      <c r="J1433" s="32" t="n">
        <f aca="false">IF(E1433&gt;0,F1433/E1433,0)</f>
        <v>0</v>
      </c>
      <c r="K1433" s="32" t="n">
        <f aca="false">IF(G1433&gt;0,H1433/G1433,0)</f>
        <v>-0</v>
      </c>
      <c r="L1433" s="59" t="n">
        <f aca="false">H1433/Settings!$B$16</f>
        <v>-0</v>
      </c>
      <c r="M1433" s="59" t="n">
        <f aca="false">H1433/Settings!$B$20</f>
        <v>-0</v>
      </c>
      <c r="N1433" s="60" t="n">
        <f aca="false">E1433*Settings!$B$3</f>
        <v>0.0309861510798204</v>
      </c>
      <c r="O1433" s="60" t="n">
        <f aca="false">IF(E1433&gt;0,(F1433-N1433)/SQRT(E1433*Settings!$B$3*(1-Settings!$B$3)),0)</f>
        <v>-0.178821125934444</v>
      </c>
      <c r="P1433" s="60" t="n">
        <f aca="false">MAX(0,F1433-N1433)</f>
        <v>0</v>
      </c>
      <c r="Q1433" s="32" t="n">
        <f aca="false">(F1433+Settings!$B$7*Settings!$B$3)/(E1433+Settings!$B$7)</f>
        <v>0.0299865978191811</v>
      </c>
      <c r="R1433" s="61" t="n">
        <f aca="false">PERCENTRANK($H$2:$H$1780,H1433,6)</f>
        <v>0</v>
      </c>
      <c r="S1433" s="61" t="n">
        <f aca="false">PERCENTRANK($Q$2:$Q$1780,Q1433,6)</f>
        <v>0.486502</v>
      </c>
      <c r="T1433" s="61" t="n">
        <f aca="false">PERCENTRANK($F$2:$F$1780,F1433,6)</f>
        <v>0</v>
      </c>
      <c r="U1433" s="62" t="n">
        <f aca="false">IF(F1433&gt;0,(Settings!$B$8*T1433+Settings!$B$9*R1433+Settings!$B$10*S1433)/SUM(Settings!$B$8:$B$10),0)</f>
        <v>0</v>
      </c>
      <c r="V1433" s="56" t="str">
        <f aca="false">IF(U1433&gt;0,RANK(U1433,$U$2:$U$1780)+COUNTIF($U$2:U1433,U1433)-1,"")</f>
        <v/>
      </c>
      <c r="W1433" s="56" t="str">
        <f aca="false">IF(V1433="","",IF(V1433&lt;=Settings!$B$11,"1 - Fix first",IF(V1433&lt;=Settings!$B$12,"2 - Review","3 - Monitor")))</f>
        <v/>
      </c>
      <c r="X1433" s="56" t="str">
        <f aca="false">IF(AND(E1433&gt;=Settings!$B$4,F1433&gt;=Settings!$B$5,O1433&gt;=Settings!$B$6),"HIGH RATE","")</f>
        <v/>
      </c>
      <c r="Y1433" s="56" t="str">
        <f aca="false">IF(F1433&gt;0,RANK(F1433,$F$2:$F$1780)+COUNTIF($F$2:F1433,F1433)-1,"")</f>
        <v/>
      </c>
      <c r="Z1433" s="56" t="str">
        <f aca="false">IF(H1433&gt;0,RANK(H1433,$H$2:$H$1780)+COUNTIF($H$2:H1433,H1433)-1,"")</f>
        <v/>
      </c>
      <c r="AA1433" s="56" t="str">
        <f aca="false">IF(AC1433="","",RANK(AC1433,$AC$2:$AC$1780)+COUNTIF($AC$2:AC1433,AC1433)-1)</f>
        <v/>
      </c>
      <c r="AB1433" s="56" t="str">
        <f aca="false">IF(AD1433="","",RANK(AD1433,$AD$2:$AD$1780)+COUNTIF($AD$2:AD1433,AD1433)-1)</f>
        <v/>
      </c>
      <c r="AC1433" s="56" t="str">
        <f aca="false">IF(AND(F1433&gt;0,E1433&gt;=Settings!$B$4),J1433,"")</f>
        <v/>
      </c>
      <c r="AD1433" s="56" t="str">
        <f aca="false">IF(X1433="HIGH RATE",O1433,"")</f>
        <v/>
      </c>
    </row>
    <row r="1434" customFormat="false" ht="15" hidden="false" customHeight="false" outlineLevel="0" collapsed="false">
      <c r="A1434" s="56" t="s">
        <v>2846</v>
      </c>
      <c r="B1434" s="56" t="s">
        <v>616</v>
      </c>
      <c r="C1434" s="56" t="s">
        <v>87</v>
      </c>
      <c r="D1434" s="56" t="str">
        <f aca="false">IFERROR(INDEX('Brand Map'!$B$4:$B$124,MATCH(C1434,'Brand Map'!$A$4:$A$124,0)),"Other")</f>
        <v>FYF</v>
      </c>
      <c r="E1434" s="57" t="n">
        <v>1</v>
      </c>
      <c r="F1434" s="57" t="n">
        <v>0</v>
      </c>
      <c r="G1434" s="58" t="n">
        <v>84.95</v>
      </c>
      <c r="H1434" s="58" t="n">
        <v>0</v>
      </c>
      <c r="I1434" s="58" t="n">
        <v>84.95</v>
      </c>
      <c r="J1434" s="32" t="n">
        <f aca="false">IF(E1434&gt;0,F1434/E1434,0)</f>
        <v>0</v>
      </c>
      <c r="K1434" s="32" t="n">
        <f aca="false">IF(G1434&gt;0,H1434/G1434,0)</f>
        <v>-0</v>
      </c>
      <c r="L1434" s="59" t="n">
        <f aca="false">H1434/Settings!$B$16</f>
        <v>-0</v>
      </c>
      <c r="M1434" s="59" t="n">
        <f aca="false">H1434/Settings!$B$20</f>
        <v>-0</v>
      </c>
      <c r="N1434" s="60" t="n">
        <f aca="false">E1434*Settings!$B$3</f>
        <v>0.0309861510798204</v>
      </c>
      <c r="O1434" s="60" t="n">
        <f aca="false">IF(E1434&gt;0,(F1434-N1434)/SQRT(E1434*Settings!$B$3*(1-Settings!$B$3)),0)</f>
        <v>-0.178821125934444</v>
      </c>
      <c r="P1434" s="60" t="n">
        <f aca="false">MAX(0,F1434-N1434)</f>
        <v>0</v>
      </c>
      <c r="Q1434" s="32" t="n">
        <f aca="false">(F1434+Settings!$B$7*Settings!$B$3)/(E1434+Settings!$B$7)</f>
        <v>0.0299865978191811</v>
      </c>
      <c r="R1434" s="61" t="n">
        <f aca="false">PERCENTRANK($H$2:$H$1780,H1434,6)</f>
        <v>0</v>
      </c>
      <c r="S1434" s="61" t="n">
        <f aca="false">PERCENTRANK($Q$2:$Q$1780,Q1434,6)</f>
        <v>0.486502</v>
      </c>
      <c r="T1434" s="61" t="n">
        <f aca="false">PERCENTRANK($F$2:$F$1780,F1434,6)</f>
        <v>0</v>
      </c>
      <c r="U1434" s="62" t="n">
        <f aca="false">IF(F1434&gt;0,(Settings!$B$8*T1434+Settings!$B$9*R1434+Settings!$B$10*S1434)/SUM(Settings!$B$8:$B$10),0)</f>
        <v>0</v>
      </c>
      <c r="V1434" s="56" t="str">
        <f aca="false">IF(U1434&gt;0,RANK(U1434,$U$2:$U$1780)+COUNTIF($U$2:U1434,U1434)-1,"")</f>
        <v/>
      </c>
      <c r="W1434" s="56" t="str">
        <f aca="false">IF(V1434="","",IF(V1434&lt;=Settings!$B$11,"1 - Fix first",IF(V1434&lt;=Settings!$B$12,"2 - Review","3 - Monitor")))</f>
        <v/>
      </c>
      <c r="X1434" s="56" t="str">
        <f aca="false">IF(AND(E1434&gt;=Settings!$B$4,F1434&gt;=Settings!$B$5,O1434&gt;=Settings!$B$6),"HIGH RATE","")</f>
        <v/>
      </c>
      <c r="Y1434" s="56" t="str">
        <f aca="false">IF(F1434&gt;0,RANK(F1434,$F$2:$F$1780)+COUNTIF($F$2:F1434,F1434)-1,"")</f>
        <v/>
      </c>
      <c r="Z1434" s="56" t="str">
        <f aca="false">IF(H1434&gt;0,RANK(H1434,$H$2:$H$1780)+COUNTIF($H$2:H1434,H1434)-1,"")</f>
        <v/>
      </c>
      <c r="AA1434" s="56" t="str">
        <f aca="false">IF(AC1434="","",RANK(AC1434,$AC$2:$AC$1780)+COUNTIF($AC$2:AC1434,AC1434)-1)</f>
        <v/>
      </c>
      <c r="AB1434" s="56" t="str">
        <f aca="false">IF(AD1434="","",RANK(AD1434,$AD$2:$AD$1780)+COUNTIF($AD$2:AD1434,AD1434)-1)</f>
        <v/>
      </c>
      <c r="AC1434" s="56" t="str">
        <f aca="false">IF(AND(F1434&gt;0,E1434&gt;=Settings!$B$4),J1434,"")</f>
        <v/>
      </c>
      <c r="AD1434" s="56" t="str">
        <f aca="false">IF(X1434="HIGH RATE",O1434,"")</f>
        <v/>
      </c>
    </row>
    <row r="1435" customFormat="false" ht="15" hidden="false" customHeight="false" outlineLevel="0" collapsed="false">
      <c r="A1435" s="56" t="s">
        <v>2847</v>
      </c>
      <c r="B1435" s="56" t="s">
        <v>1377</v>
      </c>
      <c r="C1435" s="56" t="s">
        <v>87</v>
      </c>
      <c r="D1435" s="56" t="str">
        <f aca="false">IFERROR(INDEX('Brand Map'!$B$4:$B$124,MATCH(C1435,'Brand Map'!$A$4:$A$124,0)),"Other")</f>
        <v>FYF</v>
      </c>
      <c r="E1435" s="57" t="n">
        <v>3</v>
      </c>
      <c r="F1435" s="57" t="n">
        <v>0</v>
      </c>
      <c r="G1435" s="58" t="n">
        <v>164.85</v>
      </c>
      <c r="H1435" s="58" t="n">
        <v>0</v>
      </c>
      <c r="I1435" s="58" t="n">
        <v>164.85</v>
      </c>
      <c r="J1435" s="32" t="n">
        <f aca="false">IF(E1435&gt;0,F1435/E1435,0)</f>
        <v>0</v>
      </c>
      <c r="K1435" s="32" t="n">
        <f aca="false">IF(G1435&gt;0,H1435/G1435,0)</f>
        <v>-0</v>
      </c>
      <c r="L1435" s="59" t="n">
        <f aca="false">H1435/Settings!$B$16</f>
        <v>-0</v>
      </c>
      <c r="M1435" s="59" t="n">
        <f aca="false">H1435/Settings!$B$20</f>
        <v>-0</v>
      </c>
      <c r="N1435" s="60" t="n">
        <f aca="false">E1435*Settings!$B$3</f>
        <v>0.0929584532394613</v>
      </c>
      <c r="O1435" s="60" t="n">
        <f aca="false">IF(E1435&gt;0,(F1435-N1435)/SQRT(E1435*Settings!$B$3*(1-Settings!$B$3)),0)</f>
        <v>-0.30972727558513</v>
      </c>
      <c r="P1435" s="60" t="n">
        <f aca="false">MAX(0,F1435-N1435)</f>
        <v>0</v>
      </c>
      <c r="Q1435" s="32" t="n">
        <f aca="false">(F1435+Settings!$B$7*Settings!$B$3)/(E1435+Settings!$B$7)</f>
        <v>0.0281692282543822</v>
      </c>
      <c r="R1435" s="61" t="n">
        <f aca="false">PERCENTRANK($H$2:$H$1780,H1435,6)</f>
        <v>0</v>
      </c>
      <c r="S1435" s="61" t="n">
        <f aca="false">PERCENTRANK($Q$2:$Q$1780,Q1435,6)</f>
        <v>0.294151</v>
      </c>
      <c r="T1435" s="61" t="n">
        <f aca="false">PERCENTRANK($F$2:$F$1780,F1435,6)</f>
        <v>0</v>
      </c>
      <c r="U1435" s="62" t="n">
        <f aca="false">IF(F1435&gt;0,(Settings!$B$8*T1435+Settings!$B$9*R1435+Settings!$B$10*S1435)/SUM(Settings!$B$8:$B$10),0)</f>
        <v>0</v>
      </c>
      <c r="V1435" s="56" t="str">
        <f aca="false">IF(U1435&gt;0,RANK(U1435,$U$2:$U$1780)+COUNTIF($U$2:U1435,U1435)-1,"")</f>
        <v/>
      </c>
      <c r="W1435" s="56" t="str">
        <f aca="false">IF(V1435="","",IF(V1435&lt;=Settings!$B$11,"1 - Fix first",IF(V1435&lt;=Settings!$B$12,"2 - Review","3 - Monitor")))</f>
        <v/>
      </c>
      <c r="X1435" s="56" t="str">
        <f aca="false">IF(AND(E1435&gt;=Settings!$B$4,F1435&gt;=Settings!$B$5,O1435&gt;=Settings!$B$6),"HIGH RATE","")</f>
        <v/>
      </c>
      <c r="Y1435" s="56" t="str">
        <f aca="false">IF(F1435&gt;0,RANK(F1435,$F$2:$F$1780)+COUNTIF($F$2:F1435,F1435)-1,"")</f>
        <v/>
      </c>
      <c r="Z1435" s="56" t="str">
        <f aca="false">IF(H1435&gt;0,RANK(H1435,$H$2:$H$1780)+COUNTIF($H$2:H1435,H1435)-1,"")</f>
        <v/>
      </c>
      <c r="AA1435" s="56" t="str">
        <f aca="false">IF(AC1435="","",RANK(AC1435,$AC$2:$AC$1780)+COUNTIF($AC$2:AC1435,AC1435)-1)</f>
        <v/>
      </c>
      <c r="AB1435" s="56" t="str">
        <f aca="false">IF(AD1435="","",RANK(AD1435,$AD$2:$AD$1780)+COUNTIF($AD$2:AD1435,AD1435)-1)</f>
        <v/>
      </c>
      <c r="AC1435" s="56" t="str">
        <f aca="false">IF(AND(F1435&gt;0,E1435&gt;=Settings!$B$4),J1435,"")</f>
        <v/>
      </c>
      <c r="AD1435" s="56" t="str">
        <f aca="false">IF(X1435="HIGH RATE",O1435,"")</f>
        <v/>
      </c>
    </row>
    <row r="1436" customFormat="false" ht="15" hidden="false" customHeight="false" outlineLevel="0" collapsed="false">
      <c r="A1436" s="56" t="s">
        <v>2848</v>
      </c>
      <c r="B1436" s="56" t="s">
        <v>2849</v>
      </c>
      <c r="C1436" s="56" t="s">
        <v>87</v>
      </c>
      <c r="D1436" s="56" t="str">
        <f aca="false">IFERROR(INDEX('Brand Map'!$B$4:$B$124,MATCH(C1436,'Brand Map'!$A$4:$A$124,0)),"Other")</f>
        <v>FYF</v>
      </c>
      <c r="E1436" s="57" t="n">
        <v>1</v>
      </c>
      <c r="F1436" s="57" t="n">
        <v>0</v>
      </c>
      <c r="G1436" s="58" t="n">
        <v>44.95</v>
      </c>
      <c r="H1436" s="58" t="n">
        <v>0</v>
      </c>
      <c r="I1436" s="58" t="n">
        <v>44.95</v>
      </c>
      <c r="J1436" s="32" t="n">
        <f aca="false">IF(E1436&gt;0,F1436/E1436,0)</f>
        <v>0</v>
      </c>
      <c r="K1436" s="32" t="n">
        <f aca="false">IF(G1436&gt;0,H1436/G1436,0)</f>
        <v>-0</v>
      </c>
      <c r="L1436" s="59" t="n">
        <f aca="false">H1436/Settings!$B$16</f>
        <v>-0</v>
      </c>
      <c r="M1436" s="59" t="n">
        <f aca="false">H1436/Settings!$B$20</f>
        <v>-0</v>
      </c>
      <c r="N1436" s="60" t="n">
        <f aca="false">E1436*Settings!$B$3</f>
        <v>0.0309861510798204</v>
      </c>
      <c r="O1436" s="60" t="n">
        <f aca="false">IF(E1436&gt;0,(F1436-N1436)/SQRT(E1436*Settings!$B$3*(1-Settings!$B$3)),0)</f>
        <v>-0.178821125934444</v>
      </c>
      <c r="P1436" s="60" t="n">
        <f aca="false">MAX(0,F1436-N1436)</f>
        <v>0</v>
      </c>
      <c r="Q1436" s="32" t="n">
        <f aca="false">(F1436+Settings!$B$7*Settings!$B$3)/(E1436+Settings!$B$7)</f>
        <v>0.0299865978191811</v>
      </c>
      <c r="R1436" s="61" t="n">
        <f aca="false">PERCENTRANK($H$2:$H$1780,H1436,6)</f>
        <v>0</v>
      </c>
      <c r="S1436" s="61" t="n">
        <f aca="false">PERCENTRANK($Q$2:$Q$1780,Q1436,6)</f>
        <v>0.486502</v>
      </c>
      <c r="T1436" s="61" t="n">
        <f aca="false">PERCENTRANK($F$2:$F$1780,F1436,6)</f>
        <v>0</v>
      </c>
      <c r="U1436" s="62" t="n">
        <f aca="false">IF(F1436&gt;0,(Settings!$B$8*T1436+Settings!$B$9*R1436+Settings!$B$10*S1436)/SUM(Settings!$B$8:$B$10),0)</f>
        <v>0</v>
      </c>
      <c r="V1436" s="56" t="str">
        <f aca="false">IF(U1436&gt;0,RANK(U1436,$U$2:$U$1780)+COUNTIF($U$2:U1436,U1436)-1,"")</f>
        <v/>
      </c>
      <c r="W1436" s="56" t="str">
        <f aca="false">IF(V1436="","",IF(V1436&lt;=Settings!$B$11,"1 - Fix first",IF(V1436&lt;=Settings!$B$12,"2 - Review","3 - Monitor")))</f>
        <v/>
      </c>
      <c r="X1436" s="56" t="str">
        <f aca="false">IF(AND(E1436&gt;=Settings!$B$4,F1436&gt;=Settings!$B$5,O1436&gt;=Settings!$B$6),"HIGH RATE","")</f>
        <v/>
      </c>
      <c r="Y1436" s="56" t="str">
        <f aca="false">IF(F1436&gt;0,RANK(F1436,$F$2:$F$1780)+COUNTIF($F$2:F1436,F1436)-1,"")</f>
        <v/>
      </c>
      <c r="Z1436" s="56" t="str">
        <f aca="false">IF(H1436&gt;0,RANK(H1436,$H$2:$H$1780)+COUNTIF($H$2:H1436,H1436)-1,"")</f>
        <v/>
      </c>
      <c r="AA1436" s="56" t="str">
        <f aca="false">IF(AC1436="","",RANK(AC1436,$AC$2:$AC$1780)+COUNTIF($AC$2:AC1436,AC1436)-1)</f>
        <v/>
      </c>
      <c r="AB1436" s="56" t="str">
        <f aca="false">IF(AD1436="","",RANK(AD1436,$AD$2:$AD$1780)+COUNTIF($AD$2:AD1436,AD1436)-1)</f>
        <v/>
      </c>
      <c r="AC1436" s="56" t="str">
        <f aca="false">IF(AND(F1436&gt;0,E1436&gt;=Settings!$B$4),J1436,"")</f>
        <v/>
      </c>
      <c r="AD1436" s="56" t="str">
        <f aca="false">IF(X1436="HIGH RATE",O1436,"")</f>
        <v/>
      </c>
    </row>
    <row r="1437" customFormat="false" ht="15" hidden="false" customHeight="false" outlineLevel="0" collapsed="false">
      <c r="A1437" s="56" t="s">
        <v>2850</v>
      </c>
      <c r="B1437" s="56" t="s">
        <v>2851</v>
      </c>
      <c r="C1437" s="56" t="s">
        <v>87</v>
      </c>
      <c r="D1437" s="56" t="str">
        <f aca="false">IFERROR(INDEX('Brand Map'!$B$4:$B$124,MATCH(C1437,'Brand Map'!$A$4:$A$124,0)),"Other")</f>
        <v>FYF</v>
      </c>
      <c r="E1437" s="57" t="n">
        <v>1</v>
      </c>
      <c r="F1437" s="57" t="n">
        <v>0</v>
      </c>
      <c r="G1437" s="58" t="n">
        <v>164.95</v>
      </c>
      <c r="H1437" s="58" t="n">
        <v>0</v>
      </c>
      <c r="I1437" s="58" t="n">
        <v>164.95</v>
      </c>
      <c r="J1437" s="32" t="n">
        <f aca="false">IF(E1437&gt;0,F1437/E1437,0)</f>
        <v>0</v>
      </c>
      <c r="K1437" s="32" t="n">
        <f aca="false">IF(G1437&gt;0,H1437/G1437,0)</f>
        <v>-0</v>
      </c>
      <c r="L1437" s="59" t="n">
        <f aca="false">H1437/Settings!$B$16</f>
        <v>-0</v>
      </c>
      <c r="M1437" s="59" t="n">
        <f aca="false">H1437/Settings!$B$20</f>
        <v>-0</v>
      </c>
      <c r="N1437" s="60" t="n">
        <f aca="false">E1437*Settings!$B$3</f>
        <v>0.0309861510798204</v>
      </c>
      <c r="O1437" s="60" t="n">
        <f aca="false">IF(E1437&gt;0,(F1437-N1437)/SQRT(E1437*Settings!$B$3*(1-Settings!$B$3)),0)</f>
        <v>-0.178821125934444</v>
      </c>
      <c r="P1437" s="60" t="n">
        <f aca="false">MAX(0,F1437-N1437)</f>
        <v>0</v>
      </c>
      <c r="Q1437" s="32" t="n">
        <f aca="false">(F1437+Settings!$B$7*Settings!$B$3)/(E1437+Settings!$B$7)</f>
        <v>0.0299865978191811</v>
      </c>
      <c r="R1437" s="61" t="n">
        <f aca="false">PERCENTRANK($H$2:$H$1780,H1437,6)</f>
        <v>0</v>
      </c>
      <c r="S1437" s="61" t="n">
        <f aca="false">PERCENTRANK($Q$2:$Q$1780,Q1437,6)</f>
        <v>0.486502</v>
      </c>
      <c r="T1437" s="61" t="n">
        <f aca="false">PERCENTRANK($F$2:$F$1780,F1437,6)</f>
        <v>0</v>
      </c>
      <c r="U1437" s="62" t="n">
        <f aca="false">IF(F1437&gt;0,(Settings!$B$8*T1437+Settings!$B$9*R1437+Settings!$B$10*S1437)/SUM(Settings!$B$8:$B$10),0)</f>
        <v>0</v>
      </c>
      <c r="V1437" s="56" t="str">
        <f aca="false">IF(U1437&gt;0,RANK(U1437,$U$2:$U$1780)+COUNTIF($U$2:U1437,U1437)-1,"")</f>
        <v/>
      </c>
      <c r="W1437" s="56" t="str">
        <f aca="false">IF(V1437="","",IF(V1437&lt;=Settings!$B$11,"1 - Fix first",IF(V1437&lt;=Settings!$B$12,"2 - Review","3 - Monitor")))</f>
        <v/>
      </c>
      <c r="X1437" s="56" t="str">
        <f aca="false">IF(AND(E1437&gt;=Settings!$B$4,F1437&gt;=Settings!$B$5,O1437&gt;=Settings!$B$6),"HIGH RATE","")</f>
        <v/>
      </c>
      <c r="Y1437" s="56" t="str">
        <f aca="false">IF(F1437&gt;0,RANK(F1437,$F$2:$F$1780)+COUNTIF($F$2:F1437,F1437)-1,"")</f>
        <v/>
      </c>
      <c r="Z1437" s="56" t="str">
        <f aca="false">IF(H1437&gt;0,RANK(H1437,$H$2:$H$1780)+COUNTIF($H$2:H1437,H1437)-1,"")</f>
        <v/>
      </c>
      <c r="AA1437" s="56" t="str">
        <f aca="false">IF(AC1437="","",RANK(AC1437,$AC$2:$AC$1780)+COUNTIF($AC$2:AC1437,AC1437)-1)</f>
        <v/>
      </c>
      <c r="AB1437" s="56" t="str">
        <f aca="false">IF(AD1437="","",RANK(AD1437,$AD$2:$AD$1780)+COUNTIF($AD$2:AD1437,AD1437)-1)</f>
        <v/>
      </c>
      <c r="AC1437" s="56" t="str">
        <f aca="false">IF(AND(F1437&gt;0,E1437&gt;=Settings!$B$4),J1437,"")</f>
        <v/>
      </c>
      <c r="AD1437" s="56" t="str">
        <f aca="false">IF(X1437="HIGH RATE",O1437,"")</f>
        <v/>
      </c>
    </row>
    <row r="1438" customFormat="false" ht="15" hidden="false" customHeight="false" outlineLevel="0" collapsed="false">
      <c r="A1438" s="56" t="s">
        <v>2852</v>
      </c>
      <c r="B1438" s="56" t="s">
        <v>1394</v>
      </c>
      <c r="C1438" s="56" t="s">
        <v>87</v>
      </c>
      <c r="D1438" s="56" t="str">
        <f aca="false">IFERROR(INDEX('Brand Map'!$B$4:$B$124,MATCH(C1438,'Brand Map'!$A$4:$A$124,0)),"Other")</f>
        <v>FYF</v>
      </c>
      <c r="E1438" s="57" t="n">
        <v>1</v>
      </c>
      <c r="F1438" s="57" t="n">
        <v>0</v>
      </c>
      <c r="G1438" s="58" t="n">
        <v>18.99</v>
      </c>
      <c r="H1438" s="58" t="n">
        <v>0</v>
      </c>
      <c r="I1438" s="58" t="n">
        <v>18.99</v>
      </c>
      <c r="J1438" s="32" t="n">
        <f aca="false">IF(E1438&gt;0,F1438/E1438,0)</f>
        <v>0</v>
      </c>
      <c r="K1438" s="32" t="n">
        <f aca="false">IF(G1438&gt;0,H1438/G1438,0)</f>
        <v>-0</v>
      </c>
      <c r="L1438" s="59" t="n">
        <f aca="false">H1438/Settings!$B$16</f>
        <v>-0</v>
      </c>
      <c r="M1438" s="59" t="n">
        <f aca="false">H1438/Settings!$B$20</f>
        <v>-0</v>
      </c>
      <c r="N1438" s="60" t="n">
        <f aca="false">E1438*Settings!$B$3</f>
        <v>0.0309861510798204</v>
      </c>
      <c r="O1438" s="60" t="n">
        <f aca="false">IF(E1438&gt;0,(F1438-N1438)/SQRT(E1438*Settings!$B$3*(1-Settings!$B$3)),0)</f>
        <v>-0.178821125934444</v>
      </c>
      <c r="P1438" s="60" t="n">
        <f aca="false">MAX(0,F1438-N1438)</f>
        <v>0</v>
      </c>
      <c r="Q1438" s="32" t="n">
        <f aca="false">(F1438+Settings!$B$7*Settings!$B$3)/(E1438+Settings!$B$7)</f>
        <v>0.0299865978191811</v>
      </c>
      <c r="R1438" s="61" t="n">
        <f aca="false">PERCENTRANK($H$2:$H$1780,H1438,6)</f>
        <v>0</v>
      </c>
      <c r="S1438" s="61" t="n">
        <f aca="false">PERCENTRANK($Q$2:$Q$1780,Q1438,6)</f>
        <v>0.486502</v>
      </c>
      <c r="T1438" s="61" t="n">
        <f aca="false">PERCENTRANK($F$2:$F$1780,F1438,6)</f>
        <v>0</v>
      </c>
      <c r="U1438" s="62" t="n">
        <f aca="false">IF(F1438&gt;0,(Settings!$B$8*T1438+Settings!$B$9*R1438+Settings!$B$10*S1438)/SUM(Settings!$B$8:$B$10),0)</f>
        <v>0</v>
      </c>
      <c r="V1438" s="56" t="str">
        <f aca="false">IF(U1438&gt;0,RANK(U1438,$U$2:$U$1780)+COUNTIF($U$2:U1438,U1438)-1,"")</f>
        <v/>
      </c>
      <c r="W1438" s="56" t="str">
        <f aca="false">IF(V1438="","",IF(V1438&lt;=Settings!$B$11,"1 - Fix first",IF(V1438&lt;=Settings!$B$12,"2 - Review","3 - Monitor")))</f>
        <v/>
      </c>
      <c r="X1438" s="56" t="str">
        <f aca="false">IF(AND(E1438&gt;=Settings!$B$4,F1438&gt;=Settings!$B$5,O1438&gt;=Settings!$B$6),"HIGH RATE","")</f>
        <v/>
      </c>
      <c r="Y1438" s="56" t="str">
        <f aca="false">IF(F1438&gt;0,RANK(F1438,$F$2:$F$1780)+COUNTIF($F$2:F1438,F1438)-1,"")</f>
        <v/>
      </c>
      <c r="Z1438" s="56" t="str">
        <f aca="false">IF(H1438&gt;0,RANK(H1438,$H$2:$H$1780)+COUNTIF($H$2:H1438,H1438)-1,"")</f>
        <v/>
      </c>
      <c r="AA1438" s="56" t="str">
        <f aca="false">IF(AC1438="","",RANK(AC1438,$AC$2:$AC$1780)+COUNTIF($AC$2:AC1438,AC1438)-1)</f>
        <v/>
      </c>
      <c r="AB1438" s="56" t="str">
        <f aca="false">IF(AD1438="","",RANK(AD1438,$AD$2:$AD$1780)+COUNTIF($AD$2:AD1438,AD1438)-1)</f>
        <v/>
      </c>
      <c r="AC1438" s="56" t="str">
        <f aca="false">IF(AND(F1438&gt;0,E1438&gt;=Settings!$B$4),J1438,"")</f>
        <v/>
      </c>
      <c r="AD1438" s="56" t="str">
        <f aca="false">IF(X1438="HIGH RATE",O1438,"")</f>
        <v/>
      </c>
    </row>
    <row r="1439" customFormat="false" ht="15" hidden="false" customHeight="false" outlineLevel="0" collapsed="false">
      <c r="A1439" s="56" t="s">
        <v>2853</v>
      </c>
      <c r="B1439" s="56" t="s">
        <v>1394</v>
      </c>
      <c r="C1439" s="56" t="s">
        <v>87</v>
      </c>
      <c r="D1439" s="56" t="str">
        <f aca="false">IFERROR(INDEX('Brand Map'!$B$4:$B$124,MATCH(C1439,'Brand Map'!$A$4:$A$124,0)),"Other")</f>
        <v>FYF</v>
      </c>
      <c r="E1439" s="57" t="n">
        <v>1</v>
      </c>
      <c r="F1439" s="57" t="n">
        <v>0</v>
      </c>
      <c r="G1439" s="58" t="n">
        <v>20.95</v>
      </c>
      <c r="H1439" s="58" t="n">
        <v>0</v>
      </c>
      <c r="I1439" s="58" t="n">
        <v>20.95</v>
      </c>
      <c r="J1439" s="32" t="n">
        <f aca="false">IF(E1439&gt;0,F1439/E1439,0)</f>
        <v>0</v>
      </c>
      <c r="K1439" s="32" t="n">
        <f aca="false">IF(G1439&gt;0,H1439/G1439,0)</f>
        <v>-0</v>
      </c>
      <c r="L1439" s="59" t="n">
        <f aca="false">H1439/Settings!$B$16</f>
        <v>-0</v>
      </c>
      <c r="M1439" s="59" t="n">
        <f aca="false">H1439/Settings!$B$20</f>
        <v>-0</v>
      </c>
      <c r="N1439" s="60" t="n">
        <f aca="false">E1439*Settings!$B$3</f>
        <v>0.0309861510798204</v>
      </c>
      <c r="O1439" s="60" t="n">
        <f aca="false">IF(E1439&gt;0,(F1439-N1439)/SQRT(E1439*Settings!$B$3*(1-Settings!$B$3)),0)</f>
        <v>-0.178821125934444</v>
      </c>
      <c r="P1439" s="60" t="n">
        <f aca="false">MAX(0,F1439-N1439)</f>
        <v>0</v>
      </c>
      <c r="Q1439" s="32" t="n">
        <f aca="false">(F1439+Settings!$B$7*Settings!$B$3)/(E1439+Settings!$B$7)</f>
        <v>0.0299865978191811</v>
      </c>
      <c r="R1439" s="61" t="n">
        <f aca="false">PERCENTRANK($H$2:$H$1780,H1439,6)</f>
        <v>0</v>
      </c>
      <c r="S1439" s="61" t="n">
        <f aca="false">PERCENTRANK($Q$2:$Q$1780,Q1439,6)</f>
        <v>0.486502</v>
      </c>
      <c r="T1439" s="61" t="n">
        <f aca="false">PERCENTRANK($F$2:$F$1780,F1439,6)</f>
        <v>0</v>
      </c>
      <c r="U1439" s="62" t="n">
        <f aca="false">IF(F1439&gt;0,(Settings!$B$8*T1439+Settings!$B$9*R1439+Settings!$B$10*S1439)/SUM(Settings!$B$8:$B$10),0)</f>
        <v>0</v>
      </c>
      <c r="V1439" s="56" t="str">
        <f aca="false">IF(U1439&gt;0,RANK(U1439,$U$2:$U$1780)+COUNTIF($U$2:U1439,U1439)-1,"")</f>
        <v/>
      </c>
      <c r="W1439" s="56" t="str">
        <f aca="false">IF(V1439="","",IF(V1439&lt;=Settings!$B$11,"1 - Fix first",IF(V1439&lt;=Settings!$B$12,"2 - Review","3 - Monitor")))</f>
        <v/>
      </c>
      <c r="X1439" s="56" t="str">
        <f aca="false">IF(AND(E1439&gt;=Settings!$B$4,F1439&gt;=Settings!$B$5,O1439&gt;=Settings!$B$6),"HIGH RATE","")</f>
        <v/>
      </c>
      <c r="Y1439" s="56" t="str">
        <f aca="false">IF(F1439&gt;0,RANK(F1439,$F$2:$F$1780)+COUNTIF($F$2:F1439,F1439)-1,"")</f>
        <v/>
      </c>
      <c r="Z1439" s="56" t="str">
        <f aca="false">IF(H1439&gt;0,RANK(H1439,$H$2:$H$1780)+COUNTIF($H$2:H1439,H1439)-1,"")</f>
        <v/>
      </c>
      <c r="AA1439" s="56" t="str">
        <f aca="false">IF(AC1439="","",RANK(AC1439,$AC$2:$AC$1780)+COUNTIF($AC$2:AC1439,AC1439)-1)</f>
        <v/>
      </c>
      <c r="AB1439" s="56" t="str">
        <f aca="false">IF(AD1439="","",RANK(AD1439,$AD$2:$AD$1780)+COUNTIF($AD$2:AD1439,AD1439)-1)</f>
        <v/>
      </c>
      <c r="AC1439" s="56" t="str">
        <f aca="false">IF(AND(F1439&gt;0,E1439&gt;=Settings!$B$4),J1439,"")</f>
        <v/>
      </c>
      <c r="AD1439" s="56" t="str">
        <f aca="false">IF(X1439="HIGH RATE",O1439,"")</f>
        <v/>
      </c>
    </row>
    <row r="1440" customFormat="false" ht="15" hidden="false" customHeight="false" outlineLevel="0" collapsed="false">
      <c r="A1440" s="56" t="s">
        <v>2854</v>
      </c>
      <c r="B1440" s="56" t="s">
        <v>1394</v>
      </c>
      <c r="C1440" s="56" t="s">
        <v>87</v>
      </c>
      <c r="D1440" s="56" t="str">
        <f aca="false">IFERROR(INDEX('Brand Map'!$B$4:$B$124,MATCH(C1440,'Brand Map'!$A$4:$A$124,0)),"Other")</f>
        <v>FYF</v>
      </c>
      <c r="E1440" s="57" t="n">
        <v>1</v>
      </c>
      <c r="F1440" s="57" t="n">
        <v>0</v>
      </c>
      <c r="G1440" s="58" t="n">
        <v>64.95</v>
      </c>
      <c r="H1440" s="58" t="n">
        <v>0</v>
      </c>
      <c r="I1440" s="58" t="n">
        <v>64.95</v>
      </c>
      <c r="J1440" s="32" t="n">
        <f aca="false">IF(E1440&gt;0,F1440/E1440,0)</f>
        <v>0</v>
      </c>
      <c r="K1440" s="32" t="n">
        <f aca="false">IF(G1440&gt;0,H1440/G1440,0)</f>
        <v>-0</v>
      </c>
      <c r="L1440" s="59" t="n">
        <f aca="false">H1440/Settings!$B$16</f>
        <v>-0</v>
      </c>
      <c r="M1440" s="59" t="n">
        <f aca="false">H1440/Settings!$B$20</f>
        <v>-0</v>
      </c>
      <c r="N1440" s="60" t="n">
        <f aca="false">E1440*Settings!$B$3</f>
        <v>0.0309861510798204</v>
      </c>
      <c r="O1440" s="60" t="n">
        <f aca="false">IF(E1440&gt;0,(F1440-N1440)/SQRT(E1440*Settings!$B$3*(1-Settings!$B$3)),0)</f>
        <v>-0.178821125934444</v>
      </c>
      <c r="P1440" s="60" t="n">
        <f aca="false">MAX(0,F1440-N1440)</f>
        <v>0</v>
      </c>
      <c r="Q1440" s="32" t="n">
        <f aca="false">(F1440+Settings!$B$7*Settings!$B$3)/(E1440+Settings!$B$7)</f>
        <v>0.0299865978191811</v>
      </c>
      <c r="R1440" s="61" t="n">
        <f aca="false">PERCENTRANK($H$2:$H$1780,H1440,6)</f>
        <v>0</v>
      </c>
      <c r="S1440" s="61" t="n">
        <f aca="false">PERCENTRANK($Q$2:$Q$1780,Q1440,6)</f>
        <v>0.486502</v>
      </c>
      <c r="T1440" s="61" t="n">
        <f aca="false">PERCENTRANK($F$2:$F$1780,F1440,6)</f>
        <v>0</v>
      </c>
      <c r="U1440" s="62" t="n">
        <f aca="false">IF(F1440&gt;0,(Settings!$B$8*T1440+Settings!$B$9*R1440+Settings!$B$10*S1440)/SUM(Settings!$B$8:$B$10),0)</f>
        <v>0</v>
      </c>
      <c r="V1440" s="56" t="str">
        <f aca="false">IF(U1440&gt;0,RANK(U1440,$U$2:$U$1780)+COUNTIF($U$2:U1440,U1440)-1,"")</f>
        <v/>
      </c>
      <c r="W1440" s="56" t="str">
        <f aca="false">IF(V1440="","",IF(V1440&lt;=Settings!$B$11,"1 - Fix first",IF(V1440&lt;=Settings!$B$12,"2 - Review","3 - Monitor")))</f>
        <v/>
      </c>
      <c r="X1440" s="56" t="str">
        <f aca="false">IF(AND(E1440&gt;=Settings!$B$4,F1440&gt;=Settings!$B$5,O1440&gt;=Settings!$B$6),"HIGH RATE","")</f>
        <v/>
      </c>
      <c r="Y1440" s="56" t="str">
        <f aca="false">IF(F1440&gt;0,RANK(F1440,$F$2:$F$1780)+COUNTIF($F$2:F1440,F1440)-1,"")</f>
        <v/>
      </c>
      <c r="Z1440" s="56" t="str">
        <f aca="false">IF(H1440&gt;0,RANK(H1440,$H$2:$H$1780)+COUNTIF($H$2:H1440,H1440)-1,"")</f>
        <v/>
      </c>
      <c r="AA1440" s="56" t="str">
        <f aca="false">IF(AC1440="","",RANK(AC1440,$AC$2:$AC$1780)+COUNTIF($AC$2:AC1440,AC1440)-1)</f>
        <v/>
      </c>
      <c r="AB1440" s="56" t="str">
        <f aca="false">IF(AD1440="","",RANK(AD1440,$AD$2:$AD$1780)+COUNTIF($AD$2:AD1440,AD1440)-1)</f>
        <v/>
      </c>
      <c r="AC1440" s="56" t="str">
        <f aca="false">IF(AND(F1440&gt;0,E1440&gt;=Settings!$B$4),J1440,"")</f>
        <v/>
      </c>
      <c r="AD1440" s="56" t="str">
        <f aca="false">IF(X1440="HIGH RATE",O1440,"")</f>
        <v/>
      </c>
    </row>
    <row r="1441" customFormat="false" ht="15" hidden="false" customHeight="false" outlineLevel="0" collapsed="false">
      <c r="A1441" s="56" t="s">
        <v>2855</v>
      </c>
      <c r="B1441" s="56" t="s">
        <v>1394</v>
      </c>
      <c r="C1441" s="56" t="s">
        <v>87</v>
      </c>
      <c r="D1441" s="56" t="str">
        <f aca="false">IFERROR(INDEX('Brand Map'!$B$4:$B$124,MATCH(C1441,'Brand Map'!$A$4:$A$124,0)),"Other")</f>
        <v>FYF</v>
      </c>
      <c r="E1441" s="57" t="n">
        <v>5</v>
      </c>
      <c r="F1441" s="57" t="n">
        <v>0</v>
      </c>
      <c r="G1441" s="58" t="n">
        <v>374.75</v>
      </c>
      <c r="H1441" s="58" t="n">
        <v>0</v>
      </c>
      <c r="I1441" s="58" t="n">
        <v>374.75</v>
      </c>
      <c r="J1441" s="32" t="n">
        <f aca="false">IF(E1441&gt;0,F1441/E1441,0)</f>
        <v>0</v>
      </c>
      <c r="K1441" s="32" t="n">
        <f aca="false">IF(G1441&gt;0,H1441/G1441,0)</f>
        <v>-0</v>
      </c>
      <c r="L1441" s="59" t="n">
        <f aca="false">H1441/Settings!$B$16</f>
        <v>-0</v>
      </c>
      <c r="M1441" s="59" t="n">
        <f aca="false">H1441/Settings!$B$20</f>
        <v>-0</v>
      </c>
      <c r="N1441" s="60" t="n">
        <f aca="false">E1441*Settings!$B$3</f>
        <v>0.154930755399102</v>
      </c>
      <c r="O1441" s="60" t="n">
        <f aca="false">IF(E1441&gt;0,(F1441-N1441)/SQRT(E1441*Settings!$B$3*(1-Settings!$B$3)),0)</f>
        <v>-0.399856193402468</v>
      </c>
      <c r="P1441" s="60" t="n">
        <f aca="false">MAX(0,F1441-N1441)</f>
        <v>0</v>
      </c>
      <c r="Q1441" s="32" t="n">
        <f aca="false">(F1441+Settings!$B$7*Settings!$B$3)/(E1441+Settings!$B$7)</f>
        <v>0.0265595580684175</v>
      </c>
      <c r="R1441" s="61" t="n">
        <f aca="false">PERCENTRANK($H$2:$H$1780,H1441,6)</f>
        <v>0</v>
      </c>
      <c r="S1441" s="61" t="n">
        <f aca="false">PERCENTRANK($Q$2:$Q$1780,Q1441,6)</f>
        <v>0.220472</v>
      </c>
      <c r="T1441" s="61" t="n">
        <f aca="false">PERCENTRANK($F$2:$F$1780,F1441,6)</f>
        <v>0</v>
      </c>
      <c r="U1441" s="62" t="n">
        <f aca="false">IF(F1441&gt;0,(Settings!$B$8*T1441+Settings!$B$9*R1441+Settings!$B$10*S1441)/SUM(Settings!$B$8:$B$10),0)</f>
        <v>0</v>
      </c>
      <c r="V1441" s="56" t="str">
        <f aca="false">IF(U1441&gt;0,RANK(U1441,$U$2:$U$1780)+COUNTIF($U$2:U1441,U1441)-1,"")</f>
        <v/>
      </c>
      <c r="W1441" s="56" t="str">
        <f aca="false">IF(V1441="","",IF(V1441&lt;=Settings!$B$11,"1 - Fix first",IF(V1441&lt;=Settings!$B$12,"2 - Review","3 - Monitor")))</f>
        <v/>
      </c>
      <c r="X1441" s="56" t="str">
        <f aca="false">IF(AND(E1441&gt;=Settings!$B$4,F1441&gt;=Settings!$B$5,O1441&gt;=Settings!$B$6),"HIGH RATE","")</f>
        <v/>
      </c>
      <c r="Y1441" s="56" t="str">
        <f aca="false">IF(F1441&gt;0,RANK(F1441,$F$2:$F$1780)+COUNTIF($F$2:F1441,F1441)-1,"")</f>
        <v/>
      </c>
      <c r="Z1441" s="56" t="str">
        <f aca="false">IF(H1441&gt;0,RANK(H1441,$H$2:$H$1780)+COUNTIF($H$2:H1441,H1441)-1,"")</f>
        <v/>
      </c>
      <c r="AA1441" s="56" t="str">
        <f aca="false">IF(AC1441="","",RANK(AC1441,$AC$2:$AC$1780)+COUNTIF($AC$2:AC1441,AC1441)-1)</f>
        <v/>
      </c>
      <c r="AB1441" s="56" t="str">
        <f aca="false">IF(AD1441="","",RANK(AD1441,$AD$2:$AD$1780)+COUNTIF($AD$2:AD1441,AD1441)-1)</f>
        <v/>
      </c>
      <c r="AC1441" s="56" t="str">
        <f aca="false">IF(AND(F1441&gt;0,E1441&gt;=Settings!$B$4),J1441,"")</f>
        <v/>
      </c>
      <c r="AD1441" s="56" t="str">
        <f aca="false">IF(X1441="HIGH RATE",O1441,"")</f>
        <v/>
      </c>
    </row>
    <row r="1442" customFormat="false" ht="15" hidden="false" customHeight="false" outlineLevel="0" collapsed="false">
      <c r="A1442" s="56" t="s">
        <v>2856</v>
      </c>
      <c r="B1442" s="56" t="s">
        <v>1394</v>
      </c>
      <c r="C1442" s="56" t="s">
        <v>87</v>
      </c>
      <c r="D1442" s="56" t="str">
        <f aca="false">IFERROR(INDEX('Brand Map'!$B$4:$B$124,MATCH(C1442,'Brand Map'!$A$4:$A$124,0)),"Other")</f>
        <v>FYF</v>
      </c>
      <c r="E1442" s="57" t="n">
        <v>3</v>
      </c>
      <c r="F1442" s="57" t="n">
        <v>0</v>
      </c>
      <c r="G1442" s="58" t="n">
        <v>179.97</v>
      </c>
      <c r="H1442" s="58" t="n">
        <v>0</v>
      </c>
      <c r="I1442" s="58" t="n">
        <v>179.97</v>
      </c>
      <c r="J1442" s="32" t="n">
        <f aca="false">IF(E1442&gt;0,F1442/E1442,0)</f>
        <v>0</v>
      </c>
      <c r="K1442" s="32" t="n">
        <f aca="false">IF(G1442&gt;0,H1442/G1442,0)</f>
        <v>-0</v>
      </c>
      <c r="L1442" s="59" t="n">
        <f aca="false">H1442/Settings!$B$16</f>
        <v>-0</v>
      </c>
      <c r="M1442" s="59" t="n">
        <f aca="false">H1442/Settings!$B$20</f>
        <v>-0</v>
      </c>
      <c r="N1442" s="60" t="n">
        <f aca="false">E1442*Settings!$B$3</f>
        <v>0.0929584532394613</v>
      </c>
      <c r="O1442" s="60" t="n">
        <f aca="false">IF(E1442&gt;0,(F1442-N1442)/SQRT(E1442*Settings!$B$3*(1-Settings!$B$3)),0)</f>
        <v>-0.30972727558513</v>
      </c>
      <c r="P1442" s="60" t="n">
        <f aca="false">MAX(0,F1442-N1442)</f>
        <v>0</v>
      </c>
      <c r="Q1442" s="32" t="n">
        <f aca="false">(F1442+Settings!$B$7*Settings!$B$3)/(E1442+Settings!$B$7)</f>
        <v>0.0281692282543822</v>
      </c>
      <c r="R1442" s="61" t="n">
        <f aca="false">PERCENTRANK($H$2:$H$1780,H1442,6)</f>
        <v>0</v>
      </c>
      <c r="S1442" s="61" t="n">
        <f aca="false">PERCENTRANK($Q$2:$Q$1780,Q1442,6)</f>
        <v>0.294151</v>
      </c>
      <c r="T1442" s="61" t="n">
        <f aca="false">PERCENTRANK($F$2:$F$1780,F1442,6)</f>
        <v>0</v>
      </c>
      <c r="U1442" s="62" t="n">
        <f aca="false">IF(F1442&gt;0,(Settings!$B$8*T1442+Settings!$B$9*R1442+Settings!$B$10*S1442)/SUM(Settings!$B$8:$B$10),0)</f>
        <v>0</v>
      </c>
      <c r="V1442" s="56" t="str">
        <f aca="false">IF(U1442&gt;0,RANK(U1442,$U$2:$U$1780)+COUNTIF($U$2:U1442,U1442)-1,"")</f>
        <v/>
      </c>
      <c r="W1442" s="56" t="str">
        <f aca="false">IF(V1442="","",IF(V1442&lt;=Settings!$B$11,"1 - Fix first",IF(V1442&lt;=Settings!$B$12,"2 - Review","3 - Monitor")))</f>
        <v/>
      </c>
      <c r="X1442" s="56" t="str">
        <f aca="false">IF(AND(E1442&gt;=Settings!$B$4,F1442&gt;=Settings!$B$5,O1442&gt;=Settings!$B$6),"HIGH RATE","")</f>
        <v/>
      </c>
      <c r="Y1442" s="56" t="str">
        <f aca="false">IF(F1442&gt;0,RANK(F1442,$F$2:$F$1780)+COUNTIF($F$2:F1442,F1442)-1,"")</f>
        <v/>
      </c>
      <c r="Z1442" s="56" t="str">
        <f aca="false">IF(H1442&gt;0,RANK(H1442,$H$2:$H$1780)+COUNTIF($H$2:H1442,H1442)-1,"")</f>
        <v/>
      </c>
      <c r="AA1442" s="56" t="str">
        <f aca="false">IF(AC1442="","",RANK(AC1442,$AC$2:$AC$1780)+COUNTIF($AC$2:AC1442,AC1442)-1)</f>
        <v/>
      </c>
      <c r="AB1442" s="56" t="str">
        <f aca="false">IF(AD1442="","",RANK(AD1442,$AD$2:$AD$1780)+COUNTIF($AD$2:AD1442,AD1442)-1)</f>
        <v/>
      </c>
      <c r="AC1442" s="56" t="str">
        <f aca="false">IF(AND(F1442&gt;0,E1442&gt;=Settings!$B$4),J1442,"")</f>
        <v/>
      </c>
      <c r="AD1442" s="56" t="str">
        <f aca="false">IF(X1442="HIGH RATE",O1442,"")</f>
        <v/>
      </c>
    </row>
    <row r="1443" customFormat="false" ht="15" hidden="false" customHeight="false" outlineLevel="0" collapsed="false">
      <c r="A1443" s="56" t="s">
        <v>2857</v>
      </c>
      <c r="B1443" s="56" t="s">
        <v>2858</v>
      </c>
      <c r="C1443" s="56" t="s">
        <v>87</v>
      </c>
      <c r="D1443" s="56" t="str">
        <f aca="false">IFERROR(INDEX('Brand Map'!$B$4:$B$124,MATCH(C1443,'Brand Map'!$A$4:$A$124,0)),"Other")</f>
        <v>FYF</v>
      </c>
      <c r="E1443" s="57" t="n">
        <v>2</v>
      </c>
      <c r="F1443" s="57" t="n">
        <v>0</v>
      </c>
      <c r="G1443" s="58" t="n">
        <v>189.9</v>
      </c>
      <c r="H1443" s="58" t="n">
        <v>0</v>
      </c>
      <c r="I1443" s="58" t="n">
        <v>189.9</v>
      </c>
      <c r="J1443" s="32" t="n">
        <f aca="false">IF(E1443&gt;0,F1443/E1443,0)</f>
        <v>0</v>
      </c>
      <c r="K1443" s="32" t="n">
        <f aca="false">IF(G1443&gt;0,H1443/G1443,0)</f>
        <v>-0</v>
      </c>
      <c r="L1443" s="59" t="n">
        <f aca="false">H1443/Settings!$B$16</f>
        <v>-0</v>
      </c>
      <c r="M1443" s="59" t="n">
        <f aca="false">H1443/Settings!$B$20</f>
        <v>-0</v>
      </c>
      <c r="N1443" s="60" t="n">
        <f aca="false">E1443*Settings!$B$3</f>
        <v>0.0619723021596408</v>
      </c>
      <c r="O1443" s="60" t="n">
        <f aca="false">IF(E1443&gt;0,(F1443-N1443)/SQRT(E1443*Settings!$B$3*(1-Settings!$B$3)),0)</f>
        <v>-0.252891261535318</v>
      </c>
      <c r="P1443" s="60" t="n">
        <f aca="false">MAX(0,F1443-N1443)</f>
        <v>0</v>
      </c>
      <c r="Q1443" s="32" t="n">
        <f aca="false">(F1443+Settings!$B$7*Settings!$B$3)/(E1443+Settings!$B$7)</f>
        <v>0.0290495166373316</v>
      </c>
      <c r="R1443" s="61" t="n">
        <f aca="false">PERCENTRANK($H$2:$H$1780,H1443,6)</f>
        <v>0</v>
      </c>
      <c r="S1443" s="61" t="n">
        <f aca="false">PERCENTRANK($Q$2:$Q$1780,Q1443,6)</f>
        <v>0.365579</v>
      </c>
      <c r="T1443" s="61" t="n">
        <f aca="false">PERCENTRANK($F$2:$F$1780,F1443,6)</f>
        <v>0</v>
      </c>
      <c r="U1443" s="62" t="n">
        <f aca="false">IF(F1443&gt;0,(Settings!$B$8*T1443+Settings!$B$9*R1443+Settings!$B$10*S1443)/SUM(Settings!$B$8:$B$10),0)</f>
        <v>0</v>
      </c>
      <c r="V1443" s="56" t="str">
        <f aca="false">IF(U1443&gt;0,RANK(U1443,$U$2:$U$1780)+COUNTIF($U$2:U1443,U1443)-1,"")</f>
        <v/>
      </c>
      <c r="W1443" s="56" t="str">
        <f aca="false">IF(V1443="","",IF(V1443&lt;=Settings!$B$11,"1 - Fix first",IF(V1443&lt;=Settings!$B$12,"2 - Review","3 - Monitor")))</f>
        <v/>
      </c>
      <c r="X1443" s="56" t="str">
        <f aca="false">IF(AND(E1443&gt;=Settings!$B$4,F1443&gt;=Settings!$B$5,O1443&gt;=Settings!$B$6),"HIGH RATE","")</f>
        <v/>
      </c>
      <c r="Y1443" s="56" t="str">
        <f aca="false">IF(F1443&gt;0,RANK(F1443,$F$2:$F$1780)+COUNTIF($F$2:F1443,F1443)-1,"")</f>
        <v/>
      </c>
      <c r="Z1443" s="56" t="str">
        <f aca="false">IF(H1443&gt;0,RANK(H1443,$H$2:$H$1780)+COUNTIF($H$2:H1443,H1443)-1,"")</f>
        <v/>
      </c>
      <c r="AA1443" s="56" t="str">
        <f aca="false">IF(AC1443="","",RANK(AC1443,$AC$2:$AC$1780)+COUNTIF($AC$2:AC1443,AC1443)-1)</f>
        <v/>
      </c>
      <c r="AB1443" s="56" t="str">
        <f aca="false">IF(AD1443="","",RANK(AD1443,$AD$2:$AD$1780)+COUNTIF($AD$2:AD1443,AD1443)-1)</f>
        <v/>
      </c>
      <c r="AC1443" s="56" t="str">
        <f aca="false">IF(AND(F1443&gt;0,E1443&gt;=Settings!$B$4),J1443,"")</f>
        <v/>
      </c>
      <c r="AD1443" s="56" t="str">
        <f aca="false">IF(X1443="HIGH RATE",O1443,"")</f>
        <v/>
      </c>
    </row>
    <row r="1444" customFormat="false" ht="15" hidden="false" customHeight="false" outlineLevel="0" collapsed="false">
      <c r="A1444" s="56" t="s">
        <v>2859</v>
      </c>
      <c r="B1444" s="56" t="s">
        <v>2858</v>
      </c>
      <c r="C1444" s="56" t="s">
        <v>87</v>
      </c>
      <c r="D1444" s="56" t="str">
        <f aca="false">IFERROR(INDEX('Brand Map'!$B$4:$B$124,MATCH(C1444,'Brand Map'!$A$4:$A$124,0)),"Other")</f>
        <v>FYF</v>
      </c>
      <c r="E1444" s="57" t="n">
        <v>1</v>
      </c>
      <c r="F1444" s="57" t="n">
        <v>0</v>
      </c>
      <c r="G1444" s="58" t="n">
        <v>109.95</v>
      </c>
      <c r="H1444" s="58" t="n">
        <v>0</v>
      </c>
      <c r="I1444" s="58" t="n">
        <v>109.95</v>
      </c>
      <c r="J1444" s="32" t="n">
        <f aca="false">IF(E1444&gt;0,F1444/E1444,0)</f>
        <v>0</v>
      </c>
      <c r="K1444" s="32" t="n">
        <f aca="false">IF(G1444&gt;0,H1444/G1444,0)</f>
        <v>-0</v>
      </c>
      <c r="L1444" s="59" t="n">
        <f aca="false">H1444/Settings!$B$16</f>
        <v>-0</v>
      </c>
      <c r="M1444" s="59" t="n">
        <f aca="false">H1444/Settings!$B$20</f>
        <v>-0</v>
      </c>
      <c r="N1444" s="60" t="n">
        <f aca="false">E1444*Settings!$B$3</f>
        <v>0.0309861510798204</v>
      </c>
      <c r="O1444" s="60" t="n">
        <f aca="false">IF(E1444&gt;0,(F1444-N1444)/SQRT(E1444*Settings!$B$3*(1-Settings!$B$3)),0)</f>
        <v>-0.178821125934444</v>
      </c>
      <c r="P1444" s="60" t="n">
        <f aca="false">MAX(0,F1444-N1444)</f>
        <v>0</v>
      </c>
      <c r="Q1444" s="32" t="n">
        <f aca="false">(F1444+Settings!$B$7*Settings!$B$3)/(E1444+Settings!$B$7)</f>
        <v>0.0299865978191811</v>
      </c>
      <c r="R1444" s="61" t="n">
        <f aca="false">PERCENTRANK($H$2:$H$1780,H1444,6)</f>
        <v>0</v>
      </c>
      <c r="S1444" s="61" t="n">
        <f aca="false">PERCENTRANK($Q$2:$Q$1780,Q1444,6)</f>
        <v>0.486502</v>
      </c>
      <c r="T1444" s="61" t="n">
        <f aca="false">PERCENTRANK($F$2:$F$1780,F1444,6)</f>
        <v>0</v>
      </c>
      <c r="U1444" s="62" t="n">
        <f aca="false">IF(F1444&gt;0,(Settings!$B$8*T1444+Settings!$B$9*R1444+Settings!$B$10*S1444)/SUM(Settings!$B$8:$B$10),0)</f>
        <v>0</v>
      </c>
      <c r="V1444" s="56" t="str">
        <f aca="false">IF(U1444&gt;0,RANK(U1444,$U$2:$U$1780)+COUNTIF($U$2:U1444,U1444)-1,"")</f>
        <v/>
      </c>
      <c r="W1444" s="56" t="str">
        <f aca="false">IF(V1444="","",IF(V1444&lt;=Settings!$B$11,"1 - Fix first",IF(V1444&lt;=Settings!$B$12,"2 - Review","3 - Monitor")))</f>
        <v/>
      </c>
      <c r="X1444" s="56" t="str">
        <f aca="false">IF(AND(E1444&gt;=Settings!$B$4,F1444&gt;=Settings!$B$5,O1444&gt;=Settings!$B$6),"HIGH RATE","")</f>
        <v/>
      </c>
      <c r="Y1444" s="56" t="str">
        <f aca="false">IF(F1444&gt;0,RANK(F1444,$F$2:$F$1780)+COUNTIF($F$2:F1444,F1444)-1,"")</f>
        <v/>
      </c>
      <c r="Z1444" s="56" t="str">
        <f aca="false">IF(H1444&gt;0,RANK(H1444,$H$2:$H$1780)+COUNTIF($H$2:H1444,H1444)-1,"")</f>
        <v/>
      </c>
      <c r="AA1444" s="56" t="str">
        <f aca="false">IF(AC1444="","",RANK(AC1444,$AC$2:$AC$1780)+COUNTIF($AC$2:AC1444,AC1444)-1)</f>
        <v/>
      </c>
      <c r="AB1444" s="56" t="str">
        <f aca="false">IF(AD1444="","",RANK(AD1444,$AD$2:$AD$1780)+COUNTIF($AD$2:AD1444,AD1444)-1)</f>
        <v/>
      </c>
      <c r="AC1444" s="56" t="str">
        <f aca="false">IF(AND(F1444&gt;0,E1444&gt;=Settings!$B$4),J1444,"")</f>
        <v/>
      </c>
      <c r="AD1444" s="56" t="str">
        <f aca="false">IF(X1444="HIGH RATE",O1444,"")</f>
        <v/>
      </c>
    </row>
    <row r="1445" customFormat="false" ht="15" hidden="false" customHeight="false" outlineLevel="0" collapsed="false">
      <c r="A1445" s="56" t="s">
        <v>2860</v>
      </c>
      <c r="B1445" s="56" t="s">
        <v>2861</v>
      </c>
      <c r="C1445" s="56" t="s">
        <v>87</v>
      </c>
      <c r="D1445" s="56" t="str">
        <f aca="false">IFERROR(INDEX('Brand Map'!$B$4:$B$124,MATCH(C1445,'Brand Map'!$A$4:$A$124,0)),"Other")</f>
        <v>FYF</v>
      </c>
      <c r="E1445" s="57" t="n">
        <v>1</v>
      </c>
      <c r="F1445" s="57" t="n">
        <v>0</v>
      </c>
      <c r="G1445" s="58" t="n">
        <v>84.95</v>
      </c>
      <c r="H1445" s="58" t="n">
        <v>0</v>
      </c>
      <c r="I1445" s="58" t="n">
        <v>84.95</v>
      </c>
      <c r="J1445" s="32" t="n">
        <f aca="false">IF(E1445&gt;0,F1445/E1445,0)</f>
        <v>0</v>
      </c>
      <c r="K1445" s="32" t="n">
        <f aca="false">IF(G1445&gt;0,H1445/G1445,0)</f>
        <v>-0</v>
      </c>
      <c r="L1445" s="59" t="n">
        <f aca="false">H1445/Settings!$B$16</f>
        <v>-0</v>
      </c>
      <c r="M1445" s="59" t="n">
        <f aca="false">H1445/Settings!$B$20</f>
        <v>-0</v>
      </c>
      <c r="N1445" s="60" t="n">
        <f aca="false">E1445*Settings!$B$3</f>
        <v>0.0309861510798204</v>
      </c>
      <c r="O1445" s="60" t="n">
        <f aca="false">IF(E1445&gt;0,(F1445-N1445)/SQRT(E1445*Settings!$B$3*(1-Settings!$B$3)),0)</f>
        <v>-0.178821125934444</v>
      </c>
      <c r="P1445" s="60" t="n">
        <f aca="false">MAX(0,F1445-N1445)</f>
        <v>0</v>
      </c>
      <c r="Q1445" s="32" t="n">
        <f aca="false">(F1445+Settings!$B$7*Settings!$B$3)/(E1445+Settings!$B$7)</f>
        <v>0.0299865978191811</v>
      </c>
      <c r="R1445" s="61" t="n">
        <f aca="false">PERCENTRANK($H$2:$H$1780,H1445,6)</f>
        <v>0</v>
      </c>
      <c r="S1445" s="61" t="n">
        <f aca="false">PERCENTRANK($Q$2:$Q$1780,Q1445,6)</f>
        <v>0.486502</v>
      </c>
      <c r="T1445" s="61" t="n">
        <f aca="false">PERCENTRANK($F$2:$F$1780,F1445,6)</f>
        <v>0</v>
      </c>
      <c r="U1445" s="62" t="n">
        <f aca="false">IF(F1445&gt;0,(Settings!$B$8*T1445+Settings!$B$9*R1445+Settings!$B$10*S1445)/SUM(Settings!$B$8:$B$10),0)</f>
        <v>0</v>
      </c>
      <c r="V1445" s="56" t="str">
        <f aca="false">IF(U1445&gt;0,RANK(U1445,$U$2:$U$1780)+COUNTIF($U$2:U1445,U1445)-1,"")</f>
        <v/>
      </c>
      <c r="W1445" s="56" t="str">
        <f aca="false">IF(V1445="","",IF(V1445&lt;=Settings!$B$11,"1 - Fix first",IF(V1445&lt;=Settings!$B$12,"2 - Review","3 - Monitor")))</f>
        <v/>
      </c>
      <c r="X1445" s="56" t="str">
        <f aca="false">IF(AND(E1445&gt;=Settings!$B$4,F1445&gt;=Settings!$B$5,O1445&gt;=Settings!$B$6),"HIGH RATE","")</f>
        <v/>
      </c>
      <c r="Y1445" s="56" t="str">
        <f aca="false">IF(F1445&gt;0,RANK(F1445,$F$2:$F$1780)+COUNTIF($F$2:F1445,F1445)-1,"")</f>
        <v/>
      </c>
      <c r="Z1445" s="56" t="str">
        <f aca="false">IF(H1445&gt;0,RANK(H1445,$H$2:$H$1780)+COUNTIF($H$2:H1445,H1445)-1,"")</f>
        <v/>
      </c>
      <c r="AA1445" s="56" t="str">
        <f aca="false">IF(AC1445="","",RANK(AC1445,$AC$2:$AC$1780)+COUNTIF($AC$2:AC1445,AC1445)-1)</f>
        <v/>
      </c>
      <c r="AB1445" s="56" t="str">
        <f aca="false">IF(AD1445="","",RANK(AD1445,$AD$2:$AD$1780)+COUNTIF($AD$2:AD1445,AD1445)-1)</f>
        <v/>
      </c>
      <c r="AC1445" s="56" t="str">
        <f aca="false">IF(AND(F1445&gt;0,E1445&gt;=Settings!$B$4),J1445,"")</f>
        <v/>
      </c>
      <c r="AD1445" s="56" t="str">
        <f aca="false">IF(X1445="HIGH RATE",O1445,"")</f>
        <v/>
      </c>
    </row>
    <row r="1446" customFormat="false" ht="15" hidden="false" customHeight="false" outlineLevel="0" collapsed="false">
      <c r="A1446" s="56" t="s">
        <v>2862</v>
      </c>
      <c r="B1446" s="56" t="s">
        <v>1351</v>
      </c>
      <c r="C1446" s="56" t="s">
        <v>87</v>
      </c>
      <c r="D1446" s="56" t="str">
        <f aca="false">IFERROR(INDEX('Brand Map'!$B$4:$B$124,MATCH(C1446,'Brand Map'!$A$4:$A$124,0)),"Other")</f>
        <v>FYF</v>
      </c>
      <c r="E1446" s="57" t="n">
        <v>43</v>
      </c>
      <c r="F1446" s="57" t="n">
        <v>0</v>
      </c>
      <c r="G1446" s="58" t="n">
        <v>3437.85</v>
      </c>
      <c r="H1446" s="58" t="n">
        <v>0</v>
      </c>
      <c r="I1446" s="58" t="n">
        <v>3437.85</v>
      </c>
      <c r="J1446" s="32" t="n">
        <f aca="false">IF(E1446&gt;0,F1446/E1446,0)</f>
        <v>0</v>
      </c>
      <c r="K1446" s="32" t="n">
        <f aca="false">IF(G1446&gt;0,H1446/G1446,0)</f>
        <v>-0</v>
      </c>
      <c r="L1446" s="59" t="n">
        <f aca="false">H1446/Settings!$B$16</f>
        <v>-0</v>
      </c>
      <c r="M1446" s="59" t="n">
        <f aca="false">H1446/Settings!$B$20</f>
        <v>-0</v>
      </c>
      <c r="N1446" s="60" t="n">
        <f aca="false">E1446*Settings!$B$3</f>
        <v>1.33240449643228</v>
      </c>
      <c r="O1446" s="60" t="n">
        <f aca="false">IF(E1446&gt;0,(F1446-N1446)/SQRT(E1446*Settings!$B$3*(1-Settings!$B$3)),0)</f>
        <v>-1.17260854016158</v>
      </c>
      <c r="P1446" s="60" t="n">
        <f aca="false">MAX(0,F1446-N1446)</f>
        <v>0</v>
      </c>
      <c r="Q1446" s="32" t="n">
        <f aca="false">(F1446+Settings!$B$7*Settings!$B$3)/(E1446+Settings!$B$7)</f>
        <v>0.0127340346903372</v>
      </c>
      <c r="R1446" s="61" t="n">
        <f aca="false">PERCENTRANK($H$2:$H$1780,H1446,6)</f>
        <v>0</v>
      </c>
      <c r="S1446" s="61" t="n">
        <f aca="false">PERCENTRANK($Q$2:$Q$1780,Q1446,6)</f>
        <v>0.0264342</v>
      </c>
      <c r="T1446" s="61" t="n">
        <f aca="false">PERCENTRANK($F$2:$F$1780,F1446,6)</f>
        <v>0</v>
      </c>
      <c r="U1446" s="62" t="n">
        <f aca="false">IF(F1446&gt;0,(Settings!$B$8*T1446+Settings!$B$9*R1446+Settings!$B$10*S1446)/SUM(Settings!$B$8:$B$10),0)</f>
        <v>0</v>
      </c>
      <c r="V1446" s="56" t="str">
        <f aca="false">IF(U1446&gt;0,RANK(U1446,$U$2:$U$1780)+COUNTIF($U$2:U1446,U1446)-1,"")</f>
        <v/>
      </c>
      <c r="W1446" s="56" t="str">
        <f aca="false">IF(V1446="","",IF(V1446&lt;=Settings!$B$11,"1 - Fix first",IF(V1446&lt;=Settings!$B$12,"2 - Review","3 - Monitor")))</f>
        <v/>
      </c>
      <c r="X1446" s="56" t="str">
        <f aca="false">IF(AND(E1446&gt;=Settings!$B$4,F1446&gt;=Settings!$B$5,O1446&gt;=Settings!$B$6),"HIGH RATE","")</f>
        <v/>
      </c>
      <c r="Y1446" s="56" t="str">
        <f aca="false">IF(F1446&gt;0,RANK(F1446,$F$2:$F$1780)+COUNTIF($F$2:F1446,F1446)-1,"")</f>
        <v/>
      </c>
      <c r="Z1446" s="56" t="str">
        <f aca="false">IF(H1446&gt;0,RANK(H1446,$H$2:$H$1780)+COUNTIF($H$2:H1446,H1446)-1,"")</f>
        <v/>
      </c>
      <c r="AA1446" s="56" t="str">
        <f aca="false">IF(AC1446="","",RANK(AC1446,$AC$2:$AC$1780)+COUNTIF($AC$2:AC1446,AC1446)-1)</f>
        <v/>
      </c>
      <c r="AB1446" s="56" t="str">
        <f aca="false">IF(AD1446="","",RANK(AD1446,$AD$2:$AD$1780)+COUNTIF($AD$2:AD1446,AD1446)-1)</f>
        <v/>
      </c>
      <c r="AC1446" s="56" t="str">
        <f aca="false">IF(AND(F1446&gt;0,E1446&gt;=Settings!$B$4),J1446,"")</f>
        <v/>
      </c>
      <c r="AD1446" s="56" t="str">
        <f aca="false">IF(X1446="HIGH RATE",O1446,"")</f>
        <v/>
      </c>
    </row>
    <row r="1447" customFormat="false" ht="15" hidden="false" customHeight="false" outlineLevel="0" collapsed="false">
      <c r="A1447" s="56" t="s">
        <v>2863</v>
      </c>
      <c r="B1447" s="56" t="s">
        <v>1349</v>
      </c>
      <c r="C1447" s="56" t="s">
        <v>87</v>
      </c>
      <c r="D1447" s="56" t="str">
        <f aca="false">IFERROR(INDEX('Brand Map'!$B$4:$B$124,MATCH(C1447,'Brand Map'!$A$4:$A$124,0)),"Other")</f>
        <v>FYF</v>
      </c>
      <c r="E1447" s="57" t="n">
        <v>4</v>
      </c>
      <c r="F1447" s="57" t="n">
        <v>0</v>
      </c>
      <c r="G1447" s="58" t="n">
        <v>439.8</v>
      </c>
      <c r="H1447" s="58" t="n">
        <v>0</v>
      </c>
      <c r="I1447" s="58" t="n">
        <v>439.8</v>
      </c>
      <c r="J1447" s="32" t="n">
        <f aca="false">IF(E1447&gt;0,F1447/E1447,0)</f>
        <v>0</v>
      </c>
      <c r="K1447" s="32" t="n">
        <f aca="false">IF(G1447&gt;0,H1447/G1447,0)</f>
        <v>-0</v>
      </c>
      <c r="L1447" s="59" t="n">
        <f aca="false">H1447/Settings!$B$16</f>
        <v>-0</v>
      </c>
      <c r="M1447" s="59" t="n">
        <f aca="false">H1447/Settings!$B$20</f>
        <v>-0</v>
      </c>
      <c r="N1447" s="60" t="n">
        <f aca="false">E1447*Settings!$B$3</f>
        <v>0.123944604319282</v>
      </c>
      <c r="O1447" s="60" t="n">
        <f aca="false">IF(E1447&gt;0,(F1447-N1447)/SQRT(E1447*Settings!$B$3*(1-Settings!$B$3)),0)</f>
        <v>-0.357642251868888</v>
      </c>
      <c r="P1447" s="60" t="n">
        <f aca="false">MAX(0,F1447-N1447)</f>
        <v>0</v>
      </c>
      <c r="Q1447" s="32" t="n">
        <f aca="false">(F1447+Settings!$B$7*Settings!$B$3)/(E1447+Settings!$B$7)</f>
        <v>0.027340721541018</v>
      </c>
      <c r="R1447" s="61" t="n">
        <f aca="false">PERCENTRANK($H$2:$H$1780,H1447,6)</f>
        <v>0</v>
      </c>
      <c r="S1447" s="61" t="n">
        <f aca="false">PERCENTRANK($Q$2:$Q$1780,Q1447,6)</f>
        <v>0.253656</v>
      </c>
      <c r="T1447" s="61" t="n">
        <f aca="false">PERCENTRANK($F$2:$F$1780,F1447,6)</f>
        <v>0</v>
      </c>
      <c r="U1447" s="62" t="n">
        <f aca="false">IF(F1447&gt;0,(Settings!$B$8*T1447+Settings!$B$9*R1447+Settings!$B$10*S1447)/SUM(Settings!$B$8:$B$10),0)</f>
        <v>0</v>
      </c>
      <c r="V1447" s="56" t="str">
        <f aca="false">IF(U1447&gt;0,RANK(U1447,$U$2:$U$1780)+COUNTIF($U$2:U1447,U1447)-1,"")</f>
        <v/>
      </c>
      <c r="W1447" s="56" t="str">
        <f aca="false">IF(V1447="","",IF(V1447&lt;=Settings!$B$11,"1 - Fix first",IF(V1447&lt;=Settings!$B$12,"2 - Review","3 - Monitor")))</f>
        <v/>
      </c>
      <c r="X1447" s="56" t="str">
        <f aca="false">IF(AND(E1447&gt;=Settings!$B$4,F1447&gt;=Settings!$B$5,O1447&gt;=Settings!$B$6),"HIGH RATE","")</f>
        <v/>
      </c>
      <c r="Y1447" s="56" t="str">
        <f aca="false">IF(F1447&gt;0,RANK(F1447,$F$2:$F$1780)+COUNTIF($F$2:F1447,F1447)-1,"")</f>
        <v/>
      </c>
      <c r="Z1447" s="56" t="str">
        <f aca="false">IF(H1447&gt;0,RANK(H1447,$H$2:$H$1780)+COUNTIF($H$2:H1447,H1447)-1,"")</f>
        <v/>
      </c>
      <c r="AA1447" s="56" t="str">
        <f aca="false">IF(AC1447="","",RANK(AC1447,$AC$2:$AC$1780)+COUNTIF($AC$2:AC1447,AC1447)-1)</f>
        <v/>
      </c>
      <c r="AB1447" s="56" t="str">
        <f aca="false">IF(AD1447="","",RANK(AD1447,$AD$2:$AD$1780)+COUNTIF($AD$2:AD1447,AD1447)-1)</f>
        <v/>
      </c>
      <c r="AC1447" s="56" t="str">
        <f aca="false">IF(AND(F1447&gt;0,E1447&gt;=Settings!$B$4),J1447,"")</f>
        <v/>
      </c>
      <c r="AD1447" s="56" t="str">
        <f aca="false">IF(X1447="HIGH RATE",O1447,"")</f>
        <v/>
      </c>
    </row>
    <row r="1448" customFormat="false" ht="15" hidden="false" customHeight="false" outlineLevel="0" collapsed="false">
      <c r="A1448" s="56" t="s">
        <v>2864</v>
      </c>
      <c r="B1448" s="56" t="s">
        <v>1349</v>
      </c>
      <c r="C1448" s="56" t="s">
        <v>87</v>
      </c>
      <c r="D1448" s="56" t="str">
        <f aca="false">IFERROR(INDEX('Brand Map'!$B$4:$B$124,MATCH(C1448,'Brand Map'!$A$4:$A$124,0)),"Other")</f>
        <v>FYF</v>
      </c>
      <c r="E1448" s="57" t="n">
        <v>3</v>
      </c>
      <c r="F1448" s="57" t="n">
        <v>0</v>
      </c>
      <c r="G1448" s="58" t="n">
        <v>374.85</v>
      </c>
      <c r="H1448" s="58" t="n">
        <v>0</v>
      </c>
      <c r="I1448" s="58" t="n">
        <v>374.85</v>
      </c>
      <c r="J1448" s="32" t="n">
        <f aca="false">IF(E1448&gt;0,F1448/E1448,0)</f>
        <v>0</v>
      </c>
      <c r="K1448" s="32" t="n">
        <f aca="false">IF(G1448&gt;0,H1448/G1448,0)</f>
        <v>-0</v>
      </c>
      <c r="L1448" s="59" t="n">
        <f aca="false">H1448/Settings!$B$16</f>
        <v>-0</v>
      </c>
      <c r="M1448" s="59" t="n">
        <f aca="false">H1448/Settings!$B$20</f>
        <v>-0</v>
      </c>
      <c r="N1448" s="60" t="n">
        <f aca="false">E1448*Settings!$B$3</f>
        <v>0.0929584532394613</v>
      </c>
      <c r="O1448" s="60" t="n">
        <f aca="false">IF(E1448&gt;0,(F1448-N1448)/SQRT(E1448*Settings!$B$3*(1-Settings!$B$3)),0)</f>
        <v>-0.30972727558513</v>
      </c>
      <c r="P1448" s="60" t="n">
        <f aca="false">MAX(0,F1448-N1448)</f>
        <v>0</v>
      </c>
      <c r="Q1448" s="32" t="n">
        <f aca="false">(F1448+Settings!$B$7*Settings!$B$3)/(E1448+Settings!$B$7)</f>
        <v>0.0281692282543822</v>
      </c>
      <c r="R1448" s="61" t="n">
        <f aca="false">PERCENTRANK($H$2:$H$1780,H1448,6)</f>
        <v>0</v>
      </c>
      <c r="S1448" s="61" t="n">
        <f aca="false">PERCENTRANK($Q$2:$Q$1780,Q1448,6)</f>
        <v>0.294151</v>
      </c>
      <c r="T1448" s="61" t="n">
        <f aca="false">PERCENTRANK($F$2:$F$1780,F1448,6)</f>
        <v>0</v>
      </c>
      <c r="U1448" s="62" t="n">
        <f aca="false">IF(F1448&gt;0,(Settings!$B$8*T1448+Settings!$B$9*R1448+Settings!$B$10*S1448)/SUM(Settings!$B$8:$B$10),0)</f>
        <v>0</v>
      </c>
      <c r="V1448" s="56" t="str">
        <f aca="false">IF(U1448&gt;0,RANK(U1448,$U$2:$U$1780)+COUNTIF($U$2:U1448,U1448)-1,"")</f>
        <v/>
      </c>
      <c r="W1448" s="56" t="str">
        <f aca="false">IF(V1448="","",IF(V1448&lt;=Settings!$B$11,"1 - Fix first",IF(V1448&lt;=Settings!$B$12,"2 - Review","3 - Monitor")))</f>
        <v/>
      </c>
      <c r="X1448" s="56" t="str">
        <f aca="false">IF(AND(E1448&gt;=Settings!$B$4,F1448&gt;=Settings!$B$5,O1448&gt;=Settings!$B$6),"HIGH RATE","")</f>
        <v/>
      </c>
      <c r="Y1448" s="56" t="str">
        <f aca="false">IF(F1448&gt;0,RANK(F1448,$F$2:$F$1780)+COUNTIF($F$2:F1448,F1448)-1,"")</f>
        <v/>
      </c>
      <c r="Z1448" s="56" t="str">
        <f aca="false">IF(H1448&gt;0,RANK(H1448,$H$2:$H$1780)+COUNTIF($H$2:H1448,H1448)-1,"")</f>
        <v/>
      </c>
      <c r="AA1448" s="56" t="str">
        <f aca="false">IF(AC1448="","",RANK(AC1448,$AC$2:$AC$1780)+COUNTIF($AC$2:AC1448,AC1448)-1)</f>
        <v/>
      </c>
      <c r="AB1448" s="56" t="str">
        <f aca="false">IF(AD1448="","",RANK(AD1448,$AD$2:$AD$1780)+COUNTIF($AD$2:AD1448,AD1448)-1)</f>
        <v/>
      </c>
      <c r="AC1448" s="56" t="str">
        <f aca="false">IF(AND(F1448&gt;0,E1448&gt;=Settings!$B$4),J1448,"")</f>
        <v/>
      </c>
      <c r="AD1448" s="56" t="str">
        <f aca="false">IF(X1448="HIGH RATE",O1448,"")</f>
        <v/>
      </c>
    </row>
    <row r="1449" customFormat="false" ht="15" hidden="false" customHeight="false" outlineLevel="0" collapsed="false">
      <c r="A1449" s="56" t="s">
        <v>2865</v>
      </c>
      <c r="B1449" s="56" t="s">
        <v>1349</v>
      </c>
      <c r="C1449" s="56" t="s">
        <v>87</v>
      </c>
      <c r="D1449" s="56" t="str">
        <f aca="false">IFERROR(INDEX('Brand Map'!$B$4:$B$124,MATCH(C1449,'Brand Map'!$A$4:$A$124,0)),"Other")</f>
        <v>FYF</v>
      </c>
      <c r="E1449" s="57" t="n">
        <v>1</v>
      </c>
      <c r="F1449" s="57" t="n">
        <v>0</v>
      </c>
      <c r="G1449" s="58" t="n">
        <v>129.95</v>
      </c>
      <c r="H1449" s="58" t="n">
        <v>0</v>
      </c>
      <c r="I1449" s="58" t="n">
        <v>129.95</v>
      </c>
      <c r="J1449" s="32" t="n">
        <f aca="false">IF(E1449&gt;0,F1449/E1449,0)</f>
        <v>0</v>
      </c>
      <c r="K1449" s="32" t="n">
        <f aca="false">IF(G1449&gt;0,H1449/G1449,0)</f>
        <v>-0</v>
      </c>
      <c r="L1449" s="59" t="n">
        <f aca="false">H1449/Settings!$B$16</f>
        <v>-0</v>
      </c>
      <c r="M1449" s="59" t="n">
        <f aca="false">H1449/Settings!$B$20</f>
        <v>-0</v>
      </c>
      <c r="N1449" s="60" t="n">
        <f aca="false">E1449*Settings!$B$3</f>
        <v>0.0309861510798204</v>
      </c>
      <c r="O1449" s="60" t="n">
        <f aca="false">IF(E1449&gt;0,(F1449-N1449)/SQRT(E1449*Settings!$B$3*(1-Settings!$B$3)),0)</f>
        <v>-0.178821125934444</v>
      </c>
      <c r="P1449" s="60" t="n">
        <f aca="false">MAX(0,F1449-N1449)</f>
        <v>0</v>
      </c>
      <c r="Q1449" s="32" t="n">
        <f aca="false">(F1449+Settings!$B$7*Settings!$B$3)/(E1449+Settings!$B$7)</f>
        <v>0.0299865978191811</v>
      </c>
      <c r="R1449" s="61" t="n">
        <f aca="false">PERCENTRANK($H$2:$H$1780,H1449,6)</f>
        <v>0</v>
      </c>
      <c r="S1449" s="61" t="n">
        <f aca="false">PERCENTRANK($Q$2:$Q$1780,Q1449,6)</f>
        <v>0.486502</v>
      </c>
      <c r="T1449" s="61" t="n">
        <f aca="false">PERCENTRANK($F$2:$F$1780,F1449,6)</f>
        <v>0</v>
      </c>
      <c r="U1449" s="62" t="n">
        <f aca="false">IF(F1449&gt;0,(Settings!$B$8*T1449+Settings!$B$9*R1449+Settings!$B$10*S1449)/SUM(Settings!$B$8:$B$10),0)</f>
        <v>0</v>
      </c>
      <c r="V1449" s="56" t="str">
        <f aca="false">IF(U1449&gt;0,RANK(U1449,$U$2:$U$1780)+COUNTIF($U$2:U1449,U1449)-1,"")</f>
        <v/>
      </c>
      <c r="W1449" s="56" t="str">
        <f aca="false">IF(V1449="","",IF(V1449&lt;=Settings!$B$11,"1 - Fix first",IF(V1449&lt;=Settings!$B$12,"2 - Review","3 - Monitor")))</f>
        <v/>
      </c>
      <c r="X1449" s="56" t="str">
        <f aca="false">IF(AND(E1449&gt;=Settings!$B$4,F1449&gt;=Settings!$B$5,O1449&gt;=Settings!$B$6),"HIGH RATE","")</f>
        <v/>
      </c>
      <c r="Y1449" s="56" t="str">
        <f aca="false">IF(F1449&gt;0,RANK(F1449,$F$2:$F$1780)+COUNTIF($F$2:F1449,F1449)-1,"")</f>
        <v/>
      </c>
      <c r="Z1449" s="56" t="str">
        <f aca="false">IF(H1449&gt;0,RANK(H1449,$H$2:$H$1780)+COUNTIF($H$2:H1449,H1449)-1,"")</f>
        <v/>
      </c>
      <c r="AA1449" s="56" t="str">
        <f aca="false">IF(AC1449="","",RANK(AC1449,$AC$2:$AC$1780)+COUNTIF($AC$2:AC1449,AC1449)-1)</f>
        <v/>
      </c>
      <c r="AB1449" s="56" t="str">
        <f aca="false">IF(AD1449="","",RANK(AD1449,$AD$2:$AD$1780)+COUNTIF($AD$2:AD1449,AD1449)-1)</f>
        <v/>
      </c>
      <c r="AC1449" s="56" t="str">
        <f aca="false">IF(AND(F1449&gt;0,E1449&gt;=Settings!$B$4),J1449,"")</f>
        <v/>
      </c>
      <c r="AD1449" s="56" t="str">
        <f aca="false">IF(X1449="HIGH RATE",O1449,"")</f>
        <v/>
      </c>
    </row>
    <row r="1450" customFormat="false" ht="15" hidden="false" customHeight="false" outlineLevel="0" collapsed="false">
      <c r="A1450" s="56" t="s">
        <v>2866</v>
      </c>
      <c r="B1450" s="56" t="s">
        <v>1349</v>
      </c>
      <c r="C1450" s="56" t="s">
        <v>87</v>
      </c>
      <c r="D1450" s="56" t="str">
        <f aca="false">IFERROR(INDEX('Brand Map'!$B$4:$B$124,MATCH(C1450,'Brand Map'!$A$4:$A$124,0)),"Other")</f>
        <v>FYF</v>
      </c>
      <c r="E1450" s="57" t="n">
        <v>2</v>
      </c>
      <c r="F1450" s="57" t="n">
        <v>0</v>
      </c>
      <c r="G1450" s="58" t="n">
        <v>269.9</v>
      </c>
      <c r="H1450" s="58" t="n">
        <v>0</v>
      </c>
      <c r="I1450" s="58" t="n">
        <v>269.9</v>
      </c>
      <c r="J1450" s="32" t="n">
        <f aca="false">IF(E1450&gt;0,F1450/E1450,0)</f>
        <v>0</v>
      </c>
      <c r="K1450" s="32" t="n">
        <f aca="false">IF(G1450&gt;0,H1450/G1450,0)</f>
        <v>-0</v>
      </c>
      <c r="L1450" s="59" t="n">
        <f aca="false">H1450/Settings!$B$16</f>
        <v>-0</v>
      </c>
      <c r="M1450" s="59" t="n">
        <f aca="false">H1450/Settings!$B$20</f>
        <v>-0</v>
      </c>
      <c r="N1450" s="60" t="n">
        <f aca="false">E1450*Settings!$B$3</f>
        <v>0.0619723021596408</v>
      </c>
      <c r="O1450" s="60" t="n">
        <f aca="false">IF(E1450&gt;0,(F1450-N1450)/SQRT(E1450*Settings!$B$3*(1-Settings!$B$3)),0)</f>
        <v>-0.252891261535318</v>
      </c>
      <c r="P1450" s="60" t="n">
        <f aca="false">MAX(0,F1450-N1450)</f>
        <v>0</v>
      </c>
      <c r="Q1450" s="32" t="n">
        <f aca="false">(F1450+Settings!$B$7*Settings!$B$3)/(E1450+Settings!$B$7)</f>
        <v>0.0290495166373316</v>
      </c>
      <c r="R1450" s="61" t="n">
        <f aca="false">PERCENTRANK($H$2:$H$1780,H1450,6)</f>
        <v>0</v>
      </c>
      <c r="S1450" s="61" t="n">
        <f aca="false">PERCENTRANK($Q$2:$Q$1780,Q1450,6)</f>
        <v>0.365579</v>
      </c>
      <c r="T1450" s="61" t="n">
        <f aca="false">PERCENTRANK($F$2:$F$1780,F1450,6)</f>
        <v>0</v>
      </c>
      <c r="U1450" s="62" t="n">
        <f aca="false">IF(F1450&gt;0,(Settings!$B$8*T1450+Settings!$B$9*R1450+Settings!$B$10*S1450)/SUM(Settings!$B$8:$B$10),0)</f>
        <v>0</v>
      </c>
      <c r="V1450" s="56" t="str">
        <f aca="false">IF(U1450&gt;0,RANK(U1450,$U$2:$U$1780)+COUNTIF($U$2:U1450,U1450)-1,"")</f>
        <v/>
      </c>
      <c r="W1450" s="56" t="str">
        <f aca="false">IF(V1450="","",IF(V1450&lt;=Settings!$B$11,"1 - Fix first",IF(V1450&lt;=Settings!$B$12,"2 - Review","3 - Monitor")))</f>
        <v/>
      </c>
      <c r="X1450" s="56" t="str">
        <f aca="false">IF(AND(E1450&gt;=Settings!$B$4,F1450&gt;=Settings!$B$5,O1450&gt;=Settings!$B$6),"HIGH RATE","")</f>
        <v/>
      </c>
      <c r="Y1450" s="56" t="str">
        <f aca="false">IF(F1450&gt;0,RANK(F1450,$F$2:$F$1780)+COUNTIF($F$2:F1450,F1450)-1,"")</f>
        <v/>
      </c>
      <c r="Z1450" s="56" t="str">
        <f aca="false">IF(H1450&gt;0,RANK(H1450,$H$2:$H$1780)+COUNTIF($H$2:H1450,H1450)-1,"")</f>
        <v/>
      </c>
      <c r="AA1450" s="56" t="str">
        <f aca="false">IF(AC1450="","",RANK(AC1450,$AC$2:$AC$1780)+COUNTIF($AC$2:AC1450,AC1450)-1)</f>
        <v/>
      </c>
      <c r="AB1450" s="56" t="str">
        <f aca="false">IF(AD1450="","",RANK(AD1450,$AD$2:$AD$1780)+COUNTIF($AD$2:AD1450,AD1450)-1)</f>
        <v/>
      </c>
      <c r="AC1450" s="56" t="str">
        <f aca="false">IF(AND(F1450&gt;0,E1450&gt;=Settings!$B$4),J1450,"")</f>
        <v/>
      </c>
      <c r="AD1450" s="56" t="str">
        <f aca="false">IF(X1450="HIGH RATE",O1450,"")</f>
        <v/>
      </c>
    </row>
    <row r="1451" customFormat="false" ht="15" hidden="false" customHeight="false" outlineLevel="0" collapsed="false">
      <c r="A1451" s="56" t="s">
        <v>2867</v>
      </c>
      <c r="B1451" s="56" t="s">
        <v>1349</v>
      </c>
      <c r="C1451" s="56" t="s">
        <v>87</v>
      </c>
      <c r="D1451" s="56" t="str">
        <f aca="false">IFERROR(INDEX('Brand Map'!$B$4:$B$124,MATCH(C1451,'Brand Map'!$A$4:$A$124,0)),"Other")</f>
        <v>FYF</v>
      </c>
      <c r="E1451" s="57" t="n">
        <v>7</v>
      </c>
      <c r="F1451" s="57" t="n">
        <v>0</v>
      </c>
      <c r="G1451" s="58" t="n">
        <v>874.65</v>
      </c>
      <c r="H1451" s="58" t="n">
        <v>0</v>
      </c>
      <c r="I1451" s="58" t="n">
        <v>874.65</v>
      </c>
      <c r="J1451" s="32" t="n">
        <f aca="false">IF(E1451&gt;0,F1451/E1451,0)</f>
        <v>0</v>
      </c>
      <c r="K1451" s="32" t="n">
        <f aca="false">IF(G1451&gt;0,H1451/G1451,0)</f>
        <v>-0</v>
      </c>
      <c r="L1451" s="59" t="n">
        <f aca="false">H1451/Settings!$B$16</f>
        <v>-0</v>
      </c>
      <c r="M1451" s="59" t="n">
        <f aca="false">H1451/Settings!$B$20</f>
        <v>-0</v>
      </c>
      <c r="N1451" s="60" t="n">
        <f aca="false">E1451*Settings!$B$3</f>
        <v>0.216903057558743</v>
      </c>
      <c r="O1451" s="60" t="n">
        <f aca="false">IF(E1451&gt;0,(F1451-N1451)/SQRT(E1451*Settings!$B$3*(1-Settings!$B$3)),0)</f>
        <v>-0.473116228387102</v>
      </c>
      <c r="P1451" s="60" t="n">
        <f aca="false">MAX(0,F1451-N1451)</f>
        <v>0</v>
      </c>
      <c r="Q1451" s="32" t="n">
        <f aca="false">(F1451+Settings!$B$7*Settings!$B$3)/(E1451+Settings!$B$7)</f>
        <v>0.0251239062809355</v>
      </c>
      <c r="R1451" s="61" t="n">
        <f aca="false">PERCENTRANK($H$2:$H$1780,H1451,6)</f>
        <v>0</v>
      </c>
      <c r="S1451" s="61" t="n">
        <f aca="false">PERCENTRANK($Q$2:$Q$1780,Q1451,6)</f>
        <v>0.168166</v>
      </c>
      <c r="T1451" s="61" t="n">
        <f aca="false">PERCENTRANK($F$2:$F$1780,F1451,6)</f>
        <v>0</v>
      </c>
      <c r="U1451" s="62" t="n">
        <f aca="false">IF(F1451&gt;0,(Settings!$B$8*T1451+Settings!$B$9*R1451+Settings!$B$10*S1451)/SUM(Settings!$B$8:$B$10),0)</f>
        <v>0</v>
      </c>
      <c r="V1451" s="56" t="str">
        <f aca="false">IF(U1451&gt;0,RANK(U1451,$U$2:$U$1780)+COUNTIF($U$2:U1451,U1451)-1,"")</f>
        <v/>
      </c>
      <c r="W1451" s="56" t="str">
        <f aca="false">IF(V1451="","",IF(V1451&lt;=Settings!$B$11,"1 - Fix first",IF(V1451&lt;=Settings!$B$12,"2 - Review","3 - Monitor")))</f>
        <v/>
      </c>
      <c r="X1451" s="56" t="str">
        <f aca="false">IF(AND(E1451&gt;=Settings!$B$4,F1451&gt;=Settings!$B$5,O1451&gt;=Settings!$B$6),"HIGH RATE","")</f>
        <v/>
      </c>
      <c r="Y1451" s="56" t="str">
        <f aca="false">IF(F1451&gt;0,RANK(F1451,$F$2:$F$1780)+COUNTIF($F$2:F1451,F1451)-1,"")</f>
        <v/>
      </c>
      <c r="Z1451" s="56" t="str">
        <f aca="false">IF(H1451&gt;0,RANK(H1451,$H$2:$H$1780)+COUNTIF($H$2:H1451,H1451)-1,"")</f>
        <v/>
      </c>
      <c r="AA1451" s="56" t="str">
        <f aca="false">IF(AC1451="","",RANK(AC1451,$AC$2:$AC$1780)+COUNTIF($AC$2:AC1451,AC1451)-1)</f>
        <v/>
      </c>
      <c r="AB1451" s="56" t="str">
        <f aca="false">IF(AD1451="","",RANK(AD1451,$AD$2:$AD$1780)+COUNTIF($AD$2:AD1451,AD1451)-1)</f>
        <v/>
      </c>
      <c r="AC1451" s="56" t="str">
        <f aca="false">IF(AND(F1451&gt;0,E1451&gt;=Settings!$B$4),J1451,"")</f>
        <v/>
      </c>
      <c r="AD1451" s="56" t="str">
        <f aca="false">IF(X1451="HIGH RATE",O1451,"")</f>
        <v/>
      </c>
    </row>
    <row r="1452" customFormat="false" ht="15" hidden="false" customHeight="false" outlineLevel="0" collapsed="false">
      <c r="A1452" s="56" t="s">
        <v>2868</v>
      </c>
      <c r="B1452" s="56" t="s">
        <v>2869</v>
      </c>
      <c r="C1452" s="56" t="s">
        <v>87</v>
      </c>
      <c r="D1452" s="56" t="str">
        <f aca="false">IFERROR(INDEX('Brand Map'!$B$4:$B$124,MATCH(C1452,'Brand Map'!$A$4:$A$124,0)),"Other")</f>
        <v>FYF</v>
      </c>
      <c r="E1452" s="57" t="n">
        <v>1</v>
      </c>
      <c r="F1452" s="57" t="n">
        <v>0</v>
      </c>
      <c r="G1452" s="58" t="n">
        <v>114.95</v>
      </c>
      <c r="H1452" s="58" t="n">
        <v>0</v>
      </c>
      <c r="I1452" s="58" t="n">
        <v>114.95</v>
      </c>
      <c r="J1452" s="32" t="n">
        <f aca="false">IF(E1452&gt;0,F1452/E1452,0)</f>
        <v>0</v>
      </c>
      <c r="K1452" s="32" t="n">
        <f aca="false">IF(G1452&gt;0,H1452/G1452,0)</f>
        <v>-0</v>
      </c>
      <c r="L1452" s="59" t="n">
        <f aca="false">H1452/Settings!$B$16</f>
        <v>-0</v>
      </c>
      <c r="M1452" s="59" t="n">
        <f aca="false">H1452/Settings!$B$20</f>
        <v>-0</v>
      </c>
      <c r="N1452" s="60" t="n">
        <f aca="false">E1452*Settings!$B$3</f>
        <v>0.0309861510798204</v>
      </c>
      <c r="O1452" s="60" t="n">
        <f aca="false">IF(E1452&gt;0,(F1452-N1452)/SQRT(E1452*Settings!$B$3*(1-Settings!$B$3)),0)</f>
        <v>-0.178821125934444</v>
      </c>
      <c r="P1452" s="60" t="n">
        <f aca="false">MAX(0,F1452-N1452)</f>
        <v>0</v>
      </c>
      <c r="Q1452" s="32" t="n">
        <f aca="false">(F1452+Settings!$B$7*Settings!$B$3)/(E1452+Settings!$B$7)</f>
        <v>0.0299865978191811</v>
      </c>
      <c r="R1452" s="61" t="n">
        <f aca="false">PERCENTRANK($H$2:$H$1780,H1452,6)</f>
        <v>0</v>
      </c>
      <c r="S1452" s="61" t="n">
        <f aca="false">PERCENTRANK($Q$2:$Q$1780,Q1452,6)</f>
        <v>0.486502</v>
      </c>
      <c r="T1452" s="61" t="n">
        <f aca="false">PERCENTRANK($F$2:$F$1780,F1452,6)</f>
        <v>0</v>
      </c>
      <c r="U1452" s="62" t="n">
        <f aca="false">IF(F1452&gt;0,(Settings!$B$8*T1452+Settings!$B$9*R1452+Settings!$B$10*S1452)/SUM(Settings!$B$8:$B$10),0)</f>
        <v>0</v>
      </c>
      <c r="V1452" s="56" t="str">
        <f aca="false">IF(U1452&gt;0,RANK(U1452,$U$2:$U$1780)+COUNTIF($U$2:U1452,U1452)-1,"")</f>
        <v/>
      </c>
      <c r="W1452" s="56" t="str">
        <f aca="false">IF(V1452="","",IF(V1452&lt;=Settings!$B$11,"1 - Fix first",IF(V1452&lt;=Settings!$B$12,"2 - Review","3 - Monitor")))</f>
        <v/>
      </c>
      <c r="X1452" s="56" t="str">
        <f aca="false">IF(AND(E1452&gt;=Settings!$B$4,F1452&gt;=Settings!$B$5,O1452&gt;=Settings!$B$6),"HIGH RATE","")</f>
        <v/>
      </c>
      <c r="Y1452" s="56" t="str">
        <f aca="false">IF(F1452&gt;0,RANK(F1452,$F$2:$F$1780)+COUNTIF($F$2:F1452,F1452)-1,"")</f>
        <v/>
      </c>
      <c r="Z1452" s="56" t="str">
        <f aca="false">IF(H1452&gt;0,RANK(H1452,$H$2:$H$1780)+COUNTIF($H$2:H1452,H1452)-1,"")</f>
        <v/>
      </c>
      <c r="AA1452" s="56" t="str">
        <f aca="false">IF(AC1452="","",RANK(AC1452,$AC$2:$AC$1780)+COUNTIF($AC$2:AC1452,AC1452)-1)</f>
        <v/>
      </c>
      <c r="AB1452" s="56" t="str">
        <f aca="false">IF(AD1452="","",RANK(AD1452,$AD$2:$AD$1780)+COUNTIF($AD$2:AD1452,AD1452)-1)</f>
        <v/>
      </c>
      <c r="AC1452" s="56" t="str">
        <f aca="false">IF(AND(F1452&gt;0,E1452&gt;=Settings!$B$4),J1452,"")</f>
        <v/>
      </c>
      <c r="AD1452" s="56" t="str">
        <f aca="false">IF(X1452="HIGH RATE",O1452,"")</f>
        <v/>
      </c>
    </row>
    <row r="1453" customFormat="false" ht="15" hidden="false" customHeight="false" outlineLevel="0" collapsed="false">
      <c r="A1453" s="56" t="s">
        <v>2870</v>
      </c>
      <c r="B1453" s="56" t="s">
        <v>2871</v>
      </c>
      <c r="C1453" s="56" t="s">
        <v>87</v>
      </c>
      <c r="D1453" s="56" t="str">
        <f aca="false">IFERROR(INDEX('Brand Map'!$B$4:$B$124,MATCH(C1453,'Brand Map'!$A$4:$A$124,0)),"Other")</f>
        <v>FYF</v>
      </c>
      <c r="E1453" s="57" t="n">
        <v>1</v>
      </c>
      <c r="F1453" s="57" t="n">
        <v>0</v>
      </c>
      <c r="G1453" s="58" t="n">
        <v>169.95</v>
      </c>
      <c r="H1453" s="58" t="n">
        <v>0</v>
      </c>
      <c r="I1453" s="58" t="n">
        <v>169.95</v>
      </c>
      <c r="J1453" s="32" t="n">
        <f aca="false">IF(E1453&gt;0,F1453/E1453,0)</f>
        <v>0</v>
      </c>
      <c r="K1453" s="32" t="n">
        <f aca="false">IF(G1453&gt;0,H1453/G1453,0)</f>
        <v>-0</v>
      </c>
      <c r="L1453" s="59" t="n">
        <f aca="false">H1453/Settings!$B$16</f>
        <v>-0</v>
      </c>
      <c r="M1453" s="59" t="n">
        <f aca="false">H1453/Settings!$B$20</f>
        <v>-0</v>
      </c>
      <c r="N1453" s="60" t="n">
        <f aca="false">E1453*Settings!$B$3</f>
        <v>0.0309861510798204</v>
      </c>
      <c r="O1453" s="60" t="n">
        <f aca="false">IF(E1453&gt;0,(F1453-N1453)/SQRT(E1453*Settings!$B$3*(1-Settings!$B$3)),0)</f>
        <v>-0.178821125934444</v>
      </c>
      <c r="P1453" s="60" t="n">
        <f aca="false">MAX(0,F1453-N1453)</f>
        <v>0</v>
      </c>
      <c r="Q1453" s="32" t="n">
        <f aca="false">(F1453+Settings!$B$7*Settings!$B$3)/(E1453+Settings!$B$7)</f>
        <v>0.0299865978191811</v>
      </c>
      <c r="R1453" s="61" t="n">
        <f aca="false">PERCENTRANK($H$2:$H$1780,H1453,6)</f>
        <v>0</v>
      </c>
      <c r="S1453" s="61" t="n">
        <f aca="false">PERCENTRANK($Q$2:$Q$1780,Q1453,6)</f>
        <v>0.486502</v>
      </c>
      <c r="T1453" s="61" t="n">
        <f aca="false">PERCENTRANK($F$2:$F$1780,F1453,6)</f>
        <v>0</v>
      </c>
      <c r="U1453" s="62" t="n">
        <f aca="false">IF(F1453&gt;0,(Settings!$B$8*T1453+Settings!$B$9*R1453+Settings!$B$10*S1453)/SUM(Settings!$B$8:$B$10),0)</f>
        <v>0</v>
      </c>
      <c r="V1453" s="56" t="str">
        <f aca="false">IF(U1453&gt;0,RANK(U1453,$U$2:$U$1780)+COUNTIF($U$2:U1453,U1453)-1,"")</f>
        <v/>
      </c>
      <c r="W1453" s="56" t="str">
        <f aca="false">IF(V1453="","",IF(V1453&lt;=Settings!$B$11,"1 - Fix first",IF(V1453&lt;=Settings!$B$12,"2 - Review","3 - Monitor")))</f>
        <v/>
      </c>
      <c r="X1453" s="56" t="str">
        <f aca="false">IF(AND(E1453&gt;=Settings!$B$4,F1453&gt;=Settings!$B$5,O1453&gt;=Settings!$B$6),"HIGH RATE","")</f>
        <v/>
      </c>
      <c r="Y1453" s="56" t="str">
        <f aca="false">IF(F1453&gt;0,RANK(F1453,$F$2:$F$1780)+COUNTIF($F$2:F1453,F1453)-1,"")</f>
        <v/>
      </c>
      <c r="Z1453" s="56" t="str">
        <f aca="false">IF(H1453&gt;0,RANK(H1453,$H$2:$H$1780)+COUNTIF($H$2:H1453,H1453)-1,"")</f>
        <v/>
      </c>
      <c r="AA1453" s="56" t="str">
        <f aca="false">IF(AC1453="","",RANK(AC1453,$AC$2:$AC$1780)+COUNTIF($AC$2:AC1453,AC1453)-1)</f>
        <v/>
      </c>
      <c r="AB1453" s="56" t="str">
        <f aca="false">IF(AD1453="","",RANK(AD1453,$AD$2:$AD$1780)+COUNTIF($AD$2:AD1453,AD1453)-1)</f>
        <v/>
      </c>
      <c r="AC1453" s="56" t="str">
        <f aca="false">IF(AND(F1453&gt;0,E1453&gt;=Settings!$B$4),J1453,"")</f>
        <v/>
      </c>
      <c r="AD1453" s="56" t="str">
        <f aca="false">IF(X1453="HIGH RATE",O1453,"")</f>
        <v/>
      </c>
    </row>
    <row r="1454" customFormat="false" ht="15" hidden="false" customHeight="false" outlineLevel="0" collapsed="false">
      <c r="A1454" s="56" t="s">
        <v>2872</v>
      </c>
      <c r="B1454" s="56" t="s">
        <v>2873</v>
      </c>
      <c r="C1454" s="56" t="s">
        <v>87</v>
      </c>
      <c r="D1454" s="56" t="str">
        <f aca="false">IFERROR(INDEX('Brand Map'!$B$4:$B$124,MATCH(C1454,'Brand Map'!$A$4:$A$124,0)),"Other")</f>
        <v>FYF</v>
      </c>
      <c r="E1454" s="57" t="n">
        <v>1</v>
      </c>
      <c r="F1454" s="57" t="n">
        <v>0</v>
      </c>
      <c r="G1454" s="58" t="n">
        <v>99.95</v>
      </c>
      <c r="H1454" s="58" t="n">
        <v>0</v>
      </c>
      <c r="I1454" s="58" t="n">
        <v>99.95</v>
      </c>
      <c r="J1454" s="32" t="n">
        <f aca="false">IF(E1454&gt;0,F1454/E1454,0)</f>
        <v>0</v>
      </c>
      <c r="K1454" s="32" t="n">
        <f aca="false">IF(G1454&gt;0,H1454/G1454,0)</f>
        <v>-0</v>
      </c>
      <c r="L1454" s="59" t="n">
        <f aca="false">H1454/Settings!$B$16</f>
        <v>-0</v>
      </c>
      <c r="M1454" s="59" t="n">
        <f aca="false">H1454/Settings!$B$20</f>
        <v>-0</v>
      </c>
      <c r="N1454" s="60" t="n">
        <f aca="false">E1454*Settings!$B$3</f>
        <v>0.0309861510798204</v>
      </c>
      <c r="O1454" s="60" t="n">
        <f aca="false">IF(E1454&gt;0,(F1454-N1454)/SQRT(E1454*Settings!$B$3*(1-Settings!$B$3)),0)</f>
        <v>-0.178821125934444</v>
      </c>
      <c r="P1454" s="60" t="n">
        <f aca="false">MAX(0,F1454-N1454)</f>
        <v>0</v>
      </c>
      <c r="Q1454" s="32" t="n">
        <f aca="false">(F1454+Settings!$B$7*Settings!$B$3)/(E1454+Settings!$B$7)</f>
        <v>0.0299865978191811</v>
      </c>
      <c r="R1454" s="61" t="n">
        <f aca="false">PERCENTRANK($H$2:$H$1780,H1454,6)</f>
        <v>0</v>
      </c>
      <c r="S1454" s="61" t="n">
        <f aca="false">PERCENTRANK($Q$2:$Q$1780,Q1454,6)</f>
        <v>0.486502</v>
      </c>
      <c r="T1454" s="61" t="n">
        <f aca="false">PERCENTRANK($F$2:$F$1780,F1454,6)</f>
        <v>0</v>
      </c>
      <c r="U1454" s="62" t="n">
        <f aca="false">IF(F1454&gt;0,(Settings!$B$8*T1454+Settings!$B$9*R1454+Settings!$B$10*S1454)/SUM(Settings!$B$8:$B$10),0)</f>
        <v>0</v>
      </c>
      <c r="V1454" s="56" t="str">
        <f aca="false">IF(U1454&gt;0,RANK(U1454,$U$2:$U$1780)+COUNTIF($U$2:U1454,U1454)-1,"")</f>
        <v/>
      </c>
      <c r="W1454" s="56" t="str">
        <f aca="false">IF(V1454="","",IF(V1454&lt;=Settings!$B$11,"1 - Fix first",IF(V1454&lt;=Settings!$B$12,"2 - Review","3 - Monitor")))</f>
        <v/>
      </c>
      <c r="X1454" s="56" t="str">
        <f aca="false">IF(AND(E1454&gt;=Settings!$B$4,F1454&gt;=Settings!$B$5,O1454&gt;=Settings!$B$6),"HIGH RATE","")</f>
        <v/>
      </c>
      <c r="Y1454" s="56" t="str">
        <f aca="false">IF(F1454&gt;0,RANK(F1454,$F$2:$F$1780)+COUNTIF($F$2:F1454,F1454)-1,"")</f>
        <v/>
      </c>
      <c r="Z1454" s="56" t="str">
        <f aca="false">IF(H1454&gt;0,RANK(H1454,$H$2:$H$1780)+COUNTIF($H$2:H1454,H1454)-1,"")</f>
        <v/>
      </c>
      <c r="AA1454" s="56" t="str">
        <f aca="false">IF(AC1454="","",RANK(AC1454,$AC$2:$AC$1780)+COUNTIF($AC$2:AC1454,AC1454)-1)</f>
        <v/>
      </c>
      <c r="AB1454" s="56" t="str">
        <f aca="false">IF(AD1454="","",RANK(AD1454,$AD$2:$AD$1780)+COUNTIF($AD$2:AD1454,AD1454)-1)</f>
        <v/>
      </c>
      <c r="AC1454" s="56" t="str">
        <f aca="false">IF(AND(F1454&gt;0,E1454&gt;=Settings!$B$4),J1454,"")</f>
        <v/>
      </c>
      <c r="AD1454" s="56" t="str">
        <f aca="false">IF(X1454="HIGH RATE",O1454,"")</f>
        <v/>
      </c>
    </row>
    <row r="1455" customFormat="false" ht="15" hidden="false" customHeight="false" outlineLevel="0" collapsed="false">
      <c r="A1455" s="56" t="s">
        <v>2874</v>
      </c>
      <c r="B1455" s="56" t="s">
        <v>1090</v>
      </c>
      <c r="C1455" s="56" t="s">
        <v>87</v>
      </c>
      <c r="D1455" s="56" t="str">
        <f aca="false">IFERROR(INDEX('Brand Map'!$B$4:$B$124,MATCH(C1455,'Brand Map'!$A$4:$A$124,0)),"Other")</f>
        <v>FYF</v>
      </c>
      <c r="E1455" s="57" t="n">
        <v>20</v>
      </c>
      <c r="F1455" s="57" t="n">
        <v>0</v>
      </c>
      <c r="G1455" s="58" t="n">
        <v>2599</v>
      </c>
      <c r="H1455" s="58" t="n">
        <v>0</v>
      </c>
      <c r="I1455" s="58" t="n">
        <v>2599</v>
      </c>
      <c r="J1455" s="32" t="n">
        <f aca="false">IF(E1455&gt;0,F1455/E1455,0)</f>
        <v>0</v>
      </c>
      <c r="K1455" s="32" t="n">
        <f aca="false">IF(G1455&gt;0,H1455/G1455,0)</f>
        <v>-0</v>
      </c>
      <c r="L1455" s="59" t="n">
        <f aca="false">H1455/Settings!$B$16</f>
        <v>-0</v>
      </c>
      <c r="M1455" s="59" t="n">
        <f aca="false">H1455/Settings!$B$20</f>
        <v>-0</v>
      </c>
      <c r="N1455" s="60" t="n">
        <f aca="false">E1455*Settings!$B$3</f>
        <v>0.619723021596408</v>
      </c>
      <c r="O1455" s="60" t="n">
        <f aca="false">IF(E1455&gt;0,(F1455-N1455)/SQRT(E1455*Settings!$B$3*(1-Settings!$B$3)),0)</f>
        <v>-0.799712386804935</v>
      </c>
      <c r="P1455" s="60" t="n">
        <f aca="false">MAX(0,F1455-N1455)</f>
        <v>0</v>
      </c>
      <c r="Q1455" s="32" t="n">
        <f aca="false">(F1455+Settings!$B$7*Settings!$B$3)/(E1455+Settings!$B$7)</f>
        <v>0.0185916906478923</v>
      </c>
      <c r="R1455" s="61" t="n">
        <f aca="false">PERCENTRANK($H$2:$H$1780,H1455,6)</f>
        <v>0</v>
      </c>
      <c r="S1455" s="61" t="n">
        <f aca="false">PERCENTRANK($Q$2:$Q$1780,Q1455,6)</f>
        <v>0.0748031</v>
      </c>
      <c r="T1455" s="61" t="n">
        <f aca="false">PERCENTRANK($F$2:$F$1780,F1455,6)</f>
        <v>0</v>
      </c>
      <c r="U1455" s="62" t="n">
        <f aca="false">IF(F1455&gt;0,(Settings!$B$8*T1455+Settings!$B$9*R1455+Settings!$B$10*S1455)/SUM(Settings!$B$8:$B$10),0)</f>
        <v>0</v>
      </c>
      <c r="V1455" s="56" t="str">
        <f aca="false">IF(U1455&gt;0,RANK(U1455,$U$2:$U$1780)+COUNTIF($U$2:U1455,U1455)-1,"")</f>
        <v/>
      </c>
      <c r="W1455" s="56" t="str">
        <f aca="false">IF(V1455="","",IF(V1455&lt;=Settings!$B$11,"1 - Fix first",IF(V1455&lt;=Settings!$B$12,"2 - Review","3 - Monitor")))</f>
        <v/>
      </c>
      <c r="X1455" s="56" t="str">
        <f aca="false">IF(AND(E1455&gt;=Settings!$B$4,F1455&gt;=Settings!$B$5,O1455&gt;=Settings!$B$6),"HIGH RATE","")</f>
        <v/>
      </c>
      <c r="Y1455" s="56" t="str">
        <f aca="false">IF(F1455&gt;0,RANK(F1455,$F$2:$F$1780)+COUNTIF($F$2:F1455,F1455)-1,"")</f>
        <v/>
      </c>
      <c r="Z1455" s="56" t="str">
        <f aca="false">IF(H1455&gt;0,RANK(H1455,$H$2:$H$1780)+COUNTIF($H$2:H1455,H1455)-1,"")</f>
        <v/>
      </c>
      <c r="AA1455" s="56" t="str">
        <f aca="false">IF(AC1455="","",RANK(AC1455,$AC$2:$AC$1780)+COUNTIF($AC$2:AC1455,AC1455)-1)</f>
        <v/>
      </c>
      <c r="AB1455" s="56" t="str">
        <f aca="false">IF(AD1455="","",RANK(AD1455,$AD$2:$AD$1780)+COUNTIF($AD$2:AD1455,AD1455)-1)</f>
        <v/>
      </c>
      <c r="AC1455" s="56" t="str">
        <f aca="false">IF(AND(F1455&gt;0,E1455&gt;=Settings!$B$4),J1455,"")</f>
        <v/>
      </c>
      <c r="AD1455" s="56" t="str">
        <f aca="false">IF(X1455="HIGH RATE",O1455,"")</f>
        <v/>
      </c>
    </row>
    <row r="1456" customFormat="false" ht="15" hidden="false" customHeight="false" outlineLevel="0" collapsed="false">
      <c r="A1456" s="56" t="s">
        <v>2875</v>
      </c>
      <c r="B1456" s="56" t="s">
        <v>2876</v>
      </c>
      <c r="C1456" s="56" t="s">
        <v>87</v>
      </c>
      <c r="D1456" s="56" t="str">
        <f aca="false">IFERROR(INDEX('Brand Map'!$B$4:$B$124,MATCH(C1456,'Brand Map'!$A$4:$A$124,0)),"Other")</f>
        <v>FYF</v>
      </c>
      <c r="E1456" s="57" t="n">
        <v>1</v>
      </c>
      <c r="F1456" s="57" t="n">
        <v>0</v>
      </c>
      <c r="G1456" s="58" t="n">
        <v>59.95</v>
      </c>
      <c r="H1456" s="58" t="n">
        <v>0</v>
      </c>
      <c r="I1456" s="58" t="n">
        <v>59.95</v>
      </c>
      <c r="J1456" s="32" t="n">
        <f aca="false">IF(E1456&gt;0,F1456/E1456,0)</f>
        <v>0</v>
      </c>
      <c r="K1456" s="32" t="n">
        <f aca="false">IF(G1456&gt;0,H1456/G1456,0)</f>
        <v>-0</v>
      </c>
      <c r="L1456" s="59" t="n">
        <f aca="false">H1456/Settings!$B$16</f>
        <v>-0</v>
      </c>
      <c r="M1456" s="59" t="n">
        <f aca="false">H1456/Settings!$B$20</f>
        <v>-0</v>
      </c>
      <c r="N1456" s="60" t="n">
        <f aca="false">E1456*Settings!$B$3</f>
        <v>0.0309861510798204</v>
      </c>
      <c r="O1456" s="60" t="n">
        <f aca="false">IF(E1456&gt;0,(F1456-N1456)/SQRT(E1456*Settings!$B$3*(1-Settings!$B$3)),0)</f>
        <v>-0.178821125934444</v>
      </c>
      <c r="P1456" s="60" t="n">
        <f aca="false">MAX(0,F1456-N1456)</f>
        <v>0</v>
      </c>
      <c r="Q1456" s="32" t="n">
        <f aca="false">(F1456+Settings!$B$7*Settings!$B$3)/(E1456+Settings!$B$7)</f>
        <v>0.0299865978191811</v>
      </c>
      <c r="R1456" s="61" t="n">
        <f aca="false">PERCENTRANK($H$2:$H$1780,H1456,6)</f>
        <v>0</v>
      </c>
      <c r="S1456" s="61" t="n">
        <f aca="false">PERCENTRANK($Q$2:$Q$1780,Q1456,6)</f>
        <v>0.486502</v>
      </c>
      <c r="T1456" s="61" t="n">
        <f aca="false">PERCENTRANK($F$2:$F$1780,F1456,6)</f>
        <v>0</v>
      </c>
      <c r="U1456" s="62" t="n">
        <f aca="false">IF(F1456&gt;0,(Settings!$B$8*T1456+Settings!$B$9*R1456+Settings!$B$10*S1456)/SUM(Settings!$B$8:$B$10),0)</f>
        <v>0</v>
      </c>
      <c r="V1456" s="56" t="str">
        <f aca="false">IF(U1456&gt;0,RANK(U1456,$U$2:$U$1780)+COUNTIF($U$2:U1456,U1456)-1,"")</f>
        <v/>
      </c>
      <c r="W1456" s="56" t="str">
        <f aca="false">IF(V1456="","",IF(V1456&lt;=Settings!$B$11,"1 - Fix first",IF(V1456&lt;=Settings!$B$12,"2 - Review","3 - Monitor")))</f>
        <v/>
      </c>
      <c r="X1456" s="56" t="str">
        <f aca="false">IF(AND(E1456&gt;=Settings!$B$4,F1456&gt;=Settings!$B$5,O1456&gt;=Settings!$B$6),"HIGH RATE","")</f>
        <v/>
      </c>
      <c r="Y1456" s="56" t="str">
        <f aca="false">IF(F1456&gt;0,RANK(F1456,$F$2:$F$1780)+COUNTIF($F$2:F1456,F1456)-1,"")</f>
        <v/>
      </c>
      <c r="Z1456" s="56" t="str">
        <f aca="false">IF(H1456&gt;0,RANK(H1456,$H$2:$H$1780)+COUNTIF($H$2:H1456,H1456)-1,"")</f>
        <v/>
      </c>
      <c r="AA1456" s="56" t="str">
        <f aca="false">IF(AC1456="","",RANK(AC1456,$AC$2:$AC$1780)+COUNTIF($AC$2:AC1456,AC1456)-1)</f>
        <v/>
      </c>
      <c r="AB1456" s="56" t="str">
        <f aca="false">IF(AD1456="","",RANK(AD1456,$AD$2:$AD$1780)+COUNTIF($AD$2:AD1456,AD1456)-1)</f>
        <v/>
      </c>
      <c r="AC1456" s="56" t="str">
        <f aca="false">IF(AND(F1456&gt;0,E1456&gt;=Settings!$B$4),J1456,"")</f>
        <v/>
      </c>
      <c r="AD1456" s="56" t="str">
        <f aca="false">IF(X1456="HIGH RATE",O1456,"")</f>
        <v/>
      </c>
    </row>
    <row r="1457" customFormat="false" ht="15" hidden="false" customHeight="false" outlineLevel="0" collapsed="false">
      <c r="A1457" s="56" t="s">
        <v>2877</v>
      </c>
      <c r="B1457" s="56" t="s">
        <v>2876</v>
      </c>
      <c r="C1457" s="56" t="s">
        <v>87</v>
      </c>
      <c r="D1457" s="56" t="str">
        <f aca="false">IFERROR(INDEX('Brand Map'!$B$4:$B$124,MATCH(C1457,'Brand Map'!$A$4:$A$124,0)),"Other")</f>
        <v>FYF</v>
      </c>
      <c r="E1457" s="57" t="n">
        <v>3</v>
      </c>
      <c r="F1457" s="57" t="n">
        <v>0</v>
      </c>
      <c r="G1457" s="58" t="n">
        <v>179.85</v>
      </c>
      <c r="H1457" s="58" t="n">
        <v>0</v>
      </c>
      <c r="I1457" s="58" t="n">
        <v>179.85</v>
      </c>
      <c r="J1457" s="32" t="n">
        <f aca="false">IF(E1457&gt;0,F1457/E1457,0)</f>
        <v>0</v>
      </c>
      <c r="K1457" s="32" t="n">
        <f aca="false">IF(G1457&gt;0,H1457/G1457,0)</f>
        <v>-0</v>
      </c>
      <c r="L1457" s="59" t="n">
        <f aca="false">H1457/Settings!$B$16</f>
        <v>-0</v>
      </c>
      <c r="M1457" s="59" t="n">
        <f aca="false">H1457/Settings!$B$20</f>
        <v>-0</v>
      </c>
      <c r="N1457" s="60" t="n">
        <f aca="false">E1457*Settings!$B$3</f>
        <v>0.0929584532394613</v>
      </c>
      <c r="O1457" s="60" t="n">
        <f aca="false">IF(E1457&gt;0,(F1457-N1457)/SQRT(E1457*Settings!$B$3*(1-Settings!$B$3)),0)</f>
        <v>-0.30972727558513</v>
      </c>
      <c r="P1457" s="60" t="n">
        <f aca="false">MAX(0,F1457-N1457)</f>
        <v>0</v>
      </c>
      <c r="Q1457" s="32" t="n">
        <f aca="false">(F1457+Settings!$B$7*Settings!$B$3)/(E1457+Settings!$B$7)</f>
        <v>0.0281692282543822</v>
      </c>
      <c r="R1457" s="61" t="n">
        <f aca="false">PERCENTRANK($H$2:$H$1780,H1457,6)</f>
        <v>0</v>
      </c>
      <c r="S1457" s="61" t="n">
        <f aca="false">PERCENTRANK($Q$2:$Q$1780,Q1457,6)</f>
        <v>0.294151</v>
      </c>
      <c r="T1457" s="61" t="n">
        <f aca="false">PERCENTRANK($F$2:$F$1780,F1457,6)</f>
        <v>0</v>
      </c>
      <c r="U1457" s="62" t="n">
        <f aca="false">IF(F1457&gt;0,(Settings!$B$8*T1457+Settings!$B$9*R1457+Settings!$B$10*S1457)/SUM(Settings!$B$8:$B$10),0)</f>
        <v>0</v>
      </c>
      <c r="V1457" s="56" t="str">
        <f aca="false">IF(U1457&gt;0,RANK(U1457,$U$2:$U$1780)+COUNTIF($U$2:U1457,U1457)-1,"")</f>
        <v/>
      </c>
      <c r="W1457" s="56" t="str">
        <f aca="false">IF(V1457="","",IF(V1457&lt;=Settings!$B$11,"1 - Fix first",IF(V1457&lt;=Settings!$B$12,"2 - Review","3 - Monitor")))</f>
        <v/>
      </c>
      <c r="X1457" s="56" t="str">
        <f aca="false">IF(AND(E1457&gt;=Settings!$B$4,F1457&gt;=Settings!$B$5,O1457&gt;=Settings!$B$6),"HIGH RATE","")</f>
        <v/>
      </c>
      <c r="Y1457" s="56" t="str">
        <f aca="false">IF(F1457&gt;0,RANK(F1457,$F$2:$F$1780)+COUNTIF($F$2:F1457,F1457)-1,"")</f>
        <v/>
      </c>
      <c r="Z1457" s="56" t="str">
        <f aca="false">IF(H1457&gt;0,RANK(H1457,$H$2:$H$1780)+COUNTIF($H$2:H1457,H1457)-1,"")</f>
        <v/>
      </c>
      <c r="AA1457" s="56" t="str">
        <f aca="false">IF(AC1457="","",RANK(AC1457,$AC$2:$AC$1780)+COUNTIF($AC$2:AC1457,AC1457)-1)</f>
        <v/>
      </c>
      <c r="AB1457" s="56" t="str">
        <f aca="false">IF(AD1457="","",RANK(AD1457,$AD$2:$AD$1780)+COUNTIF($AD$2:AD1457,AD1457)-1)</f>
        <v/>
      </c>
      <c r="AC1457" s="56" t="str">
        <f aca="false">IF(AND(F1457&gt;0,E1457&gt;=Settings!$B$4),J1457,"")</f>
        <v/>
      </c>
      <c r="AD1457" s="56" t="str">
        <f aca="false">IF(X1457="HIGH RATE",O1457,"")</f>
        <v/>
      </c>
    </row>
    <row r="1458" customFormat="false" ht="15" hidden="false" customHeight="false" outlineLevel="0" collapsed="false">
      <c r="A1458" s="56" t="s">
        <v>2878</v>
      </c>
      <c r="B1458" s="56" t="s">
        <v>2876</v>
      </c>
      <c r="C1458" s="56" t="s">
        <v>87</v>
      </c>
      <c r="D1458" s="56" t="str">
        <f aca="false">IFERROR(INDEX('Brand Map'!$B$4:$B$124,MATCH(C1458,'Brand Map'!$A$4:$A$124,0)),"Other")</f>
        <v>FYF</v>
      </c>
      <c r="E1458" s="57" t="n">
        <v>1</v>
      </c>
      <c r="F1458" s="57" t="n">
        <v>0</v>
      </c>
      <c r="G1458" s="58" t="n">
        <v>89.95</v>
      </c>
      <c r="H1458" s="58" t="n">
        <v>0</v>
      </c>
      <c r="I1458" s="58" t="n">
        <v>89.95</v>
      </c>
      <c r="J1458" s="32" t="n">
        <f aca="false">IF(E1458&gt;0,F1458/E1458,0)</f>
        <v>0</v>
      </c>
      <c r="K1458" s="32" t="n">
        <f aca="false">IF(G1458&gt;0,H1458/G1458,0)</f>
        <v>-0</v>
      </c>
      <c r="L1458" s="59" t="n">
        <f aca="false">H1458/Settings!$B$16</f>
        <v>-0</v>
      </c>
      <c r="M1458" s="59" t="n">
        <f aca="false">H1458/Settings!$B$20</f>
        <v>-0</v>
      </c>
      <c r="N1458" s="60" t="n">
        <f aca="false">E1458*Settings!$B$3</f>
        <v>0.0309861510798204</v>
      </c>
      <c r="O1458" s="60" t="n">
        <f aca="false">IF(E1458&gt;0,(F1458-N1458)/SQRT(E1458*Settings!$B$3*(1-Settings!$B$3)),0)</f>
        <v>-0.178821125934444</v>
      </c>
      <c r="P1458" s="60" t="n">
        <f aca="false">MAX(0,F1458-N1458)</f>
        <v>0</v>
      </c>
      <c r="Q1458" s="32" t="n">
        <f aca="false">(F1458+Settings!$B$7*Settings!$B$3)/(E1458+Settings!$B$7)</f>
        <v>0.0299865978191811</v>
      </c>
      <c r="R1458" s="61" t="n">
        <f aca="false">PERCENTRANK($H$2:$H$1780,H1458,6)</f>
        <v>0</v>
      </c>
      <c r="S1458" s="61" t="n">
        <f aca="false">PERCENTRANK($Q$2:$Q$1780,Q1458,6)</f>
        <v>0.486502</v>
      </c>
      <c r="T1458" s="61" t="n">
        <f aca="false">PERCENTRANK($F$2:$F$1780,F1458,6)</f>
        <v>0</v>
      </c>
      <c r="U1458" s="62" t="n">
        <f aca="false">IF(F1458&gt;0,(Settings!$B$8*T1458+Settings!$B$9*R1458+Settings!$B$10*S1458)/SUM(Settings!$B$8:$B$10),0)</f>
        <v>0</v>
      </c>
      <c r="V1458" s="56" t="str">
        <f aca="false">IF(U1458&gt;0,RANK(U1458,$U$2:$U$1780)+COUNTIF($U$2:U1458,U1458)-1,"")</f>
        <v/>
      </c>
      <c r="W1458" s="56" t="str">
        <f aca="false">IF(V1458="","",IF(V1458&lt;=Settings!$B$11,"1 - Fix first",IF(V1458&lt;=Settings!$B$12,"2 - Review","3 - Monitor")))</f>
        <v/>
      </c>
      <c r="X1458" s="56" t="str">
        <f aca="false">IF(AND(E1458&gt;=Settings!$B$4,F1458&gt;=Settings!$B$5,O1458&gt;=Settings!$B$6),"HIGH RATE","")</f>
        <v/>
      </c>
      <c r="Y1458" s="56" t="str">
        <f aca="false">IF(F1458&gt;0,RANK(F1458,$F$2:$F$1780)+COUNTIF($F$2:F1458,F1458)-1,"")</f>
        <v/>
      </c>
      <c r="Z1458" s="56" t="str">
        <f aca="false">IF(H1458&gt;0,RANK(H1458,$H$2:$H$1780)+COUNTIF($H$2:H1458,H1458)-1,"")</f>
        <v/>
      </c>
      <c r="AA1458" s="56" t="str">
        <f aca="false">IF(AC1458="","",RANK(AC1458,$AC$2:$AC$1780)+COUNTIF($AC$2:AC1458,AC1458)-1)</f>
        <v/>
      </c>
      <c r="AB1458" s="56" t="str">
        <f aca="false">IF(AD1458="","",RANK(AD1458,$AD$2:$AD$1780)+COUNTIF($AD$2:AD1458,AD1458)-1)</f>
        <v/>
      </c>
      <c r="AC1458" s="56" t="str">
        <f aca="false">IF(AND(F1458&gt;0,E1458&gt;=Settings!$B$4),J1458,"")</f>
        <v/>
      </c>
      <c r="AD1458" s="56" t="str">
        <f aca="false">IF(X1458="HIGH RATE",O1458,"")</f>
        <v/>
      </c>
    </row>
    <row r="1459" customFormat="false" ht="15" hidden="false" customHeight="false" outlineLevel="0" collapsed="false">
      <c r="A1459" s="56" t="s">
        <v>2879</v>
      </c>
      <c r="B1459" s="56" t="s">
        <v>2876</v>
      </c>
      <c r="C1459" s="56" t="s">
        <v>87</v>
      </c>
      <c r="D1459" s="56" t="str">
        <f aca="false">IFERROR(INDEX('Brand Map'!$B$4:$B$124,MATCH(C1459,'Brand Map'!$A$4:$A$124,0)),"Other")</f>
        <v>FYF</v>
      </c>
      <c r="E1459" s="57" t="n">
        <v>2</v>
      </c>
      <c r="F1459" s="57" t="n">
        <v>0</v>
      </c>
      <c r="G1459" s="58" t="n">
        <v>119.9</v>
      </c>
      <c r="H1459" s="58" t="n">
        <v>0</v>
      </c>
      <c r="I1459" s="58" t="n">
        <v>119.9</v>
      </c>
      <c r="J1459" s="32" t="n">
        <f aca="false">IF(E1459&gt;0,F1459/E1459,0)</f>
        <v>0</v>
      </c>
      <c r="K1459" s="32" t="n">
        <f aca="false">IF(G1459&gt;0,H1459/G1459,0)</f>
        <v>-0</v>
      </c>
      <c r="L1459" s="59" t="n">
        <f aca="false">H1459/Settings!$B$16</f>
        <v>-0</v>
      </c>
      <c r="M1459" s="59" t="n">
        <f aca="false">H1459/Settings!$B$20</f>
        <v>-0</v>
      </c>
      <c r="N1459" s="60" t="n">
        <f aca="false">E1459*Settings!$B$3</f>
        <v>0.0619723021596408</v>
      </c>
      <c r="O1459" s="60" t="n">
        <f aca="false">IF(E1459&gt;0,(F1459-N1459)/SQRT(E1459*Settings!$B$3*(1-Settings!$B$3)),0)</f>
        <v>-0.252891261535318</v>
      </c>
      <c r="P1459" s="60" t="n">
        <f aca="false">MAX(0,F1459-N1459)</f>
        <v>0</v>
      </c>
      <c r="Q1459" s="32" t="n">
        <f aca="false">(F1459+Settings!$B$7*Settings!$B$3)/(E1459+Settings!$B$7)</f>
        <v>0.0290495166373316</v>
      </c>
      <c r="R1459" s="61" t="n">
        <f aca="false">PERCENTRANK($H$2:$H$1780,H1459,6)</f>
        <v>0</v>
      </c>
      <c r="S1459" s="61" t="n">
        <f aca="false">PERCENTRANK($Q$2:$Q$1780,Q1459,6)</f>
        <v>0.365579</v>
      </c>
      <c r="T1459" s="61" t="n">
        <f aca="false">PERCENTRANK($F$2:$F$1780,F1459,6)</f>
        <v>0</v>
      </c>
      <c r="U1459" s="62" t="n">
        <f aca="false">IF(F1459&gt;0,(Settings!$B$8*T1459+Settings!$B$9*R1459+Settings!$B$10*S1459)/SUM(Settings!$B$8:$B$10),0)</f>
        <v>0</v>
      </c>
      <c r="V1459" s="56" t="str">
        <f aca="false">IF(U1459&gt;0,RANK(U1459,$U$2:$U$1780)+COUNTIF($U$2:U1459,U1459)-1,"")</f>
        <v/>
      </c>
      <c r="W1459" s="56" t="str">
        <f aca="false">IF(V1459="","",IF(V1459&lt;=Settings!$B$11,"1 - Fix first",IF(V1459&lt;=Settings!$B$12,"2 - Review","3 - Monitor")))</f>
        <v/>
      </c>
      <c r="X1459" s="56" t="str">
        <f aca="false">IF(AND(E1459&gt;=Settings!$B$4,F1459&gt;=Settings!$B$5,O1459&gt;=Settings!$B$6),"HIGH RATE","")</f>
        <v/>
      </c>
      <c r="Y1459" s="56" t="str">
        <f aca="false">IF(F1459&gt;0,RANK(F1459,$F$2:$F$1780)+COUNTIF($F$2:F1459,F1459)-1,"")</f>
        <v/>
      </c>
      <c r="Z1459" s="56" t="str">
        <f aca="false">IF(H1459&gt;0,RANK(H1459,$H$2:$H$1780)+COUNTIF($H$2:H1459,H1459)-1,"")</f>
        <v/>
      </c>
      <c r="AA1459" s="56" t="str">
        <f aca="false">IF(AC1459="","",RANK(AC1459,$AC$2:$AC$1780)+COUNTIF($AC$2:AC1459,AC1459)-1)</f>
        <v/>
      </c>
      <c r="AB1459" s="56" t="str">
        <f aca="false">IF(AD1459="","",RANK(AD1459,$AD$2:$AD$1780)+COUNTIF($AD$2:AD1459,AD1459)-1)</f>
        <v/>
      </c>
      <c r="AC1459" s="56" t="str">
        <f aca="false">IF(AND(F1459&gt;0,E1459&gt;=Settings!$B$4),J1459,"")</f>
        <v/>
      </c>
      <c r="AD1459" s="56" t="str">
        <f aca="false">IF(X1459="HIGH RATE",O1459,"")</f>
        <v/>
      </c>
    </row>
    <row r="1460" customFormat="false" ht="15" hidden="false" customHeight="false" outlineLevel="0" collapsed="false">
      <c r="A1460" s="56" t="s">
        <v>2880</v>
      </c>
      <c r="B1460" s="56" t="s">
        <v>2876</v>
      </c>
      <c r="C1460" s="56" t="s">
        <v>87</v>
      </c>
      <c r="D1460" s="56" t="str">
        <f aca="false">IFERROR(INDEX('Brand Map'!$B$4:$B$124,MATCH(C1460,'Brand Map'!$A$4:$A$124,0)),"Other")</f>
        <v>FYF</v>
      </c>
      <c r="E1460" s="57" t="n">
        <v>1</v>
      </c>
      <c r="F1460" s="57" t="n">
        <v>0</v>
      </c>
      <c r="G1460" s="58" t="n">
        <v>89.95</v>
      </c>
      <c r="H1460" s="58" t="n">
        <v>0</v>
      </c>
      <c r="I1460" s="58" t="n">
        <v>89.95</v>
      </c>
      <c r="J1460" s="32" t="n">
        <f aca="false">IF(E1460&gt;0,F1460/E1460,0)</f>
        <v>0</v>
      </c>
      <c r="K1460" s="32" t="n">
        <f aca="false">IF(G1460&gt;0,H1460/G1460,0)</f>
        <v>-0</v>
      </c>
      <c r="L1460" s="59" t="n">
        <f aca="false">H1460/Settings!$B$16</f>
        <v>-0</v>
      </c>
      <c r="M1460" s="59" t="n">
        <f aca="false">H1460/Settings!$B$20</f>
        <v>-0</v>
      </c>
      <c r="N1460" s="60" t="n">
        <f aca="false">E1460*Settings!$B$3</f>
        <v>0.0309861510798204</v>
      </c>
      <c r="O1460" s="60" t="n">
        <f aca="false">IF(E1460&gt;0,(F1460-N1460)/SQRT(E1460*Settings!$B$3*(1-Settings!$B$3)),0)</f>
        <v>-0.178821125934444</v>
      </c>
      <c r="P1460" s="60" t="n">
        <f aca="false">MAX(0,F1460-N1460)</f>
        <v>0</v>
      </c>
      <c r="Q1460" s="32" t="n">
        <f aca="false">(F1460+Settings!$B$7*Settings!$B$3)/(E1460+Settings!$B$7)</f>
        <v>0.0299865978191811</v>
      </c>
      <c r="R1460" s="61" t="n">
        <f aca="false">PERCENTRANK($H$2:$H$1780,H1460,6)</f>
        <v>0</v>
      </c>
      <c r="S1460" s="61" t="n">
        <f aca="false">PERCENTRANK($Q$2:$Q$1780,Q1460,6)</f>
        <v>0.486502</v>
      </c>
      <c r="T1460" s="61" t="n">
        <f aca="false">PERCENTRANK($F$2:$F$1780,F1460,6)</f>
        <v>0</v>
      </c>
      <c r="U1460" s="62" t="n">
        <f aca="false">IF(F1460&gt;0,(Settings!$B$8*T1460+Settings!$B$9*R1460+Settings!$B$10*S1460)/SUM(Settings!$B$8:$B$10),0)</f>
        <v>0</v>
      </c>
      <c r="V1460" s="56" t="str">
        <f aca="false">IF(U1460&gt;0,RANK(U1460,$U$2:$U$1780)+COUNTIF($U$2:U1460,U1460)-1,"")</f>
        <v/>
      </c>
      <c r="W1460" s="56" t="str">
        <f aca="false">IF(V1460="","",IF(V1460&lt;=Settings!$B$11,"1 - Fix first",IF(V1460&lt;=Settings!$B$12,"2 - Review","3 - Monitor")))</f>
        <v/>
      </c>
      <c r="X1460" s="56" t="str">
        <f aca="false">IF(AND(E1460&gt;=Settings!$B$4,F1460&gt;=Settings!$B$5,O1460&gt;=Settings!$B$6),"HIGH RATE","")</f>
        <v/>
      </c>
      <c r="Y1460" s="56" t="str">
        <f aca="false">IF(F1460&gt;0,RANK(F1460,$F$2:$F$1780)+COUNTIF($F$2:F1460,F1460)-1,"")</f>
        <v/>
      </c>
      <c r="Z1460" s="56" t="str">
        <f aca="false">IF(H1460&gt;0,RANK(H1460,$H$2:$H$1780)+COUNTIF($H$2:H1460,H1460)-1,"")</f>
        <v/>
      </c>
      <c r="AA1460" s="56" t="str">
        <f aca="false">IF(AC1460="","",RANK(AC1460,$AC$2:$AC$1780)+COUNTIF($AC$2:AC1460,AC1460)-1)</f>
        <v/>
      </c>
      <c r="AB1460" s="56" t="str">
        <f aca="false">IF(AD1460="","",RANK(AD1460,$AD$2:$AD$1780)+COUNTIF($AD$2:AD1460,AD1460)-1)</f>
        <v/>
      </c>
      <c r="AC1460" s="56" t="str">
        <f aca="false">IF(AND(F1460&gt;0,E1460&gt;=Settings!$B$4),J1460,"")</f>
        <v/>
      </c>
      <c r="AD1460" s="56" t="str">
        <f aca="false">IF(X1460="HIGH RATE",O1460,"")</f>
        <v/>
      </c>
    </row>
    <row r="1461" customFormat="false" ht="15" hidden="false" customHeight="false" outlineLevel="0" collapsed="false">
      <c r="A1461" s="56" t="s">
        <v>2881</v>
      </c>
      <c r="B1461" s="56" t="s">
        <v>2882</v>
      </c>
      <c r="C1461" s="56" t="s">
        <v>87</v>
      </c>
      <c r="D1461" s="56" t="str">
        <f aca="false">IFERROR(INDEX('Brand Map'!$B$4:$B$124,MATCH(C1461,'Brand Map'!$A$4:$A$124,0)),"Other")</f>
        <v>FYF</v>
      </c>
      <c r="E1461" s="57" t="n">
        <v>14</v>
      </c>
      <c r="F1461" s="57" t="n">
        <v>0</v>
      </c>
      <c r="G1461" s="58" t="n">
        <v>1259.3</v>
      </c>
      <c r="H1461" s="58" t="n">
        <v>0</v>
      </c>
      <c r="I1461" s="58" t="n">
        <v>1259.3</v>
      </c>
      <c r="J1461" s="32" t="n">
        <f aca="false">IF(E1461&gt;0,F1461/E1461,0)</f>
        <v>0</v>
      </c>
      <c r="K1461" s="32" t="n">
        <f aca="false">IF(G1461&gt;0,H1461/G1461,0)</f>
        <v>-0</v>
      </c>
      <c r="L1461" s="59" t="n">
        <f aca="false">H1461/Settings!$B$16</f>
        <v>-0</v>
      </c>
      <c r="M1461" s="59" t="n">
        <f aca="false">H1461/Settings!$B$20</f>
        <v>-0</v>
      </c>
      <c r="N1461" s="60" t="n">
        <f aca="false">E1461*Settings!$B$3</f>
        <v>0.433806115117486</v>
      </c>
      <c r="O1461" s="60" t="n">
        <f aca="false">IF(E1461&gt;0,(F1461-N1461)/SQRT(E1461*Settings!$B$3*(1-Settings!$B$3)),0)</f>
        <v>-0.669087386763846</v>
      </c>
      <c r="P1461" s="60" t="n">
        <f aca="false">MAX(0,F1461-N1461)</f>
        <v>0</v>
      </c>
      <c r="Q1461" s="32" t="n">
        <f aca="false">(F1461+Settings!$B$7*Settings!$B$3)/(E1461+Settings!$B$7)</f>
        <v>0.0211269211907867</v>
      </c>
      <c r="R1461" s="61" t="n">
        <f aca="false">PERCENTRANK($H$2:$H$1780,H1461,6)</f>
        <v>0</v>
      </c>
      <c r="S1461" s="61" t="n">
        <f aca="false">PERCENTRANK($Q$2:$Q$1780,Q1461,6)</f>
        <v>0.0995501</v>
      </c>
      <c r="T1461" s="61" t="n">
        <f aca="false">PERCENTRANK($F$2:$F$1780,F1461,6)</f>
        <v>0</v>
      </c>
      <c r="U1461" s="62" t="n">
        <f aca="false">IF(F1461&gt;0,(Settings!$B$8*T1461+Settings!$B$9*R1461+Settings!$B$10*S1461)/SUM(Settings!$B$8:$B$10),0)</f>
        <v>0</v>
      </c>
      <c r="V1461" s="56" t="str">
        <f aca="false">IF(U1461&gt;0,RANK(U1461,$U$2:$U$1780)+COUNTIF($U$2:U1461,U1461)-1,"")</f>
        <v/>
      </c>
      <c r="W1461" s="56" t="str">
        <f aca="false">IF(V1461="","",IF(V1461&lt;=Settings!$B$11,"1 - Fix first",IF(V1461&lt;=Settings!$B$12,"2 - Review","3 - Monitor")))</f>
        <v/>
      </c>
      <c r="X1461" s="56" t="str">
        <f aca="false">IF(AND(E1461&gt;=Settings!$B$4,F1461&gt;=Settings!$B$5,O1461&gt;=Settings!$B$6),"HIGH RATE","")</f>
        <v/>
      </c>
      <c r="Y1461" s="56" t="str">
        <f aca="false">IF(F1461&gt;0,RANK(F1461,$F$2:$F$1780)+COUNTIF($F$2:F1461,F1461)-1,"")</f>
        <v/>
      </c>
      <c r="Z1461" s="56" t="str">
        <f aca="false">IF(H1461&gt;0,RANK(H1461,$H$2:$H$1780)+COUNTIF($H$2:H1461,H1461)-1,"")</f>
        <v/>
      </c>
      <c r="AA1461" s="56" t="str">
        <f aca="false">IF(AC1461="","",RANK(AC1461,$AC$2:$AC$1780)+COUNTIF($AC$2:AC1461,AC1461)-1)</f>
        <v/>
      </c>
      <c r="AB1461" s="56" t="str">
        <f aca="false">IF(AD1461="","",RANK(AD1461,$AD$2:$AD$1780)+COUNTIF($AD$2:AD1461,AD1461)-1)</f>
        <v/>
      </c>
      <c r="AC1461" s="56" t="str">
        <f aca="false">IF(AND(F1461&gt;0,E1461&gt;=Settings!$B$4),J1461,"")</f>
        <v/>
      </c>
      <c r="AD1461" s="56" t="str">
        <f aca="false">IF(X1461="HIGH RATE",O1461,"")</f>
        <v/>
      </c>
    </row>
    <row r="1462" customFormat="false" ht="15" hidden="false" customHeight="false" outlineLevel="0" collapsed="false">
      <c r="A1462" s="56" t="s">
        <v>2883</v>
      </c>
      <c r="B1462" s="56" t="s">
        <v>2882</v>
      </c>
      <c r="C1462" s="56" t="s">
        <v>87</v>
      </c>
      <c r="D1462" s="56" t="str">
        <f aca="false">IFERROR(INDEX('Brand Map'!$B$4:$B$124,MATCH(C1462,'Brand Map'!$A$4:$A$124,0)),"Other")</f>
        <v>FYF</v>
      </c>
      <c r="E1462" s="57" t="n">
        <v>6</v>
      </c>
      <c r="F1462" s="57" t="n">
        <v>0</v>
      </c>
      <c r="G1462" s="58" t="n">
        <v>629.7</v>
      </c>
      <c r="H1462" s="58" t="n">
        <v>0</v>
      </c>
      <c r="I1462" s="58" t="n">
        <v>629.7</v>
      </c>
      <c r="J1462" s="32" t="n">
        <f aca="false">IF(E1462&gt;0,F1462/E1462,0)</f>
        <v>0</v>
      </c>
      <c r="K1462" s="32" t="n">
        <f aca="false">IF(G1462&gt;0,H1462/G1462,0)</f>
        <v>-0</v>
      </c>
      <c r="L1462" s="59" t="n">
        <f aca="false">H1462/Settings!$B$16</f>
        <v>-0</v>
      </c>
      <c r="M1462" s="59" t="n">
        <f aca="false">H1462/Settings!$B$20</f>
        <v>-0</v>
      </c>
      <c r="N1462" s="60" t="n">
        <f aca="false">E1462*Settings!$B$3</f>
        <v>0.185916906478923</v>
      </c>
      <c r="O1462" s="60" t="n">
        <f aca="false">IF(E1462&gt;0,(F1462-N1462)/SQRT(E1462*Settings!$B$3*(1-Settings!$B$3)),0)</f>
        <v>-0.43802051376936</v>
      </c>
      <c r="P1462" s="60" t="n">
        <f aca="false">MAX(0,F1462-N1462)</f>
        <v>0</v>
      </c>
      <c r="Q1462" s="32" t="n">
        <f aca="false">(F1462+Settings!$B$7*Settings!$B$3)/(E1462+Settings!$B$7)</f>
        <v>0.025821792566517</v>
      </c>
      <c r="R1462" s="61" t="n">
        <f aca="false">PERCENTRANK($H$2:$H$1780,H1462,6)</f>
        <v>0</v>
      </c>
      <c r="S1462" s="61" t="n">
        <f aca="false">PERCENTRANK($Q$2:$Q$1780,Q1462,6)</f>
        <v>0.189539</v>
      </c>
      <c r="T1462" s="61" t="n">
        <f aca="false">PERCENTRANK($F$2:$F$1780,F1462,6)</f>
        <v>0</v>
      </c>
      <c r="U1462" s="62" t="n">
        <f aca="false">IF(F1462&gt;0,(Settings!$B$8*T1462+Settings!$B$9*R1462+Settings!$B$10*S1462)/SUM(Settings!$B$8:$B$10),0)</f>
        <v>0</v>
      </c>
      <c r="V1462" s="56" t="str">
        <f aca="false">IF(U1462&gt;0,RANK(U1462,$U$2:$U$1780)+COUNTIF($U$2:U1462,U1462)-1,"")</f>
        <v/>
      </c>
      <c r="W1462" s="56" t="str">
        <f aca="false">IF(V1462="","",IF(V1462&lt;=Settings!$B$11,"1 - Fix first",IF(V1462&lt;=Settings!$B$12,"2 - Review","3 - Monitor")))</f>
        <v/>
      </c>
      <c r="X1462" s="56" t="str">
        <f aca="false">IF(AND(E1462&gt;=Settings!$B$4,F1462&gt;=Settings!$B$5,O1462&gt;=Settings!$B$6),"HIGH RATE","")</f>
        <v/>
      </c>
      <c r="Y1462" s="56" t="str">
        <f aca="false">IF(F1462&gt;0,RANK(F1462,$F$2:$F$1780)+COUNTIF($F$2:F1462,F1462)-1,"")</f>
        <v/>
      </c>
      <c r="Z1462" s="56" t="str">
        <f aca="false">IF(H1462&gt;0,RANK(H1462,$H$2:$H$1780)+COUNTIF($H$2:H1462,H1462)-1,"")</f>
        <v/>
      </c>
      <c r="AA1462" s="56" t="str">
        <f aca="false">IF(AC1462="","",RANK(AC1462,$AC$2:$AC$1780)+COUNTIF($AC$2:AC1462,AC1462)-1)</f>
        <v/>
      </c>
      <c r="AB1462" s="56" t="str">
        <f aca="false">IF(AD1462="","",RANK(AD1462,$AD$2:$AD$1780)+COUNTIF($AD$2:AD1462,AD1462)-1)</f>
        <v/>
      </c>
      <c r="AC1462" s="56" t="str">
        <f aca="false">IF(AND(F1462&gt;0,E1462&gt;=Settings!$B$4),J1462,"")</f>
        <v/>
      </c>
      <c r="AD1462" s="56" t="str">
        <f aca="false">IF(X1462="HIGH RATE",O1462,"")</f>
        <v/>
      </c>
    </row>
    <row r="1463" customFormat="false" ht="15" hidden="false" customHeight="false" outlineLevel="0" collapsed="false">
      <c r="A1463" s="56" t="s">
        <v>2884</v>
      </c>
      <c r="B1463" s="56" t="s">
        <v>2882</v>
      </c>
      <c r="C1463" s="56" t="s">
        <v>87</v>
      </c>
      <c r="D1463" s="56" t="str">
        <f aca="false">IFERROR(INDEX('Brand Map'!$B$4:$B$124,MATCH(C1463,'Brand Map'!$A$4:$A$124,0)),"Other")</f>
        <v>FYF</v>
      </c>
      <c r="E1463" s="57" t="n">
        <v>2</v>
      </c>
      <c r="F1463" s="57" t="n">
        <v>0</v>
      </c>
      <c r="G1463" s="58" t="n">
        <v>229.9</v>
      </c>
      <c r="H1463" s="58" t="n">
        <v>0</v>
      </c>
      <c r="I1463" s="58" t="n">
        <v>229.9</v>
      </c>
      <c r="J1463" s="32" t="n">
        <f aca="false">IF(E1463&gt;0,F1463/E1463,0)</f>
        <v>0</v>
      </c>
      <c r="K1463" s="32" t="n">
        <f aca="false">IF(G1463&gt;0,H1463/G1463,0)</f>
        <v>-0</v>
      </c>
      <c r="L1463" s="59" t="n">
        <f aca="false">H1463/Settings!$B$16</f>
        <v>-0</v>
      </c>
      <c r="M1463" s="59" t="n">
        <f aca="false">H1463/Settings!$B$20</f>
        <v>-0</v>
      </c>
      <c r="N1463" s="60" t="n">
        <f aca="false">E1463*Settings!$B$3</f>
        <v>0.0619723021596408</v>
      </c>
      <c r="O1463" s="60" t="n">
        <f aca="false">IF(E1463&gt;0,(F1463-N1463)/SQRT(E1463*Settings!$B$3*(1-Settings!$B$3)),0)</f>
        <v>-0.252891261535318</v>
      </c>
      <c r="P1463" s="60" t="n">
        <f aca="false">MAX(0,F1463-N1463)</f>
        <v>0</v>
      </c>
      <c r="Q1463" s="32" t="n">
        <f aca="false">(F1463+Settings!$B$7*Settings!$B$3)/(E1463+Settings!$B$7)</f>
        <v>0.0290495166373316</v>
      </c>
      <c r="R1463" s="61" t="n">
        <f aca="false">PERCENTRANK($H$2:$H$1780,H1463,6)</f>
        <v>0</v>
      </c>
      <c r="S1463" s="61" t="n">
        <f aca="false">PERCENTRANK($Q$2:$Q$1780,Q1463,6)</f>
        <v>0.365579</v>
      </c>
      <c r="T1463" s="61" t="n">
        <f aca="false">PERCENTRANK($F$2:$F$1780,F1463,6)</f>
        <v>0</v>
      </c>
      <c r="U1463" s="62" t="n">
        <f aca="false">IF(F1463&gt;0,(Settings!$B$8*T1463+Settings!$B$9*R1463+Settings!$B$10*S1463)/SUM(Settings!$B$8:$B$10),0)</f>
        <v>0</v>
      </c>
      <c r="V1463" s="56" t="str">
        <f aca="false">IF(U1463&gt;0,RANK(U1463,$U$2:$U$1780)+COUNTIF($U$2:U1463,U1463)-1,"")</f>
        <v/>
      </c>
      <c r="W1463" s="56" t="str">
        <f aca="false">IF(V1463="","",IF(V1463&lt;=Settings!$B$11,"1 - Fix first",IF(V1463&lt;=Settings!$B$12,"2 - Review","3 - Monitor")))</f>
        <v/>
      </c>
      <c r="X1463" s="56" t="str">
        <f aca="false">IF(AND(E1463&gt;=Settings!$B$4,F1463&gt;=Settings!$B$5,O1463&gt;=Settings!$B$6),"HIGH RATE","")</f>
        <v/>
      </c>
      <c r="Y1463" s="56" t="str">
        <f aca="false">IF(F1463&gt;0,RANK(F1463,$F$2:$F$1780)+COUNTIF($F$2:F1463,F1463)-1,"")</f>
        <v/>
      </c>
      <c r="Z1463" s="56" t="str">
        <f aca="false">IF(H1463&gt;0,RANK(H1463,$H$2:$H$1780)+COUNTIF($H$2:H1463,H1463)-1,"")</f>
        <v/>
      </c>
      <c r="AA1463" s="56" t="str">
        <f aca="false">IF(AC1463="","",RANK(AC1463,$AC$2:$AC$1780)+COUNTIF($AC$2:AC1463,AC1463)-1)</f>
        <v/>
      </c>
      <c r="AB1463" s="56" t="str">
        <f aca="false">IF(AD1463="","",RANK(AD1463,$AD$2:$AD$1780)+COUNTIF($AD$2:AD1463,AD1463)-1)</f>
        <v/>
      </c>
      <c r="AC1463" s="56" t="str">
        <f aca="false">IF(AND(F1463&gt;0,E1463&gt;=Settings!$B$4),J1463,"")</f>
        <v/>
      </c>
      <c r="AD1463" s="56" t="str">
        <f aca="false">IF(X1463="HIGH RATE",O1463,"")</f>
        <v/>
      </c>
    </row>
    <row r="1464" customFormat="false" ht="15" hidden="false" customHeight="false" outlineLevel="0" collapsed="false">
      <c r="A1464" s="56" t="s">
        <v>2885</v>
      </c>
      <c r="B1464" s="56" t="s">
        <v>2886</v>
      </c>
      <c r="C1464" s="56" t="s">
        <v>87</v>
      </c>
      <c r="D1464" s="56" t="str">
        <f aca="false">IFERROR(INDEX('Brand Map'!$B$4:$B$124,MATCH(C1464,'Brand Map'!$A$4:$A$124,0)),"Other")</f>
        <v>FYF</v>
      </c>
      <c r="E1464" s="57" t="n">
        <v>1</v>
      </c>
      <c r="F1464" s="57" t="n">
        <v>0</v>
      </c>
      <c r="G1464" s="58" t="n">
        <v>74.95</v>
      </c>
      <c r="H1464" s="58" t="n">
        <v>0</v>
      </c>
      <c r="I1464" s="58" t="n">
        <v>74.95</v>
      </c>
      <c r="J1464" s="32" t="n">
        <f aca="false">IF(E1464&gt;0,F1464/E1464,0)</f>
        <v>0</v>
      </c>
      <c r="K1464" s="32" t="n">
        <f aca="false">IF(G1464&gt;0,H1464/G1464,0)</f>
        <v>-0</v>
      </c>
      <c r="L1464" s="59" t="n">
        <f aca="false">H1464/Settings!$B$16</f>
        <v>-0</v>
      </c>
      <c r="M1464" s="59" t="n">
        <f aca="false">H1464/Settings!$B$20</f>
        <v>-0</v>
      </c>
      <c r="N1464" s="60" t="n">
        <f aca="false">E1464*Settings!$B$3</f>
        <v>0.0309861510798204</v>
      </c>
      <c r="O1464" s="60" t="n">
        <f aca="false">IF(E1464&gt;0,(F1464-N1464)/SQRT(E1464*Settings!$B$3*(1-Settings!$B$3)),0)</f>
        <v>-0.178821125934444</v>
      </c>
      <c r="P1464" s="60" t="n">
        <f aca="false">MAX(0,F1464-N1464)</f>
        <v>0</v>
      </c>
      <c r="Q1464" s="32" t="n">
        <f aca="false">(F1464+Settings!$B$7*Settings!$B$3)/(E1464+Settings!$B$7)</f>
        <v>0.0299865978191811</v>
      </c>
      <c r="R1464" s="61" t="n">
        <f aca="false">PERCENTRANK($H$2:$H$1780,H1464,6)</f>
        <v>0</v>
      </c>
      <c r="S1464" s="61" t="n">
        <f aca="false">PERCENTRANK($Q$2:$Q$1780,Q1464,6)</f>
        <v>0.486502</v>
      </c>
      <c r="T1464" s="61" t="n">
        <f aca="false">PERCENTRANK($F$2:$F$1780,F1464,6)</f>
        <v>0</v>
      </c>
      <c r="U1464" s="62" t="n">
        <f aca="false">IF(F1464&gt;0,(Settings!$B$8*T1464+Settings!$B$9*R1464+Settings!$B$10*S1464)/SUM(Settings!$B$8:$B$10),0)</f>
        <v>0</v>
      </c>
      <c r="V1464" s="56" t="str">
        <f aca="false">IF(U1464&gt;0,RANK(U1464,$U$2:$U$1780)+COUNTIF($U$2:U1464,U1464)-1,"")</f>
        <v/>
      </c>
      <c r="W1464" s="56" t="str">
        <f aca="false">IF(V1464="","",IF(V1464&lt;=Settings!$B$11,"1 - Fix first",IF(V1464&lt;=Settings!$B$12,"2 - Review","3 - Monitor")))</f>
        <v/>
      </c>
      <c r="X1464" s="56" t="str">
        <f aca="false">IF(AND(E1464&gt;=Settings!$B$4,F1464&gt;=Settings!$B$5,O1464&gt;=Settings!$B$6),"HIGH RATE","")</f>
        <v/>
      </c>
      <c r="Y1464" s="56" t="str">
        <f aca="false">IF(F1464&gt;0,RANK(F1464,$F$2:$F$1780)+COUNTIF($F$2:F1464,F1464)-1,"")</f>
        <v/>
      </c>
      <c r="Z1464" s="56" t="str">
        <f aca="false">IF(H1464&gt;0,RANK(H1464,$H$2:$H$1780)+COUNTIF($H$2:H1464,H1464)-1,"")</f>
        <v/>
      </c>
      <c r="AA1464" s="56" t="str">
        <f aca="false">IF(AC1464="","",RANK(AC1464,$AC$2:$AC$1780)+COUNTIF($AC$2:AC1464,AC1464)-1)</f>
        <v/>
      </c>
      <c r="AB1464" s="56" t="str">
        <f aca="false">IF(AD1464="","",RANK(AD1464,$AD$2:$AD$1780)+COUNTIF($AD$2:AD1464,AD1464)-1)</f>
        <v/>
      </c>
      <c r="AC1464" s="56" t="str">
        <f aca="false">IF(AND(F1464&gt;0,E1464&gt;=Settings!$B$4),J1464,"")</f>
        <v/>
      </c>
      <c r="AD1464" s="56" t="str">
        <f aca="false">IF(X1464="HIGH RATE",O1464,"")</f>
        <v/>
      </c>
    </row>
    <row r="1465" customFormat="false" ht="15" hidden="false" customHeight="false" outlineLevel="0" collapsed="false">
      <c r="A1465" s="56" t="s">
        <v>2887</v>
      </c>
      <c r="B1465" s="56" t="s">
        <v>2888</v>
      </c>
      <c r="C1465" s="56" t="s">
        <v>87</v>
      </c>
      <c r="D1465" s="56" t="str">
        <f aca="false">IFERROR(INDEX('Brand Map'!$B$4:$B$124,MATCH(C1465,'Brand Map'!$A$4:$A$124,0)),"Other")</f>
        <v>FYF</v>
      </c>
      <c r="E1465" s="57" t="n">
        <v>3</v>
      </c>
      <c r="F1465" s="57" t="n">
        <v>0</v>
      </c>
      <c r="G1465" s="58" t="n">
        <v>209.85</v>
      </c>
      <c r="H1465" s="58" t="n">
        <v>0</v>
      </c>
      <c r="I1465" s="58" t="n">
        <v>209.85</v>
      </c>
      <c r="J1465" s="32" t="n">
        <f aca="false">IF(E1465&gt;0,F1465/E1465,0)</f>
        <v>0</v>
      </c>
      <c r="K1465" s="32" t="n">
        <f aca="false">IF(G1465&gt;0,H1465/G1465,0)</f>
        <v>-0</v>
      </c>
      <c r="L1465" s="59" t="n">
        <f aca="false">H1465/Settings!$B$16</f>
        <v>-0</v>
      </c>
      <c r="M1465" s="59" t="n">
        <f aca="false">H1465/Settings!$B$20</f>
        <v>-0</v>
      </c>
      <c r="N1465" s="60" t="n">
        <f aca="false">E1465*Settings!$B$3</f>
        <v>0.0929584532394613</v>
      </c>
      <c r="O1465" s="60" t="n">
        <f aca="false">IF(E1465&gt;0,(F1465-N1465)/SQRT(E1465*Settings!$B$3*(1-Settings!$B$3)),0)</f>
        <v>-0.30972727558513</v>
      </c>
      <c r="P1465" s="60" t="n">
        <f aca="false">MAX(0,F1465-N1465)</f>
        <v>0</v>
      </c>
      <c r="Q1465" s="32" t="n">
        <f aca="false">(F1465+Settings!$B$7*Settings!$B$3)/(E1465+Settings!$B$7)</f>
        <v>0.0281692282543822</v>
      </c>
      <c r="R1465" s="61" t="n">
        <f aca="false">PERCENTRANK($H$2:$H$1780,H1465,6)</f>
        <v>0</v>
      </c>
      <c r="S1465" s="61" t="n">
        <f aca="false">PERCENTRANK($Q$2:$Q$1780,Q1465,6)</f>
        <v>0.294151</v>
      </c>
      <c r="T1465" s="61" t="n">
        <f aca="false">PERCENTRANK($F$2:$F$1780,F1465,6)</f>
        <v>0</v>
      </c>
      <c r="U1465" s="62" t="n">
        <f aca="false">IF(F1465&gt;0,(Settings!$B$8*T1465+Settings!$B$9*R1465+Settings!$B$10*S1465)/SUM(Settings!$B$8:$B$10),0)</f>
        <v>0</v>
      </c>
      <c r="V1465" s="56" t="str">
        <f aca="false">IF(U1465&gt;0,RANK(U1465,$U$2:$U$1780)+COUNTIF($U$2:U1465,U1465)-1,"")</f>
        <v/>
      </c>
      <c r="W1465" s="56" t="str">
        <f aca="false">IF(V1465="","",IF(V1465&lt;=Settings!$B$11,"1 - Fix first",IF(V1465&lt;=Settings!$B$12,"2 - Review","3 - Monitor")))</f>
        <v/>
      </c>
      <c r="X1465" s="56" t="str">
        <f aca="false">IF(AND(E1465&gt;=Settings!$B$4,F1465&gt;=Settings!$B$5,O1465&gt;=Settings!$B$6),"HIGH RATE","")</f>
        <v/>
      </c>
      <c r="Y1465" s="56" t="str">
        <f aca="false">IF(F1465&gt;0,RANK(F1465,$F$2:$F$1780)+COUNTIF($F$2:F1465,F1465)-1,"")</f>
        <v/>
      </c>
      <c r="Z1465" s="56" t="str">
        <f aca="false">IF(H1465&gt;0,RANK(H1465,$H$2:$H$1780)+COUNTIF($H$2:H1465,H1465)-1,"")</f>
        <v/>
      </c>
      <c r="AA1465" s="56" t="str">
        <f aca="false">IF(AC1465="","",RANK(AC1465,$AC$2:$AC$1780)+COUNTIF($AC$2:AC1465,AC1465)-1)</f>
        <v/>
      </c>
      <c r="AB1465" s="56" t="str">
        <f aca="false">IF(AD1465="","",RANK(AD1465,$AD$2:$AD$1780)+COUNTIF($AD$2:AD1465,AD1465)-1)</f>
        <v/>
      </c>
      <c r="AC1465" s="56" t="str">
        <f aca="false">IF(AND(F1465&gt;0,E1465&gt;=Settings!$B$4),J1465,"")</f>
        <v/>
      </c>
      <c r="AD1465" s="56" t="str">
        <f aca="false">IF(X1465="HIGH RATE",O1465,"")</f>
        <v/>
      </c>
    </row>
    <row r="1466" customFormat="false" ht="15" hidden="false" customHeight="false" outlineLevel="0" collapsed="false">
      <c r="A1466" s="56" t="s">
        <v>2889</v>
      </c>
      <c r="B1466" s="56" t="s">
        <v>2888</v>
      </c>
      <c r="C1466" s="56" t="s">
        <v>87</v>
      </c>
      <c r="D1466" s="56" t="str">
        <f aca="false">IFERROR(INDEX('Brand Map'!$B$4:$B$124,MATCH(C1466,'Brand Map'!$A$4:$A$124,0)),"Other")</f>
        <v>FYF</v>
      </c>
      <c r="E1466" s="57" t="n">
        <v>1</v>
      </c>
      <c r="F1466" s="57" t="n">
        <v>0</v>
      </c>
      <c r="G1466" s="58" t="n">
        <v>69.95</v>
      </c>
      <c r="H1466" s="58" t="n">
        <v>0</v>
      </c>
      <c r="I1466" s="58" t="n">
        <v>69.95</v>
      </c>
      <c r="J1466" s="32" t="n">
        <f aca="false">IF(E1466&gt;0,F1466/E1466,0)</f>
        <v>0</v>
      </c>
      <c r="K1466" s="32" t="n">
        <f aca="false">IF(G1466&gt;0,H1466/G1466,0)</f>
        <v>-0</v>
      </c>
      <c r="L1466" s="59" t="n">
        <f aca="false">H1466/Settings!$B$16</f>
        <v>-0</v>
      </c>
      <c r="M1466" s="59" t="n">
        <f aca="false">H1466/Settings!$B$20</f>
        <v>-0</v>
      </c>
      <c r="N1466" s="60" t="n">
        <f aca="false">E1466*Settings!$B$3</f>
        <v>0.0309861510798204</v>
      </c>
      <c r="O1466" s="60" t="n">
        <f aca="false">IF(E1466&gt;0,(F1466-N1466)/SQRT(E1466*Settings!$B$3*(1-Settings!$B$3)),0)</f>
        <v>-0.178821125934444</v>
      </c>
      <c r="P1466" s="60" t="n">
        <f aca="false">MAX(0,F1466-N1466)</f>
        <v>0</v>
      </c>
      <c r="Q1466" s="32" t="n">
        <f aca="false">(F1466+Settings!$B$7*Settings!$B$3)/(E1466+Settings!$B$7)</f>
        <v>0.0299865978191811</v>
      </c>
      <c r="R1466" s="61" t="n">
        <f aca="false">PERCENTRANK($H$2:$H$1780,H1466,6)</f>
        <v>0</v>
      </c>
      <c r="S1466" s="61" t="n">
        <f aca="false">PERCENTRANK($Q$2:$Q$1780,Q1466,6)</f>
        <v>0.486502</v>
      </c>
      <c r="T1466" s="61" t="n">
        <f aca="false">PERCENTRANK($F$2:$F$1780,F1466,6)</f>
        <v>0</v>
      </c>
      <c r="U1466" s="62" t="n">
        <f aca="false">IF(F1466&gt;0,(Settings!$B$8*T1466+Settings!$B$9*R1466+Settings!$B$10*S1466)/SUM(Settings!$B$8:$B$10),0)</f>
        <v>0</v>
      </c>
      <c r="V1466" s="56" t="str">
        <f aca="false">IF(U1466&gt;0,RANK(U1466,$U$2:$U$1780)+COUNTIF($U$2:U1466,U1466)-1,"")</f>
        <v/>
      </c>
      <c r="W1466" s="56" t="str">
        <f aca="false">IF(V1466="","",IF(V1466&lt;=Settings!$B$11,"1 - Fix first",IF(V1466&lt;=Settings!$B$12,"2 - Review","3 - Monitor")))</f>
        <v/>
      </c>
      <c r="X1466" s="56" t="str">
        <f aca="false">IF(AND(E1466&gt;=Settings!$B$4,F1466&gt;=Settings!$B$5,O1466&gt;=Settings!$B$6),"HIGH RATE","")</f>
        <v/>
      </c>
      <c r="Y1466" s="56" t="str">
        <f aca="false">IF(F1466&gt;0,RANK(F1466,$F$2:$F$1780)+COUNTIF($F$2:F1466,F1466)-1,"")</f>
        <v/>
      </c>
      <c r="Z1466" s="56" t="str">
        <f aca="false">IF(H1466&gt;0,RANK(H1466,$H$2:$H$1780)+COUNTIF($H$2:H1466,H1466)-1,"")</f>
        <v/>
      </c>
      <c r="AA1466" s="56" t="str">
        <f aca="false">IF(AC1466="","",RANK(AC1466,$AC$2:$AC$1780)+COUNTIF($AC$2:AC1466,AC1466)-1)</f>
        <v/>
      </c>
      <c r="AB1466" s="56" t="str">
        <f aca="false">IF(AD1466="","",RANK(AD1466,$AD$2:$AD$1780)+COUNTIF($AD$2:AD1466,AD1466)-1)</f>
        <v/>
      </c>
      <c r="AC1466" s="56" t="str">
        <f aca="false">IF(AND(F1466&gt;0,E1466&gt;=Settings!$B$4),J1466,"")</f>
        <v/>
      </c>
      <c r="AD1466" s="56" t="str">
        <f aca="false">IF(X1466="HIGH RATE",O1466,"")</f>
        <v/>
      </c>
    </row>
    <row r="1467" customFormat="false" ht="15" hidden="false" customHeight="false" outlineLevel="0" collapsed="false">
      <c r="A1467" s="56" t="s">
        <v>2890</v>
      </c>
      <c r="B1467" s="56" t="s">
        <v>1337</v>
      </c>
      <c r="C1467" s="56" t="s">
        <v>87</v>
      </c>
      <c r="D1467" s="56" t="str">
        <f aca="false">IFERROR(INDEX('Brand Map'!$B$4:$B$124,MATCH(C1467,'Brand Map'!$A$4:$A$124,0)),"Other")</f>
        <v>FYF</v>
      </c>
      <c r="E1467" s="57" t="n">
        <v>1</v>
      </c>
      <c r="F1467" s="57" t="n">
        <v>0</v>
      </c>
      <c r="G1467" s="58" t="n">
        <v>109.95</v>
      </c>
      <c r="H1467" s="58" t="n">
        <v>0</v>
      </c>
      <c r="I1467" s="58" t="n">
        <v>109.95</v>
      </c>
      <c r="J1467" s="32" t="n">
        <f aca="false">IF(E1467&gt;0,F1467/E1467,0)</f>
        <v>0</v>
      </c>
      <c r="K1467" s="32" t="n">
        <f aca="false">IF(G1467&gt;0,H1467/G1467,0)</f>
        <v>-0</v>
      </c>
      <c r="L1467" s="59" t="n">
        <f aca="false">H1467/Settings!$B$16</f>
        <v>-0</v>
      </c>
      <c r="M1467" s="59" t="n">
        <f aca="false">H1467/Settings!$B$20</f>
        <v>-0</v>
      </c>
      <c r="N1467" s="60" t="n">
        <f aca="false">E1467*Settings!$B$3</f>
        <v>0.0309861510798204</v>
      </c>
      <c r="O1467" s="60" t="n">
        <f aca="false">IF(E1467&gt;0,(F1467-N1467)/SQRT(E1467*Settings!$B$3*(1-Settings!$B$3)),0)</f>
        <v>-0.178821125934444</v>
      </c>
      <c r="P1467" s="60" t="n">
        <f aca="false">MAX(0,F1467-N1467)</f>
        <v>0</v>
      </c>
      <c r="Q1467" s="32" t="n">
        <f aca="false">(F1467+Settings!$B$7*Settings!$B$3)/(E1467+Settings!$B$7)</f>
        <v>0.0299865978191811</v>
      </c>
      <c r="R1467" s="61" t="n">
        <f aca="false">PERCENTRANK($H$2:$H$1780,H1467,6)</f>
        <v>0</v>
      </c>
      <c r="S1467" s="61" t="n">
        <f aca="false">PERCENTRANK($Q$2:$Q$1780,Q1467,6)</f>
        <v>0.486502</v>
      </c>
      <c r="T1467" s="61" t="n">
        <f aca="false">PERCENTRANK($F$2:$F$1780,F1467,6)</f>
        <v>0</v>
      </c>
      <c r="U1467" s="62" t="n">
        <f aca="false">IF(F1467&gt;0,(Settings!$B$8*T1467+Settings!$B$9*R1467+Settings!$B$10*S1467)/SUM(Settings!$B$8:$B$10),0)</f>
        <v>0</v>
      </c>
      <c r="V1467" s="56" t="str">
        <f aca="false">IF(U1467&gt;0,RANK(U1467,$U$2:$U$1780)+COUNTIF($U$2:U1467,U1467)-1,"")</f>
        <v/>
      </c>
      <c r="W1467" s="56" t="str">
        <f aca="false">IF(V1467="","",IF(V1467&lt;=Settings!$B$11,"1 - Fix first",IF(V1467&lt;=Settings!$B$12,"2 - Review","3 - Monitor")))</f>
        <v/>
      </c>
      <c r="X1467" s="56" t="str">
        <f aca="false">IF(AND(E1467&gt;=Settings!$B$4,F1467&gt;=Settings!$B$5,O1467&gt;=Settings!$B$6),"HIGH RATE","")</f>
        <v/>
      </c>
      <c r="Y1467" s="56" t="str">
        <f aca="false">IF(F1467&gt;0,RANK(F1467,$F$2:$F$1780)+COUNTIF($F$2:F1467,F1467)-1,"")</f>
        <v/>
      </c>
      <c r="Z1467" s="56" t="str">
        <f aca="false">IF(H1467&gt;0,RANK(H1467,$H$2:$H$1780)+COUNTIF($H$2:H1467,H1467)-1,"")</f>
        <v/>
      </c>
      <c r="AA1467" s="56" t="str">
        <f aca="false">IF(AC1467="","",RANK(AC1467,$AC$2:$AC$1780)+COUNTIF($AC$2:AC1467,AC1467)-1)</f>
        <v/>
      </c>
      <c r="AB1467" s="56" t="str">
        <f aca="false">IF(AD1467="","",RANK(AD1467,$AD$2:$AD$1780)+COUNTIF($AD$2:AD1467,AD1467)-1)</f>
        <v/>
      </c>
      <c r="AC1467" s="56" t="str">
        <f aca="false">IF(AND(F1467&gt;0,E1467&gt;=Settings!$B$4),J1467,"")</f>
        <v/>
      </c>
      <c r="AD1467" s="56" t="str">
        <f aca="false">IF(X1467="HIGH RATE",O1467,"")</f>
        <v/>
      </c>
    </row>
    <row r="1468" customFormat="false" ht="15" hidden="false" customHeight="false" outlineLevel="0" collapsed="false">
      <c r="A1468" s="56" t="s">
        <v>2891</v>
      </c>
      <c r="B1468" s="56" t="s">
        <v>2892</v>
      </c>
      <c r="C1468" s="56" t="s">
        <v>87</v>
      </c>
      <c r="D1468" s="56" t="str">
        <f aca="false">IFERROR(INDEX('Brand Map'!$B$4:$B$124,MATCH(C1468,'Brand Map'!$A$4:$A$124,0)),"Other")</f>
        <v>FYF</v>
      </c>
      <c r="E1468" s="57" t="n">
        <v>1</v>
      </c>
      <c r="F1468" s="57" t="n">
        <v>0</v>
      </c>
      <c r="G1468" s="58" t="n">
        <v>114.95</v>
      </c>
      <c r="H1468" s="58" t="n">
        <v>0</v>
      </c>
      <c r="I1468" s="58" t="n">
        <v>114.95</v>
      </c>
      <c r="J1468" s="32" t="n">
        <f aca="false">IF(E1468&gt;0,F1468/E1468,0)</f>
        <v>0</v>
      </c>
      <c r="K1468" s="32" t="n">
        <f aca="false">IF(G1468&gt;0,H1468/G1468,0)</f>
        <v>-0</v>
      </c>
      <c r="L1468" s="59" t="n">
        <f aca="false">H1468/Settings!$B$16</f>
        <v>-0</v>
      </c>
      <c r="M1468" s="59" t="n">
        <f aca="false">H1468/Settings!$B$20</f>
        <v>-0</v>
      </c>
      <c r="N1468" s="60" t="n">
        <f aca="false">E1468*Settings!$B$3</f>
        <v>0.0309861510798204</v>
      </c>
      <c r="O1468" s="60" t="n">
        <f aca="false">IF(E1468&gt;0,(F1468-N1468)/SQRT(E1468*Settings!$B$3*(1-Settings!$B$3)),0)</f>
        <v>-0.178821125934444</v>
      </c>
      <c r="P1468" s="60" t="n">
        <f aca="false">MAX(0,F1468-N1468)</f>
        <v>0</v>
      </c>
      <c r="Q1468" s="32" t="n">
        <f aca="false">(F1468+Settings!$B$7*Settings!$B$3)/(E1468+Settings!$B$7)</f>
        <v>0.0299865978191811</v>
      </c>
      <c r="R1468" s="61" t="n">
        <f aca="false">PERCENTRANK($H$2:$H$1780,H1468,6)</f>
        <v>0</v>
      </c>
      <c r="S1468" s="61" t="n">
        <f aca="false">PERCENTRANK($Q$2:$Q$1780,Q1468,6)</f>
        <v>0.486502</v>
      </c>
      <c r="T1468" s="61" t="n">
        <f aca="false">PERCENTRANK($F$2:$F$1780,F1468,6)</f>
        <v>0</v>
      </c>
      <c r="U1468" s="62" t="n">
        <f aca="false">IF(F1468&gt;0,(Settings!$B$8*T1468+Settings!$B$9*R1468+Settings!$B$10*S1468)/SUM(Settings!$B$8:$B$10),0)</f>
        <v>0</v>
      </c>
      <c r="V1468" s="56" t="str">
        <f aca="false">IF(U1468&gt;0,RANK(U1468,$U$2:$U$1780)+COUNTIF($U$2:U1468,U1468)-1,"")</f>
        <v/>
      </c>
      <c r="W1468" s="56" t="str">
        <f aca="false">IF(V1468="","",IF(V1468&lt;=Settings!$B$11,"1 - Fix first",IF(V1468&lt;=Settings!$B$12,"2 - Review","3 - Monitor")))</f>
        <v/>
      </c>
      <c r="X1468" s="56" t="str">
        <f aca="false">IF(AND(E1468&gt;=Settings!$B$4,F1468&gt;=Settings!$B$5,O1468&gt;=Settings!$B$6),"HIGH RATE","")</f>
        <v/>
      </c>
      <c r="Y1468" s="56" t="str">
        <f aca="false">IF(F1468&gt;0,RANK(F1468,$F$2:$F$1780)+COUNTIF($F$2:F1468,F1468)-1,"")</f>
        <v/>
      </c>
      <c r="Z1468" s="56" t="str">
        <f aca="false">IF(H1468&gt;0,RANK(H1468,$H$2:$H$1780)+COUNTIF($H$2:H1468,H1468)-1,"")</f>
        <v/>
      </c>
      <c r="AA1468" s="56" t="str">
        <f aca="false">IF(AC1468="","",RANK(AC1468,$AC$2:$AC$1780)+COUNTIF($AC$2:AC1468,AC1468)-1)</f>
        <v/>
      </c>
      <c r="AB1468" s="56" t="str">
        <f aca="false">IF(AD1468="","",RANK(AD1468,$AD$2:$AD$1780)+COUNTIF($AD$2:AD1468,AD1468)-1)</f>
        <v/>
      </c>
      <c r="AC1468" s="56" t="str">
        <f aca="false">IF(AND(F1468&gt;0,E1468&gt;=Settings!$B$4),J1468,"")</f>
        <v/>
      </c>
      <c r="AD1468" s="56" t="str">
        <f aca="false">IF(X1468="HIGH RATE",O1468,"")</f>
        <v/>
      </c>
    </row>
    <row r="1469" customFormat="false" ht="15" hidden="false" customHeight="false" outlineLevel="0" collapsed="false">
      <c r="A1469" s="56" t="s">
        <v>2893</v>
      </c>
      <c r="B1469" s="56" t="s">
        <v>1109</v>
      </c>
      <c r="C1469" s="56" t="s">
        <v>87</v>
      </c>
      <c r="D1469" s="56" t="str">
        <f aca="false">IFERROR(INDEX('Brand Map'!$B$4:$B$124,MATCH(C1469,'Brand Map'!$A$4:$A$124,0)),"Other")</f>
        <v>FYF</v>
      </c>
      <c r="E1469" s="57" t="n">
        <v>2</v>
      </c>
      <c r="F1469" s="57" t="n">
        <v>0</v>
      </c>
      <c r="G1469" s="58" t="n">
        <v>229.9</v>
      </c>
      <c r="H1469" s="58" t="n">
        <v>0</v>
      </c>
      <c r="I1469" s="58" t="n">
        <v>229.9</v>
      </c>
      <c r="J1469" s="32" t="n">
        <f aca="false">IF(E1469&gt;0,F1469/E1469,0)</f>
        <v>0</v>
      </c>
      <c r="K1469" s="32" t="n">
        <f aca="false">IF(G1469&gt;0,H1469/G1469,0)</f>
        <v>-0</v>
      </c>
      <c r="L1469" s="59" t="n">
        <f aca="false">H1469/Settings!$B$16</f>
        <v>-0</v>
      </c>
      <c r="M1469" s="59" t="n">
        <f aca="false">H1469/Settings!$B$20</f>
        <v>-0</v>
      </c>
      <c r="N1469" s="60" t="n">
        <f aca="false">E1469*Settings!$B$3</f>
        <v>0.0619723021596408</v>
      </c>
      <c r="O1469" s="60" t="n">
        <f aca="false">IF(E1469&gt;0,(F1469-N1469)/SQRT(E1469*Settings!$B$3*(1-Settings!$B$3)),0)</f>
        <v>-0.252891261535318</v>
      </c>
      <c r="P1469" s="60" t="n">
        <f aca="false">MAX(0,F1469-N1469)</f>
        <v>0</v>
      </c>
      <c r="Q1469" s="32" t="n">
        <f aca="false">(F1469+Settings!$B$7*Settings!$B$3)/(E1469+Settings!$B$7)</f>
        <v>0.0290495166373316</v>
      </c>
      <c r="R1469" s="61" t="n">
        <f aca="false">PERCENTRANK($H$2:$H$1780,H1469,6)</f>
        <v>0</v>
      </c>
      <c r="S1469" s="61" t="n">
        <f aca="false">PERCENTRANK($Q$2:$Q$1780,Q1469,6)</f>
        <v>0.365579</v>
      </c>
      <c r="T1469" s="61" t="n">
        <f aca="false">PERCENTRANK($F$2:$F$1780,F1469,6)</f>
        <v>0</v>
      </c>
      <c r="U1469" s="62" t="n">
        <f aca="false">IF(F1469&gt;0,(Settings!$B$8*T1469+Settings!$B$9*R1469+Settings!$B$10*S1469)/SUM(Settings!$B$8:$B$10),0)</f>
        <v>0</v>
      </c>
      <c r="V1469" s="56" t="str">
        <f aca="false">IF(U1469&gt;0,RANK(U1469,$U$2:$U$1780)+COUNTIF($U$2:U1469,U1469)-1,"")</f>
        <v/>
      </c>
      <c r="W1469" s="56" t="str">
        <f aca="false">IF(V1469="","",IF(V1469&lt;=Settings!$B$11,"1 - Fix first",IF(V1469&lt;=Settings!$B$12,"2 - Review","3 - Monitor")))</f>
        <v/>
      </c>
      <c r="X1469" s="56" t="str">
        <f aca="false">IF(AND(E1469&gt;=Settings!$B$4,F1469&gt;=Settings!$B$5,O1469&gt;=Settings!$B$6),"HIGH RATE","")</f>
        <v/>
      </c>
      <c r="Y1469" s="56" t="str">
        <f aca="false">IF(F1469&gt;0,RANK(F1469,$F$2:$F$1780)+COUNTIF($F$2:F1469,F1469)-1,"")</f>
        <v/>
      </c>
      <c r="Z1469" s="56" t="str">
        <f aca="false">IF(H1469&gt;0,RANK(H1469,$H$2:$H$1780)+COUNTIF($H$2:H1469,H1469)-1,"")</f>
        <v/>
      </c>
      <c r="AA1469" s="56" t="str">
        <f aca="false">IF(AC1469="","",RANK(AC1469,$AC$2:$AC$1780)+COUNTIF($AC$2:AC1469,AC1469)-1)</f>
        <v/>
      </c>
      <c r="AB1469" s="56" t="str">
        <f aca="false">IF(AD1469="","",RANK(AD1469,$AD$2:$AD$1780)+COUNTIF($AD$2:AD1469,AD1469)-1)</f>
        <v/>
      </c>
      <c r="AC1469" s="56" t="str">
        <f aca="false">IF(AND(F1469&gt;0,E1469&gt;=Settings!$B$4),J1469,"")</f>
        <v/>
      </c>
      <c r="AD1469" s="56" t="str">
        <f aca="false">IF(X1469="HIGH RATE",O1469,"")</f>
        <v/>
      </c>
    </row>
    <row r="1470" customFormat="false" ht="15" hidden="false" customHeight="false" outlineLevel="0" collapsed="false">
      <c r="A1470" s="56" t="s">
        <v>2894</v>
      </c>
      <c r="B1470" s="56" t="s">
        <v>1109</v>
      </c>
      <c r="C1470" s="56" t="s">
        <v>87</v>
      </c>
      <c r="D1470" s="56" t="str">
        <f aca="false">IFERROR(INDEX('Brand Map'!$B$4:$B$124,MATCH(C1470,'Brand Map'!$A$4:$A$124,0)),"Other")</f>
        <v>FYF</v>
      </c>
      <c r="E1470" s="57" t="n">
        <v>22</v>
      </c>
      <c r="F1470" s="57" t="n">
        <v>0</v>
      </c>
      <c r="G1470" s="58" t="n">
        <v>2418.9</v>
      </c>
      <c r="H1470" s="58" t="n">
        <v>0</v>
      </c>
      <c r="I1470" s="58" t="n">
        <v>2418.9</v>
      </c>
      <c r="J1470" s="32" t="n">
        <f aca="false">IF(E1470&gt;0,F1470/E1470,0)</f>
        <v>0</v>
      </c>
      <c r="K1470" s="32" t="n">
        <f aca="false">IF(G1470&gt;0,H1470/G1470,0)</f>
        <v>-0</v>
      </c>
      <c r="L1470" s="59" t="n">
        <f aca="false">H1470/Settings!$B$16</f>
        <v>-0</v>
      </c>
      <c r="M1470" s="59" t="n">
        <f aca="false">H1470/Settings!$B$20</f>
        <v>-0</v>
      </c>
      <c r="N1470" s="60" t="n">
        <f aca="false">E1470*Settings!$B$3</f>
        <v>0.681695323756049</v>
      </c>
      <c r="O1470" s="60" t="n">
        <f aca="false">IF(E1470&gt;0,(F1470-N1470)/SQRT(E1470*Settings!$B$3*(1-Settings!$B$3)),0)</f>
        <v>-0.838745427272287</v>
      </c>
      <c r="P1470" s="60" t="n">
        <f aca="false">MAX(0,F1470-N1470)</f>
        <v>0</v>
      </c>
      <c r="Q1470" s="32" t="n">
        <f aca="false">(F1470+Settings!$B$7*Settings!$B$3)/(E1470+Settings!$B$7)</f>
        <v>0.0178766256229733</v>
      </c>
      <c r="R1470" s="61" t="n">
        <f aca="false">PERCENTRANK($H$2:$H$1780,H1470,6)</f>
        <v>0</v>
      </c>
      <c r="S1470" s="61" t="n">
        <f aca="false">PERCENTRANK($Q$2:$Q$1780,Q1470,6)</f>
        <v>0.0658043</v>
      </c>
      <c r="T1470" s="61" t="n">
        <f aca="false">PERCENTRANK($F$2:$F$1780,F1470,6)</f>
        <v>0</v>
      </c>
      <c r="U1470" s="62" t="n">
        <f aca="false">IF(F1470&gt;0,(Settings!$B$8*T1470+Settings!$B$9*R1470+Settings!$B$10*S1470)/SUM(Settings!$B$8:$B$10),0)</f>
        <v>0</v>
      </c>
      <c r="V1470" s="56" t="str">
        <f aca="false">IF(U1470&gt;0,RANK(U1470,$U$2:$U$1780)+COUNTIF($U$2:U1470,U1470)-1,"")</f>
        <v/>
      </c>
      <c r="W1470" s="56" t="str">
        <f aca="false">IF(V1470="","",IF(V1470&lt;=Settings!$B$11,"1 - Fix first",IF(V1470&lt;=Settings!$B$12,"2 - Review","3 - Monitor")))</f>
        <v/>
      </c>
      <c r="X1470" s="56" t="str">
        <f aca="false">IF(AND(E1470&gt;=Settings!$B$4,F1470&gt;=Settings!$B$5,O1470&gt;=Settings!$B$6),"HIGH RATE","")</f>
        <v/>
      </c>
      <c r="Y1470" s="56" t="str">
        <f aca="false">IF(F1470&gt;0,RANK(F1470,$F$2:$F$1780)+COUNTIF($F$2:F1470,F1470)-1,"")</f>
        <v/>
      </c>
      <c r="Z1470" s="56" t="str">
        <f aca="false">IF(H1470&gt;0,RANK(H1470,$H$2:$H$1780)+COUNTIF($H$2:H1470,H1470)-1,"")</f>
        <v/>
      </c>
      <c r="AA1470" s="56" t="str">
        <f aca="false">IF(AC1470="","",RANK(AC1470,$AC$2:$AC$1780)+COUNTIF($AC$2:AC1470,AC1470)-1)</f>
        <v/>
      </c>
      <c r="AB1470" s="56" t="str">
        <f aca="false">IF(AD1470="","",RANK(AD1470,$AD$2:$AD$1780)+COUNTIF($AD$2:AD1470,AD1470)-1)</f>
        <v/>
      </c>
      <c r="AC1470" s="56" t="str">
        <f aca="false">IF(AND(F1470&gt;0,E1470&gt;=Settings!$B$4),J1470,"")</f>
        <v/>
      </c>
      <c r="AD1470" s="56" t="str">
        <f aca="false">IF(X1470="HIGH RATE",O1470,"")</f>
        <v/>
      </c>
    </row>
    <row r="1471" customFormat="false" ht="15" hidden="false" customHeight="false" outlineLevel="0" collapsed="false">
      <c r="A1471" s="56" t="s">
        <v>2895</v>
      </c>
      <c r="B1471" s="56" t="s">
        <v>1109</v>
      </c>
      <c r="C1471" s="56" t="s">
        <v>87</v>
      </c>
      <c r="D1471" s="56" t="str">
        <f aca="false">IFERROR(INDEX('Brand Map'!$B$4:$B$124,MATCH(C1471,'Brand Map'!$A$4:$A$124,0)),"Other")</f>
        <v>FYF</v>
      </c>
      <c r="E1471" s="57" t="n">
        <v>1</v>
      </c>
      <c r="F1471" s="57" t="n">
        <v>0</v>
      </c>
      <c r="G1471" s="58" t="n">
        <v>99.95</v>
      </c>
      <c r="H1471" s="58" t="n">
        <v>0</v>
      </c>
      <c r="I1471" s="58" t="n">
        <v>99.95</v>
      </c>
      <c r="J1471" s="32" t="n">
        <f aca="false">IF(E1471&gt;0,F1471/E1471,0)</f>
        <v>0</v>
      </c>
      <c r="K1471" s="32" t="n">
        <f aca="false">IF(G1471&gt;0,H1471/G1471,0)</f>
        <v>-0</v>
      </c>
      <c r="L1471" s="59" t="n">
        <f aca="false">H1471/Settings!$B$16</f>
        <v>-0</v>
      </c>
      <c r="M1471" s="59" t="n">
        <f aca="false">H1471/Settings!$B$20</f>
        <v>-0</v>
      </c>
      <c r="N1471" s="60" t="n">
        <f aca="false">E1471*Settings!$B$3</f>
        <v>0.0309861510798204</v>
      </c>
      <c r="O1471" s="60" t="n">
        <f aca="false">IF(E1471&gt;0,(F1471-N1471)/SQRT(E1471*Settings!$B$3*(1-Settings!$B$3)),0)</f>
        <v>-0.178821125934444</v>
      </c>
      <c r="P1471" s="60" t="n">
        <f aca="false">MAX(0,F1471-N1471)</f>
        <v>0</v>
      </c>
      <c r="Q1471" s="32" t="n">
        <f aca="false">(F1471+Settings!$B$7*Settings!$B$3)/(E1471+Settings!$B$7)</f>
        <v>0.0299865978191811</v>
      </c>
      <c r="R1471" s="61" t="n">
        <f aca="false">PERCENTRANK($H$2:$H$1780,H1471,6)</f>
        <v>0</v>
      </c>
      <c r="S1471" s="61" t="n">
        <f aca="false">PERCENTRANK($Q$2:$Q$1780,Q1471,6)</f>
        <v>0.486502</v>
      </c>
      <c r="T1471" s="61" t="n">
        <f aca="false">PERCENTRANK($F$2:$F$1780,F1471,6)</f>
        <v>0</v>
      </c>
      <c r="U1471" s="62" t="n">
        <f aca="false">IF(F1471&gt;0,(Settings!$B$8*T1471+Settings!$B$9*R1471+Settings!$B$10*S1471)/SUM(Settings!$B$8:$B$10),0)</f>
        <v>0</v>
      </c>
      <c r="V1471" s="56" t="str">
        <f aca="false">IF(U1471&gt;0,RANK(U1471,$U$2:$U$1780)+COUNTIF($U$2:U1471,U1471)-1,"")</f>
        <v/>
      </c>
      <c r="W1471" s="56" t="str">
        <f aca="false">IF(V1471="","",IF(V1471&lt;=Settings!$B$11,"1 - Fix first",IF(V1471&lt;=Settings!$B$12,"2 - Review","3 - Monitor")))</f>
        <v/>
      </c>
      <c r="X1471" s="56" t="str">
        <f aca="false">IF(AND(E1471&gt;=Settings!$B$4,F1471&gt;=Settings!$B$5,O1471&gt;=Settings!$B$6),"HIGH RATE","")</f>
        <v/>
      </c>
      <c r="Y1471" s="56" t="str">
        <f aca="false">IF(F1471&gt;0,RANK(F1471,$F$2:$F$1780)+COUNTIF($F$2:F1471,F1471)-1,"")</f>
        <v/>
      </c>
      <c r="Z1471" s="56" t="str">
        <f aca="false">IF(H1471&gt;0,RANK(H1471,$H$2:$H$1780)+COUNTIF($H$2:H1471,H1471)-1,"")</f>
        <v/>
      </c>
      <c r="AA1471" s="56" t="str">
        <f aca="false">IF(AC1471="","",RANK(AC1471,$AC$2:$AC$1780)+COUNTIF($AC$2:AC1471,AC1471)-1)</f>
        <v/>
      </c>
      <c r="AB1471" s="56" t="str">
        <f aca="false">IF(AD1471="","",RANK(AD1471,$AD$2:$AD$1780)+COUNTIF($AD$2:AD1471,AD1471)-1)</f>
        <v/>
      </c>
      <c r="AC1471" s="56" t="str">
        <f aca="false">IF(AND(F1471&gt;0,E1471&gt;=Settings!$B$4),J1471,"")</f>
        <v/>
      </c>
      <c r="AD1471" s="56" t="str">
        <f aca="false">IF(X1471="HIGH RATE",O1471,"")</f>
        <v/>
      </c>
    </row>
    <row r="1472" customFormat="false" ht="15" hidden="false" customHeight="false" outlineLevel="0" collapsed="false">
      <c r="A1472" s="56" t="s">
        <v>2896</v>
      </c>
      <c r="B1472" s="56" t="s">
        <v>1109</v>
      </c>
      <c r="C1472" s="56" t="s">
        <v>87</v>
      </c>
      <c r="D1472" s="56" t="str">
        <f aca="false">IFERROR(INDEX('Brand Map'!$B$4:$B$124,MATCH(C1472,'Brand Map'!$A$4:$A$124,0)),"Other")</f>
        <v>FYF</v>
      </c>
      <c r="E1472" s="57" t="n">
        <v>4</v>
      </c>
      <c r="F1472" s="57" t="n">
        <v>0</v>
      </c>
      <c r="G1472" s="58" t="n">
        <v>559.8</v>
      </c>
      <c r="H1472" s="58" t="n">
        <v>0</v>
      </c>
      <c r="I1472" s="58" t="n">
        <v>559.8</v>
      </c>
      <c r="J1472" s="32" t="n">
        <f aca="false">IF(E1472&gt;0,F1472/E1472,0)</f>
        <v>0</v>
      </c>
      <c r="K1472" s="32" t="n">
        <f aca="false">IF(G1472&gt;0,H1472/G1472,0)</f>
        <v>-0</v>
      </c>
      <c r="L1472" s="59" t="n">
        <f aca="false">H1472/Settings!$B$16</f>
        <v>-0</v>
      </c>
      <c r="M1472" s="59" t="n">
        <f aca="false">H1472/Settings!$B$20</f>
        <v>-0</v>
      </c>
      <c r="N1472" s="60" t="n">
        <f aca="false">E1472*Settings!$B$3</f>
        <v>0.123944604319282</v>
      </c>
      <c r="O1472" s="60" t="n">
        <f aca="false">IF(E1472&gt;0,(F1472-N1472)/SQRT(E1472*Settings!$B$3*(1-Settings!$B$3)),0)</f>
        <v>-0.357642251868888</v>
      </c>
      <c r="P1472" s="60" t="n">
        <f aca="false">MAX(0,F1472-N1472)</f>
        <v>0</v>
      </c>
      <c r="Q1472" s="32" t="n">
        <f aca="false">(F1472+Settings!$B$7*Settings!$B$3)/(E1472+Settings!$B$7)</f>
        <v>0.027340721541018</v>
      </c>
      <c r="R1472" s="61" t="n">
        <f aca="false">PERCENTRANK($H$2:$H$1780,H1472,6)</f>
        <v>0</v>
      </c>
      <c r="S1472" s="61" t="n">
        <f aca="false">PERCENTRANK($Q$2:$Q$1780,Q1472,6)</f>
        <v>0.253656</v>
      </c>
      <c r="T1472" s="61" t="n">
        <f aca="false">PERCENTRANK($F$2:$F$1780,F1472,6)</f>
        <v>0</v>
      </c>
      <c r="U1472" s="62" t="n">
        <f aca="false">IF(F1472&gt;0,(Settings!$B$8*T1472+Settings!$B$9*R1472+Settings!$B$10*S1472)/SUM(Settings!$B$8:$B$10),0)</f>
        <v>0</v>
      </c>
      <c r="V1472" s="56" t="str">
        <f aca="false">IF(U1472&gt;0,RANK(U1472,$U$2:$U$1780)+COUNTIF($U$2:U1472,U1472)-1,"")</f>
        <v/>
      </c>
      <c r="W1472" s="56" t="str">
        <f aca="false">IF(V1472="","",IF(V1472&lt;=Settings!$B$11,"1 - Fix first",IF(V1472&lt;=Settings!$B$12,"2 - Review","3 - Monitor")))</f>
        <v/>
      </c>
      <c r="X1472" s="56" t="str">
        <f aca="false">IF(AND(E1472&gt;=Settings!$B$4,F1472&gt;=Settings!$B$5,O1472&gt;=Settings!$B$6),"HIGH RATE","")</f>
        <v/>
      </c>
      <c r="Y1472" s="56" t="str">
        <f aca="false">IF(F1472&gt;0,RANK(F1472,$F$2:$F$1780)+COUNTIF($F$2:F1472,F1472)-1,"")</f>
        <v/>
      </c>
      <c r="Z1472" s="56" t="str">
        <f aca="false">IF(H1472&gt;0,RANK(H1472,$H$2:$H$1780)+COUNTIF($H$2:H1472,H1472)-1,"")</f>
        <v/>
      </c>
      <c r="AA1472" s="56" t="str">
        <f aca="false">IF(AC1472="","",RANK(AC1472,$AC$2:$AC$1780)+COUNTIF($AC$2:AC1472,AC1472)-1)</f>
        <v/>
      </c>
      <c r="AB1472" s="56" t="str">
        <f aca="false">IF(AD1472="","",RANK(AD1472,$AD$2:$AD$1780)+COUNTIF($AD$2:AD1472,AD1472)-1)</f>
        <v/>
      </c>
      <c r="AC1472" s="56" t="str">
        <f aca="false">IF(AND(F1472&gt;0,E1472&gt;=Settings!$B$4),J1472,"")</f>
        <v/>
      </c>
      <c r="AD1472" s="56" t="str">
        <f aca="false">IF(X1472="HIGH RATE",O1472,"")</f>
        <v/>
      </c>
    </row>
    <row r="1473" customFormat="false" ht="15" hidden="false" customHeight="false" outlineLevel="0" collapsed="false">
      <c r="A1473" s="56" t="s">
        <v>2897</v>
      </c>
      <c r="B1473" s="56" t="s">
        <v>1214</v>
      </c>
      <c r="C1473" s="56" t="s">
        <v>87</v>
      </c>
      <c r="D1473" s="56" t="str">
        <f aca="false">IFERROR(INDEX('Brand Map'!$B$4:$B$124,MATCH(C1473,'Brand Map'!$A$4:$A$124,0)),"Other")</f>
        <v>FYF</v>
      </c>
      <c r="E1473" s="57" t="n">
        <v>2</v>
      </c>
      <c r="F1473" s="57" t="n">
        <v>0</v>
      </c>
      <c r="G1473" s="58" t="n">
        <v>139.9</v>
      </c>
      <c r="H1473" s="58" t="n">
        <v>0</v>
      </c>
      <c r="I1473" s="58" t="n">
        <v>139.9</v>
      </c>
      <c r="J1473" s="32" t="n">
        <f aca="false">IF(E1473&gt;0,F1473/E1473,0)</f>
        <v>0</v>
      </c>
      <c r="K1473" s="32" t="n">
        <f aca="false">IF(G1473&gt;0,H1473/G1473,0)</f>
        <v>-0</v>
      </c>
      <c r="L1473" s="59" t="n">
        <f aca="false">H1473/Settings!$B$16</f>
        <v>-0</v>
      </c>
      <c r="M1473" s="59" t="n">
        <f aca="false">H1473/Settings!$B$20</f>
        <v>-0</v>
      </c>
      <c r="N1473" s="60" t="n">
        <f aca="false">E1473*Settings!$B$3</f>
        <v>0.0619723021596408</v>
      </c>
      <c r="O1473" s="60" t="n">
        <f aca="false">IF(E1473&gt;0,(F1473-N1473)/SQRT(E1473*Settings!$B$3*(1-Settings!$B$3)),0)</f>
        <v>-0.252891261535318</v>
      </c>
      <c r="P1473" s="60" t="n">
        <f aca="false">MAX(0,F1473-N1473)</f>
        <v>0</v>
      </c>
      <c r="Q1473" s="32" t="n">
        <f aca="false">(F1473+Settings!$B$7*Settings!$B$3)/(E1473+Settings!$B$7)</f>
        <v>0.0290495166373316</v>
      </c>
      <c r="R1473" s="61" t="n">
        <f aca="false">PERCENTRANK($H$2:$H$1780,H1473,6)</f>
        <v>0</v>
      </c>
      <c r="S1473" s="61" t="n">
        <f aca="false">PERCENTRANK($Q$2:$Q$1780,Q1473,6)</f>
        <v>0.365579</v>
      </c>
      <c r="T1473" s="61" t="n">
        <f aca="false">PERCENTRANK($F$2:$F$1780,F1473,6)</f>
        <v>0</v>
      </c>
      <c r="U1473" s="62" t="n">
        <f aca="false">IF(F1473&gt;0,(Settings!$B$8*T1473+Settings!$B$9*R1473+Settings!$B$10*S1473)/SUM(Settings!$B$8:$B$10),0)</f>
        <v>0</v>
      </c>
      <c r="V1473" s="56" t="str">
        <f aca="false">IF(U1473&gt;0,RANK(U1473,$U$2:$U$1780)+COUNTIF($U$2:U1473,U1473)-1,"")</f>
        <v/>
      </c>
      <c r="W1473" s="56" t="str">
        <f aca="false">IF(V1473="","",IF(V1473&lt;=Settings!$B$11,"1 - Fix first",IF(V1473&lt;=Settings!$B$12,"2 - Review","3 - Monitor")))</f>
        <v/>
      </c>
      <c r="X1473" s="56" t="str">
        <f aca="false">IF(AND(E1473&gt;=Settings!$B$4,F1473&gt;=Settings!$B$5,O1473&gt;=Settings!$B$6),"HIGH RATE","")</f>
        <v/>
      </c>
      <c r="Y1473" s="56" t="str">
        <f aca="false">IF(F1473&gt;0,RANK(F1473,$F$2:$F$1780)+COUNTIF($F$2:F1473,F1473)-1,"")</f>
        <v/>
      </c>
      <c r="Z1473" s="56" t="str">
        <f aca="false">IF(H1473&gt;0,RANK(H1473,$H$2:$H$1780)+COUNTIF($H$2:H1473,H1473)-1,"")</f>
        <v/>
      </c>
      <c r="AA1473" s="56" t="str">
        <f aca="false">IF(AC1473="","",RANK(AC1473,$AC$2:$AC$1780)+COUNTIF($AC$2:AC1473,AC1473)-1)</f>
        <v/>
      </c>
      <c r="AB1473" s="56" t="str">
        <f aca="false">IF(AD1473="","",RANK(AD1473,$AD$2:$AD$1780)+COUNTIF($AD$2:AD1473,AD1473)-1)</f>
        <v/>
      </c>
      <c r="AC1473" s="56" t="str">
        <f aca="false">IF(AND(F1473&gt;0,E1473&gt;=Settings!$B$4),J1473,"")</f>
        <v/>
      </c>
      <c r="AD1473" s="56" t="str">
        <f aca="false">IF(X1473="HIGH RATE",O1473,"")</f>
        <v/>
      </c>
    </row>
    <row r="1474" customFormat="false" ht="15" hidden="false" customHeight="false" outlineLevel="0" collapsed="false">
      <c r="A1474" s="56" t="s">
        <v>2898</v>
      </c>
      <c r="B1474" s="56" t="s">
        <v>1214</v>
      </c>
      <c r="C1474" s="56" t="s">
        <v>87</v>
      </c>
      <c r="D1474" s="56" t="str">
        <f aca="false">IFERROR(INDEX('Brand Map'!$B$4:$B$124,MATCH(C1474,'Brand Map'!$A$4:$A$124,0)),"Other")</f>
        <v>FYF</v>
      </c>
      <c r="E1474" s="57" t="n">
        <v>2</v>
      </c>
      <c r="F1474" s="57" t="n">
        <v>0</v>
      </c>
      <c r="G1474" s="58" t="n">
        <v>159.9</v>
      </c>
      <c r="H1474" s="58" t="n">
        <v>0</v>
      </c>
      <c r="I1474" s="58" t="n">
        <v>159.9</v>
      </c>
      <c r="J1474" s="32" t="n">
        <f aca="false">IF(E1474&gt;0,F1474/E1474,0)</f>
        <v>0</v>
      </c>
      <c r="K1474" s="32" t="n">
        <f aca="false">IF(G1474&gt;0,H1474/G1474,0)</f>
        <v>-0</v>
      </c>
      <c r="L1474" s="59" t="n">
        <f aca="false">H1474/Settings!$B$16</f>
        <v>-0</v>
      </c>
      <c r="M1474" s="59" t="n">
        <f aca="false">H1474/Settings!$B$20</f>
        <v>-0</v>
      </c>
      <c r="N1474" s="60" t="n">
        <f aca="false">E1474*Settings!$B$3</f>
        <v>0.0619723021596408</v>
      </c>
      <c r="O1474" s="60" t="n">
        <f aca="false">IF(E1474&gt;0,(F1474-N1474)/SQRT(E1474*Settings!$B$3*(1-Settings!$B$3)),0)</f>
        <v>-0.252891261535318</v>
      </c>
      <c r="P1474" s="60" t="n">
        <f aca="false">MAX(0,F1474-N1474)</f>
        <v>0</v>
      </c>
      <c r="Q1474" s="32" t="n">
        <f aca="false">(F1474+Settings!$B$7*Settings!$B$3)/(E1474+Settings!$B$7)</f>
        <v>0.0290495166373316</v>
      </c>
      <c r="R1474" s="61" t="n">
        <f aca="false">PERCENTRANK($H$2:$H$1780,H1474,6)</f>
        <v>0</v>
      </c>
      <c r="S1474" s="61" t="n">
        <f aca="false">PERCENTRANK($Q$2:$Q$1780,Q1474,6)</f>
        <v>0.365579</v>
      </c>
      <c r="T1474" s="61" t="n">
        <f aca="false">PERCENTRANK($F$2:$F$1780,F1474,6)</f>
        <v>0</v>
      </c>
      <c r="U1474" s="62" t="n">
        <f aca="false">IF(F1474&gt;0,(Settings!$B$8*T1474+Settings!$B$9*R1474+Settings!$B$10*S1474)/SUM(Settings!$B$8:$B$10),0)</f>
        <v>0</v>
      </c>
      <c r="V1474" s="56" t="str">
        <f aca="false">IF(U1474&gt;0,RANK(U1474,$U$2:$U$1780)+COUNTIF($U$2:U1474,U1474)-1,"")</f>
        <v/>
      </c>
      <c r="W1474" s="56" t="str">
        <f aca="false">IF(V1474="","",IF(V1474&lt;=Settings!$B$11,"1 - Fix first",IF(V1474&lt;=Settings!$B$12,"2 - Review","3 - Monitor")))</f>
        <v/>
      </c>
      <c r="X1474" s="56" t="str">
        <f aca="false">IF(AND(E1474&gt;=Settings!$B$4,F1474&gt;=Settings!$B$5,O1474&gt;=Settings!$B$6),"HIGH RATE","")</f>
        <v/>
      </c>
      <c r="Y1474" s="56" t="str">
        <f aca="false">IF(F1474&gt;0,RANK(F1474,$F$2:$F$1780)+COUNTIF($F$2:F1474,F1474)-1,"")</f>
        <v/>
      </c>
      <c r="Z1474" s="56" t="str">
        <f aca="false">IF(H1474&gt;0,RANK(H1474,$H$2:$H$1780)+COUNTIF($H$2:H1474,H1474)-1,"")</f>
        <v/>
      </c>
      <c r="AA1474" s="56" t="str">
        <f aca="false">IF(AC1474="","",RANK(AC1474,$AC$2:$AC$1780)+COUNTIF($AC$2:AC1474,AC1474)-1)</f>
        <v/>
      </c>
      <c r="AB1474" s="56" t="str">
        <f aca="false">IF(AD1474="","",RANK(AD1474,$AD$2:$AD$1780)+COUNTIF($AD$2:AD1474,AD1474)-1)</f>
        <v/>
      </c>
      <c r="AC1474" s="56" t="str">
        <f aca="false">IF(AND(F1474&gt;0,E1474&gt;=Settings!$B$4),J1474,"")</f>
        <v/>
      </c>
      <c r="AD1474" s="56" t="str">
        <f aca="false">IF(X1474="HIGH RATE",O1474,"")</f>
        <v/>
      </c>
    </row>
    <row r="1475" customFormat="false" ht="15" hidden="false" customHeight="false" outlineLevel="0" collapsed="false">
      <c r="A1475" s="56" t="s">
        <v>2899</v>
      </c>
      <c r="B1475" s="56" t="s">
        <v>901</v>
      </c>
      <c r="C1475" s="56" t="s">
        <v>87</v>
      </c>
      <c r="D1475" s="56" t="str">
        <f aca="false">IFERROR(INDEX('Brand Map'!$B$4:$B$124,MATCH(C1475,'Brand Map'!$A$4:$A$124,0)),"Other")</f>
        <v>FYF</v>
      </c>
      <c r="E1475" s="57" t="n">
        <v>8</v>
      </c>
      <c r="F1475" s="57" t="n">
        <v>0</v>
      </c>
      <c r="G1475" s="58" t="n">
        <v>1271.6</v>
      </c>
      <c r="H1475" s="58" t="n">
        <v>0</v>
      </c>
      <c r="I1475" s="58" t="n">
        <v>1271.6</v>
      </c>
      <c r="J1475" s="32" t="n">
        <f aca="false">IF(E1475&gt;0,F1475/E1475,0)</f>
        <v>0</v>
      </c>
      <c r="K1475" s="32" t="n">
        <f aca="false">IF(G1475&gt;0,H1475/G1475,0)</f>
        <v>-0</v>
      </c>
      <c r="L1475" s="59" t="n">
        <f aca="false">H1475/Settings!$B$16</f>
        <v>-0</v>
      </c>
      <c r="M1475" s="59" t="n">
        <f aca="false">H1475/Settings!$B$20</f>
        <v>-0</v>
      </c>
      <c r="N1475" s="60" t="n">
        <f aca="false">E1475*Settings!$B$3</f>
        <v>0.247889208638563</v>
      </c>
      <c r="O1475" s="60" t="n">
        <f aca="false">IF(E1475&gt;0,(F1475-N1475)/SQRT(E1475*Settings!$B$3*(1-Settings!$B$3)),0)</f>
        <v>-0.505782523070636</v>
      </c>
      <c r="P1475" s="60" t="n">
        <f aca="false">MAX(0,F1475-N1475)</f>
        <v>0</v>
      </c>
      <c r="Q1475" s="32" t="n">
        <f aca="false">(F1475+Settings!$B$7*Settings!$B$3)/(E1475+Settings!$B$7)</f>
        <v>0.0244627508524898</v>
      </c>
      <c r="R1475" s="61" t="n">
        <f aca="false">PERCENTRANK($H$2:$H$1780,H1475,6)</f>
        <v>0</v>
      </c>
      <c r="S1475" s="61" t="n">
        <f aca="false">PERCENTRANK($Q$2:$Q$1780,Q1475,6)</f>
        <v>0.154668</v>
      </c>
      <c r="T1475" s="61" t="n">
        <f aca="false">PERCENTRANK($F$2:$F$1780,F1475,6)</f>
        <v>0</v>
      </c>
      <c r="U1475" s="62" t="n">
        <f aca="false">IF(F1475&gt;0,(Settings!$B$8*T1475+Settings!$B$9*R1475+Settings!$B$10*S1475)/SUM(Settings!$B$8:$B$10),0)</f>
        <v>0</v>
      </c>
      <c r="V1475" s="56" t="str">
        <f aca="false">IF(U1475&gt;0,RANK(U1475,$U$2:$U$1780)+COUNTIF($U$2:U1475,U1475)-1,"")</f>
        <v/>
      </c>
      <c r="W1475" s="56" t="str">
        <f aca="false">IF(V1475="","",IF(V1475&lt;=Settings!$B$11,"1 - Fix first",IF(V1475&lt;=Settings!$B$12,"2 - Review","3 - Monitor")))</f>
        <v/>
      </c>
      <c r="X1475" s="56" t="str">
        <f aca="false">IF(AND(E1475&gt;=Settings!$B$4,F1475&gt;=Settings!$B$5,O1475&gt;=Settings!$B$6),"HIGH RATE","")</f>
        <v/>
      </c>
      <c r="Y1475" s="56" t="str">
        <f aca="false">IF(F1475&gt;0,RANK(F1475,$F$2:$F$1780)+COUNTIF($F$2:F1475,F1475)-1,"")</f>
        <v/>
      </c>
      <c r="Z1475" s="56" t="str">
        <f aca="false">IF(H1475&gt;0,RANK(H1475,$H$2:$H$1780)+COUNTIF($H$2:H1475,H1475)-1,"")</f>
        <v/>
      </c>
      <c r="AA1475" s="56" t="str">
        <f aca="false">IF(AC1475="","",RANK(AC1475,$AC$2:$AC$1780)+COUNTIF($AC$2:AC1475,AC1475)-1)</f>
        <v/>
      </c>
      <c r="AB1475" s="56" t="str">
        <f aca="false">IF(AD1475="","",RANK(AD1475,$AD$2:$AD$1780)+COUNTIF($AD$2:AD1475,AD1475)-1)</f>
        <v/>
      </c>
      <c r="AC1475" s="56" t="str">
        <f aca="false">IF(AND(F1475&gt;0,E1475&gt;=Settings!$B$4),J1475,"")</f>
        <v/>
      </c>
      <c r="AD1475" s="56" t="str">
        <f aca="false">IF(X1475="HIGH RATE",O1475,"")</f>
        <v/>
      </c>
    </row>
    <row r="1476" customFormat="false" ht="15" hidden="false" customHeight="false" outlineLevel="0" collapsed="false">
      <c r="A1476" s="56" t="s">
        <v>2900</v>
      </c>
      <c r="B1476" s="56" t="s">
        <v>1383</v>
      </c>
      <c r="C1476" s="56" t="s">
        <v>87</v>
      </c>
      <c r="D1476" s="56" t="str">
        <f aca="false">IFERROR(INDEX('Brand Map'!$B$4:$B$124,MATCH(C1476,'Brand Map'!$A$4:$A$124,0)),"Other")</f>
        <v>FYF</v>
      </c>
      <c r="E1476" s="57" t="n">
        <v>8</v>
      </c>
      <c r="F1476" s="57" t="n">
        <v>0</v>
      </c>
      <c r="G1476" s="58" t="n">
        <v>839.6</v>
      </c>
      <c r="H1476" s="58" t="n">
        <v>0</v>
      </c>
      <c r="I1476" s="58" t="n">
        <v>839.6</v>
      </c>
      <c r="J1476" s="32" t="n">
        <f aca="false">IF(E1476&gt;0,F1476/E1476,0)</f>
        <v>0</v>
      </c>
      <c r="K1476" s="32" t="n">
        <f aca="false">IF(G1476&gt;0,H1476/G1476,0)</f>
        <v>-0</v>
      </c>
      <c r="L1476" s="59" t="n">
        <f aca="false">H1476/Settings!$B$16</f>
        <v>-0</v>
      </c>
      <c r="M1476" s="59" t="n">
        <f aca="false">H1476/Settings!$B$20</f>
        <v>-0</v>
      </c>
      <c r="N1476" s="60" t="n">
        <f aca="false">E1476*Settings!$B$3</f>
        <v>0.247889208638563</v>
      </c>
      <c r="O1476" s="60" t="n">
        <f aca="false">IF(E1476&gt;0,(F1476-N1476)/SQRT(E1476*Settings!$B$3*(1-Settings!$B$3)),0)</f>
        <v>-0.505782523070636</v>
      </c>
      <c r="P1476" s="60" t="n">
        <f aca="false">MAX(0,F1476-N1476)</f>
        <v>0</v>
      </c>
      <c r="Q1476" s="32" t="n">
        <f aca="false">(F1476+Settings!$B$7*Settings!$B$3)/(E1476+Settings!$B$7)</f>
        <v>0.0244627508524898</v>
      </c>
      <c r="R1476" s="61" t="n">
        <f aca="false">PERCENTRANK($H$2:$H$1780,H1476,6)</f>
        <v>0</v>
      </c>
      <c r="S1476" s="61" t="n">
        <f aca="false">PERCENTRANK($Q$2:$Q$1780,Q1476,6)</f>
        <v>0.154668</v>
      </c>
      <c r="T1476" s="61" t="n">
        <f aca="false">PERCENTRANK($F$2:$F$1780,F1476,6)</f>
        <v>0</v>
      </c>
      <c r="U1476" s="62" t="n">
        <f aca="false">IF(F1476&gt;0,(Settings!$B$8*T1476+Settings!$B$9*R1476+Settings!$B$10*S1476)/SUM(Settings!$B$8:$B$10),0)</f>
        <v>0</v>
      </c>
      <c r="V1476" s="56" t="str">
        <f aca="false">IF(U1476&gt;0,RANK(U1476,$U$2:$U$1780)+COUNTIF($U$2:U1476,U1476)-1,"")</f>
        <v/>
      </c>
      <c r="W1476" s="56" t="str">
        <f aca="false">IF(V1476="","",IF(V1476&lt;=Settings!$B$11,"1 - Fix first",IF(V1476&lt;=Settings!$B$12,"2 - Review","3 - Monitor")))</f>
        <v/>
      </c>
      <c r="X1476" s="56" t="str">
        <f aca="false">IF(AND(E1476&gt;=Settings!$B$4,F1476&gt;=Settings!$B$5,O1476&gt;=Settings!$B$6),"HIGH RATE","")</f>
        <v/>
      </c>
      <c r="Y1476" s="56" t="str">
        <f aca="false">IF(F1476&gt;0,RANK(F1476,$F$2:$F$1780)+COUNTIF($F$2:F1476,F1476)-1,"")</f>
        <v/>
      </c>
      <c r="Z1476" s="56" t="str">
        <f aca="false">IF(H1476&gt;0,RANK(H1476,$H$2:$H$1780)+COUNTIF($H$2:H1476,H1476)-1,"")</f>
        <v/>
      </c>
      <c r="AA1476" s="56" t="str">
        <f aca="false">IF(AC1476="","",RANK(AC1476,$AC$2:$AC$1780)+COUNTIF($AC$2:AC1476,AC1476)-1)</f>
        <v/>
      </c>
      <c r="AB1476" s="56" t="str">
        <f aca="false">IF(AD1476="","",RANK(AD1476,$AD$2:$AD$1780)+COUNTIF($AD$2:AD1476,AD1476)-1)</f>
        <v/>
      </c>
      <c r="AC1476" s="56" t="str">
        <f aca="false">IF(AND(F1476&gt;0,E1476&gt;=Settings!$B$4),J1476,"")</f>
        <v/>
      </c>
      <c r="AD1476" s="56" t="str">
        <f aca="false">IF(X1476="HIGH RATE",O1476,"")</f>
        <v/>
      </c>
    </row>
    <row r="1477" customFormat="false" ht="15" hidden="false" customHeight="false" outlineLevel="0" collapsed="false">
      <c r="A1477" s="56" t="s">
        <v>2901</v>
      </c>
      <c r="B1477" s="56" t="s">
        <v>1383</v>
      </c>
      <c r="C1477" s="56" t="s">
        <v>87</v>
      </c>
      <c r="D1477" s="56" t="str">
        <f aca="false">IFERROR(INDEX('Brand Map'!$B$4:$B$124,MATCH(C1477,'Brand Map'!$A$4:$A$124,0)),"Other")</f>
        <v>FYF</v>
      </c>
      <c r="E1477" s="57" t="n">
        <v>5</v>
      </c>
      <c r="F1477" s="57" t="n">
        <v>0</v>
      </c>
      <c r="G1477" s="58" t="n">
        <v>524.75</v>
      </c>
      <c r="H1477" s="58" t="n">
        <v>0</v>
      </c>
      <c r="I1477" s="58" t="n">
        <v>524.75</v>
      </c>
      <c r="J1477" s="32" t="n">
        <f aca="false">IF(E1477&gt;0,F1477/E1477,0)</f>
        <v>0</v>
      </c>
      <c r="K1477" s="32" t="n">
        <f aca="false">IF(G1477&gt;0,H1477/G1477,0)</f>
        <v>-0</v>
      </c>
      <c r="L1477" s="59" t="n">
        <f aca="false">H1477/Settings!$B$16</f>
        <v>-0</v>
      </c>
      <c r="M1477" s="59" t="n">
        <f aca="false">H1477/Settings!$B$20</f>
        <v>-0</v>
      </c>
      <c r="N1477" s="60" t="n">
        <f aca="false">E1477*Settings!$B$3</f>
        <v>0.154930755399102</v>
      </c>
      <c r="O1477" s="60" t="n">
        <f aca="false">IF(E1477&gt;0,(F1477-N1477)/SQRT(E1477*Settings!$B$3*(1-Settings!$B$3)),0)</f>
        <v>-0.399856193402468</v>
      </c>
      <c r="P1477" s="60" t="n">
        <f aca="false">MAX(0,F1477-N1477)</f>
        <v>0</v>
      </c>
      <c r="Q1477" s="32" t="n">
        <f aca="false">(F1477+Settings!$B$7*Settings!$B$3)/(E1477+Settings!$B$7)</f>
        <v>0.0265595580684175</v>
      </c>
      <c r="R1477" s="61" t="n">
        <f aca="false">PERCENTRANK($H$2:$H$1780,H1477,6)</f>
        <v>0</v>
      </c>
      <c r="S1477" s="61" t="n">
        <f aca="false">PERCENTRANK($Q$2:$Q$1780,Q1477,6)</f>
        <v>0.220472</v>
      </c>
      <c r="T1477" s="61" t="n">
        <f aca="false">PERCENTRANK($F$2:$F$1780,F1477,6)</f>
        <v>0</v>
      </c>
      <c r="U1477" s="62" t="n">
        <f aca="false">IF(F1477&gt;0,(Settings!$B$8*T1477+Settings!$B$9*R1477+Settings!$B$10*S1477)/SUM(Settings!$B$8:$B$10),0)</f>
        <v>0</v>
      </c>
      <c r="V1477" s="56" t="str">
        <f aca="false">IF(U1477&gt;0,RANK(U1477,$U$2:$U$1780)+COUNTIF($U$2:U1477,U1477)-1,"")</f>
        <v/>
      </c>
      <c r="W1477" s="56" t="str">
        <f aca="false">IF(V1477="","",IF(V1477&lt;=Settings!$B$11,"1 - Fix first",IF(V1477&lt;=Settings!$B$12,"2 - Review","3 - Monitor")))</f>
        <v/>
      </c>
      <c r="X1477" s="56" t="str">
        <f aca="false">IF(AND(E1477&gt;=Settings!$B$4,F1477&gt;=Settings!$B$5,O1477&gt;=Settings!$B$6),"HIGH RATE","")</f>
        <v/>
      </c>
      <c r="Y1477" s="56" t="str">
        <f aca="false">IF(F1477&gt;0,RANK(F1477,$F$2:$F$1780)+COUNTIF($F$2:F1477,F1477)-1,"")</f>
        <v/>
      </c>
      <c r="Z1477" s="56" t="str">
        <f aca="false">IF(H1477&gt;0,RANK(H1477,$H$2:$H$1780)+COUNTIF($H$2:H1477,H1477)-1,"")</f>
        <v/>
      </c>
      <c r="AA1477" s="56" t="str">
        <f aca="false">IF(AC1477="","",RANK(AC1477,$AC$2:$AC$1780)+COUNTIF($AC$2:AC1477,AC1477)-1)</f>
        <v/>
      </c>
      <c r="AB1477" s="56" t="str">
        <f aca="false">IF(AD1477="","",RANK(AD1477,$AD$2:$AD$1780)+COUNTIF($AD$2:AD1477,AD1477)-1)</f>
        <v/>
      </c>
      <c r="AC1477" s="56" t="str">
        <f aca="false">IF(AND(F1477&gt;0,E1477&gt;=Settings!$B$4),J1477,"")</f>
        <v/>
      </c>
      <c r="AD1477" s="56" t="str">
        <f aca="false">IF(X1477="HIGH RATE",O1477,"")</f>
        <v/>
      </c>
    </row>
    <row r="1478" customFormat="false" ht="15" hidden="false" customHeight="false" outlineLevel="0" collapsed="false">
      <c r="A1478" s="56" t="s">
        <v>2902</v>
      </c>
      <c r="B1478" s="56" t="s">
        <v>1501</v>
      </c>
      <c r="C1478" s="56" t="s">
        <v>87</v>
      </c>
      <c r="D1478" s="56" t="str">
        <f aca="false">IFERROR(INDEX('Brand Map'!$B$4:$B$124,MATCH(C1478,'Brand Map'!$A$4:$A$124,0)),"Other")</f>
        <v>FYF</v>
      </c>
      <c r="E1478" s="57" t="n">
        <v>5</v>
      </c>
      <c r="F1478" s="57" t="n">
        <v>0</v>
      </c>
      <c r="G1478" s="58" t="n">
        <v>324.75</v>
      </c>
      <c r="H1478" s="58" t="n">
        <v>0</v>
      </c>
      <c r="I1478" s="58" t="n">
        <v>324.75</v>
      </c>
      <c r="J1478" s="32" t="n">
        <f aca="false">IF(E1478&gt;0,F1478/E1478,0)</f>
        <v>0</v>
      </c>
      <c r="K1478" s="32" t="n">
        <f aca="false">IF(G1478&gt;0,H1478/G1478,0)</f>
        <v>-0</v>
      </c>
      <c r="L1478" s="59" t="n">
        <f aca="false">H1478/Settings!$B$16</f>
        <v>-0</v>
      </c>
      <c r="M1478" s="59" t="n">
        <f aca="false">H1478/Settings!$B$20</f>
        <v>-0</v>
      </c>
      <c r="N1478" s="60" t="n">
        <f aca="false">E1478*Settings!$B$3</f>
        <v>0.154930755399102</v>
      </c>
      <c r="O1478" s="60" t="n">
        <f aca="false">IF(E1478&gt;0,(F1478-N1478)/SQRT(E1478*Settings!$B$3*(1-Settings!$B$3)),0)</f>
        <v>-0.399856193402468</v>
      </c>
      <c r="P1478" s="60" t="n">
        <f aca="false">MAX(0,F1478-N1478)</f>
        <v>0</v>
      </c>
      <c r="Q1478" s="32" t="n">
        <f aca="false">(F1478+Settings!$B$7*Settings!$B$3)/(E1478+Settings!$B$7)</f>
        <v>0.0265595580684175</v>
      </c>
      <c r="R1478" s="61" t="n">
        <f aca="false">PERCENTRANK($H$2:$H$1780,H1478,6)</f>
        <v>0</v>
      </c>
      <c r="S1478" s="61" t="n">
        <f aca="false">PERCENTRANK($Q$2:$Q$1780,Q1478,6)</f>
        <v>0.220472</v>
      </c>
      <c r="T1478" s="61" t="n">
        <f aca="false">PERCENTRANK($F$2:$F$1780,F1478,6)</f>
        <v>0</v>
      </c>
      <c r="U1478" s="62" t="n">
        <f aca="false">IF(F1478&gt;0,(Settings!$B$8*T1478+Settings!$B$9*R1478+Settings!$B$10*S1478)/SUM(Settings!$B$8:$B$10),0)</f>
        <v>0</v>
      </c>
      <c r="V1478" s="56" t="str">
        <f aca="false">IF(U1478&gt;0,RANK(U1478,$U$2:$U$1780)+COUNTIF($U$2:U1478,U1478)-1,"")</f>
        <v/>
      </c>
      <c r="W1478" s="56" t="str">
        <f aca="false">IF(V1478="","",IF(V1478&lt;=Settings!$B$11,"1 - Fix first",IF(V1478&lt;=Settings!$B$12,"2 - Review","3 - Monitor")))</f>
        <v/>
      </c>
      <c r="X1478" s="56" t="str">
        <f aca="false">IF(AND(E1478&gt;=Settings!$B$4,F1478&gt;=Settings!$B$5,O1478&gt;=Settings!$B$6),"HIGH RATE","")</f>
        <v/>
      </c>
      <c r="Y1478" s="56" t="str">
        <f aca="false">IF(F1478&gt;0,RANK(F1478,$F$2:$F$1780)+COUNTIF($F$2:F1478,F1478)-1,"")</f>
        <v/>
      </c>
      <c r="Z1478" s="56" t="str">
        <f aca="false">IF(H1478&gt;0,RANK(H1478,$H$2:$H$1780)+COUNTIF($H$2:H1478,H1478)-1,"")</f>
        <v/>
      </c>
      <c r="AA1478" s="56" t="str">
        <f aca="false">IF(AC1478="","",RANK(AC1478,$AC$2:$AC$1780)+COUNTIF($AC$2:AC1478,AC1478)-1)</f>
        <v/>
      </c>
      <c r="AB1478" s="56" t="str">
        <f aca="false">IF(AD1478="","",RANK(AD1478,$AD$2:$AD$1780)+COUNTIF($AD$2:AD1478,AD1478)-1)</f>
        <v/>
      </c>
      <c r="AC1478" s="56" t="str">
        <f aca="false">IF(AND(F1478&gt;0,E1478&gt;=Settings!$B$4),J1478,"")</f>
        <v/>
      </c>
      <c r="AD1478" s="56" t="str">
        <f aca="false">IF(X1478="HIGH RATE",O1478,"")</f>
        <v/>
      </c>
    </row>
    <row r="1479" customFormat="false" ht="15" hidden="false" customHeight="false" outlineLevel="0" collapsed="false">
      <c r="A1479" s="56" t="s">
        <v>2903</v>
      </c>
      <c r="B1479" s="56" t="s">
        <v>1232</v>
      </c>
      <c r="C1479" s="56" t="s">
        <v>87</v>
      </c>
      <c r="D1479" s="56" t="str">
        <f aca="false">IFERROR(INDEX('Brand Map'!$B$4:$B$124,MATCH(C1479,'Brand Map'!$A$4:$A$124,0)),"Other")</f>
        <v>FYF</v>
      </c>
      <c r="E1479" s="57" t="n">
        <v>4</v>
      </c>
      <c r="F1479" s="57" t="n">
        <v>0</v>
      </c>
      <c r="G1479" s="58" t="n">
        <v>60</v>
      </c>
      <c r="H1479" s="58" t="n">
        <v>0</v>
      </c>
      <c r="I1479" s="58" t="n">
        <v>60</v>
      </c>
      <c r="J1479" s="32" t="n">
        <f aca="false">IF(E1479&gt;0,F1479/E1479,0)</f>
        <v>0</v>
      </c>
      <c r="K1479" s="32" t="n">
        <f aca="false">IF(G1479&gt;0,H1479/G1479,0)</f>
        <v>-0</v>
      </c>
      <c r="L1479" s="59" t="n">
        <f aca="false">H1479/Settings!$B$16</f>
        <v>-0</v>
      </c>
      <c r="M1479" s="59" t="n">
        <f aca="false">H1479/Settings!$B$20</f>
        <v>-0</v>
      </c>
      <c r="N1479" s="60" t="n">
        <f aca="false">E1479*Settings!$B$3</f>
        <v>0.123944604319282</v>
      </c>
      <c r="O1479" s="60" t="n">
        <f aca="false">IF(E1479&gt;0,(F1479-N1479)/SQRT(E1479*Settings!$B$3*(1-Settings!$B$3)),0)</f>
        <v>-0.357642251868888</v>
      </c>
      <c r="P1479" s="60" t="n">
        <f aca="false">MAX(0,F1479-N1479)</f>
        <v>0</v>
      </c>
      <c r="Q1479" s="32" t="n">
        <f aca="false">(F1479+Settings!$B$7*Settings!$B$3)/(E1479+Settings!$B$7)</f>
        <v>0.027340721541018</v>
      </c>
      <c r="R1479" s="61" t="n">
        <f aca="false">PERCENTRANK($H$2:$H$1780,H1479,6)</f>
        <v>0</v>
      </c>
      <c r="S1479" s="61" t="n">
        <f aca="false">PERCENTRANK($Q$2:$Q$1780,Q1479,6)</f>
        <v>0.253656</v>
      </c>
      <c r="T1479" s="61" t="n">
        <f aca="false">PERCENTRANK($F$2:$F$1780,F1479,6)</f>
        <v>0</v>
      </c>
      <c r="U1479" s="62" t="n">
        <f aca="false">IF(F1479&gt;0,(Settings!$B$8*T1479+Settings!$B$9*R1479+Settings!$B$10*S1479)/SUM(Settings!$B$8:$B$10),0)</f>
        <v>0</v>
      </c>
      <c r="V1479" s="56" t="str">
        <f aca="false">IF(U1479&gt;0,RANK(U1479,$U$2:$U$1780)+COUNTIF($U$2:U1479,U1479)-1,"")</f>
        <v/>
      </c>
      <c r="W1479" s="56" t="str">
        <f aca="false">IF(V1479="","",IF(V1479&lt;=Settings!$B$11,"1 - Fix first",IF(V1479&lt;=Settings!$B$12,"2 - Review","3 - Monitor")))</f>
        <v/>
      </c>
      <c r="X1479" s="56" t="str">
        <f aca="false">IF(AND(E1479&gt;=Settings!$B$4,F1479&gt;=Settings!$B$5,O1479&gt;=Settings!$B$6),"HIGH RATE","")</f>
        <v/>
      </c>
      <c r="Y1479" s="56" t="str">
        <f aca="false">IF(F1479&gt;0,RANK(F1479,$F$2:$F$1780)+COUNTIF($F$2:F1479,F1479)-1,"")</f>
        <v/>
      </c>
      <c r="Z1479" s="56" t="str">
        <f aca="false">IF(H1479&gt;0,RANK(H1479,$H$2:$H$1780)+COUNTIF($H$2:H1479,H1479)-1,"")</f>
        <v/>
      </c>
      <c r="AA1479" s="56" t="str">
        <f aca="false">IF(AC1479="","",RANK(AC1479,$AC$2:$AC$1780)+COUNTIF($AC$2:AC1479,AC1479)-1)</f>
        <v/>
      </c>
      <c r="AB1479" s="56" t="str">
        <f aca="false">IF(AD1479="","",RANK(AD1479,$AD$2:$AD$1780)+COUNTIF($AD$2:AD1479,AD1479)-1)</f>
        <v/>
      </c>
      <c r="AC1479" s="56" t="str">
        <f aca="false">IF(AND(F1479&gt;0,E1479&gt;=Settings!$B$4),J1479,"")</f>
        <v/>
      </c>
      <c r="AD1479" s="56" t="str">
        <f aca="false">IF(X1479="HIGH RATE",O1479,"")</f>
        <v/>
      </c>
    </row>
    <row r="1480" customFormat="false" ht="15" hidden="false" customHeight="false" outlineLevel="0" collapsed="false">
      <c r="A1480" s="56" t="s">
        <v>2904</v>
      </c>
      <c r="B1480" s="56" t="s">
        <v>1232</v>
      </c>
      <c r="C1480" s="56" t="s">
        <v>87</v>
      </c>
      <c r="D1480" s="56" t="str">
        <f aca="false">IFERROR(INDEX('Brand Map'!$B$4:$B$124,MATCH(C1480,'Brand Map'!$A$4:$A$124,0)),"Other")</f>
        <v>FYF</v>
      </c>
      <c r="E1480" s="57" t="n">
        <v>1</v>
      </c>
      <c r="F1480" s="57" t="n">
        <v>0</v>
      </c>
      <c r="G1480" s="58" t="n">
        <v>99.95</v>
      </c>
      <c r="H1480" s="58" t="n">
        <v>0</v>
      </c>
      <c r="I1480" s="58" t="n">
        <v>99.95</v>
      </c>
      <c r="J1480" s="32" t="n">
        <f aca="false">IF(E1480&gt;0,F1480/E1480,0)</f>
        <v>0</v>
      </c>
      <c r="K1480" s="32" t="n">
        <f aca="false">IF(G1480&gt;0,H1480/G1480,0)</f>
        <v>-0</v>
      </c>
      <c r="L1480" s="59" t="n">
        <f aca="false">H1480/Settings!$B$16</f>
        <v>-0</v>
      </c>
      <c r="M1480" s="59" t="n">
        <f aca="false">H1480/Settings!$B$20</f>
        <v>-0</v>
      </c>
      <c r="N1480" s="60" t="n">
        <f aca="false">E1480*Settings!$B$3</f>
        <v>0.0309861510798204</v>
      </c>
      <c r="O1480" s="60" t="n">
        <f aca="false">IF(E1480&gt;0,(F1480-N1480)/SQRT(E1480*Settings!$B$3*(1-Settings!$B$3)),0)</f>
        <v>-0.178821125934444</v>
      </c>
      <c r="P1480" s="60" t="n">
        <f aca="false">MAX(0,F1480-N1480)</f>
        <v>0</v>
      </c>
      <c r="Q1480" s="32" t="n">
        <f aca="false">(F1480+Settings!$B$7*Settings!$B$3)/(E1480+Settings!$B$7)</f>
        <v>0.0299865978191811</v>
      </c>
      <c r="R1480" s="61" t="n">
        <f aca="false">PERCENTRANK($H$2:$H$1780,H1480,6)</f>
        <v>0</v>
      </c>
      <c r="S1480" s="61" t="n">
        <f aca="false">PERCENTRANK($Q$2:$Q$1780,Q1480,6)</f>
        <v>0.486502</v>
      </c>
      <c r="T1480" s="61" t="n">
        <f aca="false">PERCENTRANK($F$2:$F$1780,F1480,6)</f>
        <v>0</v>
      </c>
      <c r="U1480" s="62" t="n">
        <f aca="false">IF(F1480&gt;0,(Settings!$B$8*T1480+Settings!$B$9*R1480+Settings!$B$10*S1480)/SUM(Settings!$B$8:$B$10),0)</f>
        <v>0</v>
      </c>
      <c r="V1480" s="56" t="str">
        <f aca="false">IF(U1480&gt;0,RANK(U1480,$U$2:$U$1780)+COUNTIF($U$2:U1480,U1480)-1,"")</f>
        <v/>
      </c>
      <c r="W1480" s="56" t="str">
        <f aca="false">IF(V1480="","",IF(V1480&lt;=Settings!$B$11,"1 - Fix first",IF(V1480&lt;=Settings!$B$12,"2 - Review","3 - Monitor")))</f>
        <v/>
      </c>
      <c r="X1480" s="56" t="str">
        <f aca="false">IF(AND(E1480&gt;=Settings!$B$4,F1480&gt;=Settings!$B$5,O1480&gt;=Settings!$B$6),"HIGH RATE","")</f>
        <v/>
      </c>
      <c r="Y1480" s="56" t="str">
        <f aca="false">IF(F1480&gt;0,RANK(F1480,$F$2:$F$1780)+COUNTIF($F$2:F1480,F1480)-1,"")</f>
        <v/>
      </c>
      <c r="Z1480" s="56" t="str">
        <f aca="false">IF(H1480&gt;0,RANK(H1480,$H$2:$H$1780)+COUNTIF($H$2:H1480,H1480)-1,"")</f>
        <v/>
      </c>
      <c r="AA1480" s="56" t="str">
        <f aca="false">IF(AC1480="","",RANK(AC1480,$AC$2:$AC$1780)+COUNTIF($AC$2:AC1480,AC1480)-1)</f>
        <v/>
      </c>
      <c r="AB1480" s="56" t="str">
        <f aca="false">IF(AD1480="","",RANK(AD1480,$AD$2:$AD$1780)+COUNTIF($AD$2:AD1480,AD1480)-1)</f>
        <v/>
      </c>
      <c r="AC1480" s="56" t="str">
        <f aca="false">IF(AND(F1480&gt;0,E1480&gt;=Settings!$B$4),J1480,"")</f>
        <v/>
      </c>
      <c r="AD1480" s="56" t="str">
        <f aca="false">IF(X1480="HIGH RATE",O1480,"")</f>
        <v/>
      </c>
    </row>
    <row r="1481" customFormat="false" ht="15" hidden="false" customHeight="false" outlineLevel="0" collapsed="false">
      <c r="A1481" s="56" t="s">
        <v>2905</v>
      </c>
      <c r="B1481" s="56" t="s">
        <v>1232</v>
      </c>
      <c r="C1481" s="56" t="s">
        <v>87</v>
      </c>
      <c r="D1481" s="56" t="str">
        <f aca="false">IFERROR(INDEX('Brand Map'!$B$4:$B$124,MATCH(C1481,'Brand Map'!$A$4:$A$124,0)),"Other")</f>
        <v>FYF</v>
      </c>
      <c r="E1481" s="57" t="n">
        <v>2</v>
      </c>
      <c r="F1481" s="57" t="n">
        <v>0</v>
      </c>
      <c r="G1481" s="58" t="n">
        <v>239.9</v>
      </c>
      <c r="H1481" s="58" t="n">
        <v>0</v>
      </c>
      <c r="I1481" s="58" t="n">
        <v>239.9</v>
      </c>
      <c r="J1481" s="32" t="n">
        <f aca="false">IF(E1481&gt;0,F1481/E1481,0)</f>
        <v>0</v>
      </c>
      <c r="K1481" s="32" t="n">
        <f aca="false">IF(G1481&gt;0,H1481/G1481,0)</f>
        <v>-0</v>
      </c>
      <c r="L1481" s="59" t="n">
        <f aca="false">H1481/Settings!$B$16</f>
        <v>-0</v>
      </c>
      <c r="M1481" s="59" t="n">
        <f aca="false">H1481/Settings!$B$20</f>
        <v>-0</v>
      </c>
      <c r="N1481" s="60" t="n">
        <f aca="false">E1481*Settings!$B$3</f>
        <v>0.0619723021596408</v>
      </c>
      <c r="O1481" s="60" t="n">
        <f aca="false">IF(E1481&gt;0,(F1481-N1481)/SQRT(E1481*Settings!$B$3*(1-Settings!$B$3)),0)</f>
        <v>-0.252891261535318</v>
      </c>
      <c r="P1481" s="60" t="n">
        <f aca="false">MAX(0,F1481-N1481)</f>
        <v>0</v>
      </c>
      <c r="Q1481" s="32" t="n">
        <f aca="false">(F1481+Settings!$B$7*Settings!$B$3)/(E1481+Settings!$B$7)</f>
        <v>0.0290495166373316</v>
      </c>
      <c r="R1481" s="61" t="n">
        <f aca="false">PERCENTRANK($H$2:$H$1780,H1481,6)</f>
        <v>0</v>
      </c>
      <c r="S1481" s="61" t="n">
        <f aca="false">PERCENTRANK($Q$2:$Q$1780,Q1481,6)</f>
        <v>0.365579</v>
      </c>
      <c r="T1481" s="61" t="n">
        <f aca="false">PERCENTRANK($F$2:$F$1780,F1481,6)</f>
        <v>0</v>
      </c>
      <c r="U1481" s="62" t="n">
        <f aca="false">IF(F1481&gt;0,(Settings!$B$8*T1481+Settings!$B$9*R1481+Settings!$B$10*S1481)/SUM(Settings!$B$8:$B$10),0)</f>
        <v>0</v>
      </c>
      <c r="V1481" s="56" t="str">
        <f aca="false">IF(U1481&gt;0,RANK(U1481,$U$2:$U$1780)+COUNTIF($U$2:U1481,U1481)-1,"")</f>
        <v/>
      </c>
      <c r="W1481" s="56" t="str">
        <f aca="false">IF(V1481="","",IF(V1481&lt;=Settings!$B$11,"1 - Fix first",IF(V1481&lt;=Settings!$B$12,"2 - Review","3 - Monitor")))</f>
        <v/>
      </c>
      <c r="X1481" s="56" t="str">
        <f aca="false">IF(AND(E1481&gt;=Settings!$B$4,F1481&gt;=Settings!$B$5,O1481&gt;=Settings!$B$6),"HIGH RATE","")</f>
        <v/>
      </c>
      <c r="Y1481" s="56" t="str">
        <f aca="false">IF(F1481&gt;0,RANK(F1481,$F$2:$F$1780)+COUNTIF($F$2:F1481,F1481)-1,"")</f>
        <v/>
      </c>
      <c r="Z1481" s="56" t="str">
        <f aca="false">IF(H1481&gt;0,RANK(H1481,$H$2:$H$1780)+COUNTIF($H$2:H1481,H1481)-1,"")</f>
        <v/>
      </c>
      <c r="AA1481" s="56" t="str">
        <f aca="false">IF(AC1481="","",RANK(AC1481,$AC$2:$AC$1780)+COUNTIF($AC$2:AC1481,AC1481)-1)</f>
        <v/>
      </c>
      <c r="AB1481" s="56" t="str">
        <f aca="false">IF(AD1481="","",RANK(AD1481,$AD$2:$AD$1780)+COUNTIF($AD$2:AD1481,AD1481)-1)</f>
        <v/>
      </c>
      <c r="AC1481" s="56" t="str">
        <f aca="false">IF(AND(F1481&gt;0,E1481&gt;=Settings!$B$4),J1481,"")</f>
        <v/>
      </c>
      <c r="AD1481" s="56" t="str">
        <f aca="false">IF(X1481="HIGH RATE",O1481,"")</f>
        <v/>
      </c>
    </row>
    <row r="1482" customFormat="false" ht="15" hidden="false" customHeight="false" outlineLevel="0" collapsed="false">
      <c r="A1482" s="56" t="s">
        <v>2906</v>
      </c>
      <c r="B1482" s="56" t="s">
        <v>1232</v>
      </c>
      <c r="C1482" s="56" t="s">
        <v>87</v>
      </c>
      <c r="D1482" s="56" t="str">
        <f aca="false">IFERROR(INDEX('Brand Map'!$B$4:$B$124,MATCH(C1482,'Brand Map'!$A$4:$A$124,0)),"Other")</f>
        <v>FYF</v>
      </c>
      <c r="E1482" s="57" t="n">
        <v>8</v>
      </c>
      <c r="F1482" s="57" t="n">
        <v>0</v>
      </c>
      <c r="G1482" s="58" t="n">
        <v>191.92</v>
      </c>
      <c r="H1482" s="58" t="n">
        <v>0</v>
      </c>
      <c r="I1482" s="58" t="n">
        <v>191.92</v>
      </c>
      <c r="J1482" s="32" t="n">
        <f aca="false">IF(E1482&gt;0,F1482/E1482,0)</f>
        <v>0</v>
      </c>
      <c r="K1482" s="32" t="n">
        <f aca="false">IF(G1482&gt;0,H1482/G1482,0)</f>
        <v>-0</v>
      </c>
      <c r="L1482" s="59" t="n">
        <f aca="false">H1482/Settings!$B$16</f>
        <v>-0</v>
      </c>
      <c r="M1482" s="59" t="n">
        <f aca="false">H1482/Settings!$B$20</f>
        <v>-0</v>
      </c>
      <c r="N1482" s="60" t="n">
        <f aca="false">E1482*Settings!$B$3</f>
        <v>0.247889208638563</v>
      </c>
      <c r="O1482" s="60" t="n">
        <f aca="false">IF(E1482&gt;0,(F1482-N1482)/SQRT(E1482*Settings!$B$3*(1-Settings!$B$3)),0)</f>
        <v>-0.505782523070636</v>
      </c>
      <c r="P1482" s="60" t="n">
        <f aca="false">MAX(0,F1482-N1482)</f>
        <v>0</v>
      </c>
      <c r="Q1482" s="32" t="n">
        <f aca="false">(F1482+Settings!$B$7*Settings!$B$3)/(E1482+Settings!$B$7)</f>
        <v>0.0244627508524898</v>
      </c>
      <c r="R1482" s="61" t="n">
        <f aca="false">PERCENTRANK($H$2:$H$1780,H1482,6)</f>
        <v>0</v>
      </c>
      <c r="S1482" s="61" t="n">
        <f aca="false">PERCENTRANK($Q$2:$Q$1780,Q1482,6)</f>
        <v>0.154668</v>
      </c>
      <c r="T1482" s="61" t="n">
        <f aca="false">PERCENTRANK($F$2:$F$1780,F1482,6)</f>
        <v>0</v>
      </c>
      <c r="U1482" s="62" t="n">
        <f aca="false">IF(F1482&gt;0,(Settings!$B$8*T1482+Settings!$B$9*R1482+Settings!$B$10*S1482)/SUM(Settings!$B$8:$B$10),0)</f>
        <v>0</v>
      </c>
      <c r="V1482" s="56" t="str">
        <f aca="false">IF(U1482&gt;0,RANK(U1482,$U$2:$U$1780)+COUNTIF($U$2:U1482,U1482)-1,"")</f>
        <v/>
      </c>
      <c r="W1482" s="56" t="str">
        <f aca="false">IF(V1482="","",IF(V1482&lt;=Settings!$B$11,"1 - Fix first",IF(V1482&lt;=Settings!$B$12,"2 - Review","3 - Monitor")))</f>
        <v/>
      </c>
      <c r="X1482" s="56" t="str">
        <f aca="false">IF(AND(E1482&gt;=Settings!$B$4,F1482&gt;=Settings!$B$5,O1482&gt;=Settings!$B$6),"HIGH RATE","")</f>
        <v/>
      </c>
      <c r="Y1482" s="56" t="str">
        <f aca="false">IF(F1482&gt;0,RANK(F1482,$F$2:$F$1780)+COUNTIF($F$2:F1482,F1482)-1,"")</f>
        <v/>
      </c>
      <c r="Z1482" s="56" t="str">
        <f aca="false">IF(H1482&gt;0,RANK(H1482,$H$2:$H$1780)+COUNTIF($H$2:H1482,H1482)-1,"")</f>
        <v/>
      </c>
      <c r="AA1482" s="56" t="str">
        <f aca="false">IF(AC1482="","",RANK(AC1482,$AC$2:$AC$1780)+COUNTIF($AC$2:AC1482,AC1482)-1)</f>
        <v/>
      </c>
      <c r="AB1482" s="56" t="str">
        <f aca="false">IF(AD1482="","",RANK(AD1482,$AD$2:$AD$1780)+COUNTIF($AD$2:AD1482,AD1482)-1)</f>
        <v/>
      </c>
      <c r="AC1482" s="56" t="str">
        <f aca="false">IF(AND(F1482&gt;0,E1482&gt;=Settings!$B$4),J1482,"")</f>
        <v/>
      </c>
      <c r="AD1482" s="56" t="str">
        <f aca="false">IF(X1482="HIGH RATE",O1482,"")</f>
        <v/>
      </c>
    </row>
    <row r="1483" customFormat="false" ht="15" hidden="false" customHeight="false" outlineLevel="0" collapsed="false">
      <c r="A1483" s="56" t="s">
        <v>2907</v>
      </c>
      <c r="B1483" s="56" t="s">
        <v>1232</v>
      </c>
      <c r="C1483" s="56" t="s">
        <v>87</v>
      </c>
      <c r="D1483" s="56" t="str">
        <f aca="false">IFERROR(INDEX('Brand Map'!$B$4:$B$124,MATCH(C1483,'Brand Map'!$A$4:$A$124,0)),"Other")</f>
        <v>FYF</v>
      </c>
      <c r="E1483" s="57" t="n">
        <v>7</v>
      </c>
      <c r="F1483" s="57" t="n">
        <v>0</v>
      </c>
      <c r="G1483" s="58" t="n">
        <v>244.93</v>
      </c>
      <c r="H1483" s="58" t="n">
        <v>0</v>
      </c>
      <c r="I1483" s="58" t="n">
        <v>244.93</v>
      </c>
      <c r="J1483" s="32" t="n">
        <f aca="false">IF(E1483&gt;0,F1483/E1483,0)</f>
        <v>0</v>
      </c>
      <c r="K1483" s="32" t="n">
        <f aca="false">IF(G1483&gt;0,H1483/G1483,0)</f>
        <v>-0</v>
      </c>
      <c r="L1483" s="59" t="n">
        <f aca="false">H1483/Settings!$B$16</f>
        <v>-0</v>
      </c>
      <c r="M1483" s="59" t="n">
        <f aca="false">H1483/Settings!$B$20</f>
        <v>-0</v>
      </c>
      <c r="N1483" s="60" t="n">
        <f aca="false">E1483*Settings!$B$3</f>
        <v>0.216903057558743</v>
      </c>
      <c r="O1483" s="60" t="n">
        <f aca="false">IF(E1483&gt;0,(F1483-N1483)/SQRT(E1483*Settings!$B$3*(1-Settings!$B$3)),0)</f>
        <v>-0.473116228387102</v>
      </c>
      <c r="P1483" s="60" t="n">
        <f aca="false">MAX(0,F1483-N1483)</f>
        <v>0</v>
      </c>
      <c r="Q1483" s="32" t="n">
        <f aca="false">(F1483+Settings!$B$7*Settings!$B$3)/(E1483+Settings!$B$7)</f>
        <v>0.0251239062809355</v>
      </c>
      <c r="R1483" s="61" t="n">
        <f aca="false">PERCENTRANK($H$2:$H$1780,H1483,6)</f>
        <v>0</v>
      </c>
      <c r="S1483" s="61" t="n">
        <f aca="false">PERCENTRANK($Q$2:$Q$1780,Q1483,6)</f>
        <v>0.168166</v>
      </c>
      <c r="T1483" s="61" t="n">
        <f aca="false">PERCENTRANK($F$2:$F$1780,F1483,6)</f>
        <v>0</v>
      </c>
      <c r="U1483" s="62" t="n">
        <f aca="false">IF(F1483&gt;0,(Settings!$B$8*T1483+Settings!$B$9*R1483+Settings!$B$10*S1483)/SUM(Settings!$B$8:$B$10),0)</f>
        <v>0</v>
      </c>
      <c r="V1483" s="56" t="str">
        <f aca="false">IF(U1483&gt;0,RANK(U1483,$U$2:$U$1780)+COUNTIF($U$2:U1483,U1483)-1,"")</f>
        <v/>
      </c>
      <c r="W1483" s="56" t="str">
        <f aca="false">IF(V1483="","",IF(V1483&lt;=Settings!$B$11,"1 - Fix first",IF(V1483&lt;=Settings!$B$12,"2 - Review","3 - Monitor")))</f>
        <v/>
      </c>
      <c r="X1483" s="56" t="str">
        <f aca="false">IF(AND(E1483&gt;=Settings!$B$4,F1483&gt;=Settings!$B$5,O1483&gt;=Settings!$B$6),"HIGH RATE","")</f>
        <v/>
      </c>
      <c r="Y1483" s="56" t="str">
        <f aca="false">IF(F1483&gt;0,RANK(F1483,$F$2:$F$1780)+COUNTIF($F$2:F1483,F1483)-1,"")</f>
        <v/>
      </c>
      <c r="Z1483" s="56" t="str">
        <f aca="false">IF(H1483&gt;0,RANK(H1483,$H$2:$H$1780)+COUNTIF($H$2:H1483,H1483)-1,"")</f>
        <v/>
      </c>
      <c r="AA1483" s="56" t="str">
        <f aca="false">IF(AC1483="","",RANK(AC1483,$AC$2:$AC$1780)+COUNTIF($AC$2:AC1483,AC1483)-1)</f>
        <v/>
      </c>
      <c r="AB1483" s="56" t="str">
        <f aca="false">IF(AD1483="","",RANK(AD1483,$AD$2:$AD$1780)+COUNTIF($AD$2:AD1483,AD1483)-1)</f>
        <v/>
      </c>
      <c r="AC1483" s="56" t="str">
        <f aca="false">IF(AND(F1483&gt;0,E1483&gt;=Settings!$B$4),J1483,"")</f>
        <v/>
      </c>
      <c r="AD1483" s="56" t="str">
        <f aca="false">IF(X1483="HIGH RATE",O1483,"")</f>
        <v/>
      </c>
    </row>
    <row r="1484" customFormat="false" ht="15" hidden="false" customHeight="false" outlineLevel="0" collapsed="false">
      <c r="A1484" s="56" t="s">
        <v>2908</v>
      </c>
      <c r="B1484" s="56" t="s">
        <v>1232</v>
      </c>
      <c r="C1484" s="56" t="s">
        <v>87</v>
      </c>
      <c r="D1484" s="56" t="str">
        <f aca="false">IFERROR(INDEX('Brand Map'!$B$4:$B$124,MATCH(C1484,'Brand Map'!$A$4:$A$124,0)),"Other")</f>
        <v>FYF</v>
      </c>
      <c r="E1484" s="57" t="n">
        <v>2</v>
      </c>
      <c r="F1484" s="57" t="n">
        <v>0</v>
      </c>
      <c r="G1484" s="58" t="n">
        <v>239.9</v>
      </c>
      <c r="H1484" s="58" t="n">
        <v>0</v>
      </c>
      <c r="I1484" s="58" t="n">
        <v>239.9</v>
      </c>
      <c r="J1484" s="32" t="n">
        <f aca="false">IF(E1484&gt;0,F1484/E1484,0)</f>
        <v>0</v>
      </c>
      <c r="K1484" s="32" t="n">
        <f aca="false">IF(G1484&gt;0,H1484/G1484,0)</f>
        <v>-0</v>
      </c>
      <c r="L1484" s="59" t="n">
        <f aca="false">H1484/Settings!$B$16</f>
        <v>-0</v>
      </c>
      <c r="M1484" s="59" t="n">
        <f aca="false">H1484/Settings!$B$20</f>
        <v>-0</v>
      </c>
      <c r="N1484" s="60" t="n">
        <f aca="false">E1484*Settings!$B$3</f>
        <v>0.0619723021596408</v>
      </c>
      <c r="O1484" s="60" t="n">
        <f aca="false">IF(E1484&gt;0,(F1484-N1484)/SQRT(E1484*Settings!$B$3*(1-Settings!$B$3)),0)</f>
        <v>-0.252891261535318</v>
      </c>
      <c r="P1484" s="60" t="n">
        <f aca="false">MAX(0,F1484-N1484)</f>
        <v>0</v>
      </c>
      <c r="Q1484" s="32" t="n">
        <f aca="false">(F1484+Settings!$B$7*Settings!$B$3)/(E1484+Settings!$B$7)</f>
        <v>0.0290495166373316</v>
      </c>
      <c r="R1484" s="61" t="n">
        <f aca="false">PERCENTRANK($H$2:$H$1780,H1484,6)</f>
        <v>0</v>
      </c>
      <c r="S1484" s="61" t="n">
        <f aca="false">PERCENTRANK($Q$2:$Q$1780,Q1484,6)</f>
        <v>0.365579</v>
      </c>
      <c r="T1484" s="61" t="n">
        <f aca="false">PERCENTRANK($F$2:$F$1780,F1484,6)</f>
        <v>0</v>
      </c>
      <c r="U1484" s="62" t="n">
        <f aca="false">IF(F1484&gt;0,(Settings!$B$8*T1484+Settings!$B$9*R1484+Settings!$B$10*S1484)/SUM(Settings!$B$8:$B$10),0)</f>
        <v>0</v>
      </c>
      <c r="V1484" s="56" t="str">
        <f aca="false">IF(U1484&gt;0,RANK(U1484,$U$2:$U$1780)+COUNTIF($U$2:U1484,U1484)-1,"")</f>
        <v/>
      </c>
      <c r="W1484" s="56" t="str">
        <f aca="false">IF(V1484="","",IF(V1484&lt;=Settings!$B$11,"1 - Fix first",IF(V1484&lt;=Settings!$B$12,"2 - Review","3 - Monitor")))</f>
        <v/>
      </c>
      <c r="X1484" s="56" t="str">
        <f aca="false">IF(AND(E1484&gt;=Settings!$B$4,F1484&gt;=Settings!$B$5,O1484&gt;=Settings!$B$6),"HIGH RATE","")</f>
        <v/>
      </c>
      <c r="Y1484" s="56" t="str">
        <f aca="false">IF(F1484&gt;0,RANK(F1484,$F$2:$F$1780)+COUNTIF($F$2:F1484,F1484)-1,"")</f>
        <v/>
      </c>
      <c r="Z1484" s="56" t="str">
        <f aca="false">IF(H1484&gt;0,RANK(H1484,$H$2:$H$1780)+COUNTIF($H$2:H1484,H1484)-1,"")</f>
        <v/>
      </c>
      <c r="AA1484" s="56" t="str">
        <f aca="false">IF(AC1484="","",RANK(AC1484,$AC$2:$AC$1780)+COUNTIF($AC$2:AC1484,AC1484)-1)</f>
        <v/>
      </c>
      <c r="AB1484" s="56" t="str">
        <f aca="false">IF(AD1484="","",RANK(AD1484,$AD$2:$AD$1780)+COUNTIF($AD$2:AD1484,AD1484)-1)</f>
        <v/>
      </c>
      <c r="AC1484" s="56" t="str">
        <f aca="false">IF(AND(F1484&gt;0,E1484&gt;=Settings!$B$4),J1484,"")</f>
        <v/>
      </c>
      <c r="AD1484" s="56" t="str">
        <f aca="false">IF(X1484="HIGH RATE",O1484,"")</f>
        <v/>
      </c>
    </row>
    <row r="1485" customFormat="false" ht="15" hidden="false" customHeight="false" outlineLevel="0" collapsed="false">
      <c r="A1485" s="56" t="s">
        <v>2909</v>
      </c>
      <c r="B1485" s="56" t="s">
        <v>1232</v>
      </c>
      <c r="C1485" s="56" t="s">
        <v>87</v>
      </c>
      <c r="D1485" s="56" t="str">
        <f aca="false">IFERROR(INDEX('Brand Map'!$B$4:$B$124,MATCH(C1485,'Brand Map'!$A$4:$A$124,0)),"Other")</f>
        <v>FYF</v>
      </c>
      <c r="E1485" s="57" t="n">
        <v>4</v>
      </c>
      <c r="F1485" s="57" t="n">
        <v>0</v>
      </c>
      <c r="G1485" s="58" t="n">
        <v>127.8</v>
      </c>
      <c r="H1485" s="58" t="n">
        <v>0</v>
      </c>
      <c r="I1485" s="58" t="n">
        <v>127.8</v>
      </c>
      <c r="J1485" s="32" t="n">
        <f aca="false">IF(E1485&gt;0,F1485/E1485,0)</f>
        <v>0</v>
      </c>
      <c r="K1485" s="32" t="n">
        <f aca="false">IF(G1485&gt;0,H1485/G1485,0)</f>
        <v>-0</v>
      </c>
      <c r="L1485" s="59" t="n">
        <f aca="false">H1485/Settings!$B$16</f>
        <v>-0</v>
      </c>
      <c r="M1485" s="59" t="n">
        <f aca="false">H1485/Settings!$B$20</f>
        <v>-0</v>
      </c>
      <c r="N1485" s="60" t="n">
        <f aca="false">E1485*Settings!$B$3</f>
        <v>0.123944604319282</v>
      </c>
      <c r="O1485" s="60" t="n">
        <f aca="false">IF(E1485&gt;0,(F1485-N1485)/SQRT(E1485*Settings!$B$3*(1-Settings!$B$3)),0)</f>
        <v>-0.357642251868888</v>
      </c>
      <c r="P1485" s="60" t="n">
        <f aca="false">MAX(0,F1485-N1485)</f>
        <v>0</v>
      </c>
      <c r="Q1485" s="32" t="n">
        <f aca="false">(F1485+Settings!$B$7*Settings!$B$3)/(E1485+Settings!$B$7)</f>
        <v>0.027340721541018</v>
      </c>
      <c r="R1485" s="61" t="n">
        <f aca="false">PERCENTRANK($H$2:$H$1780,H1485,6)</f>
        <v>0</v>
      </c>
      <c r="S1485" s="61" t="n">
        <f aca="false">PERCENTRANK($Q$2:$Q$1780,Q1485,6)</f>
        <v>0.253656</v>
      </c>
      <c r="T1485" s="61" t="n">
        <f aca="false">PERCENTRANK($F$2:$F$1780,F1485,6)</f>
        <v>0</v>
      </c>
      <c r="U1485" s="62" t="n">
        <f aca="false">IF(F1485&gt;0,(Settings!$B$8*T1485+Settings!$B$9*R1485+Settings!$B$10*S1485)/SUM(Settings!$B$8:$B$10),0)</f>
        <v>0</v>
      </c>
      <c r="V1485" s="56" t="str">
        <f aca="false">IF(U1485&gt;0,RANK(U1485,$U$2:$U$1780)+COUNTIF($U$2:U1485,U1485)-1,"")</f>
        <v/>
      </c>
      <c r="W1485" s="56" t="str">
        <f aca="false">IF(V1485="","",IF(V1485&lt;=Settings!$B$11,"1 - Fix first",IF(V1485&lt;=Settings!$B$12,"2 - Review","3 - Monitor")))</f>
        <v/>
      </c>
      <c r="X1485" s="56" t="str">
        <f aca="false">IF(AND(E1485&gt;=Settings!$B$4,F1485&gt;=Settings!$B$5,O1485&gt;=Settings!$B$6),"HIGH RATE","")</f>
        <v/>
      </c>
      <c r="Y1485" s="56" t="str">
        <f aca="false">IF(F1485&gt;0,RANK(F1485,$F$2:$F$1780)+COUNTIF($F$2:F1485,F1485)-1,"")</f>
        <v/>
      </c>
      <c r="Z1485" s="56" t="str">
        <f aca="false">IF(H1485&gt;0,RANK(H1485,$H$2:$H$1780)+COUNTIF($H$2:H1485,H1485)-1,"")</f>
        <v/>
      </c>
      <c r="AA1485" s="56" t="str">
        <f aca="false">IF(AC1485="","",RANK(AC1485,$AC$2:$AC$1780)+COUNTIF($AC$2:AC1485,AC1485)-1)</f>
        <v/>
      </c>
      <c r="AB1485" s="56" t="str">
        <f aca="false">IF(AD1485="","",RANK(AD1485,$AD$2:$AD$1780)+COUNTIF($AD$2:AD1485,AD1485)-1)</f>
        <v/>
      </c>
      <c r="AC1485" s="56" t="str">
        <f aca="false">IF(AND(F1485&gt;0,E1485&gt;=Settings!$B$4),J1485,"")</f>
        <v/>
      </c>
      <c r="AD1485" s="56" t="str">
        <f aca="false">IF(X1485="HIGH RATE",O1485,"")</f>
        <v/>
      </c>
    </row>
    <row r="1486" customFormat="false" ht="15" hidden="false" customHeight="false" outlineLevel="0" collapsed="false">
      <c r="A1486" s="56" t="s">
        <v>2910</v>
      </c>
      <c r="B1486" s="56" t="s">
        <v>1232</v>
      </c>
      <c r="C1486" s="56" t="s">
        <v>87</v>
      </c>
      <c r="D1486" s="56" t="str">
        <f aca="false">IFERROR(INDEX('Brand Map'!$B$4:$B$124,MATCH(C1486,'Brand Map'!$A$4:$A$124,0)),"Other")</f>
        <v>FYF</v>
      </c>
      <c r="E1486" s="57" t="n">
        <v>2</v>
      </c>
      <c r="F1486" s="57" t="n">
        <v>0</v>
      </c>
      <c r="G1486" s="58" t="n">
        <v>309.9</v>
      </c>
      <c r="H1486" s="58" t="n">
        <v>0</v>
      </c>
      <c r="I1486" s="58" t="n">
        <v>309.9</v>
      </c>
      <c r="J1486" s="32" t="n">
        <f aca="false">IF(E1486&gt;0,F1486/E1486,0)</f>
        <v>0</v>
      </c>
      <c r="K1486" s="32" t="n">
        <f aca="false">IF(G1486&gt;0,H1486/G1486,0)</f>
        <v>-0</v>
      </c>
      <c r="L1486" s="59" t="n">
        <f aca="false">H1486/Settings!$B$16</f>
        <v>-0</v>
      </c>
      <c r="M1486" s="59" t="n">
        <f aca="false">H1486/Settings!$B$20</f>
        <v>-0</v>
      </c>
      <c r="N1486" s="60" t="n">
        <f aca="false">E1486*Settings!$B$3</f>
        <v>0.0619723021596408</v>
      </c>
      <c r="O1486" s="60" t="n">
        <f aca="false">IF(E1486&gt;0,(F1486-N1486)/SQRT(E1486*Settings!$B$3*(1-Settings!$B$3)),0)</f>
        <v>-0.252891261535318</v>
      </c>
      <c r="P1486" s="60" t="n">
        <f aca="false">MAX(0,F1486-N1486)</f>
        <v>0</v>
      </c>
      <c r="Q1486" s="32" t="n">
        <f aca="false">(F1486+Settings!$B$7*Settings!$B$3)/(E1486+Settings!$B$7)</f>
        <v>0.0290495166373316</v>
      </c>
      <c r="R1486" s="61" t="n">
        <f aca="false">PERCENTRANK($H$2:$H$1780,H1486,6)</f>
        <v>0</v>
      </c>
      <c r="S1486" s="61" t="n">
        <f aca="false">PERCENTRANK($Q$2:$Q$1780,Q1486,6)</f>
        <v>0.365579</v>
      </c>
      <c r="T1486" s="61" t="n">
        <f aca="false">PERCENTRANK($F$2:$F$1780,F1486,6)</f>
        <v>0</v>
      </c>
      <c r="U1486" s="62" t="n">
        <f aca="false">IF(F1486&gt;0,(Settings!$B$8*T1486+Settings!$B$9*R1486+Settings!$B$10*S1486)/SUM(Settings!$B$8:$B$10),0)</f>
        <v>0</v>
      </c>
      <c r="V1486" s="56" t="str">
        <f aca="false">IF(U1486&gt;0,RANK(U1486,$U$2:$U$1780)+COUNTIF($U$2:U1486,U1486)-1,"")</f>
        <v/>
      </c>
      <c r="W1486" s="56" t="str">
        <f aca="false">IF(V1486="","",IF(V1486&lt;=Settings!$B$11,"1 - Fix first",IF(V1486&lt;=Settings!$B$12,"2 - Review","3 - Monitor")))</f>
        <v/>
      </c>
      <c r="X1486" s="56" t="str">
        <f aca="false">IF(AND(E1486&gt;=Settings!$B$4,F1486&gt;=Settings!$B$5,O1486&gt;=Settings!$B$6),"HIGH RATE","")</f>
        <v/>
      </c>
      <c r="Y1486" s="56" t="str">
        <f aca="false">IF(F1486&gt;0,RANK(F1486,$F$2:$F$1780)+COUNTIF($F$2:F1486,F1486)-1,"")</f>
        <v/>
      </c>
      <c r="Z1486" s="56" t="str">
        <f aca="false">IF(H1486&gt;0,RANK(H1486,$H$2:$H$1780)+COUNTIF($H$2:H1486,H1486)-1,"")</f>
        <v/>
      </c>
      <c r="AA1486" s="56" t="str">
        <f aca="false">IF(AC1486="","",RANK(AC1486,$AC$2:$AC$1780)+COUNTIF($AC$2:AC1486,AC1486)-1)</f>
        <v/>
      </c>
      <c r="AB1486" s="56" t="str">
        <f aca="false">IF(AD1486="","",RANK(AD1486,$AD$2:$AD$1780)+COUNTIF($AD$2:AD1486,AD1486)-1)</f>
        <v/>
      </c>
      <c r="AC1486" s="56" t="str">
        <f aca="false">IF(AND(F1486&gt;0,E1486&gt;=Settings!$B$4),J1486,"")</f>
        <v/>
      </c>
      <c r="AD1486" s="56" t="str">
        <f aca="false">IF(X1486="HIGH RATE",O1486,"")</f>
        <v/>
      </c>
    </row>
    <row r="1487" customFormat="false" ht="15" hidden="false" customHeight="false" outlineLevel="0" collapsed="false">
      <c r="A1487" s="56" t="s">
        <v>2911</v>
      </c>
      <c r="B1487" s="56" t="s">
        <v>1232</v>
      </c>
      <c r="C1487" s="56" t="s">
        <v>87</v>
      </c>
      <c r="D1487" s="56" t="str">
        <f aca="false">IFERROR(INDEX('Brand Map'!$B$4:$B$124,MATCH(C1487,'Brand Map'!$A$4:$A$124,0)),"Other")</f>
        <v>FYF</v>
      </c>
      <c r="E1487" s="57" t="n">
        <v>1</v>
      </c>
      <c r="F1487" s="57" t="n">
        <v>0</v>
      </c>
      <c r="G1487" s="58" t="n">
        <v>119.95</v>
      </c>
      <c r="H1487" s="58" t="n">
        <v>0</v>
      </c>
      <c r="I1487" s="58" t="n">
        <v>119.95</v>
      </c>
      <c r="J1487" s="32" t="n">
        <f aca="false">IF(E1487&gt;0,F1487/E1487,0)</f>
        <v>0</v>
      </c>
      <c r="K1487" s="32" t="n">
        <f aca="false">IF(G1487&gt;0,H1487/G1487,0)</f>
        <v>-0</v>
      </c>
      <c r="L1487" s="59" t="n">
        <f aca="false">H1487/Settings!$B$16</f>
        <v>-0</v>
      </c>
      <c r="M1487" s="59" t="n">
        <f aca="false">H1487/Settings!$B$20</f>
        <v>-0</v>
      </c>
      <c r="N1487" s="60" t="n">
        <f aca="false">E1487*Settings!$B$3</f>
        <v>0.0309861510798204</v>
      </c>
      <c r="O1487" s="60" t="n">
        <f aca="false">IF(E1487&gt;0,(F1487-N1487)/SQRT(E1487*Settings!$B$3*(1-Settings!$B$3)),0)</f>
        <v>-0.178821125934444</v>
      </c>
      <c r="P1487" s="60" t="n">
        <f aca="false">MAX(0,F1487-N1487)</f>
        <v>0</v>
      </c>
      <c r="Q1487" s="32" t="n">
        <f aca="false">(F1487+Settings!$B$7*Settings!$B$3)/(E1487+Settings!$B$7)</f>
        <v>0.0299865978191811</v>
      </c>
      <c r="R1487" s="61" t="n">
        <f aca="false">PERCENTRANK($H$2:$H$1780,H1487,6)</f>
        <v>0</v>
      </c>
      <c r="S1487" s="61" t="n">
        <f aca="false">PERCENTRANK($Q$2:$Q$1780,Q1487,6)</f>
        <v>0.486502</v>
      </c>
      <c r="T1487" s="61" t="n">
        <f aca="false">PERCENTRANK($F$2:$F$1780,F1487,6)</f>
        <v>0</v>
      </c>
      <c r="U1487" s="62" t="n">
        <f aca="false">IF(F1487&gt;0,(Settings!$B$8*T1487+Settings!$B$9*R1487+Settings!$B$10*S1487)/SUM(Settings!$B$8:$B$10),0)</f>
        <v>0</v>
      </c>
      <c r="V1487" s="56" t="str">
        <f aca="false">IF(U1487&gt;0,RANK(U1487,$U$2:$U$1780)+COUNTIF($U$2:U1487,U1487)-1,"")</f>
        <v/>
      </c>
      <c r="W1487" s="56" t="str">
        <f aca="false">IF(V1487="","",IF(V1487&lt;=Settings!$B$11,"1 - Fix first",IF(V1487&lt;=Settings!$B$12,"2 - Review","3 - Monitor")))</f>
        <v/>
      </c>
      <c r="X1487" s="56" t="str">
        <f aca="false">IF(AND(E1487&gt;=Settings!$B$4,F1487&gt;=Settings!$B$5,O1487&gt;=Settings!$B$6),"HIGH RATE","")</f>
        <v/>
      </c>
      <c r="Y1487" s="56" t="str">
        <f aca="false">IF(F1487&gt;0,RANK(F1487,$F$2:$F$1780)+COUNTIF($F$2:F1487,F1487)-1,"")</f>
        <v/>
      </c>
      <c r="Z1487" s="56" t="str">
        <f aca="false">IF(H1487&gt;0,RANK(H1487,$H$2:$H$1780)+COUNTIF($H$2:H1487,H1487)-1,"")</f>
        <v/>
      </c>
      <c r="AA1487" s="56" t="str">
        <f aca="false">IF(AC1487="","",RANK(AC1487,$AC$2:$AC$1780)+COUNTIF($AC$2:AC1487,AC1487)-1)</f>
        <v/>
      </c>
      <c r="AB1487" s="56" t="str">
        <f aca="false">IF(AD1487="","",RANK(AD1487,$AD$2:$AD$1780)+COUNTIF($AD$2:AD1487,AD1487)-1)</f>
        <v/>
      </c>
      <c r="AC1487" s="56" t="str">
        <f aca="false">IF(AND(F1487&gt;0,E1487&gt;=Settings!$B$4),J1487,"")</f>
        <v/>
      </c>
      <c r="AD1487" s="56" t="str">
        <f aca="false">IF(X1487="HIGH RATE",O1487,"")</f>
        <v/>
      </c>
    </row>
    <row r="1488" customFormat="false" ht="15" hidden="false" customHeight="false" outlineLevel="0" collapsed="false">
      <c r="A1488" s="56" t="s">
        <v>2912</v>
      </c>
      <c r="B1488" s="56" t="s">
        <v>1232</v>
      </c>
      <c r="C1488" s="56" t="s">
        <v>87</v>
      </c>
      <c r="D1488" s="56" t="str">
        <f aca="false">IFERROR(INDEX('Brand Map'!$B$4:$B$124,MATCH(C1488,'Brand Map'!$A$4:$A$124,0)),"Other")</f>
        <v>FYF</v>
      </c>
      <c r="E1488" s="57" t="n">
        <v>1</v>
      </c>
      <c r="F1488" s="57" t="n">
        <v>0</v>
      </c>
      <c r="G1488" s="58" t="n">
        <v>34.99</v>
      </c>
      <c r="H1488" s="58" t="n">
        <v>0</v>
      </c>
      <c r="I1488" s="58" t="n">
        <v>34.99</v>
      </c>
      <c r="J1488" s="32" t="n">
        <f aca="false">IF(E1488&gt;0,F1488/E1488,0)</f>
        <v>0</v>
      </c>
      <c r="K1488" s="32" t="n">
        <f aca="false">IF(G1488&gt;0,H1488/G1488,0)</f>
        <v>-0</v>
      </c>
      <c r="L1488" s="59" t="n">
        <f aca="false">H1488/Settings!$B$16</f>
        <v>-0</v>
      </c>
      <c r="M1488" s="59" t="n">
        <f aca="false">H1488/Settings!$B$20</f>
        <v>-0</v>
      </c>
      <c r="N1488" s="60" t="n">
        <f aca="false">E1488*Settings!$B$3</f>
        <v>0.0309861510798204</v>
      </c>
      <c r="O1488" s="60" t="n">
        <f aca="false">IF(E1488&gt;0,(F1488-N1488)/SQRT(E1488*Settings!$B$3*(1-Settings!$B$3)),0)</f>
        <v>-0.178821125934444</v>
      </c>
      <c r="P1488" s="60" t="n">
        <f aca="false">MAX(0,F1488-N1488)</f>
        <v>0</v>
      </c>
      <c r="Q1488" s="32" t="n">
        <f aca="false">(F1488+Settings!$B$7*Settings!$B$3)/(E1488+Settings!$B$7)</f>
        <v>0.0299865978191811</v>
      </c>
      <c r="R1488" s="61" t="n">
        <f aca="false">PERCENTRANK($H$2:$H$1780,H1488,6)</f>
        <v>0</v>
      </c>
      <c r="S1488" s="61" t="n">
        <f aca="false">PERCENTRANK($Q$2:$Q$1780,Q1488,6)</f>
        <v>0.486502</v>
      </c>
      <c r="T1488" s="61" t="n">
        <f aca="false">PERCENTRANK($F$2:$F$1780,F1488,6)</f>
        <v>0</v>
      </c>
      <c r="U1488" s="62" t="n">
        <f aca="false">IF(F1488&gt;0,(Settings!$B$8*T1488+Settings!$B$9*R1488+Settings!$B$10*S1488)/SUM(Settings!$B$8:$B$10),0)</f>
        <v>0</v>
      </c>
      <c r="V1488" s="56" t="str">
        <f aca="false">IF(U1488&gt;0,RANK(U1488,$U$2:$U$1780)+COUNTIF($U$2:U1488,U1488)-1,"")</f>
        <v/>
      </c>
      <c r="W1488" s="56" t="str">
        <f aca="false">IF(V1488="","",IF(V1488&lt;=Settings!$B$11,"1 - Fix first",IF(V1488&lt;=Settings!$B$12,"2 - Review","3 - Monitor")))</f>
        <v/>
      </c>
      <c r="X1488" s="56" t="str">
        <f aca="false">IF(AND(E1488&gt;=Settings!$B$4,F1488&gt;=Settings!$B$5,O1488&gt;=Settings!$B$6),"HIGH RATE","")</f>
        <v/>
      </c>
      <c r="Y1488" s="56" t="str">
        <f aca="false">IF(F1488&gt;0,RANK(F1488,$F$2:$F$1780)+COUNTIF($F$2:F1488,F1488)-1,"")</f>
        <v/>
      </c>
      <c r="Z1488" s="56" t="str">
        <f aca="false">IF(H1488&gt;0,RANK(H1488,$H$2:$H$1780)+COUNTIF($H$2:H1488,H1488)-1,"")</f>
        <v/>
      </c>
      <c r="AA1488" s="56" t="str">
        <f aca="false">IF(AC1488="","",RANK(AC1488,$AC$2:$AC$1780)+COUNTIF($AC$2:AC1488,AC1488)-1)</f>
        <v/>
      </c>
      <c r="AB1488" s="56" t="str">
        <f aca="false">IF(AD1488="","",RANK(AD1488,$AD$2:$AD$1780)+COUNTIF($AD$2:AD1488,AD1488)-1)</f>
        <v/>
      </c>
      <c r="AC1488" s="56" t="str">
        <f aca="false">IF(AND(F1488&gt;0,E1488&gt;=Settings!$B$4),J1488,"")</f>
        <v/>
      </c>
      <c r="AD1488" s="56" t="str">
        <f aca="false">IF(X1488="HIGH RATE",O1488,"")</f>
        <v/>
      </c>
    </row>
    <row r="1489" customFormat="false" ht="15" hidden="false" customHeight="false" outlineLevel="0" collapsed="false">
      <c r="A1489" s="56" t="s">
        <v>2913</v>
      </c>
      <c r="B1489" s="56" t="s">
        <v>1232</v>
      </c>
      <c r="C1489" s="56" t="s">
        <v>87</v>
      </c>
      <c r="D1489" s="56" t="str">
        <f aca="false">IFERROR(INDEX('Brand Map'!$B$4:$B$124,MATCH(C1489,'Brand Map'!$A$4:$A$124,0)),"Other")</f>
        <v>FYF</v>
      </c>
      <c r="E1489" s="57" t="n">
        <v>3</v>
      </c>
      <c r="F1489" s="57" t="n">
        <v>0</v>
      </c>
      <c r="G1489" s="58" t="n">
        <v>359.85</v>
      </c>
      <c r="H1489" s="58" t="n">
        <v>0</v>
      </c>
      <c r="I1489" s="58" t="n">
        <v>359.85</v>
      </c>
      <c r="J1489" s="32" t="n">
        <f aca="false">IF(E1489&gt;0,F1489/E1489,0)</f>
        <v>0</v>
      </c>
      <c r="K1489" s="32" t="n">
        <f aca="false">IF(G1489&gt;0,H1489/G1489,0)</f>
        <v>-0</v>
      </c>
      <c r="L1489" s="59" t="n">
        <f aca="false">H1489/Settings!$B$16</f>
        <v>-0</v>
      </c>
      <c r="M1489" s="59" t="n">
        <f aca="false">H1489/Settings!$B$20</f>
        <v>-0</v>
      </c>
      <c r="N1489" s="60" t="n">
        <f aca="false">E1489*Settings!$B$3</f>
        <v>0.0929584532394613</v>
      </c>
      <c r="O1489" s="60" t="n">
        <f aca="false">IF(E1489&gt;0,(F1489-N1489)/SQRT(E1489*Settings!$B$3*(1-Settings!$B$3)),0)</f>
        <v>-0.30972727558513</v>
      </c>
      <c r="P1489" s="60" t="n">
        <f aca="false">MAX(0,F1489-N1489)</f>
        <v>0</v>
      </c>
      <c r="Q1489" s="32" t="n">
        <f aca="false">(F1489+Settings!$B$7*Settings!$B$3)/(E1489+Settings!$B$7)</f>
        <v>0.0281692282543822</v>
      </c>
      <c r="R1489" s="61" t="n">
        <f aca="false">PERCENTRANK($H$2:$H$1780,H1489,6)</f>
        <v>0</v>
      </c>
      <c r="S1489" s="61" t="n">
        <f aca="false">PERCENTRANK($Q$2:$Q$1780,Q1489,6)</f>
        <v>0.294151</v>
      </c>
      <c r="T1489" s="61" t="n">
        <f aca="false">PERCENTRANK($F$2:$F$1780,F1489,6)</f>
        <v>0</v>
      </c>
      <c r="U1489" s="62" t="n">
        <f aca="false">IF(F1489&gt;0,(Settings!$B$8*T1489+Settings!$B$9*R1489+Settings!$B$10*S1489)/SUM(Settings!$B$8:$B$10),0)</f>
        <v>0</v>
      </c>
      <c r="V1489" s="56" t="str">
        <f aca="false">IF(U1489&gt;0,RANK(U1489,$U$2:$U$1780)+COUNTIF($U$2:U1489,U1489)-1,"")</f>
        <v/>
      </c>
      <c r="W1489" s="56" t="str">
        <f aca="false">IF(V1489="","",IF(V1489&lt;=Settings!$B$11,"1 - Fix first",IF(V1489&lt;=Settings!$B$12,"2 - Review","3 - Monitor")))</f>
        <v/>
      </c>
      <c r="X1489" s="56" t="str">
        <f aca="false">IF(AND(E1489&gt;=Settings!$B$4,F1489&gt;=Settings!$B$5,O1489&gt;=Settings!$B$6),"HIGH RATE","")</f>
        <v/>
      </c>
      <c r="Y1489" s="56" t="str">
        <f aca="false">IF(F1489&gt;0,RANK(F1489,$F$2:$F$1780)+COUNTIF($F$2:F1489,F1489)-1,"")</f>
        <v/>
      </c>
      <c r="Z1489" s="56" t="str">
        <f aca="false">IF(H1489&gt;0,RANK(H1489,$H$2:$H$1780)+COUNTIF($H$2:H1489,H1489)-1,"")</f>
        <v/>
      </c>
      <c r="AA1489" s="56" t="str">
        <f aca="false">IF(AC1489="","",RANK(AC1489,$AC$2:$AC$1780)+COUNTIF($AC$2:AC1489,AC1489)-1)</f>
        <v/>
      </c>
      <c r="AB1489" s="56" t="str">
        <f aca="false">IF(AD1489="","",RANK(AD1489,$AD$2:$AD$1780)+COUNTIF($AD$2:AD1489,AD1489)-1)</f>
        <v/>
      </c>
      <c r="AC1489" s="56" t="str">
        <f aca="false">IF(AND(F1489&gt;0,E1489&gt;=Settings!$B$4),J1489,"")</f>
        <v/>
      </c>
      <c r="AD1489" s="56" t="str">
        <f aca="false">IF(X1489="HIGH RATE",O1489,"")</f>
        <v/>
      </c>
    </row>
    <row r="1490" customFormat="false" ht="15" hidden="false" customHeight="false" outlineLevel="0" collapsed="false">
      <c r="A1490" s="56" t="s">
        <v>2914</v>
      </c>
      <c r="B1490" s="56" t="s">
        <v>2141</v>
      </c>
      <c r="C1490" s="56" t="s">
        <v>87</v>
      </c>
      <c r="D1490" s="56" t="str">
        <f aca="false">IFERROR(INDEX('Brand Map'!$B$4:$B$124,MATCH(C1490,'Brand Map'!$A$4:$A$124,0)),"Other")</f>
        <v>FYF</v>
      </c>
      <c r="E1490" s="57" t="n">
        <v>1</v>
      </c>
      <c r="F1490" s="57" t="n">
        <v>0</v>
      </c>
      <c r="G1490" s="58" t="n">
        <v>74.95</v>
      </c>
      <c r="H1490" s="58" t="n">
        <v>0</v>
      </c>
      <c r="I1490" s="58" t="n">
        <v>74.95</v>
      </c>
      <c r="J1490" s="32" t="n">
        <f aca="false">IF(E1490&gt;0,F1490/E1490,0)</f>
        <v>0</v>
      </c>
      <c r="K1490" s="32" t="n">
        <f aca="false">IF(G1490&gt;0,H1490/G1490,0)</f>
        <v>-0</v>
      </c>
      <c r="L1490" s="59" t="n">
        <f aca="false">H1490/Settings!$B$16</f>
        <v>-0</v>
      </c>
      <c r="M1490" s="59" t="n">
        <f aca="false">H1490/Settings!$B$20</f>
        <v>-0</v>
      </c>
      <c r="N1490" s="60" t="n">
        <f aca="false">E1490*Settings!$B$3</f>
        <v>0.0309861510798204</v>
      </c>
      <c r="O1490" s="60" t="n">
        <f aca="false">IF(E1490&gt;0,(F1490-N1490)/SQRT(E1490*Settings!$B$3*(1-Settings!$B$3)),0)</f>
        <v>-0.178821125934444</v>
      </c>
      <c r="P1490" s="60" t="n">
        <f aca="false">MAX(0,F1490-N1490)</f>
        <v>0</v>
      </c>
      <c r="Q1490" s="32" t="n">
        <f aca="false">(F1490+Settings!$B$7*Settings!$B$3)/(E1490+Settings!$B$7)</f>
        <v>0.0299865978191811</v>
      </c>
      <c r="R1490" s="61" t="n">
        <f aca="false">PERCENTRANK($H$2:$H$1780,H1490,6)</f>
        <v>0</v>
      </c>
      <c r="S1490" s="61" t="n">
        <f aca="false">PERCENTRANK($Q$2:$Q$1780,Q1490,6)</f>
        <v>0.486502</v>
      </c>
      <c r="T1490" s="61" t="n">
        <f aca="false">PERCENTRANK($F$2:$F$1780,F1490,6)</f>
        <v>0</v>
      </c>
      <c r="U1490" s="62" t="n">
        <f aca="false">IF(F1490&gt;0,(Settings!$B$8*T1490+Settings!$B$9*R1490+Settings!$B$10*S1490)/SUM(Settings!$B$8:$B$10),0)</f>
        <v>0</v>
      </c>
      <c r="V1490" s="56" t="str">
        <f aca="false">IF(U1490&gt;0,RANK(U1490,$U$2:$U$1780)+COUNTIF($U$2:U1490,U1490)-1,"")</f>
        <v/>
      </c>
      <c r="W1490" s="56" t="str">
        <f aca="false">IF(V1490="","",IF(V1490&lt;=Settings!$B$11,"1 - Fix first",IF(V1490&lt;=Settings!$B$12,"2 - Review","3 - Monitor")))</f>
        <v/>
      </c>
      <c r="X1490" s="56" t="str">
        <f aca="false">IF(AND(E1490&gt;=Settings!$B$4,F1490&gt;=Settings!$B$5,O1490&gt;=Settings!$B$6),"HIGH RATE","")</f>
        <v/>
      </c>
      <c r="Y1490" s="56" t="str">
        <f aca="false">IF(F1490&gt;0,RANK(F1490,$F$2:$F$1780)+COUNTIF($F$2:F1490,F1490)-1,"")</f>
        <v/>
      </c>
      <c r="Z1490" s="56" t="str">
        <f aca="false">IF(H1490&gt;0,RANK(H1490,$H$2:$H$1780)+COUNTIF($H$2:H1490,H1490)-1,"")</f>
        <v/>
      </c>
      <c r="AA1490" s="56" t="str">
        <f aca="false">IF(AC1490="","",RANK(AC1490,$AC$2:$AC$1780)+COUNTIF($AC$2:AC1490,AC1490)-1)</f>
        <v/>
      </c>
      <c r="AB1490" s="56" t="str">
        <f aca="false">IF(AD1490="","",RANK(AD1490,$AD$2:$AD$1780)+COUNTIF($AD$2:AD1490,AD1490)-1)</f>
        <v/>
      </c>
      <c r="AC1490" s="56" t="str">
        <f aca="false">IF(AND(F1490&gt;0,E1490&gt;=Settings!$B$4),J1490,"")</f>
        <v/>
      </c>
      <c r="AD1490" s="56" t="str">
        <f aca="false">IF(X1490="HIGH RATE",O1490,"")</f>
        <v/>
      </c>
    </row>
    <row r="1491" customFormat="false" ht="15" hidden="false" customHeight="false" outlineLevel="0" collapsed="false">
      <c r="A1491" s="56" t="s">
        <v>2915</v>
      </c>
      <c r="B1491" s="56" t="s">
        <v>1232</v>
      </c>
      <c r="C1491" s="56" t="s">
        <v>87</v>
      </c>
      <c r="D1491" s="56" t="str">
        <f aca="false">IFERROR(INDEX('Brand Map'!$B$4:$B$124,MATCH(C1491,'Brand Map'!$A$4:$A$124,0)),"Other")</f>
        <v>FYF</v>
      </c>
      <c r="E1491" s="57" t="n">
        <v>2</v>
      </c>
      <c r="F1491" s="57" t="n">
        <v>0</v>
      </c>
      <c r="G1491" s="58" t="n">
        <v>199.9</v>
      </c>
      <c r="H1491" s="58" t="n">
        <v>0</v>
      </c>
      <c r="I1491" s="58" t="n">
        <v>199.9</v>
      </c>
      <c r="J1491" s="32" t="n">
        <f aca="false">IF(E1491&gt;0,F1491/E1491,0)</f>
        <v>0</v>
      </c>
      <c r="K1491" s="32" t="n">
        <f aca="false">IF(G1491&gt;0,H1491/G1491,0)</f>
        <v>-0</v>
      </c>
      <c r="L1491" s="59" t="n">
        <f aca="false">H1491/Settings!$B$16</f>
        <v>-0</v>
      </c>
      <c r="M1491" s="59" t="n">
        <f aca="false">H1491/Settings!$B$20</f>
        <v>-0</v>
      </c>
      <c r="N1491" s="60" t="n">
        <f aca="false">E1491*Settings!$B$3</f>
        <v>0.0619723021596408</v>
      </c>
      <c r="O1491" s="60" t="n">
        <f aca="false">IF(E1491&gt;0,(F1491-N1491)/SQRT(E1491*Settings!$B$3*(1-Settings!$B$3)),0)</f>
        <v>-0.252891261535318</v>
      </c>
      <c r="P1491" s="60" t="n">
        <f aca="false">MAX(0,F1491-N1491)</f>
        <v>0</v>
      </c>
      <c r="Q1491" s="32" t="n">
        <f aca="false">(F1491+Settings!$B$7*Settings!$B$3)/(E1491+Settings!$B$7)</f>
        <v>0.0290495166373316</v>
      </c>
      <c r="R1491" s="61" t="n">
        <f aca="false">PERCENTRANK($H$2:$H$1780,H1491,6)</f>
        <v>0</v>
      </c>
      <c r="S1491" s="61" t="n">
        <f aca="false">PERCENTRANK($Q$2:$Q$1780,Q1491,6)</f>
        <v>0.365579</v>
      </c>
      <c r="T1491" s="61" t="n">
        <f aca="false">PERCENTRANK($F$2:$F$1780,F1491,6)</f>
        <v>0</v>
      </c>
      <c r="U1491" s="62" t="n">
        <f aca="false">IF(F1491&gt;0,(Settings!$B$8*T1491+Settings!$B$9*R1491+Settings!$B$10*S1491)/SUM(Settings!$B$8:$B$10),0)</f>
        <v>0</v>
      </c>
      <c r="V1491" s="56" t="str">
        <f aca="false">IF(U1491&gt;0,RANK(U1491,$U$2:$U$1780)+COUNTIF($U$2:U1491,U1491)-1,"")</f>
        <v/>
      </c>
      <c r="W1491" s="56" t="str">
        <f aca="false">IF(V1491="","",IF(V1491&lt;=Settings!$B$11,"1 - Fix first",IF(V1491&lt;=Settings!$B$12,"2 - Review","3 - Monitor")))</f>
        <v/>
      </c>
      <c r="X1491" s="56" t="str">
        <f aca="false">IF(AND(E1491&gt;=Settings!$B$4,F1491&gt;=Settings!$B$5,O1491&gt;=Settings!$B$6),"HIGH RATE","")</f>
        <v/>
      </c>
      <c r="Y1491" s="56" t="str">
        <f aca="false">IF(F1491&gt;0,RANK(F1491,$F$2:$F$1780)+COUNTIF($F$2:F1491,F1491)-1,"")</f>
        <v/>
      </c>
      <c r="Z1491" s="56" t="str">
        <f aca="false">IF(H1491&gt;0,RANK(H1491,$H$2:$H$1780)+COUNTIF($H$2:H1491,H1491)-1,"")</f>
        <v/>
      </c>
      <c r="AA1491" s="56" t="str">
        <f aca="false">IF(AC1491="","",RANK(AC1491,$AC$2:$AC$1780)+COUNTIF($AC$2:AC1491,AC1491)-1)</f>
        <v/>
      </c>
      <c r="AB1491" s="56" t="str">
        <f aca="false">IF(AD1491="","",RANK(AD1491,$AD$2:$AD$1780)+COUNTIF($AD$2:AD1491,AD1491)-1)</f>
        <v/>
      </c>
      <c r="AC1491" s="56" t="str">
        <f aca="false">IF(AND(F1491&gt;0,E1491&gt;=Settings!$B$4),J1491,"")</f>
        <v/>
      </c>
      <c r="AD1491" s="56" t="str">
        <f aca="false">IF(X1491="HIGH RATE",O1491,"")</f>
        <v/>
      </c>
    </row>
    <row r="1492" customFormat="false" ht="15" hidden="false" customHeight="false" outlineLevel="0" collapsed="false">
      <c r="A1492" s="56" t="s">
        <v>2916</v>
      </c>
      <c r="B1492" s="56" t="s">
        <v>1232</v>
      </c>
      <c r="C1492" s="56" t="s">
        <v>87</v>
      </c>
      <c r="D1492" s="56" t="str">
        <f aca="false">IFERROR(INDEX('Brand Map'!$B$4:$B$124,MATCH(C1492,'Brand Map'!$A$4:$A$124,0)),"Other")</f>
        <v>FYF</v>
      </c>
      <c r="E1492" s="57" t="n">
        <v>2</v>
      </c>
      <c r="F1492" s="57" t="n">
        <v>0</v>
      </c>
      <c r="G1492" s="58" t="n">
        <v>119.9</v>
      </c>
      <c r="H1492" s="58" t="n">
        <v>0</v>
      </c>
      <c r="I1492" s="58" t="n">
        <v>119.9</v>
      </c>
      <c r="J1492" s="32" t="n">
        <f aca="false">IF(E1492&gt;0,F1492/E1492,0)</f>
        <v>0</v>
      </c>
      <c r="K1492" s="32" t="n">
        <f aca="false">IF(G1492&gt;0,H1492/G1492,0)</f>
        <v>-0</v>
      </c>
      <c r="L1492" s="59" t="n">
        <f aca="false">H1492/Settings!$B$16</f>
        <v>-0</v>
      </c>
      <c r="M1492" s="59" t="n">
        <f aca="false">H1492/Settings!$B$20</f>
        <v>-0</v>
      </c>
      <c r="N1492" s="60" t="n">
        <f aca="false">E1492*Settings!$B$3</f>
        <v>0.0619723021596408</v>
      </c>
      <c r="O1492" s="60" t="n">
        <f aca="false">IF(E1492&gt;0,(F1492-N1492)/SQRT(E1492*Settings!$B$3*(1-Settings!$B$3)),0)</f>
        <v>-0.252891261535318</v>
      </c>
      <c r="P1492" s="60" t="n">
        <f aca="false">MAX(0,F1492-N1492)</f>
        <v>0</v>
      </c>
      <c r="Q1492" s="32" t="n">
        <f aca="false">(F1492+Settings!$B$7*Settings!$B$3)/(E1492+Settings!$B$7)</f>
        <v>0.0290495166373316</v>
      </c>
      <c r="R1492" s="61" t="n">
        <f aca="false">PERCENTRANK($H$2:$H$1780,H1492,6)</f>
        <v>0</v>
      </c>
      <c r="S1492" s="61" t="n">
        <f aca="false">PERCENTRANK($Q$2:$Q$1780,Q1492,6)</f>
        <v>0.365579</v>
      </c>
      <c r="T1492" s="61" t="n">
        <f aca="false">PERCENTRANK($F$2:$F$1780,F1492,6)</f>
        <v>0</v>
      </c>
      <c r="U1492" s="62" t="n">
        <f aca="false">IF(F1492&gt;0,(Settings!$B$8*T1492+Settings!$B$9*R1492+Settings!$B$10*S1492)/SUM(Settings!$B$8:$B$10),0)</f>
        <v>0</v>
      </c>
      <c r="V1492" s="56" t="str">
        <f aca="false">IF(U1492&gt;0,RANK(U1492,$U$2:$U$1780)+COUNTIF($U$2:U1492,U1492)-1,"")</f>
        <v/>
      </c>
      <c r="W1492" s="56" t="str">
        <f aca="false">IF(V1492="","",IF(V1492&lt;=Settings!$B$11,"1 - Fix first",IF(V1492&lt;=Settings!$B$12,"2 - Review","3 - Monitor")))</f>
        <v/>
      </c>
      <c r="X1492" s="56" t="str">
        <f aca="false">IF(AND(E1492&gt;=Settings!$B$4,F1492&gt;=Settings!$B$5,O1492&gt;=Settings!$B$6),"HIGH RATE","")</f>
        <v/>
      </c>
      <c r="Y1492" s="56" t="str">
        <f aca="false">IF(F1492&gt;0,RANK(F1492,$F$2:$F$1780)+COUNTIF($F$2:F1492,F1492)-1,"")</f>
        <v/>
      </c>
      <c r="Z1492" s="56" t="str">
        <f aca="false">IF(H1492&gt;0,RANK(H1492,$H$2:$H$1780)+COUNTIF($H$2:H1492,H1492)-1,"")</f>
        <v/>
      </c>
      <c r="AA1492" s="56" t="str">
        <f aca="false">IF(AC1492="","",RANK(AC1492,$AC$2:$AC$1780)+COUNTIF($AC$2:AC1492,AC1492)-1)</f>
        <v/>
      </c>
      <c r="AB1492" s="56" t="str">
        <f aca="false">IF(AD1492="","",RANK(AD1492,$AD$2:$AD$1780)+COUNTIF($AD$2:AD1492,AD1492)-1)</f>
        <v/>
      </c>
      <c r="AC1492" s="56" t="str">
        <f aca="false">IF(AND(F1492&gt;0,E1492&gt;=Settings!$B$4),J1492,"")</f>
        <v/>
      </c>
      <c r="AD1492" s="56" t="str">
        <f aca="false">IF(X1492="HIGH RATE",O1492,"")</f>
        <v/>
      </c>
    </row>
    <row r="1493" customFormat="false" ht="15" hidden="false" customHeight="false" outlineLevel="0" collapsed="false">
      <c r="A1493" s="56" t="s">
        <v>2917</v>
      </c>
      <c r="B1493" s="56" t="s">
        <v>1232</v>
      </c>
      <c r="C1493" s="56" t="s">
        <v>87</v>
      </c>
      <c r="D1493" s="56" t="str">
        <f aca="false">IFERROR(INDEX('Brand Map'!$B$4:$B$124,MATCH(C1493,'Brand Map'!$A$4:$A$124,0)),"Other")</f>
        <v>FYF</v>
      </c>
      <c r="E1493" s="57" t="n">
        <v>1</v>
      </c>
      <c r="F1493" s="57" t="n">
        <v>0</v>
      </c>
      <c r="G1493" s="58" t="n">
        <v>119.95</v>
      </c>
      <c r="H1493" s="58" t="n">
        <v>0</v>
      </c>
      <c r="I1493" s="58" t="n">
        <v>119.95</v>
      </c>
      <c r="J1493" s="32" t="n">
        <f aca="false">IF(E1493&gt;0,F1493/E1493,0)</f>
        <v>0</v>
      </c>
      <c r="K1493" s="32" t="n">
        <f aca="false">IF(G1493&gt;0,H1493/G1493,0)</f>
        <v>-0</v>
      </c>
      <c r="L1493" s="59" t="n">
        <f aca="false">H1493/Settings!$B$16</f>
        <v>-0</v>
      </c>
      <c r="M1493" s="59" t="n">
        <f aca="false">H1493/Settings!$B$20</f>
        <v>-0</v>
      </c>
      <c r="N1493" s="60" t="n">
        <f aca="false">E1493*Settings!$B$3</f>
        <v>0.0309861510798204</v>
      </c>
      <c r="O1493" s="60" t="n">
        <f aca="false">IF(E1493&gt;0,(F1493-N1493)/SQRT(E1493*Settings!$B$3*(1-Settings!$B$3)),0)</f>
        <v>-0.178821125934444</v>
      </c>
      <c r="P1493" s="60" t="n">
        <f aca="false">MAX(0,F1493-N1493)</f>
        <v>0</v>
      </c>
      <c r="Q1493" s="32" t="n">
        <f aca="false">(F1493+Settings!$B$7*Settings!$B$3)/(E1493+Settings!$B$7)</f>
        <v>0.0299865978191811</v>
      </c>
      <c r="R1493" s="61" t="n">
        <f aca="false">PERCENTRANK($H$2:$H$1780,H1493,6)</f>
        <v>0</v>
      </c>
      <c r="S1493" s="61" t="n">
        <f aca="false">PERCENTRANK($Q$2:$Q$1780,Q1493,6)</f>
        <v>0.486502</v>
      </c>
      <c r="T1493" s="61" t="n">
        <f aca="false">PERCENTRANK($F$2:$F$1780,F1493,6)</f>
        <v>0</v>
      </c>
      <c r="U1493" s="62" t="n">
        <f aca="false">IF(F1493&gt;0,(Settings!$B$8*T1493+Settings!$B$9*R1493+Settings!$B$10*S1493)/SUM(Settings!$B$8:$B$10),0)</f>
        <v>0</v>
      </c>
      <c r="V1493" s="56" t="str">
        <f aca="false">IF(U1493&gt;0,RANK(U1493,$U$2:$U$1780)+COUNTIF($U$2:U1493,U1493)-1,"")</f>
        <v/>
      </c>
      <c r="W1493" s="56" t="str">
        <f aca="false">IF(V1493="","",IF(V1493&lt;=Settings!$B$11,"1 - Fix first",IF(V1493&lt;=Settings!$B$12,"2 - Review","3 - Monitor")))</f>
        <v/>
      </c>
      <c r="X1493" s="56" t="str">
        <f aca="false">IF(AND(E1493&gt;=Settings!$B$4,F1493&gt;=Settings!$B$5,O1493&gt;=Settings!$B$6),"HIGH RATE","")</f>
        <v/>
      </c>
      <c r="Y1493" s="56" t="str">
        <f aca="false">IF(F1493&gt;0,RANK(F1493,$F$2:$F$1780)+COUNTIF($F$2:F1493,F1493)-1,"")</f>
        <v/>
      </c>
      <c r="Z1493" s="56" t="str">
        <f aca="false">IF(H1493&gt;0,RANK(H1493,$H$2:$H$1780)+COUNTIF($H$2:H1493,H1493)-1,"")</f>
        <v/>
      </c>
      <c r="AA1493" s="56" t="str">
        <f aca="false">IF(AC1493="","",RANK(AC1493,$AC$2:$AC$1780)+COUNTIF($AC$2:AC1493,AC1493)-1)</f>
        <v/>
      </c>
      <c r="AB1493" s="56" t="str">
        <f aca="false">IF(AD1493="","",RANK(AD1493,$AD$2:$AD$1780)+COUNTIF($AD$2:AD1493,AD1493)-1)</f>
        <v/>
      </c>
      <c r="AC1493" s="56" t="str">
        <f aca="false">IF(AND(F1493&gt;0,E1493&gt;=Settings!$B$4),J1493,"")</f>
        <v/>
      </c>
      <c r="AD1493" s="56" t="str">
        <f aca="false">IF(X1493="HIGH RATE",O1493,"")</f>
        <v/>
      </c>
    </row>
    <row r="1494" customFormat="false" ht="15" hidden="false" customHeight="false" outlineLevel="0" collapsed="false">
      <c r="A1494" s="56" t="s">
        <v>2918</v>
      </c>
      <c r="B1494" s="56" t="s">
        <v>1232</v>
      </c>
      <c r="C1494" s="56" t="s">
        <v>87</v>
      </c>
      <c r="D1494" s="56" t="str">
        <f aca="false">IFERROR(INDEX('Brand Map'!$B$4:$B$124,MATCH(C1494,'Brand Map'!$A$4:$A$124,0)),"Other")</f>
        <v>FYF</v>
      </c>
      <c r="E1494" s="57" t="n">
        <v>2</v>
      </c>
      <c r="F1494" s="57" t="n">
        <v>0</v>
      </c>
      <c r="G1494" s="58" t="n">
        <v>47.98</v>
      </c>
      <c r="H1494" s="58" t="n">
        <v>0</v>
      </c>
      <c r="I1494" s="58" t="n">
        <v>47.98</v>
      </c>
      <c r="J1494" s="32" t="n">
        <f aca="false">IF(E1494&gt;0,F1494/E1494,0)</f>
        <v>0</v>
      </c>
      <c r="K1494" s="32" t="n">
        <f aca="false">IF(G1494&gt;0,H1494/G1494,0)</f>
        <v>-0</v>
      </c>
      <c r="L1494" s="59" t="n">
        <f aca="false">H1494/Settings!$B$16</f>
        <v>-0</v>
      </c>
      <c r="M1494" s="59" t="n">
        <f aca="false">H1494/Settings!$B$20</f>
        <v>-0</v>
      </c>
      <c r="N1494" s="60" t="n">
        <f aca="false">E1494*Settings!$B$3</f>
        <v>0.0619723021596408</v>
      </c>
      <c r="O1494" s="60" t="n">
        <f aca="false">IF(E1494&gt;0,(F1494-N1494)/SQRT(E1494*Settings!$B$3*(1-Settings!$B$3)),0)</f>
        <v>-0.252891261535318</v>
      </c>
      <c r="P1494" s="60" t="n">
        <f aca="false">MAX(0,F1494-N1494)</f>
        <v>0</v>
      </c>
      <c r="Q1494" s="32" t="n">
        <f aca="false">(F1494+Settings!$B$7*Settings!$B$3)/(E1494+Settings!$B$7)</f>
        <v>0.0290495166373316</v>
      </c>
      <c r="R1494" s="61" t="n">
        <f aca="false">PERCENTRANK($H$2:$H$1780,H1494,6)</f>
        <v>0</v>
      </c>
      <c r="S1494" s="61" t="n">
        <f aca="false">PERCENTRANK($Q$2:$Q$1780,Q1494,6)</f>
        <v>0.365579</v>
      </c>
      <c r="T1494" s="61" t="n">
        <f aca="false">PERCENTRANK($F$2:$F$1780,F1494,6)</f>
        <v>0</v>
      </c>
      <c r="U1494" s="62" t="n">
        <f aca="false">IF(F1494&gt;0,(Settings!$B$8*T1494+Settings!$B$9*R1494+Settings!$B$10*S1494)/SUM(Settings!$B$8:$B$10),0)</f>
        <v>0</v>
      </c>
      <c r="V1494" s="56" t="str">
        <f aca="false">IF(U1494&gt;0,RANK(U1494,$U$2:$U$1780)+COUNTIF($U$2:U1494,U1494)-1,"")</f>
        <v/>
      </c>
      <c r="W1494" s="56" t="str">
        <f aca="false">IF(V1494="","",IF(V1494&lt;=Settings!$B$11,"1 - Fix first",IF(V1494&lt;=Settings!$B$12,"2 - Review","3 - Monitor")))</f>
        <v/>
      </c>
      <c r="X1494" s="56" t="str">
        <f aca="false">IF(AND(E1494&gt;=Settings!$B$4,F1494&gt;=Settings!$B$5,O1494&gt;=Settings!$B$6),"HIGH RATE","")</f>
        <v/>
      </c>
      <c r="Y1494" s="56" t="str">
        <f aca="false">IF(F1494&gt;0,RANK(F1494,$F$2:$F$1780)+COUNTIF($F$2:F1494,F1494)-1,"")</f>
        <v/>
      </c>
      <c r="Z1494" s="56" t="str">
        <f aca="false">IF(H1494&gt;0,RANK(H1494,$H$2:$H$1780)+COUNTIF($H$2:H1494,H1494)-1,"")</f>
        <v/>
      </c>
      <c r="AA1494" s="56" t="str">
        <f aca="false">IF(AC1494="","",RANK(AC1494,$AC$2:$AC$1780)+COUNTIF($AC$2:AC1494,AC1494)-1)</f>
        <v/>
      </c>
      <c r="AB1494" s="56" t="str">
        <f aca="false">IF(AD1494="","",RANK(AD1494,$AD$2:$AD$1780)+COUNTIF($AD$2:AD1494,AD1494)-1)</f>
        <v/>
      </c>
      <c r="AC1494" s="56" t="str">
        <f aca="false">IF(AND(F1494&gt;0,E1494&gt;=Settings!$B$4),J1494,"")</f>
        <v/>
      </c>
      <c r="AD1494" s="56" t="str">
        <f aca="false">IF(X1494="HIGH RATE",O1494,"")</f>
        <v/>
      </c>
    </row>
    <row r="1495" customFormat="false" ht="15" hidden="false" customHeight="false" outlineLevel="0" collapsed="false">
      <c r="A1495" s="56" t="s">
        <v>2919</v>
      </c>
      <c r="B1495" s="56" t="s">
        <v>1232</v>
      </c>
      <c r="C1495" s="56" t="s">
        <v>87</v>
      </c>
      <c r="D1495" s="56" t="str">
        <f aca="false">IFERROR(INDEX('Brand Map'!$B$4:$B$124,MATCH(C1495,'Brand Map'!$A$4:$A$124,0)),"Other")</f>
        <v>FYF</v>
      </c>
      <c r="E1495" s="57" t="n">
        <v>10</v>
      </c>
      <c r="F1495" s="57" t="n">
        <v>0</v>
      </c>
      <c r="G1495" s="58" t="n">
        <v>449.5</v>
      </c>
      <c r="H1495" s="58" t="n">
        <v>0</v>
      </c>
      <c r="I1495" s="58" t="n">
        <v>449.5</v>
      </c>
      <c r="J1495" s="32" t="n">
        <f aca="false">IF(E1495&gt;0,F1495/E1495,0)</f>
        <v>0</v>
      </c>
      <c r="K1495" s="32" t="n">
        <f aca="false">IF(G1495&gt;0,H1495/G1495,0)</f>
        <v>-0</v>
      </c>
      <c r="L1495" s="59" t="n">
        <f aca="false">H1495/Settings!$B$16</f>
        <v>-0</v>
      </c>
      <c r="M1495" s="59" t="n">
        <f aca="false">H1495/Settings!$B$20</f>
        <v>-0</v>
      </c>
      <c r="N1495" s="60" t="n">
        <f aca="false">E1495*Settings!$B$3</f>
        <v>0.309861510798204</v>
      </c>
      <c r="O1495" s="60" t="n">
        <f aca="false">IF(E1495&gt;0,(F1495-N1495)/SQRT(E1495*Settings!$B$3*(1-Settings!$B$3)),0)</f>
        <v>-0.565482051708649</v>
      </c>
      <c r="P1495" s="60" t="n">
        <f aca="false">MAX(0,F1495-N1495)</f>
        <v>0</v>
      </c>
      <c r="Q1495" s="32" t="n">
        <f aca="false">(F1495+Settings!$B$7*Settings!$B$3)/(E1495+Settings!$B$7)</f>
        <v>0.0232396133098653</v>
      </c>
      <c r="R1495" s="61" t="n">
        <f aca="false">PERCENTRANK($H$2:$H$1780,H1495,6)</f>
        <v>0</v>
      </c>
      <c r="S1495" s="61" t="n">
        <f aca="false">PERCENTRANK($Q$2:$Q$1780,Q1495,6)</f>
        <v>0.131046</v>
      </c>
      <c r="T1495" s="61" t="n">
        <f aca="false">PERCENTRANK($F$2:$F$1780,F1495,6)</f>
        <v>0</v>
      </c>
      <c r="U1495" s="62" t="n">
        <f aca="false">IF(F1495&gt;0,(Settings!$B$8*T1495+Settings!$B$9*R1495+Settings!$B$10*S1495)/SUM(Settings!$B$8:$B$10),0)</f>
        <v>0</v>
      </c>
      <c r="V1495" s="56" t="str">
        <f aca="false">IF(U1495&gt;0,RANK(U1495,$U$2:$U$1780)+COUNTIF($U$2:U1495,U1495)-1,"")</f>
        <v/>
      </c>
      <c r="W1495" s="56" t="str">
        <f aca="false">IF(V1495="","",IF(V1495&lt;=Settings!$B$11,"1 - Fix first",IF(V1495&lt;=Settings!$B$12,"2 - Review","3 - Monitor")))</f>
        <v/>
      </c>
      <c r="X1495" s="56" t="str">
        <f aca="false">IF(AND(E1495&gt;=Settings!$B$4,F1495&gt;=Settings!$B$5,O1495&gt;=Settings!$B$6),"HIGH RATE","")</f>
        <v/>
      </c>
      <c r="Y1495" s="56" t="str">
        <f aca="false">IF(F1495&gt;0,RANK(F1495,$F$2:$F$1780)+COUNTIF($F$2:F1495,F1495)-1,"")</f>
        <v/>
      </c>
      <c r="Z1495" s="56" t="str">
        <f aca="false">IF(H1495&gt;0,RANK(H1495,$H$2:$H$1780)+COUNTIF($H$2:H1495,H1495)-1,"")</f>
        <v/>
      </c>
      <c r="AA1495" s="56" t="str">
        <f aca="false">IF(AC1495="","",RANK(AC1495,$AC$2:$AC$1780)+COUNTIF($AC$2:AC1495,AC1495)-1)</f>
        <v/>
      </c>
      <c r="AB1495" s="56" t="str">
        <f aca="false">IF(AD1495="","",RANK(AD1495,$AD$2:$AD$1780)+COUNTIF($AD$2:AD1495,AD1495)-1)</f>
        <v/>
      </c>
      <c r="AC1495" s="56" t="str">
        <f aca="false">IF(AND(F1495&gt;0,E1495&gt;=Settings!$B$4),J1495,"")</f>
        <v/>
      </c>
      <c r="AD1495" s="56" t="str">
        <f aca="false">IF(X1495="HIGH RATE",O1495,"")</f>
        <v/>
      </c>
    </row>
    <row r="1496" customFormat="false" ht="15" hidden="false" customHeight="false" outlineLevel="0" collapsed="false">
      <c r="A1496" s="56" t="s">
        <v>2920</v>
      </c>
      <c r="B1496" s="56" t="s">
        <v>1232</v>
      </c>
      <c r="C1496" s="56" t="s">
        <v>87</v>
      </c>
      <c r="D1496" s="56" t="str">
        <f aca="false">IFERROR(INDEX('Brand Map'!$B$4:$B$124,MATCH(C1496,'Brand Map'!$A$4:$A$124,0)),"Other")</f>
        <v>FYF</v>
      </c>
      <c r="E1496" s="57" t="n">
        <v>1</v>
      </c>
      <c r="F1496" s="57" t="n">
        <v>0</v>
      </c>
      <c r="G1496" s="58" t="n">
        <v>31.95</v>
      </c>
      <c r="H1496" s="58" t="n">
        <v>0</v>
      </c>
      <c r="I1496" s="58" t="n">
        <v>31.95</v>
      </c>
      <c r="J1496" s="32" t="n">
        <f aca="false">IF(E1496&gt;0,F1496/E1496,0)</f>
        <v>0</v>
      </c>
      <c r="K1496" s="32" t="n">
        <f aca="false">IF(G1496&gt;0,H1496/G1496,0)</f>
        <v>-0</v>
      </c>
      <c r="L1496" s="59" t="n">
        <f aca="false">H1496/Settings!$B$16</f>
        <v>-0</v>
      </c>
      <c r="M1496" s="59" t="n">
        <f aca="false">H1496/Settings!$B$20</f>
        <v>-0</v>
      </c>
      <c r="N1496" s="60" t="n">
        <f aca="false">E1496*Settings!$B$3</f>
        <v>0.0309861510798204</v>
      </c>
      <c r="O1496" s="60" t="n">
        <f aca="false">IF(E1496&gt;0,(F1496-N1496)/SQRT(E1496*Settings!$B$3*(1-Settings!$B$3)),0)</f>
        <v>-0.178821125934444</v>
      </c>
      <c r="P1496" s="60" t="n">
        <f aca="false">MAX(0,F1496-N1496)</f>
        <v>0</v>
      </c>
      <c r="Q1496" s="32" t="n">
        <f aca="false">(F1496+Settings!$B$7*Settings!$B$3)/(E1496+Settings!$B$7)</f>
        <v>0.0299865978191811</v>
      </c>
      <c r="R1496" s="61" t="n">
        <f aca="false">PERCENTRANK($H$2:$H$1780,H1496,6)</f>
        <v>0</v>
      </c>
      <c r="S1496" s="61" t="n">
        <f aca="false">PERCENTRANK($Q$2:$Q$1780,Q1496,6)</f>
        <v>0.486502</v>
      </c>
      <c r="T1496" s="61" t="n">
        <f aca="false">PERCENTRANK($F$2:$F$1780,F1496,6)</f>
        <v>0</v>
      </c>
      <c r="U1496" s="62" t="n">
        <f aca="false">IF(F1496&gt;0,(Settings!$B$8*T1496+Settings!$B$9*R1496+Settings!$B$10*S1496)/SUM(Settings!$B$8:$B$10),0)</f>
        <v>0</v>
      </c>
      <c r="V1496" s="56" t="str">
        <f aca="false">IF(U1496&gt;0,RANK(U1496,$U$2:$U$1780)+COUNTIF($U$2:U1496,U1496)-1,"")</f>
        <v/>
      </c>
      <c r="W1496" s="56" t="str">
        <f aca="false">IF(V1496="","",IF(V1496&lt;=Settings!$B$11,"1 - Fix first",IF(V1496&lt;=Settings!$B$12,"2 - Review","3 - Monitor")))</f>
        <v/>
      </c>
      <c r="X1496" s="56" t="str">
        <f aca="false">IF(AND(E1496&gt;=Settings!$B$4,F1496&gt;=Settings!$B$5,O1496&gt;=Settings!$B$6),"HIGH RATE","")</f>
        <v/>
      </c>
      <c r="Y1496" s="56" t="str">
        <f aca="false">IF(F1496&gt;0,RANK(F1496,$F$2:$F$1780)+COUNTIF($F$2:F1496,F1496)-1,"")</f>
        <v/>
      </c>
      <c r="Z1496" s="56" t="str">
        <f aca="false">IF(H1496&gt;0,RANK(H1496,$H$2:$H$1780)+COUNTIF($H$2:H1496,H1496)-1,"")</f>
        <v/>
      </c>
      <c r="AA1496" s="56" t="str">
        <f aca="false">IF(AC1496="","",RANK(AC1496,$AC$2:$AC$1780)+COUNTIF($AC$2:AC1496,AC1496)-1)</f>
        <v/>
      </c>
      <c r="AB1496" s="56" t="str">
        <f aca="false">IF(AD1496="","",RANK(AD1496,$AD$2:$AD$1780)+COUNTIF($AD$2:AD1496,AD1496)-1)</f>
        <v/>
      </c>
      <c r="AC1496" s="56" t="str">
        <f aca="false">IF(AND(F1496&gt;0,E1496&gt;=Settings!$B$4),J1496,"")</f>
        <v/>
      </c>
      <c r="AD1496" s="56" t="str">
        <f aca="false">IF(X1496="HIGH RATE",O1496,"")</f>
        <v/>
      </c>
    </row>
    <row r="1497" customFormat="false" ht="15" hidden="false" customHeight="false" outlineLevel="0" collapsed="false">
      <c r="A1497" s="56" t="s">
        <v>2921</v>
      </c>
      <c r="B1497" s="56" t="s">
        <v>2922</v>
      </c>
      <c r="C1497" s="56" t="s">
        <v>87</v>
      </c>
      <c r="D1497" s="56" t="str">
        <f aca="false">IFERROR(INDEX('Brand Map'!$B$4:$B$124,MATCH(C1497,'Brand Map'!$A$4:$A$124,0)),"Other")</f>
        <v>FYF</v>
      </c>
      <c r="E1497" s="57" t="n">
        <v>1</v>
      </c>
      <c r="F1497" s="57" t="n">
        <v>0</v>
      </c>
      <c r="G1497" s="58" t="n">
        <v>154.95</v>
      </c>
      <c r="H1497" s="58" t="n">
        <v>0</v>
      </c>
      <c r="I1497" s="58" t="n">
        <v>154.95</v>
      </c>
      <c r="J1497" s="32" t="n">
        <f aca="false">IF(E1497&gt;0,F1497/E1497,0)</f>
        <v>0</v>
      </c>
      <c r="K1497" s="32" t="n">
        <f aca="false">IF(G1497&gt;0,H1497/G1497,0)</f>
        <v>-0</v>
      </c>
      <c r="L1497" s="59" t="n">
        <f aca="false">H1497/Settings!$B$16</f>
        <v>-0</v>
      </c>
      <c r="M1497" s="59" t="n">
        <f aca="false">H1497/Settings!$B$20</f>
        <v>-0</v>
      </c>
      <c r="N1497" s="60" t="n">
        <f aca="false">E1497*Settings!$B$3</f>
        <v>0.0309861510798204</v>
      </c>
      <c r="O1497" s="60" t="n">
        <f aca="false">IF(E1497&gt;0,(F1497-N1497)/SQRT(E1497*Settings!$B$3*(1-Settings!$B$3)),0)</f>
        <v>-0.178821125934444</v>
      </c>
      <c r="P1497" s="60" t="n">
        <f aca="false">MAX(0,F1497-N1497)</f>
        <v>0</v>
      </c>
      <c r="Q1497" s="32" t="n">
        <f aca="false">(F1497+Settings!$B$7*Settings!$B$3)/(E1497+Settings!$B$7)</f>
        <v>0.0299865978191811</v>
      </c>
      <c r="R1497" s="61" t="n">
        <f aca="false">PERCENTRANK($H$2:$H$1780,H1497,6)</f>
        <v>0</v>
      </c>
      <c r="S1497" s="61" t="n">
        <f aca="false">PERCENTRANK($Q$2:$Q$1780,Q1497,6)</f>
        <v>0.486502</v>
      </c>
      <c r="T1497" s="61" t="n">
        <f aca="false">PERCENTRANK($F$2:$F$1780,F1497,6)</f>
        <v>0</v>
      </c>
      <c r="U1497" s="62" t="n">
        <f aca="false">IF(F1497&gt;0,(Settings!$B$8*T1497+Settings!$B$9*R1497+Settings!$B$10*S1497)/SUM(Settings!$B$8:$B$10),0)</f>
        <v>0</v>
      </c>
      <c r="V1497" s="56" t="str">
        <f aca="false">IF(U1497&gt;0,RANK(U1497,$U$2:$U$1780)+COUNTIF($U$2:U1497,U1497)-1,"")</f>
        <v/>
      </c>
      <c r="W1497" s="56" t="str">
        <f aca="false">IF(V1497="","",IF(V1497&lt;=Settings!$B$11,"1 - Fix first",IF(V1497&lt;=Settings!$B$12,"2 - Review","3 - Monitor")))</f>
        <v/>
      </c>
      <c r="X1497" s="56" t="str">
        <f aca="false">IF(AND(E1497&gt;=Settings!$B$4,F1497&gt;=Settings!$B$5,O1497&gt;=Settings!$B$6),"HIGH RATE","")</f>
        <v/>
      </c>
      <c r="Y1497" s="56" t="str">
        <f aca="false">IF(F1497&gt;0,RANK(F1497,$F$2:$F$1780)+COUNTIF($F$2:F1497,F1497)-1,"")</f>
        <v/>
      </c>
      <c r="Z1497" s="56" t="str">
        <f aca="false">IF(H1497&gt;0,RANK(H1497,$H$2:$H$1780)+COUNTIF($H$2:H1497,H1497)-1,"")</f>
        <v/>
      </c>
      <c r="AA1497" s="56" t="str">
        <f aca="false">IF(AC1497="","",RANK(AC1497,$AC$2:$AC$1780)+COUNTIF($AC$2:AC1497,AC1497)-1)</f>
        <v/>
      </c>
      <c r="AB1497" s="56" t="str">
        <f aca="false">IF(AD1497="","",RANK(AD1497,$AD$2:$AD$1780)+COUNTIF($AD$2:AD1497,AD1497)-1)</f>
        <v/>
      </c>
      <c r="AC1497" s="56" t="str">
        <f aca="false">IF(AND(F1497&gt;0,E1497&gt;=Settings!$B$4),J1497,"")</f>
        <v/>
      </c>
      <c r="AD1497" s="56" t="str">
        <f aca="false">IF(X1497="HIGH RATE",O1497,"")</f>
        <v/>
      </c>
    </row>
    <row r="1498" customFormat="false" ht="15" hidden="false" customHeight="false" outlineLevel="0" collapsed="false">
      <c r="A1498" s="56" t="s">
        <v>2923</v>
      </c>
      <c r="B1498" s="56" t="s">
        <v>2924</v>
      </c>
      <c r="C1498" s="56" t="s">
        <v>87</v>
      </c>
      <c r="D1498" s="56" t="str">
        <f aca="false">IFERROR(INDEX('Brand Map'!$B$4:$B$124,MATCH(C1498,'Brand Map'!$A$4:$A$124,0)),"Other")</f>
        <v>FYF</v>
      </c>
      <c r="E1498" s="57" t="n">
        <v>2</v>
      </c>
      <c r="F1498" s="57" t="n">
        <v>0</v>
      </c>
      <c r="G1498" s="58" t="n">
        <v>349.9</v>
      </c>
      <c r="H1498" s="58" t="n">
        <v>0</v>
      </c>
      <c r="I1498" s="58" t="n">
        <v>349.9</v>
      </c>
      <c r="J1498" s="32" t="n">
        <f aca="false">IF(E1498&gt;0,F1498/E1498,0)</f>
        <v>0</v>
      </c>
      <c r="K1498" s="32" t="n">
        <f aca="false">IF(G1498&gt;0,H1498/G1498,0)</f>
        <v>-0</v>
      </c>
      <c r="L1498" s="59" t="n">
        <f aca="false">H1498/Settings!$B$16</f>
        <v>-0</v>
      </c>
      <c r="M1498" s="59" t="n">
        <f aca="false">H1498/Settings!$B$20</f>
        <v>-0</v>
      </c>
      <c r="N1498" s="60" t="n">
        <f aca="false">E1498*Settings!$B$3</f>
        <v>0.0619723021596408</v>
      </c>
      <c r="O1498" s="60" t="n">
        <f aca="false">IF(E1498&gt;0,(F1498-N1498)/SQRT(E1498*Settings!$B$3*(1-Settings!$B$3)),0)</f>
        <v>-0.252891261535318</v>
      </c>
      <c r="P1498" s="60" t="n">
        <f aca="false">MAX(0,F1498-N1498)</f>
        <v>0</v>
      </c>
      <c r="Q1498" s="32" t="n">
        <f aca="false">(F1498+Settings!$B$7*Settings!$B$3)/(E1498+Settings!$B$7)</f>
        <v>0.0290495166373316</v>
      </c>
      <c r="R1498" s="61" t="n">
        <f aca="false">PERCENTRANK($H$2:$H$1780,H1498,6)</f>
        <v>0</v>
      </c>
      <c r="S1498" s="61" t="n">
        <f aca="false">PERCENTRANK($Q$2:$Q$1780,Q1498,6)</f>
        <v>0.365579</v>
      </c>
      <c r="T1498" s="61" t="n">
        <f aca="false">PERCENTRANK($F$2:$F$1780,F1498,6)</f>
        <v>0</v>
      </c>
      <c r="U1498" s="62" t="n">
        <f aca="false">IF(F1498&gt;0,(Settings!$B$8*T1498+Settings!$B$9*R1498+Settings!$B$10*S1498)/SUM(Settings!$B$8:$B$10),0)</f>
        <v>0</v>
      </c>
      <c r="V1498" s="56" t="str">
        <f aca="false">IF(U1498&gt;0,RANK(U1498,$U$2:$U$1780)+COUNTIF($U$2:U1498,U1498)-1,"")</f>
        <v/>
      </c>
      <c r="W1498" s="56" t="str">
        <f aca="false">IF(V1498="","",IF(V1498&lt;=Settings!$B$11,"1 - Fix first",IF(V1498&lt;=Settings!$B$12,"2 - Review","3 - Monitor")))</f>
        <v/>
      </c>
      <c r="X1498" s="56" t="str">
        <f aca="false">IF(AND(E1498&gt;=Settings!$B$4,F1498&gt;=Settings!$B$5,O1498&gt;=Settings!$B$6),"HIGH RATE","")</f>
        <v/>
      </c>
      <c r="Y1498" s="56" t="str">
        <f aca="false">IF(F1498&gt;0,RANK(F1498,$F$2:$F$1780)+COUNTIF($F$2:F1498,F1498)-1,"")</f>
        <v/>
      </c>
      <c r="Z1498" s="56" t="str">
        <f aca="false">IF(H1498&gt;0,RANK(H1498,$H$2:$H$1780)+COUNTIF($H$2:H1498,H1498)-1,"")</f>
        <v/>
      </c>
      <c r="AA1498" s="56" t="str">
        <f aca="false">IF(AC1498="","",RANK(AC1498,$AC$2:$AC$1780)+COUNTIF($AC$2:AC1498,AC1498)-1)</f>
        <v/>
      </c>
      <c r="AB1498" s="56" t="str">
        <f aca="false">IF(AD1498="","",RANK(AD1498,$AD$2:$AD$1780)+COUNTIF($AD$2:AD1498,AD1498)-1)</f>
        <v/>
      </c>
      <c r="AC1498" s="56" t="str">
        <f aca="false">IF(AND(F1498&gt;0,E1498&gt;=Settings!$B$4),J1498,"")</f>
        <v/>
      </c>
      <c r="AD1498" s="56" t="str">
        <f aca="false">IF(X1498="HIGH RATE",O1498,"")</f>
        <v/>
      </c>
    </row>
    <row r="1499" customFormat="false" ht="15" hidden="false" customHeight="false" outlineLevel="0" collapsed="false">
      <c r="A1499" s="56" t="s">
        <v>2925</v>
      </c>
      <c r="B1499" s="56" t="s">
        <v>2926</v>
      </c>
      <c r="C1499" s="56" t="s">
        <v>87</v>
      </c>
      <c r="D1499" s="56" t="str">
        <f aca="false">IFERROR(INDEX('Brand Map'!$B$4:$B$124,MATCH(C1499,'Brand Map'!$A$4:$A$124,0)),"Other")</f>
        <v>FYF</v>
      </c>
      <c r="E1499" s="57" t="n">
        <v>8</v>
      </c>
      <c r="F1499" s="57" t="n">
        <v>0</v>
      </c>
      <c r="G1499" s="58" t="n">
        <v>519.6</v>
      </c>
      <c r="H1499" s="58" t="n">
        <v>0</v>
      </c>
      <c r="I1499" s="58" t="n">
        <v>519.6</v>
      </c>
      <c r="J1499" s="32" t="n">
        <f aca="false">IF(E1499&gt;0,F1499/E1499,0)</f>
        <v>0</v>
      </c>
      <c r="K1499" s="32" t="n">
        <f aca="false">IF(G1499&gt;0,H1499/G1499,0)</f>
        <v>-0</v>
      </c>
      <c r="L1499" s="59" t="n">
        <f aca="false">H1499/Settings!$B$16</f>
        <v>-0</v>
      </c>
      <c r="M1499" s="59" t="n">
        <f aca="false">H1499/Settings!$B$20</f>
        <v>-0</v>
      </c>
      <c r="N1499" s="60" t="n">
        <f aca="false">E1499*Settings!$B$3</f>
        <v>0.247889208638563</v>
      </c>
      <c r="O1499" s="60" t="n">
        <f aca="false">IF(E1499&gt;0,(F1499-N1499)/SQRT(E1499*Settings!$B$3*(1-Settings!$B$3)),0)</f>
        <v>-0.505782523070636</v>
      </c>
      <c r="P1499" s="60" t="n">
        <f aca="false">MAX(0,F1499-N1499)</f>
        <v>0</v>
      </c>
      <c r="Q1499" s="32" t="n">
        <f aca="false">(F1499+Settings!$B$7*Settings!$B$3)/(E1499+Settings!$B$7)</f>
        <v>0.0244627508524898</v>
      </c>
      <c r="R1499" s="61" t="n">
        <f aca="false">PERCENTRANK($H$2:$H$1780,H1499,6)</f>
        <v>0</v>
      </c>
      <c r="S1499" s="61" t="n">
        <f aca="false">PERCENTRANK($Q$2:$Q$1780,Q1499,6)</f>
        <v>0.154668</v>
      </c>
      <c r="T1499" s="61" t="n">
        <f aca="false">PERCENTRANK($F$2:$F$1780,F1499,6)</f>
        <v>0</v>
      </c>
      <c r="U1499" s="62" t="n">
        <f aca="false">IF(F1499&gt;0,(Settings!$B$8*T1499+Settings!$B$9*R1499+Settings!$B$10*S1499)/SUM(Settings!$B$8:$B$10),0)</f>
        <v>0</v>
      </c>
      <c r="V1499" s="56" t="str">
        <f aca="false">IF(U1499&gt;0,RANK(U1499,$U$2:$U$1780)+COUNTIF($U$2:U1499,U1499)-1,"")</f>
        <v/>
      </c>
      <c r="W1499" s="56" t="str">
        <f aca="false">IF(V1499="","",IF(V1499&lt;=Settings!$B$11,"1 - Fix first",IF(V1499&lt;=Settings!$B$12,"2 - Review","3 - Monitor")))</f>
        <v/>
      </c>
      <c r="X1499" s="56" t="str">
        <f aca="false">IF(AND(E1499&gt;=Settings!$B$4,F1499&gt;=Settings!$B$5,O1499&gt;=Settings!$B$6),"HIGH RATE","")</f>
        <v/>
      </c>
      <c r="Y1499" s="56" t="str">
        <f aca="false">IF(F1499&gt;0,RANK(F1499,$F$2:$F$1780)+COUNTIF($F$2:F1499,F1499)-1,"")</f>
        <v/>
      </c>
      <c r="Z1499" s="56" t="str">
        <f aca="false">IF(H1499&gt;0,RANK(H1499,$H$2:$H$1780)+COUNTIF($H$2:H1499,H1499)-1,"")</f>
        <v/>
      </c>
      <c r="AA1499" s="56" t="str">
        <f aca="false">IF(AC1499="","",RANK(AC1499,$AC$2:$AC$1780)+COUNTIF($AC$2:AC1499,AC1499)-1)</f>
        <v/>
      </c>
      <c r="AB1499" s="56" t="str">
        <f aca="false">IF(AD1499="","",RANK(AD1499,$AD$2:$AD$1780)+COUNTIF($AD$2:AD1499,AD1499)-1)</f>
        <v/>
      </c>
      <c r="AC1499" s="56" t="str">
        <f aca="false">IF(AND(F1499&gt;0,E1499&gt;=Settings!$B$4),J1499,"")</f>
        <v/>
      </c>
      <c r="AD1499" s="56" t="str">
        <f aca="false">IF(X1499="HIGH RATE",O1499,"")</f>
        <v/>
      </c>
    </row>
    <row r="1500" customFormat="false" ht="15" hidden="false" customHeight="false" outlineLevel="0" collapsed="false">
      <c r="A1500" s="56" t="s">
        <v>2927</v>
      </c>
      <c r="B1500" s="56" t="s">
        <v>2926</v>
      </c>
      <c r="C1500" s="56" t="s">
        <v>87</v>
      </c>
      <c r="D1500" s="56" t="str">
        <f aca="false">IFERROR(INDEX('Brand Map'!$B$4:$B$124,MATCH(C1500,'Brand Map'!$A$4:$A$124,0)),"Other")</f>
        <v>FYF</v>
      </c>
      <c r="E1500" s="57" t="n">
        <v>1</v>
      </c>
      <c r="F1500" s="57" t="n">
        <v>0</v>
      </c>
      <c r="G1500" s="58" t="n">
        <v>89.95</v>
      </c>
      <c r="H1500" s="58" t="n">
        <v>0</v>
      </c>
      <c r="I1500" s="58" t="n">
        <v>89.95</v>
      </c>
      <c r="J1500" s="32" t="n">
        <f aca="false">IF(E1500&gt;0,F1500/E1500,0)</f>
        <v>0</v>
      </c>
      <c r="K1500" s="32" t="n">
        <f aca="false">IF(G1500&gt;0,H1500/G1500,0)</f>
        <v>-0</v>
      </c>
      <c r="L1500" s="59" t="n">
        <f aca="false">H1500/Settings!$B$16</f>
        <v>-0</v>
      </c>
      <c r="M1500" s="59" t="n">
        <f aca="false">H1500/Settings!$B$20</f>
        <v>-0</v>
      </c>
      <c r="N1500" s="60" t="n">
        <f aca="false">E1500*Settings!$B$3</f>
        <v>0.0309861510798204</v>
      </c>
      <c r="O1500" s="60" t="n">
        <f aca="false">IF(E1500&gt;0,(F1500-N1500)/SQRT(E1500*Settings!$B$3*(1-Settings!$B$3)),0)</f>
        <v>-0.178821125934444</v>
      </c>
      <c r="P1500" s="60" t="n">
        <f aca="false">MAX(0,F1500-N1500)</f>
        <v>0</v>
      </c>
      <c r="Q1500" s="32" t="n">
        <f aca="false">(F1500+Settings!$B$7*Settings!$B$3)/(E1500+Settings!$B$7)</f>
        <v>0.0299865978191811</v>
      </c>
      <c r="R1500" s="61" t="n">
        <f aca="false">PERCENTRANK($H$2:$H$1780,H1500,6)</f>
        <v>0</v>
      </c>
      <c r="S1500" s="61" t="n">
        <f aca="false">PERCENTRANK($Q$2:$Q$1780,Q1500,6)</f>
        <v>0.486502</v>
      </c>
      <c r="T1500" s="61" t="n">
        <f aca="false">PERCENTRANK($F$2:$F$1780,F1500,6)</f>
        <v>0</v>
      </c>
      <c r="U1500" s="62" t="n">
        <f aca="false">IF(F1500&gt;0,(Settings!$B$8*T1500+Settings!$B$9*R1500+Settings!$B$10*S1500)/SUM(Settings!$B$8:$B$10),0)</f>
        <v>0</v>
      </c>
      <c r="V1500" s="56" t="str">
        <f aca="false">IF(U1500&gt;0,RANK(U1500,$U$2:$U$1780)+COUNTIF($U$2:U1500,U1500)-1,"")</f>
        <v/>
      </c>
      <c r="W1500" s="56" t="str">
        <f aca="false">IF(V1500="","",IF(V1500&lt;=Settings!$B$11,"1 - Fix first",IF(V1500&lt;=Settings!$B$12,"2 - Review","3 - Monitor")))</f>
        <v/>
      </c>
      <c r="X1500" s="56" t="str">
        <f aca="false">IF(AND(E1500&gt;=Settings!$B$4,F1500&gt;=Settings!$B$5,O1500&gt;=Settings!$B$6),"HIGH RATE","")</f>
        <v/>
      </c>
      <c r="Y1500" s="56" t="str">
        <f aca="false">IF(F1500&gt;0,RANK(F1500,$F$2:$F$1780)+COUNTIF($F$2:F1500,F1500)-1,"")</f>
        <v/>
      </c>
      <c r="Z1500" s="56" t="str">
        <f aca="false">IF(H1500&gt;0,RANK(H1500,$H$2:$H$1780)+COUNTIF($H$2:H1500,H1500)-1,"")</f>
        <v/>
      </c>
      <c r="AA1500" s="56" t="str">
        <f aca="false">IF(AC1500="","",RANK(AC1500,$AC$2:$AC$1780)+COUNTIF($AC$2:AC1500,AC1500)-1)</f>
        <v/>
      </c>
      <c r="AB1500" s="56" t="str">
        <f aca="false">IF(AD1500="","",RANK(AD1500,$AD$2:$AD$1780)+COUNTIF($AD$2:AD1500,AD1500)-1)</f>
        <v/>
      </c>
      <c r="AC1500" s="56" t="str">
        <f aca="false">IF(AND(F1500&gt;0,E1500&gt;=Settings!$B$4),J1500,"")</f>
        <v/>
      </c>
      <c r="AD1500" s="56" t="str">
        <f aca="false">IF(X1500="HIGH RATE",O1500,"")</f>
        <v/>
      </c>
    </row>
    <row r="1501" customFormat="false" ht="15" hidden="false" customHeight="false" outlineLevel="0" collapsed="false">
      <c r="A1501" s="56" t="s">
        <v>2928</v>
      </c>
      <c r="B1501" s="56" t="s">
        <v>2929</v>
      </c>
      <c r="C1501" s="56" t="s">
        <v>87</v>
      </c>
      <c r="D1501" s="56" t="str">
        <f aca="false">IFERROR(INDEX('Brand Map'!$B$4:$B$124,MATCH(C1501,'Brand Map'!$A$4:$A$124,0)),"Other")</f>
        <v>FYF</v>
      </c>
      <c r="E1501" s="57" t="n">
        <v>3</v>
      </c>
      <c r="F1501" s="57" t="n">
        <v>0</v>
      </c>
      <c r="G1501" s="58" t="n">
        <v>59.97</v>
      </c>
      <c r="H1501" s="58" t="n">
        <v>0</v>
      </c>
      <c r="I1501" s="58" t="n">
        <v>59.97</v>
      </c>
      <c r="J1501" s="32" t="n">
        <f aca="false">IF(E1501&gt;0,F1501/E1501,0)</f>
        <v>0</v>
      </c>
      <c r="K1501" s="32" t="n">
        <f aca="false">IF(G1501&gt;0,H1501/G1501,0)</f>
        <v>-0</v>
      </c>
      <c r="L1501" s="59" t="n">
        <f aca="false">H1501/Settings!$B$16</f>
        <v>-0</v>
      </c>
      <c r="M1501" s="59" t="n">
        <f aca="false">H1501/Settings!$B$20</f>
        <v>-0</v>
      </c>
      <c r="N1501" s="60" t="n">
        <f aca="false">E1501*Settings!$B$3</f>
        <v>0.0929584532394613</v>
      </c>
      <c r="O1501" s="60" t="n">
        <f aca="false">IF(E1501&gt;0,(F1501-N1501)/SQRT(E1501*Settings!$B$3*(1-Settings!$B$3)),0)</f>
        <v>-0.30972727558513</v>
      </c>
      <c r="P1501" s="60" t="n">
        <f aca="false">MAX(0,F1501-N1501)</f>
        <v>0</v>
      </c>
      <c r="Q1501" s="32" t="n">
        <f aca="false">(F1501+Settings!$B$7*Settings!$B$3)/(E1501+Settings!$B$7)</f>
        <v>0.0281692282543822</v>
      </c>
      <c r="R1501" s="61" t="n">
        <f aca="false">PERCENTRANK($H$2:$H$1780,H1501,6)</f>
        <v>0</v>
      </c>
      <c r="S1501" s="61" t="n">
        <f aca="false">PERCENTRANK($Q$2:$Q$1780,Q1501,6)</f>
        <v>0.294151</v>
      </c>
      <c r="T1501" s="61" t="n">
        <f aca="false">PERCENTRANK($F$2:$F$1780,F1501,6)</f>
        <v>0</v>
      </c>
      <c r="U1501" s="62" t="n">
        <f aca="false">IF(F1501&gt;0,(Settings!$B$8*T1501+Settings!$B$9*R1501+Settings!$B$10*S1501)/SUM(Settings!$B$8:$B$10),0)</f>
        <v>0</v>
      </c>
      <c r="V1501" s="56" t="str">
        <f aca="false">IF(U1501&gt;0,RANK(U1501,$U$2:$U$1780)+COUNTIF($U$2:U1501,U1501)-1,"")</f>
        <v/>
      </c>
      <c r="W1501" s="56" t="str">
        <f aca="false">IF(V1501="","",IF(V1501&lt;=Settings!$B$11,"1 - Fix first",IF(V1501&lt;=Settings!$B$12,"2 - Review","3 - Monitor")))</f>
        <v/>
      </c>
      <c r="X1501" s="56" t="str">
        <f aca="false">IF(AND(E1501&gt;=Settings!$B$4,F1501&gt;=Settings!$B$5,O1501&gt;=Settings!$B$6),"HIGH RATE","")</f>
        <v/>
      </c>
      <c r="Y1501" s="56" t="str">
        <f aca="false">IF(F1501&gt;0,RANK(F1501,$F$2:$F$1780)+COUNTIF($F$2:F1501,F1501)-1,"")</f>
        <v/>
      </c>
      <c r="Z1501" s="56" t="str">
        <f aca="false">IF(H1501&gt;0,RANK(H1501,$H$2:$H$1780)+COUNTIF($H$2:H1501,H1501)-1,"")</f>
        <v/>
      </c>
      <c r="AA1501" s="56" t="str">
        <f aca="false">IF(AC1501="","",RANK(AC1501,$AC$2:$AC$1780)+COUNTIF($AC$2:AC1501,AC1501)-1)</f>
        <v/>
      </c>
      <c r="AB1501" s="56" t="str">
        <f aca="false">IF(AD1501="","",RANK(AD1501,$AD$2:$AD$1780)+COUNTIF($AD$2:AD1501,AD1501)-1)</f>
        <v/>
      </c>
      <c r="AC1501" s="56" t="str">
        <f aca="false">IF(AND(F1501&gt;0,E1501&gt;=Settings!$B$4),J1501,"")</f>
        <v/>
      </c>
      <c r="AD1501" s="56" t="str">
        <f aca="false">IF(X1501="HIGH RATE",O1501,"")</f>
        <v/>
      </c>
    </row>
    <row r="1502" customFormat="false" ht="15" hidden="false" customHeight="false" outlineLevel="0" collapsed="false">
      <c r="A1502" s="56" t="s">
        <v>2930</v>
      </c>
      <c r="B1502" s="56" t="s">
        <v>2929</v>
      </c>
      <c r="C1502" s="56" t="s">
        <v>87</v>
      </c>
      <c r="D1502" s="56" t="str">
        <f aca="false">IFERROR(INDEX('Brand Map'!$B$4:$B$124,MATCH(C1502,'Brand Map'!$A$4:$A$124,0)),"Other")</f>
        <v>FYF</v>
      </c>
      <c r="E1502" s="57" t="n">
        <v>6</v>
      </c>
      <c r="F1502" s="57" t="n">
        <v>0</v>
      </c>
      <c r="G1502" s="58" t="n">
        <v>119.94</v>
      </c>
      <c r="H1502" s="58" t="n">
        <v>0</v>
      </c>
      <c r="I1502" s="58" t="n">
        <v>119.94</v>
      </c>
      <c r="J1502" s="32" t="n">
        <f aca="false">IF(E1502&gt;0,F1502/E1502,0)</f>
        <v>0</v>
      </c>
      <c r="K1502" s="32" t="n">
        <f aca="false">IF(G1502&gt;0,H1502/G1502,0)</f>
        <v>-0</v>
      </c>
      <c r="L1502" s="59" t="n">
        <f aca="false">H1502/Settings!$B$16</f>
        <v>-0</v>
      </c>
      <c r="M1502" s="59" t="n">
        <f aca="false">H1502/Settings!$B$20</f>
        <v>-0</v>
      </c>
      <c r="N1502" s="60" t="n">
        <f aca="false">E1502*Settings!$B$3</f>
        <v>0.185916906478923</v>
      </c>
      <c r="O1502" s="60" t="n">
        <f aca="false">IF(E1502&gt;0,(F1502-N1502)/SQRT(E1502*Settings!$B$3*(1-Settings!$B$3)),0)</f>
        <v>-0.43802051376936</v>
      </c>
      <c r="P1502" s="60" t="n">
        <f aca="false">MAX(0,F1502-N1502)</f>
        <v>0</v>
      </c>
      <c r="Q1502" s="32" t="n">
        <f aca="false">(F1502+Settings!$B$7*Settings!$B$3)/(E1502+Settings!$B$7)</f>
        <v>0.025821792566517</v>
      </c>
      <c r="R1502" s="61" t="n">
        <f aca="false">PERCENTRANK($H$2:$H$1780,H1502,6)</f>
        <v>0</v>
      </c>
      <c r="S1502" s="61" t="n">
        <f aca="false">PERCENTRANK($Q$2:$Q$1780,Q1502,6)</f>
        <v>0.189539</v>
      </c>
      <c r="T1502" s="61" t="n">
        <f aca="false">PERCENTRANK($F$2:$F$1780,F1502,6)</f>
        <v>0</v>
      </c>
      <c r="U1502" s="62" t="n">
        <f aca="false">IF(F1502&gt;0,(Settings!$B$8*T1502+Settings!$B$9*R1502+Settings!$B$10*S1502)/SUM(Settings!$B$8:$B$10),0)</f>
        <v>0</v>
      </c>
      <c r="V1502" s="56" t="str">
        <f aca="false">IF(U1502&gt;0,RANK(U1502,$U$2:$U$1780)+COUNTIF($U$2:U1502,U1502)-1,"")</f>
        <v/>
      </c>
      <c r="W1502" s="56" t="str">
        <f aca="false">IF(V1502="","",IF(V1502&lt;=Settings!$B$11,"1 - Fix first",IF(V1502&lt;=Settings!$B$12,"2 - Review","3 - Monitor")))</f>
        <v/>
      </c>
      <c r="X1502" s="56" t="str">
        <f aca="false">IF(AND(E1502&gt;=Settings!$B$4,F1502&gt;=Settings!$B$5,O1502&gt;=Settings!$B$6),"HIGH RATE","")</f>
        <v/>
      </c>
      <c r="Y1502" s="56" t="str">
        <f aca="false">IF(F1502&gt;0,RANK(F1502,$F$2:$F$1780)+COUNTIF($F$2:F1502,F1502)-1,"")</f>
        <v/>
      </c>
      <c r="Z1502" s="56" t="str">
        <f aca="false">IF(H1502&gt;0,RANK(H1502,$H$2:$H$1780)+COUNTIF($H$2:H1502,H1502)-1,"")</f>
        <v/>
      </c>
      <c r="AA1502" s="56" t="str">
        <f aca="false">IF(AC1502="","",RANK(AC1502,$AC$2:$AC$1780)+COUNTIF($AC$2:AC1502,AC1502)-1)</f>
        <v/>
      </c>
      <c r="AB1502" s="56" t="str">
        <f aca="false">IF(AD1502="","",RANK(AD1502,$AD$2:$AD$1780)+COUNTIF($AD$2:AD1502,AD1502)-1)</f>
        <v/>
      </c>
      <c r="AC1502" s="56" t="str">
        <f aca="false">IF(AND(F1502&gt;0,E1502&gt;=Settings!$B$4),J1502,"")</f>
        <v/>
      </c>
      <c r="AD1502" s="56" t="str">
        <f aca="false">IF(X1502="HIGH RATE",O1502,"")</f>
        <v/>
      </c>
    </row>
    <row r="1503" customFormat="false" ht="15" hidden="false" customHeight="false" outlineLevel="0" collapsed="false">
      <c r="A1503" s="56" t="s">
        <v>2931</v>
      </c>
      <c r="B1503" s="56" t="s">
        <v>2929</v>
      </c>
      <c r="C1503" s="56" t="s">
        <v>87</v>
      </c>
      <c r="D1503" s="56" t="str">
        <f aca="false">IFERROR(INDEX('Brand Map'!$B$4:$B$124,MATCH(C1503,'Brand Map'!$A$4:$A$124,0)),"Other")</f>
        <v>FYF</v>
      </c>
      <c r="E1503" s="57" t="n">
        <v>4</v>
      </c>
      <c r="F1503" s="57" t="n">
        <v>0</v>
      </c>
      <c r="G1503" s="58" t="n">
        <v>75.96</v>
      </c>
      <c r="H1503" s="58" t="n">
        <v>0</v>
      </c>
      <c r="I1503" s="58" t="n">
        <v>75.96</v>
      </c>
      <c r="J1503" s="32" t="n">
        <f aca="false">IF(E1503&gt;0,F1503/E1503,0)</f>
        <v>0</v>
      </c>
      <c r="K1503" s="32" t="n">
        <f aca="false">IF(G1503&gt;0,H1503/G1503,0)</f>
        <v>-0</v>
      </c>
      <c r="L1503" s="59" t="n">
        <f aca="false">H1503/Settings!$B$16</f>
        <v>-0</v>
      </c>
      <c r="M1503" s="59" t="n">
        <f aca="false">H1503/Settings!$B$20</f>
        <v>-0</v>
      </c>
      <c r="N1503" s="60" t="n">
        <f aca="false">E1503*Settings!$B$3</f>
        <v>0.123944604319282</v>
      </c>
      <c r="O1503" s="60" t="n">
        <f aca="false">IF(E1503&gt;0,(F1503-N1503)/SQRT(E1503*Settings!$B$3*(1-Settings!$B$3)),0)</f>
        <v>-0.357642251868888</v>
      </c>
      <c r="P1503" s="60" t="n">
        <f aca="false">MAX(0,F1503-N1503)</f>
        <v>0</v>
      </c>
      <c r="Q1503" s="32" t="n">
        <f aca="false">(F1503+Settings!$B$7*Settings!$B$3)/(E1503+Settings!$B$7)</f>
        <v>0.027340721541018</v>
      </c>
      <c r="R1503" s="61" t="n">
        <f aca="false">PERCENTRANK($H$2:$H$1780,H1503,6)</f>
        <v>0</v>
      </c>
      <c r="S1503" s="61" t="n">
        <f aca="false">PERCENTRANK($Q$2:$Q$1780,Q1503,6)</f>
        <v>0.253656</v>
      </c>
      <c r="T1503" s="61" t="n">
        <f aca="false">PERCENTRANK($F$2:$F$1780,F1503,6)</f>
        <v>0</v>
      </c>
      <c r="U1503" s="62" t="n">
        <f aca="false">IF(F1503&gt;0,(Settings!$B$8*T1503+Settings!$B$9*R1503+Settings!$B$10*S1503)/SUM(Settings!$B$8:$B$10),0)</f>
        <v>0</v>
      </c>
      <c r="V1503" s="56" t="str">
        <f aca="false">IF(U1503&gt;0,RANK(U1503,$U$2:$U$1780)+COUNTIF($U$2:U1503,U1503)-1,"")</f>
        <v/>
      </c>
      <c r="W1503" s="56" t="str">
        <f aca="false">IF(V1503="","",IF(V1503&lt;=Settings!$B$11,"1 - Fix first",IF(V1503&lt;=Settings!$B$12,"2 - Review","3 - Monitor")))</f>
        <v/>
      </c>
      <c r="X1503" s="56" t="str">
        <f aca="false">IF(AND(E1503&gt;=Settings!$B$4,F1503&gt;=Settings!$B$5,O1503&gt;=Settings!$B$6),"HIGH RATE","")</f>
        <v/>
      </c>
      <c r="Y1503" s="56" t="str">
        <f aca="false">IF(F1503&gt;0,RANK(F1503,$F$2:$F$1780)+COUNTIF($F$2:F1503,F1503)-1,"")</f>
        <v/>
      </c>
      <c r="Z1503" s="56" t="str">
        <f aca="false">IF(H1503&gt;0,RANK(H1503,$H$2:$H$1780)+COUNTIF($H$2:H1503,H1503)-1,"")</f>
        <v/>
      </c>
      <c r="AA1503" s="56" t="str">
        <f aca="false">IF(AC1503="","",RANK(AC1503,$AC$2:$AC$1780)+COUNTIF($AC$2:AC1503,AC1503)-1)</f>
        <v/>
      </c>
      <c r="AB1503" s="56" t="str">
        <f aca="false">IF(AD1503="","",RANK(AD1503,$AD$2:$AD$1780)+COUNTIF($AD$2:AD1503,AD1503)-1)</f>
        <v/>
      </c>
      <c r="AC1503" s="56" t="str">
        <f aca="false">IF(AND(F1503&gt;0,E1503&gt;=Settings!$B$4),J1503,"")</f>
        <v/>
      </c>
      <c r="AD1503" s="56" t="str">
        <f aca="false">IF(X1503="HIGH RATE",O1503,"")</f>
        <v/>
      </c>
    </row>
    <row r="1504" customFormat="false" ht="15" hidden="false" customHeight="false" outlineLevel="0" collapsed="false">
      <c r="A1504" s="56" t="s">
        <v>2932</v>
      </c>
      <c r="B1504" s="56" t="s">
        <v>2929</v>
      </c>
      <c r="C1504" s="56" t="s">
        <v>87</v>
      </c>
      <c r="D1504" s="56" t="str">
        <f aca="false">IFERROR(INDEX('Brand Map'!$B$4:$B$124,MATCH(C1504,'Brand Map'!$A$4:$A$124,0)),"Other")</f>
        <v>FYF</v>
      </c>
      <c r="E1504" s="57" t="n">
        <v>2</v>
      </c>
      <c r="F1504" s="57" t="n">
        <v>0</v>
      </c>
      <c r="G1504" s="58" t="n">
        <v>37.98</v>
      </c>
      <c r="H1504" s="58" t="n">
        <v>0</v>
      </c>
      <c r="I1504" s="58" t="n">
        <v>37.98</v>
      </c>
      <c r="J1504" s="32" t="n">
        <f aca="false">IF(E1504&gt;0,F1504/E1504,0)</f>
        <v>0</v>
      </c>
      <c r="K1504" s="32" t="n">
        <f aca="false">IF(G1504&gt;0,H1504/G1504,0)</f>
        <v>-0</v>
      </c>
      <c r="L1504" s="59" t="n">
        <f aca="false">H1504/Settings!$B$16</f>
        <v>-0</v>
      </c>
      <c r="M1504" s="59" t="n">
        <f aca="false">H1504/Settings!$B$20</f>
        <v>-0</v>
      </c>
      <c r="N1504" s="60" t="n">
        <f aca="false">E1504*Settings!$B$3</f>
        <v>0.0619723021596408</v>
      </c>
      <c r="O1504" s="60" t="n">
        <f aca="false">IF(E1504&gt;0,(F1504-N1504)/SQRT(E1504*Settings!$B$3*(1-Settings!$B$3)),0)</f>
        <v>-0.252891261535318</v>
      </c>
      <c r="P1504" s="60" t="n">
        <f aca="false">MAX(0,F1504-N1504)</f>
        <v>0</v>
      </c>
      <c r="Q1504" s="32" t="n">
        <f aca="false">(F1504+Settings!$B$7*Settings!$B$3)/(E1504+Settings!$B$7)</f>
        <v>0.0290495166373316</v>
      </c>
      <c r="R1504" s="61" t="n">
        <f aca="false">PERCENTRANK($H$2:$H$1780,H1504,6)</f>
        <v>0</v>
      </c>
      <c r="S1504" s="61" t="n">
        <f aca="false">PERCENTRANK($Q$2:$Q$1780,Q1504,6)</f>
        <v>0.365579</v>
      </c>
      <c r="T1504" s="61" t="n">
        <f aca="false">PERCENTRANK($F$2:$F$1780,F1504,6)</f>
        <v>0</v>
      </c>
      <c r="U1504" s="62" t="n">
        <f aca="false">IF(F1504&gt;0,(Settings!$B$8*T1504+Settings!$B$9*R1504+Settings!$B$10*S1504)/SUM(Settings!$B$8:$B$10),0)</f>
        <v>0</v>
      </c>
      <c r="V1504" s="56" t="str">
        <f aca="false">IF(U1504&gt;0,RANK(U1504,$U$2:$U$1780)+COUNTIF($U$2:U1504,U1504)-1,"")</f>
        <v/>
      </c>
      <c r="W1504" s="56" t="str">
        <f aca="false">IF(V1504="","",IF(V1504&lt;=Settings!$B$11,"1 - Fix first",IF(V1504&lt;=Settings!$B$12,"2 - Review","3 - Monitor")))</f>
        <v/>
      </c>
      <c r="X1504" s="56" t="str">
        <f aca="false">IF(AND(E1504&gt;=Settings!$B$4,F1504&gt;=Settings!$B$5,O1504&gt;=Settings!$B$6),"HIGH RATE","")</f>
        <v/>
      </c>
      <c r="Y1504" s="56" t="str">
        <f aca="false">IF(F1504&gt;0,RANK(F1504,$F$2:$F$1780)+COUNTIF($F$2:F1504,F1504)-1,"")</f>
        <v/>
      </c>
      <c r="Z1504" s="56" t="str">
        <f aca="false">IF(H1504&gt;0,RANK(H1504,$H$2:$H$1780)+COUNTIF($H$2:H1504,H1504)-1,"")</f>
        <v/>
      </c>
      <c r="AA1504" s="56" t="str">
        <f aca="false">IF(AC1504="","",RANK(AC1504,$AC$2:$AC$1780)+COUNTIF($AC$2:AC1504,AC1504)-1)</f>
        <v/>
      </c>
      <c r="AB1504" s="56" t="str">
        <f aca="false">IF(AD1504="","",RANK(AD1504,$AD$2:$AD$1780)+COUNTIF($AD$2:AD1504,AD1504)-1)</f>
        <v/>
      </c>
      <c r="AC1504" s="56" t="str">
        <f aca="false">IF(AND(F1504&gt;0,E1504&gt;=Settings!$B$4),J1504,"")</f>
        <v/>
      </c>
      <c r="AD1504" s="56" t="str">
        <f aca="false">IF(X1504="HIGH RATE",O1504,"")</f>
        <v/>
      </c>
    </row>
    <row r="1505" customFormat="false" ht="15" hidden="false" customHeight="false" outlineLevel="0" collapsed="false">
      <c r="A1505" s="56" t="s">
        <v>2933</v>
      </c>
      <c r="B1505" s="56" t="s">
        <v>2929</v>
      </c>
      <c r="C1505" s="56" t="s">
        <v>87</v>
      </c>
      <c r="D1505" s="56" t="str">
        <f aca="false">IFERROR(INDEX('Brand Map'!$B$4:$B$124,MATCH(C1505,'Brand Map'!$A$4:$A$124,0)),"Other")</f>
        <v>FYF</v>
      </c>
      <c r="E1505" s="57" t="n">
        <v>1</v>
      </c>
      <c r="F1505" s="57" t="n">
        <v>0</v>
      </c>
      <c r="G1505" s="58" t="n">
        <v>19.99</v>
      </c>
      <c r="H1505" s="58" t="n">
        <v>0</v>
      </c>
      <c r="I1505" s="58" t="n">
        <v>19.99</v>
      </c>
      <c r="J1505" s="32" t="n">
        <f aca="false">IF(E1505&gt;0,F1505/E1505,0)</f>
        <v>0</v>
      </c>
      <c r="K1505" s="32" t="n">
        <f aca="false">IF(G1505&gt;0,H1505/G1505,0)</f>
        <v>-0</v>
      </c>
      <c r="L1505" s="59" t="n">
        <f aca="false">H1505/Settings!$B$16</f>
        <v>-0</v>
      </c>
      <c r="M1505" s="59" t="n">
        <f aca="false">H1505/Settings!$B$20</f>
        <v>-0</v>
      </c>
      <c r="N1505" s="60" t="n">
        <f aca="false">E1505*Settings!$B$3</f>
        <v>0.0309861510798204</v>
      </c>
      <c r="O1505" s="60" t="n">
        <f aca="false">IF(E1505&gt;0,(F1505-N1505)/SQRT(E1505*Settings!$B$3*(1-Settings!$B$3)),0)</f>
        <v>-0.178821125934444</v>
      </c>
      <c r="P1505" s="60" t="n">
        <f aca="false">MAX(0,F1505-N1505)</f>
        <v>0</v>
      </c>
      <c r="Q1505" s="32" t="n">
        <f aca="false">(F1505+Settings!$B$7*Settings!$B$3)/(E1505+Settings!$B$7)</f>
        <v>0.0299865978191811</v>
      </c>
      <c r="R1505" s="61" t="n">
        <f aca="false">PERCENTRANK($H$2:$H$1780,H1505,6)</f>
        <v>0</v>
      </c>
      <c r="S1505" s="61" t="n">
        <f aca="false">PERCENTRANK($Q$2:$Q$1780,Q1505,6)</f>
        <v>0.486502</v>
      </c>
      <c r="T1505" s="61" t="n">
        <f aca="false">PERCENTRANK($F$2:$F$1780,F1505,6)</f>
        <v>0</v>
      </c>
      <c r="U1505" s="62" t="n">
        <f aca="false">IF(F1505&gt;0,(Settings!$B$8*T1505+Settings!$B$9*R1505+Settings!$B$10*S1505)/SUM(Settings!$B$8:$B$10),0)</f>
        <v>0</v>
      </c>
      <c r="V1505" s="56" t="str">
        <f aca="false">IF(U1505&gt;0,RANK(U1505,$U$2:$U$1780)+COUNTIF($U$2:U1505,U1505)-1,"")</f>
        <v/>
      </c>
      <c r="W1505" s="56" t="str">
        <f aca="false">IF(V1505="","",IF(V1505&lt;=Settings!$B$11,"1 - Fix first",IF(V1505&lt;=Settings!$B$12,"2 - Review","3 - Monitor")))</f>
        <v/>
      </c>
      <c r="X1505" s="56" t="str">
        <f aca="false">IF(AND(E1505&gt;=Settings!$B$4,F1505&gt;=Settings!$B$5,O1505&gt;=Settings!$B$6),"HIGH RATE","")</f>
        <v/>
      </c>
      <c r="Y1505" s="56" t="str">
        <f aca="false">IF(F1505&gt;0,RANK(F1505,$F$2:$F$1780)+COUNTIF($F$2:F1505,F1505)-1,"")</f>
        <v/>
      </c>
      <c r="Z1505" s="56" t="str">
        <f aca="false">IF(H1505&gt;0,RANK(H1505,$H$2:$H$1780)+COUNTIF($H$2:H1505,H1505)-1,"")</f>
        <v/>
      </c>
      <c r="AA1505" s="56" t="str">
        <f aca="false">IF(AC1505="","",RANK(AC1505,$AC$2:$AC$1780)+COUNTIF($AC$2:AC1505,AC1505)-1)</f>
        <v/>
      </c>
      <c r="AB1505" s="56" t="str">
        <f aca="false">IF(AD1505="","",RANK(AD1505,$AD$2:$AD$1780)+COUNTIF($AD$2:AD1505,AD1505)-1)</f>
        <v/>
      </c>
      <c r="AC1505" s="56" t="str">
        <f aca="false">IF(AND(F1505&gt;0,E1505&gt;=Settings!$B$4),J1505,"")</f>
        <v/>
      </c>
      <c r="AD1505" s="56" t="str">
        <f aca="false">IF(X1505="HIGH RATE",O1505,"")</f>
        <v/>
      </c>
    </row>
    <row r="1506" customFormat="false" ht="15" hidden="false" customHeight="false" outlineLevel="0" collapsed="false">
      <c r="A1506" s="56" t="s">
        <v>2934</v>
      </c>
      <c r="B1506" s="56" t="s">
        <v>2935</v>
      </c>
      <c r="C1506" s="56" t="s">
        <v>87</v>
      </c>
      <c r="D1506" s="56" t="str">
        <f aca="false">IFERROR(INDEX('Brand Map'!$B$4:$B$124,MATCH(C1506,'Brand Map'!$A$4:$A$124,0)),"Other")</f>
        <v>FYF</v>
      </c>
      <c r="E1506" s="57" t="n">
        <v>12</v>
      </c>
      <c r="F1506" s="57" t="n">
        <v>0</v>
      </c>
      <c r="G1506" s="58" t="n">
        <v>599.4</v>
      </c>
      <c r="H1506" s="58" t="n">
        <v>0</v>
      </c>
      <c r="I1506" s="58" t="n">
        <v>599.4</v>
      </c>
      <c r="J1506" s="32" t="n">
        <f aca="false">IF(E1506&gt;0,F1506/E1506,0)</f>
        <v>0</v>
      </c>
      <c r="K1506" s="32" t="n">
        <f aca="false">IF(G1506&gt;0,H1506/G1506,0)</f>
        <v>-0</v>
      </c>
      <c r="L1506" s="59" t="n">
        <f aca="false">H1506/Settings!$B$16</f>
        <v>-0</v>
      </c>
      <c r="M1506" s="59" t="n">
        <f aca="false">H1506/Settings!$B$20</f>
        <v>-0</v>
      </c>
      <c r="N1506" s="60" t="n">
        <f aca="false">E1506*Settings!$B$3</f>
        <v>0.371833812957845</v>
      </c>
      <c r="O1506" s="60" t="n">
        <f aca="false">IF(E1506&gt;0,(F1506-N1506)/SQRT(E1506*Settings!$B$3*(1-Settings!$B$3)),0)</f>
        <v>-0.61945455117026</v>
      </c>
      <c r="P1506" s="60" t="n">
        <f aca="false">MAX(0,F1506-N1506)</f>
        <v>0</v>
      </c>
      <c r="Q1506" s="32" t="n">
        <f aca="false">(F1506+Settings!$B$7*Settings!$B$3)/(E1506+Settings!$B$7)</f>
        <v>0.0221329650570146</v>
      </c>
      <c r="R1506" s="61" t="n">
        <f aca="false">PERCENTRANK($H$2:$H$1780,H1506,6)</f>
        <v>0</v>
      </c>
      <c r="S1506" s="61" t="n">
        <f aca="false">PERCENTRANK($Q$2:$Q$1780,Q1506,6)</f>
        <v>0.109674</v>
      </c>
      <c r="T1506" s="61" t="n">
        <f aca="false">PERCENTRANK($F$2:$F$1780,F1506,6)</f>
        <v>0</v>
      </c>
      <c r="U1506" s="62" t="n">
        <f aca="false">IF(F1506&gt;0,(Settings!$B$8*T1506+Settings!$B$9*R1506+Settings!$B$10*S1506)/SUM(Settings!$B$8:$B$10),0)</f>
        <v>0</v>
      </c>
      <c r="V1506" s="56" t="str">
        <f aca="false">IF(U1506&gt;0,RANK(U1506,$U$2:$U$1780)+COUNTIF($U$2:U1506,U1506)-1,"")</f>
        <v/>
      </c>
      <c r="W1506" s="56" t="str">
        <f aca="false">IF(V1506="","",IF(V1506&lt;=Settings!$B$11,"1 - Fix first",IF(V1506&lt;=Settings!$B$12,"2 - Review","3 - Monitor")))</f>
        <v/>
      </c>
      <c r="X1506" s="56" t="str">
        <f aca="false">IF(AND(E1506&gt;=Settings!$B$4,F1506&gt;=Settings!$B$5,O1506&gt;=Settings!$B$6),"HIGH RATE","")</f>
        <v/>
      </c>
      <c r="Y1506" s="56" t="str">
        <f aca="false">IF(F1506&gt;0,RANK(F1506,$F$2:$F$1780)+COUNTIF($F$2:F1506,F1506)-1,"")</f>
        <v/>
      </c>
      <c r="Z1506" s="56" t="str">
        <f aca="false">IF(H1506&gt;0,RANK(H1506,$H$2:$H$1780)+COUNTIF($H$2:H1506,H1506)-1,"")</f>
        <v/>
      </c>
      <c r="AA1506" s="56" t="str">
        <f aca="false">IF(AC1506="","",RANK(AC1506,$AC$2:$AC$1780)+COUNTIF($AC$2:AC1506,AC1506)-1)</f>
        <v/>
      </c>
      <c r="AB1506" s="56" t="str">
        <f aca="false">IF(AD1506="","",RANK(AD1506,$AD$2:$AD$1780)+COUNTIF($AD$2:AD1506,AD1506)-1)</f>
        <v/>
      </c>
      <c r="AC1506" s="56" t="str">
        <f aca="false">IF(AND(F1506&gt;0,E1506&gt;=Settings!$B$4),J1506,"")</f>
        <v/>
      </c>
      <c r="AD1506" s="56" t="str">
        <f aca="false">IF(X1506="HIGH RATE",O1506,"")</f>
        <v/>
      </c>
    </row>
    <row r="1507" customFormat="false" ht="15" hidden="false" customHeight="false" outlineLevel="0" collapsed="false">
      <c r="A1507" s="56" t="s">
        <v>2936</v>
      </c>
      <c r="B1507" s="56" t="s">
        <v>2935</v>
      </c>
      <c r="C1507" s="56" t="s">
        <v>87</v>
      </c>
      <c r="D1507" s="56" t="str">
        <f aca="false">IFERROR(INDEX('Brand Map'!$B$4:$B$124,MATCH(C1507,'Brand Map'!$A$4:$A$124,0)),"Other")</f>
        <v>FYF</v>
      </c>
      <c r="E1507" s="57" t="n">
        <v>1</v>
      </c>
      <c r="F1507" s="57" t="n">
        <v>0</v>
      </c>
      <c r="G1507" s="58" t="n">
        <v>49.95</v>
      </c>
      <c r="H1507" s="58" t="n">
        <v>0</v>
      </c>
      <c r="I1507" s="58" t="n">
        <v>49.95</v>
      </c>
      <c r="J1507" s="32" t="n">
        <f aca="false">IF(E1507&gt;0,F1507/E1507,0)</f>
        <v>0</v>
      </c>
      <c r="K1507" s="32" t="n">
        <f aca="false">IF(G1507&gt;0,H1507/G1507,0)</f>
        <v>-0</v>
      </c>
      <c r="L1507" s="59" t="n">
        <f aca="false">H1507/Settings!$B$16</f>
        <v>-0</v>
      </c>
      <c r="M1507" s="59" t="n">
        <f aca="false">H1507/Settings!$B$20</f>
        <v>-0</v>
      </c>
      <c r="N1507" s="60" t="n">
        <f aca="false">E1507*Settings!$B$3</f>
        <v>0.0309861510798204</v>
      </c>
      <c r="O1507" s="60" t="n">
        <f aca="false">IF(E1507&gt;0,(F1507-N1507)/SQRT(E1507*Settings!$B$3*(1-Settings!$B$3)),0)</f>
        <v>-0.178821125934444</v>
      </c>
      <c r="P1507" s="60" t="n">
        <f aca="false">MAX(0,F1507-N1507)</f>
        <v>0</v>
      </c>
      <c r="Q1507" s="32" t="n">
        <f aca="false">(F1507+Settings!$B$7*Settings!$B$3)/(E1507+Settings!$B$7)</f>
        <v>0.0299865978191811</v>
      </c>
      <c r="R1507" s="61" t="n">
        <f aca="false">PERCENTRANK($H$2:$H$1780,H1507,6)</f>
        <v>0</v>
      </c>
      <c r="S1507" s="61" t="n">
        <f aca="false">PERCENTRANK($Q$2:$Q$1780,Q1507,6)</f>
        <v>0.486502</v>
      </c>
      <c r="T1507" s="61" t="n">
        <f aca="false">PERCENTRANK($F$2:$F$1780,F1507,6)</f>
        <v>0</v>
      </c>
      <c r="U1507" s="62" t="n">
        <f aca="false">IF(F1507&gt;0,(Settings!$B$8*T1507+Settings!$B$9*R1507+Settings!$B$10*S1507)/SUM(Settings!$B$8:$B$10),0)</f>
        <v>0</v>
      </c>
      <c r="V1507" s="56" t="str">
        <f aca="false">IF(U1507&gt;0,RANK(U1507,$U$2:$U$1780)+COUNTIF($U$2:U1507,U1507)-1,"")</f>
        <v/>
      </c>
      <c r="W1507" s="56" t="str">
        <f aca="false">IF(V1507="","",IF(V1507&lt;=Settings!$B$11,"1 - Fix first",IF(V1507&lt;=Settings!$B$12,"2 - Review","3 - Monitor")))</f>
        <v/>
      </c>
      <c r="X1507" s="56" t="str">
        <f aca="false">IF(AND(E1507&gt;=Settings!$B$4,F1507&gt;=Settings!$B$5,O1507&gt;=Settings!$B$6),"HIGH RATE","")</f>
        <v/>
      </c>
      <c r="Y1507" s="56" t="str">
        <f aca="false">IF(F1507&gt;0,RANK(F1507,$F$2:$F$1780)+COUNTIF($F$2:F1507,F1507)-1,"")</f>
        <v/>
      </c>
      <c r="Z1507" s="56" t="str">
        <f aca="false">IF(H1507&gt;0,RANK(H1507,$H$2:$H$1780)+COUNTIF($H$2:H1507,H1507)-1,"")</f>
        <v/>
      </c>
      <c r="AA1507" s="56" t="str">
        <f aca="false">IF(AC1507="","",RANK(AC1507,$AC$2:$AC$1780)+COUNTIF($AC$2:AC1507,AC1507)-1)</f>
        <v/>
      </c>
      <c r="AB1507" s="56" t="str">
        <f aca="false">IF(AD1507="","",RANK(AD1507,$AD$2:$AD$1780)+COUNTIF($AD$2:AD1507,AD1507)-1)</f>
        <v/>
      </c>
      <c r="AC1507" s="56" t="str">
        <f aca="false">IF(AND(F1507&gt;0,E1507&gt;=Settings!$B$4),J1507,"")</f>
        <v/>
      </c>
      <c r="AD1507" s="56" t="str">
        <f aca="false">IF(X1507="HIGH RATE",O1507,"")</f>
        <v/>
      </c>
    </row>
    <row r="1508" customFormat="false" ht="15" hidden="false" customHeight="false" outlineLevel="0" collapsed="false">
      <c r="A1508" s="56" t="s">
        <v>2937</v>
      </c>
      <c r="B1508" s="56" t="s">
        <v>1056</v>
      </c>
      <c r="C1508" s="56" t="s">
        <v>87</v>
      </c>
      <c r="D1508" s="56" t="str">
        <f aca="false">IFERROR(INDEX('Brand Map'!$B$4:$B$124,MATCH(C1508,'Brand Map'!$A$4:$A$124,0)),"Other")</f>
        <v>FYF</v>
      </c>
      <c r="E1508" s="57" t="n">
        <v>1</v>
      </c>
      <c r="F1508" s="57" t="n">
        <v>0</v>
      </c>
      <c r="G1508" s="58" t="n">
        <v>144.95</v>
      </c>
      <c r="H1508" s="58" t="n">
        <v>0</v>
      </c>
      <c r="I1508" s="58" t="n">
        <v>144.95</v>
      </c>
      <c r="J1508" s="32" t="n">
        <f aca="false">IF(E1508&gt;0,F1508/E1508,0)</f>
        <v>0</v>
      </c>
      <c r="K1508" s="32" t="n">
        <f aca="false">IF(G1508&gt;0,H1508/G1508,0)</f>
        <v>-0</v>
      </c>
      <c r="L1508" s="59" t="n">
        <f aca="false">H1508/Settings!$B$16</f>
        <v>-0</v>
      </c>
      <c r="M1508" s="59" t="n">
        <f aca="false">H1508/Settings!$B$20</f>
        <v>-0</v>
      </c>
      <c r="N1508" s="60" t="n">
        <f aca="false">E1508*Settings!$B$3</f>
        <v>0.0309861510798204</v>
      </c>
      <c r="O1508" s="60" t="n">
        <f aca="false">IF(E1508&gt;0,(F1508-N1508)/SQRT(E1508*Settings!$B$3*(1-Settings!$B$3)),0)</f>
        <v>-0.178821125934444</v>
      </c>
      <c r="P1508" s="60" t="n">
        <f aca="false">MAX(0,F1508-N1508)</f>
        <v>0</v>
      </c>
      <c r="Q1508" s="32" t="n">
        <f aca="false">(F1508+Settings!$B$7*Settings!$B$3)/(E1508+Settings!$B$7)</f>
        <v>0.0299865978191811</v>
      </c>
      <c r="R1508" s="61" t="n">
        <f aca="false">PERCENTRANK($H$2:$H$1780,H1508,6)</f>
        <v>0</v>
      </c>
      <c r="S1508" s="61" t="n">
        <f aca="false">PERCENTRANK($Q$2:$Q$1780,Q1508,6)</f>
        <v>0.486502</v>
      </c>
      <c r="T1508" s="61" t="n">
        <f aca="false">PERCENTRANK($F$2:$F$1780,F1508,6)</f>
        <v>0</v>
      </c>
      <c r="U1508" s="62" t="n">
        <f aca="false">IF(F1508&gt;0,(Settings!$B$8*T1508+Settings!$B$9*R1508+Settings!$B$10*S1508)/SUM(Settings!$B$8:$B$10),0)</f>
        <v>0</v>
      </c>
      <c r="V1508" s="56" t="str">
        <f aca="false">IF(U1508&gt;0,RANK(U1508,$U$2:$U$1780)+COUNTIF($U$2:U1508,U1508)-1,"")</f>
        <v/>
      </c>
      <c r="W1508" s="56" t="str">
        <f aca="false">IF(V1508="","",IF(V1508&lt;=Settings!$B$11,"1 - Fix first",IF(V1508&lt;=Settings!$B$12,"2 - Review","3 - Monitor")))</f>
        <v/>
      </c>
      <c r="X1508" s="56" t="str">
        <f aca="false">IF(AND(E1508&gt;=Settings!$B$4,F1508&gt;=Settings!$B$5,O1508&gt;=Settings!$B$6),"HIGH RATE","")</f>
        <v/>
      </c>
      <c r="Y1508" s="56" t="str">
        <f aca="false">IF(F1508&gt;0,RANK(F1508,$F$2:$F$1780)+COUNTIF($F$2:F1508,F1508)-1,"")</f>
        <v/>
      </c>
      <c r="Z1508" s="56" t="str">
        <f aca="false">IF(H1508&gt;0,RANK(H1508,$H$2:$H$1780)+COUNTIF($H$2:H1508,H1508)-1,"")</f>
        <v/>
      </c>
      <c r="AA1508" s="56" t="str">
        <f aca="false">IF(AC1508="","",RANK(AC1508,$AC$2:$AC$1780)+COUNTIF($AC$2:AC1508,AC1508)-1)</f>
        <v/>
      </c>
      <c r="AB1508" s="56" t="str">
        <f aca="false">IF(AD1508="","",RANK(AD1508,$AD$2:$AD$1780)+COUNTIF($AD$2:AD1508,AD1508)-1)</f>
        <v/>
      </c>
      <c r="AC1508" s="56" t="str">
        <f aca="false">IF(AND(F1508&gt;0,E1508&gt;=Settings!$B$4),J1508,"")</f>
        <v/>
      </c>
      <c r="AD1508" s="56" t="str">
        <f aca="false">IF(X1508="HIGH RATE",O1508,"")</f>
        <v/>
      </c>
    </row>
    <row r="1509" customFormat="false" ht="15" hidden="false" customHeight="false" outlineLevel="0" collapsed="false">
      <c r="A1509" s="56" t="s">
        <v>2938</v>
      </c>
      <c r="B1509" s="56" t="s">
        <v>1694</v>
      </c>
      <c r="C1509" s="56" t="s">
        <v>87</v>
      </c>
      <c r="D1509" s="56" t="str">
        <f aca="false">IFERROR(INDEX('Brand Map'!$B$4:$B$124,MATCH(C1509,'Brand Map'!$A$4:$A$124,0)),"Other")</f>
        <v>FYF</v>
      </c>
      <c r="E1509" s="57" t="n">
        <v>1</v>
      </c>
      <c r="F1509" s="57" t="n">
        <v>0</v>
      </c>
      <c r="G1509" s="58" t="n">
        <v>119.95</v>
      </c>
      <c r="H1509" s="58" t="n">
        <v>0</v>
      </c>
      <c r="I1509" s="58" t="n">
        <v>119.95</v>
      </c>
      <c r="J1509" s="32" t="n">
        <f aca="false">IF(E1509&gt;0,F1509/E1509,0)</f>
        <v>0</v>
      </c>
      <c r="K1509" s="32" t="n">
        <f aca="false">IF(G1509&gt;0,H1509/G1509,0)</f>
        <v>-0</v>
      </c>
      <c r="L1509" s="59" t="n">
        <f aca="false">H1509/Settings!$B$16</f>
        <v>-0</v>
      </c>
      <c r="M1509" s="59" t="n">
        <f aca="false">H1509/Settings!$B$20</f>
        <v>-0</v>
      </c>
      <c r="N1509" s="60" t="n">
        <f aca="false">E1509*Settings!$B$3</f>
        <v>0.0309861510798204</v>
      </c>
      <c r="O1509" s="60" t="n">
        <f aca="false">IF(E1509&gt;0,(F1509-N1509)/SQRT(E1509*Settings!$B$3*(1-Settings!$B$3)),0)</f>
        <v>-0.178821125934444</v>
      </c>
      <c r="P1509" s="60" t="n">
        <f aca="false">MAX(0,F1509-N1509)</f>
        <v>0</v>
      </c>
      <c r="Q1509" s="32" t="n">
        <f aca="false">(F1509+Settings!$B$7*Settings!$B$3)/(E1509+Settings!$B$7)</f>
        <v>0.0299865978191811</v>
      </c>
      <c r="R1509" s="61" t="n">
        <f aca="false">PERCENTRANK($H$2:$H$1780,H1509,6)</f>
        <v>0</v>
      </c>
      <c r="S1509" s="61" t="n">
        <f aca="false">PERCENTRANK($Q$2:$Q$1780,Q1509,6)</f>
        <v>0.486502</v>
      </c>
      <c r="T1509" s="61" t="n">
        <f aca="false">PERCENTRANK($F$2:$F$1780,F1509,6)</f>
        <v>0</v>
      </c>
      <c r="U1509" s="62" t="n">
        <f aca="false">IF(F1509&gt;0,(Settings!$B$8*T1509+Settings!$B$9*R1509+Settings!$B$10*S1509)/SUM(Settings!$B$8:$B$10),0)</f>
        <v>0</v>
      </c>
      <c r="V1509" s="56" t="str">
        <f aca="false">IF(U1509&gt;0,RANK(U1509,$U$2:$U$1780)+COUNTIF($U$2:U1509,U1509)-1,"")</f>
        <v/>
      </c>
      <c r="W1509" s="56" t="str">
        <f aca="false">IF(V1509="","",IF(V1509&lt;=Settings!$B$11,"1 - Fix first",IF(V1509&lt;=Settings!$B$12,"2 - Review","3 - Monitor")))</f>
        <v/>
      </c>
      <c r="X1509" s="56" t="str">
        <f aca="false">IF(AND(E1509&gt;=Settings!$B$4,F1509&gt;=Settings!$B$5,O1509&gt;=Settings!$B$6),"HIGH RATE","")</f>
        <v/>
      </c>
      <c r="Y1509" s="56" t="str">
        <f aca="false">IF(F1509&gt;0,RANK(F1509,$F$2:$F$1780)+COUNTIF($F$2:F1509,F1509)-1,"")</f>
        <v/>
      </c>
      <c r="Z1509" s="56" t="str">
        <f aca="false">IF(H1509&gt;0,RANK(H1509,$H$2:$H$1780)+COUNTIF($H$2:H1509,H1509)-1,"")</f>
        <v/>
      </c>
      <c r="AA1509" s="56" t="str">
        <f aca="false">IF(AC1509="","",RANK(AC1509,$AC$2:$AC$1780)+COUNTIF($AC$2:AC1509,AC1509)-1)</f>
        <v/>
      </c>
      <c r="AB1509" s="56" t="str">
        <f aca="false">IF(AD1509="","",RANK(AD1509,$AD$2:$AD$1780)+COUNTIF($AD$2:AD1509,AD1509)-1)</f>
        <v/>
      </c>
      <c r="AC1509" s="56" t="str">
        <f aca="false">IF(AND(F1509&gt;0,E1509&gt;=Settings!$B$4),J1509,"")</f>
        <v/>
      </c>
      <c r="AD1509" s="56" t="str">
        <f aca="false">IF(X1509="HIGH RATE",O1509,"")</f>
        <v/>
      </c>
    </row>
    <row r="1510" customFormat="false" ht="15" hidden="false" customHeight="false" outlineLevel="0" collapsed="false">
      <c r="A1510" s="56" t="s">
        <v>2939</v>
      </c>
      <c r="B1510" s="56" t="s">
        <v>1694</v>
      </c>
      <c r="C1510" s="56" t="s">
        <v>87</v>
      </c>
      <c r="D1510" s="56" t="str">
        <f aca="false">IFERROR(INDEX('Brand Map'!$B$4:$B$124,MATCH(C1510,'Brand Map'!$A$4:$A$124,0)),"Other")</f>
        <v>FYF</v>
      </c>
      <c r="E1510" s="57" t="n">
        <v>2</v>
      </c>
      <c r="F1510" s="57" t="n">
        <v>0</v>
      </c>
      <c r="G1510" s="58" t="n">
        <v>239.9</v>
      </c>
      <c r="H1510" s="58" t="n">
        <v>0</v>
      </c>
      <c r="I1510" s="58" t="n">
        <v>239.9</v>
      </c>
      <c r="J1510" s="32" t="n">
        <f aca="false">IF(E1510&gt;0,F1510/E1510,0)</f>
        <v>0</v>
      </c>
      <c r="K1510" s="32" t="n">
        <f aca="false">IF(G1510&gt;0,H1510/G1510,0)</f>
        <v>-0</v>
      </c>
      <c r="L1510" s="59" t="n">
        <f aca="false">H1510/Settings!$B$16</f>
        <v>-0</v>
      </c>
      <c r="M1510" s="59" t="n">
        <f aca="false">H1510/Settings!$B$20</f>
        <v>-0</v>
      </c>
      <c r="N1510" s="60" t="n">
        <f aca="false">E1510*Settings!$B$3</f>
        <v>0.0619723021596408</v>
      </c>
      <c r="O1510" s="60" t="n">
        <f aca="false">IF(E1510&gt;0,(F1510-N1510)/SQRT(E1510*Settings!$B$3*(1-Settings!$B$3)),0)</f>
        <v>-0.252891261535318</v>
      </c>
      <c r="P1510" s="60" t="n">
        <f aca="false">MAX(0,F1510-N1510)</f>
        <v>0</v>
      </c>
      <c r="Q1510" s="32" t="n">
        <f aca="false">(F1510+Settings!$B$7*Settings!$B$3)/(E1510+Settings!$B$7)</f>
        <v>0.0290495166373316</v>
      </c>
      <c r="R1510" s="61" t="n">
        <f aca="false">PERCENTRANK($H$2:$H$1780,H1510,6)</f>
        <v>0</v>
      </c>
      <c r="S1510" s="61" t="n">
        <f aca="false">PERCENTRANK($Q$2:$Q$1780,Q1510,6)</f>
        <v>0.365579</v>
      </c>
      <c r="T1510" s="61" t="n">
        <f aca="false">PERCENTRANK($F$2:$F$1780,F1510,6)</f>
        <v>0</v>
      </c>
      <c r="U1510" s="62" t="n">
        <f aca="false">IF(F1510&gt;0,(Settings!$B$8*T1510+Settings!$B$9*R1510+Settings!$B$10*S1510)/SUM(Settings!$B$8:$B$10),0)</f>
        <v>0</v>
      </c>
      <c r="V1510" s="56" t="str">
        <f aca="false">IF(U1510&gt;0,RANK(U1510,$U$2:$U$1780)+COUNTIF($U$2:U1510,U1510)-1,"")</f>
        <v/>
      </c>
      <c r="W1510" s="56" t="str">
        <f aca="false">IF(V1510="","",IF(V1510&lt;=Settings!$B$11,"1 - Fix first",IF(V1510&lt;=Settings!$B$12,"2 - Review","3 - Monitor")))</f>
        <v/>
      </c>
      <c r="X1510" s="56" t="str">
        <f aca="false">IF(AND(E1510&gt;=Settings!$B$4,F1510&gt;=Settings!$B$5,O1510&gt;=Settings!$B$6),"HIGH RATE","")</f>
        <v/>
      </c>
      <c r="Y1510" s="56" t="str">
        <f aca="false">IF(F1510&gt;0,RANK(F1510,$F$2:$F$1780)+COUNTIF($F$2:F1510,F1510)-1,"")</f>
        <v/>
      </c>
      <c r="Z1510" s="56" t="str">
        <f aca="false">IF(H1510&gt;0,RANK(H1510,$H$2:$H$1780)+COUNTIF($H$2:H1510,H1510)-1,"")</f>
        <v/>
      </c>
      <c r="AA1510" s="56" t="str">
        <f aca="false">IF(AC1510="","",RANK(AC1510,$AC$2:$AC$1780)+COUNTIF($AC$2:AC1510,AC1510)-1)</f>
        <v/>
      </c>
      <c r="AB1510" s="56" t="str">
        <f aca="false">IF(AD1510="","",RANK(AD1510,$AD$2:$AD$1780)+COUNTIF($AD$2:AD1510,AD1510)-1)</f>
        <v/>
      </c>
      <c r="AC1510" s="56" t="str">
        <f aca="false">IF(AND(F1510&gt;0,E1510&gt;=Settings!$B$4),J1510,"")</f>
        <v/>
      </c>
      <c r="AD1510" s="56" t="str">
        <f aca="false">IF(X1510="HIGH RATE",O1510,"")</f>
        <v/>
      </c>
    </row>
    <row r="1511" customFormat="false" ht="15" hidden="false" customHeight="false" outlineLevel="0" collapsed="false">
      <c r="A1511" s="56" t="s">
        <v>2940</v>
      </c>
      <c r="B1511" s="56" t="s">
        <v>1272</v>
      </c>
      <c r="C1511" s="56" t="s">
        <v>87</v>
      </c>
      <c r="D1511" s="56" t="str">
        <f aca="false">IFERROR(INDEX('Brand Map'!$B$4:$B$124,MATCH(C1511,'Brand Map'!$A$4:$A$124,0)),"Other")</f>
        <v>FYF</v>
      </c>
      <c r="E1511" s="57" t="n">
        <v>1</v>
      </c>
      <c r="F1511" s="57" t="n">
        <v>0</v>
      </c>
      <c r="G1511" s="58" t="n">
        <v>159.95</v>
      </c>
      <c r="H1511" s="58" t="n">
        <v>0</v>
      </c>
      <c r="I1511" s="58" t="n">
        <v>159.95</v>
      </c>
      <c r="J1511" s="32" t="n">
        <f aca="false">IF(E1511&gt;0,F1511/E1511,0)</f>
        <v>0</v>
      </c>
      <c r="K1511" s="32" t="n">
        <f aca="false">IF(G1511&gt;0,H1511/G1511,0)</f>
        <v>-0</v>
      </c>
      <c r="L1511" s="59" t="n">
        <f aca="false">H1511/Settings!$B$16</f>
        <v>-0</v>
      </c>
      <c r="M1511" s="59" t="n">
        <f aca="false">H1511/Settings!$B$20</f>
        <v>-0</v>
      </c>
      <c r="N1511" s="60" t="n">
        <f aca="false">E1511*Settings!$B$3</f>
        <v>0.0309861510798204</v>
      </c>
      <c r="O1511" s="60" t="n">
        <f aca="false">IF(E1511&gt;0,(F1511-N1511)/SQRT(E1511*Settings!$B$3*(1-Settings!$B$3)),0)</f>
        <v>-0.178821125934444</v>
      </c>
      <c r="P1511" s="60" t="n">
        <f aca="false">MAX(0,F1511-N1511)</f>
        <v>0</v>
      </c>
      <c r="Q1511" s="32" t="n">
        <f aca="false">(F1511+Settings!$B$7*Settings!$B$3)/(E1511+Settings!$B$7)</f>
        <v>0.0299865978191811</v>
      </c>
      <c r="R1511" s="61" t="n">
        <f aca="false">PERCENTRANK($H$2:$H$1780,H1511,6)</f>
        <v>0</v>
      </c>
      <c r="S1511" s="61" t="n">
        <f aca="false">PERCENTRANK($Q$2:$Q$1780,Q1511,6)</f>
        <v>0.486502</v>
      </c>
      <c r="T1511" s="61" t="n">
        <f aca="false">PERCENTRANK($F$2:$F$1780,F1511,6)</f>
        <v>0</v>
      </c>
      <c r="U1511" s="62" t="n">
        <f aca="false">IF(F1511&gt;0,(Settings!$B$8*T1511+Settings!$B$9*R1511+Settings!$B$10*S1511)/SUM(Settings!$B$8:$B$10),0)</f>
        <v>0</v>
      </c>
      <c r="V1511" s="56" t="str">
        <f aca="false">IF(U1511&gt;0,RANK(U1511,$U$2:$U$1780)+COUNTIF($U$2:U1511,U1511)-1,"")</f>
        <v/>
      </c>
      <c r="W1511" s="56" t="str">
        <f aca="false">IF(V1511="","",IF(V1511&lt;=Settings!$B$11,"1 - Fix first",IF(V1511&lt;=Settings!$B$12,"2 - Review","3 - Monitor")))</f>
        <v/>
      </c>
      <c r="X1511" s="56" t="str">
        <f aca="false">IF(AND(E1511&gt;=Settings!$B$4,F1511&gt;=Settings!$B$5,O1511&gt;=Settings!$B$6),"HIGH RATE","")</f>
        <v/>
      </c>
      <c r="Y1511" s="56" t="str">
        <f aca="false">IF(F1511&gt;0,RANK(F1511,$F$2:$F$1780)+COUNTIF($F$2:F1511,F1511)-1,"")</f>
        <v/>
      </c>
      <c r="Z1511" s="56" t="str">
        <f aca="false">IF(H1511&gt;0,RANK(H1511,$H$2:$H$1780)+COUNTIF($H$2:H1511,H1511)-1,"")</f>
        <v/>
      </c>
      <c r="AA1511" s="56" t="str">
        <f aca="false">IF(AC1511="","",RANK(AC1511,$AC$2:$AC$1780)+COUNTIF($AC$2:AC1511,AC1511)-1)</f>
        <v/>
      </c>
      <c r="AB1511" s="56" t="str">
        <f aca="false">IF(AD1511="","",RANK(AD1511,$AD$2:$AD$1780)+COUNTIF($AD$2:AD1511,AD1511)-1)</f>
        <v/>
      </c>
      <c r="AC1511" s="56" t="str">
        <f aca="false">IF(AND(F1511&gt;0,E1511&gt;=Settings!$B$4),J1511,"")</f>
        <v/>
      </c>
      <c r="AD1511" s="56" t="str">
        <f aca="false">IF(X1511="HIGH RATE",O1511,"")</f>
        <v/>
      </c>
    </row>
    <row r="1512" customFormat="false" ht="15" hidden="false" customHeight="false" outlineLevel="0" collapsed="false">
      <c r="A1512" s="56" t="s">
        <v>2941</v>
      </c>
      <c r="B1512" s="56" t="s">
        <v>652</v>
      </c>
      <c r="C1512" s="56" t="s">
        <v>87</v>
      </c>
      <c r="D1512" s="56" t="str">
        <f aca="false">IFERROR(INDEX('Brand Map'!$B$4:$B$124,MATCH(C1512,'Brand Map'!$A$4:$A$124,0)),"Other")</f>
        <v>FYF</v>
      </c>
      <c r="E1512" s="57" t="n">
        <v>9</v>
      </c>
      <c r="F1512" s="57" t="n">
        <v>0</v>
      </c>
      <c r="G1512" s="58" t="n">
        <v>854.55</v>
      </c>
      <c r="H1512" s="58" t="n">
        <v>0</v>
      </c>
      <c r="I1512" s="58" t="n">
        <v>854.55</v>
      </c>
      <c r="J1512" s="32" t="n">
        <f aca="false">IF(E1512&gt;0,F1512/E1512,0)</f>
        <v>0</v>
      </c>
      <c r="K1512" s="32" t="n">
        <f aca="false">IF(G1512&gt;0,H1512/G1512,0)</f>
        <v>-0</v>
      </c>
      <c r="L1512" s="59" t="n">
        <f aca="false">H1512/Settings!$B$16</f>
        <v>-0</v>
      </c>
      <c r="M1512" s="59" t="n">
        <f aca="false">H1512/Settings!$B$20</f>
        <v>-0</v>
      </c>
      <c r="N1512" s="60" t="n">
        <f aca="false">E1512*Settings!$B$3</f>
        <v>0.278875359718384</v>
      </c>
      <c r="O1512" s="60" t="n">
        <f aca="false">IF(E1512&gt;0,(F1512-N1512)/SQRT(E1512*Settings!$B$3*(1-Settings!$B$3)),0)</f>
        <v>-0.536463377803332</v>
      </c>
      <c r="P1512" s="60" t="n">
        <f aca="false">MAX(0,F1512-N1512)</f>
        <v>0</v>
      </c>
      <c r="Q1512" s="32" t="n">
        <f aca="false">(F1512+Settings!$B$7*Settings!$B$3)/(E1512+Settings!$B$7)</f>
        <v>0.0238355008306311</v>
      </c>
      <c r="R1512" s="61" t="n">
        <f aca="false">PERCENTRANK($H$2:$H$1780,H1512,6)</f>
        <v>0</v>
      </c>
      <c r="S1512" s="61" t="n">
        <f aca="false">PERCENTRANK($Q$2:$Q$1780,Q1512,6)</f>
        <v>0.142857</v>
      </c>
      <c r="T1512" s="61" t="n">
        <f aca="false">PERCENTRANK($F$2:$F$1780,F1512,6)</f>
        <v>0</v>
      </c>
      <c r="U1512" s="62" t="n">
        <f aca="false">IF(F1512&gt;0,(Settings!$B$8*T1512+Settings!$B$9*R1512+Settings!$B$10*S1512)/SUM(Settings!$B$8:$B$10),0)</f>
        <v>0</v>
      </c>
      <c r="V1512" s="56" t="str">
        <f aca="false">IF(U1512&gt;0,RANK(U1512,$U$2:$U$1780)+COUNTIF($U$2:U1512,U1512)-1,"")</f>
        <v/>
      </c>
      <c r="W1512" s="56" t="str">
        <f aca="false">IF(V1512="","",IF(V1512&lt;=Settings!$B$11,"1 - Fix first",IF(V1512&lt;=Settings!$B$12,"2 - Review","3 - Monitor")))</f>
        <v/>
      </c>
      <c r="X1512" s="56" t="str">
        <f aca="false">IF(AND(E1512&gt;=Settings!$B$4,F1512&gt;=Settings!$B$5,O1512&gt;=Settings!$B$6),"HIGH RATE","")</f>
        <v/>
      </c>
      <c r="Y1512" s="56" t="str">
        <f aca="false">IF(F1512&gt;0,RANK(F1512,$F$2:$F$1780)+COUNTIF($F$2:F1512,F1512)-1,"")</f>
        <v/>
      </c>
      <c r="Z1512" s="56" t="str">
        <f aca="false">IF(H1512&gt;0,RANK(H1512,$H$2:$H$1780)+COUNTIF($H$2:H1512,H1512)-1,"")</f>
        <v/>
      </c>
      <c r="AA1512" s="56" t="str">
        <f aca="false">IF(AC1512="","",RANK(AC1512,$AC$2:$AC$1780)+COUNTIF($AC$2:AC1512,AC1512)-1)</f>
        <v/>
      </c>
      <c r="AB1512" s="56" t="str">
        <f aca="false">IF(AD1512="","",RANK(AD1512,$AD$2:$AD$1780)+COUNTIF($AD$2:AD1512,AD1512)-1)</f>
        <v/>
      </c>
      <c r="AC1512" s="56" t="str">
        <f aca="false">IF(AND(F1512&gt;0,E1512&gt;=Settings!$B$4),J1512,"")</f>
        <v/>
      </c>
      <c r="AD1512" s="56" t="str">
        <f aca="false">IF(X1512="HIGH RATE",O1512,"")</f>
        <v/>
      </c>
    </row>
    <row r="1513" customFormat="false" ht="15" hidden="false" customHeight="false" outlineLevel="0" collapsed="false">
      <c r="A1513" s="56" t="s">
        <v>2942</v>
      </c>
      <c r="B1513" s="56" t="s">
        <v>652</v>
      </c>
      <c r="C1513" s="56" t="s">
        <v>87</v>
      </c>
      <c r="D1513" s="56" t="str">
        <f aca="false">IFERROR(INDEX('Brand Map'!$B$4:$B$124,MATCH(C1513,'Brand Map'!$A$4:$A$124,0)),"Other")</f>
        <v>FYF</v>
      </c>
      <c r="E1513" s="57" t="n">
        <v>6</v>
      </c>
      <c r="F1513" s="57" t="n">
        <v>0</v>
      </c>
      <c r="G1513" s="58" t="n">
        <v>569.7</v>
      </c>
      <c r="H1513" s="58" t="n">
        <v>0</v>
      </c>
      <c r="I1513" s="58" t="n">
        <v>569.7</v>
      </c>
      <c r="J1513" s="32" t="n">
        <f aca="false">IF(E1513&gt;0,F1513/E1513,0)</f>
        <v>0</v>
      </c>
      <c r="K1513" s="32" t="n">
        <f aca="false">IF(G1513&gt;0,H1513/G1513,0)</f>
        <v>-0</v>
      </c>
      <c r="L1513" s="59" t="n">
        <f aca="false">H1513/Settings!$B$16</f>
        <v>-0</v>
      </c>
      <c r="M1513" s="59" t="n">
        <f aca="false">H1513/Settings!$B$20</f>
        <v>-0</v>
      </c>
      <c r="N1513" s="60" t="n">
        <f aca="false">E1513*Settings!$B$3</f>
        <v>0.185916906478923</v>
      </c>
      <c r="O1513" s="60" t="n">
        <f aca="false">IF(E1513&gt;0,(F1513-N1513)/SQRT(E1513*Settings!$B$3*(1-Settings!$B$3)),0)</f>
        <v>-0.43802051376936</v>
      </c>
      <c r="P1513" s="60" t="n">
        <f aca="false">MAX(0,F1513-N1513)</f>
        <v>0</v>
      </c>
      <c r="Q1513" s="32" t="n">
        <f aca="false">(F1513+Settings!$B$7*Settings!$B$3)/(E1513+Settings!$B$7)</f>
        <v>0.025821792566517</v>
      </c>
      <c r="R1513" s="61" t="n">
        <f aca="false">PERCENTRANK($H$2:$H$1780,H1513,6)</f>
        <v>0</v>
      </c>
      <c r="S1513" s="61" t="n">
        <f aca="false">PERCENTRANK($Q$2:$Q$1780,Q1513,6)</f>
        <v>0.189539</v>
      </c>
      <c r="T1513" s="61" t="n">
        <f aca="false">PERCENTRANK($F$2:$F$1780,F1513,6)</f>
        <v>0</v>
      </c>
      <c r="U1513" s="62" t="n">
        <f aca="false">IF(F1513&gt;0,(Settings!$B$8*T1513+Settings!$B$9*R1513+Settings!$B$10*S1513)/SUM(Settings!$B$8:$B$10),0)</f>
        <v>0</v>
      </c>
      <c r="V1513" s="56" t="str">
        <f aca="false">IF(U1513&gt;0,RANK(U1513,$U$2:$U$1780)+COUNTIF($U$2:U1513,U1513)-1,"")</f>
        <v/>
      </c>
      <c r="W1513" s="56" t="str">
        <f aca="false">IF(V1513="","",IF(V1513&lt;=Settings!$B$11,"1 - Fix first",IF(V1513&lt;=Settings!$B$12,"2 - Review","3 - Monitor")))</f>
        <v/>
      </c>
      <c r="X1513" s="56" t="str">
        <f aca="false">IF(AND(E1513&gt;=Settings!$B$4,F1513&gt;=Settings!$B$5,O1513&gt;=Settings!$B$6),"HIGH RATE","")</f>
        <v/>
      </c>
      <c r="Y1513" s="56" t="str">
        <f aca="false">IF(F1513&gt;0,RANK(F1513,$F$2:$F$1780)+COUNTIF($F$2:F1513,F1513)-1,"")</f>
        <v/>
      </c>
      <c r="Z1513" s="56" t="str">
        <f aca="false">IF(H1513&gt;0,RANK(H1513,$H$2:$H$1780)+COUNTIF($H$2:H1513,H1513)-1,"")</f>
        <v/>
      </c>
      <c r="AA1513" s="56" t="str">
        <f aca="false">IF(AC1513="","",RANK(AC1513,$AC$2:$AC$1780)+COUNTIF($AC$2:AC1513,AC1513)-1)</f>
        <v/>
      </c>
      <c r="AB1513" s="56" t="str">
        <f aca="false">IF(AD1513="","",RANK(AD1513,$AD$2:$AD$1780)+COUNTIF($AD$2:AD1513,AD1513)-1)</f>
        <v/>
      </c>
      <c r="AC1513" s="56" t="str">
        <f aca="false">IF(AND(F1513&gt;0,E1513&gt;=Settings!$B$4),J1513,"")</f>
        <v/>
      </c>
      <c r="AD1513" s="56" t="str">
        <f aca="false">IF(X1513="HIGH RATE",O1513,"")</f>
        <v/>
      </c>
    </row>
    <row r="1514" customFormat="false" ht="15" hidden="false" customHeight="false" outlineLevel="0" collapsed="false">
      <c r="A1514" s="56" t="s">
        <v>2943</v>
      </c>
      <c r="B1514" s="56" t="s">
        <v>652</v>
      </c>
      <c r="C1514" s="56" t="s">
        <v>87</v>
      </c>
      <c r="D1514" s="56" t="str">
        <f aca="false">IFERROR(INDEX('Brand Map'!$B$4:$B$124,MATCH(C1514,'Brand Map'!$A$4:$A$124,0)),"Other")</f>
        <v>FYF</v>
      </c>
      <c r="E1514" s="57" t="n">
        <v>2</v>
      </c>
      <c r="F1514" s="57" t="n">
        <v>0</v>
      </c>
      <c r="G1514" s="58" t="n">
        <v>189.9</v>
      </c>
      <c r="H1514" s="58" t="n">
        <v>0</v>
      </c>
      <c r="I1514" s="58" t="n">
        <v>189.9</v>
      </c>
      <c r="J1514" s="32" t="n">
        <f aca="false">IF(E1514&gt;0,F1514/E1514,0)</f>
        <v>0</v>
      </c>
      <c r="K1514" s="32" t="n">
        <f aca="false">IF(G1514&gt;0,H1514/G1514,0)</f>
        <v>-0</v>
      </c>
      <c r="L1514" s="59" t="n">
        <f aca="false">H1514/Settings!$B$16</f>
        <v>-0</v>
      </c>
      <c r="M1514" s="59" t="n">
        <f aca="false">H1514/Settings!$B$20</f>
        <v>-0</v>
      </c>
      <c r="N1514" s="60" t="n">
        <f aca="false">E1514*Settings!$B$3</f>
        <v>0.0619723021596408</v>
      </c>
      <c r="O1514" s="60" t="n">
        <f aca="false">IF(E1514&gt;0,(F1514-N1514)/SQRT(E1514*Settings!$B$3*(1-Settings!$B$3)),0)</f>
        <v>-0.252891261535318</v>
      </c>
      <c r="P1514" s="60" t="n">
        <f aca="false">MAX(0,F1514-N1514)</f>
        <v>0</v>
      </c>
      <c r="Q1514" s="32" t="n">
        <f aca="false">(F1514+Settings!$B$7*Settings!$B$3)/(E1514+Settings!$B$7)</f>
        <v>0.0290495166373316</v>
      </c>
      <c r="R1514" s="61" t="n">
        <f aca="false">PERCENTRANK($H$2:$H$1780,H1514,6)</f>
        <v>0</v>
      </c>
      <c r="S1514" s="61" t="n">
        <f aca="false">PERCENTRANK($Q$2:$Q$1780,Q1514,6)</f>
        <v>0.365579</v>
      </c>
      <c r="T1514" s="61" t="n">
        <f aca="false">PERCENTRANK($F$2:$F$1780,F1514,6)</f>
        <v>0</v>
      </c>
      <c r="U1514" s="62" t="n">
        <f aca="false">IF(F1514&gt;0,(Settings!$B$8*T1514+Settings!$B$9*R1514+Settings!$B$10*S1514)/SUM(Settings!$B$8:$B$10),0)</f>
        <v>0</v>
      </c>
      <c r="V1514" s="56" t="str">
        <f aca="false">IF(U1514&gt;0,RANK(U1514,$U$2:$U$1780)+COUNTIF($U$2:U1514,U1514)-1,"")</f>
        <v/>
      </c>
      <c r="W1514" s="56" t="str">
        <f aca="false">IF(V1514="","",IF(V1514&lt;=Settings!$B$11,"1 - Fix first",IF(V1514&lt;=Settings!$B$12,"2 - Review","3 - Monitor")))</f>
        <v/>
      </c>
      <c r="X1514" s="56" t="str">
        <f aca="false">IF(AND(E1514&gt;=Settings!$B$4,F1514&gt;=Settings!$B$5,O1514&gt;=Settings!$B$6),"HIGH RATE","")</f>
        <v/>
      </c>
      <c r="Y1514" s="56" t="str">
        <f aca="false">IF(F1514&gt;0,RANK(F1514,$F$2:$F$1780)+COUNTIF($F$2:F1514,F1514)-1,"")</f>
        <v/>
      </c>
      <c r="Z1514" s="56" t="str">
        <f aca="false">IF(H1514&gt;0,RANK(H1514,$H$2:$H$1780)+COUNTIF($H$2:H1514,H1514)-1,"")</f>
        <v/>
      </c>
      <c r="AA1514" s="56" t="str">
        <f aca="false">IF(AC1514="","",RANK(AC1514,$AC$2:$AC$1780)+COUNTIF($AC$2:AC1514,AC1514)-1)</f>
        <v/>
      </c>
      <c r="AB1514" s="56" t="str">
        <f aca="false">IF(AD1514="","",RANK(AD1514,$AD$2:$AD$1780)+COUNTIF($AD$2:AD1514,AD1514)-1)</f>
        <v/>
      </c>
      <c r="AC1514" s="56" t="str">
        <f aca="false">IF(AND(F1514&gt;0,E1514&gt;=Settings!$B$4),J1514,"")</f>
        <v/>
      </c>
      <c r="AD1514" s="56" t="str">
        <f aca="false">IF(X1514="HIGH RATE",O1514,"")</f>
        <v/>
      </c>
    </row>
    <row r="1515" customFormat="false" ht="15" hidden="false" customHeight="false" outlineLevel="0" collapsed="false">
      <c r="A1515" s="56" t="s">
        <v>2944</v>
      </c>
      <c r="B1515" s="56" t="s">
        <v>2945</v>
      </c>
      <c r="C1515" s="56" t="s">
        <v>87</v>
      </c>
      <c r="D1515" s="56" t="str">
        <f aca="false">IFERROR(INDEX('Brand Map'!$B$4:$B$124,MATCH(C1515,'Brand Map'!$A$4:$A$124,0)),"Other")</f>
        <v>FYF</v>
      </c>
      <c r="E1515" s="57" t="n">
        <v>2</v>
      </c>
      <c r="F1515" s="57" t="n">
        <v>0</v>
      </c>
      <c r="G1515" s="58" t="n">
        <v>421.9</v>
      </c>
      <c r="H1515" s="58" t="n">
        <v>0</v>
      </c>
      <c r="I1515" s="58" t="n">
        <v>421.9</v>
      </c>
      <c r="J1515" s="32" t="n">
        <f aca="false">IF(E1515&gt;0,F1515/E1515,0)</f>
        <v>0</v>
      </c>
      <c r="K1515" s="32" t="n">
        <f aca="false">IF(G1515&gt;0,H1515/G1515,0)</f>
        <v>-0</v>
      </c>
      <c r="L1515" s="59" t="n">
        <f aca="false">H1515/Settings!$B$16</f>
        <v>-0</v>
      </c>
      <c r="M1515" s="59" t="n">
        <f aca="false">H1515/Settings!$B$20</f>
        <v>-0</v>
      </c>
      <c r="N1515" s="60" t="n">
        <f aca="false">E1515*Settings!$B$3</f>
        <v>0.0619723021596408</v>
      </c>
      <c r="O1515" s="60" t="n">
        <f aca="false">IF(E1515&gt;0,(F1515-N1515)/SQRT(E1515*Settings!$B$3*(1-Settings!$B$3)),0)</f>
        <v>-0.252891261535318</v>
      </c>
      <c r="P1515" s="60" t="n">
        <f aca="false">MAX(0,F1515-N1515)</f>
        <v>0</v>
      </c>
      <c r="Q1515" s="32" t="n">
        <f aca="false">(F1515+Settings!$B$7*Settings!$B$3)/(E1515+Settings!$B$7)</f>
        <v>0.0290495166373316</v>
      </c>
      <c r="R1515" s="61" t="n">
        <f aca="false">PERCENTRANK($H$2:$H$1780,H1515,6)</f>
        <v>0</v>
      </c>
      <c r="S1515" s="61" t="n">
        <f aca="false">PERCENTRANK($Q$2:$Q$1780,Q1515,6)</f>
        <v>0.365579</v>
      </c>
      <c r="T1515" s="61" t="n">
        <f aca="false">PERCENTRANK($F$2:$F$1780,F1515,6)</f>
        <v>0</v>
      </c>
      <c r="U1515" s="62" t="n">
        <f aca="false">IF(F1515&gt;0,(Settings!$B$8*T1515+Settings!$B$9*R1515+Settings!$B$10*S1515)/SUM(Settings!$B$8:$B$10),0)</f>
        <v>0</v>
      </c>
      <c r="V1515" s="56" t="str">
        <f aca="false">IF(U1515&gt;0,RANK(U1515,$U$2:$U$1780)+COUNTIF($U$2:U1515,U1515)-1,"")</f>
        <v/>
      </c>
      <c r="W1515" s="56" t="str">
        <f aca="false">IF(V1515="","",IF(V1515&lt;=Settings!$B$11,"1 - Fix first",IF(V1515&lt;=Settings!$B$12,"2 - Review","3 - Monitor")))</f>
        <v/>
      </c>
      <c r="X1515" s="56" t="str">
        <f aca="false">IF(AND(E1515&gt;=Settings!$B$4,F1515&gt;=Settings!$B$5,O1515&gt;=Settings!$B$6),"HIGH RATE","")</f>
        <v/>
      </c>
      <c r="Y1515" s="56" t="str">
        <f aca="false">IF(F1515&gt;0,RANK(F1515,$F$2:$F$1780)+COUNTIF($F$2:F1515,F1515)-1,"")</f>
        <v/>
      </c>
      <c r="Z1515" s="56" t="str">
        <f aca="false">IF(H1515&gt;0,RANK(H1515,$H$2:$H$1780)+COUNTIF($H$2:H1515,H1515)-1,"")</f>
        <v/>
      </c>
      <c r="AA1515" s="56" t="str">
        <f aca="false">IF(AC1515="","",RANK(AC1515,$AC$2:$AC$1780)+COUNTIF($AC$2:AC1515,AC1515)-1)</f>
        <v/>
      </c>
      <c r="AB1515" s="56" t="str">
        <f aca="false">IF(AD1515="","",RANK(AD1515,$AD$2:$AD$1780)+COUNTIF($AD$2:AD1515,AD1515)-1)</f>
        <v/>
      </c>
      <c r="AC1515" s="56" t="str">
        <f aca="false">IF(AND(F1515&gt;0,E1515&gt;=Settings!$B$4),J1515,"")</f>
        <v/>
      </c>
      <c r="AD1515" s="56" t="str">
        <f aca="false">IF(X1515="HIGH RATE",O1515,"")</f>
        <v/>
      </c>
    </row>
    <row r="1516" customFormat="false" ht="15" hidden="false" customHeight="false" outlineLevel="0" collapsed="false">
      <c r="A1516" s="56" t="s">
        <v>2946</v>
      </c>
      <c r="B1516" s="56" t="s">
        <v>2947</v>
      </c>
      <c r="C1516" s="56" t="s">
        <v>87</v>
      </c>
      <c r="D1516" s="56" t="str">
        <f aca="false">IFERROR(INDEX('Brand Map'!$B$4:$B$124,MATCH(C1516,'Brand Map'!$A$4:$A$124,0)),"Other")</f>
        <v>FYF</v>
      </c>
      <c r="E1516" s="57" t="n">
        <v>1</v>
      </c>
      <c r="F1516" s="57" t="n">
        <v>0</v>
      </c>
      <c r="G1516" s="58" t="n">
        <v>59.95</v>
      </c>
      <c r="H1516" s="58" t="n">
        <v>0</v>
      </c>
      <c r="I1516" s="58" t="n">
        <v>59.95</v>
      </c>
      <c r="J1516" s="32" t="n">
        <f aca="false">IF(E1516&gt;0,F1516/E1516,0)</f>
        <v>0</v>
      </c>
      <c r="K1516" s="32" t="n">
        <f aca="false">IF(G1516&gt;0,H1516/G1516,0)</f>
        <v>-0</v>
      </c>
      <c r="L1516" s="59" t="n">
        <f aca="false">H1516/Settings!$B$16</f>
        <v>-0</v>
      </c>
      <c r="M1516" s="59" t="n">
        <f aca="false">H1516/Settings!$B$20</f>
        <v>-0</v>
      </c>
      <c r="N1516" s="60" t="n">
        <f aca="false">E1516*Settings!$B$3</f>
        <v>0.0309861510798204</v>
      </c>
      <c r="O1516" s="60" t="n">
        <f aca="false">IF(E1516&gt;0,(F1516-N1516)/SQRT(E1516*Settings!$B$3*(1-Settings!$B$3)),0)</f>
        <v>-0.178821125934444</v>
      </c>
      <c r="P1516" s="60" t="n">
        <f aca="false">MAX(0,F1516-N1516)</f>
        <v>0</v>
      </c>
      <c r="Q1516" s="32" t="n">
        <f aca="false">(F1516+Settings!$B$7*Settings!$B$3)/(E1516+Settings!$B$7)</f>
        <v>0.0299865978191811</v>
      </c>
      <c r="R1516" s="61" t="n">
        <f aca="false">PERCENTRANK($H$2:$H$1780,H1516,6)</f>
        <v>0</v>
      </c>
      <c r="S1516" s="61" t="n">
        <f aca="false">PERCENTRANK($Q$2:$Q$1780,Q1516,6)</f>
        <v>0.486502</v>
      </c>
      <c r="T1516" s="61" t="n">
        <f aca="false">PERCENTRANK($F$2:$F$1780,F1516,6)</f>
        <v>0</v>
      </c>
      <c r="U1516" s="62" t="n">
        <f aca="false">IF(F1516&gt;0,(Settings!$B$8*T1516+Settings!$B$9*R1516+Settings!$B$10*S1516)/SUM(Settings!$B$8:$B$10),0)</f>
        <v>0</v>
      </c>
      <c r="V1516" s="56" t="str">
        <f aca="false">IF(U1516&gt;0,RANK(U1516,$U$2:$U$1780)+COUNTIF($U$2:U1516,U1516)-1,"")</f>
        <v/>
      </c>
      <c r="W1516" s="56" t="str">
        <f aca="false">IF(V1516="","",IF(V1516&lt;=Settings!$B$11,"1 - Fix first",IF(V1516&lt;=Settings!$B$12,"2 - Review","3 - Monitor")))</f>
        <v/>
      </c>
      <c r="X1516" s="56" t="str">
        <f aca="false">IF(AND(E1516&gt;=Settings!$B$4,F1516&gt;=Settings!$B$5,O1516&gt;=Settings!$B$6),"HIGH RATE","")</f>
        <v/>
      </c>
      <c r="Y1516" s="56" t="str">
        <f aca="false">IF(F1516&gt;0,RANK(F1516,$F$2:$F$1780)+COUNTIF($F$2:F1516,F1516)-1,"")</f>
        <v/>
      </c>
      <c r="Z1516" s="56" t="str">
        <f aca="false">IF(H1516&gt;0,RANK(H1516,$H$2:$H$1780)+COUNTIF($H$2:H1516,H1516)-1,"")</f>
        <v/>
      </c>
      <c r="AA1516" s="56" t="str">
        <f aca="false">IF(AC1516="","",RANK(AC1516,$AC$2:$AC$1780)+COUNTIF($AC$2:AC1516,AC1516)-1)</f>
        <v/>
      </c>
      <c r="AB1516" s="56" t="str">
        <f aca="false">IF(AD1516="","",RANK(AD1516,$AD$2:$AD$1780)+COUNTIF($AD$2:AD1516,AD1516)-1)</f>
        <v/>
      </c>
      <c r="AC1516" s="56" t="str">
        <f aca="false">IF(AND(F1516&gt;0,E1516&gt;=Settings!$B$4),J1516,"")</f>
        <v/>
      </c>
      <c r="AD1516" s="56" t="str">
        <f aca="false">IF(X1516="HIGH RATE",O1516,"")</f>
        <v/>
      </c>
    </row>
    <row r="1517" customFormat="false" ht="15" hidden="false" customHeight="false" outlineLevel="0" collapsed="false">
      <c r="A1517" s="56" t="s">
        <v>2948</v>
      </c>
      <c r="B1517" s="56" t="s">
        <v>1291</v>
      </c>
      <c r="C1517" s="56" t="s">
        <v>87</v>
      </c>
      <c r="D1517" s="56" t="str">
        <f aca="false">IFERROR(INDEX('Brand Map'!$B$4:$B$124,MATCH(C1517,'Brand Map'!$A$4:$A$124,0)),"Other")</f>
        <v>FYF</v>
      </c>
      <c r="E1517" s="57" t="n">
        <v>3</v>
      </c>
      <c r="F1517" s="57" t="n">
        <v>0</v>
      </c>
      <c r="G1517" s="58" t="n">
        <v>479.85</v>
      </c>
      <c r="H1517" s="58" t="n">
        <v>0</v>
      </c>
      <c r="I1517" s="58" t="n">
        <v>479.85</v>
      </c>
      <c r="J1517" s="32" t="n">
        <f aca="false">IF(E1517&gt;0,F1517/E1517,0)</f>
        <v>0</v>
      </c>
      <c r="K1517" s="32" t="n">
        <f aca="false">IF(G1517&gt;0,H1517/G1517,0)</f>
        <v>-0</v>
      </c>
      <c r="L1517" s="59" t="n">
        <f aca="false">H1517/Settings!$B$16</f>
        <v>-0</v>
      </c>
      <c r="M1517" s="59" t="n">
        <f aca="false">H1517/Settings!$B$20</f>
        <v>-0</v>
      </c>
      <c r="N1517" s="60" t="n">
        <f aca="false">E1517*Settings!$B$3</f>
        <v>0.0929584532394613</v>
      </c>
      <c r="O1517" s="60" t="n">
        <f aca="false">IF(E1517&gt;0,(F1517-N1517)/SQRT(E1517*Settings!$B$3*(1-Settings!$B$3)),0)</f>
        <v>-0.30972727558513</v>
      </c>
      <c r="P1517" s="60" t="n">
        <f aca="false">MAX(0,F1517-N1517)</f>
        <v>0</v>
      </c>
      <c r="Q1517" s="32" t="n">
        <f aca="false">(F1517+Settings!$B$7*Settings!$B$3)/(E1517+Settings!$B$7)</f>
        <v>0.0281692282543822</v>
      </c>
      <c r="R1517" s="61" t="n">
        <f aca="false">PERCENTRANK($H$2:$H$1780,H1517,6)</f>
        <v>0</v>
      </c>
      <c r="S1517" s="61" t="n">
        <f aca="false">PERCENTRANK($Q$2:$Q$1780,Q1517,6)</f>
        <v>0.294151</v>
      </c>
      <c r="T1517" s="61" t="n">
        <f aca="false">PERCENTRANK($F$2:$F$1780,F1517,6)</f>
        <v>0</v>
      </c>
      <c r="U1517" s="62" t="n">
        <f aca="false">IF(F1517&gt;0,(Settings!$B$8*T1517+Settings!$B$9*R1517+Settings!$B$10*S1517)/SUM(Settings!$B$8:$B$10),0)</f>
        <v>0</v>
      </c>
      <c r="V1517" s="56" t="str">
        <f aca="false">IF(U1517&gt;0,RANK(U1517,$U$2:$U$1780)+COUNTIF($U$2:U1517,U1517)-1,"")</f>
        <v/>
      </c>
      <c r="W1517" s="56" t="str">
        <f aca="false">IF(V1517="","",IF(V1517&lt;=Settings!$B$11,"1 - Fix first",IF(V1517&lt;=Settings!$B$12,"2 - Review","3 - Monitor")))</f>
        <v/>
      </c>
      <c r="X1517" s="56" t="str">
        <f aca="false">IF(AND(E1517&gt;=Settings!$B$4,F1517&gt;=Settings!$B$5,O1517&gt;=Settings!$B$6),"HIGH RATE","")</f>
        <v/>
      </c>
      <c r="Y1517" s="56" t="str">
        <f aca="false">IF(F1517&gt;0,RANK(F1517,$F$2:$F$1780)+COUNTIF($F$2:F1517,F1517)-1,"")</f>
        <v/>
      </c>
      <c r="Z1517" s="56" t="str">
        <f aca="false">IF(H1517&gt;0,RANK(H1517,$H$2:$H$1780)+COUNTIF($H$2:H1517,H1517)-1,"")</f>
        <v/>
      </c>
      <c r="AA1517" s="56" t="str">
        <f aca="false">IF(AC1517="","",RANK(AC1517,$AC$2:$AC$1780)+COUNTIF($AC$2:AC1517,AC1517)-1)</f>
        <v/>
      </c>
      <c r="AB1517" s="56" t="str">
        <f aca="false">IF(AD1517="","",RANK(AD1517,$AD$2:$AD$1780)+COUNTIF($AD$2:AD1517,AD1517)-1)</f>
        <v/>
      </c>
      <c r="AC1517" s="56" t="str">
        <f aca="false">IF(AND(F1517&gt;0,E1517&gt;=Settings!$B$4),J1517,"")</f>
        <v/>
      </c>
      <c r="AD1517" s="56" t="str">
        <f aca="false">IF(X1517="HIGH RATE",O1517,"")</f>
        <v/>
      </c>
    </row>
    <row r="1518" customFormat="false" ht="15" hidden="false" customHeight="false" outlineLevel="0" collapsed="false">
      <c r="A1518" s="56" t="s">
        <v>2949</v>
      </c>
      <c r="B1518" s="56" t="s">
        <v>1291</v>
      </c>
      <c r="C1518" s="56" t="s">
        <v>87</v>
      </c>
      <c r="D1518" s="56" t="str">
        <f aca="false">IFERROR(INDEX('Brand Map'!$B$4:$B$124,MATCH(C1518,'Brand Map'!$A$4:$A$124,0)),"Other")</f>
        <v>FYF</v>
      </c>
      <c r="E1518" s="57" t="n">
        <v>4</v>
      </c>
      <c r="F1518" s="57" t="n">
        <v>0</v>
      </c>
      <c r="G1518" s="58" t="n">
        <v>699.8</v>
      </c>
      <c r="H1518" s="58" t="n">
        <v>0</v>
      </c>
      <c r="I1518" s="58" t="n">
        <v>699.8</v>
      </c>
      <c r="J1518" s="32" t="n">
        <f aca="false">IF(E1518&gt;0,F1518/E1518,0)</f>
        <v>0</v>
      </c>
      <c r="K1518" s="32" t="n">
        <f aca="false">IF(G1518&gt;0,H1518/G1518,0)</f>
        <v>-0</v>
      </c>
      <c r="L1518" s="59" t="n">
        <f aca="false">H1518/Settings!$B$16</f>
        <v>-0</v>
      </c>
      <c r="M1518" s="59" t="n">
        <f aca="false">H1518/Settings!$B$20</f>
        <v>-0</v>
      </c>
      <c r="N1518" s="60" t="n">
        <f aca="false">E1518*Settings!$B$3</f>
        <v>0.123944604319282</v>
      </c>
      <c r="O1518" s="60" t="n">
        <f aca="false">IF(E1518&gt;0,(F1518-N1518)/SQRT(E1518*Settings!$B$3*(1-Settings!$B$3)),0)</f>
        <v>-0.357642251868888</v>
      </c>
      <c r="P1518" s="60" t="n">
        <f aca="false">MAX(0,F1518-N1518)</f>
        <v>0</v>
      </c>
      <c r="Q1518" s="32" t="n">
        <f aca="false">(F1518+Settings!$B$7*Settings!$B$3)/(E1518+Settings!$B$7)</f>
        <v>0.027340721541018</v>
      </c>
      <c r="R1518" s="61" t="n">
        <f aca="false">PERCENTRANK($H$2:$H$1780,H1518,6)</f>
        <v>0</v>
      </c>
      <c r="S1518" s="61" t="n">
        <f aca="false">PERCENTRANK($Q$2:$Q$1780,Q1518,6)</f>
        <v>0.253656</v>
      </c>
      <c r="T1518" s="61" t="n">
        <f aca="false">PERCENTRANK($F$2:$F$1780,F1518,6)</f>
        <v>0</v>
      </c>
      <c r="U1518" s="62" t="n">
        <f aca="false">IF(F1518&gt;0,(Settings!$B$8*T1518+Settings!$B$9*R1518+Settings!$B$10*S1518)/SUM(Settings!$B$8:$B$10),0)</f>
        <v>0</v>
      </c>
      <c r="V1518" s="56" t="str">
        <f aca="false">IF(U1518&gt;0,RANK(U1518,$U$2:$U$1780)+COUNTIF($U$2:U1518,U1518)-1,"")</f>
        <v/>
      </c>
      <c r="W1518" s="56" t="str">
        <f aca="false">IF(V1518="","",IF(V1518&lt;=Settings!$B$11,"1 - Fix first",IF(V1518&lt;=Settings!$B$12,"2 - Review","3 - Monitor")))</f>
        <v/>
      </c>
      <c r="X1518" s="56" t="str">
        <f aca="false">IF(AND(E1518&gt;=Settings!$B$4,F1518&gt;=Settings!$B$5,O1518&gt;=Settings!$B$6),"HIGH RATE","")</f>
        <v/>
      </c>
      <c r="Y1518" s="56" t="str">
        <f aca="false">IF(F1518&gt;0,RANK(F1518,$F$2:$F$1780)+COUNTIF($F$2:F1518,F1518)-1,"")</f>
        <v/>
      </c>
      <c r="Z1518" s="56" t="str">
        <f aca="false">IF(H1518&gt;0,RANK(H1518,$H$2:$H$1780)+COUNTIF($H$2:H1518,H1518)-1,"")</f>
        <v/>
      </c>
      <c r="AA1518" s="56" t="str">
        <f aca="false">IF(AC1518="","",RANK(AC1518,$AC$2:$AC$1780)+COUNTIF($AC$2:AC1518,AC1518)-1)</f>
        <v/>
      </c>
      <c r="AB1518" s="56" t="str">
        <f aca="false">IF(AD1518="","",RANK(AD1518,$AD$2:$AD$1780)+COUNTIF($AD$2:AD1518,AD1518)-1)</f>
        <v/>
      </c>
      <c r="AC1518" s="56" t="str">
        <f aca="false">IF(AND(F1518&gt;0,E1518&gt;=Settings!$B$4),J1518,"")</f>
        <v/>
      </c>
      <c r="AD1518" s="56" t="str">
        <f aca="false">IF(X1518="HIGH RATE",O1518,"")</f>
        <v/>
      </c>
    </row>
    <row r="1519" customFormat="false" ht="15" hidden="false" customHeight="false" outlineLevel="0" collapsed="false">
      <c r="A1519" s="56" t="s">
        <v>2950</v>
      </c>
      <c r="B1519" s="56" t="s">
        <v>907</v>
      </c>
      <c r="C1519" s="56" t="s">
        <v>87</v>
      </c>
      <c r="D1519" s="56" t="str">
        <f aca="false">IFERROR(INDEX('Brand Map'!$B$4:$B$124,MATCH(C1519,'Brand Map'!$A$4:$A$124,0)),"Other")</f>
        <v>FYF</v>
      </c>
      <c r="E1519" s="57" t="n">
        <v>6</v>
      </c>
      <c r="F1519" s="57" t="n">
        <v>0</v>
      </c>
      <c r="G1519" s="58" t="n">
        <v>479.7</v>
      </c>
      <c r="H1519" s="58" t="n">
        <v>0</v>
      </c>
      <c r="I1519" s="58" t="n">
        <v>479.7</v>
      </c>
      <c r="J1519" s="32" t="n">
        <f aca="false">IF(E1519&gt;0,F1519/E1519,0)</f>
        <v>0</v>
      </c>
      <c r="K1519" s="32" t="n">
        <f aca="false">IF(G1519&gt;0,H1519/G1519,0)</f>
        <v>-0</v>
      </c>
      <c r="L1519" s="59" t="n">
        <f aca="false">H1519/Settings!$B$16</f>
        <v>-0</v>
      </c>
      <c r="M1519" s="59" t="n">
        <f aca="false">H1519/Settings!$B$20</f>
        <v>-0</v>
      </c>
      <c r="N1519" s="60" t="n">
        <f aca="false">E1519*Settings!$B$3</f>
        <v>0.185916906478923</v>
      </c>
      <c r="O1519" s="60" t="n">
        <f aca="false">IF(E1519&gt;0,(F1519-N1519)/SQRT(E1519*Settings!$B$3*(1-Settings!$B$3)),0)</f>
        <v>-0.43802051376936</v>
      </c>
      <c r="P1519" s="60" t="n">
        <f aca="false">MAX(0,F1519-N1519)</f>
        <v>0</v>
      </c>
      <c r="Q1519" s="32" t="n">
        <f aca="false">(F1519+Settings!$B$7*Settings!$B$3)/(E1519+Settings!$B$7)</f>
        <v>0.025821792566517</v>
      </c>
      <c r="R1519" s="61" t="n">
        <f aca="false">PERCENTRANK($H$2:$H$1780,H1519,6)</f>
        <v>0</v>
      </c>
      <c r="S1519" s="61" t="n">
        <f aca="false">PERCENTRANK($Q$2:$Q$1780,Q1519,6)</f>
        <v>0.189539</v>
      </c>
      <c r="T1519" s="61" t="n">
        <f aca="false">PERCENTRANK($F$2:$F$1780,F1519,6)</f>
        <v>0</v>
      </c>
      <c r="U1519" s="62" t="n">
        <f aca="false">IF(F1519&gt;0,(Settings!$B$8*T1519+Settings!$B$9*R1519+Settings!$B$10*S1519)/SUM(Settings!$B$8:$B$10),0)</f>
        <v>0</v>
      </c>
      <c r="V1519" s="56" t="str">
        <f aca="false">IF(U1519&gt;0,RANK(U1519,$U$2:$U$1780)+COUNTIF($U$2:U1519,U1519)-1,"")</f>
        <v/>
      </c>
      <c r="W1519" s="56" t="str">
        <f aca="false">IF(V1519="","",IF(V1519&lt;=Settings!$B$11,"1 - Fix first",IF(V1519&lt;=Settings!$B$12,"2 - Review","3 - Monitor")))</f>
        <v/>
      </c>
      <c r="X1519" s="56" t="str">
        <f aca="false">IF(AND(E1519&gt;=Settings!$B$4,F1519&gt;=Settings!$B$5,O1519&gt;=Settings!$B$6),"HIGH RATE","")</f>
        <v/>
      </c>
      <c r="Y1519" s="56" t="str">
        <f aca="false">IF(F1519&gt;0,RANK(F1519,$F$2:$F$1780)+COUNTIF($F$2:F1519,F1519)-1,"")</f>
        <v/>
      </c>
      <c r="Z1519" s="56" t="str">
        <f aca="false">IF(H1519&gt;0,RANK(H1519,$H$2:$H$1780)+COUNTIF($H$2:H1519,H1519)-1,"")</f>
        <v/>
      </c>
      <c r="AA1519" s="56" t="str">
        <f aca="false">IF(AC1519="","",RANK(AC1519,$AC$2:$AC$1780)+COUNTIF($AC$2:AC1519,AC1519)-1)</f>
        <v/>
      </c>
      <c r="AB1519" s="56" t="str">
        <f aca="false">IF(AD1519="","",RANK(AD1519,$AD$2:$AD$1780)+COUNTIF($AD$2:AD1519,AD1519)-1)</f>
        <v/>
      </c>
      <c r="AC1519" s="56" t="str">
        <f aca="false">IF(AND(F1519&gt;0,E1519&gt;=Settings!$B$4),J1519,"")</f>
        <v/>
      </c>
      <c r="AD1519" s="56" t="str">
        <f aca="false">IF(X1519="HIGH RATE",O1519,"")</f>
        <v/>
      </c>
    </row>
    <row r="1520" customFormat="false" ht="15" hidden="false" customHeight="false" outlineLevel="0" collapsed="false">
      <c r="A1520" s="56" t="s">
        <v>2951</v>
      </c>
      <c r="B1520" s="56" t="s">
        <v>907</v>
      </c>
      <c r="C1520" s="56" t="s">
        <v>87</v>
      </c>
      <c r="D1520" s="56" t="str">
        <f aca="false">IFERROR(INDEX('Brand Map'!$B$4:$B$124,MATCH(C1520,'Brand Map'!$A$4:$A$124,0)),"Other")</f>
        <v>FYF</v>
      </c>
      <c r="E1520" s="57" t="n">
        <v>2</v>
      </c>
      <c r="F1520" s="57" t="n">
        <v>0</v>
      </c>
      <c r="G1520" s="58" t="n">
        <v>189.9</v>
      </c>
      <c r="H1520" s="58" t="n">
        <v>0</v>
      </c>
      <c r="I1520" s="58" t="n">
        <v>189.9</v>
      </c>
      <c r="J1520" s="32" t="n">
        <f aca="false">IF(E1520&gt;0,F1520/E1520,0)</f>
        <v>0</v>
      </c>
      <c r="K1520" s="32" t="n">
        <f aca="false">IF(G1520&gt;0,H1520/G1520,0)</f>
        <v>-0</v>
      </c>
      <c r="L1520" s="59" t="n">
        <f aca="false">H1520/Settings!$B$16</f>
        <v>-0</v>
      </c>
      <c r="M1520" s="59" t="n">
        <f aca="false">H1520/Settings!$B$20</f>
        <v>-0</v>
      </c>
      <c r="N1520" s="60" t="n">
        <f aca="false">E1520*Settings!$B$3</f>
        <v>0.0619723021596408</v>
      </c>
      <c r="O1520" s="60" t="n">
        <f aca="false">IF(E1520&gt;0,(F1520-N1520)/SQRT(E1520*Settings!$B$3*(1-Settings!$B$3)),0)</f>
        <v>-0.252891261535318</v>
      </c>
      <c r="P1520" s="60" t="n">
        <f aca="false">MAX(0,F1520-N1520)</f>
        <v>0</v>
      </c>
      <c r="Q1520" s="32" t="n">
        <f aca="false">(F1520+Settings!$B$7*Settings!$B$3)/(E1520+Settings!$B$7)</f>
        <v>0.0290495166373316</v>
      </c>
      <c r="R1520" s="61" t="n">
        <f aca="false">PERCENTRANK($H$2:$H$1780,H1520,6)</f>
        <v>0</v>
      </c>
      <c r="S1520" s="61" t="n">
        <f aca="false">PERCENTRANK($Q$2:$Q$1780,Q1520,6)</f>
        <v>0.365579</v>
      </c>
      <c r="T1520" s="61" t="n">
        <f aca="false">PERCENTRANK($F$2:$F$1780,F1520,6)</f>
        <v>0</v>
      </c>
      <c r="U1520" s="62" t="n">
        <f aca="false">IF(F1520&gt;0,(Settings!$B$8*T1520+Settings!$B$9*R1520+Settings!$B$10*S1520)/SUM(Settings!$B$8:$B$10),0)</f>
        <v>0</v>
      </c>
      <c r="V1520" s="56" t="str">
        <f aca="false">IF(U1520&gt;0,RANK(U1520,$U$2:$U$1780)+COUNTIF($U$2:U1520,U1520)-1,"")</f>
        <v/>
      </c>
      <c r="W1520" s="56" t="str">
        <f aca="false">IF(V1520="","",IF(V1520&lt;=Settings!$B$11,"1 - Fix first",IF(V1520&lt;=Settings!$B$12,"2 - Review","3 - Monitor")))</f>
        <v/>
      </c>
      <c r="X1520" s="56" t="str">
        <f aca="false">IF(AND(E1520&gt;=Settings!$B$4,F1520&gt;=Settings!$B$5,O1520&gt;=Settings!$B$6),"HIGH RATE","")</f>
        <v/>
      </c>
      <c r="Y1520" s="56" t="str">
        <f aca="false">IF(F1520&gt;0,RANK(F1520,$F$2:$F$1780)+COUNTIF($F$2:F1520,F1520)-1,"")</f>
        <v/>
      </c>
      <c r="Z1520" s="56" t="str">
        <f aca="false">IF(H1520&gt;0,RANK(H1520,$H$2:$H$1780)+COUNTIF($H$2:H1520,H1520)-1,"")</f>
        <v/>
      </c>
      <c r="AA1520" s="56" t="str">
        <f aca="false">IF(AC1520="","",RANK(AC1520,$AC$2:$AC$1780)+COUNTIF($AC$2:AC1520,AC1520)-1)</f>
        <v/>
      </c>
      <c r="AB1520" s="56" t="str">
        <f aca="false">IF(AD1520="","",RANK(AD1520,$AD$2:$AD$1780)+COUNTIF($AD$2:AD1520,AD1520)-1)</f>
        <v/>
      </c>
      <c r="AC1520" s="56" t="str">
        <f aca="false">IF(AND(F1520&gt;0,E1520&gt;=Settings!$B$4),J1520,"")</f>
        <v/>
      </c>
      <c r="AD1520" s="56" t="str">
        <f aca="false">IF(X1520="HIGH RATE",O1520,"")</f>
        <v/>
      </c>
    </row>
    <row r="1521" customFormat="false" ht="15" hidden="false" customHeight="false" outlineLevel="0" collapsed="false">
      <c r="A1521" s="56" t="s">
        <v>2952</v>
      </c>
      <c r="B1521" s="56" t="s">
        <v>907</v>
      </c>
      <c r="C1521" s="56" t="s">
        <v>87</v>
      </c>
      <c r="D1521" s="56" t="str">
        <f aca="false">IFERROR(INDEX('Brand Map'!$B$4:$B$124,MATCH(C1521,'Brand Map'!$A$4:$A$124,0)),"Other")</f>
        <v>FYF</v>
      </c>
      <c r="E1521" s="57" t="n">
        <v>1</v>
      </c>
      <c r="F1521" s="57" t="n">
        <v>0</v>
      </c>
      <c r="G1521" s="58" t="n">
        <v>104.95</v>
      </c>
      <c r="H1521" s="58" t="n">
        <v>0</v>
      </c>
      <c r="I1521" s="58" t="n">
        <v>104.95</v>
      </c>
      <c r="J1521" s="32" t="n">
        <f aca="false">IF(E1521&gt;0,F1521/E1521,0)</f>
        <v>0</v>
      </c>
      <c r="K1521" s="32" t="n">
        <f aca="false">IF(G1521&gt;0,H1521/G1521,0)</f>
        <v>-0</v>
      </c>
      <c r="L1521" s="59" t="n">
        <f aca="false">H1521/Settings!$B$16</f>
        <v>-0</v>
      </c>
      <c r="M1521" s="59" t="n">
        <f aca="false">H1521/Settings!$B$20</f>
        <v>-0</v>
      </c>
      <c r="N1521" s="60" t="n">
        <f aca="false">E1521*Settings!$B$3</f>
        <v>0.0309861510798204</v>
      </c>
      <c r="O1521" s="60" t="n">
        <f aca="false">IF(E1521&gt;0,(F1521-N1521)/SQRT(E1521*Settings!$B$3*(1-Settings!$B$3)),0)</f>
        <v>-0.178821125934444</v>
      </c>
      <c r="P1521" s="60" t="n">
        <f aca="false">MAX(0,F1521-N1521)</f>
        <v>0</v>
      </c>
      <c r="Q1521" s="32" t="n">
        <f aca="false">(F1521+Settings!$B$7*Settings!$B$3)/(E1521+Settings!$B$7)</f>
        <v>0.0299865978191811</v>
      </c>
      <c r="R1521" s="61" t="n">
        <f aca="false">PERCENTRANK($H$2:$H$1780,H1521,6)</f>
        <v>0</v>
      </c>
      <c r="S1521" s="61" t="n">
        <f aca="false">PERCENTRANK($Q$2:$Q$1780,Q1521,6)</f>
        <v>0.486502</v>
      </c>
      <c r="T1521" s="61" t="n">
        <f aca="false">PERCENTRANK($F$2:$F$1780,F1521,6)</f>
        <v>0</v>
      </c>
      <c r="U1521" s="62" t="n">
        <f aca="false">IF(F1521&gt;0,(Settings!$B$8*T1521+Settings!$B$9*R1521+Settings!$B$10*S1521)/SUM(Settings!$B$8:$B$10),0)</f>
        <v>0</v>
      </c>
      <c r="V1521" s="56" t="str">
        <f aca="false">IF(U1521&gt;0,RANK(U1521,$U$2:$U$1780)+COUNTIF($U$2:U1521,U1521)-1,"")</f>
        <v/>
      </c>
      <c r="W1521" s="56" t="str">
        <f aca="false">IF(V1521="","",IF(V1521&lt;=Settings!$B$11,"1 - Fix first",IF(V1521&lt;=Settings!$B$12,"2 - Review","3 - Monitor")))</f>
        <v/>
      </c>
      <c r="X1521" s="56" t="str">
        <f aca="false">IF(AND(E1521&gt;=Settings!$B$4,F1521&gt;=Settings!$B$5,O1521&gt;=Settings!$B$6),"HIGH RATE","")</f>
        <v/>
      </c>
      <c r="Y1521" s="56" t="str">
        <f aca="false">IF(F1521&gt;0,RANK(F1521,$F$2:$F$1780)+COUNTIF($F$2:F1521,F1521)-1,"")</f>
        <v/>
      </c>
      <c r="Z1521" s="56" t="str">
        <f aca="false">IF(H1521&gt;0,RANK(H1521,$H$2:$H$1780)+COUNTIF($H$2:H1521,H1521)-1,"")</f>
        <v/>
      </c>
      <c r="AA1521" s="56" t="str">
        <f aca="false">IF(AC1521="","",RANK(AC1521,$AC$2:$AC$1780)+COUNTIF($AC$2:AC1521,AC1521)-1)</f>
        <v/>
      </c>
      <c r="AB1521" s="56" t="str">
        <f aca="false">IF(AD1521="","",RANK(AD1521,$AD$2:$AD$1780)+COUNTIF($AD$2:AD1521,AD1521)-1)</f>
        <v/>
      </c>
      <c r="AC1521" s="56" t="str">
        <f aca="false">IF(AND(F1521&gt;0,E1521&gt;=Settings!$B$4),J1521,"")</f>
        <v/>
      </c>
      <c r="AD1521" s="56" t="str">
        <f aca="false">IF(X1521="HIGH RATE",O1521,"")</f>
        <v/>
      </c>
    </row>
    <row r="1522" customFormat="false" ht="15" hidden="false" customHeight="false" outlineLevel="0" collapsed="false">
      <c r="A1522" s="56" t="s">
        <v>2953</v>
      </c>
      <c r="B1522" s="56" t="s">
        <v>1356</v>
      </c>
      <c r="C1522" s="56" t="s">
        <v>87</v>
      </c>
      <c r="D1522" s="56" t="str">
        <f aca="false">IFERROR(INDEX('Brand Map'!$B$4:$B$124,MATCH(C1522,'Brand Map'!$A$4:$A$124,0)),"Other")</f>
        <v>FYF</v>
      </c>
      <c r="E1522" s="57" t="n">
        <v>4</v>
      </c>
      <c r="F1522" s="57" t="n">
        <v>0</v>
      </c>
      <c r="G1522" s="58" t="n">
        <v>399.8</v>
      </c>
      <c r="H1522" s="58" t="n">
        <v>0</v>
      </c>
      <c r="I1522" s="58" t="n">
        <v>399.8</v>
      </c>
      <c r="J1522" s="32" t="n">
        <f aca="false">IF(E1522&gt;0,F1522/E1522,0)</f>
        <v>0</v>
      </c>
      <c r="K1522" s="32" t="n">
        <f aca="false">IF(G1522&gt;0,H1522/G1522,0)</f>
        <v>-0</v>
      </c>
      <c r="L1522" s="59" t="n">
        <f aca="false">H1522/Settings!$B$16</f>
        <v>-0</v>
      </c>
      <c r="M1522" s="59" t="n">
        <f aca="false">H1522/Settings!$B$20</f>
        <v>-0</v>
      </c>
      <c r="N1522" s="60" t="n">
        <f aca="false">E1522*Settings!$B$3</f>
        <v>0.123944604319282</v>
      </c>
      <c r="O1522" s="60" t="n">
        <f aca="false">IF(E1522&gt;0,(F1522-N1522)/SQRT(E1522*Settings!$B$3*(1-Settings!$B$3)),0)</f>
        <v>-0.357642251868888</v>
      </c>
      <c r="P1522" s="60" t="n">
        <f aca="false">MAX(0,F1522-N1522)</f>
        <v>0</v>
      </c>
      <c r="Q1522" s="32" t="n">
        <f aca="false">(F1522+Settings!$B$7*Settings!$B$3)/(E1522+Settings!$B$7)</f>
        <v>0.027340721541018</v>
      </c>
      <c r="R1522" s="61" t="n">
        <f aca="false">PERCENTRANK($H$2:$H$1780,H1522,6)</f>
        <v>0</v>
      </c>
      <c r="S1522" s="61" t="n">
        <f aca="false">PERCENTRANK($Q$2:$Q$1780,Q1522,6)</f>
        <v>0.253656</v>
      </c>
      <c r="T1522" s="61" t="n">
        <f aca="false">PERCENTRANK($F$2:$F$1780,F1522,6)</f>
        <v>0</v>
      </c>
      <c r="U1522" s="62" t="n">
        <f aca="false">IF(F1522&gt;0,(Settings!$B$8*T1522+Settings!$B$9*R1522+Settings!$B$10*S1522)/SUM(Settings!$B$8:$B$10),0)</f>
        <v>0</v>
      </c>
      <c r="V1522" s="56" t="str">
        <f aca="false">IF(U1522&gt;0,RANK(U1522,$U$2:$U$1780)+COUNTIF($U$2:U1522,U1522)-1,"")</f>
        <v/>
      </c>
      <c r="W1522" s="56" t="str">
        <f aca="false">IF(V1522="","",IF(V1522&lt;=Settings!$B$11,"1 - Fix first",IF(V1522&lt;=Settings!$B$12,"2 - Review","3 - Monitor")))</f>
        <v/>
      </c>
      <c r="X1522" s="56" t="str">
        <f aca="false">IF(AND(E1522&gt;=Settings!$B$4,F1522&gt;=Settings!$B$5,O1522&gt;=Settings!$B$6),"HIGH RATE","")</f>
        <v/>
      </c>
      <c r="Y1522" s="56" t="str">
        <f aca="false">IF(F1522&gt;0,RANK(F1522,$F$2:$F$1780)+COUNTIF($F$2:F1522,F1522)-1,"")</f>
        <v/>
      </c>
      <c r="Z1522" s="56" t="str">
        <f aca="false">IF(H1522&gt;0,RANK(H1522,$H$2:$H$1780)+COUNTIF($H$2:H1522,H1522)-1,"")</f>
        <v/>
      </c>
      <c r="AA1522" s="56" t="str">
        <f aca="false">IF(AC1522="","",RANK(AC1522,$AC$2:$AC$1780)+COUNTIF($AC$2:AC1522,AC1522)-1)</f>
        <v/>
      </c>
      <c r="AB1522" s="56" t="str">
        <f aca="false">IF(AD1522="","",RANK(AD1522,$AD$2:$AD$1780)+COUNTIF($AD$2:AD1522,AD1522)-1)</f>
        <v/>
      </c>
      <c r="AC1522" s="56" t="str">
        <f aca="false">IF(AND(F1522&gt;0,E1522&gt;=Settings!$B$4),J1522,"")</f>
        <v/>
      </c>
      <c r="AD1522" s="56" t="str">
        <f aca="false">IF(X1522="HIGH RATE",O1522,"")</f>
        <v/>
      </c>
    </row>
    <row r="1523" customFormat="false" ht="15" hidden="false" customHeight="false" outlineLevel="0" collapsed="false">
      <c r="A1523" s="56" t="s">
        <v>2954</v>
      </c>
      <c r="B1523" s="56" t="s">
        <v>1356</v>
      </c>
      <c r="C1523" s="56" t="s">
        <v>87</v>
      </c>
      <c r="D1523" s="56" t="str">
        <f aca="false">IFERROR(INDEX('Brand Map'!$B$4:$B$124,MATCH(C1523,'Brand Map'!$A$4:$A$124,0)),"Other")</f>
        <v>FYF</v>
      </c>
      <c r="E1523" s="57" t="n">
        <v>19</v>
      </c>
      <c r="F1523" s="57" t="n">
        <v>0</v>
      </c>
      <c r="G1523" s="58" t="n">
        <v>2089.05</v>
      </c>
      <c r="H1523" s="58" t="n">
        <v>0</v>
      </c>
      <c r="I1523" s="58" t="n">
        <v>2089.05</v>
      </c>
      <c r="J1523" s="32" t="n">
        <f aca="false">IF(E1523&gt;0,F1523/E1523,0)</f>
        <v>0</v>
      </c>
      <c r="K1523" s="32" t="n">
        <f aca="false">IF(G1523&gt;0,H1523/G1523,0)</f>
        <v>-0</v>
      </c>
      <c r="L1523" s="59" t="n">
        <f aca="false">H1523/Settings!$B$16</f>
        <v>-0</v>
      </c>
      <c r="M1523" s="59" t="n">
        <f aca="false">H1523/Settings!$B$20</f>
        <v>-0</v>
      </c>
      <c r="N1523" s="60" t="n">
        <f aca="false">E1523*Settings!$B$3</f>
        <v>0.588736870516588</v>
      </c>
      <c r="O1523" s="60" t="n">
        <f aca="false">IF(E1523&gt;0,(F1523-N1523)/SQRT(E1523*Settings!$B$3*(1-Settings!$B$3)),0)</f>
        <v>-0.779463216918402</v>
      </c>
      <c r="P1523" s="60" t="n">
        <f aca="false">MAX(0,F1523-N1523)</f>
        <v>0</v>
      </c>
      <c r="Q1523" s="32" t="n">
        <f aca="false">(F1523+Settings!$B$7*Settings!$B$3)/(E1523+Settings!$B$7)</f>
        <v>0.0189711129060125</v>
      </c>
      <c r="R1523" s="61" t="n">
        <f aca="false">PERCENTRANK($H$2:$H$1780,H1523,6)</f>
        <v>0</v>
      </c>
      <c r="S1523" s="61" t="n">
        <f aca="false">PERCENTRANK($Q$2:$Q$1780,Q1523,6)</f>
        <v>0.0776153</v>
      </c>
      <c r="T1523" s="61" t="n">
        <f aca="false">PERCENTRANK($F$2:$F$1780,F1523,6)</f>
        <v>0</v>
      </c>
      <c r="U1523" s="62" t="n">
        <f aca="false">IF(F1523&gt;0,(Settings!$B$8*T1523+Settings!$B$9*R1523+Settings!$B$10*S1523)/SUM(Settings!$B$8:$B$10),0)</f>
        <v>0</v>
      </c>
      <c r="V1523" s="56" t="str">
        <f aca="false">IF(U1523&gt;0,RANK(U1523,$U$2:$U$1780)+COUNTIF($U$2:U1523,U1523)-1,"")</f>
        <v/>
      </c>
      <c r="W1523" s="56" t="str">
        <f aca="false">IF(V1523="","",IF(V1523&lt;=Settings!$B$11,"1 - Fix first",IF(V1523&lt;=Settings!$B$12,"2 - Review","3 - Monitor")))</f>
        <v/>
      </c>
      <c r="X1523" s="56" t="str">
        <f aca="false">IF(AND(E1523&gt;=Settings!$B$4,F1523&gt;=Settings!$B$5,O1523&gt;=Settings!$B$6),"HIGH RATE","")</f>
        <v/>
      </c>
      <c r="Y1523" s="56" t="str">
        <f aca="false">IF(F1523&gt;0,RANK(F1523,$F$2:$F$1780)+COUNTIF($F$2:F1523,F1523)-1,"")</f>
        <v/>
      </c>
      <c r="Z1523" s="56" t="str">
        <f aca="false">IF(H1523&gt;0,RANK(H1523,$H$2:$H$1780)+COUNTIF($H$2:H1523,H1523)-1,"")</f>
        <v/>
      </c>
      <c r="AA1523" s="56" t="str">
        <f aca="false">IF(AC1523="","",RANK(AC1523,$AC$2:$AC$1780)+COUNTIF($AC$2:AC1523,AC1523)-1)</f>
        <v/>
      </c>
      <c r="AB1523" s="56" t="str">
        <f aca="false">IF(AD1523="","",RANK(AD1523,$AD$2:$AD$1780)+COUNTIF($AD$2:AD1523,AD1523)-1)</f>
        <v/>
      </c>
      <c r="AC1523" s="56" t="str">
        <f aca="false">IF(AND(F1523&gt;0,E1523&gt;=Settings!$B$4),J1523,"")</f>
        <v/>
      </c>
      <c r="AD1523" s="56" t="str">
        <f aca="false">IF(X1523="HIGH RATE",O1523,"")</f>
        <v/>
      </c>
    </row>
    <row r="1524" customFormat="false" ht="15" hidden="false" customHeight="false" outlineLevel="0" collapsed="false">
      <c r="A1524" s="56" t="s">
        <v>2955</v>
      </c>
      <c r="B1524" s="56" t="s">
        <v>1356</v>
      </c>
      <c r="C1524" s="56" t="s">
        <v>87</v>
      </c>
      <c r="D1524" s="56" t="str">
        <f aca="false">IFERROR(INDEX('Brand Map'!$B$4:$B$124,MATCH(C1524,'Brand Map'!$A$4:$A$124,0)),"Other")</f>
        <v>FYF</v>
      </c>
      <c r="E1524" s="57" t="n">
        <v>1</v>
      </c>
      <c r="F1524" s="57" t="n">
        <v>0</v>
      </c>
      <c r="G1524" s="58" t="n">
        <v>99.95</v>
      </c>
      <c r="H1524" s="58" t="n">
        <v>0</v>
      </c>
      <c r="I1524" s="58" t="n">
        <v>99.95</v>
      </c>
      <c r="J1524" s="32" t="n">
        <f aca="false">IF(E1524&gt;0,F1524/E1524,0)</f>
        <v>0</v>
      </c>
      <c r="K1524" s="32" t="n">
        <f aca="false">IF(G1524&gt;0,H1524/G1524,0)</f>
        <v>-0</v>
      </c>
      <c r="L1524" s="59" t="n">
        <f aca="false">H1524/Settings!$B$16</f>
        <v>-0</v>
      </c>
      <c r="M1524" s="59" t="n">
        <f aca="false">H1524/Settings!$B$20</f>
        <v>-0</v>
      </c>
      <c r="N1524" s="60" t="n">
        <f aca="false">E1524*Settings!$B$3</f>
        <v>0.0309861510798204</v>
      </c>
      <c r="O1524" s="60" t="n">
        <f aca="false">IF(E1524&gt;0,(F1524-N1524)/SQRT(E1524*Settings!$B$3*(1-Settings!$B$3)),0)</f>
        <v>-0.178821125934444</v>
      </c>
      <c r="P1524" s="60" t="n">
        <f aca="false">MAX(0,F1524-N1524)</f>
        <v>0</v>
      </c>
      <c r="Q1524" s="32" t="n">
        <f aca="false">(F1524+Settings!$B$7*Settings!$B$3)/(E1524+Settings!$B$7)</f>
        <v>0.0299865978191811</v>
      </c>
      <c r="R1524" s="61" t="n">
        <f aca="false">PERCENTRANK($H$2:$H$1780,H1524,6)</f>
        <v>0</v>
      </c>
      <c r="S1524" s="61" t="n">
        <f aca="false">PERCENTRANK($Q$2:$Q$1780,Q1524,6)</f>
        <v>0.486502</v>
      </c>
      <c r="T1524" s="61" t="n">
        <f aca="false">PERCENTRANK($F$2:$F$1780,F1524,6)</f>
        <v>0</v>
      </c>
      <c r="U1524" s="62" t="n">
        <f aca="false">IF(F1524&gt;0,(Settings!$B$8*T1524+Settings!$B$9*R1524+Settings!$B$10*S1524)/SUM(Settings!$B$8:$B$10),0)</f>
        <v>0</v>
      </c>
      <c r="V1524" s="56" t="str">
        <f aca="false">IF(U1524&gt;0,RANK(U1524,$U$2:$U$1780)+COUNTIF($U$2:U1524,U1524)-1,"")</f>
        <v/>
      </c>
      <c r="W1524" s="56" t="str">
        <f aca="false">IF(V1524="","",IF(V1524&lt;=Settings!$B$11,"1 - Fix first",IF(V1524&lt;=Settings!$B$12,"2 - Review","3 - Monitor")))</f>
        <v/>
      </c>
      <c r="X1524" s="56" t="str">
        <f aca="false">IF(AND(E1524&gt;=Settings!$B$4,F1524&gt;=Settings!$B$5,O1524&gt;=Settings!$B$6),"HIGH RATE","")</f>
        <v/>
      </c>
      <c r="Y1524" s="56" t="str">
        <f aca="false">IF(F1524&gt;0,RANK(F1524,$F$2:$F$1780)+COUNTIF($F$2:F1524,F1524)-1,"")</f>
        <v/>
      </c>
      <c r="Z1524" s="56" t="str">
        <f aca="false">IF(H1524&gt;0,RANK(H1524,$H$2:$H$1780)+COUNTIF($H$2:H1524,H1524)-1,"")</f>
        <v/>
      </c>
      <c r="AA1524" s="56" t="str">
        <f aca="false">IF(AC1524="","",RANK(AC1524,$AC$2:$AC$1780)+COUNTIF($AC$2:AC1524,AC1524)-1)</f>
        <v/>
      </c>
      <c r="AB1524" s="56" t="str">
        <f aca="false">IF(AD1524="","",RANK(AD1524,$AD$2:$AD$1780)+COUNTIF($AD$2:AD1524,AD1524)-1)</f>
        <v/>
      </c>
      <c r="AC1524" s="56" t="str">
        <f aca="false">IF(AND(F1524&gt;0,E1524&gt;=Settings!$B$4),J1524,"")</f>
        <v/>
      </c>
      <c r="AD1524" s="56" t="str">
        <f aca="false">IF(X1524="HIGH RATE",O1524,"")</f>
        <v/>
      </c>
    </row>
    <row r="1525" customFormat="false" ht="15" hidden="false" customHeight="false" outlineLevel="0" collapsed="false">
      <c r="A1525" s="56" t="s">
        <v>2956</v>
      </c>
      <c r="B1525" s="56" t="s">
        <v>1356</v>
      </c>
      <c r="C1525" s="56" t="s">
        <v>87</v>
      </c>
      <c r="D1525" s="56" t="str">
        <f aca="false">IFERROR(INDEX('Brand Map'!$B$4:$B$124,MATCH(C1525,'Brand Map'!$A$4:$A$124,0)),"Other")</f>
        <v>FYF</v>
      </c>
      <c r="E1525" s="57" t="n">
        <v>18</v>
      </c>
      <c r="F1525" s="57" t="n">
        <v>0</v>
      </c>
      <c r="G1525" s="58" t="n">
        <v>1979.1</v>
      </c>
      <c r="H1525" s="58" t="n">
        <v>0</v>
      </c>
      <c r="I1525" s="58" t="n">
        <v>1979.1</v>
      </c>
      <c r="J1525" s="32" t="n">
        <f aca="false">IF(E1525&gt;0,F1525/E1525,0)</f>
        <v>0</v>
      </c>
      <c r="K1525" s="32" t="n">
        <f aca="false">IF(G1525&gt;0,H1525/G1525,0)</f>
        <v>-0</v>
      </c>
      <c r="L1525" s="59" t="n">
        <f aca="false">H1525/Settings!$B$16</f>
        <v>-0</v>
      </c>
      <c r="M1525" s="59" t="n">
        <f aca="false">H1525/Settings!$B$20</f>
        <v>-0</v>
      </c>
      <c r="N1525" s="60" t="n">
        <f aca="false">E1525*Settings!$B$3</f>
        <v>0.557750719436768</v>
      </c>
      <c r="O1525" s="60" t="n">
        <f aca="false">IF(E1525&gt;0,(F1525-N1525)/SQRT(E1525*Settings!$B$3*(1-Settings!$B$3)),0)</f>
        <v>-0.758673784605954</v>
      </c>
      <c r="P1525" s="60" t="n">
        <f aca="false">MAX(0,F1525-N1525)</f>
        <v>0</v>
      </c>
      <c r="Q1525" s="32" t="n">
        <f aca="false">(F1525+Settings!$B$7*Settings!$B$3)/(E1525+Settings!$B$7)</f>
        <v>0.0193663444248878</v>
      </c>
      <c r="R1525" s="61" t="n">
        <f aca="false">PERCENTRANK($H$2:$H$1780,H1525,6)</f>
        <v>0</v>
      </c>
      <c r="S1525" s="61" t="n">
        <f aca="false">PERCENTRANK($Q$2:$Q$1780,Q1525,6)</f>
        <v>0.083802</v>
      </c>
      <c r="T1525" s="61" t="n">
        <f aca="false">PERCENTRANK($F$2:$F$1780,F1525,6)</f>
        <v>0</v>
      </c>
      <c r="U1525" s="62" t="n">
        <f aca="false">IF(F1525&gt;0,(Settings!$B$8*T1525+Settings!$B$9*R1525+Settings!$B$10*S1525)/SUM(Settings!$B$8:$B$10),0)</f>
        <v>0</v>
      </c>
      <c r="V1525" s="56" t="str">
        <f aca="false">IF(U1525&gt;0,RANK(U1525,$U$2:$U$1780)+COUNTIF($U$2:U1525,U1525)-1,"")</f>
        <v/>
      </c>
      <c r="W1525" s="56" t="str">
        <f aca="false">IF(V1525="","",IF(V1525&lt;=Settings!$B$11,"1 - Fix first",IF(V1525&lt;=Settings!$B$12,"2 - Review","3 - Monitor")))</f>
        <v/>
      </c>
      <c r="X1525" s="56" t="str">
        <f aca="false">IF(AND(E1525&gt;=Settings!$B$4,F1525&gt;=Settings!$B$5,O1525&gt;=Settings!$B$6),"HIGH RATE","")</f>
        <v/>
      </c>
      <c r="Y1525" s="56" t="str">
        <f aca="false">IF(F1525&gt;0,RANK(F1525,$F$2:$F$1780)+COUNTIF($F$2:F1525,F1525)-1,"")</f>
        <v/>
      </c>
      <c r="Z1525" s="56" t="str">
        <f aca="false">IF(H1525&gt;0,RANK(H1525,$H$2:$H$1780)+COUNTIF($H$2:H1525,H1525)-1,"")</f>
        <v/>
      </c>
      <c r="AA1525" s="56" t="str">
        <f aca="false">IF(AC1525="","",RANK(AC1525,$AC$2:$AC$1780)+COUNTIF($AC$2:AC1525,AC1525)-1)</f>
        <v/>
      </c>
      <c r="AB1525" s="56" t="str">
        <f aca="false">IF(AD1525="","",RANK(AD1525,$AD$2:$AD$1780)+COUNTIF($AD$2:AD1525,AD1525)-1)</f>
        <v/>
      </c>
      <c r="AC1525" s="56" t="str">
        <f aca="false">IF(AND(F1525&gt;0,E1525&gt;=Settings!$B$4),J1525,"")</f>
        <v/>
      </c>
      <c r="AD1525" s="56" t="str">
        <f aca="false">IF(X1525="HIGH RATE",O1525,"")</f>
        <v/>
      </c>
    </row>
    <row r="1526" customFormat="false" ht="15" hidden="false" customHeight="false" outlineLevel="0" collapsed="false">
      <c r="A1526" s="56" t="s">
        <v>2957</v>
      </c>
      <c r="B1526" s="56" t="s">
        <v>2958</v>
      </c>
      <c r="C1526" s="56" t="s">
        <v>87</v>
      </c>
      <c r="D1526" s="56" t="str">
        <f aca="false">IFERROR(INDEX('Brand Map'!$B$4:$B$124,MATCH(C1526,'Brand Map'!$A$4:$A$124,0)),"Other")</f>
        <v>FYF</v>
      </c>
      <c r="E1526" s="57" t="n">
        <v>3</v>
      </c>
      <c r="F1526" s="57" t="n">
        <v>0</v>
      </c>
      <c r="G1526" s="58" t="n">
        <v>269.85</v>
      </c>
      <c r="H1526" s="58" t="n">
        <v>0</v>
      </c>
      <c r="I1526" s="58" t="n">
        <v>269.85</v>
      </c>
      <c r="J1526" s="32" t="n">
        <f aca="false">IF(E1526&gt;0,F1526/E1526,0)</f>
        <v>0</v>
      </c>
      <c r="K1526" s="32" t="n">
        <f aca="false">IF(G1526&gt;0,H1526/G1526,0)</f>
        <v>-0</v>
      </c>
      <c r="L1526" s="59" t="n">
        <f aca="false">H1526/Settings!$B$16</f>
        <v>-0</v>
      </c>
      <c r="M1526" s="59" t="n">
        <f aca="false">H1526/Settings!$B$20</f>
        <v>-0</v>
      </c>
      <c r="N1526" s="60" t="n">
        <f aca="false">E1526*Settings!$B$3</f>
        <v>0.0929584532394613</v>
      </c>
      <c r="O1526" s="60" t="n">
        <f aca="false">IF(E1526&gt;0,(F1526-N1526)/SQRT(E1526*Settings!$B$3*(1-Settings!$B$3)),0)</f>
        <v>-0.30972727558513</v>
      </c>
      <c r="P1526" s="60" t="n">
        <f aca="false">MAX(0,F1526-N1526)</f>
        <v>0</v>
      </c>
      <c r="Q1526" s="32" t="n">
        <f aca="false">(F1526+Settings!$B$7*Settings!$B$3)/(E1526+Settings!$B$7)</f>
        <v>0.0281692282543822</v>
      </c>
      <c r="R1526" s="61" t="n">
        <f aca="false">PERCENTRANK($H$2:$H$1780,H1526,6)</f>
        <v>0</v>
      </c>
      <c r="S1526" s="61" t="n">
        <f aca="false">PERCENTRANK($Q$2:$Q$1780,Q1526,6)</f>
        <v>0.294151</v>
      </c>
      <c r="T1526" s="61" t="n">
        <f aca="false">PERCENTRANK($F$2:$F$1780,F1526,6)</f>
        <v>0</v>
      </c>
      <c r="U1526" s="62" t="n">
        <f aca="false">IF(F1526&gt;0,(Settings!$B$8*T1526+Settings!$B$9*R1526+Settings!$B$10*S1526)/SUM(Settings!$B$8:$B$10),0)</f>
        <v>0</v>
      </c>
      <c r="V1526" s="56" t="str">
        <f aca="false">IF(U1526&gt;0,RANK(U1526,$U$2:$U$1780)+COUNTIF($U$2:U1526,U1526)-1,"")</f>
        <v/>
      </c>
      <c r="W1526" s="56" t="str">
        <f aca="false">IF(V1526="","",IF(V1526&lt;=Settings!$B$11,"1 - Fix first",IF(V1526&lt;=Settings!$B$12,"2 - Review","3 - Monitor")))</f>
        <v/>
      </c>
      <c r="X1526" s="56" t="str">
        <f aca="false">IF(AND(E1526&gt;=Settings!$B$4,F1526&gt;=Settings!$B$5,O1526&gt;=Settings!$B$6),"HIGH RATE","")</f>
        <v/>
      </c>
      <c r="Y1526" s="56" t="str">
        <f aca="false">IF(F1526&gt;0,RANK(F1526,$F$2:$F$1780)+COUNTIF($F$2:F1526,F1526)-1,"")</f>
        <v/>
      </c>
      <c r="Z1526" s="56" t="str">
        <f aca="false">IF(H1526&gt;0,RANK(H1526,$H$2:$H$1780)+COUNTIF($H$2:H1526,H1526)-1,"")</f>
        <v/>
      </c>
      <c r="AA1526" s="56" t="str">
        <f aca="false">IF(AC1526="","",RANK(AC1526,$AC$2:$AC$1780)+COUNTIF($AC$2:AC1526,AC1526)-1)</f>
        <v/>
      </c>
      <c r="AB1526" s="56" t="str">
        <f aca="false">IF(AD1526="","",RANK(AD1526,$AD$2:$AD$1780)+COUNTIF($AD$2:AD1526,AD1526)-1)</f>
        <v/>
      </c>
      <c r="AC1526" s="56" t="str">
        <f aca="false">IF(AND(F1526&gt;0,E1526&gt;=Settings!$B$4),J1526,"")</f>
        <v/>
      </c>
      <c r="AD1526" s="56" t="str">
        <f aca="false">IF(X1526="HIGH RATE",O1526,"")</f>
        <v/>
      </c>
    </row>
    <row r="1527" customFormat="false" ht="15" hidden="false" customHeight="false" outlineLevel="0" collapsed="false">
      <c r="A1527" s="56" t="s">
        <v>2959</v>
      </c>
      <c r="B1527" s="56" t="s">
        <v>2958</v>
      </c>
      <c r="C1527" s="56" t="s">
        <v>87</v>
      </c>
      <c r="D1527" s="56" t="str">
        <f aca="false">IFERROR(INDEX('Brand Map'!$B$4:$B$124,MATCH(C1527,'Brand Map'!$A$4:$A$124,0)),"Other")</f>
        <v>FYF</v>
      </c>
      <c r="E1527" s="57" t="n">
        <v>1</v>
      </c>
      <c r="F1527" s="57" t="n">
        <v>0</v>
      </c>
      <c r="G1527" s="58" t="n">
        <v>104.95</v>
      </c>
      <c r="H1527" s="58" t="n">
        <v>0</v>
      </c>
      <c r="I1527" s="58" t="n">
        <v>104.95</v>
      </c>
      <c r="J1527" s="32" t="n">
        <f aca="false">IF(E1527&gt;0,F1527/E1527,0)</f>
        <v>0</v>
      </c>
      <c r="K1527" s="32" t="n">
        <f aca="false">IF(G1527&gt;0,H1527/G1527,0)</f>
        <v>-0</v>
      </c>
      <c r="L1527" s="59" t="n">
        <f aca="false">H1527/Settings!$B$16</f>
        <v>-0</v>
      </c>
      <c r="M1527" s="59" t="n">
        <f aca="false">H1527/Settings!$B$20</f>
        <v>-0</v>
      </c>
      <c r="N1527" s="60" t="n">
        <f aca="false">E1527*Settings!$B$3</f>
        <v>0.0309861510798204</v>
      </c>
      <c r="O1527" s="60" t="n">
        <f aca="false">IF(E1527&gt;0,(F1527-N1527)/SQRT(E1527*Settings!$B$3*(1-Settings!$B$3)),0)</f>
        <v>-0.178821125934444</v>
      </c>
      <c r="P1527" s="60" t="n">
        <f aca="false">MAX(0,F1527-N1527)</f>
        <v>0</v>
      </c>
      <c r="Q1527" s="32" t="n">
        <f aca="false">(F1527+Settings!$B$7*Settings!$B$3)/(E1527+Settings!$B$7)</f>
        <v>0.0299865978191811</v>
      </c>
      <c r="R1527" s="61" t="n">
        <f aca="false">PERCENTRANK($H$2:$H$1780,H1527,6)</f>
        <v>0</v>
      </c>
      <c r="S1527" s="61" t="n">
        <f aca="false">PERCENTRANK($Q$2:$Q$1780,Q1527,6)</f>
        <v>0.486502</v>
      </c>
      <c r="T1527" s="61" t="n">
        <f aca="false">PERCENTRANK($F$2:$F$1780,F1527,6)</f>
        <v>0</v>
      </c>
      <c r="U1527" s="62" t="n">
        <f aca="false">IF(F1527&gt;0,(Settings!$B$8*T1527+Settings!$B$9*R1527+Settings!$B$10*S1527)/SUM(Settings!$B$8:$B$10),0)</f>
        <v>0</v>
      </c>
      <c r="V1527" s="56" t="str">
        <f aca="false">IF(U1527&gt;0,RANK(U1527,$U$2:$U$1780)+COUNTIF($U$2:U1527,U1527)-1,"")</f>
        <v/>
      </c>
      <c r="W1527" s="56" t="str">
        <f aca="false">IF(V1527="","",IF(V1527&lt;=Settings!$B$11,"1 - Fix first",IF(V1527&lt;=Settings!$B$12,"2 - Review","3 - Monitor")))</f>
        <v/>
      </c>
      <c r="X1527" s="56" t="str">
        <f aca="false">IF(AND(E1527&gt;=Settings!$B$4,F1527&gt;=Settings!$B$5,O1527&gt;=Settings!$B$6),"HIGH RATE","")</f>
        <v/>
      </c>
      <c r="Y1527" s="56" t="str">
        <f aca="false">IF(F1527&gt;0,RANK(F1527,$F$2:$F$1780)+COUNTIF($F$2:F1527,F1527)-1,"")</f>
        <v/>
      </c>
      <c r="Z1527" s="56" t="str">
        <f aca="false">IF(H1527&gt;0,RANK(H1527,$H$2:$H$1780)+COUNTIF($H$2:H1527,H1527)-1,"")</f>
        <v/>
      </c>
      <c r="AA1527" s="56" t="str">
        <f aca="false">IF(AC1527="","",RANK(AC1527,$AC$2:$AC$1780)+COUNTIF($AC$2:AC1527,AC1527)-1)</f>
        <v/>
      </c>
      <c r="AB1527" s="56" t="str">
        <f aca="false">IF(AD1527="","",RANK(AD1527,$AD$2:$AD$1780)+COUNTIF($AD$2:AD1527,AD1527)-1)</f>
        <v/>
      </c>
      <c r="AC1527" s="56" t="str">
        <f aca="false">IF(AND(F1527&gt;0,E1527&gt;=Settings!$B$4),J1527,"")</f>
        <v/>
      </c>
      <c r="AD1527" s="56" t="str">
        <f aca="false">IF(X1527="HIGH RATE",O1527,"")</f>
        <v/>
      </c>
    </row>
    <row r="1528" customFormat="false" ht="15" hidden="false" customHeight="false" outlineLevel="0" collapsed="false">
      <c r="A1528" s="56" t="s">
        <v>2960</v>
      </c>
      <c r="B1528" s="56" t="s">
        <v>2958</v>
      </c>
      <c r="C1528" s="56" t="s">
        <v>87</v>
      </c>
      <c r="D1528" s="56" t="str">
        <f aca="false">IFERROR(INDEX('Brand Map'!$B$4:$B$124,MATCH(C1528,'Brand Map'!$A$4:$A$124,0)),"Other")</f>
        <v>FYF</v>
      </c>
      <c r="E1528" s="57" t="n">
        <v>1</v>
      </c>
      <c r="F1528" s="57" t="n">
        <v>0</v>
      </c>
      <c r="G1528" s="58" t="n">
        <v>114.95</v>
      </c>
      <c r="H1528" s="58" t="n">
        <v>0</v>
      </c>
      <c r="I1528" s="58" t="n">
        <v>114.95</v>
      </c>
      <c r="J1528" s="32" t="n">
        <f aca="false">IF(E1528&gt;0,F1528/E1528,0)</f>
        <v>0</v>
      </c>
      <c r="K1528" s="32" t="n">
        <f aca="false">IF(G1528&gt;0,H1528/G1528,0)</f>
        <v>-0</v>
      </c>
      <c r="L1528" s="59" t="n">
        <f aca="false">H1528/Settings!$B$16</f>
        <v>-0</v>
      </c>
      <c r="M1528" s="59" t="n">
        <f aca="false">H1528/Settings!$B$20</f>
        <v>-0</v>
      </c>
      <c r="N1528" s="60" t="n">
        <f aca="false">E1528*Settings!$B$3</f>
        <v>0.0309861510798204</v>
      </c>
      <c r="O1528" s="60" t="n">
        <f aca="false">IF(E1528&gt;0,(F1528-N1528)/SQRT(E1528*Settings!$B$3*(1-Settings!$B$3)),0)</f>
        <v>-0.178821125934444</v>
      </c>
      <c r="P1528" s="60" t="n">
        <f aca="false">MAX(0,F1528-N1528)</f>
        <v>0</v>
      </c>
      <c r="Q1528" s="32" t="n">
        <f aca="false">(F1528+Settings!$B$7*Settings!$B$3)/(E1528+Settings!$B$7)</f>
        <v>0.0299865978191811</v>
      </c>
      <c r="R1528" s="61" t="n">
        <f aca="false">PERCENTRANK($H$2:$H$1780,H1528,6)</f>
        <v>0</v>
      </c>
      <c r="S1528" s="61" t="n">
        <f aca="false">PERCENTRANK($Q$2:$Q$1780,Q1528,6)</f>
        <v>0.486502</v>
      </c>
      <c r="T1528" s="61" t="n">
        <f aca="false">PERCENTRANK($F$2:$F$1780,F1528,6)</f>
        <v>0</v>
      </c>
      <c r="U1528" s="62" t="n">
        <f aca="false">IF(F1528&gt;0,(Settings!$B$8*T1528+Settings!$B$9*R1528+Settings!$B$10*S1528)/SUM(Settings!$B$8:$B$10),0)</f>
        <v>0</v>
      </c>
      <c r="V1528" s="56" t="str">
        <f aca="false">IF(U1528&gt;0,RANK(U1528,$U$2:$U$1780)+COUNTIF($U$2:U1528,U1528)-1,"")</f>
        <v/>
      </c>
      <c r="W1528" s="56" t="str">
        <f aca="false">IF(V1528="","",IF(V1528&lt;=Settings!$B$11,"1 - Fix first",IF(V1528&lt;=Settings!$B$12,"2 - Review","3 - Monitor")))</f>
        <v/>
      </c>
      <c r="X1528" s="56" t="str">
        <f aca="false">IF(AND(E1528&gt;=Settings!$B$4,F1528&gt;=Settings!$B$5,O1528&gt;=Settings!$B$6),"HIGH RATE","")</f>
        <v/>
      </c>
      <c r="Y1528" s="56" t="str">
        <f aca="false">IF(F1528&gt;0,RANK(F1528,$F$2:$F$1780)+COUNTIF($F$2:F1528,F1528)-1,"")</f>
        <v/>
      </c>
      <c r="Z1528" s="56" t="str">
        <f aca="false">IF(H1528&gt;0,RANK(H1528,$H$2:$H$1780)+COUNTIF($H$2:H1528,H1528)-1,"")</f>
        <v/>
      </c>
      <c r="AA1528" s="56" t="str">
        <f aca="false">IF(AC1528="","",RANK(AC1528,$AC$2:$AC$1780)+COUNTIF($AC$2:AC1528,AC1528)-1)</f>
        <v/>
      </c>
      <c r="AB1528" s="56" t="str">
        <f aca="false">IF(AD1528="","",RANK(AD1528,$AD$2:$AD$1780)+COUNTIF($AD$2:AD1528,AD1528)-1)</f>
        <v/>
      </c>
      <c r="AC1528" s="56" t="str">
        <f aca="false">IF(AND(F1528&gt;0,E1528&gt;=Settings!$B$4),J1528,"")</f>
        <v/>
      </c>
      <c r="AD1528" s="56" t="str">
        <f aca="false">IF(X1528="HIGH RATE",O1528,"")</f>
        <v/>
      </c>
    </row>
    <row r="1529" customFormat="false" ht="15" hidden="false" customHeight="false" outlineLevel="0" collapsed="false">
      <c r="A1529" s="56" t="s">
        <v>2961</v>
      </c>
      <c r="B1529" s="56" t="s">
        <v>1389</v>
      </c>
      <c r="C1529" s="56" t="s">
        <v>87</v>
      </c>
      <c r="D1529" s="56" t="str">
        <f aca="false">IFERROR(INDEX('Brand Map'!$B$4:$B$124,MATCH(C1529,'Brand Map'!$A$4:$A$124,0)),"Other")</f>
        <v>FYF</v>
      </c>
      <c r="E1529" s="57" t="n">
        <v>1</v>
      </c>
      <c r="F1529" s="57" t="n">
        <v>0</v>
      </c>
      <c r="G1529" s="58" t="n">
        <v>114.95</v>
      </c>
      <c r="H1529" s="58" t="n">
        <v>0</v>
      </c>
      <c r="I1529" s="58" t="n">
        <v>114.95</v>
      </c>
      <c r="J1529" s="32" t="n">
        <f aca="false">IF(E1529&gt;0,F1529/E1529,0)</f>
        <v>0</v>
      </c>
      <c r="K1529" s="32" t="n">
        <f aca="false">IF(G1529&gt;0,H1529/G1529,0)</f>
        <v>-0</v>
      </c>
      <c r="L1529" s="59" t="n">
        <f aca="false">H1529/Settings!$B$16</f>
        <v>-0</v>
      </c>
      <c r="M1529" s="59" t="n">
        <f aca="false">H1529/Settings!$B$20</f>
        <v>-0</v>
      </c>
      <c r="N1529" s="60" t="n">
        <f aca="false">E1529*Settings!$B$3</f>
        <v>0.0309861510798204</v>
      </c>
      <c r="O1529" s="60" t="n">
        <f aca="false">IF(E1529&gt;0,(F1529-N1529)/SQRT(E1529*Settings!$B$3*(1-Settings!$B$3)),0)</f>
        <v>-0.178821125934444</v>
      </c>
      <c r="P1529" s="60" t="n">
        <f aca="false">MAX(0,F1529-N1529)</f>
        <v>0</v>
      </c>
      <c r="Q1529" s="32" t="n">
        <f aca="false">(F1529+Settings!$B$7*Settings!$B$3)/(E1529+Settings!$B$7)</f>
        <v>0.0299865978191811</v>
      </c>
      <c r="R1529" s="61" t="n">
        <f aca="false">PERCENTRANK($H$2:$H$1780,H1529,6)</f>
        <v>0</v>
      </c>
      <c r="S1529" s="61" t="n">
        <f aca="false">PERCENTRANK($Q$2:$Q$1780,Q1529,6)</f>
        <v>0.486502</v>
      </c>
      <c r="T1529" s="61" t="n">
        <f aca="false">PERCENTRANK($F$2:$F$1780,F1529,6)</f>
        <v>0</v>
      </c>
      <c r="U1529" s="62" t="n">
        <f aca="false">IF(F1529&gt;0,(Settings!$B$8*T1529+Settings!$B$9*R1529+Settings!$B$10*S1529)/SUM(Settings!$B$8:$B$10),0)</f>
        <v>0</v>
      </c>
      <c r="V1529" s="56" t="str">
        <f aca="false">IF(U1529&gt;0,RANK(U1529,$U$2:$U$1780)+COUNTIF($U$2:U1529,U1529)-1,"")</f>
        <v/>
      </c>
      <c r="W1529" s="56" t="str">
        <f aca="false">IF(V1529="","",IF(V1529&lt;=Settings!$B$11,"1 - Fix first",IF(V1529&lt;=Settings!$B$12,"2 - Review","3 - Monitor")))</f>
        <v/>
      </c>
      <c r="X1529" s="56" t="str">
        <f aca="false">IF(AND(E1529&gt;=Settings!$B$4,F1529&gt;=Settings!$B$5,O1529&gt;=Settings!$B$6),"HIGH RATE","")</f>
        <v/>
      </c>
      <c r="Y1529" s="56" t="str">
        <f aca="false">IF(F1529&gt;0,RANK(F1529,$F$2:$F$1780)+COUNTIF($F$2:F1529,F1529)-1,"")</f>
        <v/>
      </c>
      <c r="Z1529" s="56" t="str">
        <f aca="false">IF(H1529&gt;0,RANK(H1529,$H$2:$H$1780)+COUNTIF($H$2:H1529,H1529)-1,"")</f>
        <v/>
      </c>
      <c r="AA1529" s="56" t="str">
        <f aca="false">IF(AC1529="","",RANK(AC1529,$AC$2:$AC$1780)+COUNTIF($AC$2:AC1529,AC1529)-1)</f>
        <v/>
      </c>
      <c r="AB1529" s="56" t="str">
        <f aca="false">IF(AD1529="","",RANK(AD1529,$AD$2:$AD$1780)+COUNTIF($AD$2:AD1529,AD1529)-1)</f>
        <v/>
      </c>
      <c r="AC1529" s="56" t="str">
        <f aca="false">IF(AND(F1529&gt;0,E1529&gt;=Settings!$B$4),J1529,"")</f>
        <v/>
      </c>
      <c r="AD1529" s="56" t="str">
        <f aca="false">IF(X1529="HIGH RATE",O1529,"")</f>
        <v/>
      </c>
    </row>
    <row r="1530" customFormat="false" ht="15" hidden="false" customHeight="false" outlineLevel="0" collapsed="false">
      <c r="A1530" s="56" t="s">
        <v>2962</v>
      </c>
      <c r="B1530" s="56" t="s">
        <v>1389</v>
      </c>
      <c r="C1530" s="56" t="s">
        <v>87</v>
      </c>
      <c r="D1530" s="56" t="str">
        <f aca="false">IFERROR(INDEX('Brand Map'!$B$4:$B$124,MATCH(C1530,'Brand Map'!$A$4:$A$124,0)),"Other")</f>
        <v>FYF</v>
      </c>
      <c r="E1530" s="57" t="n">
        <v>1</v>
      </c>
      <c r="F1530" s="57" t="n">
        <v>0</v>
      </c>
      <c r="G1530" s="58" t="n">
        <v>124.95</v>
      </c>
      <c r="H1530" s="58" t="n">
        <v>0</v>
      </c>
      <c r="I1530" s="58" t="n">
        <v>124.95</v>
      </c>
      <c r="J1530" s="32" t="n">
        <f aca="false">IF(E1530&gt;0,F1530/E1530,0)</f>
        <v>0</v>
      </c>
      <c r="K1530" s="32" t="n">
        <f aca="false">IF(G1530&gt;0,H1530/G1530,0)</f>
        <v>-0</v>
      </c>
      <c r="L1530" s="59" t="n">
        <f aca="false">H1530/Settings!$B$16</f>
        <v>-0</v>
      </c>
      <c r="M1530" s="59" t="n">
        <f aca="false">H1530/Settings!$B$20</f>
        <v>-0</v>
      </c>
      <c r="N1530" s="60" t="n">
        <f aca="false">E1530*Settings!$B$3</f>
        <v>0.0309861510798204</v>
      </c>
      <c r="O1530" s="60" t="n">
        <f aca="false">IF(E1530&gt;0,(F1530-N1530)/SQRT(E1530*Settings!$B$3*(1-Settings!$B$3)),0)</f>
        <v>-0.178821125934444</v>
      </c>
      <c r="P1530" s="60" t="n">
        <f aca="false">MAX(0,F1530-N1530)</f>
        <v>0</v>
      </c>
      <c r="Q1530" s="32" t="n">
        <f aca="false">(F1530+Settings!$B$7*Settings!$B$3)/(E1530+Settings!$B$7)</f>
        <v>0.0299865978191811</v>
      </c>
      <c r="R1530" s="61" t="n">
        <f aca="false">PERCENTRANK($H$2:$H$1780,H1530,6)</f>
        <v>0</v>
      </c>
      <c r="S1530" s="61" t="n">
        <f aca="false">PERCENTRANK($Q$2:$Q$1780,Q1530,6)</f>
        <v>0.486502</v>
      </c>
      <c r="T1530" s="61" t="n">
        <f aca="false">PERCENTRANK($F$2:$F$1780,F1530,6)</f>
        <v>0</v>
      </c>
      <c r="U1530" s="62" t="n">
        <f aca="false">IF(F1530&gt;0,(Settings!$B$8*T1530+Settings!$B$9*R1530+Settings!$B$10*S1530)/SUM(Settings!$B$8:$B$10),0)</f>
        <v>0</v>
      </c>
      <c r="V1530" s="56" t="str">
        <f aca="false">IF(U1530&gt;0,RANK(U1530,$U$2:$U$1780)+COUNTIF($U$2:U1530,U1530)-1,"")</f>
        <v/>
      </c>
      <c r="W1530" s="56" t="str">
        <f aca="false">IF(V1530="","",IF(V1530&lt;=Settings!$B$11,"1 - Fix first",IF(V1530&lt;=Settings!$B$12,"2 - Review","3 - Monitor")))</f>
        <v/>
      </c>
      <c r="X1530" s="56" t="str">
        <f aca="false">IF(AND(E1530&gt;=Settings!$B$4,F1530&gt;=Settings!$B$5,O1530&gt;=Settings!$B$6),"HIGH RATE","")</f>
        <v/>
      </c>
      <c r="Y1530" s="56" t="str">
        <f aca="false">IF(F1530&gt;0,RANK(F1530,$F$2:$F$1780)+COUNTIF($F$2:F1530,F1530)-1,"")</f>
        <v/>
      </c>
      <c r="Z1530" s="56" t="str">
        <f aca="false">IF(H1530&gt;0,RANK(H1530,$H$2:$H$1780)+COUNTIF($H$2:H1530,H1530)-1,"")</f>
        <v/>
      </c>
      <c r="AA1530" s="56" t="str">
        <f aca="false">IF(AC1530="","",RANK(AC1530,$AC$2:$AC$1780)+COUNTIF($AC$2:AC1530,AC1530)-1)</f>
        <v/>
      </c>
      <c r="AB1530" s="56" t="str">
        <f aca="false">IF(AD1530="","",RANK(AD1530,$AD$2:$AD$1780)+COUNTIF($AD$2:AD1530,AD1530)-1)</f>
        <v/>
      </c>
      <c r="AC1530" s="56" t="str">
        <f aca="false">IF(AND(F1530&gt;0,E1530&gt;=Settings!$B$4),J1530,"")</f>
        <v/>
      </c>
      <c r="AD1530" s="56" t="str">
        <f aca="false">IF(X1530="HIGH RATE",O1530,"")</f>
        <v/>
      </c>
    </row>
    <row r="1531" customFormat="false" ht="15" hidden="false" customHeight="false" outlineLevel="0" collapsed="false">
      <c r="A1531" s="56" t="s">
        <v>2963</v>
      </c>
      <c r="B1531" s="56" t="s">
        <v>2964</v>
      </c>
      <c r="C1531" s="56" t="s">
        <v>87</v>
      </c>
      <c r="D1531" s="56" t="str">
        <f aca="false">IFERROR(INDEX('Brand Map'!$B$4:$B$124,MATCH(C1531,'Brand Map'!$A$4:$A$124,0)),"Other")</f>
        <v>FYF</v>
      </c>
      <c r="E1531" s="57" t="n">
        <v>4</v>
      </c>
      <c r="F1531" s="57" t="n">
        <v>0</v>
      </c>
      <c r="G1531" s="58" t="n">
        <v>559.8</v>
      </c>
      <c r="H1531" s="58" t="n">
        <v>0</v>
      </c>
      <c r="I1531" s="58" t="n">
        <v>559.8</v>
      </c>
      <c r="J1531" s="32" t="n">
        <f aca="false">IF(E1531&gt;0,F1531/E1531,0)</f>
        <v>0</v>
      </c>
      <c r="K1531" s="32" t="n">
        <f aca="false">IF(G1531&gt;0,H1531/G1531,0)</f>
        <v>-0</v>
      </c>
      <c r="L1531" s="59" t="n">
        <f aca="false">H1531/Settings!$B$16</f>
        <v>-0</v>
      </c>
      <c r="M1531" s="59" t="n">
        <f aca="false">H1531/Settings!$B$20</f>
        <v>-0</v>
      </c>
      <c r="N1531" s="60" t="n">
        <f aca="false">E1531*Settings!$B$3</f>
        <v>0.123944604319282</v>
      </c>
      <c r="O1531" s="60" t="n">
        <f aca="false">IF(E1531&gt;0,(F1531-N1531)/SQRT(E1531*Settings!$B$3*(1-Settings!$B$3)),0)</f>
        <v>-0.357642251868888</v>
      </c>
      <c r="P1531" s="60" t="n">
        <f aca="false">MAX(0,F1531-N1531)</f>
        <v>0</v>
      </c>
      <c r="Q1531" s="32" t="n">
        <f aca="false">(F1531+Settings!$B$7*Settings!$B$3)/(E1531+Settings!$B$7)</f>
        <v>0.027340721541018</v>
      </c>
      <c r="R1531" s="61" t="n">
        <f aca="false">PERCENTRANK($H$2:$H$1780,H1531,6)</f>
        <v>0</v>
      </c>
      <c r="S1531" s="61" t="n">
        <f aca="false">PERCENTRANK($Q$2:$Q$1780,Q1531,6)</f>
        <v>0.253656</v>
      </c>
      <c r="T1531" s="61" t="n">
        <f aca="false">PERCENTRANK($F$2:$F$1780,F1531,6)</f>
        <v>0</v>
      </c>
      <c r="U1531" s="62" t="n">
        <f aca="false">IF(F1531&gt;0,(Settings!$B$8*T1531+Settings!$B$9*R1531+Settings!$B$10*S1531)/SUM(Settings!$B$8:$B$10),0)</f>
        <v>0</v>
      </c>
      <c r="V1531" s="56" t="str">
        <f aca="false">IF(U1531&gt;0,RANK(U1531,$U$2:$U$1780)+COUNTIF($U$2:U1531,U1531)-1,"")</f>
        <v/>
      </c>
      <c r="W1531" s="56" t="str">
        <f aca="false">IF(V1531="","",IF(V1531&lt;=Settings!$B$11,"1 - Fix first",IF(V1531&lt;=Settings!$B$12,"2 - Review","3 - Monitor")))</f>
        <v/>
      </c>
      <c r="X1531" s="56" t="str">
        <f aca="false">IF(AND(E1531&gt;=Settings!$B$4,F1531&gt;=Settings!$B$5,O1531&gt;=Settings!$B$6),"HIGH RATE","")</f>
        <v/>
      </c>
      <c r="Y1531" s="56" t="str">
        <f aca="false">IF(F1531&gt;0,RANK(F1531,$F$2:$F$1780)+COUNTIF($F$2:F1531,F1531)-1,"")</f>
        <v/>
      </c>
      <c r="Z1531" s="56" t="str">
        <f aca="false">IF(H1531&gt;0,RANK(H1531,$H$2:$H$1780)+COUNTIF($H$2:H1531,H1531)-1,"")</f>
        <v/>
      </c>
      <c r="AA1531" s="56" t="str">
        <f aca="false">IF(AC1531="","",RANK(AC1531,$AC$2:$AC$1780)+COUNTIF($AC$2:AC1531,AC1531)-1)</f>
        <v/>
      </c>
      <c r="AB1531" s="56" t="str">
        <f aca="false">IF(AD1531="","",RANK(AD1531,$AD$2:$AD$1780)+COUNTIF($AD$2:AD1531,AD1531)-1)</f>
        <v/>
      </c>
      <c r="AC1531" s="56" t="str">
        <f aca="false">IF(AND(F1531&gt;0,E1531&gt;=Settings!$B$4),J1531,"")</f>
        <v/>
      </c>
      <c r="AD1531" s="56" t="str">
        <f aca="false">IF(X1531="HIGH RATE",O1531,"")</f>
        <v/>
      </c>
    </row>
    <row r="1532" customFormat="false" ht="15" hidden="false" customHeight="false" outlineLevel="0" collapsed="false">
      <c r="A1532" s="56" t="s">
        <v>2965</v>
      </c>
      <c r="B1532" s="56" t="s">
        <v>2964</v>
      </c>
      <c r="C1532" s="56" t="s">
        <v>87</v>
      </c>
      <c r="D1532" s="56" t="str">
        <f aca="false">IFERROR(INDEX('Brand Map'!$B$4:$B$124,MATCH(C1532,'Brand Map'!$A$4:$A$124,0)),"Other")</f>
        <v>FYF</v>
      </c>
      <c r="E1532" s="57" t="n">
        <v>2</v>
      </c>
      <c r="F1532" s="57" t="n">
        <v>0</v>
      </c>
      <c r="G1532" s="58" t="n">
        <v>329.9</v>
      </c>
      <c r="H1532" s="58" t="n">
        <v>0</v>
      </c>
      <c r="I1532" s="58" t="n">
        <v>329.9</v>
      </c>
      <c r="J1532" s="32" t="n">
        <f aca="false">IF(E1532&gt;0,F1532/E1532,0)</f>
        <v>0</v>
      </c>
      <c r="K1532" s="32" t="n">
        <f aca="false">IF(G1532&gt;0,H1532/G1532,0)</f>
        <v>-0</v>
      </c>
      <c r="L1532" s="59" t="n">
        <f aca="false">H1532/Settings!$B$16</f>
        <v>-0</v>
      </c>
      <c r="M1532" s="59" t="n">
        <f aca="false">H1532/Settings!$B$20</f>
        <v>-0</v>
      </c>
      <c r="N1532" s="60" t="n">
        <f aca="false">E1532*Settings!$B$3</f>
        <v>0.0619723021596408</v>
      </c>
      <c r="O1532" s="60" t="n">
        <f aca="false">IF(E1532&gt;0,(F1532-N1532)/SQRT(E1532*Settings!$B$3*(1-Settings!$B$3)),0)</f>
        <v>-0.252891261535318</v>
      </c>
      <c r="P1532" s="60" t="n">
        <f aca="false">MAX(0,F1532-N1532)</f>
        <v>0</v>
      </c>
      <c r="Q1532" s="32" t="n">
        <f aca="false">(F1532+Settings!$B$7*Settings!$B$3)/(E1532+Settings!$B$7)</f>
        <v>0.0290495166373316</v>
      </c>
      <c r="R1532" s="61" t="n">
        <f aca="false">PERCENTRANK($H$2:$H$1780,H1532,6)</f>
        <v>0</v>
      </c>
      <c r="S1532" s="61" t="n">
        <f aca="false">PERCENTRANK($Q$2:$Q$1780,Q1532,6)</f>
        <v>0.365579</v>
      </c>
      <c r="T1532" s="61" t="n">
        <f aca="false">PERCENTRANK($F$2:$F$1780,F1532,6)</f>
        <v>0</v>
      </c>
      <c r="U1532" s="62" t="n">
        <f aca="false">IF(F1532&gt;0,(Settings!$B$8*T1532+Settings!$B$9*R1532+Settings!$B$10*S1532)/SUM(Settings!$B$8:$B$10),0)</f>
        <v>0</v>
      </c>
      <c r="V1532" s="56" t="str">
        <f aca="false">IF(U1532&gt;0,RANK(U1532,$U$2:$U$1780)+COUNTIF($U$2:U1532,U1532)-1,"")</f>
        <v/>
      </c>
      <c r="W1532" s="56" t="str">
        <f aca="false">IF(V1532="","",IF(V1532&lt;=Settings!$B$11,"1 - Fix first",IF(V1532&lt;=Settings!$B$12,"2 - Review","3 - Monitor")))</f>
        <v/>
      </c>
      <c r="X1532" s="56" t="str">
        <f aca="false">IF(AND(E1532&gt;=Settings!$B$4,F1532&gt;=Settings!$B$5,O1532&gt;=Settings!$B$6),"HIGH RATE","")</f>
        <v/>
      </c>
      <c r="Y1532" s="56" t="str">
        <f aca="false">IF(F1532&gt;0,RANK(F1532,$F$2:$F$1780)+COUNTIF($F$2:F1532,F1532)-1,"")</f>
        <v/>
      </c>
      <c r="Z1532" s="56" t="str">
        <f aca="false">IF(H1532&gt;0,RANK(H1532,$H$2:$H$1780)+COUNTIF($H$2:H1532,H1532)-1,"")</f>
        <v/>
      </c>
      <c r="AA1532" s="56" t="str">
        <f aca="false">IF(AC1532="","",RANK(AC1532,$AC$2:$AC$1780)+COUNTIF($AC$2:AC1532,AC1532)-1)</f>
        <v/>
      </c>
      <c r="AB1532" s="56" t="str">
        <f aca="false">IF(AD1532="","",RANK(AD1532,$AD$2:$AD$1780)+COUNTIF($AD$2:AD1532,AD1532)-1)</f>
        <v/>
      </c>
      <c r="AC1532" s="56" t="str">
        <f aca="false">IF(AND(F1532&gt;0,E1532&gt;=Settings!$B$4),J1532,"")</f>
        <v/>
      </c>
      <c r="AD1532" s="56" t="str">
        <f aca="false">IF(X1532="HIGH RATE",O1532,"")</f>
        <v/>
      </c>
    </row>
    <row r="1533" customFormat="false" ht="15" hidden="false" customHeight="false" outlineLevel="0" collapsed="false">
      <c r="A1533" s="56" t="s">
        <v>2966</v>
      </c>
      <c r="B1533" s="56" t="s">
        <v>2967</v>
      </c>
      <c r="C1533" s="56" t="s">
        <v>87</v>
      </c>
      <c r="D1533" s="56" t="str">
        <f aca="false">IFERROR(INDEX('Brand Map'!$B$4:$B$124,MATCH(C1533,'Brand Map'!$A$4:$A$124,0)),"Other")</f>
        <v>FYF</v>
      </c>
      <c r="E1533" s="57" t="n">
        <v>2</v>
      </c>
      <c r="F1533" s="57" t="n">
        <v>0</v>
      </c>
      <c r="G1533" s="58" t="n">
        <v>389.9</v>
      </c>
      <c r="H1533" s="58" t="n">
        <v>0</v>
      </c>
      <c r="I1533" s="58" t="n">
        <v>389.9</v>
      </c>
      <c r="J1533" s="32" t="n">
        <f aca="false">IF(E1533&gt;0,F1533/E1533,0)</f>
        <v>0</v>
      </c>
      <c r="K1533" s="32" t="n">
        <f aca="false">IF(G1533&gt;0,H1533/G1533,0)</f>
        <v>-0</v>
      </c>
      <c r="L1533" s="59" t="n">
        <f aca="false">H1533/Settings!$B$16</f>
        <v>-0</v>
      </c>
      <c r="M1533" s="59" t="n">
        <f aca="false">H1533/Settings!$B$20</f>
        <v>-0</v>
      </c>
      <c r="N1533" s="60" t="n">
        <f aca="false">E1533*Settings!$B$3</f>
        <v>0.0619723021596408</v>
      </c>
      <c r="O1533" s="60" t="n">
        <f aca="false">IF(E1533&gt;0,(F1533-N1533)/SQRT(E1533*Settings!$B$3*(1-Settings!$B$3)),0)</f>
        <v>-0.252891261535318</v>
      </c>
      <c r="P1533" s="60" t="n">
        <f aca="false">MAX(0,F1533-N1533)</f>
        <v>0</v>
      </c>
      <c r="Q1533" s="32" t="n">
        <f aca="false">(F1533+Settings!$B$7*Settings!$B$3)/(E1533+Settings!$B$7)</f>
        <v>0.0290495166373316</v>
      </c>
      <c r="R1533" s="61" t="n">
        <f aca="false">PERCENTRANK($H$2:$H$1780,H1533,6)</f>
        <v>0</v>
      </c>
      <c r="S1533" s="61" t="n">
        <f aca="false">PERCENTRANK($Q$2:$Q$1780,Q1533,6)</f>
        <v>0.365579</v>
      </c>
      <c r="T1533" s="61" t="n">
        <f aca="false">PERCENTRANK($F$2:$F$1780,F1533,6)</f>
        <v>0</v>
      </c>
      <c r="U1533" s="62" t="n">
        <f aca="false">IF(F1533&gt;0,(Settings!$B$8*T1533+Settings!$B$9*R1533+Settings!$B$10*S1533)/SUM(Settings!$B$8:$B$10),0)</f>
        <v>0</v>
      </c>
      <c r="V1533" s="56" t="str">
        <f aca="false">IF(U1533&gt;0,RANK(U1533,$U$2:$U$1780)+COUNTIF($U$2:U1533,U1533)-1,"")</f>
        <v/>
      </c>
      <c r="W1533" s="56" t="str">
        <f aca="false">IF(V1533="","",IF(V1533&lt;=Settings!$B$11,"1 - Fix first",IF(V1533&lt;=Settings!$B$12,"2 - Review","3 - Monitor")))</f>
        <v/>
      </c>
      <c r="X1533" s="56" t="str">
        <f aca="false">IF(AND(E1533&gt;=Settings!$B$4,F1533&gt;=Settings!$B$5,O1533&gt;=Settings!$B$6),"HIGH RATE","")</f>
        <v/>
      </c>
      <c r="Y1533" s="56" t="str">
        <f aca="false">IF(F1533&gt;0,RANK(F1533,$F$2:$F$1780)+COUNTIF($F$2:F1533,F1533)-1,"")</f>
        <v/>
      </c>
      <c r="Z1533" s="56" t="str">
        <f aca="false">IF(H1533&gt;0,RANK(H1533,$H$2:$H$1780)+COUNTIF($H$2:H1533,H1533)-1,"")</f>
        <v/>
      </c>
      <c r="AA1533" s="56" t="str">
        <f aca="false">IF(AC1533="","",RANK(AC1533,$AC$2:$AC$1780)+COUNTIF($AC$2:AC1533,AC1533)-1)</f>
        <v/>
      </c>
      <c r="AB1533" s="56" t="str">
        <f aca="false">IF(AD1533="","",RANK(AD1533,$AD$2:$AD$1780)+COUNTIF($AD$2:AD1533,AD1533)-1)</f>
        <v/>
      </c>
      <c r="AC1533" s="56" t="str">
        <f aca="false">IF(AND(F1533&gt;0,E1533&gt;=Settings!$B$4),J1533,"")</f>
        <v/>
      </c>
      <c r="AD1533" s="56" t="str">
        <f aca="false">IF(X1533="HIGH RATE",O1533,"")</f>
        <v/>
      </c>
    </row>
    <row r="1534" customFormat="false" ht="15" hidden="false" customHeight="false" outlineLevel="0" collapsed="false">
      <c r="A1534" s="56" t="s">
        <v>2968</v>
      </c>
      <c r="B1534" s="56" t="s">
        <v>1299</v>
      </c>
      <c r="C1534" s="56" t="s">
        <v>87</v>
      </c>
      <c r="D1534" s="56" t="str">
        <f aca="false">IFERROR(INDEX('Brand Map'!$B$4:$B$124,MATCH(C1534,'Brand Map'!$A$4:$A$124,0)),"Other")</f>
        <v>FYF</v>
      </c>
      <c r="E1534" s="57" t="n">
        <v>4</v>
      </c>
      <c r="F1534" s="57" t="n">
        <v>0</v>
      </c>
      <c r="G1534" s="58" t="n">
        <v>679.8</v>
      </c>
      <c r="H1534" s="58" t="n">
        <v>0</v>
      </c>
      <c r="I1534" s="58" t="n">
        <v>679.8</v>
      </c>
      <c r="J1534" s="32" t="n">
        <f aca="false">IF(E1534&gt;0,F1534/E1534,0)</f>
        <v>0</v>
      </c>
      <c r="K1534" s="32" t="n">
        <f aca="false">IF(G1534&gt;0,H1534/G1534,0)</f>
        <v>-0</v>
      </c>
      <c r="L1534" s="59" t="n">
        <f aca="false">H1534/Settings!$B$16</f>
        <v>-0</v>
      </c>
      <c r="M1534" s="59" t="n">
        <f aca="false">H1534/Settings!$B$20</f>
        <v>-0</v>
      </c>
      <c r="N1534" s="60" t="n">
        <f aca="false">E1534*Settings!$B$3</f>
        <v>0.123944604319282</v>
      </c>
      <c r="O1534" s="60" t="n">
        <f aca="false">IF(E1534&gt;0,(F1534-N1534)/SQRT(E1534*Settings!$B$3*(1-Settings!$B$3)),0)</f>
        <v>-0.357642251868888</v>
      </c>
      <c r="P1534" s="60" t="n">
        <f aca="false">MAX(0,F1534-N1534)</f>
        <v>0</v>
      </c>
      <c r="Q1534" s="32" t="n">
        <f aca="false">(F1534+Settings!$B$7*Settings!$B$3)/(E1534+Settings!$B$7)</f>
        <v>0.027340721541018</v>
      </c>
      <c r="R1534" s="61" t="n">
        <f aca="false">PERCENTRANK($H$2:$H$1780,H1534,6)</f>
        <v>0</v>
      </c>
      <c r="S1534" s="61" t="n">
        <f aca="false">PERCENTRANK($Q$2:$Q$1780,Q1534,6)</f>
        <v>0.253656</v>
      </c>
      <c r="T1534" s="61" t="n">
        <f aca="false">PERCENTRANK($F$2:$F$1780,F1534,6)</f>
        <v>0</v>
      </c>
      <c r="U1534" s="62" t="n">
        <f aca="false">IF(F1534&gt;0,(Settings!$B$8*T1534+Settings!$B$9*R1534+Settings!$B$10*S1534)/SUM(Settings!$B$8:$B$10),0)</f>
        <v>0</v>
      </c>
      <c r="V1534" s="56" t="str">
        <f aca="false">IF(U1534&gt;0,RANK(U1534,$U$2:$U$1780)+COUNTIF($U$2:U1534,U1534)-1,"")</f>
        <v/>
      </c>
      <c r="W1534" s="56" t="str">
        <f aca="false">IF(V1534="","",IF(V1534&lt;=Settings!$B$11,"1 - Fix first",IF(V1534&lt;=Settings!$B$12,"2 - Review","3 - Monitor")))</f>
        <v/>
      </c>
      <c r="X1534" s="56" t="str">
        <f aca="false">IF(AND(E1534&gt;=Settings!$B$4,F1534&gt;=Settings!$B$5,O1534&gt;=Settings!$B$6),"HIGH RATE","")</f>
        <v/>
      </c>
      <c r="Y1534" s="56" t="str">
        <f aca="false">IF(F1534&gt;0,RANK(F1534,$F$2:$F$1780)+COUNTIF($F$2:F1534,F1534)-1,"")</f>
        <v/>
      </c>
      <c r="Z1534" s="56" t="str">
        <f aca="false">IF(H1534&gt;0,RANK(H1534,$H$2:$H$1780)+COUNTIF($H$2:H1534,H1534)-1,"")</f>
        <v/>
      </c>
      <c r="AA1534" s="56" t="str">
        <f aca="false">IF(AC1534="","",RANK(AC1534,$AC$2:$AC$1780)+COUNTIF($AC$2:AC1534,AC1534)-1)</f>
        <v/>
      </c>
      <c r="AB1534" s="56" t="str">
        <f aca="false">IF(AD1534="","",RANK(AD1534,$AD$2:$AD$1780)+COUNTIF($AD$2:AD1534,AD1534)-1)</f>
        <v/>
      </c>
      <c r="AC1534" s="56" t="str">
        <f aca="false">IF(AND(F1534&gt;0,E1534&gt;=Settings!$B$4),J1534,"")</f>
        <v/>
      </c>
      <c r="AD1534" s="56" t="str">
        <f aca="false">IF(X1534="HIGH RATE",O1534,"")</f>
        <v/>
      </c>
    </row>
    <row r="1535" customFormat="false" ht="15" hidden="false" customHeight="false" outlineLevel="0" collapsed="false">
      <c r="A1535" s="56" t="s">
        <v>2969</v>
      </c>
      <c r="B1535" s="56" t="s">
        <v>1218</v>
      </c>
      <c r="C1535" s="56" t="s">
        <v>87</v>
      </c>
      <c r="D1535" s="56" t="str">
        <f aca="false">IFERROR(INDEX('Brand Map'!$B$4:$B$124,MATCH(C1535,'Brand Map'!$A$4:$A$124,0)),"Other")</f>
        <v>FYF</v>
      </c>
      <c r="E1535" s="57" t="n">
        <v>15</v>
      </c>
      <c r="F1535" s="57" t="n">
        <v>0</v>
      </c>
      <c r="G1535" s="58" t="n">
        <v>1649.25</v>
      </c>
      <c r="H1535" s="58" t="n">
        <v>0</v>
      </c>
      <c r="I1535" s="58" t="n">
        <v>1649.25</v>
      </c>
      <c r="J1535" s="32" t="n">
        <f aca="false">IF(E1535&gt;0,F1535/E1535,0)</f>
        <v>0</v>
      </c>
      <c r="K1535" s="32" t="n">
        <f aca="false">IF(G1535&gt;0,H1535/G1535,0)</f>
        <v>-0</v>
      </c>
      <c r="L1535" s="59" t="n">
        <f aca="false">H1535/Settings!$B$16</f>
        <v>-0</v>
      </c>
      <c r="M1535" s="59" t="n">
        <f aca="false">H1535/Settings!$B$20</f>
        <v>-0</v>
      </c>
      <c r="N1535" s="60" t="n">
        <f aca="false">E1535*Settings!$B$3</f>
        <v>0.464792266197306</v>
      </c>
      <c r="O1535" s="60" t="n">
        <f aca="false">IF(E1535&gt;0,(F1535-N1535)/SQRT(E1535*Settings!$B$3*(1-Settings!$B$3)),0)</f>
        <v>-0.692571242694161</v>
      </c>
      <c r="P1535" s="60" t="n">
        <f aca="false">MAX(0,F1535-N1535)</f>
        <v>0</v>
      </c>
      <c r="Q1535" s="32" t="n">
        <f aca="false">(F1535+Settings!$B$7*Settings!$B$3)/(E1535+Settings!$B$7)</f>
        <v>0.0206574340532136</v>
      </c>
      <c r="R1535" s="61" t="n">
        <f aca="false">PERCENTRANK($H$2:$H$1780,H1535,6)</f>
        <v>0</v>
      </c>
      <c r="S1535" s="61" t="n">
        <f aca="false">PERCENTRANK($Q$2:$Q$1780,Q1535,6)</f>
        <v>0.0928009</v>
      </c>
      <c r="T1535" s="61" t="n">
        <f aca="false">PERCENTRANK($F$2:$F$1780,F1535,6)</f>
        <v>0</v>
      </c>
      <c r="U1535" s="62" t="n">
        <f aca="false">IF(F1535&gt;0,(Settings!$B$8*T1535+Settings!$B$9*R1535+Settings!$B$10*S1535)/SUM(Settings!$B$8:$B$10),0)</f>
        <v>0</v>
      </c>
      <c r="V1535" s="56" t="str">
        <f aca="false">IF(U1535&gt;0,RANK(U1535,$U$2:$U$1780)+COUNTIF($U$2:U1535,U1535)-1,"")</f>
        <v/>
      </c>
      <c r="W1535" s="56" t="str">
        <f aca="false">IF(V1535="","",IF(V1535&lt;=Settings!$B$11,"1 - Fix first",IF(V1535&lt;=Settings!$B$12,"2 - Review","3 - Monitor")))</f>
        <v/>
      </c>
      <c r="X1535" s="56" t="str">
        <f aca="false">IF(AND(E1535&gt;=Settings!$B$4,F1535&gt;=Settings!$B$5,O1535&gt;=Settings!$B$6),"HIGH RATE","")</f>
        <v/>
      </c>
      <c r="Y1535" s="56" t="str">
        <f aca="false">IF(F1535&gt;0,RANK(F1535,$F$2:$F$1780)+COUNTIF($F$2:F1535,F1535)-1,"")</f>
        <v/>
      </c>
      <c r="Z1535" s="56" t="str">
        <f aca="false">IF(H1535&gt;0,RANK(H1535,$H$2:$H$1780)+COUNTIF($H$2:H1535,H1535)-1,"")</f>
        <v/>
      </c>
      <c r="AA1535" s="56" t="str">
        <f aca="false">IF(AC1535="","",RANK(AC1535,$AC$2:$AC$1780)+COUNTIF($AC$2:AC1535,AC1535)-1)</f>
        <v/>
      </c>
      <c r="AB1535" s="56" t="str">
        <f aca="false">IF(AD1535="","",RANK(AD1535,$AD$2:$AD$1780)+COUNTIF($AD$2:AD1535,AD1535)-1)</f>
        <v/>
      </c>
      <c r="AC1535" s="56" t="str">
        <f aca="false">IF(AND(F1535&gt;0,E1535&gt;=Settings!$B$4),J1535,"")</f>
        <v/>
      </c>
      <c r="AD1535" s="56" t="str">
        <f aca="false">IF(X1535="HIGH RATE",O1535,"")</f>
        <v/>
      </c>
    </row>
    <row r="1536" customFormat="false" ht="15" hidden="false" customHeight="false" outlineLevel="0" collapsed="false">
      <c r="A1536" s="56" t="s">
        <v>2970</v>
      </c>
      <c r="B1536" s="56" t="s">
        <v>1162</v>
      </c>
      <c r="C1536" s="56" t="s">
        <v>87</v>
      </c>
      <c r="D1536" s="56" t="str">
        <f aca="false">IFERROR(INDEX('Brand Map'!$B$4:$B$124,MATCH(C1536,'Brand Map'!$A$4:$A$124,0)),"Other")</f>
        <v>FYF</v>
      </c>
      <c r="E1536" s="57" t="n">
        <v>13</v>
      </c>
      <c r="F1536" s="57" t="n">
        <v>0</v>
      </c>
      <c r="G1536" s="58" t="n">
        <v>1494.35</v>
      </c>
      <c r="H1536" s="58" t="n">
        <v>0</v>
      </c>
      <c r="I1536" s="58" t="n">
        <v>1494.35</v>
      </c>
      <c r="J1536" s="32" t="n">
        <f aca="false">IF(E1536&gt;0,F1536/E1536,0)</f>
        <v>0</v>
      </c>
      <c r="K1536" s="32" t="n">
        <f aca="false">IF(G1536&gt;0,H1536/G1536,0)</f>
        <v>-0</v>
      </c>
      <c r="L1536" s="59" t="n">
        <f aca="false">H1536/Settings!$B$16</f>
        <v>-0</v>
      </c>
      <c r="M1536" s="59" t="n">
        <f aca="false">H1536/Settings!$B$20</f>
        <v>-0</v>
      </c>
      <c r="N1536" s="60" t="n">
        <f aca="false">E1536*Settings!$B$3</f>
        <v>0.402819964037665</v>
      </c>
      <c r="O1536" s="60" t="n">
        <f aca="false">IF(E1536&gt;0,(F1536-N1536)/SQRT(E1536*Settings!$B$3*(1-Settings!$B$3)),0)</f>
        <v>-0.644748738692841</v>
      </c>
      <c r="P1536" s="60" t="n">
        <f aca="false">MAX(0,F1536-N1536)</f>
        <v>0</v>
      </c>
      <c r="Q1536" s="32" t="n">
        <f aca="false">(F1536+Settings!$B$7*Settings!$B$3)/(E1536+Settings!$B$7)</f>
        <v>0.0216182449394096</v>
      </c>
      <c r="R1536" s="61" t="n">
        <f aca="false">PERCENTRANK($H$2:$H$1780,H1536,6)</f>
        <v>0</v>
      </c>
      <c r="S1536" s="61" t="n">
        <f aca="false">PERCENTRANK($Q$2:$Q$1780,Q1536,6)</f>
        <v>0.104049</v>
      </c>
      <c r="T1536" s="61" t="n">
        <f aca="false">PERCENTRANK($F$2:$F$1780,F1536,6)</f>
        <v>0</v>
      </c>
      <c r="U1536" s="62" t="n">
        <f aca="false">IF(F1536&gt;0,(Settings!$B$8*T1536+Settings!$B$9*R1536+Settings!$B$10*S1536)/SUM(Settings!$B$8:$B$10),0)</f>
        <v>0</v>
      </c>
      <c r="V1536" s="56" t="str">
        <f aca="false">IF(U1536&gt;0,RANK(U1536,$U$2:$U$1780)+COUNTIF($U$2:U1536,U1536)-1,"")</f>
        <v/>
      </c>
      <c r="W1536" s="56" t="str">
        <f aca="false">IF(V1536="","",IF(V1536&lt;=Settings!$B$11,"1 - Fix first",IF(V1536&lt;=Settings!$B$12,"2 - Review","3 - Monitor")))</f>
        <v/>
      </c>
      <c r="X1536" s="56" t="str">
        <f aca="false">IF(AND(E1536&gt;=Settings!$B$4,F1536&gt;=Settings!$B$5,O1536&gt;=Settings!$B$6),"HIGH RATE","")</f>
        <v/>
      </c>
      <c r="Y1536" s="56" t="str">
        <f aca="false">IF(F1536&gt;0,RANK(F1536,$F$2:$F$1780)+COUNTIF($F$2:F1536,F1536)-1,"")</f>
        <v/>
      </c>
      <c r="Z1536" s="56" t="str">
        <f aca="false">IF(H1536&gt;0,RANK(H1536,$H$2:$H$1780)+COUNTIF($H$2:H1536,H1536)-1,"")</f>
        <v/>
      </c>
      <c r="AA1536" s="56" t="str">
        <f aca="false">IF(AC1536="","",RANK(AC1536,$AC$2:$AC$1780)+COUNTIF($AC$2:AC1536,AC1536)-1)</f>
        <v/>
      </c>
      <c r="AB1536" s="56" t="str">
        <f aca="false">IF(AD1536="","",RANK(AD1536,$AD$2:$AD$1780)+COUNTIF($AD$2:AD1536,AD1536)-1)</f>
        <v/>
      </c>
      <c r="AC1536" s="56" t="str">
        <f aca="false">IF(AND(F1536&gt;0,E1536&gt;=Settings!$B$4),J1536,"")</f>
        <v/>
      </c>
      <c r="AD1536" s="56" t="str">
        <f aca="false">IF(X1536="HIGH RATE",O1536,"")</f>
        <v/>
      </c>
    </row>
    <row r="1537" customFormat="false" ht="15" hidden="false" customHeight="false" outlineLevel="0" collapsed="false">
      <c r="A1537" s="56" t="s">
        <v>2971</v>
      </c>
      <c r="B1537" s="56" t="s">
        <v>1209</v>
      </c>
      <c r="C1537" s="56" t="s">
        <v>87</v>
      </c>
      <c r="D1537" s="56" t="str">
        <f aca="false">IFERROR(INDEX('Brand Map'!$B$4:$B$124,MATCH(C1537,'Brand Map'!$A$4:$A$124,0)),"Other")</f>
        <v>FYF</v>
      </c>
      <c r="E1537" s="57" t="n">
        <v>3</v>
      </c>
      <c r="F1537" s="57" t="n">
        <v>0</v>
      </c>
      <c r="G1537" s="58" t="n">
        <v>284.85</v>
      </c>
      <c r="H1537" s="58" t="n">
        <v>0</v>
      </c>
      <c r="I1537" s="58" t="n">
        <v>284.85</v>
      </c>
      <c r="J1537" s="32" t="n">
        <f aca="false">IF(E1537&gt;0,F1537/E1537,0)</f>
        <v>0</v>
      </c>
      <c r="K1537" s="32" t="n">
        <f aca="false">IF(G1537&gt;0,H1537/G1537,0)</f>
        <v>-0</v>
      </c>
      <c r="L1537" s="59" t="n">
        <f aca="false">H1537/Settings!$B$16</f>
        <v>-0</v>
      </c>
      <c r="M1537" s="59" t="n">
        <f aca="false">H1537/Settings!$B$20</f>
        <v>-0</v>
      </c>
      <c r="N1537" s="60" t="n">
        <f aca="false">E1537*Settings!$B$3</f>
        <v>0.0929584532394613</v>
      </c>
      <c r="O1537" s="60" t="n">
        <f aca="false">IF(E1537&gt;0,(F1537-N1537)/SQRT(E1537*Settings!$B$3*(1-Settings!$B$3)),0)</f>
        <v>-0.30972727558513</v>
      </c>
      <c r="P1537" s="60" t="n">
        <f aca="false">MAX(0,F1537-N1537)</f>
        <v>0</v>
      </c>
      <c r="Q1537" s="32" t="n">
        <f aca="false">(F1537+Settings!$B$7*Settings!$B$3)/(E1537+Settings!$B$7)</f>
        <v>0.0281692282543822</v>
      </c>
      <c r="R1537" s="61" t="n">
        <f aca="false">PERCENTRANK($H$2:$H$1780,H1537,6)</f>
        <v>0</v>
      </c>
      <c r="S1537" s="61" t="n">
        <f aca="false">PERCENTRANK($Q$2:$Q$1780,Q1537,6)</f>
        <v>0.294151</v>
      </c>
      <c r="T1537" s="61" t="n">
        <f aca="false">PERCENTRANK($F$2:$F$1780,F1537,6)</f>
        <v>0</v>
      </c>
      <c r="U1537" s="62" t="n">
        <f aca="false">IF(F1537&gt;0,(Settings!$B$8*T1537+Settings!$B$9*R1537+Settings!$B$10*S1537)/SUM(Settings!$B$8:$B$10),0)</f>
        <v>0</v>
      </c>
      <c r="V1537" s="56" t="str">
        <f aca="false">IF(U1537&gt;0,RANK(U1537,$U$2:$U$1780)+COUNTIF($U$2:U1537,U1537)-1,"")</f>
        <v/>
      </c>
      <c r="W1537" s="56" t="str">
        <f aca="false">IF(V1537="","",IF(V1537&lt;=Settings!$B$11,"1 - Fix first",IF(V1537&lt;=Settings!$B$12,"2 - Review","3 - Monitor")))</f>
        <v/>
      </c>
      <c r="X1537" s="56" t="str">
        <f aca="false">IF(AND(E1537&gt;=Settings!$B$4,F1537&gt;=Settings!$B$5,O1537&gt;=Settings!$B$6),"HIGH RATE","")</f>
        <v/>
      </c>
      <c r="Y1537" s="56" t="str">
        <f aca="false">IF(F1537&gt;0,RANK(F1537,$F$2:$F$1780)+COUNTIF($F$2:F1537,F1537)-1,"")</f>
        <v/>
      </c>
      <c r="Z1537" s="56" t="str">
        <f aca="false">IF(H1537&gt;0,RANK(H1537,$H$2:$H$1780)+COUNTIF($H$2:H1537,H1537)-1,"")</f>
        <v/>
      </c>
      <c r="AA1537" s="56" t="str">
        <f aca="false">IF(AC1537="","",RANK(AC1537,$AC$2:$AC$1780)+COUNTIF($AC$2:AC1537,AC1537)-1)</f>
        <v/>
      </c>
      <c r="AB1537" s="56" t="str">
        <f aca="false">IF(AD1537="","",RANK(AD1537,$AD$2:$AD$1780)+COUNTIF($AD$2:AD1537,AD1537)-1)</f>
        <v/>
      </c>
      <c r="AC1537" s="56" t="str">
        <f aca="false">IF(AND(F1537&gt;0,E1537&gt;=Settings!$B$4),J1537,"")</f>
        <v/>
      </c>
      <c r="AD1537" s="56" t="str">
        <f aca="false">IF(X1537="HIGH RATE",O1537,"")</f>
        <v/>
      </c>
    </row>
    <row r="1538" customFormat="false" ht="15" hidden="false" customHeight="false" outlineLevel="0" collapsed="false">
      <c r="A1538" s="56" t="s">
        <v>2972</v>
      </c>
      <c r="B1538" s="56" t="s">
        <v>991</v>
      </c>
      <c r="C1538" s="56" t="s">
        <v>87</v>
      </c>
      <c r="D1538" s="56" t="str">
        <f aca="false">IFERROR(INDEX('Brand Map'!$B$4:$B$124,MATCH(C1538,'Brand Map'!$A$4:$A$124,0)),"Other")</f>
        <v>FYF</v>
      </c>
      <c r="E1538" s="57" t="n">
        <v>1</v>
      </c>
      <c r="F1538" s="57" t="n">
        <v>0</v>
      </c>
      <c r="G1538" s="58" t="n">
        <v>295.95</v>
      </c>
      <c r="H1538" s="58" t="n">
        <v>0</v>
      </c>
      <c r="I1538" s="58" t="n">
        <v>295.95</v>
      </c>
      <c r="J1538" s="32" t="n">
        <f aca="false">IF(E1538&gt;0,F1538/E1538,0)</f>
        <v>0</v>
      </c>
      <c r="K1538" s="32" t="n">
        <f aca="false">IF(G1538&gt;0,H1538/G1538,0)</f>
        <v>-0</v>
      </c>
      <c r="L1538" s="59" t="n">
        <f aca="false">H1538/Settings!$B$16</f>
        <v>-0</v>
      </c>
      <c r="M1538" s="59" t="n">
        <f aca="false">H1538/Settings!$B$20</f>
        <v>-0</v>
      </c>
      <c r="N1538" s="60" t="n">
        <f aca="false">E1538*Settings!$B$3</f>
        <v>0.0309861510798204</v>
      </c>
      <c r="O1538" s="60" t="n">
        <f aca="false">IF(E1538&gt;0,(F1538-N1538)/SQRT(E1538*Settings!$B$3*(1-Settings!$B$3)),0)</f>
        <v>-0.178821125934444</v>
      </c>
      <c r="P1538" s="60" t="n">
        <f aca="false">MAX(0,F1538-N1538)</f>
        <v>0</v>
      </c>
      <c r="Q1538" s="32" t="n">
        <f aca="false">(F1538+Settings!$B$7*Settings!$B$3)/(E1538+Settings!$B$7)</f>
        <v>0.0299865978191811</v>
      </c>
      <c r="R1538" s="61" t="n">
        <f aca="false">PERCENTRANK($H$2:$H$1780,H1538,6)</f>
        <v>0</v>
      </c>
      <c r="S1538" s="61" t="n">
        <f aca="false">PERCENTRANK($Q$2:$Q$1780,Q1538,6)</f>
        <v>0.486502</v>
      </c>
      <c r="T1538" s="61" t="n">
        <f aca="false">PERCENTRANK($F$2:$F$1780,F1538,6)</f>
        <v>0</v>
      </c>
      <c r="U1538" s="62" t="n">
        <f aca="false">IF(F1538&gt;0,(Settings!$B$8*T1538+Settings!$B$9*R1538+Settings!$B$10*S1538)/SUM(Settings!$B$8:$B$10),0)</f>
        <v>0</v>
      </c>
      <c r="V1538" s="56" t="str">
        <f aca="false">IF(U1538&gt;0,RANK(U1538,$U$2:$U$1780)+COUNTIF($U$2:U1538,U1538)-1,"")</f>
        <v/>
      </c>
      <c r="W1538" s="56" t="str">
        <f aca="false">IF(V1538="","",IF(V1538&lt;=Settings!$B$11,"1 - Fix first",IF(V1538&lt;=Settings!$B$12,"2 - Review","3 - Monitor")))</f>
        <v/>
      </c>
      <c r="X1538" s="56" t="str">
        <f aca="false">IF(AND(E1538&gt;=Settings!$B$4,F1538&gt;=Settings!$B$5,O1538&gt;=Settings!$B$6),"HIGH RATE","")</f>
        <v/>
      </c>
      <c r="Y1538" s="56" t="str">
        <f aca="false">IF(F1538&gt;0,RANK(F1538,$F$2:$F$1780)+COUNTIF($F$2:F1538,F1538)-1,"")</f>
        <v/>
      </c>
      <c r="Z1538" s="56" t="str">
        <f aca="false">IF(H1538&gt;0,RANK(H1538,$H$2:$H$1780)+COUNTIF($H$2:H1538,H1538)-1,"")</f>
        <v/>
      </c>
      <c r="AA1538" s="56" t="str">
        <f aca="false">IF(AC1538="","",RANK(AC1538,$AC$2:$AC$1780)+COUNTIF($AC$2:AC1538,AC1538)-1)</f>
        <v/>
      </c>
      <c r="AB1538" s="56" t="str">
        <f aca="false">IF(AD1538="","",RANK(AD1538,$AD$2:$AD$1780)+COUNTIF($AD$2:AD1538,AD1538)-1)</f>
        <v/>
      </c>
      <c r="AC1538" s="56" t="str">
        <f aca="false">IF(AND(F1538&gt;0,E1538&gt;=Settings!$B$4),J1538,"")</f>
        <v/>
      </c>
      <c r="AD1538" s="56" t="str">
        <f aca="false">IF(X1538="HIGH RATE",O1538,"")</f>
        <v/>
      </c>
    </row>
    <row r="1539" customFormat="false" ht="15" hidden="false" customHeight="false" outlineLevel="0" collapsed="false">
      <c r="A1539" s="56" t="s">
        <v>2973</v>
      </c>
      <c r="B1539" s="56" t="s">
        <v>991</v>
      </c>
      <c r="C1539" s="56" t="s">
        <v>87</v>
      </c>
      <c r="D1539" s="56" t="str">
        <f aca="false">IFERROR(INDEX('Brand Map'!$B$4:$B$124,MATCH(C1539,'Brand Map'!$A$4:$A$124,0)),"Other")</f>
        <v>FYF</v>
      </c>
      <c r="E1539" s="57" t="n">
        <v>1</v>
      </c>
      <c r="F1539" s="57" t="n">
        <v>0</v>
      </c>
      <c r="G1539" s="58" t="n">
        <v>310.95</v>
      </c>
      <c r="H1539" s="58" t="n">
        <v>0</v>
      </c>
      <c r="I1539" s="58" t="n">
        <v>310.95</v>
      </c>
      <c r="J1539" s="32" t="n">
        <f aca="false">IF(E1539&gt;0,F1539/E1539,0)</f>
        <v>0</v>
      </c>
      <c r="K1539" s="32" t="n">
        <f aca="false">IF(G1539&gt;0,H1539/G1539,0)</f>
        <v>-0</v>
      </c>
      <c r="L1539" s="59" t="n">
        <f aca="false">H1539/Settings!$B$16</f>
        <v>-0</v>
      </c>
      <c r="M1539" s="59" t="n">
        <f aca="false">H1539/Settings!$B$20</f>
        <v>-0</v>
      </c>
      <c r="N1539" s="60" t="n">
        <f aca="false">E1539*Settings!$B$3</f>
        <v>0.0309861510798204</v>
      </c>
      <c r="O1539" s="60" t="n">
        <f aca="false">IF(E1539&gt;0,(F1539-N1539)/SQRT(E1539*Settings!$B$3*(1-Settings!$B$3)),0)</f>
        <v>-0.178821125934444</v>
      </c>
      <c r="P1539" s="60" t="n">
        <f aca="false">MAX(0,F1539-N1539)</f>
        <v>0</v>
      </c>
      <c r="Q1539" s="32" t="n">
        <f aca="false">(F1539+Settings!$B$7*Settings!$B$3)/(E1539+Settings!$B$7)</f>
        <v>0.0299865978191811</v>
      </c>
      <c r="R1539" s="61" t="n">
        <f aca="false">PERCENTRANK($H$2:$H$1780,H1539,6)</f>
        <v>0</v>
      </c>
      <c r="S1539" s="61" t="n">
        <f aca="false">PERCENTRANK($Q$2:$Q$1780,Q1539,6)</f>
        <v>0.486502</v>
      </c>
      <c r="T1539" s="61" t="n">
        <f aca="false">PERCENTRANK($F$2:$F$1780,F1539,6)</f>
        <v>0</v>
      </c>
      <c r="U1539" s="62" t="n">
        <f aca="false">IF(F1539&gt;0,(Settings!$B$8*T1539+Settings!$B$9*R1539+Settings!$B$10*S1539)/SUM(Settings!$B$8:$B$10),0)</f>
        <v>0</v>
      </c>
      <c r="V1539" s="56" t="str">
        <f aca="false">IF(U1539&gt;0,RANK(U1539,$U$2:$U$1780)+COUNTIF($U$2:U1539,U1539)-1,"")</f>
        <v/>
      </c>
      <c r="W1539" s="56" t="str">
        <f aca="false">IF(V1539="","",IF(V1539&lt;=Settings!$B$11,"1 - Fix first",IF(V1539&lt;=Settings!$B$12,"2 - Review","3 - Monitor")))</f>
        <v/>
      </c>
      <c r="X1539" s="56" t="str">
        <f aca="false">IF(AND(E1539&gt;=Settings!$B$4,F1539&gt;=Settings!$B$5,O1539&gt;=Settings!$B$6),"HIGH RATE","")</f>
        <v/>
      </c>
      <c r="Y1539" s="56" t="str">
        <f aca="false">IF(F1539&gt;0,RANK(F1539,$F$2:$F$1780)+COUNTIF($F$2:F1539,F1539)-1,"")</f>
        <v/>
      </c>
      <c r="Z1539" s="56" t="str">
        <f aca="false">IF(H1539&gt;0,RANK(H1539,$H$2:$H$1780)+COUNTIF($H$2:H1539,H1539)-1,"")</f>
        <v/>
      </c>
      <c r="AA1539" s="56" t="str">
        <f aca="false">IF(AC1539="","",RANK(AC1539,$AC$2:$AC$1780)+COUNTIF($AC$2:AC1539,AC1539)-1)</f>
        <v/>
      </c>
      <c r="AB1539" s="56" t="str">
        <f aca="false">IF(AD1539="","",RANK(AD1539,$AD$2:$AD$1780)+COUNTIF($AD$2:AD1539,AD1539)-1)</f>
        <v/>
      </c>
      <c r="AC1539" s="56" t="str">
        <f aca="false">IF(AND(F1539&gt;0,E1539&gt;=Settings!$B$4),J1539,"")</f>
        <v/>
      </c>
      <c r="AD1539" s="56" t="str">
        <f aca="false">IF(X1539="HIGH RATE",O1539,"")</f>
        <v/>
      </c>
    </row>
    <row r="1540" customFormat="false" ht="15" hidden="false" customHeight="false" outlineLevel="0" collapsed="false">
      <c r="A1540" s="56" t="s">
        <v>2974</v>
      </c>
      <c r="B1540" s="56" t="s">
        <v>991</v>
      </c>
      <c r="C1540" s="56" t="s">
        <v>87</v>
      </c>
      <c r="D1540" s="56" t="str">
        <f aca="false">IFERROR(INDEX('Brand Map'!$B$4:$B$124,MATCH(C1540,'Brand Map'!$A$4:$A$124,0)),"Other")</f>
        <v>FYF</v>
      </c>
      <c r="E1540" s="57" t="n">
        <v>3</v>
      </c>
      <c r="F1540" s="57" t="n">
        <v>0</v>
      </c>
      <c r="G1540" s="58" t="n">
        <v>962.85</v>
      </c>
      <c r="H1540" s="58" t="n">
        <v>0</v>
      </c>
      <c r="I1540" s="58" t="n">
        <v>962.85</v>
      </c>
      <c r="J1540" s="32" t="n">
        <f aca="false">IF(E1540&gt;0,F1540/E1540,0)</f>
        <v>0</v>
      </c>
      <c r="K1540" s="32" t="n">
        <f aca="false">IF(G1540&gt;0,H1540/G1540,0)</f>
        <v>-0</v>
      </c>
      <c r="L1540" s="59" t="n">
        <f aca="false">H1540/Settings!$B$16</f>
        <v>-0</v>
      </c>
      <c r="M1540" s="59" t="n">
        <f aca="false">H1540/Settings!$B$20</f>
        <v>-0</v>
      </c>
      <c r="N1540" s="60" t="n">
        <f aca="false">E1540*Settings!$B$3</f>
        <v>0.0929584532394613</v>
      </c>
      <c r="O1540" s="60" t="n">
        <f aca="false">IF(E1540&gt;0,(F1540-N1540)/SQRT(E1540*Settings!$B$3*(1-Settings!$B$3)),0)</f>
        <v>-0.30972727558513</v>
      </c>
      <c r="P1540" s="60" t="n">
        <f aca="false">MAX(0,F1540-N1540)</f>
        <v>0</v>
      </c>
      <c r="Q1540" s="32" t="n">
        <f aca="false">(F1540+Settings!$B$7*Settings!$B$3)/(E1540+Settings!$B$7)</f>
        <v>0.0281692282543822</v>
      </c>
      <c r="R1540" s="61" t="n">
        <f aca="false">PERCENTRANK($H$2:$H$1780,H1540,6)</f>
        <v>0</v>
      </c>
      <c r="S1540" s="61" t="n">
        <f aca="false">PERCENTRANK($Q$2:$Q$1780,Q1540,6)</f>
        <v>0.294151</v>
      </c>
      <c r="T1540" s="61" t="n">
        <f aca="false">PERCENTRANK($F$2:$F$1780,F1540,6)</f>
        <v>0</v>
      </c>
      <c r="U1540" s="62" t="n">
        <f aca="false">IF(F1540&gt;0,(Settings!$B$8*T1540+Settings!$B$9*R1540+Settings!$B$10*S1540)/SUM(Settings!$B$8:$B$10),0)</f>
        <v>0</v>
      </c>
      <c r="V1540" s="56" t="str">
        <f aca="false">IF(U1540&gt;0,RANK(U1540,$U$2:$U$1780)+COUNTIF($U$2:U1540,U1540)-1,"")</f>
        <v/>
      </c>
      <c r="W1540" s="56" t="str">
        <f aca="false">IF(V1540="","",IF(V1540&lt;=Settings!$B$11,"1 - Fix first",IF(V1540&lt;=Settings!$B$12,"2 - Review","3 - Monitor")))</f>
        <v/>
      </c>
      <c r="X1540" s="56" t="str">
        <f aca="false">IF(AND(E1540&gt;=Settings!$B$4,F1540&gt;=Settings!$B$5,O1540&gt;=Settings!$B$6),"HIGH RATE","")</f>
        <v/>
      </c>
      <c r="Y1540" s="56" t="str">
        <f aca="false">IF(F1540&gt;0,RANK(F1540,$F$2:$F$1780)+COUNTIF($F$2:F1540,F1540)-1,"")</f>
        <v/>
      </c>
      <c r="Z1540" s="56" t="str">
        <f aca="false">IF(H1540&gt;0,RANK(H1540,$H$2:$H$1780)+COUNTIF($H$2:H1540,H1540)-1,"")</f>
        <v/>
      </c>
      <c r="AA1540" s="56" t="str">
        <f aca="false">IF(AC1540="","",RANK(AC1540,$AC$2:$AC$1780)+COUNTIF($AC$2:AC1540,AC1540)-1)</f>
        <v/>
      </c>
      <c r="AB1540" s="56" t="str">
        <f aca="false">IF(AD1540="","",RANK(AD1540,$AD$2:$AD$1780)+COUNTIF($AD$2:AD1540,AD1540)-1)</f>
        <v/>
      </c>
      <c r="AC1540" s="56" t="str">
        <f aca="false">IF(AND(F1540&gt;0,E1540&gt;=Settings!$B$4),J1540,"")</f>
        <v/>
      </c>
      <c r="AD1540" s="56" t="str">
        <f aca="false">IF(X1540="HIGH RATE",O1540,"")</f>
        <v/>
      </c>
    </row>
    <row r="1541" customFormat="false" ht="15" hidden="false" customHeight="false" outlineLevel="0" collapsed="false">
      <c r="A1541" s="56" t="s">
        <v>2975</v>
      </c>
      <c r="B1541" s="56" t="s">
        <v>999</v>
      </c>
      <c r="C1541" s="56" t="s">
        <v>87</v>
      </c>
      <c r="D1541" s="56" t="str">
        <f aca="false">IFERROR(INDEX('Brand Map'!$B$4:$B$124,MATCH(C1541,'Brand Map'!$A$4:$A$124,0)),"Other")</f>
        <v>FYF</v>
      </c>
      <c r="E1541" s="57" t="n">
        <v>11</v>
      </c>
      <c r="F1541" s="57" t="n">
        <v>0</v>
      </c>
      <c r="G1541" s="58" t="n">
        <v>1759.45</v>
      </c>
      <c r="H1541" s="58" t="n">
        <v>0</v>
      </c>
      <c r="I1541" s="58" t="n">
        <v>1759.45</v>
      </c>
      <c r="J1541" s="32" t="n">
        <f aca="false">IF(E1541&gt;0,F1541/E1541,0)</f>
        <v>0</v>
      </c>
      <c r="K1541" s="32" t="n">
        <f aca="false">IF(G1541&gt;0,H1541/G1541,0)</f>
        <v>-0</v>
      </c>
      <c r="L1541" s="59" t="n">
        <f aca="false">H1541/Settings!$B$16</f>
        <v>-0</v>
      </c>
      <c r="M1541" s="59" t="n">
        <f aca="false">H1541/Settings!$B$20</f>
        <v>-0</v>
      </c>
      <c r="N1541" s="60" t="n">
        <f aca="false">E1541*Settings!$B$3</f>
        <v>0.340847661878025</v>
      </c>
      <c r="O1541" s="60" t="n">
        <f aca="false">IF(E1541&gt;0,(F1541-N1541)/SQRT(E1541*Settings!$B$3*(1-Settings!$B$3)),0)</f>
        <v>-0.593082579313442</v>
      </c>
      <c r="P1541" s="60" t="n">
        <f aca="false">MAX(0,F1541-N1541)</f>
        <v>0</v>
      </c>
      <c r="Q1541" s="32" t="n">
        <f aca="false">(F1541+Settings!$B$7*Settings!$B$3)/(E1541+Settings!$B$7)</f>
        <v>0.0226727934730393</v>
      </c>
      <c r="R1541" s="61" t="n">
        <f aca="false">PERCENTRANK($H$2:$H$1780,H1541,6)</f>
        <v>0</v>
      </c>
      <c r="S1541" s="61" t="n">
        <f aca="false">PERCENTRANK($Q$2:$Q$1780,Q1541,6)</f>
        <v>0.117548</v>
      </c>
      <c r="T1541" s="61" t="n">
        <f aca="false">PERCENTRANK($F$2:$F$1780,F1541,6)</f>
        <v>0</v>
      </c>
      <c r="U1541" s="62" t="n">
        <f aca="false">IF(F1541&gt;0,(Settings!$B$8*T1541+Settings!$B$9*R1541+Settings!$B$10*S1541)/SUM(Settings!$B$8:$B$10),0)</f>
        <v>0</v>
      </c>
      <c r="V1541" s="56" t="str">
        <f aca="false">IF(U1541&gt;0,RANK(U1541,$U$2:$U$1780)+COUNTIF($U$2:U1541,U1541)-1,"")</f>
        <v/>
      </c>
      <c r="W1541" s="56" t="str">
        <f aca="false">IF(V1541="","",IF(V1541&lt;=Settings!$B$11,"1 - Fix first",IF(V1541&lt;=Settings!$B$12,"2 - Review","3 - Monitor")))</f>
        <v/>
      </c>
      <c r="X1541" s="56" t="str">
        <f aca="false">IF(AND(E1541&gt;=Settings!$B$4,F1541&gt;=Settings!$B$5,O1541&gt;=Settings!$B$6),"HIGH RATE","")</f>
        <v/>
      </c>
      <c r="Y1541" s="56" t="str">
        <f aca="false">IF(F1541&gt;0,RANK(F1541,$F$2:$F$1780)+COUNTIF($F$2:F1541,F1541)-1,"")</f>
        <v/>
      </c>
      <c r="Z1541" s="56" t="str">
        <f aca="false">IF(H1541&gt;0,RANK(H1541,$H$2:$H$1780)+COUNTIF($H$2:H1541,H1541)-1,"")</f>
        <v/>
      </c>
      <c r="AA1541" s="56" t="str">
        <f aca="false">IF(AC1541="","",RANK(AC1541,$AC$2:$AC$1780)+COUNTIF($AC$2:AC1541,AC1541)-1)</f>
        <v/>
      </c>
      <c r="AB1541" s="56" t="str">
        <f aca="false">IF(AD1541="","",RANK(AD1541,$AD$2:$AD$1780)+COUNTIF($AD$2:AD1541,AD1541)-1)</f>
        <v/>
      </c>
      <c r="AC1541" s="56" t="str">
        <f aca="false">IF(AND(F1541&gt;0,E1541&gt;=Settings!$B$4),J1541,"")</f>
        <v/>
      </c>
      <c r="AD1541" s="56" t="str">
        <f aca="false">IF(X1541="HIGH RATE",O1541,"")</f>
        <v/>
      </c>
    </row>
    <row r="1542" customFormat="false" ht="15" hidden="false" customHeight="false" outlineLevel="0" collapsed="false">
      <c r="A1542" s="56" t="s">
        <v>2976</v>
      </c>
      <c r="B1542" s="56" t="s">
        <v>999</v>
      </c>
      <c r="C1542" s="56" t="s">
        <v>87</v>
      </c>
      <c r="D1542" s="56" t="str">
        <f aca="false">IFERROR(INDEX('Brand Map'!$B$4:$B$124,MATCH(C1542,'Brand Map'!$A$4:$A$124,0)),"Other")</f>
        <v>FYF</v>
      </c>
      <c r="E1542" s="57" t="n">
        <v>7</v>
      </c>
      <c r="F1542" s="57" t="n">
        <v>0</v>
      </c>
      <c r="G1542" s="58" t="n">
        <v>1224.65</v>
      </c>
      <c r="H1542" s="58" t="n">
        <v>0</v>
      </c>
      <c r="I1542" s="58" t="n">
        <v>1224.65</v>
      </c>
      <c r="J1542" s="32" t="n">
        <f aca="false">IF(E1542&gt;0,F1542/E1542,0)</f>
        <v>0</v>
      </c>
      <c r="K1542" s="32" t="n">
        <f aca="false">IF(G1542&gt;0,H1542/G1542,0)</f>
        <v>-0</v>
      </c>
      <c r="L1542" s="59" t="n">
        <f aca="false">H1542/Settings!$B$16</f>
        <v>-0</v>
      </c>
      <c r="M1542" s="59" t="n">
        <f aca="false">H1542/Settings!$B$20</f>
        <v>-0</v>
      </c>
      <c r="N1542" s="60" t="n">
        <f aca="false">E1542*Settings!$B$3</f>
        <v>0.216903057558743</v>
      </c>
      <c r="O1542" s="60" t="n">
        <f aca="false">IF(E1542&gt;0,(F1542-N1542)/SQRT(E1542*Settings!$B$3*(1-Settings!$B$3)),0)</f>
        <v>-0.473116228387102</v>
      </c>
      <c r="P1542" s="60" t="n">
        <f aca="false">MAX(0,F1542-N1542)</f>
        <v>0</v>
      </c>
      <c r="Q1542" s="32" t="n">
        <f aca="false">(F1542+Settings!$B$7*Settings!$B$3)/(E1542+Settings!$B$7)</f>
        <v>0.0251239062809355</v>
      </c>
      <c r="R1542" s="61" t="n">
        <f aca="false">PERCENTRANK($H$2:$H$1780,H1542,6)</f>
        <v>0</v>
      </c>
      <c r="S1542" s="61" t="n">
        <f aca="false">PERCENTRANK($Q$2:$Q$1780,Q1542,6)</f>
        <v>0.168166</v>
      </c>
      <c r="T1542" s="61" t="n">
        <f aca="false">PERCENTRANK($F$2:$F$1780,F1542,6)</f>
        <v>0</v>
      </c>
      <c r="U1542" s="62" t="n">
        <f aca="false">IF(F1542&gt;0,(Settings!$B$8*T1542+Settings!$B$9*R1542+Settings!$B$10*S1542)/SUM(Settings!$B$8:$B$10),0)</f>
        <v>0</v>
      </c>
      <c r="V1542" s="56" t="str">
        <f aca="false">IF(U1542&gt;0,RANK(U1542,$U$2:$U$1780)+COUNTIF($U$2:U1542,U1542)-1,"")</f>
        <v/>
      </c>
      <c r="W1542" s="56" t="str">
        <f aca="false">IF(V1542="","",IF(V1542&lt;=Settings!$B$11,"1 - Fix first",IF(V1542&lt;=Settings!$B$12,"2 - Review","3 - Monitor")))</f>
        <v/>
      </c>
      <c r="X1542" s="56" t="str">
        <f aca="false">IF(AND(E1542&gt;=Settings!$B$4,F1542&gt;=Settings!$B$5,O1542&gt;=Settings!$B$6),"HIGH RATE","")</f>
        <v/>
      </c>
      <c r="Y1542" s="56" t="str">
        <f aca="false">IF(F1542&gt;0,RANK(F1542,$F$2:$F$1780)+COUNTIF($F$2:F1542,F1542)-1,"")</f>
        <v/>
      </c>
      <c r="Z1542" s="56" t="str">
        <f aca="false">IF(H1542&gt;0,RANK(H1542,$H$2:$H$1780)+COUNTIF($H$2:H1542,H1542)-1,"")</f>
        <v/>
      </c>
      <c r="AA1542" s="56" t="str">
        <f aca="false">IF(AC1542="","",RANK(AC1542,$AC$2:$AC$1780)+COUNTIF($AC$2:AC1542,AC1542)-1)</f>
        <v/>
      </c>
      <c r="AB1542" s="56" t="str">
        <f aca="false">IF(AD1542="","",RANK(AD1542,$AD$2:$AD$1780)+COUNTIF($AD$2:AD1542,AD1542)-1)</f>
        <v/>
      </c>
      <c r="AC1542" s="56" t="str">
        <f aca="false">IF(AND(F1542&gt;0,E1542&gt;=Settings!$B$4),J1542,"")</f>
        <v/>
      </c>
      <c r="AD1542" s="56" t="str">
        <f aca="false">IF(X1542="HIGH RATE",O1542,"")</f>
        <v/>
      </c>
    </row>
    <row r="1543" customFormat="false" ht="15" hidden="false" customHeight="false" outlineLevel="0" collapsed="false">
      <c r="A1543" s="56" t="s">
        <v>2977</v>
      </c>
      <c r="B1543" s="56" t="s">
        <v>1316</v>
      </c>
      <c r="C1543" s="56" t="s">
        <v>87</v>
      </c>
      <c r="D1543" s="56" t="str">
        <f aca="false">IFERROR(INDEX('Brand Map'!$B$4:$B$124,MATCH(C1543,'Brand Map'!$A$4:$A$124,0)),"Other")</f>
        <v>FYF</v>
      </c>
      <c r="E1543" s="57" t="n">
        <v>3</v>
      </c>
      <c r="F1543" s="57" t="n">
        <v>0</v>
      </c>
      <c r="G1543" s="58" t="n">
        <v>314.85</v>
      </c>
      <c r="H1543" s="58" t="n">
        <v>0</v>
      </c>
      <c r="I1543" s="58" t="n">
        <v>314.85</v>
      </c>
      <c r="J1543" s="32" t="n">
        <f aca="false">IF(E1543&gt;0,F1543/E1543,0)</f>
        <v>0</v>
      </c>
      <c r="K1543" s="32" t="n">
        <f aca="false">IF(G1543&gt;0,H1543/G1543,0)</f>
        <v>-0</v>
      </c>
      <c r="L1543" s="59" t="n">
        <f aca="false">H1543/Settings!$B$16</f>
        <v>-0</v>
      </c>
      <c r="M1543" s="59" t="n">
        <f aca="false">H1543/Settings!$B$20</f>
        <v>-0</v>
      </c>
      <c r="N1543" s="60" t="n">
        <f aca="false">E1543*Settings!$B$3</f>
        <v>0.0929584532394613</v>
      </c>
      <c r="O1543" s="60" t="n">
        <f aca="false">IF(E1543&gt;0,(F1543-N1543)/SQRT(E1543*Settings!$B$3*(1-Settings!$B$3)),0)</f>
        <v>-0.30972727558513</v>
      </c>
      <c r="P1543" s="60" t="n">
        <f aca="false">MAX(0,F1543-N1543)</f>
        <v>0</v>
      </c>
      <c r="Q1543" s="32" t="n">
        <f aca="false">(F1543+Settings!$B$7*Settings!$B$3)/(E1543+Settings!$B$7)</f>
        <v>0.0281692282543822</v>
      </c>
      <c r="R1543" s="61" t="n">
        <f aca="false">PERCENTRANK($H$2:$H$1780,H1543,6)</f>
        <v>0</v>
      </c>
      <c r="S1543" s="61" t="n">
        <f aca="false">PERCENTRANK($Q$2:$Q$1780,Q1543,6)</f>
        <v>0.294151</v>
      </c>
      <c r="T1543" s="61" t="n">
        <f aca="false">PERCENTRANK($F$2:$F$1780,F1543,6)</f>
        <v>0</v>
      </c>
      <c r="U1543" s="62" t="n">
        <f aca="false">IF(F1543&gt;0,(Settings!$B$8*T1543+Settings!$B$9*R1543+Settings!$B$10*S1543)/SUM(Settings!$B$8:$B$10),0)</f>
        <v>0</v>
      </c>
      <c r="V1543" s="56" t="str">
        <f aca="false">IF(U1543&gt;0,RANK(U1543,$U$2:$U$1780)+COUNTIF($U$2:U1543,U1543)-1,"")</f>
        <v/>
      </c>
      <c r="W1543" s="56" t="str">
        <f aca="false">IF(V1543="","",IF(V1543&lt;=Settings!$B$11,"1 - Fix first",IF(V1543&lt;=Settings!$B$12,"2 - Review","3 - Monitor")))</f>
        <v/>
      </c>
      <c r="X1543" s="56" t="str">
        <f aca="false">IF(AND(E1543&gt;=Settings!$B$4,F1543&gt;=Settings!$B$5,O1543&gt;=Settings!$B$6),"HIGH RATE","")</f>
        <v/>
      </c>
      <c r="Y1543" s="56" t="str">
        <f aca="false">IF(F1543&gt;0,RANK(F1543,$F$2:$F$1780)+COUNTIF($F$2:F1543,F1543)-1,"")</f>
        <v/>
      </c>
      <c r="Z1543" s="56" t="str">
        <f aca="false">IF(H1543&gt;0,RANK(H1543,$H$2:$H$1780)+COUNTIF($H$2:H1543,H1543)-1,"")</f>
        <v/>
      </c>
      <c r="AA1543" s="56" t="str">
        <f aca="false">IF(AC1543="","",RANK(AC1543,$AC$2:$AC$1780)+COUNTIF($AC$2:AC1543,AC1543)-1)</f>
        <v/>
      </c>
      <c r="AB1543" s="56" t="str">
        <f aca="false">IF(AD1543="","",RANK(AD1543,$AD$2:$AD$1780)+COUNTIF($AD$2:AD1543,AD1543)-1)</f>
        <v/>
      </c>
      <c r="AC1543" s="56" t="str">
        <f aca="false">IF(AND(F1543&gt;0,E1543&gt;=Settings!$B$4),J1543,"")</f>
        <v/>
      </c>
      <c r="AD1543" s="56" t="str">
        <f aca="false">IF(X1543="HIGH RATE",O1543,"")</f>
        <v/>
      </c>
    </row>
    <row r="1544" customFormat="false" ht="15" hidden="false" customHeight="false" outlineLevel="0" collapsed="false">
      <c r="A1544" s="56" t="s">
        <v>2978</v>
      </c>
      <c r="B1544" s="56" t="s">
        <v>1316</v>
      </c>
      <c r="C1544" s="56" t="s">
        <v>87</v>
      </c>
      <c r="D1544" s="56" t="str">
        <f aca="false">IFERROR(INDEX('Brand Map'!$B$4:$B$124,MATCH(C1544,'Brand Map'!$A$4:$A$124,0)),"Other")</f>
        <v>FYF</v>
      </c>
      <c r="E1544" s="57" t="n">
        <v>3</v>
      </c>
      <c r="F1544" s="57" t="n">
        <v>0</v>
      </c>
      <c r="G1544" s="58" t="n">
        <v>344.85</v>
      </c>
      <c r="H1544" s="58" t="n">
        <v>0</v>
      </c>
      <c r="I1544" s="58" t="n">
        <v>344.85</v>
      </c>
      <c r="J1544" s="32" t="n">
        <f aca="false">IF(E1544&gt;0,F1544/E1544,0)</f>
        <v>0</v>
      </c>
      <c r="K1544" s="32" t="n">
        <f aca="false">IF(G1544&gt;0,H1544/G1544,0)</f>
        <v>-0</v>
      </c>
      <c r="L1544" s="59" t="n">
        <f aca="false">H1544/Settings!$B$16</f>
        <v>-0</v>
      </c>
      <c r="M1544" s="59" t="n">
        <f aca="false">H1544/Settings!$B$20</f>
        <v>-0</v>
      </c>
      <c r="N1544" s="60" t="n">
        <f aca="false">E1544*Settings!$B$3</f>
        <v>0.0929584532394613</v>
      </c>
      <c r="O1544" s="60" t="n">
        <f aca="false">IF(E1544&gt;0,(F1544-N1544)/SQRT(E1544*Settings!$B$3*(1-Settings!$B$3)),0)</f>
        <v>-0.30972727558513</v>
      </c>
      <c r="P1544" s="60" t="n">
        <f aca="false">MAX(0,F1544-N1544)</f>
        <v>0</v>
      </c>
      <c r="Q1544" s="32" t="n">
        <f aca="false">(F1544+Settings!$B$7*Settings!$B$3)/(E1544+Settings!$B$7)</f>
        <v>0.0281692282543822</v>
      </c>
      <c r="R1544" s="61" t="n">
        <f aca="false">PERCENTRANK($H$2:$H$1780,H1544,6)</f>
        <v>0</v>
      </c>
      <c r="S1544" s="61" t="n">
        <f aca="false">PERCENTRANK($Q$2:$Q$1780,Q1544,6)</f>
        <v>0.294151</v>
      </c>
      <c r="T1544" s="61" t="n">
        <f aca="false">PERCENTRANK($F$2:$F$1780,F1544,6)</f>
        <v>0</v>
      </c>
      <c r="U1544" s="62" t="n">
        <f aca="false">IF(F1544&gt;0,(Settings!$B$8*T1544+Settings!$B$9*R1544+Settings!$B$10*S1544)/SUM(Settings!$B$8:$B$10),0)</f>
        <v>0</v>
      </c>
      <c r="V1544" s="56" t="str">
        <f aca="false">IF(U1544&gt;0,RANK(U1544,$U$2:$U$1780)+COUNTIF($U$2:U1544,U1544)-1,"")</f>
        <v/>
      </c>
      <c r="W1544" s="56" t="str">
        <f aca="false">IF(V1544="","",IF(V1544&lt;=Settings!$B$11,"1 - Fix first",IF(V1544&lt;=Settings!$B$12,"2 - Review","3 - Monitor")))</f>
        <v/>
      </c>
      <c r="X1544" s="56" t="str">
        <f aca="false">IF(AND(E1544&gt;=Settings!$B$4,F1544&gt;=Settings!$B$5,O1544&gt;=Settings!$B$6),"HIGH RATE","")</f>
        <v/>
      </c>
      <c r="Y1544" s="56" t="str">
        <f aca="false">IF(F1544&gt;0,RANK(F1544,$F$2:$F$1780)+COUNTIF($F$2:F1544,F1544)-1,"")</f>
        <v/>
      </c>
      <c r="Z1544" s="56" t="str">
        <f aca="false">IF(H1544&gt;0,RANK(H1544,$H$2:$H$1780)+COUNTIF($H$2:H1544,H1544)-1,"")</f>
        <v/>
      </c>
      <c r="AA1544" s="56" t="str">
        <f aca="false">IF(AC1544="","",RANK(AC1544,$AC$2:$AC$1780)+COUNTIF($AC$2:AC1544,AC1544)-1)</f>
        <v/>
      </c>
      <c r="AB1544" s="56" t="str">
        <f aca="false">IF(AD1544="","",RANK(AD1544,$AD$2:$AD$1780)+COUNTIF($AD$2:AD1544,AD1544)-1)</f>
        <v/>
      </c>
      <c r="AC1544" s="56" t="str">
        <f aca="false">IF(AND(F1544&gt;0,E1544&gt;=Settings!$B$4),J1544,"")</f>
        <v/>
      </c>
      <c r="AD1544" s="56" t="str">
        <f aca="false">IF(X1544="HIGH RATE",O1544,"")</f>
        <v/>
      </c>
    </row>
    <row r="1545" customFormat="false" ht="15" hidden="false" customHeight="false" outlineLevel="0" collapsed="false">
      <c r="A1545" s="56" t="s">
        <v>2979</v>
      </c>
      <c r="B1545" s="56" t="s">
        <v>2980</v>
      </c>
      <c r="C1545" s="56" t="s">
        <v>87</v>
      </c>
      <c r="D1545" s="56" t="str">
        <f aca="false">IFERROR(INDEX('Brand Map'!$B$4:$B$124,MATCH(C1545,'Brand Map'!$A$4:$A$124,0)),"Other")</f>
        <v>FYF</v>
      </c>
      <c r="E1545" s="57" t="n">
        <v>1</v>
      </c>
      <c r="F1545" s="57" t="n">
        <v>0</v>
      </c>
      <c r="G1545" s="58" t="n">
        <v>129.95</v>
      </c>
      <c r="H1545" s="58" t="n">
        <v>0</v>
      </c>
      <c r="I1545" s="58" t="n">
        <v>129.95</v>
      </c>
      <c r="J1545" s="32" t="n">
        <f aca="false">IF(E1545&gt;0,F1545/E1545,0)</f>
        <v>0</v>
      </c>
      <c r="K1545" s="32" t="n">
        <f aca="false">IF(G1545&gt;0,H1545/G1545,0)</f>
        <v>-0</v>
      </c>
      <c r="L1545" s="59" t="n">
        <f aca="false">H1545/Settings!$B$16</f>
        <v>-0</v>
      </c>
      <c r="M1545" s="59" t="n">
        <f aca="false">H1545/Settings!$B$20</f>
        <v>-0</v>
      </c>
      <c r="N1545" s="60" t="n">
        <f aca="false">E1545*Settings!$B$3</f>
        <v>0.0309861510798204</v>
      </c>
      <c r="O1545" s="60" t="n">
        <f aca="false">IF(E1545&gt;0,(F1545-N1545)/SQRT(E1545*Settings!$B$3*(1-Settings!$B$3)),0)</f>
        <v>-0.178821125934444</v>
      </c>
      <c r="P1545" s="60" t="n">
        <f aca="false">MAX(0,F1545-N1545)</f>
        <v>0</v>
      </c>
      <c r="Q1545" s="32" t="n">
        <f aca="false">(F1545+Settings!$B$7*Settings!$B$3)/(E1545+Settings!$B$7)</f>
        <v>0.0299865978191811</v>
      </c>
      <c r="R1545" s="61" t="n">
        <f aca="false">PERCENTRANK($H$2:$H$1780,H1545,6)</f>
        <v>0</v>
      </c>
      <c r="S1545" s="61" t="n">
        <f aca="false">PERCENTRANK($Q$2:$Q$1780,Q1545,6)</f>
        <v>0.486502</v>
      </c>
      <c r="T1545" s="61" t="n">
        <f aca="false">PERCENTRANK($F$2:$F$1780,F1545,6)</f>
        <v>0</v>
      </c>
      <c r="U1545" s="62" t="n">
        <f aca="false">IF(F1545&gt;0,(Settings!$B$8*T1545+Settings!$B$9*R1545+Settings!$B$10*S1545)/SUM(Settings!$B$8:$B$10),0)</f>
        <v>0</v>
      </c>
      <c r="V1545" s="56" t="str">
        <f aca="false">IF(U1545&gt;0,RANK(U1545,$U$2:$U$1780)+COUNTIF($U$2:U1545,U1545)-1,"")</f>
        <v/>
      </c>
      <c r="W1545" s="56" t="str">
        <f aca="false">IF(V1545="","",IF(V1545&lt;=Settings!$B$11,"1 - Fix first",IF(V1545&lt;=Settings!$B$12,"2 - Review","3 - Monitor")))</f>
        <v/>
      </c>
      <c r="X1545" s="56" t="str">
        <f aca="false">IF(AND(E1545&gt;=Settings!$B$4,F1545&gt;=Settings!$B$5,O1545&gt;=Settings!$B$6),"HIGH RATE","")</f>
        <v/>
      </c>
      <c r="Y1545" s="56" t="str">
        <f aca="false">IF(F1545&gt;0,RANK(F1545,$F$2:$F$1780)+COUNTIF($F$2:F1545,F1545)-1,"")</f>
        <v/>
      </c>
      <c r="Z1545" s="56" t="str">
        <f aca="false">IF(H1545&gt;0,RANK(H1545,$H$2:$H$1780)+COUNTIF($H$2:H1545,H1545)-1,"")</f>
        <v/>
      </c>
      <c r="AA1545" s="56" t="str">
        <f aca="false">IF(AC1545="","",RANK(AC1545,$AC$2:$AC$1780)+COUNTIF($AC$2:AC1545,AC1545)-1)</f>
        <v/>
      </c>
      <c r="AB1545" s="56" t="str">
        <f aca="false">IF(AD1545="","",RANK(AD1545,$AD$2:$AD$1780)+COUNTIF($AD$2:AD1545,AD1545)-1)</f>
        <v/>
      </c>
      <c r="AC1545" s="56" t="str">
        <f aca="false">IF(AND(F1545&gt;0,E1545&gt;=Settings!$B$4),J1545,"")</f>
        <v/>
      </c>
      <c r="AD1545" s="56" t="str">
        <f aca="false">IF(X1545="HIGH RATE",O1545,"")</f>
        <v/>
      </c>
    </row>
    <row r="1546" customFormat="false" ht="15" hidden="false" customHeight="false" outlineLevel="0" collapsed="false">
      <c r="A1546" s="56" t="s">
        <v>2981</v>
      </c>
      <c r="B1546" s="56" t="s">
        <v>2980</v>
      </c>
      <c r="C1546" s="56" t="s">
        <v>87</v>
      </c>
      <c r="D1546" s="56" t="str">
        <f aca="false">IFERROR(INDEX('Brand Map'!$B$4:$B$124,MATCH(C1546,'Brand Map'!$A$4:$A$124,0)),"Other")</f>
        <v>FYF</v>
      </c>
      <c r="E1546" s="57" t="n">
        <v>1</v>
      </c>
      <c r="F1546" s="57" t="n">
        <v>0</v>
      </c>
      <c r="G1546" s="58" t="n">
        <v>144.95</v>
      </c>
      <c r="H1546" s="58" t="n">
        <v>0</v>
      </c>
      <c r="I1546" s="58" t="n">
        <v>144.95</v>
      </c>
      <c r="J1546" s="32" t="n">
        <f aca="false">IF(E1546&gt;0,F1546/E1546,0)</f>
        <v>0</v>
      </c>
      <c r="K1546" s="32" t="n">
        <f aca="false">IF(G1546&gt;0,H1546/G1546,0)</f>
        <v>-0</v>
      </c>
      <c r="L1546" s="59" t="n">
        <f aca="false">H1546/Settings!$B$16</f>
        <v>-0</v>
      </c>
      <c r="M1546" s="59" t="n">
        <f aca="false">H1546/Settings!$B$20</f>
        <v>-0</v>
      </c>
      <c r="N1546" s="60" t="n">
        <f aca="false">E1546*Settings!$B$3</f>
        <v>0.0309861510798204</v>
      </c>
      <c r="O1546" s="60" t="n">
        <f aca="false">IF(E1546&gt;0,(F1546-N1546)/SQRT(E1546*Settings!$B$3*(1-Settings!$B$3)),0)</f>
        <v>-0.178821125934444</v>
      </c>
      <c r="P1546" s="60" t="n">
        <f aca="false">MAX(0,F1546-N1546)</f>
        <v>0</v>
      </c>
      <c r="Q1546" s="32" t="n">
        <f aca="false">(F1546+Settings!$B$7*Settings!$B$3)/(E1546+Settings!$B$7)</f>
        <v>0.0299865978191811</v>
      </c>
      <c r="R1546" s="61" t="n">
        <f aca="false">PERCENTRANK($H$2:$H$1780,H1546,6)</f>
        <v>0</v>
      </c>
      <c r="S1546" s="61" t="n">
        <f aca="false">PERCENTRANK($Q$2:$Q$1780,Q1546,6)</f>
        <v>0.486502</v>
      </c>
      <c r="T1546" s="61" t="n">
        <f aca="false">PERCENTRANK($F$2:$F$1780,F1546,6)</f>
        <v>0</v>
      </c>
      <c r="U1546" s="62" t="n">
        <f aca="false">IF(F1546&gt;0,(Settings!$B$8*T1546+Settings!$B$9*R1546+Settings!$B$10*S1546)/SUM(Settings!$B$8:$B$10),0)</f>
        <v>0</v>
      </c>
      <c r="V1546" s="56" t="str">
        <f aca="false">IF(U1546&gt;0,RANK(U1546,$U$2:$U$1780)+COUNTIF($U$2:U1546,U1546)-1,"")</f>
        <v/>
      </c>
      <c r="W1546" s="56" t="str">
        <f aca="false">IF(V1546="","",IF(V1546&lt;=Settings!$B$11,"1 - Fix first",IF(V1546&lt;=Settings!$B$12,"2 - Review","3 - Monitor")))</f>
        <v/>
      </c>
      <c r="X1546" s="56" t="str">
        <f aca="false">IF(AND(E1546&gt;=Settings!$B$4,F1546&gt;=Settings!$B$5,O1546&gt;=Settings!$B$6),"HIGH RATE","")</f>
        <v/>
      </c>
      <c r="Y1546" s="56" t="str">
        <f aca="false">IF(F1546&gt;0,RANK(F1546,$F$2:$F$1780)+COUNTIF($F$2:F1546,F1546)-1,"")</f>
        <v/>
      </c>
      <c r="Z1546" s="56" t="str">
        <f aca="false">IF(H1546&gt;0,RANK(H1546,$H$2:$H$1780)+COUNTIF($H$2:H1546,H1546)-1,"")</f>
        <v/>
      </c>
      <c r="AA1546" s="56" t="str">
        <f aca="false">IF(AC1546="","",RANK(AC1546,$AC$2:$AC$1780)+COUNTIF($AC$2:AC1546,AC1546)-1)</f>
        <v/>
      </c>
      <c r="AB1546" s="56" t="str">
        <f aca="false">IF(AD1546="","",RANK(AD1546,$AD$2:$AD$1780)+COUNTIF($AD$2:AD1546,AD1546)-1)</f>
        <v/>
      </c>
      <c r="AC1546" s="56" t="str">
        <f aca="false">IF(AND(F1546&gt;0,E1546&gt;=Settings!$B$4),J1546,"")</f>
        <v/>
      </c>
      <c r="AD1546" s="56" t="str">
        <f aca="false">IF(X1546="HIGH RATE",O1546,"")</f>
        <v/>
      </c>
    </row>
    <row r="1547" customFormat="false" ht="15" hidden="false" customHeight="false" outlineLevel="0" collapsed="false">
      <c r="A1547" s="56" t="s">
        <v>2982</v>
      </c>
      <c r="B1547" s="56" t="s">
        <v>926</v>
      </c>
      <c r="C1547" s="56" t="s">
        <v>87</v>
      </c>
      <c r="D1547" s="56" t="str">
        <f aca="false">IFERROR(INDEX('Brand Map'!$B$4:$B$124,MATCH(C1547,'Brand Map'!$A$4:$A$124,0)),"Other")</f>
        <v>FYF</v>
      </c>
      <c r="E1547" s="57" t="n">
        <v>19</v>
      </c>
      <c r="F1547" s="57" t="n">
        <v>0</v>
      </c>
      <c r="G1547" s="58" t="n">
        <v>2469.05</v>
      </c>
      <c r="H1547" s="58" t="n">
        <v>0</v>
      </c>
      <c r="I1547" s="58" t="n">
        <v>2469.05</v>
      </c>
      <c r="J1547" s="32" t="n">
        <f aca="false">IF(E1547&gt;0,F1547/E1547,0)</f>
        <v>0</v>
      </c>
      <c r="K1547" s="32" t="n">
        <f aca="false">IF(G1547&gt;0,H1547/G1547,0)</f>
        <v>-0</v>
      </c>
      <c r="L1547" s="59" t="n">
        <f aca="false">H1547/Settings!$B$16</f>
        <v>-0</v>
      </c>
      <c r="M1547" s="59" t="n">
        <f aca="false">H1547/Settings!$B$20</f>
        <v>-0</v>
      </c>
      <c r="N1547" s="60" t="n">
        <f aca="false">E1547*Settings!$B$3</f>
        <v>0.588736870516588</v>
      </c>
      <c r="O1547" s="60" t="n">
        <f aca="false">IF(E1547&gt;0,(F1547-N1547)/SQRT(E1547*Settings!$B$3*(1-Settings!$B$3)),0)</f>
        <v>-0.779463216918402</v>
      </c>
      <c r="P1547" s="60" t="n">
        <f aca="false">MAX(0,F1547-N1547)</f>
        <v>0</v>
      </c>
      <c r="Q1547" s="32" t="n">
        <f aca="false">(F1547+Settings!$B$7*Settings!$B$3)/(E1547+Settings!$B$7)</f>
        <v>0.0189711129060125</v>
      </c>
      <c r="R1547" s="61" t="n">
        <f aca="false">PERCENTRANK($H$2:$H$1780,H1547,6)</f>
        <v>0</v>
      </c>
      <c r="S1547" s="61" t="n">
        <f aca="false">PERCENTRANK($Q$2:$Q$1780,Q1547,6)</f>
        <v>0.0776153</v>
      </c>
      <c r="T1547" s="61" t="n">
        <f aca="false">PERCENTRANK($F$2:$F$1780,F1547,6)</f>
        <v>0</v>
      </c>
      <c r="U1547" s="62" t="n">
        <f aca="false">IF(F1547&gt;0,(Settings!$B$8*T1547+Settings!$B$9*R1547+Settings!$B$10*S1547)/SUM(Settings!$B$8:$B$10),0)</f>
        <v>0</v>
      </c>
      <c r="V1547" s="56" t="str">
        <f aca="false">IF(U1547&gt;0,RANK(U1547,$U$2:$U$1780)+COUNTIF($U$2:U1547,U1547)-1,"")</f>
        <v/>
      </c>
      <c r="W1547" s="56" t="str">
        <f aca="false">IF(V1547="","",IF(V1547&lt;=Settings!$B$11,"1 - Fix first",IF(V1547&lt;=Settings!$B$12,"2 - Review","3 - Monitor")))</f>
        <v/>
      </c>
      <c r="X1547" s="56" t="str">
        <f aca="false">IF(AND(E1547&gt;=Settings!$B$4,F1547&gt;=Settings!$B$5,O1547&gt;=Settings!$B$6),"HIGH RATE","")</f>
        <v/>
      </c>
      <c r="Y1547" s="56" t="str">
        <f aca="false">IF(F1547&gt;0,RANK(F1547,$F$2:$F$1780)+COUNTIF($F$2:F1547,F1547)-1,"")</f>
        <v/>
      </c>
      <c r="Z1547" s="56" t="str">
        <f aca="false">IF(H1547&gt;0,RANK(H1547,$H$2:$H$1780)+COUNTIF($H$2:H1547,H1547)-1,"")</f>
        <v/>
      </c>
      <c r="AA1547" s="56" t="str">
        <f aca="false">IF(AC1547="","",RANK(AC1547,$AC$2:$AC$1780)+COUNTIF($AC$2:AC1547,AC1547)-1)</f>
        <v/>
      </c>
      <c r="AB1547" s="56" t="str">
        <f aca="false">IF(AD1547="","",RANK(AD1547,$AD$2:$AD$1780)+COUNTIF($AD$2:AD1547,AD1547)-1)</f>
        <v/>
      </c>
      <c r="AC1547" s="56" t="str">
        <f aca="false">IF(AND(F1547&gt;0,E1547&gt;=Settings!$B$4),J1547,"")</f>
        <v/>
      </c>
      <c r="AD1547" s="56" t="str">
        <f aca="false">IF(X1547="HIGH RATE",O1547,"")</f>
        <v/>
      </c>
    </row>
    <row r="1548" customFormat="false" ht="15" hidden="false" customHeight="false" outlineLevel="0" collapsed="false">
      <c r="A1548" s="56" t="s">
        <v>2983</v>
      </c>
      <c r="B1548" s="56" t="s">
        <v>926</v>
      </c>
      <c r="C1548" s="56" t="s">
        <v>87</v>
      </c>
      <c r="D1548" s="56" t="str">
        <f aca="false">IFERROR(INDEX('Brand Map'!$B$4:$B$124,MATCH(C1548,'Brand Map'!$A$4:$A$124,0)),"Other")</f>
        <v>FYF</v>
      </c>
      <c r="E1548" s="57" t="n">
        <v>5</v>
      </c>
      <c r="F1548" s="57" t="n">
        <v>0</v>
      </c>
      <c r="G1548" s="58" t="n">
        <v>724.75</v>
      </c>
      <c r="H1548" s="58" t="n">
        <v>0</v>
      </c>
      <c r="I1548" s="58" t="n">
        <v>724.75</v>
      </c>
      <c r="J1548" s="32" t="n">
        <f aca="false">IF(E1548&gt;0,F1548/E1548,0)</f>
        <v>0</v>
      </c>
      <c r="K1548" s="32" t="n">
        <f aca="false">IF(G1548&gt;0,H1548/G1548,0)</f>
        <v>-0</v>
      </c>
      <c r="L1548" s="59" t="n">
        <f aca="false">H1548/Settings!$B$16</f>
        <v>-0</v>
      </c>
      <c r="M1548" s="59" t="n">
        <f aca="false">H1548/Settings!$B$20</f>
        <v>-0</v>
      </c>
      <c r="N1548" s="60" t="n">
        <f aca="false">E1548*Settings!$B$3</f>
        <v>0.154930755399102</v>
      </c>
      <c r="O1548" s="60" t="n">
        <f aca="false">IF(E1548&gt;0,(F1548-N1548)/SQRT(E1548*Settings!$B$3*(1-Settings!$B$3)),0)</f>
        <v>-0.399856193402468</v>
      </c>
      <c r="P1548" s="60" t="n">
        <f aca="false">MAX(0,F1548-N1548)</f>
        <v>0</v>
      </c>
      <c r="Q1548" s="32" t="n">
        <f aca="false">(F1548+Settings!$B$7*Settings!$B$3)/(E1548+Settings!$B$7)</f>
        <v>0.0265595580684175</v>
      </c>
      <c r="R1548" s="61" t="n">
        <f aca="false">PERCENTRANK($H$2:$H$1780,H1548,6)</f>
        <v>0</v>
      </c>
      <c r="S1548" s="61" t="n">
        <f aca="false">PERCENTRANK($Q$2:$Q$1780,Q1548,6)</f>
        <v>0.220472</v>
      </c>
      <c r="T1548" s="61" t="n">
        <f aca="false">PERCENTRANK($F$2:$F$1780,F1548,6)</f>
        <v>0</v>
      </c>
      <c r="U1548" s="62" t="n">
        <f aca="false">IF(F1548&gt;0,(Settings!$B$8*T1548+Settings!$B$9*R1548+Settings!$B$10*S1548)/SUM(Settings!$B$8:$B$10),0)</f>
        <v>0</v>
      </c>
      <c r="V1548" s="56" t="str">
        <f aca="false">IF(U1548&gt;0,RANK(U1548,$U$2:$U$1780)+COUNTIF($U$2:U1548,U1548)-1,"")</f>
        <v/>
      </c>
      <c r="W1548" s="56" t="str">
        <f aca="false">IF(V1548="","",IF(V1548&lt;=Settings!$B$11,"1 - Fix first",IF(V1548&lt;=Settings!$B$12,"2 - Review","3 - Monitor")))</f>
        <v/>
      </c>
      <c r="X1548" s="56" t="str">
        <f aca="false">IF(AND(E1548&gt;=Settings!$B$4,F1548&gt;=Settings!$B$5,O1548&gt;=Settings!$B$6),"HIGH RATE","")</f>
        <v/>
      </c>
      <c r="Y1548" s="56" t="str">
        <f aca="false">IF(F1548&gt;0,RANK(F1548,$F$2:$F$1780)+COUNTIF($F$2:F1548,F1548)-1,"")</f>
        <v/>
      </c>
      <c r="Z1548" s="56" t="str">
        <f aca="false">IF(H1548&gt;0,RANK(H1548,$H$2:$H$1780)+COUNTIF($H$2:H1548,H1548)-1,"")</f>
        <v/>
      </c>
      <c r="AA1548" s="56" t="str">
        <f aca="false">IF(AC1548="","",RANK(AC1548,$AC$2:$AC$1780)+COUNTIF($AC$2:AC1548,AC1548)-1)</f>
        <v/>
      </c>
      <c r="AB1548" s="56" t="str">
        <f aca="false">IF(AD1548="","",RANK(AD1548,$AD$2:$AD$1780)+COUNTIF($AD$2:AD1548,AD1548)-1)</f>
        <v/>
      </c>
      <c r="AC1548" s="56" t="str">
        <f aca="false">IF(AND(F1548&gt;0,E1548&gt;=Settings!$B$4),J1548,"")</f>
        <v/>
      </c>
      <c r="AD1548" s="56" t="str">
        <f aca="false">IF(X1548="HIGH RATE",O1548,"")</f>
        <v/>
      </c>
    </row>
    <row r="1549" customFormat="false" ht="15" hidden="false" customHeight="false" outlineLevel="0" collapsed="false">
      <c r="A1549" s="56" t="s">
        <v>2984</v>
      </c>
      <c r="B1549" s="56" t="s">
        <v>926</v>
      </c>
      <c r="C1549" s="56" t="s">
        <v>87</v>
      </c>
      <c r="D1549" s="56" t="str">
        <f aca="false">IFERROR(INDEX('Brand Map'!$B$4:$B$124,MATCH(C1549,'Brand Map'!$A$4:$A$124,0)),"Other")</f>
        <v>FYF</v>
      </c>
      <c r="E1549" s="57" t="n">
        <v>10</v>
      </c>
      <c r="F1549" s="57" t="n">
        <v>0</v>
      </c>
      <c r="G1549" s="58" t="n">
        <v>1549.5</v>
      </c>
      <c r="H1549" s="58" t="n">
        <v>0</v>
      </c>
      <c r="I1549" s="58" t="n">
        <v>1549.5</v>
      </c>
      <c r="J1549" s="32" t="n">
        <f aca="false">IF(E1549&gt;0,F1549/E1549,0)</f>
        <v>0</v>
      </c>
      <c r="K1549" s="32" t="n">
        <f aca="false">IF(G1549&gt;0,H1549/G1549,0)</f>
        <v>-0</v>
      </c>
      <c r="L1549" s="59" t="n">
        <f aca="false">H1549/Settings!$B$16</f>
        <v>-0</v>
      </c>
      <c r="M1549" s="59" t="n">
        <f aca="false">H1549/Settings!$B$20</f>
        <v>-0</v>
      </c>
      <c r="N1549" s="60" t="n">
        <f aca="false">E1549*Settings!$B$3</f>
        <v>0.309861510798204</v>
      </c>
      <c r="O1549" s="60" t="n">
        <f aca="false">IF(E1549&gt;0,(F1549-N1549)/SQRT(E1549*Settings!$B$3*(1-Settings!$B$3)),0)</f>
        <v>-0.565482051708649</v>
      </c>
      <c r="P1549" s="60" t="n">
        <f aca="false">MAX(0,F1549-N1549)</f>
        <v>0</v>
      </c>
      <c r="Q1549" s="32" t="n">
        <f aca="false">(F1549+Settings!$B$7*Settings!$B$3)/(E1549+Settings!$B$7)</f>
        <v>0.0232396133098653</v>
      </c>
      <c r="R1549" s="61" t="n">
        <f aca="false">PERCENTRANK($H$2:$H$1780,H1549,6)</f>
        <v>0</v>
      </c>
      <c r="S1549" s="61" t="n">
        <f aca="false">PERCENTRANK($Q$2:$Q$1780,Q1549,6)</f>
        <v>0.131046</v>
      </c>
      <c r="T1549" s="61" t="n">
        <f aca="false">PERCENTRANK($F$2:$F$1780,F1549,6)</f>
        <v>0</v>
      </c>
      <c r="U1549" s="62" t="n">
        <f aca="false">IF(F1549&gt;0,(Settings!$B$8*T1549+Settings!$B$9*R1549+Settings!$B$10*S1549)/SUM(Settings!$B$8:$B$10),0)</f>
        <v>0</v>
      </c>
      <c r="V1549" s="56" t="str">
        <f aca="false">IF(U1549&gt;0,RANK(U1549,$U$2:$U$1780)+COUNTIF($U$2:U1549,U1549)-1,"")</f>
        <v/>
      </c>
      <c r="W1549" s="56" t="str">
        <f aca="false">IF(V1549="","",IF(V1549&lt;=Settings!$B$11,"1 - Fix first",IF(V1549&lt;=Settings!$B$12,"2 - Review","3 - Monitor")))</f>
        <v/>
      </c>
      <c r="X1549" s="56" t="str">
        <f aca="false">IF(AND(E1549&gt;=Settings!$B$4,F1549&gt;=Settings!$B$5,O1549&gt;=Settings!$B$6),"HIGH RATE","")</f>
        <v/>
      </c>
      <c r="Y1549" s="56" t="str">
        <f aca="false">IF(F1549&gt;0,RANK(F1549,$F$2:$F$1780)+COUNTIF($F$2:F1549,F1549)-1,"")</f>
        <v/>
      </c>
      <c r="Z1549" s="56" t="str">
        <f aca="false">IF(H1549&gt;0,RANK(H1549,$H$2:$H$1780)+COUNTIF($H$2:H1549,H1549)-1,"")</f>
        <v/>
      </c>
      <c r="AA1549" s="56" t="str">
        <f aca="false">IF(AC1549="","",RANK(AC1549,$AC$2:$AC$1780)+COUNTIF($AC$2:AC1549,AC1549)-1)</f>
        <v/>
      </c>
      <c r="AB1549" s="56" t="str">
        <f aca="false">IF(AD1549="","",RANK(AD1549,$AD$2:$AD$1780)+COUNTIF($AD$2:AD1549,AD1549)-1)</f>
        <v/>
      </c>
      <c r="AC1549" s="56" t="str">
        <f aca="false">IF(AND(F1549&gt;0,E1549&gt;=Settings!$B$4),J1549,"")</f>
        <v/>
      </c>
      <c r="AD1549" s="56" t="str">
        <f aca="false">IF(X1549="HIGH RATE",O1549,"")</f>
        <v/>
      </c>
    </row>
    <row r="1550" customFormat="false" ht="15" hidden="false" customHeight="false" outlineLevel="0" collapsed="false">
      <c r="A1550" s="56" t="s">
        <v>2985</v>
      </c>
      <c r="B1550" s="56" t="s">
        <v>1111</v>
      </c>
      <c r="C1550" s="56" t="s">
        <v>87</v>
      </c>
      <c r="D1550" s="56" t="str">
        <f aca="false">IFERROR(INDEX('Brand Map'!$B$4:$B$124,MATCH(C1550,'Brand Map'!$A$4:$A$124,0)),"Other")</f>
        <v>FYF</v>
      </c>
      <c r="E1550" s="57" t="n">
        <v>1</v>
      </c>
      <c r="F1550" s="57" t="n">
        <v>0</v>
      </c>
      <c r="G1550" s="58" t="n">
        <v>160.95</v>
      </c>
      <c r="H1550" s="58" t="n">
        <v>0</v>
      </c>
      <c r="I1550" s="58" t="n">
        <v>160.95</v>
      </c>
      <c r="J1550" s="32" t="n">
        <f aca="false">IF(E1550&gt;0,F1550/E1550,0)</f>
        <v>0</v>
      </c>
      <c r="K1550" s="32" t="n">
        <f aca="false">IF(G1550&gt;0,H1550/G1550,0)</f>
        <v>-0</v>
      </c>
      <c r="L1550" s="59" t="n">
        <f aca="false">H1550/Settings!$B$16</f>
        <v>-0</v>
      </c>
      <c r="M1550" s="59" t="n">
        <f aca="false">H1550/Settings!$B$20</f>
        <v>-0</v>
      </c>
      <c r="N1550" s="60" t="n">
        <f aca="false">E1550*Settings!$B$3</f>
        <v>0.0309861510798204</v>
      </c>
      <c r="O1550" s="60" t="n">
        <f aca="false">IF(E1550&gt;0,(F1550-N1550)/SQRT(E1550*Settings!$B$3*(1-Settings!$B$3)),0)</f>
        <v>-0.178821125934444</v>
      </c>
      <c r="P1550" s="60" t="n">
        <f aca="false">MAX(0,F1550-N1550)</f>
        <v>0</v>
      </c>
      <c r="Q1550" s="32" t="n">
        <f aca="false">(F1550+Settings!$B$7*Settings!$B$3)/(E1550+Settings!$B$7)</f>
        <v>0.0299865978191811</v>
      </c>
      <c r="R1550" s="61" t="n">
        <f aca="false">PERCENTRANK($H$2:$H$1780,H1550,6)</f>
        <v>0</v>
      </c>
      <c r="S1550" s="61" t="n">
        <f aca="false">PERCENTRANK($Q$2:$Q$1780,Q1550,6)</f>
        <v>0.486502</v>
      </c>
      <c r="T1550" s="61" t="n">
        <f aca="false">PERCENTRANK($F$2:$F$1780,F1550,6)</f>
        <v>0</v>
      </c>
      <c r="U1550" s="62" t="n">
        <f aca="false">IF(F1550&gt;0,(Settings!$B$8*T1550+Settings!$B$9*R1550+Settings!$B$10*S1550)/SUM(Settings!$B$8:$B$10),0)</f>
        <v>0</v>
      </c>
      <c r="V1550" s="56" t="str">
        <f aca="false">IF(U1550&gt;0,RANK(U1550,$U$2:$U$1780)+COUNTIF($U$2:U1550,U1550)-1,"")</f>
        <v/>
      </c>
      <c r="W1550" s="56" t="str">
        <f aca="false">IF(V1550="","",IF(V1550&lt;=Settings!$B$11,"1 - Fix first",IF(V1550&lt;=Settings!$B$12,"2 - Review","3 - Monitor")))</f>
        <v/>
      </c>
      <c r="X1550" s="56" t="str">
        <f aca="false">IF(AND(E1550&gt;=Settings!$B$4,F1550&gt;=Settings!$B$5,O1550&gt;=Settings!$B$6),"HIGH RATE","")</f>
        <v/>
      </c>
      <c r="Y1550" s="56" t="str">
        <f aca="false">IF(F1550&gt;0,RANK(F1550,$F$2:$F$1780)+COUNTIF($F$2:F1550,F1550)-1,"")</f>
        <v/>
      </c>
      <c r="Z1550" s="56" t="str">
        <f aca="false">IF(H1550&gt;0,RANK(H1550,$H$2:$H$1780)+COUNTIF($H$2:H1550,H1550)-1,"")</f>
        <v/>
      </c>
      <c r="AA1550" s="56" t="str">
        <f aca="false">IF(AC1550="","",RANK(AC1550,$AC$2:$AC$1780)+COUNTIF($AC$2:AC1550,AC1550)-1)</f>
        <v/>
      </c>
      <c r="AB1550" s="56" t="str">
        <f aca="false">IF(AD1550="","",RANK(AD1550,$AD$2:$AD$1780)+COUNTIF($AD$2:AD1550,AD1550)-1)</f>
        <v/>
      </c>
      <c r="AC1550" s="56" t="str">
        <f aca="false">IF(AND(F1550&gt;0,E1550&gt;=Settings!$B$4),J1550,"")</f>
        <v/>
      </c>
      <c r="AD1550" s="56" t="str">
        <f aca="false">IF(X1550="HIGH RATE",O1550,"")</f>
        <v/>
      </c>
    </row>
    <row r="1551" customFormat="false" ht="15" hidden="false" customHeight="false" outlineLevel="0" collapsed="false">
      <c r="A1551" s="56" t="s">
        <v>2986</v>
      </c>
      <c r="B1551" s="56" t="s">
        <v>1111</v>
      </c>
      <c r="C1551" s="56" t="s">
        <v>87</v>
      </c>
      <c r="D1551" s="56" t="str">
        <f aca="false">IFERROR(INDEX('Brand Map'!$B$4:$B$124,MATCH(C1551,'Brand Map'!$A$4:$A$124,0)),"Other")</f>
        <v>FYF</v>
      </c>
      <c r="E1551" s="57" t="n">
        <v>1</v>
      </c>
      <c r="F1551" s="57" t="n">
        <v>0</v>
      </c>
      <c r="G1551" s="58" t="n">
        <v>194.95</v>
      </c>
      <c r="H1551" s="58" t="n">
        <v>0</v>
      </c>
      <c r="I1551" s="58" t="n">
        <v>194.95</v>
      </c>
      <c r="J1551" s="32" t="n">
        <f aca="false">IF(E1551&gt;0,F1551/E1551,0)</f>
        <v>0</v>
      </c>
      <c r="K1551" s="32" t="n">
        <f aca="false">IF(G1551&gt;0,H1551/G1551,0)</f>
        <v>-0</v>
      </c>
      <c r="L1551" s="59" t="n">
        <f aca="false">H1551/Settings!$B$16</f>
        <v>-0</v>
      </c>
      <c r="M1551" s="59" t="n">
        <f aca="false">H1551/Settings!$B$20</f>
        <v>-0</v>
      </c>
      <c r="N1551" s="60" t="n">
        <f aca="false">E1551*Settings!$B$3</f>
        <v>0.0309861510798204</v>
      </c>
      <c r="O1551" s="60" t="n">
        <f aca="false">IF(E1551&gt;0,(F1551-N1551)/SQRT(E1551*Settings!$B$3*(1-Settings!$B$3)),0)</f>
        <v>-0.178821125934444</v>
      </c>
      <c r="P1551" s="60" t="n">
        <f aca="false">MAX(0,F1551-N1551)</f>
        <v>0</v>
      </c>
      <c r="Q1551" s="32" t="n">
        <f aca="false">(F1551+Settings!$B$7*Settings!$B$3)/(E1551+Settings!$B$7)</f>
        <v>0.0299865978191811</v>
      </c>
      <c r="R1551" s="61" t="n">
        <f aca="false">PERCENTRANK($H$2:$H$1780,H1551,6)</f>
        <v>0</v>
      </c>
      <c r="S1551" s="61" t="n">
        <f aca="false">PERCENTRANK($Q$2:$Q$1780,Q1551,6)</f>
        <v>0.486502</v>
      </c>
      <c r="T1551" s="61" t="n">
        <f aca="false">PERCENTRANK($F$2:$F$1780,F1551,6)</f>
        <v>0</v>
      </c>
      <c r="U1551" s="62" t="n">
        <f aca="false">IF(F1551&gt;0,(Settings!$B$8*T1551+Settings!$B$9*R1551+Settings!$B$10*S1551)/SUM(Settings!$B$8:$B$10),0)</f>
        <v>0</v>
      </c>
      <c r="V1551" s="56" t="str">
        <f aca="false">IF(U1551&gt;0,RANK(U1551,$U$2:$U$1780)+COUNTIF($U$2:U1551,U1551)-1,"")</f>
        <v/>
      </c>
      <c r="W1551" s="56" t="str">
        <f aca="false">IF(V1551="","",IF(V1551&lt;=Settings!$B$11,"1 - Fix first",IF(V1551&lt;=Settings!$B$12,"2 - Review","3 - Monitor")))</f>
        <v/>
      </c>
      <c r="X1551" s="56" t="str">
        <f aca="false">IF(AND(E1551&gt;=Settings!$B$4,F1551&gt;=Settings!$B$5,O1551&gt;=Settings!$B$6),"HIGH RATE","")</f>
        <v/>
      </c>
      <c r="Y1551" s="56" t="str">
        <f aca="false">IF(F1551&gt;0,RANK(F1551,$F$2:$F$1780)+COUNTIF($F$2:F1551,F1551)-1,"")</f>
        <v/>
      </c>
      <c r="Z1551" s="56" t="str">
        <f aca="false">IF(H1551&gt;0,RANK(H1551,$H$2:$H$1780)+COUNTIF($H$2:H1551,H1551)-1,"")</f>
        <v/>
      </c>
      <c r="AA1551" s="56" t="str">
        <f aca="false">IF(AC1551="","",RANK(AC1551,$AC$2:$AC$1780)+COUNTIF($AC$2:AC1551,AC1551)-1)</f>
        <v/>
      </c>
      <c r="AB1551" s="56" t="str">
        <f aca="false">IF(AD1551="","",RANK(AD1551,$AD$2:$AD$1780)+COUNTIF($AD$2:AD1551,AD1551)-1)</f>
        <v/>
      </c>
      <c r="AC1551" s="56" t="str">
        <f aca="false">IF(AND(F1551&gt;0,E1551&gt;=Settings!$B$4),J1551,"")</f>
        <v/>
      </c>
      <c r="AD1551" s="56" t="str">
        <f aca="false">IF(X1551="HIGH RATE",O1551,"")</f>
        <v/>
      </c>
    </row>
    <row r="1552" customFormat="false" ht="15" hidden="false" customHeight="false" outlineLevel="0" collapsed="false">
      <c r="A1552" s="56" t="s">
        <v>2987</v>
      </c>
      <c r="B1552" s="56" t="s">
        <v>1111</v>
      </c>
      <c r="C1552" s="56" t="s">
        <v>87</v>
      </c>
      <c r="D1552" s="56" t="str">
        <f aca="false">IFERROR(INDEX('Brand Map'!$B$4:$B$124,MATCH(C1552,'Brand Map'!$A$4:$A$124,0)),"Other")</f>
        <v>FYF</v>
      </c>
      <c r="E1552" s="57" t="n">
        <v>1</v>
      </c>
      <c r="F1552" s="57" t="n">
        <v>0</v>
      </c>
      <c r="G1552" s="58" t="n">
        <v>204.95</v>
      </c>
      <c r="H1552" s="58" t="n">
        <v>0</v>
      </c>
      <c r="I1552" s="58" t="n">
        <v>204.95</v>
      </c>
      <c r="J1552" s="32" t="n">
        <f aca="false">IF(E1552&gt;0,F1552/E1552,0)</f>
        <v>0</v>
      </c>
      <c r="K1552" s="32" t="n">
        <f aca="false">IF(G1552&gt;0,H1552/G1552,0)</f>
        <v>-0</v>
      </c>
      <c r="L1552" s="59" t="n">
        <f aca="false">H1552/Settings!$B$16</f>
        <v>-0</v>
      </c>
      <c r="M1552" s="59" t="n">
        <f aca="false">H1552/Settings!$B$20</f>
        <v>-0</v>
      </c>
      <c r="N1552" s="60" t="n">
        <f aca="false">E1552*Settings!$B$3</f>
        <v>0.0309861510798204</v>
      </c>
      <c r="O1552" s="60" t="n">
        <f aca="false">IF(E1552&gt;0,(F1552-N1552)/SQRT(E1552*Settings!$B$3*(1-Settings!$B$3)),0)</f>
        <v>-0.178821125934444</v>
      </c>
      <c r="P1552" s="60" t="n">
        <f aca="false">MAX(0,F1552-N1552)</f>
        <v>0</v>
      </c>
      <c r="Q1552" s="32" t="n">
        <f aca="false">(F1552+Settings!$B$7*Settings!$B$3)/(E1552+Settings!$B$7)</f>
        <v>0.0299865978191811</v>
      </c>
      <c r="R1552" s="61" t="n">
        <f aca="false">PERCENTRANK($H$2:$H$1780,H1552,6)</f>
        <v>0</v>
      </c>
      <c r="S1552" s="61" t="n">
        <f aca="false">PERCENTRANK($Q$2:$Q$1780,Q1552,6)</f>
        <v>0.486502</v>
      </c>
      <c r="T1552" s="61" t="n">
        <f aca="false">PERCENTRANK($F$2:$F$1780,F1552,6)</f>
        <v>0</v>
      </c>
      <c r="U1552" s="62" t="n">
        <f aca="false">IF(F1552&gt;0,(Settings!$B$8*T1552+Settings!$B$9*R1552+Settings!$B$10*S1552)/SUM(Settings!$B$8:$B$10),0)</f>
        <v>0</v>
      </c>
      <c r="V1552" s="56" t="str">
        <f aca="false">IF(U1552&gt;0,RANK(U1552,$U$2:$U$1780)+COUNTIF($U$2:U1552,U1552)-1,"")</f>
        <v/>
      </c>
      <c r="W1552" s="56" t="str">
        <f aca="false">IF(V1552="","",IF(V1552&lt;=Settings!$B$11,"1 - Fix first",IF(V1552&lt;=Settings!$B$12,"2 - Review","3 - Monitor")))</f>
        <v/>
      </c>
      <c r="X1552" s="56" t="str">
        <f aca="false">IF(AND(E1552&gt;=Settings!$B$4,F1552&gt;=Settings!$B$5,O1552&gt;=Settings!$B$6),"HIGH RATE","")</f>
        <v/>
      </c>
      <c r="Y1552" s="56" t="str">
        <f aca="false">IF(F1552&gt;0,RANK(F1552,$F$2:$F$1780)+COUNTIF($F$2:F1552,F1552)-1,"")</f>
        <v/>
      </c>
      <c r="Z1552" s="56" t="str">
        <f aca="false">IF(H1552&gt;0,RANK(H1552,$H$2:$H$1780)+COUNTIF($H$2:H1552,H1552)-1,"")</f>
        <v/>
      </c>
      <c r="AA1552" s="56" t="str">
        <f aca="false">IF(AC1552="","",RANK(AC1552,$AC$2:$AC$1780)+COUNTIF($AC$2:AC1552,AC1552)-1)</f>
        <v/>
      </c>
      <c r="AB1552" s="56" t="str">
        <f aca="false">IF(AD1552="","",RANK(AD1552,$AD$2:$AD$1780)+COUNTIF($AD$2:AD1552,AD1552)-1)</f>
        <v/>
      </c>
      <c r="AC1552" s="56" t="str">
        <f aca="false">IF(AND(F1552&gt;0,E1552&gt;=Settings!$B$4),J1552,"")</f>
        <v/>
      </c>
      <c r="AD1552" s="56" t="str">
        <f aca="false">IF(X1552="HIGH RATE",O1552,"")</f>
        <v/>
      </c>
    </row>
    <row r="1553" customFormat="false" ht="15" hidden="false" customHeight="false" outlineLevel="0" collapsed="false">
      <c r="A1553" s="56" t="s">
        <v>2988</v>
      </c>
      <c r="B1553" s="56" t="s">
        <v>2989</v>
      </c>
      <c r="C1553" s="56" t="s">
        <v>87</v>
      </c>
      <c r="D1553" s="56" t="str">
        <f aca="false">IFERROR(INDEX('Brand Map'!$B$4:$B$124,MATCH(C1553,'Brand Map'!$A$4:$A$124,0)),"Other")</f>
        <v>FYF</v>
      </c>
      <c r="E1553" s="57" t="n">
        <v>1</v>
      </c>
      <c r="F1553" s="57" t="n">
        <v>0</v>
      </c>
      <c r="G1553" s="58" t="n">
        <v>304.95</v>
      </c>
      <c r="H1553" s="58" t="n">
        <v>0</v>
      </c>
      <c r="I1553" s="58" t="n">
        <v>304.95</v>
      </c>
      <c r="J1553" s="32" t="n">
        <f aca="false">IF(E1553&gt;0,F1553/E1553,0)</f>
        <v>0</v>
      </c>
      <c r="K1553" s="32" t="n">
        <f aca="false">IF(G1553&gt;0,H1553/G1553,0)</f>
        <v>-0</v>
      </c>
      <c r="L1553" s="59" t="n">
        <f aca="false">H1553/Settings!$B$16</f>
        <v>-0</v>
      </c>
      <c r="M1553" s="59" t="n">
        <f aca="false">H1553/Settings!$B$20</f>
        <v>-0</v>
      </c>
      <c r="N1553" s="60" t="n">
        <f aca="false">E1553*Settings!$B$3</f>
        <v>0.0309861510798204</v>
      </c>
      <c r="O1553" s="60" t="n">
        <f aca="false">IF(E1553&gt;0,(F1553-N1553)/SQRT(E1553*Settings!$B$3*(1-Settings!$B$3)),0)</f>
        <v>-0.178821125934444</v>
      </c>
      <c r="P1553" s="60" t="n">
        <f aca="false">MAX(0,F1553-N1553)</f>
        <v>0</v>
      </c>
      <c r="Q1553" s="32" t="n">
        <f aca="false">(F1553+Settings!$B$7*Settings!$B$3)/(E1553+Settings!$B$7)</f>
        <v>0.0299865978191811</v>
      </c>
      <c r="R1553" s="61" t="n">
        <f aca="false">PERCENTRANK($H$2:$H$1780,H1553,6)</f>
        <v>0</v>
      </c>
      <c r="S1553" s="61" t="n">
        <f aca="false">PERCENTRANK($Q$2:$Q$1780,Q1553,6)</f>
        <v>0.486502</v>
      </c>
      <c r="T1553" s="61" t="n">
        <f aca="false">PERCENTRANK($F$2:$F$1780,F1553,6)</f>
        <v>0</v>
      </c>
      <c r="U1553" s="62" t="n">
        <f aca="false">IF(F1553&gt;0,(Settings!$B$8*T1553+Settings!$B$9*R1553+Settings!$B$10*S1553)/SUM(Settings!$B$8:$B$10),0)</f>
        <v>0</v>
      </c>
      <c r="V1553" s="56" t="str">
        <f aca="false">IF(U1553&gt;0,RANK(U1553,$U$2:$U$1780)+COUNTIF($U$2:U1553,U1553)-1,"")</f>
        <v/>
      </c>
      <c r="W1553" s="56" t="str">
        <f aca="false">IF(V1553="","",IF(V1553&lt;=Settings!$B$11,"1 - Fix first",IF(V1553&lt;=Settings!$B$12,"2 - Review","3 - Monitor")))</f>
        <v/>
      </c>
      <c r="X1553" s="56" t="str">
        <f aca="false">IF(AND(E1553&gt;=Settings!$B$4,F1553&gt;=Settings!$B$5,O1553&gt;=Settings!$B$6),"HIGH RATE","")</f>
        <v/>
      </c>
      <c r="Y1553" s="56" t="str">
        <f aca="false">IF(F1553&gt;0,RANK(F1553,$F$2:$F$1780)+COUNTIF($F$2:F1553,F1553)-1,"")</f>
        <v/>
      </c>
      <c r="Z1553" s="56" t="str">
        <f aca="false">IF(H1553&gt;0,RANK(H1553,$H$2:$H$1780)+COUNTIF($H$2:H1553,H1553)-1,"")</f>
        <v/>
      </c>
      <c r="AA1553" s="56" t="str">
        <f aca="false">IF(AC1553="","",RANK(AC1553,$AC$2:$AC$1780)+COUNTIF($AC$2:AC1553,AC1553)-1)</f>
        <v/>
      </c>
      <c r="AB1553" s="56" t="str">
        <f aca="false">IF(AD1553="","",RANK(AD1553,$AD$2:$AD$1780)+COUNTIF($AD$2:AD1553,AD1553)-1)</f>
        <v/>
      </c>
      <c r="AC1553" s="56" t="str">
        <f aca="false">IF(AND(F1553&gt;0,E1553&gt;=Settings!$B$4),J1553,"")</f>
        <v/>
      </c>
      <c r="AD1553" s="56" t="str">
        <f aca="false">IF(X1553="HIGH RATE",O1553,"")</f>
        <v/>
      </c>
    </row>
    <row r="1554" customFormat="false" ht="15" hidden="false" customHeight="false" outlineLevel="0" collapsed="false">
      <c r="A1554" s="56" t="s">
        <v>2990</v>
      </c>
      <c r="B1554" s="56" t="s">
        <v>1330</v>
      </c>
      <c r="C1554" s="56" t="s">
        <v>87</v>
      </c>
      <c r="D1554" s="56" t="str">
        <f aca="false">IFERROR(INDEX('Brand Map'!$B$4:$B$124,MATCH(C1554,'Brand Map'!$A$4:$A$124,0)),"Other")</f>
        <v>FYF</v>
      </c>
      <c r="E1554" s="57" t="n">
        <v>7</v>
      </c>
      <c r="F1554" s="57" t="n">
        <v>0</v>
      </c>
      <c r="G1554" s="58" t="n">
        <v>699.65</v>
      </c>
      <c r="H1554" s="58" t="n">
        <v>0</v>
      </c>
      <c r="I1554" s="58" t="n">
        <v>699.65</v>
      </c>
      <c r="J1554" s="32" t="n">
        <f aca="false">IF(E1554&gt;0,F1554/E1554,0)</f>
        <v>0</v>
      </c>
      <c r="K1554" s="32" t="n">
        <f aca="false">IF(G1554&gt;0,H1554/G1554,0)</f>
        <v>-0</v>
      </c>
      <c r="L1554" s="59" t="n">
        <f aca="false">H1554/Settings!$B$16</f>
        <v>-0</v>
      </c>
      <c r="M1554" s="59" t="n">
        <f aca="false">H1554/Settings!$B$20</f>
        <v>-0</v>
      </c>
      <c r="N1554" s="60" t="n">
        <f aca="false">E1554*Settings!$B$3</f>
        <v>0.216903057558743</v>
      </c>
      <c r="O1554" s="60" t="n">
        <f aca="false">IF(E1554&gt;0,(F1554-N1554)/SQRT(E1554*Settings!$B$3*(1-Settings!$B$3)),0)</f>
        <v>-0.473116228387102</v>
      </c>
      <c r="P1554" s="60" t="n">
        <f aca="false">MAX(0,F1554-N1554)</f>
        <v>0</v>
      </c>
      <c r="Q1554" s="32" t="n">
        <f aca="false">(F1554+Settings!$B$7*Settings!$B$3)/(E1554+Settings!$B$7)</f>
        <v>0.0251239062809355</v>
      </c>
      <c r="R1554" s="61" t="n">
        <f aca="false">PERCENTRANK($H$2:$H$1780,H1554,6)</f>
        <v>0</v>
      </c>
      <c r="S1554" s="61" t="n">
        <f aca="false">PERCENTRANK($Q$2:$Q$1780,Q1554,6)</f>
        <v>0.168166</v>
      </c>
      <c r="T1554" s="61" t="n">
        <f aca="false">PERCENTRANK($F$2:$F$1780,F1554,6)</f>
        <v>0</v>
      </c>
      <c r="U1554" s="62" t="n">
        <f aca="false">IF(F1554&gt;0,(Settings!$B$8*T1554+Settings!$B$9*R1554+Settings!$B$10*S1554)/SUM(Settings!$B$8:$B$10),0)</f>
        <v>0</v>
      </c>
      <c r="V1554" s="56" t="str">
        <f aca="false">IF(U1554&gt;0,RANK(U1554,$U$2:$U$1780)+COUNTIF($U$2:U1554,U1554)-1,"")</f>
        <v/>
      </c>
      <c r="W1554" s="56" t="str">
        <f aca="false">IF(V1554="","",IF(V1554&lt;=Settings!$B$11,"1 - Fix first",IF(V1554&lt;=Settings!$B$12,"2 - Review","3 - Monitor")))</f>
        <v/>
      </c>
      <c r="X1554" s="56" t="str">
        <f aca="false">IF(AND(E1554&gt;=Settings!$B$4,F1554&gt;=Settings!$B$5,O1554&gt;=Settings!$B$6),"HIGH RATE","")</f>
        <v/>
      </c>
      <c r="Y1554" s="56" t="str">
        <f aca="false">IF(F1554&gt;0,RANK(F1554,$F$2:$F$1780)+COUNTIF($F$2:F1554,F1554)-1,"")</f>
        <v/>
      </c>
      <c r="Z1554" s="56" t="str">
        <f aca="false">IF(H1554&gt;0,RANK(H1554,$H$2:$H$1780)+COUNTIF($H$2:H1554,H1554)-1,"")</f>
        <v/>
      </c>
      <c r="AA1554" s="56" t="str">
        <f aca="false">IF(AC1554="","",RANK(AC1554,$AC$2:$AC$1780)+COUNTIF($AC$2:AC1554,AC1554)-1)</f>
        <v/>
      </c>
      <c r="AB1554" s="56" t="str">
        <f aca="false">IF(AD1554="","",RANK(AD1554,$AD$2:$AD$1780)+COUNTIF($AD$2:AD1554,AD1554)-1)</f>
        <v/>
      </c>
      <c r="AC1554" s="56" t="str">
        <f aca="false">IF(AND(F1554&gt;0,E1554&gt;=Settings!$B$4),J1554,"")</f>
        <v/>
      </c>
      <c r="AD1554" s="56" t="str">
        <f aca="false">IF(X1554="HIGH RATE",O1554,"")</f>
        <v/>
      </c>
    </row>
    <row r="1555" customFormat="false" ht="15" hidden="false" customHeight="false" outlineLevel="0" collapsed="false">
      <c r="A1555" s="56" t="s">
        <v>2991</v>
      </c>
      <c r="B1555" s="56" t="s">
        <v>1330</v>
      </c>
      <c r="C1555" s="56" t="s">
        <v>87</v>
      </c>
      <c r="D1555" s="56" t="str">
        <f aca="false">IFERROR(INDEX('Brand Map'!$B$4:$B$124,MATCH(C1555,'Brand Map'!$A$4:$A$124,0)),"Other")</f>
        <v>FYF</v>
      </c>
      <c r="E1555" s="57" t="n">
        <v>2</v>
      </c>
      <c r="F1555" s="57" t="n">
        <v>0</v>
      </c>
      <c r="G1555" s="58" t="n">
        <v>249.9</v>
      </c>
      <c r="H1555" s="58" t="n">
        <v>0</v>
      </c>
      <c r="I1555" s="58" t="n">
        <v>249.9</v>
      </c>
      <c r="J1555" s="32" t="n">
        <f aca="false">IF(E1555&gt;0,F1555/E1555,0)</f>
        <v>0</v>
      </c>
      <c r="K1555" s="32" t="n">
        <f aca="false">IF(G1555&gt;0,H1555/G1555,0)</f>
        <v>-0</v>
      </c>
      <c r="L1555" s="59" t="n">
        <f aca="false">H1555/Settings!$B$16</f>
        <v>-0</v>
      </c>
      <c r="M1555" s="59" t="n">
        <f aca="false">H1555/Settings!$B$20</f>
        <v>-0</v>
      </c>
      <c r="N1555" s="60" t="n">
        <f aca="false">E1555*Settings!$B$3</f>
        <v>0.0619723021596408</v>
      </c>
      <c r="O1555" s="60" t="n">
        <f aca="false">IF(E1555&gt;0,(F1555-N1555)/SQRT(E1555*Settings!$B$3*(1-Settings!$B$3)),0)</f>
        <v>-0.252891261535318</v>
      </c>
      <c r="P1555" s="60" t="n">
        <f aca="false">MAX(0,F1555-N1555)</f>
        <v>0</v>
      </c>
      <c r="Q1555" s="32" t="n">
        <f aca="false">(F1555+Settings!$B$7*Settings!$B$3)/(E1555+Settings!$B$7)</f>
        <v>0.0290495166373316</v>
      </c>
      <c r="R1555" s="61" t="n">
        <f aca="false">PERCENTRANK($H$2:$H$1780,H1555,6)</f>
        <v>0</v>
      </c>
      <c r="S1555" s="61" t="n">
        <f aca="false">PERCENTRANK($Q$2:$Q$1780,Q1555,6)</f>
        <v>0.365579</v>
      </c>
      <c r="T1555" s="61" t="n">
        <f aca="false">PERCENTRANK($F$2:$F$1780,F1555,6)</f>
        <v>0</v>
      </c>
      <c r="U1555" s="62" t="n">
        <f aca="false">IF(F1555&gt;0,(Settings!$B$8*T1555+Settings!$B$9*R1555+Settings!$B$10*S1555)/SUM(Settings!$B$8:$B$10),0)</f>
        <v>0</v>
      </c>
      <c r="V1555" s="56" t="str">
        <f aca="false">IF(U1555&gt;0,RANK(U1555,$U$2:$U$1780)+COUNTIF($U$2:U1555,U1555)-1,"")</f>
        <v/>
      </c>
      <c r="W1555" s="56" t="str">
        <f aca="false">IF(V1555="","",IF(V1555&lt;=Settings!$B$11,"1 - Fix first",IF(V1555&lt;=Settings!$B$12,"2 - Review","3 - Monitor")))</f>
        <v/>
      </c>
      <c r="X1555" s="56" t="str">
        <f aca="false">IF(AND(E1555&gt;=Settings!$B$4,F1555&gt;=Settings!$B$5,O1555&gt;=Settings!$B$6),"HIGH RATE","")</f>
        <v/>
      </c>
      <c r="Y1555" s="56" t="str">
        <f aca="false">IF(F1555&gt;0,RANK(F1555,$F$2:$F$1780)+COUNTIF($F$2:F1555,F1555)-1,"")</f>
        <v/>
      </c>
      <c r="Z1555" s="56" t="str">
        <f aca="false">IF(H1555&gt;0,RANK(H1555,$H$2:$H$1780)+COUNTIF($H$2:H1555,H1555)-1,"")</f>
        <v/>
      </c>
      <c r="AA1555" s="56" t="str">
        <f aca="false">IF(AC1555="","",RANK(AC1555,$AC$2:$AC$1780)+COUNTIF($AC$2:AC1555,AC1555)-1)</f>
        <v/>
      </c>
      <c r="AB1555" s="56" t="str">
        <f aca="false">IF(AD1555="","",RANK(AD1555,$AD$2:$AD$1780)+COUNTIF($AD$2:AD1555,AD1555)-1)</f>
        <v/>
      </c>
      <c r="AC1555" s="56" t="str">
        <f aca="false">IF(AND(F1555&gt;0,E1555&gt;=Settings!$B$4),J1555,"")</f>
        <v/>
      </c>
      <c r="AD1555" s="56" t="str">
        <f aca="false">IF(X1555="HIGH RATE",O1555,"")</f>
        <v/>
      </c>
    </row>
    <row r="1556" customFormat="false" ht="15" hidden="false" customHeight="false" outlineLevel="0" collapsed="false">
      <c r="A1556" s="56" t="s">
        <v>2992</v>
      </c>
      <c r="B1556" s="56" t="s">
        <v>2993</v>
      </c>
      <c r="C1556" s="56" t="s">
        <v>87</v>
      </c>
      <c r="D1556" s="56" t="str">
        <f aca="false">IFERROR(INDEX('Brand Map'!$B$4:$B$124,MATCH(C1556,'Brand Map'!$A$4:$A$124,0)),"Other")</f>
        <v>FYF</v>
      </c>
      <c r="E1556" s="57" t="n">
        <v>1</v>
      </c>
      <c r="F1556" s="57" t="n">
        <v>0</v>
      </c>
      <c r="G1556" s="58" t="n">
        <v>224.95</v>
      </c>
      <c r="H1556" s="58" t="n">
        <v>0</v>
      </c>
      <c r="I1556" s="58" t="n">
        <v>224.95</v>
      </c>
      <c r="J1556" s="32" t="n">
        <f aca="false">IF(E1556&gt;0,F1556/E1556,0)</f>
        <v>0</v>
      </c>
      <c r="K1556" s="32" t="n">
        <f aca="false">IF(G1556&gt;0,H1556/G1556,0)</f>
        <v>-0</v>
      </c>
      <c r="L1556" s="59" t="n">
        <f aca="false">H1556/Settings!$B$16</f>
        <v>-0</v>
      </c>
      <c r="M1556" s="59" t="n">
        <f aca="false">H1556/Settings!$B$20</f>
        <v>-0</v>
      </c>
      <c r="N1556" s="60" t="n">
        <f aca="false">E1556*Settings!$B$3</f>
        <v>0.0309861510798204</v>
      </c>
      <c r="O1556" s="60" t="n">
        <f aca="false">IF(E1556&gt;0,(F1556-N1556)/SQRT(E1556*Settings!$B$3*(1-Settings!$B$3)),0)</f>
        <v>-0.178821125934444</v>
      </c>
      <c r="P1556" s="60" t="n">
        <f aca="false">MAX(0,F1556-N1556)</f>
        <v>0</v>
      </c>
      <c r="Q1556" s="32" t="n">
        <f aca="false">(F1556+Settings!$B$7*Settings!$B$3)/(E1556+Settings!$B$7)</f>
        <v>0.0299865978191811</v>
      </c>
      <c r="R1556" s="61" t="n">
        <f aca="false">PERCENTRANK($H$2:$H$1780,H1556,6)</f>
        <v>0</v>
      </c>
      <c r="S1556" s="61" t="n">
        <f aca="false">PERCENTRANK($Q$2:$Q$1780,Q1556,6)</f>
        <v>0.486502</v>
      </c>
      <c r="T1556" s="61" t="n">
        <f aca="false">PERCENTRANK($F$2:$F$1780,F1556,6)</f>
        <v>0</v>
      </c>
      <c r="U1556" s="62" t="n">
        <f aca="false">IF(F1556&gt;0,(Settings!$B$8*T1556+Settings!$B$9*R1556+Settings!$B$10*S1556)/SUM(Settings!$B$8:$B$10),0)</f>
        <v>0</v>
      </c>
      <c r="V1556" s="56" t="str">
        <f aca="false">IF(U1556&gt;0,RANK(U1556,$U$2:$U$1780)+COUNTIF($U$2:U1556,U1556)-1,"")</f>
        <v/>
      </c>
      <c r="W1556" s="56" t="str">
        <f aca="false">IF(V1556="","",IF(V1556&lt;=Settings!$B$11,"1 - Fix first",IF(V1556&lt;=Settings!$B$12,"2 - Review","3 - Monitor")))</f>
        <v/>
      </c>
      <c r="X1556" s="56" t="str">
        <f aca="false">IF(AND(E1556&gt;=Settings!$B$4,F1556&gt;=Settings!$B$5,O1556&gt;=Settings!$B$6),"HIGH RATE","")</f>
        <v/>
      </c>
      <c r="Y1556" s="56" t="str">
        <f aca="false">IF(F1556&gt;0,RANK(F1556,$F$2:$F$1780)+COUNTIF($F$2:F1556,F1556)-1,"")</f>
        <v/>
      </c>
      <c r="Z1556" s="56" t="str">
        <f aca="false">IF(H1556&gt;0,RANK(H1556,$H$2:$H$1780)+COUNTIF($H$2:H1556,H1556)-1,"")</f>
        <v/>
      </c>
      <c r="AA1556" s="56" t="str">
        <f aca="false">IF(AC1556="","",RANK(AC1556,$AC$2:$AC$1780)+COUNTIF($AC$2:AC1556,AC1556)-1)</f>
        <v/>
      </c>
      <c r="AB1556" s="56" t="str">
        <f aca="false">IF(AD1556="","",RANK(AD1556,$AD$2:$AD$1780)+COUNTIF($AD$2:AD1556,AD1556)-1)</f>
        <v/>
      </c>
      <c r="AC1556" s="56" t="str">
        <f aca="false">IF(AND(F1556&gt;0,E1556&gt;=Settings!$B$4),J1556,"")</f>
        <v/>
      </c>
      <c r="AD1556" s="56" t="str">
        <f aca="false">IF(X1556="HIGH RATE",O1556,"")</f>
        <v/>
      </c>
    </row>
    <row r="1557" customFormat="false" ht="15" hidden="false" customHeight="false" outlineLevel="0" collapsed="false">
      <c r="A1557" s="56" t="s">
        <v>2994</v>
      </c>
      <c r="B1557" s="56" t="s">
        <v>828</v>
      </c>
      <c r="C1557" s="56" t="s">
        <v>87</v>
      </c>
      <c r="D1557" s="56" t="str">
        <f aca="false">IFERROR(INDEX('Brand Map'!$B$4:$B$124,MATCH(C1557,'Brand Map'!$A$4:$A$124,0)),"Other")</f>
        <v>FYF</v>
      </c>
      <c r="E1557" s="57" t="n">
        <v>1</v>
      </c>
      <c r="F1557" s="57" t="n">
        <v>0</v>
      </c>
      <c r="G1557" s="58" t="n">
        <v>0</v>
      </c>
      <c r="H1557" s="58" t="n">
        <v>0</v>
      </c>
      <c r="I1557" s="58" t="n">
        <v>0</v>
      </c>
      <c r="J1557" s="32" t="n">
        <f aca="false">IF(E1557&gt;0,F1557/E1557,0)</f>
        <v>0</v>
      </c>
      <c r="K1557" s="32" t="n">
        <f aca="false">IF(G1557&gt;0,H1557/G1557,0)</f>
        <v>0</v>
      </c>
      <c r="L1557" s="59" t="n">
        <f aca="false">H1557/Settings!$B$16</f>
        <v>-0</v>
      </c>
      <c r="M1557" s="59" t="n">
        <f aca="false">H1557/Settings!$B$20</f>
        <v>-0</v>
      </c>
      <c r="N1557" s="60" t="n">
        <f aca="false">E1557*Settings!$B$3</f>
        <v>0.0309861510798204</v>
      </c>
      <c r="O1557" s="60" t="n">
        <f aca="false">IF(E1557&gt;0,(F1557-N1557)/SQRT(E1557*Settings!$B$3*(1-Settings!$B$3)),0)</f>
        <v>-0.178821125934444</v>
      </c>
      <c r="P1557" s="60" t="n">
        <f aca="false">MAX(0,F1557-N1557)</f>
        <v>0</v>
      </c>
      <c r="Q1557" s="32" t="n">
        <f aca="false">(F1557+Settings!$B$7*Settings!$B$3)/(E1557+Settings!$B$7)</f>
        <v>0.0299865978191811</v>
      </c>
      <c r="R1557" s="61" t="n">
        <f aca="false">PERCENTRANK($H$2:$H$1780,H1557,6)</f>
        <v>0</v>
      </c>
      <c r="S1557" s="61" t="n">
        <f aca="false">PERCENTRANK($Q$2:$Q$1780,Q1557,6)</f>
        <v>0.486502</v>
      </c>
      <c r="T1557" s="61" t="n">
        <f aca="false">PERCENTRANK($F$2:$F$1780,F1557,6)</f>
        <v>0</v>
      </c>
      <c r="U1557" s="62" t="n">
        <f aca="false">IF(F1557&gt;0,(Settings!$B$8*T1557+Settings!$B$9*R1557+Settings!$B$10*S1557)/SUM(Settings!$B$8:$B$10),0)</f>
        <v>0</v>
      </c>
      <c r="V1557" s="56" t="str">
        <f aca="false">IF(U1557&gt;0,RANK(U1557,$U$2:$U$1780)+COUNTIF($U$2:U1557,U1557)-1,"")</f>
        <v/>
      </c>
      <c r="W1557" s="56" t="str">
        <f aca="false">IF(V1557="","",IF(V1557&lt;=Settings!$B$11,"1 - Fix first",IF(V1557&lt;=Settings!$B$12,"2 - Review","3 - Monitor")))</f>
        <v/>
      </c>
      <c r="X1557" s="56" t="str">
        <f aca="false">IF(AND(E1557&gt;=Settings!$B$4,F1557&gt;=Settings!$B$5,O1557&gt;=Settings!$B$6),"HIGH RATE","")</f>
        <v/>
      </c>
      <c r="Y1557" s="56" t="str">
        <f aca="false">IF(F1557&gt;0,RANK(F1557,$F$2:$F$1780)+COUNTIF($F$2:F1557,F1557)-1,"")</f>
        <v/>
      </c>
      <c r="Z1557" s="56" t="str">
        <f aca="false">IF(H1557&gt;0,RANK(H1557,$H$2:$H$1780)+COUNTIF($H$2:H1557,H1557)-1,"")</f>
        <v/>
      </c>
      <c r="AA1557" s="56" t="str">
        <f aca="false">IF(AC1557="","",RANK(AC1557,$AC$2:$AC$1780)+COUNTIF($AC$2:AC1557,AC1557)-1)</f>
        <v/>
      </c>
      <c r="AB1557" s="56" t="str">
        <f aca="false">IF(AD1557="","",RANK(AD1557,$AD$2:$AD$1780)+COUNTIF($AD$2:AD1557,AD1557)-1)</f>
        <v/>
      </c>
      <c r="AC1557" s="56" t="str">
        <f aca="false">IF(AND(F1557&gt;0,E1557&gt;=Settings!$B$4),J1557,"")</f>
        <v/>
      </c>
      <c r="AD1557" s="56" t="str">
        <f aca="false">IF(X1557="HIGH RATE",O1557,"")</f>
        <v/>
      </c>
    </row>
    <row r="1558" customFormat="false" ht="15" hidden="false" customHeight="false" outlineLevel="0" collapsed="false">
      <c r="A1558" s="56" t="s">
        <v>2995</v>
      </c>
      <c r="B1558" s="56" t="s">
        <v>2996</v>
      </c>
      <c r="C1558" s="56" t="s">
        <v>162</v>
      </c>
      <c r="D1558" s="56" t="str">
        <f aca="false">IFERROR(INDEX('Brand Map'!$B$4:$B$124,MATCH(C1558,'Brand Map'!$A$4:$A$124,0)),"Other")</f>
        <v>GBAU</v>
      </c>
      <c r="E1558" s="57" t="n">
        <v>139</v>
      </c>
      <c r="F1558" s="57" t="n">
        <v>0</v>
      </c>
      <c r="G1558" s="58" t="n">
        <v>0</v>
      </c>
      <c r="H1558" s="58" t="n">
        <v>0</v>
      </c>
      <c r="I1558" s="58" t="n">
        <v>0</v>
      </c>
      <c r="J1558" s="32" t="n">
        <f aca="false">IF(E1558&gt;0,F1558/E1558,0)</f>
        <v>0</v>
      </c>
      <c r="K1558" s="32" t="n">
        <f aca="false">IF(G1558&gt;0,H1558/G1558,0)</f>
        <v>0</v>
      </c>
      <c r="L1558" s="59" t="n">
        <f aca="false">H1558/Settings!$B$16</f>
        <v>-0</v>
      </c>
      <c r="M1558" s="59" t="n">
        <f aca="false">H1558/Settings!$B$20</f>
        <v>-0</v>
      </c>
      <c r="N1558" s="60" t="n">
        <f aca="false">E1558*Settings!$B$3</f>
        <v>4.30707500009504</v>
      </c>
      <c r="O1558" s="60" t="n">
        <f aca="false">IF(E1558&gt;0,(F1558-N1558)/SQRT(E1558*Settings!$B$3*(1-Settings!$B$3)),0)</f>
        <v>-2.108269981806</v>
      </c>
      <c r="P1558" s="60" t="n">
        <f aca="false">MAX(0,F1558-N1558)</f>
        <v>0</v>
      </c>
      <c r="Q1558" s="32" t="n">
        <f aca="false">(F1558+Settings!$B$7*Settings!$B$3)/(E1558+Settings!$B$7)</f>
        <v>0.0055005001916841</v>
      </c>
      <c r="R1558" s="61" t="n">
        <f aca="false">PERCENTRANK($H$2:$H$1780,H1558,6)</f>
        <v>0</v>
      </c>
      <c r="S1558" s="61" t="n">
        <f aca="false">PERCENTRANK($Q$2:$Q$1780,Q1558,6)</f>
        <v>0.00393701</v>
      </c>
      <c r="T1558" s="61" t="n">
        <f aca="false">PERCENTRANK($F$2:$F$1780,F1558,6)</f>
        <v>0</v>
      </c>
      <c r="U1558" s="62" t="n">
        <f aca="false">IF(F1558&gt;0,(Settings!$B$8*T1558+Settings!$B$9*R1558+Settings!$B$10*S1558)/SUM(Settings!$B$8:$B$10),0)</f>
        <v>0</v>
      </c>
      <c r="V1558" s="56" t="str">
        <f aca="false">IF(U1558&gt;0,RANK(U1558,$U$2:$U$1780)+COUNTIF($U$2:U1558,U1558)-1,"")</f>
        <v/>
      </c>
      <c r="W1558" s="56" t="str">
        <f aca="false">IF(V1558="","",IF(V1558&lt;=Settings!$B$11,"1 - Fix first",IF(V1558&lt;=Settings!$B$12,"2 - Review","3 - Monitor")))</f>
        <v/>
      </c>
      <c r="X1558" s="56" t="str">
        <f aca="false">IF(AND(E1558&gt;=Settings!$B$4,F1558&gt;=Settings!$B$5,O1558&gt;=Settings!$B$6),"HIGH RATE","")</f>
        <v/>
      </c>
      <c r="Y1558" s="56" t="str">
        <f aca="false">IF(F1558&gt;0,RANK(F1558,$F$2:$F$1780)+COUNTIF($F$2:F1558,F1558)-1,"")</f>
        <v/>
      </c>
      <c r="Z1558" s="56" t="str">
        <f aca="false">IF(H1558&gt;0,RANK(H1558,$H$2:$H$1780)+COUNTIF($H$2:H1558,H1558)-1,"")</f>
        <v/>
      </c>
      <c r="AA1558" s="56" t="str">
        <f aca="false">IF(AC1558="","",RANK(AC1558,$AC$2:$AC$1780)+COUNTIF($AC$2:AC1558,AC1558)-1)</f>
        <v/>
      </c>
      <c r="AB1558" s="56" t="str">
        <f aca="false">IF(AD1558="","",RANK(AD1558,$AD$2:$AD$1780)+COUNTIF($AD$2:AD1558,AD1558)-1)</f>
        <v/>
      </c>
      <c r="AC1558" s="56" t="str">
        <f aca="false">IF(AND(F1558&gt;0,E1558&gt;=Settings!$B$4),J1558,"")</f>
        <v/>
      </c>
      <c r="AD1558" s="56" t="str">
        <f aca="false">IF(X1558="HIGH RATE",O1558,"")</f>
        <v/>
      </c>
    </row>
    <row r="1559" customFormat="false" ht="15" hidden="false" customHeight="false" outlineLevel="0" collapsed="false">
      <c r="A1559" s="56" t="s">
        <v>2997</v>
      </c>
      <c r="B1559" s="56" t="s">
        <v>2998</v>
      </c>
      <c r="C1559" s="56" t="s">
        <v>162</v>
      </c>
      <c r="D1559" s="56" t="str">
        <f aca="false">IFERROR(INDEX('Brand Map'!$B$4:$B$124,MATCH(C1559,'Brand Map'!$A$4:$A$124,0)),"Other")</f>
        <v>GBAU</v>
      </c>
      <c r="E1559" s="57" t="n">
        <v>6</v>
      </c>
      <c r="F1559" s="57" t="n">
        <v>0</v>
      </c>
      <c r="G1559" s="58" t="n">
        <v>962.89</v>
      </c>
      <c r="H1559" s="58" t="n">
        <v>0</v>
      </c>
      <c r="I1559" s="58" t="n">
        <v>962.89</v>
      </c>
      <c r="J1559" s="32" t="n">
        <f aca="false">IF(E1559&gt;0,F1559/E1559,0)</f>
        <v>0</v>
      </c>
      <c r="K1559" s="32" t="n">
        <f aca="false">IF(G1559&gt;0,H1559/G1559,0)</f>
        <v>-0</v>
      </c>
      <c r="L1559" s="59" t="n">
        <f aca="false">H1559/Settings!$B$16</f>
        <v>-0</v>
      </c>
      <c r="M1559" s="59" t="n">
        <f aca="false">H1559/Settings!$B$20</f>
        <v>-0</v>
      </c>
      <c r="N1559" s="60" t="n">
        <f aca="false">E1559*Settings!$B$3</f>
        <v>0.185916906478923</v>
      </c>
      <c r="O1559" s="60" t="n">
        <f aca="false">IF(E1559&gt;0,(F1559-N1559)/SQRT(E1559*Settings!$B$3*(1-Settings!$B$3)),0)</f>
        <v>-0.43802051376936</v>
      </c>
      <c r="P1559" s="60" t="n">
        <f aca="false">MAX(0,F1559-N1559)</f>
        <v>0</v>
      </c>
      <c r="Q1559" s="32" t="n">
        <f aca="false">(F1559+Settings!$B$7*Settings!$B$3)/(E1559+Settings!$B$7)</f>
        <v>0.025821792566517</v>
      </c>
      <c r="R1559" s="61" t="n">
        <f aca="false">PERCENTRANK($H$2:$H$1780,H1559,6)</f>
        <v>0</v>
      </c>
      <c r="S1559" s="61" t="n">
        <f aca="false">PERCENTRANK($Q$2:$Q$1780,Q1559,6)</f>
        <v>0.189539</v>
      </c>
      <c r="T1559" s="61" t="n">
        <f aca="false">PERCENTRANK($F$2:$F$1780,F1559,6)</f>
        <v>0</v>
      </c>
      <c r="U1559" s="62" t="n">
        <f aca="false">IF(F1559&gt;0,(Settings!$B$8*T1559+Settings!$B$9*R1559+Settings!$B$10*S1559)/SUM(Settings!$B$8:$B$10),0)</f>
        <v>0</v>
      </c>
      <c r="V1559" s="56" t="str">
        <f aca="false">IF(U1559&gt;0,RANK(U1559,$U$2:$U$1780)+COUNTIF($U$2:U1559,U1559)-1,"")</f>
        <v/>
      </c>
      <c r="W1559" s="56" t="str">
        <f aca="false">IF(V1559="","",IF(V1559&lt;=Settings!$B$11,"1 - Fix first",IF(V1559&lt;=Settings!$B$12,"2 - Review","3 - Monitor")))</f>
        <v/>
      </c>
      <c r="X1559" s="56" t="str">
        <f aca="false">IF(AND(E1559&gt;=Settings!$B$4,F1559&gt;=Settings!$B$5,O1559&gt;=Settings!$B$6),"HIGH RATE","")</f>
        <v/>
      </c>
      <c r="Y1559" s="56" t="str">
        <f aca="false">IF(F1559&gt;0,RANK(F1559,$F$2:$F$1780)+COUNTIF($F$2:F1559,F1559)-1,"")</f>
        <v/>
      </c>
      <c r="Z1559" s="56" t="str">
        <f aca="false">IF(H1559&gt;0,RANK(H1559,$H$2:$H$1780)+COUNTIF($H$2:H1559,H1559)-1,"")</f>
        <v/>
      </c>
      <c r="AA1559" s="56" t="str">
        <f aca="false">IF(AC1559="","",RANK(AC1559,$AC$2:$AC$1780)+COUNTIF($AC$2:AC1559,AC1559)-1)</f>
        <v/>
      </c>
      <c r="AB1559" s="56" t="str">
        <f aca="false">IF(AD1559="","",RANK(AD1559,$AD$2:$AD$1780)+COUNTIF($AD$2:AD1559,AD1559)-1)</f>
        <v/>
      </c>
      <c r="AC1559" s="56" t="str">
        <f aca="false">IF(AND(F1559&gt;0,E1559&gt;=Settings!$B$4),J1559,"")</f>
        <v/>
      </c>
      <c r="AD1559" s="56" t="str">
        <f aca="false">IF(X1559="HIGH RATE",O1559,"")</f>
        <v/>
      </c>
    </row>
    <row r="1560" customFormat="false" ht="15" hidden="false" customHeight="false" outlineLevel="0" collapsed="false">
      <c r="A1560" s="56" t="s">
        <v>2999</v>
      </c>
      <c r="B1560" s="56" t="s">
        <v>3000</v>
      </c>
      <c r="C1560" s="56" t="s">
        <v>162</v>
      </c>
      <c r="D1560" s="56" t="str">
        <f aca="false">IFERROR(INDEX('Brand Map'!$B$4:$B$124,MATCH(C1560,'Brand Map'!$A$4:$A$124,0)),"Other")</f>
        <v>GBAU</v>
      </c>
      <c r="E1560" s="57" t="n">
        <v>6</v>
      </c>
      <c r="F1560" s="57" t="n">
        <v>0</v>
      </c>
      <c r="G1560" s="58" t="n">
        <v>485.44</v>
      </c>
      <c r="H1560" s="58" t="n">
        <v>0</v>
      </c>
      <c r="I1560" s="58" t="n">
        <v>485.44</v>
      </c>
      <c r="J1560" s="32" t="n">
        <f aca="false">IF(E1560&gt;0,F1560/E1560,0)</f>
        <v>0</v>
      </c>
      <c r="K1560" s="32" t="n">
        <f aca="false">IF(G1560&gt;0,H1560/G1560,0)</f>
        <v>-0</v>
      </c>
      <c r="L1560" s="59" t="n">
        <f aca="false">H1560/Settings!$B$16</f>
        <v>-0</v>
      </c>
      <c r="M1560" s="59" t="n">
        <f aca="false">H1560/Settings!$B$20</f>
        <v>-0</v>
      </c>
      <c r="N1560" s="60" t="n">
        <f aca="false">E1560*Settings!$B$3</f>
        <v>0.185916906478923</v>
      </c>
      <c r="O1560" s="60" t="n">
        <f aca="false">IF(E1560&gt;0,(F1560-N1560)/SQRT(E1560*Settings!$B$3*(1-Settings!$B$3)),0)</f>
        <v>-0.43802051376936</v>
      </c>
      <c r="P1560" s="60" t="n">
        <f aca="false">MAX(0,F1560-N1560)</f>
        <v>0</v>
      </c>
      <c r="Q1560" s="32" t="n">
        <f aca="false">(F1560+Settings!$B$7*Settings!$B$3)/(E1560+Settings!$B$7)</f>
        <v>0.025821792566517</v>
      </c>
      <c r="R1560" s="61" t="n">
        <f aca="false">PERCENTRANK($H$2:$H$1780,H1560,6)</f>
        <v>0</v>
      </c>
      <c r="S1560" s="61" t="n">
        <f aca="false">PERCENTRANK($Q$2:$Q$1780,Q1560,6)</f>
        <v>0.189539</v>
      </c>
      <c r="T1560" s="61" t="n">
        <f aca="false">PERCENTRANK($F$2:$F$1780,F1560,6)</f>
        <v>0</v>
      </c>
      <c r="U1560" s="62" t="n">
        <f aca="false">IF(F1560&gt;0,(Settings!$B$8*T1560+Settings!$B$9*R1560+Settings!$B$10*S1560)/SUM(Settings!$B$8:$B$10),0)</f>
        <v>0</v>
      </c>
      <c r="V1560" s="56" t="str">
        <f aca="false">IF(U1560&gt;0,RANK(U1560,$U$2:$U$1780)+COUNTIF($U$2:U1560,U1560)-1,"")</f>
        <v/>
      </c>
      <c r="W1560" s="56" t="str">
        <f aca="false">IF(V1560="","",IF(V1560&lt;=Settings!$B$11,"1 - Fix first",IF(V1560&lt;=Settings!$B$12,"2 - Review","3 - Monitor")))</f>
        <v/>
      </c>
      <c r="X1560" s="56" t="str">
        <f aca="false">IF(AND(E1560&gt;=Settings!$B$4,F1560&gt;=Settings!$B$5,O1560&gt;=Settings!$B$6),"HIGH RATE","")</f>
        <v/>
      </c>
      <c r="Y1560" s="56" t="str">
        <f aca="false">IF(F1560&gt;0,RANK(F1560,$F$2:$F$1780)+COUNTIF($F$2:F1560,F1560)-1,"")</f>
        <v/>
      </c>
      <c r="Z1560" s="56" t="str">
        <f aca="false">IF(H1560&gt;0,RANK(H1560,$H$2:$H$1780)+COUNTIF($H$2:H1560,H1560)-1,"")</f>
        <v/>
      </c>
      <c r="AA1560" s="56" t="str">
        <f aca="false">IF(AC1560="","",RANK(AC1560,$AC$2:$AC$1780)+COUNTIF($AC$2:AC1560,AC1560)-1)</f>
        <v/>
      </c>
      <c r="AB1560" s="56" t="str">
        <f aca="false">IF(AD1560="","",RANK(AD1560,$AD$2:$AD$1780)+COUNTIF($AD$2:AD1560,AD1560)-1)</f>
        <v/>
      </c>
      <c r="AC1560" s="56" t="str">
        <f aca="false">IF(AND(F1560&gt;0,E1560&gt;=Settings!$B$4),J1560,"")</f>
        <v/>
      </c>
      <c r="AD1560" s="56" t="str">
        <f aca="false">IF(X1560="HIGH RATE",O1560,"")</f>
        <v/>
      </c>
    </row>
    <row r="1561" customFormat="false" ht="15" hidden="false" customHeight="false" outlineLevel="0" collapsed="false">
      <c r="A1561" s="56" t="s">
        <v>3001</v>
      </c>
      <c r="B1561" s="56" t="s">
        <v>3002</v>
      </c>
      <c r="C1561" s="56" t="s">
        <v>162</v>
      </c>
      <c r="D1561" s="56" t="str">
        <f aca="false">IFERROR(INDEX('Brand Map'!$B$4:$B$124,MATCH(C1561,'Brand Map'!$A$4:$A$124,0)),"Other")</f>
        <v>GBAU</v>
      </c>
      <c r="E1561" s="57" t="n">
        <v>6</v>
      </c>
      <c r="F1561" s="57" t="n">
        <v>0</v>
      </c>
      <c r="G1561" s="58" t="n">
        <v>509.26</v>
      </c>
      <c r="H1561" s="58" t="n">
        <v>0</v>
      </c>
      <c r="I1561" s="58" t="n">
        <v>509.26</v>
      </c>
      <c r="J1561" s="32" t="n">
        <f aca="false">IF(E1561&gt;0,F1561/E1561,0)</f>
        <v>0</v>
      </c>
      <c r="K1561" s="32" t="n">
        <f aca="false">IF(G1561&gt;0,H1561/G1561,0)</f>
        <v>-0</v>
      </c>
      <c r="L1561" s="59" t="n">
        <f aca="false">H1561/Settings!$B$16</f>
        <v>-0</v>
      </c>
      <c r="M1561" s="59" t="n">
        <f aca="false">H1561/Settings!$B$20</f>
        <v>-0</v>
      </c>
      <c r="N1561" s="60" t="n">
        <f aca="false">E1561*Settings!$B$3</f>
        <v>0.185916906478923</v>
      </c>
      <c r="O1561" s="60" t="n">
        <f aca="false">IF(E1561&gt;0,(F1561-N1561)/SQRT(E1561*Settings!$B$3*(1-Settings!$B$3)),0)</f>
        <v>-0.43802051376936</v>
      </c>
      <c r="P1561" s="60" t="n">
        <f aca="false">MAX(0,F1561-N1561)</f>
        <v>0</v>
      </c>
      <c r="Q1561" s="32" t="n">
        <f aca="false">(F1561+Settings!$B$7*Settings!$B$3)/(E1561+Settings!$B$7)</f>
        <v>0.025821792566517</v>
      </c>
      <c r="R1561" s="61" t="n">
        <f aca="false">PERCENTRANK($H$2:$H$1780,H1561,6)</f>
        <v>0</v>
      </c>
      <c r="S1561" s="61" t="n">
        <f aca="false">PERCENTRANK($Q$2:$Q$1780,Q1561,6)</f>
        <v>0.189539</v>
      </c>
      <c r="T1561" s="61" t="n">
        <f aca="false">PERCENTRANK($F$2:$F$1780,F1561,6)</f>
        <v>0</v>
      </c>
      <c r="U1561" s="62" t="n">
        <f aca="false">IF(F1561&gt;0,(Settings!$B$8*T1561+Settings!$B$9*R1561+Settings!$B$10*S1561)/SUM(Settings!$B$8:$B$10),0)</f>
        <v>0</v>
      </c>
      <c r="V1561" s="56" t="str">
        <f aca="false">IF(U1561&gt;0,RANK(U1561,$U$2:$U$1780)+COUNTIF($U$2:U1561,U1561)-1,"")</f>
        <v/>
      </c>
      <c r="W1561" s="56" t="str">
        <f aca="false">IF(V1561="","",IF(V1561&lt;=Settings!$B$11,"1 - Fix first",IF(V1561&lt;=Settings!$B$12,"2 - Review","3 - Monitor")))</f>
        <v/>
      </c>
      <c r="X1561" s="56" t="str">
        <f aca="false">IF(AND(E1561&gt;=Settings!$B$4,F1561&gt;=Settings!$B$5,O1561&gt;=Settings!$B$6),"HIGH RATE","")</f>
        <v/>
      </c>
      <c r="Y1561" s="56" t="str">
        <f aca="false">IF(F1561&gt;0,RANK(F1561,$F$2:$F$1780)+COUNTIF($F$2:F1561,F1561)-1,"")</f>
        <v/>
      </c>
      <c r="Z1561" s="56" t="str">
        <f aca="false">IF(H1561&gt;0,RANK(H1561,$H$2:$H$1780)+COUNTIF($H$2:H1561,H1561)-1,"")</f>
        <v/>
      </c>
      <c r="AA1561" s="56" t="str">
        <f aca="false">IF(AC1561="","",RANK(AC1561,$AC$2:$AC$1780)+COUNTIF($AC$2:AC1561,AC1561)-1)</f>
        <v/>
      </c>
      <c r="AB1561" s="56" t="str">
        <f aca="false">IF(AD1561="","",RANK(AD1561,$AD$2:$AD$1780)+COUNTIF($AD$2:AD1561,AD1561)-1)</f>
        <v/>
      </c>
      <c r="AC1561" s="56" t="str">
        <f aca="false">IF(AND(F1561&gt;0,E1561&gt;=Settings!$B$4),J1561,"")</f>
        <v/>
      </c>
      <c r="AD1561" s="56" t="str">
        <f aca="false">IF(X1561="HIGH RATE",O1561,"")</f>
        <v/>
      </c>
    </row>
    <row r="1562" customFormat="false" ht="15" hidden="false" customHeight="false" outlineLevel="0" collapsed="false">
      <c r="A1562" s="56" t="s">
        <v>3003</v>
      </c>
      <c r="B1562" s="56" t="s">
        <v>3004</v>
      </c>
      <c r="C1562" s="56" t="s">
        <v>162</v>
      </c>
      <c r="D1562" s="56" t="str">
        <f aca="false">IFERROR(INDEX('Brand Map'!$B$4:$B$124,MATCH(C1562,'Brand Map'!$A$4:$A$124,0)),"Other")</f>
        <v>GBAU</v>
      </c>
      <c r="E1562" s="57" t="n">
        <v>7</v>
      </c>
      <c r="F1562" s="57" t="n">
        <v>0</v>
      </c>
      <c r="G1562" s="58" t="n">
        <v>711.65</v>
      </c>
      <c r="H1562" s="58" t="n">
        <v>0</v>
      </c>
      <c r="I1562" s="58" t="n">
        <v>680.6</v>
      </c>
      <c r="J1562" s="32" t="n">
        <f aca="false">IF(E1562&gt;0,F1562/E1562,0)</f>
        <v>0</v>
      </c>
      <c r="K1562" s="32" t="n">
        <f aca="false">IF(G1562&gt;0,H1562/G1562,0)</f>
        <v>-0</v>
      </c>
      <c r="L1562" s="59" t="n">
        <f aca="false">H1562/Settings!$B$16</f>
        <v>-0</v>
      </c>
      <c r="M1562" s="59" t="n">
        <f aca="false">H1562/Settings!$B$20</f>
        <v>-0</v>
      </c>
      <c r="N1562" s="60" t="n">
        <f aca="false">E1562*Settings!$B$3</f>
        <v>0.216903057558743</v>
      </c>
      <c r="O1562" s="60" t="n">
        <f aca="false">IF(E1562&gt;0,(F1562-N1562)/SQRT(E1562*Settings!$B$3*(1-Settings!$B$3)),0)</f>
        <v>-0.473116228387102</v>
      </c>
      <c r="P1562" s="60" t="n">
        <f aca="false">MAX(0,F1562-N1562)</f>
        <v>0</v>
      </c>
      <c r="Q1562" s="32" t="n">
        <f aca="false">(F1562+Settings!$B$7*Settings!$B$3)/(E1562+Settings!$B$7)</f>
        <v>0.0251239062809355</v>
      </c>
      <c r="R1562" s="61" t="n">
        <f aca="false">PERCENTRANK($H$2:$H$1780,H1562,6)</f>
        <v>0</v>
      </c>
      <c r="S1562" s="61" t="n">
        <f aca="false">PERCENTRANK($Q$2:$Q$1780,Q1562,6)</f>
        <v>0.168166</v>
      </c>
      <c r="T1562" s="61" t="n">
        <f aca="false">PERCENTRANK($F$2:$F$1780,F1562,6)</f>
        <v>0</v>
      </c>
      <c r="U1562" s="62" t="n">
        <f aca="false">IF(F1562&gt;0,(Settings!$B$8*T1562+Settings!$B$9*R1562+Settings!$B$10*S1562)/SUM(Settings!$B$8:$B$10),0)</f>
        <v>0</v>
      </c>
      <c r="V1562" s="56" t="str">
        <f aca="false">IF(U1562&gt;0,RANK(U1562,$U$2:$U$1780)+COUNTIF($U$2:U1562,U1562)-1,"")</f>
        <v/>
      </c>
      <c r="W1562" s="56" t="str">
        <f aca="false">IF(V1562="","",IF(V1562&lt;=Settings!$B$11,"1 - Fix first",IF(V1562&lt;=Settings!$B$12,"2 - Review","3 - Monitor")))</f>
        <v/>
      </c>
      <c r="X1562" s="56" t="str">
        <f aca="false">IF(AND(E1562&gt;=Settings!$B$4,F1562&gt;=Settings!$B$5,O1562&gt;=Settings!$B$6),"HIGH RATE","")</f>
        <v/>
      </c>
      <c r="Y1562" s="56" t="str">
        <f aca="false">IF(F1562&gt;0,RANK(F1562,$F$2:$F$1780)+COUNTIF($F$2:F1562,F1562)-1,"")</f>
        <v/>
      </c>
      <c r="Z1562" s="56" t="str">
        <f aca="false">IF(H1562&gt;0,RANK(H1562,$H$2:$H$1780)+COUNTIF($H$2:H1562,H1562)-1,"")</f>
        <v/>
      </c>
      <c r="AA1562" s="56" t="str">
        <f aca="false">IF(AC1562="","",RANK(AC1562,$AC$2:$AC$1780)+COUNTIF($AC$2:AC1562,AC1562)-1)</f>
        <v/>
      </c>
      <c r="AB1562" s="56" t="str">
        <f aca="false">IF(AD1562="","",RANK(AD1562,$AD$2:$AD$1780)+COUNTIF($AD$2:AD1562,AD1562)-1)</f>
        <v/>
      </c>
      <c r="AC1562" s="56" t="str">
        <f aca="false">IF(AND(F1562&gt;0,E1562&gt;=Settings!$B$4),J1562,"")</f>
        <v/>
      </c>
      <c r="AD1562" s="56" t="str">
        <f aca="false">IF(X1562="HIGH RATE",O1562,"")</f>
        <v/>
      </c>
    </row>
    <row r="1563" customFormat="false" ht="15" hidden="false" customHeight="false" outlineLevel="0" collapsed="false">
      <c r="A1563" s="56" t="s">
        <v>3005</v>
      </c>
      <c r="B1563" s="56" t="s">
        <v>3006</v>
      </c>
      <c r="C1563" s="56" t="s">
        <v>162</v>
      </c>
      <c r="D1563" s="56" t="str">
        <f aca="false">IFERROR(INDEX('Brand Map'!$B$4:$B$124,MATCH(C1563,'Brand Map'!$A$4:$A$124,0)),"Other")</f>
        <v>GBAU</v>
      </c>
      <c r="E1563" s="57" t="n">
        <v>1</v>
      </c>
      <c r="F1563" s="57" t="n">
        <v>0</v>
      </c>
      <c r="G1563" s="58" t="n">
        <v>84.95</v>
      </c>
      <c r="H1563" s="58" t="n">
        <v>0</v>
      </c>
      <c r="I1563" s="58" t="n">
        <v>84.95</v>
      </c>
      <c r="J1563" s="32" t="n">
        <f aca="false">IF(E1563&gt;0,F1563/E1563,0)</f>
        <v>0</v>
      </c>
      <c r="K1563" s="32" t="n">
        <f aca="false">IF(G1563&gt;0,H1563/G1563,0)</f>
        <v>-0</v>
      </c>
      <c r="L1563" s="59" t="n">
        <f aca="false">H1563/Settings!$B$16</f>
        <v>-0</v>
      </c>
      <c r="M1563" s="59" t="n">
        <f aca="false">H1563/Settings!$B$20</f>
        <v>-0</v>
      </c>
      <c r="N1563" s="60" t="n">
        <f aca="false">E1563*Settings!$B$3</f>
        <v>0.0309861510798204</v>
      </c>
      <c r="O1563" s="60" t="n">
        <f aca="false">IF(E1563&gt;0,(F1563-N1563)/SQRT(E1563*Settings!$B$3*(1-Settings!$B$3)),0)</f>
        <v>-0.178821125934444</v>
      </c>
      <c r="P1563" s="60" t="n">
        <f aca="false">MAX(0,F1563-N1563)</f>
        <v>0</v>
      </c>
      <c r="Q1563" s="32" t="n">
        <f aca="false">(F1563+Settings!$B$7*Settings!$B$3)/(E1563+Settings!$B$7)</f>
        <v>0.0299865978191811</v>
      </c>
      <c r="R1563" s="61" t="n">
        <f aca="false">PERCENTRANK($H$2:$H$1780,H1563,6)</f>
        <v>0</v>
      </c>
      <c r="S1563" s="61" t="n">
        <f aca="false">PERCENTRANK($Q$2:$Q$1780,Q1563,6)</f>
        <v>0.486502</v>
      </c>
      <c r="T1563" s="61" t="n">
        <f aca="false">PERCENTRANK($F$2:$F$1780,F1563,6)</f>
        <v>0</v>
      </c>
      <c r="U1563" s="62" t="n">
        <f aca="false">IF(F1563&gt;0,(Settings!$B$8*T1563+Settings!$B$9*R1563+Settings!$B$10*S1563)/SUM(Settings!$B$8:$B$10),0)</f>
        <v>0</v>
      </c>
      <c r="V1563" s="56" t="str">
        <f aca="false">IF(U1563&gt;0,RANK(U1563,$U$2:$U$1780)+COUNTIF($U$2:U1563,U1563)-1,"")</f>
        <v/>
      </c>
      <c r="W1563" s="56" t="str">
        <f aca="false">IF(V1563="","",IF(V1563&lt;=Settings!$B$11,"1 - Fix first",IF(V1563&lt;=Settings!$B$12,"2 - Review","3 - Monitor")))</f>
        <v/>
      </c>
      <c r="X1563" s="56" t="str">
        <f aca="false">IF(AND(E1563&gt;=Settings!$B$4,F1563&gt;=Settings!$B$5,O1563&gt;=Settings!$B$6),"HIGH RATE","")</f>
        <v/>
      </c>
      <c r="Y1563" s="56" t="str">
        <f aca="false">IF(F1563&gt;0,RANK(F1563,$F$2:$F$1780)+COUNTIF($F$2:F1563,F1563)-1,"")</f>
        <v/>
      </c>
      <c r="Z1563" s="56" t="str">
        <f aca="false">IF(H1563&gt;0,RANK(H1563,$H$2:$H$1780)+COUNTIF($H$2:H1563,H1563)-1,"")</f>
        <v/>
      </c>
      <c r="AA1563" s="56" t="str">
        <f aca="false">IF(AC1563="","",RANK(AC1563,$AC$2:$AC$1780)+COUNTIF($AC$2:AC1563,AC1563)-1)</f>
        <v/>
      </c>
      <c r="AB1563" s="56" t="str">
        <f aca="false">IF(AD1563="","",RANK(AD1563,$AD$2:$AD$1780)+COUNTIF($AD$2:AD1563,AD1563)-1)</f>
        <v/>
      </c>
      <c r="AC1563" s="56" t="str">
        <f aca="false">IF(AND(F1563&gt;0,E1563&gt;=Settings!$B$4),J1563,"")</f>
        <v/>
      </c>
      <c r="AD1563" s="56" t="str">
        <f aca="false">IF(X1563="HIGH RATE",O1563,"")</f>
        <v/>
      </c>
    </row>
    <row r="1564" customFormat="false" ht="15" hidden="false" customHeight="false" outlineLevel="0" collapsed="false">
      <c r="A1564" s="56" t="s">
        <v>3007</v>
      </c>
      <c r="B1564" s="56" t="s">
        <v>3008</v>
      </c>
      <c r="C1564" s="56" t="s">
        <v>162</v>
      </c>
      <c r="D1564" s="56" t="str">
        <f aca="false">IFERROR(INDEX('Brand Map'!$B$4:$B$124,MATCH(C1564,'Brand Map'!$A$4:$A$124,0)),"Other")</f>
        <v>GBAU</v>
      </c>
      <c r="E1564" s="57" t="n">
        <v>3</v>
      </c>
      <c r="F1564" s="57" t="n">
        <v>0</v>
      </c>
      <c r="G1564" s="58" t="n">
        <v>298.04</v>
      </c>
      <c r="H1564" s="58" t="n">
        <v>0</v>
      </c>
      <c r="I1564" s="58" t="n">
        <v>281.96</v>
      </c>
      <c r="J1564" s="32" t="n">
        <f aca="false">IF(E1564&gt;0,F1564/E1564,0)</f>
        <v>0</v>
      </c>
      <c r="K1564" s="32" t="n">
        <f aca="false">IF(G1564&gt;0,H1564/G1564,0)</f>
        <v>-0</v>
      </c>
      <c r="L1564" s="59" t="n">
        <f aca="false">H1564/Settings!$B$16</f>
        <v>-0</v>
      </c>
      <c r="M1564" s="59" t="n">
        <f aca="false">H1564/Settings!$B$20</f>
        <v>-0</v>
      </c>
      <c r="N1564" s="60" t="n">
        <f aca="false">E1564*Settings!$B$3</f>
        <v>0.0929584532394613</v>
      </c>
      <c r="O1564" s="60" t="n">
        <f aca="false">IF(E1564&gt;0,(F1564-N1564)/SQRT(E1564*Settings!$B$3*(1-Settings!$B$3)),0)</f>
        <v>-0.30972727558513</v>
      </c>
      <c r="P1564" s="60" t="n">
        <f aca="false">MAX(0,F1564-N1564)</f>
        <v>0</v>
      </c>
      <c r="Q1564" s="32" t="n">
        <f aca="false">(F1564+Settings!$B$7*Settings!$B$3)/(E1564+Settings!$B$7)</f>
        <v>0.0281692282543822</v>
      </c>
      <c r="R1564" s="61" t="n">
        <f aca="false">PERCENTRANK($H$2:$H$1780,H1564,6)</f>
        <v>0</v>
      </c>
      <c r="S1564" s="61" t="n">
        <f aca="false">PERCENTRANK($Q$2:$Q$1780,Q1564,6)</f>
        <v>0.294151</v>
      </c>
      <c r="T1564" s="61" t="n">
        <f aca="false">PERCENTRANK($F$2:$F$1780,F1564,6)</f>
        <v>0</v>
      </c>
      <c r="U1564" s="62" t="n">
        <f aca="false">IF(F1564&gt;0,(Settings!$B$8*T1564+Settings!$B$9*R1564+Settings!$B$10*S1564)/SUM(Settings!$B$8:$B$10),0)</f>
        <v>0</v>
      </c>
      <c r="V1564" s="56" t="str">
        <f aca="false">IF(U1564&gt;0,RANK(U1564,$U$2:$U$1780)+COUNTIF($U$2:U1564,U1564)-1,"")</f>
        <v/>
      </c>
      <c r="W1564" s="56" t="str">
        <f aca="false">IF(V1564="","",IF(V1564&lt;=Settings!$B$11,"1 - Fix first",IF(V1564&lt;=Settings!$B$12,"2 - Review","3 - Monitor")))</f>
        <v/>
      </c>
      <c r="X1564" s="56" t="str">
        <f aca="false">IF(AND(E1564&gt;=Settings!$B$4,F1564&gt;=Settings!$B$5,O1564&gt;=Settings!$B$6),"HIGH RATE","")</f>
        <v/>
      </c>
      <c r="Y1564" s="56" t="str">
        <f aca="false">IF(F1564&gt;0,RANK(F1564,$F$2:$F$1780)+COUNTIF($F$2:F1564,F1564)-1,"")</f>
        <v/>
      </c>
      <c r="Z1564" s="56" t="str">
        <f aca="false">IF(H1564&gt;0,RANK(H1564,$H$2:$H$1780)+COUNTIF($H$2:H1564,H1564)-1,"")</f>
        <v/>
      </c>
      <c r="AA1564" s="56" t="str">
        <f aca="false">IF(AC1564="","",RANK(AC1564,$AC$2:$AC$1780)+COUNTIF($AC$2:AC1564,AC1564)-1)</f>
        <v/>
      </c>
      <c r="AB1564" s="56" t="str">
        <f aca="false">IF(AD1564="","",RANK(AD1564,$AD$2:$AD$1780)+COUNTIF($AD$2:AD1564,AD1564)-1)</f>
        <v/>
      </c>
      <c r="AC1564" s="56" t="str">
        <f aca="false">IF(AND(F1564&gt;0,E1564&gt;=Settings!$B$4),J1564,"")</f>
        <v/>
      </c>
      <c r="AD1564" s="56" t="str">
        <f aca="false">IF(X1564="HIGH RATE",O1564,"")</f>
        <v/>
      </c>
    </row>
    <row r="1565" customFormat="false" ht="15" hidden="false" customHeight="false" outlineLevel="0" collapsed="false">
      <c r="A1565" s="56" t="s">
        <v>3009</v>
      </c>
      <c r="B1565" s="56" t="s">
        <v>3010</v>
      </c>
      <c r="C1565" s="56" t="s">
        <v>162</v>
      </c>
      <c r="D1565" s="56" t="str">
        <f aca="false">IFERROR(INDEX('Brand Map'!$B$4:$B$124,MATCH(C1565,'Brand Map'!$A$4:$A$124,0)),"Other")</f>
        <v>GBAU</v>
      </c>
      <c r="E1565" s="57" t="n">
        <v>5</v>
      </c>
      <c r="F1565" s="57" t="n">
        <v>0</v>
      </c>
      <c r="G1565" s="58" t="n">
        <v>725.23</v>
      </c>
      <c r="H1565" s="58" t="n">
        <v>0</v>
      </c>
      <c r="I1565" s="58" t="n">
        <v>725.23</v>
      </c>
      <c r="J1565" s="32" t="n">
        <f aca="false">IF(E1565&gt;0,F1565/E1565,0)</f>
        <v>0</v>
      </c>
      <c r="K1565" s="32" t="n">
        <f aca="false">IF(G1565&gt;0,H1565/G1565,0)</f>
        <v>-0</v>
      </c>
      <c r="L1565" s="59" t="n">
        <f aca="false">H1565/Settings!$B$16</f>
        <v>-0</v>
      </c>
      <c r="M1565" s="59" t="n">
        <f aca="false">H1565/Settings!$B$20</f>
        <v>-0</v>
      </c>
      <c r="N1565" s="60" t="n">
        <f aca="false">E1565*Settings!$B$3</f>
        <v>0.154930755399102</v>
      </c>
      <c r="O1565" s="60" t="n">
        <f aca="false">IF(E1565&gt;0,(F1565-N1565)/SQRT(E1565*Settings!$B$3*(1-Settings!$B$3)),0)</f>
        <v>-0.399856193402468</v>
      </c>
      <c r="P1565" s="60" t="n">
        <f aca="false">MAX(0,F1565-N1565)</f>
        <v>0</v>
      </c>
      <c r="Q1565" s="32" t="n">
        <f aca="false">(F1565+Settings!$B$7*Settings!$B$3)/(E1565+Settings!$B$7)</f>
        <v>0.0265595580684175</v>
      </c>
      <c r="R1565" s="61" t="n">
        <f aca="false">PERCENTRANK($H$2:$H$1780,H1565,6)</f>
        <v>0</v>
      </c>
      <c r="S1565" s="61" t="n">
        <f aca="false">PERCENTRANK($Q$2:$Q$1780,Q1565,6)</f>
        <v>0.220472</v>
      </c>
      <c r="T1565" s="61" t="n">
        <f aca="false">PERCENTRANK($F$2:$F$1780,F1565,6)</f>
        <v>0</v>
      </c>
      <c r="U1565" s="62" t="n">
        <f aca="false">IF(F1565&gt;0,(Settings!$B$8*T1565+Settings!$B$9*R1565+Settings!$B$10*S1565)/SUM(Settings!$B$8:$B$10),0)</f>
        <v>0</v>
      </c>
      <c r="V1565" s="56" t="str">
        <f aca="false">IF(U1565&gt;0,RANK(U1565,$U$2:$U$1780)+COUNTIF($U$2:U1565,U1565)-1,"")</f>
        <v/>
      </c>
      <c r="W1565" s="56" t="str">
        <f aca="false">IF(V1565="","",IF(V1565&lt;=Settings!$B$11,"1 - Fix first",IF(V1565&lt;=Settings!$B$12,"2 - Review","3 - Monitor")))</f>
        <v/>
      </c>
      <c r="X1565" s="56" t="str">
        <f aca="false">IF(AND(E1565&gt;=Settings!$B$4,F1565&gt;=Settings!$B$5,O1565&gt;=Settings!$B$6),"HIGH RATE","")</f>
        <v/>
      </c>
      <c r="Y1565" s="56" t="str">
        <f aca="false">IF(F1565&gt;0,RANK(F1565,$F$2:$F$1780)+COUNTIF($F$2:F1565,F1565)-1,"")</f>
        <v/>
      </c>
      <c r="Z1565" s="56" t="str">
        <f aca="false">IF(H1565&gt;0,RANK(H1565,$H$2:$H$1780)+COUNTIF($H$2:H1565,H1565)-1,"")</f>
        <v/>
      </c>
      <c r="AA1565" s="56" t="str">
        <f aca="false">IF(AC1565="","",RANK(AC1565,$AC$2:$AC$1780)+COUNTIF($AC$2:AC1565,AC1565)-1)</f>
        <v/>
      </c>
      <c r="AB1565" s="56" t="str">
        <f aca="false">IF(AD1565="","",RANK(AD1565,$AD$2:$AD$1780)+COUNTIF($AD$2:AD1565,AD1565)-1)</f>
        <v/>
      </c>
      <c r="AC1565" s="56" t="str">
        <f aca="false">IF(AND(F1565&gt;0,E1565&gt;=Settings!$B$4),J1565,"")</f>
        <v/>
      </c>
      <c r="AD1565" s="56" t="str">
        <f aca="false">IF(X1565="HIGH RATE",O1565,"")</f>
        <v/>
      </c>
    </row>
    <row r="1566" customFormat="false" ht="15" hidden="false" customHeight="false" outlineLevel="0" collapsed="false">
      <c r="A1566" s="56" t="s">
        <v>3011</v>
      </c>
      <c r="B1566" s="56" t="s">
        <v>3012</v>
      </c>
      <c r="C1566" s="56" t="s">
        <v>162</v>
      </c>
      <c r="D1566" s="56" t="str">
        <f aca="false">IFERROR(INDEX('Brand Map'!$B$4:$B$124,MATCH(C1566,'Brand Map'!$A$4:$A$124,0)),"Other")</f>
        <v>GBAU</v>
      </c>
      <c r="E1566" s="57" t="n">
        <v>2</v>
      </c>
      <c r="F1566" s="57" t="n">
        <v>0</v>
      </c>
      <c r="G1566" s="58" t="n">
        <v>345.75</v>
      </c>
      <c r="H1566" s="58" t="n">
        <v>0</v>
      </c>
      <c r="I1566" s="58" t="n">
        <v>345.75</v>
      </c>
      <c r="J1566" s="32" t="n">
        <f aca="false">IF(E1566&gt;0,F1566/E1566,0)</f>
        <v>0</v>
      </c>
      <c r="K1566" s="32" t="n">
        <f aca="false">IF(G1566&gt;0,H1566/G1566,0)</f>
        <v>-0</v>
      </c>
      <c r="L1566" s="59" t="n">
        <f aca="false">H1566/Settings!$B$16</f>
        <v>-0</v>
      </c>
      <c r="M1566" s="59" t="n">
        <f aca="false">H1566/Settings!$B$20</f>
        <v>-0</v>
      </c>
      <c r="N1566" s="60" t="n">
        <f aca="false">E1566*Settings!$B$3</f>
        <v>0.0619723021596408</v>
      </c>
      <c r="O1566" s="60" t="n">
        <f aca="false">IF(E1566&gt;0,(F1566-N1566)/SQRT(E1566*Settings!$B$3*(1-Settings!$B$3)),0)</f>
        <v>-0.252891261535318</v>
      </c>
      <c r="P1566" s="60" t="n">
        <f aca="false">MAX(0,F1566-N1566)</f>
        <v>0</v>
      </c>
      <c r="Q1566" s="32" t="n">
        <f aca="false">(F1566+Settings!$B$7*Settings!$B$3)/(E1566+Settings!$B$7)</f>
        <v>0.0290495166373316</v>
      </c>
      <c r="R1566" s="61" t="n">
        <f aca="false">PERCENTRANK($H$2:$H$1780,H1566,6)</f>
        <v>0</v>
      </c>
      <c r="S1566" s="61" t="n">
        <f aca="false">PERCENTRANK($Q$2:$Q$1780,Q1566,6)</f>
        <v>0.365579</v>
      </c>
      <c r="T1566" s="61" t="n">
        <f aca="false">PERCENTRANK($F$2:$F$1780,F1566,6)</f>
        <v>0</v>
      </c>
      <c r="U1566" s="62" t="n">
        <f aca="false">IF(F1566&gt;0,(Settings!$B$8*T1566+Settings!$B$9*R1566+Settings!$B$10*S1566)/SUM(Settings!$B$8:$B$10),0)</f>
        <v>0</v>
      </c>
      <c r="V1566" s="56" t="str">
        <f aca="false">IF(U1566&gt;0,RANK(U1566,$U$2:$U$1780)+COUNTIF($U$2:U1566,U1566)-1,"")</f>
        <v/>
      </c>
      <c r="W1566" s="56" t="str">
        <f aca="false">IF(V1566="","",IF(V1566&lt;=Settings!$B$11,"1 - Fix first",IF(V1566&lt;=Settings!$B$12,"2 - Review","3 - Monitor")))</f>
        <v/>
      </c>
      <c r="X1566" s="56" t="str">
        <f aca="false">IF(AND(E1566&gt;=Settings!$B$4,F1566&gt;=Settings!$B$5,O1566&gt;=Settings!$B$6),"HIGH RATE","")</f>
        <v/>
      </c>
      <c r="Y1566" s="56" t="str">
        <f aca="false">IF(F1566&gt;0,RANK(F1566,$F$2:$F$1780)+COUNTIF($F$2:F1566,F1566)-1,"")</f>
        <v/>
      </c>
      <c r="Z1566" s="56" t="str">
        <f aca="false">IF(H1566&gt;0,RANK(H1566,$H$2:$H$1780)+COUNTIF($H$2:H1566,H1566)-1,"")</f>
        <v/>
      </c>
      <c r="AA1566" s="56" t="str">
        <f aca="false">IF(AC1566="","",RANK(AC1566,$AC$2:$AC$1780)+COUNTIF($AC$2:AC1566,AC1566)-1)</f>
        <v/>
      </c>
      <c r="AB1566" s="56" t="str">
        <f aca="false">IF(AD1566="","",RANK(AD1566,$AD$2:$AD$1780)+COUNTIF($AD$2:AD1566,AD1566)-1)</f>
        <v/>
      </c>
      <c r="AC1566" s="56" t="str">
        <f aca="false">IF(AND(F1566&gt;0,E1566&gt;=Settings!$B$4),J1566,"")</f>
        <v/>
      </c>
      <c r="AD1566" s="56" t="str">
        <f aca="false">IF(X1566="HIGH RATE",O1566,"")</f>
        <v/>
      </c>
    </row>
    <row r="1567" customFormat="false" ht="15" hidden="false" customHeight="false" outlineLevel="0" collapsed="false">
      <c r="A1567" s="56" t="s">
        <v>3013</v>
      </c>
      <c r="B1567" s="56" t="s">
        <v>1381</v>
      </c>
      <c r="C1567" s="56" t="s">
        <v>162</v>
      </c>
      <c r="D1567" s="56" t="str">
        <f aca="false">IFERROR(INDEX('Brand Map'!$B$4:$B$124,MATCH(C1567,'Brand Map'!$A$4:$A$124,0)),"Other")</f>
        <v>GBAU</v>
      </c>
      <c r="E1567" s="57" t="n">
        <v>1</v>
      </c>
      <c r="F1567" s="57" t="n">
        <v>0</v>
      </c>
      <c r="G1567" s="58" t="n">
        <v>15</v>
      </c>
      <c r="H1567" s="58" t="n">
        <v>0</v>
      </c>
      <c r="I1567" s="58" t="n">
        <v>15</v>
      </c>
      <c r="J1567" s="32" t="n">
        <f aca="false">IF(E1567&gt;0,F1567/E1567,0)</f>
        <v>0</v>
      </c>
      <c r="K1567" s="32" t="n">
        <f aca="false">IF(G1567&gt;0,H1567/G1567,0)</f>
        <v>-0</v>
      </c>
      <c r="L1567" s="59" t="n">
        <f aca="false">H1567/Settings!$B$16</f>
        <v>-0</v>
      </c>
      <c r="M1567" s="59" t="n">
        <f aca="false">H1567/Settings!$B$20</f>
        <v>-0</v>
      </c>
      <c r="N1567" s="60" t="n">
        <f aca="false">E1567*Settings!$B$3</f>
        <v>0.0309861510798204</v>
      </c>
      <c r="O1567" s="60" t="n">
        <f aca="false">IF(E1567&gt;0,(F1567-N1567)/SQRT(E1567*Settings!$B$3*(1-Settings!$B$3)),0)</f>
        <v>-0.178821125934444</v>
      </c>
      <c r="P1567" s="60" t="n">
        <f aca="false">MAX(0,F1567-N1567)</f>
        <v>0</v>
      </c>
      <c r="Q1567" s="32" t="n">
        <f aca="false">(F1567+Settings!$B$7*Settings!$B$3)/(E1567+Settings!$B$7)</f>
        <v>0.0299865978191811</v>
      </c>
      <c r="R1567" s="61" t="n">
        <f aca="false">PERCENTRANK($H$2:$H$1780,H1567,6)</f>
        <v>0</v>
      </c>
      <c r="S1567" s="61" t="n">
        <f aca="false">PERCENTRANK($Q$2:$Q$1780,Q1567,6)</f>
        <v>0.486502</v>
      </c>
      <c r="T1567" s="61" t="n">
        <f aca="false">PERCENTRANK($F$2:$F$1780,F1567,6)</f>
        <v>0</v>
      </c>
      <c r="U1567" s="62" t="n">
        <f aca="false">IF(F1567&gt;0,(Settings!$B$8*T1567+Settings!$B$9*R1567+Settings!$B$10*S1567)/SUM(Settings!$B$8:$B$10),0)</f>
        <v>0</v>
      </c>
      <c r="V1567" s="56" t="str">
        <f aca="false">IF(U1567&gt;0,RANK(U1567,$U$2:$U$1780)+COUNTIF($U$2:U1567,U1567)-1,"")</f>
        <v/>
      </c>
      <c r="W1567" s="56" t="str">
        <f aca="false">IF(V1567="","",IF(V1567&lt;=Settings!$B$11,"1 - Fix first",IF(V1567&lt;=Settings!$B$12,"2 - Review","3 - Monitor")))</f>
        <v/>
      </c>
      <c r="X1567" s="56" t="str">
        <f aca="false">IF(AND(E1567&gt;=Settings!$B$4,F1567&gt;=Settings!$B$5,O1567&gt;=Settings!$B$6),"HIGH RATE","")</f>
        <v/>
      </c>
      <c r="Y1567" s="56" t="str">
        <f aca="false">IF(F1567&gt;0,RANK(F1567,$F$2:$F$1780)+COUNTIF($F$2:F1567,F1567)-1,"")</f>
        <v/>
      </c>
      <c r="Z1567" s="56" t="str">
        <f aca="false">IF(H1567&gt;0,RANK(H1567,$H$2:$H$1780)+COUNTIF($H$2:H1567,H1567)-1,"")</f>
        <v/>
      </c>
      <c r="AA1567" s="56" t="str">
        <f aca="false">IF(AC1567="","",RANK(AC1567,$AC$2:$AC$1780)+COUNTIF($AC$2:AC1567,AC1567)-1)</f>
        <v/>
      </c>
      <c r="AB1567" s="56" t="str">
        <f aca="false">IF(AD1567="","",RANK(AD1567,$AD$2:$AD$1780)+COUNTIF($AD$2:AD1567,AD1567)-1)</f>
        <v/>
      </c>
      <c r="AC1567" s="56" t="str">
        <f aca="false">IF(AND(F1567&gt;0,E1567&gt;=Settings!$B$4),J1567,"")</f>
        <v/>
      </c>
      <c r="AD1567" s="56" t="str">
        <f aca="false">IF(X1567="HIGH RATE",O1567,"")</f>
        <v/>
      </c>
    </row>
    <row r="1568" customFormat="false" ht="15" hidden="false" customHeight="false" outlineLevel="0" collapsed="false">
      <c r="A1568" s="56" t="s">
        <v>3014</v>
      </c>
      <c r="B1568" s="56" t="s">
        <v>3015</v>
      </c>
      <c r="C1568" s="56" t="s">
        <v>162</v>
      </c>
      <c r="D1568" s="56" t="str">
        <f aca="false">IFERROR(INDEX('Brand Map'!$B$4:$B$124,MATCH(C1568,'Brand Map'!$A$4:$A$124,0)),"Other")</f>
        <v>GBAU</v>
      </c>
      <c r="E1568" s="57" t="n">
        <v>3</v>
      </c>
      <c r="F1568" s="57" t="n">
        <v>0</v>
      </c>
      <c r="G1568" s="58" t="n">
        <v>272.85</v>
      </c>
      <c r="H1568" s="58" t="n">
        <v>0</v>
      </c>
      <c r="I1568" s="58" t="n">
        <v>272.85</v>
      </c>
      <c r="J1568" s="32" t="n">
        <f aca="false">IF(E1568&gt;0,F1568/E1568,0)</f>
        <v>0</v>
      </c>
      <c r="K1568" s="32" t="n">
        <f aca="false">IF(G1568&gt;0,H1568/G1568,0)</f>
        <v>-0</v>
      </c>
      <c r="L1568" s="59" t="n">
        <f aca="false">H1568/Settings!$B$16</f>
        <v>-0</v>
      </c>
      <c r="M1568" s="59" t="n">
        <f aca="false">H1568/Settings!$B$20</f>
        <v>-0</v>
      </c>
      <c r="N1568" s="60" t="n">
        <f aca="false">E1568*Settings!$B$3</f>
        <v>0.0929584532394613</v>
      </c>
      <c r="O1568" s="60" t="n">
        <f aca="false">IF(E1568&gt;0,(F1568-N1568)/SQRT(E1568*Settings!$B$3*(1-Settings!$B$3)),0)</f>
        <v>-0.30972727558513</v>
      </c>
      <c r="P1568" s="60" t="n">
        <f aca="false">MAX(0,F1568-N1568)</f>
        <v>0</v>
      </c>
      <c r="Q1568" s="32" t="n">
        <f aca="false">(F1568+Settings!$B$7*Settings!$B$3)/(E1568+Settings!$B$7)</f>
        <v>0.0281692282543822</v>
      </c>
      <c r="R1568" s="61" t="n">
        <f aca="false">PERCENTRANK($H$2:$H$1780,H1568,6)</f>
        <v>0</v>
      </c>
      <c r="S1568" s="61" t="n">
        <f aca="false">PERCENTRANK($Q$2:$Q$1780,Q1568,6)</f>
        <v>0.294151</v>
      </c>
      <c r="T1568" s="61" t="n">
        <f aca="false">PERCENTRANK($F$2:$F$1780,F1568,6)</f>
        <v>0</v>
      </c>
      <c r="U1568" s="62" t="n">
        <f aca="false">IF(F1568&gt;0,(Settings!$B$8*T1568+Settings!$B$9*R1568+Settings!$B$10*S1568)/SUM(Settings!$B$8:$B$10),0)</f>
        <v>0</v>
      </c>
      <c r="V1568" s="56" t="str">
        <f aca="false">IF(U1568&gt;0,RANK(U1568,$U$2:$U$1780)+COUNTIF($U$2:U1568,U1568)-1,"")</f>
        <v/>
      </c>
      <c r="W1568" s="56" t="str">
        <f aca="false">IF(V1568="","",IF(V1568&lt;=Settings!$B$11,"1 - Fix first",IF(V1568&lt;=Settings!$B$12,"2 - Review","3 - Monitor")))</f>
        <v/>
      </c>
      <c r="X1568" s="56" t="str">
        <f aca="false">IF(AND(E1568&gt;=Settings!$B$4,F1568&gt;=Settings!$B$5,O1568&gt;=Settings!$B$6),"HIGH RATE","")</f>
        <v/>
      </c>
      <c r="Y1568" s="56" t="str">
        <f aca="false">IF(F1568&gt;0,RANK(F1568,$F$2:$F$1780)+COUNTIF($F$2:F1568,F1568)-1,"")</f>
        <v/>
      </c>
      <c r="Z1568" s="56" t="str">
        <f aca="false">IF(H1568&gt;0,RANK(H1568,$H$2:$H$1780)+COUNTIF($H$2:H1568,H1568)-1,"")</f>
        <v/>
      </c>
      <c r="AA1568" s="56" t="str">
        <f aca="false">IF(AC1568="","",RANK(AC1568,$AC$2:$AC$1780)+COUNTIF($AC$2:AC1568,AC1568)-1)</f>
        <v/>
      </c>
      <c r="AB1568" s="56" t="str">
        <f aca="false">IF(AD1568="","",RANK(AD1568,$AD$2:$AD$1780)+COUNTIF($AD$2:AD1568,AD1568)-1)</f>
        <v/>
      </c>
      <c r="AC1568" s="56" t="str">
        <f aca="false">IF(AND(F1568&gt;0,E1568&gt;=Settings!$B$4),J1568,"")</f>
        <v/>
      </c>
      <c r="AD1568" s="56" t="str">
        <f aca="false">IF(X1568="HIGH RATE",O1568,"")</f>
        <v/>
      </c>
    </row>
    <row r="1569" customFormat="false" ht="15" hidden="false" customHeight="false" outlineLevel="0" collapsed="false">
      <c r="A1569" s="56" t="s">
        <v>3016</v>
      </c>
      <c r="B1569" s="56" t="s">
        <v>2365</v>
      </c>
      <c r="C1569" s="56" t="s">
        <v>162</v>
      </c>
      <c r="D1569" s="56" t="str">
        <f aca="false">IFERROR(INDEX('Brand Map'!$B$4:$B$124,MATCH(C1569,'Brand Map'!$A$4:$A$124,0)),"Other")</f>
        <v>GBAU</v>
      </c>
      <c r="E1569" s="57" t="n">
        <v>19</v>
      </c>
      <c r="F1569" s="57" t="n">
        <v>0</v>
      </c>
      <c r="G1569" s="58" t="n">
        <v>1986.7</v>
      </c>
      <c r="H1569" s="58" t="n">
        <v>0</v>
      </c>
      <c r="I1569" s="58" t="n">
        <v>1968.72</v>
      </c>
      <c r="J1569" s="32" t="n">
        <f aca="false">IF(E1569&gt;0,F1569/E1569,0)</f>
        <v>0</v>
      </c>
      <c r="K1569" s="32" t="n">
        <f aca="false">IF(G1569&gt;0,H1569/G1569,0)</f>
        <v>-0</v>
      </c>
      <c r="L1569" s="59" t="n">
        <f aca="false">H1569/Settings!$B$16</f>
        <v>-0</v>
      </c>
      <c r="M1569" s="59" t="n">
        <f aca="false">H1569/Settings!$B$20</f>
        <v>-0</v>
      </c>
      <c r="N1569" s="60" t="n">
        <f aca="false">E1569*Settings!$B$3</f>
        <v>0.588736870516588</v>
      </c>
      <c r="O1569" s="60" t="n">
        <f aca="false">IF(E1569&gt;0,(F1569-N1569)/SQRT(E1569*Settings!$B$3*(1-Settings!$B$3)),0)</f>
        <v>-0.779463216918402</v>
      </c>
      <c r="P1569" s="60" t="n">
        <f aca="false">MAX(0,F1569-N1569)</f>
        <v>0</v>
      </c>
      <c r="Q1569" s="32" t="n">
        <f aca="false">(F1569+Settings!$B$7*Settings!$B$3)/(E1569+Settings!$B$7)</f>
        <v>0.0189711129060125</v>
      </c>
      <c r="R1569" s="61" t="n">
        <f aca="false">PERCENTRANK($H$2:$H$1780,H1569,6)</f>
        <v>0</v>
      </c>
      <c r="S1569" s="61" t="n">
        <f aca="false">PERCENTRANK($Q$2:$Q$1780,Q1569,6)</f>
        <v>0.0776153</v>
      </c>
      <c r="T1569" s="61" t="n">
        <f aca="false">PERCENTRANK($F$2:$F$1780,F1569,6)</f>
        <v>0</v>
      </c>
      <c r="U1569" s="62" t="n">
        <f aca="false">IF(F1569&gt;0,(Settings!$B$8*T1569+Settings!$B$9*R1569+Settings!$B$10*S1569)/SUM(Settings!$B$8:$B$10),0)</f>
        <v>0</v>
      </c>
      <c r="V1569" s="56" t="str">
        <f aca="false">IF(U1569&gt;0,RANK(U1569,$U$2:$U$1780)+COUNTIF($U$2:U1569,U1569)-1,"")</f>
        <v/>
      </c>
      <c r="W1569" s="56" t="str">
        <f aca="false">IF(V1569="","",IF(V1569&lt;=Settings!$B$11,"1 - Fix first",IF(V1569&lt;=Settings!$B$12,"2 - Review","3 - Monitor")))</f>
        <v/>
      </c>
      <c r="X1569" s="56" t="str">
        <f aca="false">IF(AND(E1569&gt;=Settings!$B$4,F1569&gt;=Settings!$B$5,O1569&gt;=Settings!$B$6),"HIGH RATE","")</f>
        <v/>
      </c>
      <c r="Y1569" s="56" t="str">
        <f aca="false">IF(F1569&gt;0,RANK(F1569,$F$2:$F$1780)+COUNTIF($F$2:F1569,F1569)-1,"")</f>
        <v/>
      </c>
      <c r="Z1569" s="56" t="str">
        <f aca="false">IF(H1569&gt;0,RANK(H1569,$H$2:$H$1780)+COUNTIF($H$2:H1569,H1569)-1,"")</f>
        <v/>
      </c>
      <c r="AA1569" s="56" t="str">
        <f aca="false">IF(AC1569="","",RANK(AC1569,$AC$2:$AC$1780)+COUNTIF($AC$2:AC1569,AC1569)-1)</f>
        <v/>
      </c>
      <c r="AB1569" s="56" t="str">
        <f aca="false">IF(AD1569="","",RANK(AD1569,$AD$2:$AD$1780)+COUNTIF($AD$2:AD1569,AD1569)-1)</f>
        <v/>
      </c>
      <c r="AC1569" s="56" t="str">
        <f aca="false">IF(AND(F1569&gt;0,E1569&gt;=Settings!$B$4),J1569,"")</f>
        <v/>
      </c>
      <c r="AD1569" s="56" t="str">
        <f aca="false">IF(X1569="HIGH RATE",O1569,"")</f>
        <v/>
      </c>
    </row>
    <row r="1570" customFormat="false" ht="15" hidden="false" customHeight="false" outlineLevel="0" collapsed="false">
      <c r="A1570" s="56" t="s">
        <v>3017</v>
      </c>
      <c r="B1570" s="56" t="s">
        <v>3018</v>
      </c>
      <c r="C1570" s="56" t="s">
        <v>162</v>
      </c>
      <c r="D1570" s="56" t="str">
        <f aca="false">IFERROR(INDEX('Brand Map'!$B$4:$B$124,MATCH(C1570,'Brand Map'!$A$4:$A$124,0)),"Other")</f>
        <v>GBAU</v>
      </c>
      <c r="E1570" s="57" t="n">
        <v>1</v>
      </c>
      <c r="F1570" s="57" t="n">
        <v>0</v>
      </c>
      <c r="G1570" s="58" t="n">
        <v>163.59</v>
      </c>
      <c r="H1570" s="58" t="n">
        <v>0</v>
      </c>
      <c r="I1570" s="58" t="n">
        <v>163.59</v>
      </c>
      <c r="J1570" s="32" t="n">
        <f aca="false">IF(E1570&gt;0,F1570/E1570,0)</f>
        <v>0</v>
      </c>
      <c r="K1570" s="32" t="n">
        <f aca="false">IF(G1570&gt;0,H1570/G1570,0)</f>
        <v>-0</v>
      </c>
      <c r="L1570" s="59" t="n">
        <f aca="false">H1570/Settings!$B$16</f>
        <v>-0</v>
      </c>
      <c r="M1570" s="59" t="n">
        <f aca="false">H1570/Settings!$B$20</f>
        <v>-0</v>
      </c>
      <c r="N1570" s="60" t="n">
        <f aca="false">E1570*Settings!$B$3</f>
        <v>0.0309861510798204</v>
      </c>
      <c r="O1570" s="60" t="n">
        <f aca="false">IF(E1570&gt;0,(F1570-N1570)/SQRT(E1570*Settings!$B$3*(1-Settings!$B$3)),0)</f>
        <v>-0.178821125934444</v>
      </c>
      <c r="P1570" s="60" t="n">
        <f aca="false">MAX(0,F1570-N1570)</f>
        <v>0</v>
      </c>
      <c r="Q1570" s="32" t="n">
        <f aca="false">(F1570+Settings!$B$7*Settings!$B$3)/(E1570+Settings!$B$7)</f>
        <v>0.0299865978191811</v>
      </c>
      <c r="R1570" s="61" t="n">
        <f aca="false">PERCENTRANK($H$2:$H$1780,H1570,6)</f>
        <v>0</v>
      </c>
      <c r="S1570" s="61" t="n">
        <f aca="false">PERCENTRANK($Q$2:$Q$1780,Q1570,6)</f>
        <v>0.486502</v>
      </c>
      <c r="T1570" s="61" t="n">
        <f aca="false">PERCENTRANK($F$2:$F$1780,F1570,6)</f>
        <v>0</v>
      </c>
      <c r="U1570" s="62" t="n">
        <f aca="false">IF(F1570&gt;0,(Settings!$B$8*T1570+Settings!$B$9*R1570+Settings!$B$10*S1570)/SUM(Settings!$B$8:$B$10),0)</f>
        <v>0</v>
      </c>
      <c r="V1570" s="56" t="str">
        <f aca="false">IF(U1570&gt;0,RANK(U1570,$U$2:$U$1780)+COUNTIF($U$2:U1570,U1570)-1,"")</f>
        <v/>
      </c>
      <c r="W1570" s="56" t="str">
        <f aca="false">IF(V1570="","",IF(V1570&lt;=Settings!$B$11,"1 - Fix first",IF(V1570&lt;=Settings!$B$12,"2 - Review","3 - Monitor")))</f>
        <v/>
      </c>
      <c r="X1570" s="56" t="str">
        <f aca="false">IF(AND(E1570&gt;=Settings!$B$4,F1570&gt;=Settings!$B$5,O1570&gt;=Settings!$B$6),"HIGH RATE","")</f>
        <v/>
      </c>
      <c r="Y1570" s="56" t="str">
        <f aca="false">IF(F1570&gt;0,RANK(F1570,$F$2:$F$1780)+COUNTIF($F$2:F1570,F1570)-1,"")</f>
        <v/>
      </c>
      <c r="Z1570" s="56" t="str">
        <f aca="false">IF(H1570&gt;0,RANK(H1570,$H$2:$H$1780)+COUNTIF($H$2:H1570,H1570)-1,"")</f>
        <v/>
      </c>
      <c r="AA1570" s="56" t="str">
        <f aca="false">IF(AC1570="","",RANK(AC1570,$AC$2:$AC$1780)+COUNTIF($AC$2:AC1570,AC1570)-1)</f>
        <v/>
      </c>
      <c r="AB1570" s="56" t="str">
        <f aca="false">IF(AD1570="","",RANK(AD1570,$AD$2:$AD$1780)+COUNTIF($AD$2:AD1570,AD1570)-1)</f>
        <v/>
      </c>
      <c r="AC1570" s="56" t="str">
        <f aca="false">IF(AND(F1570&gt;0,E1570&gt;=Settings!$B$4),J1570,"")</f>
        <v/>
      </c>
      <c r="AD1570" s="56" t="str">
        <f aca="false">IF(X1570="HIGH RATE",O1570,"")</f>
        <v/>
      </c>
    </row>
    <row r="1571" customFormat="false" ht="15" hidden="false" customHeight="false" outlineLevel="0" collapsed="false">
      <c r="A1571" s="56" t="s">
        <v>3019</v>
      </c>
      <c r="B1571" s="56" t="s">
        <v>3020</v>
      </c>
      <c r="C1571" s="56" t="s">
        <v>162</v>
      </c>
      <c r="D1571" s="56" t="str">
        <f aca="false">IFERROR(INDEX('Brand Map'!$B$4:$B$124,MATCH(C1571,'Brand Map'!$A$4:$A$124,0)),"Other")</f>
        <v>GBAU</v>
      </c>
      <c r="E1571" s="57" t="n">
        <v>2</v>
      </c>
      <c r="F1571" s="57" t="n">
        <v>0</v>
      </c>
      <c r="G1571" s="58" t="n">
        <v>353.09</v>
      </c>
      <c r="H1571" s="58" t="n">
        <v>0</v>
      </c>
      <c r="I1571" s="58" t="n">
        <v>353.09</v>
      </c>
      <c r="J1571" s="32" t="n">
        <f aca="false">IF(E1571&gt;0,F1571/E1571,0)</f>
        <v>0</v>
      </c>
      <c r="K1571" s="32" t="n">
        <f aca="false">IF(G1571&gt;0,H1571/G1571,0)</f>
        <v>-0</v>
      </c>
      <c r="L1571" s="59" t="n">
        <f aca="false">H1571/Settings!$B$16</f>
        <v>-0</v>
      </c>
      <c r="M1571" s="59" t="n">
        <f aca="false">H1571/Settings!$B$20</f>
        <v>-0</v>
      </c>
      <c r="N1571" s="60" t="n">
        <f aca="false">E1571*Settings!$B$3</f>
        <v>0.0619723021596408</v>
      </c>
      <c r="O1571" s="60" t="n">
        <f aca="false">IF(E1571&gt;0,(F1571-N1571)/SQRT(E1571*Settings!$B$3*(1-Settings!$B$3)),0)</f>
        <v>-0.252891261535318</v>
      </c>
      <c r="P1571" s="60" t="n">
        <f aca="false">MAX(0,F1571-N1571)</f>
        <v>0</v>
      </c>
      <c r="Q1571" s="32" t="n">
        <f aca="false">(F1571+Settings!$B$7*Settings!$B$3)/(E1571+Settings!$B$7)</f>
        <v>0.0290495166373316</v>
      </c>
      <c r="R1571" s="61" t="n">
        <f aca="false">PERCENTRANK($H$2:$H$1780,H1571,6)</f>
        <v>0</v>
      </c>
      <c r="S1571" s="61" t="n">
        <f aca="false">PERCENTRANK($Q$2:$Q$1780,Q1571,6)</f>
        <v>0.365579</v>
      </c>
      <c r="T1571" s="61" t="n">
        <f aca="false">PERCENTRANK($F$2:$F$1780,F1571,6)</f>
        <v>0</v>
      </c>
      <c r="U1571" s="62" t="n">
        <f aca="false">IF(F1571&gt;0,(Settings!$B$8*T1571+Settings!$B$9*R1571+Settings!$B$10*S1571)/SUM(Settings!$B$8:$B$10),0)</f>
        <v>0</v>
      </c>
      <c r="V1571" s="56" t="str">
        <f aca="false">IF(U1571&gt;0,RANK(U1571,$U$2:$U$1780)+COUNTIF($U$2:U1571,U1571)-1,"")</f>
        <v/>
      </c>
      <c r="W1571" s="56" t="str">
        <f aca="false">IF(V1571="","",IF(V1571&lt;=Settings!$B$11,"1 - Fix first",IF(V1571&lt;=Settings!$B$12,"2 - Review","3 - Monitor")))</f>
        <v/>
      </c>
      <c r="X1571" s="56" t="str">
        <f aca="false">IF(AND(E1571&gt;=Settings!$B$4,F1571&gt;=Settings!$B$5,O1571&gt;=Settings!$B$6),"HIGH RATE","")</f>
        <v/>
      </c>
      <c r="Y1571" s="56" t="str">
        <f aca="false">IF(F1571&gt;0,RANK(F1571,$F$2:$F$1780)+COUNTIF($F$2:F1571,F1571)-1,"")</f>
        <v/>
      </c>
      <c r="Z1571" s="56" t="str">
        <f aca="false">IF(H1571&gt;0,RANK(H1571,$H$2:$H$1780)+COUNTIF($H$2:H1571,H1571)-1,"")</f>
        <v/>
      </c>
      <c r="AA1571" s="56" t="str">
        <f aca="false">IF(AC1571="","",RANK(AC1571,$AC$2:$AC$1780)+COUNTIF($AC$2:AC1571,AC1571)-1)</f>
        <v/>
      </c>
      <c r="AB1571" s="56" t="str">
        <f aca="false">IF(AD1571="","",RANK(AD1571,$AD$2:$AD$1780)+COUNTIF($AD$2:AD1571,AD1571)-1)</f>
        <v/>
      </c>
      <c r="AC1571" s="56" t="str">
        <f aca="false">IF(AND(F1571&gt;0,E1571&gt;=Settings!$B$4),J1571,"")</f>
        <v/>
      </c>
      <c r="AD1571" s="56" t="str">
        <f aca="false">IF(X1571="HIGH RATE",O1571,"")</f>
        <v/>
      </c>
    </row>
    <row r="1572" customFormat="false" ht="15" hidden="false" customHeight="false" outlineLevel="0" collapsed="false">
      <c r="A1572" s="56" t="s">
        <v>3021</v>
      </c>
      <c r="B1572" s="56" t="s">
        <v>3022</v>
      </c>
      <c r="C1572" s="56" t="s">
        <v>162</v>
      </c>
      <c r="D1572" s="56" t="str">
        <f aca="false">IFERROR(INDEX('Brand Map'!$B$4:$B$124,MATCH(C1572,'Brand Map'!$A$4:$A$124,0)),"Other")</f>
        <v>GBAU</v>
      </c>
      <c r="E1572" s="57" t="n">
        <v>4</v>
      </c>
      <c r="F1572" s="57" t="n">
        <v>0</v>
      </c>
      <c r="G1572" s="58" t="n">
        <v>528.17</v>
      </c>
      <c r="H1572" s="58" t="n">
        <v>0</v>
      </c>
      <c r="I1572" s="58" t="n">
        <v>510.47</v>
      </c>
      <c r="J1572" s="32" t="n">
        <f aca="false">IF(E1572&gt;0,F1572/E1572,0)</f>
        <v>0</v>
      </c>
      <c r="K1572" s="32" t="n">
        <f aca="false">IF(G1572&gt;0,H1572/G1572,0)</f>
        <v>-0</v>
      </c>
      <c r="L1572" s="59" t="n">
        <f aca="false">H1572/Settings!$B$16</f>
        <v>-0</v>
      </c>
      <c r="M1572" s="59" t="n">
        <f aca="false">H1572/Settings!$B$20</f>
        <v>-0</v>
      </c>
      <c r="N1572" s="60" t="n">
        <f aca="false">E1572*Settings!$B$3</f>
        <v>0.123944604319282</v>
      </c>
      <c r="O1572" s="60" t="n">
        <f aca="false">IF(E1572&gt;0,(F1572-N1572)/SQRT(E1572*Settings!$B$3*(1-Settings!$B$3)),0)</f>
        <v>-0.357642251868888</v>
      </c>
      <c r="P1572" s="60" t="n">
        <f aca="false">MAX(0,F1572-N1572)</f>
        <v>0</v>
      </c>
      <c r="Q1572" s="32" t="n">
        <f aca="false">(F1572+Settings!$B$7*Settings!$B$3)/(E1572+Settings!$B$7)</f>
        <v>0.027340721541018</v>
      </c>
      <c r="R1572" s="61" t="n">
        <f aca="false">PERCENTRANK($H$2:$H$1780,H1572,6)</f>
        <v>0</v>
      </c>
      <c r="S1572" s="61" t="n">
        <f aca="false">PERCENTRANK($Q$2:$Q$1780,Q1572,6)</f>
        <v>0.253656</v>
      </c>
      <c r="T1572" s="61" t="n">
        <f aca="false">PERCENTRANK($F$2:$F$1780,F1572,6)</f>
        <v>0</v>
      </c>
      <c r="U1572" s="62" t="n">
        <f aca="false">IF(F1572&gt;0,(Settings!$B$8*T1572+Settings!$B$9*R1572+Settings!$B$10*S1572)/SUM(Settings!$B$8:$B$10),0)</f>
        <v>0</v>
      </c>
      <c r="V1572" s="56" t="str">
        <f aca="false">IF(U1572&gt;0,RANK(U1572,$U$2:$U$1780)+COUNTIF($U$2:U1572,U1572)-1,"")</f>
        <v/>
      </c>
      <c r="W1572" s="56" t="str">
        <f aca="false">IF(V1572="","",IF(V1572&lt;=Settings!$B$11,"1 - Fix first",IF(V1572&lt;=Settings!$B$12,"2 - Review","3 - Monitor")))</f>
        <v/>
      </c>
      <c r="X1572" s="56" t="str">
        <f aca="false">IF(AND(E1572&gt;=Settings!$B$4,F1572&gt;=Settings!$B$5,O1572&gt;=Settings!$B$6),"HIGH RATE","")</f>
        <v/>
      </c>
      <c r="Y1572" s="56" t="str">
        <f aca="false">IF(F1572&gt;0,RANK(F1572,$F$2:$F$1780)+COUNTIF($F$2:F1572,F1572)-1,"")</f>
        <v/>
      </c>
      <c r="Z1572" s="56" t="str">
        <f aca="false">IF(H1572&gt;0,RANK(H1572,$H$2:$H$1780)+COUNTIF($H$2:H1572,H1572)-1,"")</f>
        <v/>
      </c>
      <c r="AA1572" s="56" t="str">
        <f aca="false">IF(AC1572="","",RANK(AC1572,$AC$2:$AC$1780)+COUNTIF($AC$2:AC1572,AC1572)-1)</f>
        <v/>
      </c>
      <c r="AB1572" s="56" t="str">
        <f aca="false">IF(AD1572="","",RANK(AD1572,$AD$2:$AD$1780)+COUNTIF($AD$2:AD1572,AD1572)-1)</f>
        <v/>
      </c>
      <c r="AC1572" s="56" t="str">
        <f aca="false">IF(AND(F1572&gt;0,E1572&gt;=Settings!$B$4),J1572,"")</f>
        <v/>
      </c>
      <c r="AD1572" s="56" t="str">
        <f aca="false">IF(X1572="HIGH RATE",O1572,"")</f>
        <v/>
      </c>
    </row>
    <row r="1573" customFormat="false" ht="15" hidden="false" customHeight="false" outlineLevel="0" collapsed="false">
      <c r="A1573" s="56" t="s">
        <v>3023</v>
      </c>
      <c r="B1573" s="56" t="s">
        <v>3024</v>
      </c>
      <c r="C1573" s="56" t="s">
        <v>162</v>
      </c>
      <c r="D1573" s="56" t="str">
        <f aca="false">IFERROR(INDEX('Brand Map'!$B$4:$B$124,MATCH(C1573,'Brand Map'!$A$4:$A$124,0)),"Other")</f>
        <v>GBAU</v>
      </c>
      <c r="E1573" s="57" t="n">
        <v>4</v>
      </c>
      <c r="F1573" s="57" t="n">
        <v>0</v>
      </c>
      <c r="G1573" s="58" t="n">
        <v>524.35</v>
      </c>
      <c r="H1573" s="58" t="n">
        <v>0</v>
      </c>
      <c r="I1573" s="58" t="n">
        <v>524.35</v>
      </c>
      <c r="J1573" s="32" t="n">
        <f aca="false">IF(E1573&gt;0,F1573/E1573,0)</f>
        <v>0</v>
      </c>
      <c r="K1573" s="32" t="n">
        <f aca="false">IF(G1573&gt;0,H1573/G1573,0)</f>
        <v>-0</v>
      </c>
      <c r="L1573" s="59" t="n">
        <f aca="false">H1573/Settings!$B$16</f>
        <v>-0</v>
      </c>
      <c r="M1573" s="59" t="n">
        <f aca="false">H1573/Settings!$B$20</f>
        <v>-0</v>
      </c>
      <c r="N1573" s="60" t="n">
        <f aca="false">E1573*Settings!$B$3</f>
        <v>0.123944604319282</v>
      </c>
      <c r="O1573" s="60" t="n">
        <f aca="false">IF(E1573&gt;0,(F1573-N1573)/SQRT(E1573*Settings!$B$3*(1-Settings!$B$3)),0)</f>
        <v>-0.357642251868888</v>
      </c>
      <c r="P1573" s="60" t="n">
        <f aca="false">MAX(0,F1573-N1573)</f>
        <v>0</v>
      </c>
      <c r="Q1573" s="32" t="n">
        <f aca="false">(F1573+Settings!$B$7*Settings!$B$3)/(E1573+Settings!$B$7)</f>
        <v>0.027340721541018</v>
      </c>
      <c r="R1573" s="61" t="n">
        <f aca="false">PERCENTRANK($H$2:$H$1780,H1573,6)</f>
        <v>0</v>
      </c>
      <c r="S1573" s="61" t="n">
        <f aca="false">PERCENTRANK($Q$2:$Q$1780,Q1573,6)</f>
        <v>0.253656</v>
      </c>
      <c r="T1573" s="61" t="n">
        <f aca="false">PERCENTRANK($F$2:$F$1780,F1573,6)</f>
        <v>0</v>
      </c>
      <c r="U1573" s="62" t="n">
        <f aca="false">IF(F1573&gt;0,(Settings!$B$8*T1573+Settings!$B$9*R1573+Settings!$B$10*S1573)/SUM(Settings!$B$8:$B$10),0)</f>
        <v>0</v>
      </c>
      <c r="V1573" s="56" t="str">
        <f aca="false">IF(U1573&gt;0,RANK(U1573,$U$2:$U$1780)+COUNTIF($U$2:U1573,U1573)-1,"")</f>
        <v/>
      </c>
      <c r="W1573" s="56" t="str">
        <f aca="false">IF(V1573="","",IF(V1573&lt;=Settings!$B$11,"1 - Fix first",IF(V1573&lt;=Settings!$B$12,"2 - Review","3 - Monitor")))</f>
        <v/>
      </c>
      <c r="X1573" s="56" t="str">
        <f aca="false">IF(AND(E1573&gt;=Settings!$B$4,F1573&gt;=Settings!$B$5,O1573&gt;=Settings!$B$6),"HIGH RATE","")</f>
        <v/>
      </c>
      <c r="Y1573" s="56" t="str">
        <f aca="false">IF(F1573&gt;0,RANK(F1573,$F$2:$F$1780)+COUNTIF($F$2:F1573,F1573)-1,"")</f>
        <v/>
      </c>
      <c r="Z1573" s="56" t="str">
        <f aca="false">IF(H1573&gt;0,RANK(H1573,$H$2:$H$1780)+COUNTIF($H$2:H1573,H1573)-1,"")</f>
        <v/>
      </c>
      <c r="AA1573" s="56" t="str">
        <f aca="false">IF(AC1573="","",RANK(AC1573,$AC$2:$AC$1780)+COUNTIF($AC$2:AC1573,AC1573)-1)</f>
        <v/>
      </c>
      <c r="AB1573" s="56" t="str">
        <f aca="false">IF(AD1573="","",RANK(AD1573,$AD$2:$AD$1780)+COUNTIF($AD$2:AD1573,AD1573)-1)</f>
        <v/>
      </c>
      <c r="AC1573" s="56" t="str">
        <f aca="false">IF(AND(F1573&gt;0,E1573&gt;=Settings!$B$4),J1573,"")</f>
        <v/>
      </c>
      <c r="AD1573" s="56" t="str">
        <f aca="false">IF(X1573="HIGH RATE",O1573,"")</f>
        <v/>
      </c>
    </row>
    <row r="1574" customFormat="false" ht="15" hidden="false" customHeight="false" outlineLevel="0" collapsed="false">
      <c r="A1574" s="56" t="s">
        <v>3025</v>
      </c>
      <c r="B1574" s="56" t="s">
        <v>3026</v>
      </c>
      <c r="C1574" s="56" t="s">
        <v>162</v>
      </c>
      <c r="D1574" s="56" t="str">
        <f aca="false">IFERROR(INDEX('Brand Map'!$B$4:$B$124,MATCH(C1574,'Brand Map'!$A$4:$A$124,0)),"Other")</f>
        <v>GBAU</v>
      </c>
      <c r="E1574" s="57" t="n">
        <v>28</v>
      </c>
      <c r="F1574" s="57" t="n">
        <v>0</v>
      </c>
      <c r="G1574" s="58" t="n">
        <v>3167.37</v>
      </c>
      <c r="H1574" s="58" t="n">
        <v>0</v>
      </c>
      <c r="I1574" s="58" t="n">
        <v>3102.78</v>
      </c>
      <c r="J1574" s="32" t="n">
        <f aca="false">IF(E1574&gt;0,F1574/E1574,0)</f>
        <v>0</v>
      </c>
      <c r="K1574" s="32" t="n">
        <f aca="false">IF(G1574&gt;0,H1574/G1574,0)</f>
        <v>-0</v>
      </c>
      <c r="L1574" s="59" t="n">
        <f aca="false">H1574/Settings!$B$16</f>
        <v>-0</v>
      </c>
      <c r="M1574" s="59" t="n">
        <f aca="false">H1574/Settings!$B$20</f>
        <v>-0</v>
      </c>
      <c r="N1574" s="60" t="n">
        <f aca="false">E1574*Settings!$B$3</f>
        <v>0.867612230234972</v>
      </c>
      <c r="O1574" s="60" t="n">
        <f aca="false">IF(E1574&gt;0,(F1574-N1574)/SQRT(E1574*Settings!$B$3*(1-Settings!$B$3)),0)</f>
        <v>-0.946232456774203</v>
      </c>
      <c r="P1574" s="60" t="n">
        <f aca="false">MAX(0,F1574-N1574)</f>
        <v>0</v>
      </c>
      <c r="Q1574" s="32" t="n">
        <f aca="false">(F1574+Settings!$B$7*Settings!$B$3)/(E1574+Settings!$B$7)</f>
        <v>0.016027319524045</v>
      </c>
      <c r="R1574" s="61" t="n">
        <f aca="false">PERCENTRANK($H$2:$H$1780,H1574,6)</f>
        <v>0</v>
      </c>
      <c r="S1574" s="61" t="n">
        <f aca="false">PERCENTRANK($Q$2:$Q$1780,Q1574,6)</f>
        <v>0.0449944</v>
      </c>
      <c r="T1574" s="61" t="n">
        <f aca="false">PERCENTRANK($F$2:$F$1780,F1574,6)</f>
        <v>0</v>
      </c>
      <c r="U1574" s="62" t="n">
        <f aca="false">IF(F1574&gt;0,(Settings!$B$8*T1574+Settings!$B$9*R1574+Settings!$B$10*S1574)/SUM(Settings!$B$8:$B$10),0)</f>
        <v>0</v>
      </c>
      <c r="V1574" s="56" t="str">
        <f aca="false">IF(U1574&gt;0,RANK(U1574,$U$2:$U$1780)+COUNTIF($U$2:U1574,U1574)-1,"")</f>
        <v/>
      </c>
      <c r="W1574" s="56" t="str">
        <f aca="false">IF(V1574="","",IF(V1574&lt;=Settings!$B$11,"1 - Fix first",IF(V1574&lt;=Settings!$B$12,"2 - Review","3 - Monitor")))</f>
        <v/>
      </c>
      <c r="X1574" s="56" t="str">
        <f aca="false">IF(AND(E1574&gt;=Settings!$B$4,F1574&gt;=Settings!$B$5,O1574&gt;=Settings!$B$6),"HIGH RATE","")</f>
        <v/>
      </c>
      <c r="Y1574" s="56" t="str">
        <f aca="false">IF(F1574&gt;0,RANK(F1574,$F$2:$F$1780)+COUNTIF($F$2:F1574,F1574)-1,"")</f>
        <v/>
      </c>
      <c r="Z1574" s="56" t="str">
        <f aca="false">IF(H1574&gt;0,RANK(H1574,$H$2:$H$1780)+COUNTIF($H$2:H1574,H1574)-1,"")</f>
        <v/>
      </c>
      <c r="AA1574" s="56" t="str">
        <f aca="false">IF(AC1574="","",RANK(AC1574,$AC$2:$AC$1780)+COUNTIF($AC$2:AC1574,AC1574)-1)</f>
        <v/>
      </c>
      <c r="AB1574" s="56" t="str">
        <f aca="false">IF(AD1574="","",RANK(AD1574,$AD$2:$AD$1780)+COUNTIF($AD$2:AD1574,AD1574)-1)</f>
        <v/>
      </c>
      <c r="AC1574" s="56" t="str">
        <f aca="false">IF(AND(F1574&gt;0,E1574&gt;=Settings!$B$4),J1574,"")</f>
        <v/>
      </c>
      <c r="AD1574" s="56" t="str">
        <f aca="false">IF(X1574="HIGH RATE",O1574,"")</f>
        <v/>
      </c>
    </row>
    <row r="1575" customFormat="false" ht="15" hidden="false" customHeight="false" outlineLevel="0" collapsed="false">
      <c r="A1575" s="56" t="s">
        <v>3027</v>
      </c>
      <c r="B1575" s="56" t="s">
        <v>3028</v>
      </c>
      <c r="C1575" s="56" t="s">
        <v>162</v>
      </c>
      <c r="D1575" s="56" t="str">
        <f aca="false">IFERROR(INDEX('Brand Map'!$B$4:$B$124,MATCH(C1575,'Brand Map'!$A$4:$A$124,0)),"Other")</f>
        <v>GBAU</v>
      </c>
      <c r="E1575" s="57" t="n">
        <v>3</v>
      </c>
      <c r="F1575" s="57" t="n">
        <v>0</v>
      </c>
      <c r="G1575" s="58" t="n">
        <v>402.58</v>
      </c>
      <c r="H1575" s="58" t="n">
        <v>0</v>
      </c>
      <c r="I1575" s="58" t="n">
        <v>353.98</v>
      </c>
      <c r="J1575" s="32" t="n">
        <f aca="false">IF(E1575&gt;0,F1575/E1575,0)</f>
        <v>0</v>
      </c>
      <c r="K1575" s="32" t="n">
        <f aca="false">IF(G1575&gt;0,H1575/G1575,0)</f>
        <v>-0</v>
      </c>
      <c r="L1575" s="59" t="n">
        <f aca="false">H1575/Settings!$B$16</f>
        <v>-0</v>
      </c>
      <c r="M1575" s="59" t="n">
        <f aca="false">H1575/Settings!$B$20</f>
        <v>-0</v>
      </c>
      <c r="N1575" s="60" t="n">
        <f aca="false">E1575*Settings!$B$3</f>
        <v>0.0929584532394613</v>
      </c>
      <c r="O1575" s="60" t="n">
        <f aca="false">IF(E1575&gt;0,(F1575-N1575)/SQRT(E1575*Settings!$B$3*(1-Settings!$B$3)),0)</f>
        <v>-0.30972727558513</v>
      </c>
      <c r="P1575" s="60" t="n">
        <f aca="false">MAX(0,F1575-N1575)</f>
        <v>0</v>
      </c>
      <c r="Q1575" s="32" t="n">
        <f aca="false">(F1575+Settings!$B$7*Settings!$B$3)/(E1575+Settings!$B$7)</f>
        <v>0.0281692282543822</v>
      </c>
      <c r="R1575" s="61" t="n">
        <f aca="false">PERCENTRANK($H$2:$H$1780,H1575,6)</f>
        <v>0</v>
      </c>
      <c r="S1575" s="61" t="n">
        <f aca="false">PERCENTRANK($Q$2:$Q$1780,Q1575,6)</f>
        <v>0.294151</v>
      </c>
      <c r="T1575" s="61" t="n">
        <f aca="false">PERCENTRANK($F$2:$F$1780,F1575,6)</f>
        <v>0</v>
      </c>
      <c r="U1575" s="62" t="n">
        <f aca="false">IF(F1575&gt;0,(Settings!$B$8*T1575+Settings!$B$9*R1575+Settings!$B$10*S1575)/SUM(Settings!$B$8:$B$10),0)</f>
        <v>0</v>
      </c>
      <c r="V1575" s="56" t="str">
        <f aca="false">IF(U1575&gt;0,RANK(U1575,$U$2:$U$1780)+COUNTIF($U$2:U1575,U1575)-1,"")</f>
        <v/>
      </c>
      <c r="W1575" s="56" t="str">
        <f aca="false">IF(V1575="","",IF(V1575&lt;=Settings!$B$11,"1 - Fix first",IF(V1575&lt;=Settings!$B$12,"2 - Review","3 - Monitor")))</f>
        <v/>
      </c>
      <c r="X1575" s="56" t="str">
        <f aca="false">IF(AND(E1575&gt;=Settings!$B$4,F1575&gt;=Settings!$B$5,O1575&gt;=Settings!$B$6),"HIGH RATE","")</f>
        <v/>
      </c>
      <c r="Y1575" s="56" t="str">
        <f aca="false">IF(F1575&gt;0,RANK(F1575,$F$2:$F$1780)+COUNTIF($F$2:F1575,F1575)-1,"")</f>
        <v/>
      </c>
      <c r="Z1575" s="56" t="str">
        <f aca="false">IF(H1575&gt;0,RANK(H1575,$H$2:$H$1780)+COUNTIF($H$2:H1575,H1575)-1,"")</f>
        <v/>
      </c>
      <c r="AA1575" s="56" t="str">
        <f aca="false">IF(AC1575="","",RANK(AC1575,$AC$2:$AC$1780)+COUNTIF($AC$2:AC1575,AC1575)-1)</f>
        <v/>
      </c>
      <c r="AB1575" s="56" t="str">
        <f aca="false">IF(AD1575="","",RANK(AD1575,$AD$2:$AD$1780)+COUNTIF($AD$2:AD1575,AD1575)-1)</f>
        <v/>
      </c>
      <c r="AC1575" s="56" t="str">
        <f aca="false">IF(AND(F1575&gt;0,E1575&gt;=Settings!$B$4),J1575,"")</f>
        <v/>
      </c>
      <c r="AD1575" s="56" t="str">
        <f aca="false">IF(X1575="HIGH RATE",O1575,"")</f>
        <v/>
      </c>
    </row>
    <row r="1576" customFormat="false" ht="15" hidden="false" customHeight="false" outlineLevel="0" collapsed="false">
      <c r="A1576" s="56" t="s">
        <v>3029</v>
      </c>
      <c r="B1576" s="56" t="s">
        <v>3030</v>
      </c>
      <c r="C1576" s="56" t="s">
        <v>162</v>
      </c>
      <c r="D1576" s="56" t="str">
        <f aca="false">IFERROR(INDEX('Brand Map'!$B$4:$B$124,MATCH(C1576,'Brand Map'!$A$4:$A$124,0)),"Other")</f>
        <v>GBAU</v>
      </c>
      <c r="E1576" s="57" t="n">
        <v>3</v>
      </c>
      <c r="F1576" s="57" t="n">
        <v>0</v>
      </c>
      <c r="G1576" s="58" t="n">
        <v>523.49</v>
      </c>
      <c r="H1576" s="58" t="n">
        <v>0</v>
      </c>
      <c r="I1576" s="58" t="n">
        <v>523.49</v>
      </c>
      <c r="J1576" s="32" t="n">
        <f aca="false">IF(E1576&gt;0,F1576/E1576,0)</f>
        <v>0</v>
      </c>
      <c r="K1576" s="32" t="n">
        <f aca="false">IF(G1576&gt;0,H1576/G1576,0)</f>
        <v>-0</v>
      </c>
      <c r="L1576" s="59" t="n">
        <f aca="false">H1576/Settings!$B$16</f>
        <v>-0</v>
      </c>
      <c r="M1576" s="59" t="n">
        <f aca="false">H1576/Settings!$B$20</f>
        <v>-0</v>
      </c>
      <c r="N1576" s="60" t="n">
        <f aca="false">E1576*Settings!$B$3</f>
        <v>0.0929584532394613</v>
      </c>
      <c r="O1576" s="60" t="n">
        <f aca="false">IF(E1576&gt;0,(F1576-N1576)/SQRT(E1576*Settings!$B$3*(1-Settings!$B$3)),0)</f>
        <v>-0.30972727558513</v>
      </c>
      <c r="P1576" s="60" t="n">
        <f aca="false">MAX(0,F1576-N1576)</f>
        <v>0</v>
      </c>
      <c r="Q1576" s="32" t="n">
        <f aca="false">(F1576+Settings!$B$7*Settings!$B$3)/(E1576+Settings!$B$7)</f>
        <v>0.0281692282543822</v>
      </c>
      <c r="R1576" s="61" t="n">
        <f aca="false">PERCENTRANK($H$2:$H$1780,H1576,6)</f>
        <v>0</v>
      </c>
      <c r="S1576" s="61" t="n">
        <f aca="false">PERCENTRANK($Q$2:$Q$1780,Q1576,6)</f>
        <v>0.294151</v>
      </c>
      <c r="T1576" s="61" t="n">
        <f aca="false">PERCENTRANK($F$2:$F$1780,F1576,6)</f>
        <v>0</v>
      </c>
      <c r="U1576" s="62" t="n">
        <f aca="false">IF(F1576&gt;0,(Settings!$B$8*T1576+Settings!$B$9*R1576+Settings!$B$10*S1576)/SUM(Settings!$B$8:$B$10),0)</f>
        <v>0</v>
      </c>
      <c r="V1576" s="56" t="str">
        <f aca="false">IF(U1576&gt;0,RANK(U1576,$U$2:$U$1780)+COUNTIF($U$2:U1576,U1576)-1,"")</f>
        <v/>
      </c>
      <c r="W1576" s="56" t="str">
        <f aca="false">IF(V1576="","",IF(V1576&lt;=Settings!$B$11,"1 - Fix first",IF(V1576&lt;=Settings!$B$12,"2 - Review","3 - Monitor")))</f>
        <v/>
      </c>
      <c r="X1576" s="56" t="str">
        <f aca="false">IF(AND(E1576&gt;=Settings!$B$4,F1576&gt;=Settings!$B$5,O1576&gt;=Settings!$B$6),"HIGH RATE","")</f>
        <v/>
      </c>
      <c r="Y1576" s="56" t="str">
        <f aca="false">IF(F1576&gt;0,RANK(F1576,$F$2:$F$1780)+COUNTIF($F$2:F1576,F1576)-1,"")</f>
        <v/>
      </c>
      <c r="Z1576" s="56" t="str">
        <f aca="false">IF(H1576&gt;0,RANK(H1576,$H$2:$H$1780)+COUNTIF($H$2:H1576,H1576)-1,"")</f>
        <v/>
      </c>
      <c r="AA1576" s="56" t="str">
        <f aca="false">IF(AC1576="","",RANK(AC1576,$AC$2:$AC$1780)+COUNTIF($AC$2:AC1576,AC1576)-1)</f>
        <v/>
      </c>
      <c r="AB1576" s="56" t="str">
        <f aca="false">IF(AD1576="","",RANK(AD1576,$AD$2:$AD$1780)+COUNTIF($AD$2:AD1576,AD1576)-1)</f>
        <v/>
      </c>
      <c r="AC1576" s="56" t="str">
        <f aca="false">IF(AND(F1576&gt;0,E1576&gt;=Settings!$B$4),J1576,"")</f>
        <v/>
      </c>
      <c r="AD1576" s="56" t="str">
        <f aca="false">IF(X1576="HIGH RATE",O1576,"")</f>
        <v/>
      </c>
    </row>
    <row r="1577" customFormat="false" ht="15" hidden="false" customHeight="false" outlineLevel="0" collapsed="false">
      <c r="A1577" s="56" t="s">
        <v>3031</v>
      </c>
      <c r="B1577" s="56" t="s">
        <v>3032</v>
      </c>
      <c r="C1577" s="56" t="s">
        <v>162</v>
      </c>
      <c r="D1577" s="56" t="str">
        <f aca="false">IFERROR(INDEX('Brand Map'!$B$4:$B$124,MATCH(C1577,'Brand Map'!$A$4:$A$124,0)),"Other")</f>
        <v>GBAU</v>
      </c>
      <c r="E1577" s="57" t="n">
        <v>4</v>
      </c>
      <c r="F1577" s="57" t="n">
        <v>0</v>
      </c>
      <c r="G1577" s="58" t="n">
        <v>711.19</v>
      </c>
      <c r="H1577" s="58" t="n">
        <v>0</v>
      </c>
      <c r="I1577" s="58" t="n">
        <v>684.95</v>
      </c>
      <c r="J1577" s="32" t="n">
        <f aca="false">IF(E1577&gt;0,F1577/E1577,0)</f>
        <v>0</v>
      </c>
      <c r="K1577" s="32" t="n">
        <f aca="false">IF(G1577&gt;0,H1577/G1577,0)</f>
        <v>-0</v>
      </c>
      <c r="L1577" s="59" t="n">
        <f aca="false">H1577/Settings!$B$16</f>
        <v>-0</v>
      </c>
      <c r="M1577" s="59" t="n">
        <f aca="false">H1577/Settings!$B$20</f>
        <v>-0</v>
      </c>
      <c r="N1577" s="60" t="n">
        <f aca="false">E1577*Settings!$B$3</f>
        <v>0.123944604319282</v>
      </c>
      <c r="O1577" s="60" t="n">
        <f aca="false">IF(E1577&gt;0,(F1577-N1577)/SQRT(E1577*Settings!$B$3*(1-Settings!$B$3)),0)</f>
        <v>-0.357642251868888</v>
      </c>
      <c r="P1577" s="60" t="n">
        <f aca="false">MAX(0,F1577-N1577)</f>
        <v>0</v>
      </c>
      <c r="Q1577" s="32" t="n">
        <f aca="false">(F1577+Settings!$B$7*Settings!$B$3)/(E1577+Settings!$B$7)</f>
        <v>0.027340721541018</v>
      </c>
      <c r="R1577" s="61" t="n">
        <f aca="false">PERCENTRANK($H$2:$H$1780,H1577,6)</f>
        <v>0</v>
      </c>
      <c r="S1577" s="61" t="n">
        <f aca="false">PERCENTRANK($Q$2:$Q$1780,Q1577,6)</f>
        <v>0.253656</v>
      </c>
      <c r="T1577" s="61" t="n">
        <f aca="false">PERCENTRANK($F$2:$F$1780,F1577,6)</f>
        <v>0</v>
      </c>
      <c r="U1577" s="62" t="n">
        <f aca="false">IF(F1577&gt;0,(Settings!$B$8*T1577+Settings!$B$9*R1577+Settings!$B$10*S1577)/SUM(Settings!$B$8:$B$10),0)</f>
        <v>0</v>
      </c>
      <c r="V1577" s="56" t="str">
        <f aca="false">IF(U1577&gt;0,RANK(U1577,$U$2:$U$1780)+COUNTIF($U$2:U1577,U1577)-1,"")</f>
        <v/>
      </c>
      <c r="W1577" s="56" t="str">
        <f aca="false">IF(V1577="","",IF(V1577&lt;=Settings!$B$11,"1 - Fix first",IF(V1577&lt;=Settings!$B$12,"2 - Review","3 - Monitor")))</f>
        <v/>
      </c>
      <c r="X1577" s="56" t="str">
        <f aca="false">IF(AND(E1577&gt;=Settings!$B$4,F1577&gt;=Settings!$B$5,O1577&gt;=Settings!$B$6),"HIGH RATE","")</f>
        <v/>
      </c>
      <c r="Y1577" s="56" t="str">
        <f aca="false">IF(F1577&gt;0,RANK(F1577,$F$2:$F$1780)+COUNTIF($F$2:F1577,F1577)-1,"")</f>
        <v/>
      </c>
      <c r="Z1577" s="56" t="str">
        <f aca="false">IF(H1577&gt;0,RANK(H1577,$H$2:$H$1780)+COUNTIF($H$2:H1577,H1577)-1,"")</f>
        <v/>
      </c>
      <c r="AA1577" s="56" t="str">
        <f aca="false">IF(AC1577="","",RANK(AC1577,$AC$2:$AC$1780)+COUNTIF($AC$2:AC1577,AC1577)-1)</f>
        <v/>
      </c>
      <c r="AB1577" s="56" t="str">
        <f aca="false">IF(AD1577="","",RANK(AD1577,$AD$2:$AD$1780)+COUNTIF($AD$2:AD1577,AD1577)-1)</f>
        <v/>
      </c>
      <c r="AC1577" s="56" t="str">
        <f aca="false">IF(AND(F1577&gt;0,E1577&gt;=Settings!$B$4),J1577,"")</f>
        <v/>
      </c>
      <c r="AD1577" s="56" t="str">
        <f aca="false">IF(X1577="HIGH RATE",O1577,"")</f>
        <v/>
      </c>
    </row>
    <row r="1578" customFormat="false" ht="15" hidden="false" customHeight="false" outlineLevel="0" collapsed="false">
      <c r="A1578" s="56" t="s">
        <v>3033</v>
      </c>
      <c r="B1578" s="56" t="s">
        <v>3034</v>
      </c>
      <c r="C1578" s="56" t="s">
        <v>162</v>
      </c>
      <c r="D1578" s="56" t="str">
        <f aca="false">IFERROR(INDEX('Brand Map'!$B$4:$B$124,MATCH(C1578,'Brand Map'!$A$4:$A$124,0)),"Other")</f>
        <v>GBAU</v>
      </c>
      <c r="E1578" s="57" t="n">
        <v>2</v>
      </c>
      <c r="F1578" s="57" t="n">
        <v>0</v>
      </c>
      <c r="G1578" s="58" t="n">
        <v>301.9</v>
      </c>
      <c r="H1578" s="58" t="n">
        <v>0</v>
      </c>
      <c r="I1578" s="58" t="n">
        <v>301.9</v>
      </c>
      <c r="J1578" s="32" t="n">
        <f aca="false">IF(E1578&gt;0,F1578/E1578,0)</f>
        <v>0</v>
      </c>
      <c r="K1578" s="32" t="n">
        <f aca="false">IF(G1578&gt;0,H1578/G1578,0)</f>
        <v>-0</v>
      </c>
      <c r="L1578" s="59" t="n">
        <f aca="false">H1578/Settings!$B$16</f>
        <v>-0</v>
      </c>
      <c r="M1578" s="59" t="n">
        <f aca="false">H1578/Settings!$B$20</f>
        <v>-0</v>
      </c>
      <c r="N1578" s="60" t="n">
        <f aca="false">E1578*Settings!$B$3</f>
        <v>0.0619723021596408</v>
      </c>
      <c r="O1578" s="60" t="n">
        <f aca="false">IF(E1578&gt;0,(F1578-N1578)/SQRT(E1578*Settings!$B$3*(1-Settings!$B$3)),0)</f>
        <v>-0.252891261535318</v>
      </c>
      <c r="P1578" s="60" t="n">
        <f aca="false">MAX(0,F1578-N1578)</f>
        <v>0</v>
      </c>
      <c r="Q1578" s="32" t="n">
        <f aca="false">(F1578+Settings!$B$7*Settings!$B$3)/(E1578+Settings!$B$7)</f>
        <v>0.0290495166373316</v>
      </c>
      <c r="R1578" s="61" t="n">
        <f aca="false">PERCENTRANK($H$2:$H$1780,H1578,6)</f>
        <v>0</v>
      </c>
      <c r="S1578" s="61" t="n">
        <f aca="false">PERCENTRANK($Q$2:$Q$1780,Q1578,6)</f>
        <v>0.365579</v>
      </c>
      <c r="T1578" s="61" t="n">
        <f aca="false">PERCENTRANK($F$2:$F$1780,F1578,6)</f>
        <v>0</v>
      </c>
      <c r="U1578" s="62" t="n">
        <f aca="false">IF(F1578&gt;0,(Settings!$B$8*T1578+Settings!$B$9*R1578+Settings!$B$10*S1578)/SUM(Settings!$B$8:$B$10),0)</f>
        <v>0</v>
      </c>
      <c r="V1578" s="56" t="str">
        <f aca="false">IF(U1578&gt;0,RANK(U1578,$U$2:$U$1780)+COUNTIF($U$2:U1578,U1578)-1,"")</f>
        <v/>
      </c>
      <c r="W1578" s="56" t="str">
        <f aca="false">IF(V1578="","",IF(V1578&lt;=Settings!$B$11,"1 - Fix first",IF(V1578&lt;=Settings!$B$12,"2 - Review","3 - Monitor")))</f>
        <v/>
      </c>
      <c r="X1578" s="56" t="str">
        <f aca="false">IF(AND(E1578&gt;=Settings!$B$4,F1578&gt;=Settings!$B$5,O1578&gt;=Settings!$B$6),"HIGH RATE","")</f>
        <v/>
      </c>
      <c r="Y1578" s="56" t="str">
        <f aca="false">IF(F1578&gt;0,RANK(F1578,$F$2:$F$1780)+COUNTIF($F$2:F1578,F1578)-1,"")</f>
        <v/>
      </c>
      <c r="Z1578" s="56" t="str">
        <f aca="false">IF(H1578&gt;0,RANK(H1578,$H$2:$H$1780)+COUNTIF($H$2:H1578,H1578)-1,"")</f>
        <v/>
      </c>
      <c r="AA1578" s="56" t="str">
        <f aca="false">IF(AC1578="","",RANK(AC1578,$AC$2:$AC$1780)+COUNTIF($AC$2:AC1578,AC1578)-1)</f>
        <v/>
      </c>
      <c r="AB1578" s="56" t="str">
        <f aca="false">IF(AD1578="","",RANK(AD1578,$AD$2:$AD$1780)+COUNTIF($AD$2:AD1578,AD1578)-1)</f>
        <v/>
      </c>
      <c r="AC1578" s="56" t="str">
        <f aca="false">IF(AND(F1578&gt;0,E1578&gt;=Settings!$B$4),J1578,"")</f>
        <v/>
      </c>
      <c r="AD1578" s="56" t="str">
        <f aca="false">IF(X1578="HIGH RATE",O1578,"")</f>
        <v/>
      </c>
    </row>
    <row r="1579" customFormat="false" ht="15" hidden="false" customHeight="false" outlineLevel="0" collapsed="false">
      <c r="A1579" s="56" t="s">
        <v>3035</v>
      </c>
      <c r="B1579" s="56" t="s">
        <v>3036</v>
      </c>
      <c r="C1579" s="56" t="s">
        <v>162</v>
      </c>
      <c r="D1579" s="56" t="str">
        <f aca="false">IFERROR(INDEX('Brand Map'!$B$4:$B$124,MATCH(C1579,'Brand Map'!$A$4:$A$124,0)),"Other")</f>
        <v>GBAU</v>
      </c>
      <c r="E1579" s="57" t="n">
        <v>2</v>
      </c>
      <c r="F1579" s="57" t="n">
        <v>0</v>
      </c>
      <c r="G1579" s="58" t="n">
        <v>489.9</v>
      </c>
      <c r="H1579" s="58" t="n">
        <v>0</v>
      </c>
      <c r="I1579" s="58" t="n">
        <v>456.91</v>
      </c>
      <c r="J1579" s="32" t="n">
        <f aca="false">IF(E1579&gt;0,F1579/E1579,0)</f>
        <v>0</v>
      </c>
      <c r="K1579" s="32" t="n">
        <f aca="false">IF(G1579&gt;0,H1579/G1579,0)</f>
        <v>-0</v>
      </c>
      <c r="L1579" s="59" t="n">
        <f aca="false">H1579/Settings!$B$16</f>
        <v>-0</v>
      </c>
      <c r="M1579" s="59" t="n">
        <f aca="false">H1579/Settings!$B$20</f>
        <v>-0</v>
      </c>
      <c r="N1579" s="60" t="n">
        <f aca="false">E1579*Settings!$B$3</f>
        <v>0.0619723021596408</v>
      </c>
      <c r="O1579" s="60" t="n">
        <f aca="false">IF(E1579&gt;0,(F1579-N1579)/SQRT(E1579*Settings!$B$3*(1-Settings!$B$3)),0)</f>
        <v>-0.252891261535318</v>
      </c>
      <c r="P1579" s="60" t="n">
        <f aca="false">MAX(0,F1579-N1579)</f>
        <v>0</v>
      </c>
      <c r="Q1579" s="32" t="n">
        <f aca="false">(F1579+Settings!$B$7*Settings!$B$3)/(E1579+Settings!$B$7)</f>
        <v>0.0290495166373316</v>
      </c>
      <c r="R1579" s="61" t="n">
        <f aca="false">PERCENTRANK($H$2:$H$1780,H1579,6)</f>
        <v>0</v>
      </c>
      <c r="S1579" s="61" t="n">
        <f aca="false">PERCENTRANK($Q$2:$Q$1780,Q1579,6)</f>
        <v>0.365579</v>
      </c>
      <c r="T1579" s="61" t="n">
        <f aca="false">PERCENTRANK($F$2:$F$1780,F1579,6)</f>
        <v>0</v>
      </c>
      <c r="U1579" s="62" t="n">
        <f aca="false">IF(F1579&gt;0,(Settings!$B$8*T1579+Settings!$B$9*R1579+Settings!$B$10*S1579)/SUM(Settings!$B$8:$B$10),0)</f>
        <v>0</v>
      </c>
      <c r="V1579" s="56" t="str">
        <f aca="false">IF(U1579&gt;0,RANK(U1579,$U$2:$U$1780)+COUNTIF($U$2:U1579,U1579)-1,"")</f>
        <v/>
      </c>
      <c r="W1579" s="56" t="str">
        <f aca="false">IF(V1579="","",IF(V1579&lt;=Settings!$B$11,"1 - Fix first",IF(V1579&lt;=Settings!$B$12,"2 - Review","3 - Monitor")))</f>
        <v/>
      </c>
      <c r="X1579" s="56" t="str">
        <f aca="false">IF(AND(E1579&gt;=Settings!$B$4,F1579&gt;=Settings!$B$5,O1579&gt;=Settings!$B$6),"HIGH RATE","")</f>
        <v/>
      </c>
      <c r="Y1579" s="56" t="str">
        <f aca="false">IF(F1579&gt;0,RANK(F1579,$F$2:$F$1780)+COUNTIF($F$2:F1579,F1579)-1,"")</f>
        <v/>
      </c>
      <c r="Z1579" s="56" t="str">
        <f aca="false">IF(H1579&gt;0,RANK(H1579,$H$2:$H$1780)+COUNTIF($H$2:H1579,H1579)-1,"")</f>
        <v/>
      </c>
      <c r="AA1579" s="56" t="str">
        <f aca="false">IF(AC1579="","",RANK(AC1579,$AC$2:$AC$1780)+COUNTIF($AC$2:AC1579,AC1579)-1)</f>
        <v/>
      </c>
      <c r="AB1579" s="56" t="str">
        <f aca="false">IF(AD1579="","",RANK(AD1579,$AD$2:$AD$1780)+COUNTIF($AD$2:AD1579,AD1579)-1)</f>
        <v/>
      </c>
      <c r="AC1579" s="56" t="str">
        <f aca="false">IF(AND(F1579&gt;0,E1579&gt;=Settings!$B$4),J1579,"")</f>
        <v/>
      </c>
      <c r="AD1579" s="56" t="str">
        <f aca="false">IF(X1579="HIGH RATE",O1579,"")</f>
        <v/>
      </c>
    </row>
    <row r="1580" customFormat="false" ht="15" hidden="false" customHeight="false" outlineLevel="0" collapsed="false">
      <c r="A1580" s="56" t="s">
        <v>3037</v>
      </c>
      <c r="B1580" s="56" t="s">
        <v>3038</v>
      </c>
      <c r="C1580" s="56" t="s">
        <v>162</v>
      </c>
      <c r="D1580" s="56" t="str">
        <f aca="false">IFERROR(INDEX('Brand Map'!$B$4:$B$124,MATCH(C1580,'Brand Map'!$A$4:$A$124,0)),"Other")</f>
        <v>GBAU</v>
      </c>
      <c r="E1580" s="57" t="n">
        <v>2</v>
      </c>
      <c r="F1580" s="57" t="n">
        <v>0</v>
      </c>
      <c r="G1580" s="58" t="n">
        <v>469.9</v>
      </c>
      <c r="H1580" s="58" t="n">
        <v>0</v>
      </c>
      <c r="I1580" s="58" t="n">
        <v>469.9</v>
      </c>
      <c r="J1580" s="32" t="n">
        <f aca="false">IF(E1580&gt;0,F1580/E1580,0)</f>
        <v>0</v>
      </c>
      <c r="K1580" s="32" t="n">
        <f aca="false">IF(G1580&gt;0,H1580/G1580,0)</f>
        <v>-0</v>
      </c>
      <c r="L1580" s="59" t="n">
        <f aca="false">H1580/Settings!$B$16</f>
        <v>-0</v>
      </c>
      <c r="M1580" s="59" t="n">
        <f aca="false">H1580/Settings!$B$20</f>
        <v>-0</v>
      </c>
      <c r="N1580" s="60" t="n">
        <f aca="false">E1580*Settings!$B$3</f>
        <v>0.0619723021596408</v>
      </c>
      <c r="O1580" s="60" t="n">
        <f aca="false">IF(E1580&gt;0,(F1580-N1580)/SQRT(E1580*Settings!$B$3*(1-Settings!$B$3)),0)</f>
        <v>-0.252891261535318</v>
      </c>
      <c r="P1580" s="60" t="n">
        <f aca="false">MAX(0,F1580-N1580)</f>
        <v>0</v>
      </c>
      <c r="Q1580" s="32" t="n">
        <f aca="false">(F1580+Settings!$B$7*Settings!$B$3)/(E1580+Settings!$B$7)</f>
        <v>0.0290495166373316</v>
      </c>
      <c r="R1580" s="61" t="n">
        <f aca="false">PERCENTRANK($H$2:$H$1780,H1580,6)</f>
        <v>0</v>
      </c>
      <c r="S1580" s="61" t="n">
        <f aca="false">PERCENTRANK($Q$2:$Q$1780,Q1580,6)</f>
        <v>0.365579</v>
      </c>
      <c r="T1580" s="61" t="n">
        <f aca="false">PERCENTRANK($F$2:$F$1780,F1580,6)</f>
        <v>0</v>
      </c>
      <c r="U1580" s="62" t="n">
        <f aca="false">IF(F1580&gt;0,(Settings!$B$8*T1580+Settings!$B$9*R1580+Settings!$B$10*S1580)/SUM(Settings!$B$8:$B$10),0)</f>
        <v>0</v>
      </c>
      <c r="V1580" s="56" t="str">
        <f aca="false">IF(U1580&gt;0,RANK(U1580,$U$2:$U$1780)+COUNTIF($U$2:U1580,U1580)-1,"")</f>
        <v/>
      </c>
      <c r="W1580" s="56" t="str">
        <f aca="false">IF(V1580="","",IF(V1580&lt;=Settings!$B$11,"1 - Fix first",IF(V1580&lt;=Settings!$B$12,"2 - Review","3 - Monitor")))</f>
        <v/>
      </c>
      <c r="X1580" s="56" t="str">
        <f aca="false">IF(AND(E1580&gt;=Settings!$B$4,F1580&gt;=Settings!$B$5,O1580&gt;=Settings!$B$6),"HIGH RATE","")</f>
        <v/>
      </c>
      <c r="Y1580" s="56" t="str">
        <f aca="false">IF(F1580&gt;0,RANK(F1580,$F$2:$F$1780)+COUNTIF($F$2:F1580,F1580)-1,"")</f>
        <v/>
      </c>
      <c r="Z1580" s="56" t="str">
        <f aca="false">IF(H1580&gt;0,RANK(H1580,$H$2:$H$1780)+COUNTIF($H$2:H1580,H1580)-1,"")</f>
        <v/>
      </c>
      <c r="AA1580" s="56" t="str">
        <f aca="false">IF(AC1580="","",RANK(AC1580,$AC$2:$AC$1780)+COUNTIF($AC$2:AC1580,AC1580)-1)</f>
        <v/>
      </c>
      <c r="AB1580" s="56" t="str">
        <f aca="false">IF(AD1580="","",RANK(AD1580,$AD$2:$AD$1780)+COUNTIF($AD$2:AD1580,AD1580)-1)</f>
        <v/>
      </c>
      <c r="AC1580" s="56" t="str">
        <f aca="false">IF(AND(F1580&gt;0,E1580&gt;=Settings!$B$4),J1580,"")</f>
        <v/>
      </c>
      <c r="AD1580" s="56" t="str">
        <f aca="false">IF(X1580="HIGH RATE",O1580,"")</f>
        <v/>
      </c>
    </row>
    <row r="1581" customFormat="false" ht="15" hidden="false" customHeight="false" outlineLevel="0" collapsed="false">
      <c r="A1581" s="56" t="s">
        <v>3039</v>
      </c>
      <c r="B1581" s="56" t="s">
        <v>3040</v>
      </c>
      <c r="C1581" s="56" t="s">
        <v>162</v>
      </c>
      <c r="D1581" s="56" t="str">
        <f aca="false">IFERROR(INDEX('Brand Map'!$B$4:$B$124,MATCH(C1581,'Brand Map'!$A$4:$A$124,0)),"Other")</f>
        <v>GBAU</v>
      </c>
      <c r="E1581" s="57" t="n">
        <v>2</v>
      </c>
      <c r="F1581" s="57" t="n">
        <v>0</v>
      </c>
      <c r="G1581" s="58" t="n">
        <v>549.72</v>
      </c>
      <c r="H1581" s="58" t="n">
        <v>0</v>
      </c>
      <c r="I1581" s="58" t="n">
        <v>549.72</v>
      </c>
      <c r="J1581" s="32" t="n">
        <f aca="false">IF(E1581&gt;0,F1581/E1581,0)</f>
        <v>0</v>
      </c>
      <c r="K1581" s="32" t="n">
        <f aca="false">IF(G1581&gt;0,H1581/G1581,0)</f>
        <v>-0</v>
      </c>
      <c r="L1581" s="59" t="n">
        <f aca="false">H1581/Settings!$B$16</f>
        <v>-0</v>
      </c>
      <c r="M1581" s="59" t="n">
        <f aca="false">H1581/Settings!$B$20</f>
        <v>-0</v>
      </c>
      <c r="N1581" s="60" t="n">
        <f aca="false">E1581*Settings!$B$3</f>
        <v>0.0619723021596408</v>
      </c>
      <c r="O1581" s="60" t="n">
        <f aca="false">IF(E1581&gt;0,(F1581-N1581)/SQRT(E1581*Settings!$B$3*(1-Settings!$B$3)),0)</f>
        <v>-0.252891261535318</v>
      </c>
      <c r="P1581" s="60" t="n">
        <f aca="false">MAX(0,F1581-N1581)</f>
        <v>0</v>
      </c>
      <c r="Q1581" s="32" t="n">
        <f aca="false">(F1581+Settings!$B$7*Settings!$B$3)/(E1581+Settings!$B$7)</f>
        <v>0.0290495166373316</v>
      </c>
      <c r="R1581" s="61" t="n">
        <f aca="false">PERCENTRANK($H$2:$H$1780,H1581,6)</f>
        <v>0</v>
      </c>
      <c r="S1581" s="61" t="n">
        <f aca="false">PERCENTRANK($Q$2:$Q$1780,Q1581,6)</f>
        <v>0.365579</v>
      </c>
      <c r="T1581" s="61" t="n">
        <f aca="false">PERCENTRANK($F$2:$F$1780,F1581,6)</f>
        <v>0</v>
      </c>
      <c r="U1581" s="62" t="n">
        <f aca="false">IF(F1581&gt;0,(Settings!$B$8*T1581+Settings!$B$9*R1581+Settings!$B$10*S1581)/SUM(Settings!$B$8:$B$10),0)</f>
        <v>0</v>
      </c>
      <c r="V1581" s="56" t="str">
        <f aca="false">IF(U1581&gt;0,RANK(U1581,$U$2:$U$1780)+COUNTIF($U$2:U1581,U1581)-1,"")</f>
        <v/>
      </c>
      <c r="W1581" s="56" t="str">
        <f aca="false">IF(V1581="","",IF(V1581&lt;=Settings!$B$11,"1 - Fix first",IF(V1581&lt;=Settings!$B$12,"2 - Review","3 - Monitor")))</f>
        <v/>
      </c>
      <c r="X1581" s="56" t="str">
        <f aca="false">IF(AND(E1581&gt;=Settings!$B$4,F1581&gt;=Settings!$B$5,O1581&gt;=Settings!$B$6),"HIGH RATE","")</f>
        <v/>
      </c>
      <c r="Y1581" s="56" t="str">
        <f aca="false">IF(F1581&gt;0,RANK(F1581,$F$2:$F$1780)+COUNTIF($F$2:F1581,F1581)-1,"")</f>
        <v/>
      </c>
      <c r="Z1581" s="56" t="str">
        <f aca="false">IF(H1581&gt;0,RANK(H1581,$H$2:$H$1780)+COUNTIF($H$2:H1581,H1581)-1,"")</f>
        <v/>
      </c>
      <c r="AA1581" s="56" t="str">
        <f aca="false">IF(AC1581="","",RANK(AC1581,$AC$2:$AC$1780)+COUNTIF($AC$2:AC1581,AC1581)-1)</f>
        <v/>
      </c>
      <c r="AB1581" s="56" t="str">
        <f aca="false">IF(AD1581="","",RANK(AD1581,$AD$2:$AD$1780)+COUNTIF($AD$2:AD1581,AD1581)-1)</f>
        <v/>
      </c>
      <c r="AC1581" s="56" t="str">
        <f aca="false">IF(AND(F1581&gt;0,E1581&gt;=Settings!$B$4),J1581,"")</f>
        <v/>
      </c>
      <c r="AD1581" s="56" t="str">
        <f aca="false">IF(X1581="HIGH RATE",O1581,"")</f>
        <v/>
      </c>
    </row>
    <row r="1582" customFormat="false" ht="15" hidden="false" customHeight="false" outlineLevel="0" collapsed="false">
      <c r="A1582" s="56" t="s">
        <v>575</v>
      </c>
      <c r="B1582" s="56" t="s">
        <v>576</v>
      </c>
      <c r="C1582" s="56" t="s">
        <v>162</v>
      </c>
      <c r="D1582" s="56" t="str">
        <f aca="false">IFERROR(INDEX('Brand Map'!$B$4:$B$124,MATCH(C1582,'Brand Map'!$A$4:$A$124,0)),"Other")</f>
        <v>GBAU</v>
      </c>
      <c r="E1582" s="57" t="n">
        <v>135</v>
      </c>
      <c r="F1582" s="57" t="n">
        <v>0</v>
      </c>
      <c r="G1582" s="58" t="n">
        <v>9429.42</v>
      </c>
      <c r="H1582" s="58" t="n">
        <v>0</v>
      </c>
      <c r="I1582" s="58" t="n">
        <v>9228.92</v>
      </c>
      <c r="J1582" s="32" t="n">
        <f aca="false">IF(E1582&gt;0,F1582/E1582,0)</f>
        <v>0</v>
      </c>
      <c r="K1582" s="32" t="n">
        <f aca="false">IF(G1582&gt;0,H1582/G1582,0)</f>
        <v>-0</v>
      </c>
      <c r="L1582" s="59" t="n">
        <f aca="false">H1582/Settings!$B$16</f>
        <v>-0</v>
      </c>
      <c r="M1582" s="59" t="n">
        <f aca="false">H1582/Settings!$B$20</f>
        <v>-0</v>
      </c>
      <c r="N1582" s="60" t="n">
        <f aca="false">E1582*Settings!$B$3</f>
        <v>4.18313039577576</v>
      </c>
      <c r="O1582" s="60" t="n">
        <f aca="false">IF(E1582&gt;0,(F1582-N1582)/SQRT(E1582*Settings!$B$3*(1-Settings!$B$3)),0)</f>
        <v>-2.07771372808248</v>
      </c>
      <c r="P1582" s="60" t="n">
        <f aca="false">MAX(0,F1582-N1582)</f>
        <v>0</v>
      </c>
      <c r="Q1582" s="32" t="n">
        <f aca="false">(F1582+Settings!$B$7*Settings!$B$3)/(E1582+Settings!$B$7)</f>
        <v>0.00563384565087644</v>
      </c>
      <c r="R1582" s="61" t="n">
        <f aca="false">PERCENTRANK($H$2:$H$1780,H1582,6)</f>
        <v>0</v>
      </c>
      <c r="S1582" s="61" t="n">
        <f aca="false">PERCENTRANK($Q$2:$Q$1780,Q1582,6)</f>
        <v>0.00449944</v>
      </c>
      <c r="T1582" s="61" t="n">
        <f aca="false">PERCENTRANK($F$2:$F$1780,F1582,6)</f>
        <v>0</v>
      </c>
      <c r="U1582" s="62" t="n">
        <f aca="false">IF(F1582&gt;0,(Settings!$B$8*T1582+Settings!$B$9*R1582+Settings!$B$10*S1582)/SUM(Settings!$B$8:$B$10),0)</f>
        <v>0</v>
      </c>
      <c r="V1582" s="56" t="str">
        <f aca="false">IF(U1582&gt;0,RANK(U1582,$U$2:$U$1780)+COUNTIF($U$2:U1582,U1582)-1,"")</f>
        <v/>
      </c>
      <c r="W1582" s="56" t="str">
        <f aca="false">IF(V1582="","",IF(V1582&lt;=Settings!$B$11,"1 - Fix first",IF(V1582&lt;=Settings!$B$12,"2 - Review","3 - Monitor")))</f>
        <v/>
      </c>
      <c r="X1582" s="56" t="str">
        <f aca="false">IF(AND(E1582&gt;=Settings!$B$4,F1582&gt;=Settings!$B$5,O1582&gt;=Settings!$B$6),"HIGH RATE","")</f>
        <v/>
      </c>
      <c r="Y1582" s="56" t="str">
        <f aca="false">IF(F1582&gt;0,RANK(F1582,$F$2:$F$1780)+COUNTIF($F$2:F1582,F1582)-1,"")</f>
        <v/>
      </c>
      <c r="Z1582" s="56" t="str">
        <f aca="false">IF(H1582&gt;0,RANK(H1582,$H$2:$H$1780)+COUNTIF($H$2:H1582,H1582)-1,"")</f>
        <v/>
      </c>
      <c r="AA1582" s="56" t="str">
        <f aca="false">IF(AC1582="","",RANK(AC1582,$AC$2:$AC$1780)+COUNTIF($AC$2:AC1582,AC1582)-1)</f>
        <v/>
      </c>
      <c r="AB1582" s="56" t="str">
        <f aca="false">IF(AD1582="","",RANK(AD1582,$AD$2:$AD$1780)+COUNTIF($AD$2:AD1582,AD1582)-1)</f>
        <v/>
      </c>
      <c r="AC1582" s="56" t="str">
        <f aca="false">IF(AND(F1582&gt;0,E1582&gt;=Settings!$B$4),J1582,"")</f>
        <v/>
      </c>
      <c r="AD1582" s="56" t="str">
        <f aca="false">IF(X1582="HIGH RATE",O1582,"")</f>
        <v/>
      </c>
    </row>
    <row r="1583" customFormat="false" ht="15" hidden="false" customHeight="false" outlineLevel="0" collapsed="false">
      <c r="A1583" s="56" t="s">
        <v>3041</v>
      </c>
      <c r="B1583" s="56" t="s">
        <v>3042</v>
      </c>
      <c r="C1583" s="56" t="s">
        <v>162</v>
      </c>
      <c r="D1583" s="56" t="str">
        <f aca="false">IFERROR(INDEX('Brand Map'!$B$4:$B$124,MATCH(C1583,'Brand Map'!$A$4:$A$124,0)),"Other")</f>
        <v>GBAU</v>
      </c>
      <c r="E1583" s="57" t="n">
        <v>1</v>
      </c>
      <c r="F1583" s="57" t="n">
        <v>0</v>
      </c>
      <c r="G1583" s="58" t="n">
        <v>96.95</v>
      </c>
      <c r="H1583" s="58" t="n">
        <v>0</v>
      </c>
      <c r="I1583" s="58" t="n">
        <v>96.95</v>
      </c>
      <c r="J1583" s="32" t="n">
        <f aca="false">IF(E1583&gt;0,F1583/E1583,0)</f>
        <v>0</v>
      </c>
      <c r="K1583" s="32" t="n">
        <f aca="false">IF(G1583&gt;0,H1583/G1583,0)</f>
        <v>-0</v>
      </c>
      <c r="L1583" s="59" t="n">
        <f aca="false">H1583/Settings!$B$16</f>
        <v>-0</v>
      </c>
      <c r="M1583" s="59" t="n">
        <f aca="false">H1583/Settings!$B$20</f>
        <v>-0</v>
      </c>
      <c r="N1583" s="60" t="n">
        <f aca="false">E1583*Settings!$B$3</f>
        <v>0.0309861510798204</v>
      </c>
      <c r="O1583" s="60" t="n">
        <f aca="false">IF(E1583&gt;0,(F1583-N1583)/SQRT(E1583*Settings!$B$3*(1-Settings!$B$3)),0)</f>
        <v>-0.178821125934444</v>
      </c>
      <c r="P1583" s="60" t="n">
        <f aca="false">MAX(0,F1583-N1583)</f>
        <v>0</v>
      </c>
      <c r="Q1583" s="32" t="n">
        <f aca="false">(F1583+Settings!$B$7*Settings!$B$3)/(E1583+Settings!$B$7)</f>
        <v>0.0299865978191811</v>
      </c>
      <c r="R1583" s="61" t="n">
        <f aca="false">PERCENTRANK($H$2:$H$1780,H1583,6)</f>
        <v>0</v>
      </c>
      <c r="S1583" s="61" t="n">
        <f aca="false">PERCENTRANK($Q$2:$Q$1780,Q1583,6)</f>
        <v>0.486502</v>
      </c>
      <c r="T1583" s="61" t="n">
        <f aca="false">PERCENTRANK($F$2:$F$1780,F1583,6)</f>
        <v>0</v>
      </c>
      <c r="U1583" s="62" t="n">
        <f aca="false">IF(F1583&gt;0,(Settings!$B$8*T1583+Settings!$B$9*R1583+Settings!$B$10*S1583)/SUM(Settings!$B$8:$B$10),0)</f>
        <v>0</v>
      </c>
      <c r="V1583" s="56" t="str">
        <f aca="false">IF(U1583&gt;0,RANK(U1583,$U$2:$U$1780)+COUNTIF($U$2:U1583,U1583)-1,"")</f>
        <v/>
      </c>
      <c r="W1583" s="56" t="str">
        <f aca="false">IF(V1583="","",IF(V1583&lt;=Settings!$B$11,"1 - Fix first",IF(V1583&lt;=Settings!$B$12,"2 - Review","3 - Monitor")))</f>
        <v/>
      </c>
      <c r="X1583" s="56" t="str">
        <f aca="false">IF(AND(E1583&gt;=Settings!$B$4,F1583&gt;=Settings!$B$5,O1583&gt;=Settings!$B$6),"HIGH RATE","")</f>
        <v/>
      </c>
      <c r="Y1583" s="56" t="str">
        <f aca="false">IF(F1583&gt;0,RANK(F1583,$F$2:$F$1780)+COUNTIF($F$2:F1583,F1583)-1,"")</f>
        <v/>
      </c>
      <c r="Z1583" s="56" t="str">
        <f aca="false">IF(H1583&gt;0,RANK(H1583,$H$2:$H$1780)+COUNTIF($H$2:H1583,H1583)-1,"")</f>
        <v/>
      </c>
      <c r="AA1583" s="56" t="str">
        <f aca="false">IF(AC1583="","",RANK(AC1583,$AC$2:$AC$1780)+COUNTIF($AC$2:AC1583,AC1583)-1)</f>
        <v/>
      </c>
      <c r="AB1583" s="56" t="str">
        <f aca="false">IF(AD1583="","",RANK(AD1583,$AD$2:$AD$1780)+COUNTIF($AD$2:AD1583,AD1583)-1)</f>
        <v/>
      </c>
      <c r="AC1583" s="56" t="str">
        <f aca="false">IF(AND(F1583&gt;0,E1583&gt;=Settings!$B$4),J1583,"")</f>
        <v/>
      </c>
      <c r="AD1583" s="56" t="str">
        <f aca="false">IF(X1583="HIGH RATE",O1583,"")</f>
        <v/>
      </c>
    </row>
    <row r="1584" customFormat="false" ht="15" hidden="false" customHeight="false" outlineLevel="0" collapsed="false">
      <c r="A1584" s="56" t="s">
        <v>3043</v>
      </c>
      <c r="B1584" s="56" t="s">
        <v>3044</v>
      </c>
      <c r="C1584" s="56" t="s">
        <v>162</v>
      </c>
      <c r="D1584" s="56" t="str">
        <f aca="false">IFERROR(INDEX('Brand Map'!$B$4:$B$124,MATCH(C1584,'Brand Map'!$A$4:$A$124,0)),"Other")</f>
        <v>GBAU</v>
      </c>
      <c r="E1584" s="57" t="n">
        <v>3</v>
      </c>
      <c r="F1584" s="57" t="n">
        <v>0</v>
      </c>
      <c r="G1584" s="58" t="n">
        <v>290.76</v>
      </c>
      <c r="H1584" s="58" t="n">
        <v>0</v>
      </c>
      <c r="I1584" s="58" t="n">
        <v>290.76</v>
      </c>
      <c r="J1584" s="32" t="n">
        <f aca="false">IF(E1584&gt;0,F1584/E1584,0)</f>
        <v>0</v>
      </c>
      <c r="K1584" s="32" t="n">
        <f aca="false">IF(G1584&gt;0,H1584/G1584,0)</f>
        <v>-0</v>
      </c>
      <c r="L1584" s="59" t="n">
        <f aca="false">H1584/Settings!$B$16</f>
        <v>-0</v>
      </c>
      <c r="M1584" s="59" t="n">
        <f aca="false">H1584/Settings!$B$20</f>
        <v>-0</v>
      </c>
      <c r="N1584" s="60" t="n">
        <f aca="false">E1584*Settings!$B$3</f>
        <v>0.0929584532394613</v>
      </c>
      <c r="O1584" s="60" t="n">
        <f aca="false">IF(E1584&gt;0,(F1584-N1584)/SQRT(E1584*Settings!$B$3*(1-Settings!$B$3)),0)</f>
        <v>-0.30972727558513</v>
      </c>
      <c r="P1584" s="60" t="n">
        <f aca="false">MAX(0,F1584-N1584)</f>
        <v>0</v>
      </c>
      <c r="Q1584" s="32" t="n">
        <f aca="false">(F1584+Settings!$B$7*Settings!$B$3)/(E1584+Settings!$B$7)</f>
        <v>0.0281692282543822</v>
      </c>
      <c r="R1584" s="61" t="n">
        <f aca="false">PERCENTRANK($H$2:$H$1780,H1584,6)</f>
        <v>0</v>
      </c>
      <c r="S1584" s="61" t="n">
        <f aca="false">PERCENTRANK($Q$2:$Q$1780,Q1584,6)</f>
        <v>0.294151</v>
      </c>
      <c r="T1584" s="61" t="n">
        <f aca="false">PERCENTRANK($F$2:$F$1780,F1584,6)</f>
        <v>0</v>
      </c>
      <c r="U1584" s="62" t="n">
        <f aca="false">IF(F1584&gt;0,(Settings!$B$8*T1584+Settings!$B$9*R1584+Settings!$B$10*S1584)/SUM(Settings!$B$8:$B$10),0)</f>
        <v>0</v>
      </c>
      <c r="V1584" s="56" t="str">
        <f aca="false">IF(U1584&gt;0,RANK(U1584,$U$2:$U$1780)+COUNTIF($U$2:U1584,U1584)-1,"")</f>
        <v/>
      </c>
      <c r="W1584" s="56" t="str">
        <f aca="false">IF(V1584="","",IF(V1584&lt;=Settings!$B$11,"1 - Fix first",IF(V1584&lt;=Settings!$B$12,"2 - Review","3 - Monitor")))</f>
        <v/>
      </c>
      <c r="X1584" s="56" t="str">
        <f aca="false">IF(AND(E1584&gt;=Settings!$B$4,F1584&gt;=Settings!$B$5,O1584&gt;=Settings!$B$6),"HIGH RATE","")</f>
        <v/>
      </c>
      <c r="Y1584" s="56" t="str">
        <f aca="false">IF(F1584&gt;0,RANK(F1584,$F$2:$F$1780)+COUNTIF($F$2:F1584,F1584)-1,"")</f>
        <v/>
      </c>
      <c r="Z1584" s="56" t="str">
        <f aca="false">IF(H1584&gt;0,RANK(H1584,$H$2:$H$1780)+COUNTIF($H$2:H1584,H1584)-1,"")</f>
        <v/>
      </c>
      <c r="AA1584" s="56" t="str">
        <f aca="false">IF(AC1584="","",RANK(AC1584,$AC$2:$AC$1780)+COUNTIF($AC$2:AC1584,AC1584)-1)</f>
        <v/>
      </c>
      <c r="AB1584" s="56" t="str">
        <f aca="false">IF(AD1584="","",RANK(AD1584,$AD$2:$AD$1780)+COUNTIF($AD$2:AD1584,AD1584)-1)</f>
        <v/>
      </c>
      <c r="AC1584" s="56" t="str">
        <f aca="false">IF(AND(F1584&gt;0,E1584&gt;=Settings!$B$4),J1584,"")</f>
        <v/>
      </c>
      <c r="AD1584" s="56" t="str">
        <f aca="false">IF(X1584="HIGH RATE",O1584,"")</f>
        <v/>
      </c>
    </row>
    <row r="1585" customFormat="false" ht="15" hidden="false" customHeight="false" outlineLevel="0" collapsed="false">
      <c r="A1585" s="56" t="s">
        <v>3045</v>
      </c>
      <c r="B1585" s="56" t="s">
        <v>3046</v>
      </c>
      <c r="C1585" s="56" t="s">
        <v>162</v>
      </c>
      <c r="D1585" s="56" t="str">
        <f aca="false">IFERROR(INDEX('Brand Map'!$B$4:$B$124,MATCH(C1585,'Brand Map'!$A$4:$A$124,0)),"Other")</f>
        <v>GBAU</v>
      </c>
      <c r="E1585" s="57" t="n">
        <v>5</v>
      </c>
      <c r="F1585" s="57" t="n">
        <v>0</v>
      </c>
      <c r="G1585" s="58" t="n">
        <v>570.21</v>
      </c>
      <c r="H1585" s="58" t="n">
        <v>0</v>
      </c>
      <c r="I1585" s="58" t="n">
        <v>552.08</v>
      </c>
      <c r="J1585" s="32" t="n">
        <f aca="false">IF(E1585&gt;0,F1585/E1585,0)</f>
        <v>0</v>
      </c>
      <c r="K1585" s="32" t="n">
        <f aca="false">IF(G1585&gt;0,H1585/G1585,0)</f>
        <v>-0</v>
      </c>
      <c r="L1585" s="59" t="n">
        <f aca="false">H1585/Settings!$B$16</f>
        <v>-0</v>
      </c>
      <c r="M1585" s="59" t="n">
        <f aca="false">H1585/Settings!$B$20</f>
        <v>-0</v>
      </c>
      <c r="N1585" s="60" t="n">
        <f aca="false">E1585*Settings!$B$3</f>
        <v>0.154930755399102</v>
      </c>
      <c r="O1585" s="60" t="n">
        <f aca="false">IF(E1585&gt;0,(F1585-N1585)/SQRT(E1585*Settings!$B$3*(1-Settings!$B$3)),0)</f>
        <v>-0.399856193402468</v>
      </c>
      <c r="P1585" s="60" t="n">
        <f aca="false">MAX(0,F1585-N1585)</f>
        <v>0</v>
      </c>
      <c r="Q1585" s="32" t="n">
        <f aca="false">(F1585+Settings!$B$7*Settings!$B$3)/(E1585+Settings!$B$7)</f>
        <v>0.0265595580684175</v>
      </c>
      <c r="R1585" s="61" t="n">
        <f aca="false">PERCENTRANK($H$2:$H$1780,H1585,6)</f>
        <v>0</v>
      </c>
      <c r="S1585" s="61" t="n">
        <f aca="false">PERCENTRANK($Q$2:$Q$1780,Q1585,6)</f>
        <v>0.220472</v>
      </c>
      <c r="T1585" s="61" t="n">
        <f aca="false">PERCENTRANK($F$2:$F$1780,F1585,6)</f>
        <v>0</v>
      </c>
      <c r="U1585" s="62" t="n">
        <f aca="false">IF(F1585&gt;0,(Settings!$B$8*T1585+Settings!$B$9*R1585+Settings!$B$10*S1585)/SUM(Settings!$B$8:$B$10),0)</f>
        <v>0</v>
      </c>
      <c r="V1585" s="56" t="str">
        <f aca="false">IF(U1585&gt;0,RANK(U1585,$U$2:$U$1780)+COUNTIF($U$2:U1585,U1585)-1,"")</f>
        <v/>
      </c>
      <c r="W1585" s="56" t="str">
        <f aca="false">IF(V1585="","",IF(V1585&lt;=Settings!$B$11,"1 - Fix first",IF(V1585&lt;=Settings!$B$12,"2 - Review","3 - Monitor")))</f>
        <v/>
      </c>
      <c r="X1585" s="56" t="str">
        <f aca="false">IF(AND(E1585&gt;=Settings!$B$4,F1585&gt;=Settings!$B$5,O1585&gt;=Settings!$B$6),"HIGH RATE","")</f>
        <v/>
      </c>
      <c r="Y1585" s="56" t="str">
        <f aca="false">IF(F1585&gt;0,RANK(F1585,$F$2:$F$1780)+COUNTIF($F$2:F1585,F1585)-1,"")</f>
        <v/>
      </c>
      <c r="Z1585" s="56" t="str">
        <f aca="false">IF(H1585&gt;0,RANK(H1585,$H$2:$H$1780)+COUNTIF($H$2:H1585,H1585)-1,"")</f>
        <v/>
      </c>
      <c r="AA1585" s="56" t="str">
        <f aca="false">IF(AC1585="","",RANK(AC1585,$AC$2:$AC$1780)+COUNTIF($AC$2:AC1585,AC1585)-1)</f>
        <v/>
      </c>
      <c r="AB1585" s="56" t="str">
        <f aca="false">IF(AD1585="","",RANK(AD1585,$AD$2:$AD$1780)+COUNTIF($AD$2:AD1585,AD1585)-1)</f>
        <v/>
      </c>
      <c r="AC1585" s="56" t="str">
        <f aca="false">IF(AND(F1585&gt;0,E1585&gt;=Settings!$B$4),J1585,"")</f>
        <v/>
      </c>
      <c r="AD1585" s="56" t="str">
        <f aca="false">IF(X1585="HIGH RATE",O1585,"")</f>
        <v/>
      </c>
    </row>
    <row r="1586" customFormat="false" ht="15" hidden="false" customHeight="false" outlineLevel="0" collapsed="false">
      <c r="A1586" s="56" t="s">
        <v>3047</v>
      </c>
      <c r="B1586" s="56" t="s">
        <v>3048</v>
      </c>
      <c r="C1586" s="56" t="s">
        <v>162</v>
      </c>
      <c r="D1586" s="56" t="str">
        <f aca="false">IFERROR(INDEX('Brand Map'!$B$4:$B$124,MATCH(C1586,'Brand Map'!$A$4:$A$124,0)),"Other")</f>
        <v>GBAU</v>
      </c>
      <c r="E1586" s="57" t="n">
        <v>5</v>
      </c>
      <c r="F1586" s="57" t="n">
        <v>0</v>
      </c>
      <c r="G1586" s="58" t="n">
        <v>585.24</v>
      </c>
      <c r="H1586" s="58" t="n">
        <v>0</v>
      </c>
      <c r="I1586" s="58" t="n">
        <v>585.24</v>
      </c>
      <c r="J1586" s="32" t="n">
        <f aca="false">IF(E1586&gt;0,F1586/E1586,0)</f>
        <v>0</v>
      </c>
      <c r="K1586" s="32" t="n">
        <f aca="false">IF(G1586&gt;0,H1586/G1586,0)</f>
        <v>-0</v>
      </c>
      <c r="L1586" s="59" t="n">
        <f aca="false">H1586/Settings!$B$16</f>
        <v>-0</v>
      </c>
      <c r="M1586" s="59" t="n">
        <f aca="false">H1586/Settings!$B$20</f>
        <v>-0</v>
      </c>
      <c r="N1586" s="60" t="n">
        <f aca="false">E1586*Settings!$B$3</f>
        <v>0.154930755399102</v>
      </c>
      <c r="O1586" s="60" t="n">
        <f aca="false">IF(E1586&gt;0,(F1586-N1586)/SQRT(E1586*Settings!$B$3*(1-Settings!$B$3)),0)</f>
        <v>-0.399856193402468</v>
      </c>
      <c r="P1586" s="60" t="n">
        <f aca="false">MAX(0,F1586-N1586)</f>
        <v>0</v>
      </c>
      <c r="Q1586" s="32" t="n">
        <f aca="false">(F1586+Settings!$B$7*Settings!$B$3)/(E1586+Settings!$B$7)</f>
        <v>0.0265595580684175</v>
      </c>
      <c r="R1586" s="61" t="n">
        <f aca="false">PERCENTRANK($H$2:$H$1780,H1586,6)</f>
        <v>0</v>
      </c>
      <c r="S1586" s="61" t="n">
        <f aca="false">PERCENTRANK($Q$2:$Q$1780,Q1586,6)</f>
        <v>0.220472</v>
      </c>
      <c r="T1586" s="61" t="n">
        <f aca="false">PERCENTRANK($F$2:$F$1780,F1586,6)</f>
        <v>0</v>
      </c>
      <c r="U1586" s="62" t="n">
        <f aca="false">IF(F1586&gt;0,(Settings!$B$8*T1586+Settings!$B$9*R1586+Settings!$B$10*S1586)/SUM(Settings!$B$8:$B$10),0)</f>
        <v>0</v>
      </c>
      <c r="V1586" s="56" t="str">
        <f aca="false">IF(U1586&gt;0,RANK(U1586,$U$2:$U$1780)+COUNTIF($U$2:U1586,U1586)-1,"")</f>
        <v/>
      </c>
      <c r="W1586" s="56" t="str">
        <f aca="false">IF(V1586="","",IF(V1586&lt;=Settings!$B$11,"1 - Fix first",IF(V1586&lt;=Settings!$B$12,"2 - Review","3 - Monitor")))</f>
        <v/>
      </c>
      <c r="X1586" s="56" t="str">
        <f aca="false">IF(AND(E1586&gt;=Settings!$B$4,F1586&gt;=Settings!$B$5,O1586&gt;=Settings!$B$6),"HIGH RATE","")</f>
        <v/>
      </c>
      <c r="Y1586" s="56" t="str">
        <f aca="false">IF(F1586&gt;0,RANK(F1586,$F$2:$F$1780)+COUNTIF($F$2:F1586,F1586)-1,"")</f>
        <v/>
      </c>
      <c r="Z1586" s="56" t="str">
        <f aca="false">IF(H1586&gt;0,RANK(H1586,$H$2:$H$1780)+COUNTIF($H$2:H1586,H1586)-1,"")</f>
        <v/>
      </c>
      <c r="AA1586" s="56" t="str">
        <f aca="false">IF(AC1586="","",RANK(AC1586,$AC$2:$AC$1780)+COUNTIF($AC$2:AC1586,AC1586)-1)</f>
        <v/>
      </c>
      <c r="AB1586" s="56" t="str">
        <f aca="false">IF(AD1586="","",RANK(AD1586,$AD$2:$AD$1780)+COUNTIF($AD$2:AD1586,AD1586)-1)</f>
        <v/>
      </c>
      <c r="AC1586" s="56" t="str">
        <f aca="false">IF(AND(F1586&gt;0,E1586&gt;=Settings!$B$4),J1586,"")</f>
        <v/>
      </c>
      <c r="AD1586" s="56" t="str">
        <f aca="false">IF(X1586="HIGH RATE",O1586,"")</f>
        <v/>
      </c>
    </row>
    <row r="1587" customFormat="false" ht="15" hidden="false" customHeight="false" outlineLevel="0" collapsed="false">
      <c r="A1587" s="56" t="s">
        <v>3049</v>
      </c>
      <c r="B1587" s="56" t="s">
        <v>3050</v>
      </c>
      <c r="C1587" s="56" t="s">
        <v>162</v>
      </c>
      <c r="D1587" s="56" t="str">
        <f aca="false">IFERROR(INDEX('Brand Map'!$B$4:$B$124,MATCH(C1587,'Brand Map'!$A$4:$A$124,0)),"Other")</f>
        <v>GBAU</v>
      </c>
      <c r="E1587" s="57" t="n">
        <v>3</v>
      </c>
      <c r="F1587" s="57" t="n">
        <v>0</v>
      </c>
      <c r="G1587" s="58" t="n">
        <v>376.85</v>
      </c>
      <c r="H1587" s="58" t="n">
        <v>0</v>
      </c>
      <c r="I1587" s="58" t="n">
        <v>376.85</v>
      </c>
      <c r="J1587" s="32" t="n">
        <f aca="false">IF(E1587&gt;0,F1587/E1587,0)</f>
        <v>0</v>
      </c>
      <c r="K1587" s="32" t="n">
        <f aca="false">IF(G1587&gt;0,H1587/G1587,0)</f>
        <v>-0</v>
      </c>
      <c r="L1587" s="59" t="n">
        <f aca="false">H1587/Settings!$B$16</f>
        <v>-0</v>
      </c>
      <c r="M1587" s="59" t="n">
        <f aca="false">H1587/Settings!$B$20</f>
        <v>-0</v>
      </c>
      <c r="N1587" s="60" t="n">
        <f aca="false">E1587*Settings!$B$3</f>
        <v>0.0929584532394613</v>
      </c>
      <c r="O1587" s="60" t="n">
        <f aca="false">IF(E1587&gt;0,(F1587-N1587)/SQRT(E1587*Settings!$B$3*(1-Settings!$B$3)),0)</f>
        <v>-0.30972727558513</v>
      </c>
      <c r="P1587" s="60" t="n">
        <f aca="false">MAX(0,F1587-N1587)</f>
        <v>0</v>
      </c>
      <c r="Q1587" s="32" t="n">
        <f aca="false">(F1587+Settings!$B$7*Settings!$B$3)/(E1587+Settings!$B$7)</f>
        <v>0.0281692282543822</v>
      </c>
      <c r="R1587" s="61" t="n">
        <f aca="false">PERCENTRANK($H$2:$H$1780,H1587,6)</f>
        <v>0</v>
      </c>
      <c r="S1587" s="61" t="n">
        <f aca="false">PERCENTRANK($Q$2:$Q$1780,Q1587,6)</f>
        <v>0.294151</v>
      </c>
      <c r="T1587" s="61" t="n">
        <f aca="false">PERCENTRANK($F$2:$F$1780,F1587,6)</f>
        <v>0</v>
      </c>
      <c r="U1587" s="62" t="n">
        <f aca="false">IF(F1587&gt;0,(Settings!$B$8*T1587+Settings!$B$9*R1587+Settings!$B$10*S1587)/SUM(Settings!$B$8:$B$10),0)</f>
        <v>0</v>
      </c>
      <c r="V1587" s="56" t="str">
        <f aca="false">IF(U1587&gt;0,RANK(U1587,$U$2:$U$1780)+COUNTIF($U$2:U1587,U1587)-1,"")</f>
        <v/>
      </c>
      <c r="W1587" s="56" t="str">
        <f aca="false">IF(V1587="","",IF(V1587&lt;=Settings!$B$11,"1 - Fix first",IF(V1587&lt;=Settings!$B$12,"2 - Review","3 - Monitor")))</f>
        <v/>
      </c>
      <c r="X1587" s="56" t="str">
        <f aca="false">IF(AND(E1587&gt;=Settings!$B$4,F1587&gt;=Settings!$B$5,O1587&gt;=Settings!$B$6),"HIGH RATE","")</f>
        <v/>
      </c>
      <c r="Y1587" s="56" t="str">
        <f aca="false">IF(F1587&gt;0,RANK(F1587,$F$2:$F$1780)+COUNTIF($F$2:F1587,F1587)-1,"")</f>
        <v/>
      </c>
      <c r="Z1587" s="56" t="str">
        <f aca="false">IF(H1587&gt;0,RANK(H1587,$H$2:$H$1780)+COUNTIF($H$2:H1587,H1587)-1,"")</f>
        <v/>
      </c>
      <c r="AA1587" s="56" t="str">
        <f aca="false">IF(AC1587="","",RANK(AC1587,$AC$2:$AC$1780)+COUNTIF($AC$2:AC1587,AC1587)-1)</f>
        <v/>
      </c>
      <c r="AB1587" s="56" t="str">
        <f aca="false">IF(AD1587="","",RANK(AD1587,$AD$2:$AD$1780)+COUNTIF($AD$2:AD1587,AD1587)-1)</f>
        <v/>
      </c>
      <c r="AC1587" s="56" t="str">
        <f aca="false">IF(AND(F1587&gt;0,E1587&gt;=Settings!$B$4),J1587,"")</f>
        <v/>
      </c>
      <c r="AD1587" s="56" t="str">
        <f aca="false">IF(X1587="HIGH RATE",O1587,"")</f>
        <v/>
      </c>
    </row>
    <row r="1588" customFormat="false" ht="15" hidden="false" customHeight="false" outlineLevel="0" collapsed="false">
      <c r="A1588" s="56" t="s">
        <v>3051</v>
      </c>
      <c r="B1588" s="56" t="s">
        <v>3052</v>
      </c>
      <c r="C1588" s="56" t="s">
        <v>162</v>
      </c>
      <c r="D1588" s="56" t="str">
        <f aca="false">IFERROR(INDEX('Brand Map'!$B$4:$B$124,MATCH(C1588,'Brand Map'!$A$4:$A$124,0)),"Other")</f>
        <v>GBAU</v>
      </c>
      <c r="E1588" s="57" t="n">
        <v>3</v>
      </c>
      <c r="F1588" s="57" t="n">
        <v>0</v>
      </c>
      <c r="G1588" s="58" t="n">
        <v>340.75</v>
      </c>
      <c r="H1588" s="58" t="n">
        <v>0</v>
      </c>
      <c r="I1588" s="58" t="n">
        <v>306.69</v>
      </c>
      <c r="J1588" s="32" t="n">
        <f aca="false">IF(E1588&gt;0,F1588/E1588,0)</f>
        <v>0</v>
      </c>
      <c r="K1588" s="32" t="n">
        <f aca="false">IF(G1588&gt;0,H1588/G1588,0)</f>
        <v>-0</v>
      </c>
      <c r="L1588" s="59" t="n">
        <f aca="false">H1588/Settings!$B$16</f>
        <v>-0</v>
      </c>
      <c r="M1588" s="59" t="n">
        <f aca="false">H1588/Settings!$B$20</f>
        <v>-0</v>
      </c>
      <c r="N1588" s="60" t="n">
        <f aca="false">E1588*Settings!$B$3</f>
        <v>0.0929584532394613</v>
      </c>
      <c r="O1588" s="60" t="n">
        <f aca="false">IF(E1588&gt;0,(F1588-N1588)/SQRT(E1588*Settings!$B$3*(1-Settings!$B$3)),0)</f>
        <v>-0.30972727558513</v>
      </c>
      <c r="P1588" s="60" t="n">
        <f aca="false">MAX(0,F1588-N1588)</f>
        <v>0</v>
      </c>
      <c r="Q1588" s="32" t="n">
        <f aca="false">(F1588+Settings!$B$7*Settings!$B$3)/(E1588+Settings!$B$7)</f>
        <v>0.0281692282543822</v>
      </c>
      <c r="R1588" s="61" t="n">
        <f aca="false">PERCENTRANK($H$2:$H$1780,H1588,6)</f>
        <v>0</v>
      </c>
      <c r="S1588" s="61" t="n">
        <f aca="false">PERCENTRANK($Q$2:$Q$1780,Q1588,6)</f>
        <v>0.294151</v>
      </c>
      <c r="T1588" s="61" t="n">
        <f aca="false">PERCENTRANK($F$2:$F$1780,F1588,6)</f>
        <v>0</v>
      </c>
      <c r="U1588" s="62" t="n">
        <f aca="false">IF(F1588&gt;0,(Settings!$B$8*T1588+Settings!$B$9*R1588+Settings!$B$10*S1588)/SUM(Settings!$B$8:$B$10),0)</f>
        <v>0</v>
      </c>
      <c r="V1588" s="56" t="str">
        <f aca="false">IF(U1588&gt;0,RANK(U1588,$U$2:$U$1780)+COUNTIF($U$2:U1588,U1588)-1,"")</f>
        <v/>
      </c>
      <c r="W1588" s="56" t="str">
        <f aca="false">IF(V1588="","",IF(V1588&lt;=Settings!$B$11,"1 - Fix first",IF(V1588&lt;=Settings!$B$12,"2 - Review","3 - Monitor")))</f>
        <v/>
      </c>
      <c r="X1588" s="56" t="str">
        <f aca="false">IF(AND(E1588&gt;=Settings!$B$4,F1588&gt;=Settings!$B$5,O1588&gt;=Settings!$B$6),"HIGH RATE","")</f>
        <v/>
      </c>
      <c r="Y1588" s="56" t="str">
        <f aca="false">IF(F1588&gt;0,RANK(F1588,$F$2:$F$1780)+COUNTIF($F$2:F1588,F1588)-1,"")</f>
        <v/>
      </c>
      <c r="Z1588" s="56" t="str">
        <f aca="false">IF(H1588&gt;0,RANK(H1588,$H$2:$H$1780)+COUNTIF($H$2:H1588,H1588)-1,"")</f>
        <v/>
      </c>
      <c r="AA1588" s="56" t="str">
        <f aca="false">IF(AC1588="","",RANK(AC1588,$AC$2:$AC$1780)+COUNTIF($AC$2:AC1588,AC1588)-1)</f>
        <v/>
      </c>
      <c r="AB1588" s="56" t="str">
        <f aca="false">IF(AD1588="","",RANK(AD1588,$AD$2:$AD$1780)+COUNTIF($AD$2:AD1588,AD1588)-1)</f>
        <v/>
      </c>
      <c r="AC1588" s="56" t="str">
        <f aca="false">IF(AND(F1588&gt;0,E1588&gt;=Settings!$B$4),J1588,"")</f>
        <v/>
      </c>
      <c r="AD1588" s="56" t="str">
        <f aca="false">IF(X1588="HIGH RATE",O1588,"")</f>
        <v/>
      </c>
    </row>
    <row r="1589" customFormat="false" ht="15" hidden="false" customHeight="false" outlineLevel="0" collapsed="false">
      <c r="A1589" s="56" t="s">
        <v>3053</v>
      </c>
      <c r="B1589" s="56" t="s">
        <v>3054</v>
      </c>
      <c r="C1589" s="56" t="s">
        <v>162</v>
      </c>
      <c r="D1589" s="56" t="str">
        <f aca="false">IFERROR(INDEX('Brand Map'!$B$4:$B$124,MATCH(C1589,'Brand Map'!$A$4:$A$124,0)),"Other")</f>
        <v>GBAU</v>
      </c>
      <c r="E1589" s="57" t="n">
        <v>4</v>
      </c>
      <c r="F1589" s="57" t="n">
        <v>0</v>
      </c>
      <c r="G1589" s="58" t="n">
        <v>610.72</v>
      </c>
      <c r="H1589" s="58" t="n">
        <v>0</v>
      </c>
      <c r="I1589" s="58" t="n">
        <v>590.95</v>
      </c>
      <c r="J1589" s="32" t="n">
        <f aca="false">IF(E1589&gt;0,F1589/E1589,0)</f>
        <v>0</v>
      </c>
      <c r="K1589" s="32" t="n">
        <f aca="false">IF(G1589&gt;0,H1589/G1589,0)</f>
        <v>-0</v>
      </c>
      <c r="L1589" s="59" t="n">
        <f aca="false">H1589/Settings!$B$16</f>
        <v>-0</v>
      </c>
      <c r="M1589" s="59" t="n">
        <f aca="false">H1589/Settings!$B$20</f>
        <v>-0</v>
      </c>
      <c r="N1589" s="60" t="n">
        <f aca="false">E1589*Settings!$B$3</f>
        <v>0.123944604319282</v>
      </c>
      <c r="O1589" s="60" t="n">
        <f aca="false">IF(E1589&gt;0,(F1589-N1589)/SQRT(E1589*Settings!$B$3*(1-Settings!$B$3)),0)</f>
        <v>-0.357642251868888</v>
      </c>
      <c r="P1589" s="60" t="n">
        <f aca="false">MAX(0,F1589-N1589)</f>
        <v>0</v>
      </c>
      <c r="Q1589" s="32" t="n">
        <f aca="false">(F1589+Settings!$B$7*Settings!$B$3)/(E1589+Settings!$B$7)</f>
        <v>0.027340721541018</v>
      </c>
      <c r="R1589" s="61" t="n">
        <f aca="false">PERCENTRANK($H$2:$H$1780,H1589,6)</f>
        <v>0</v>
      </c>
      <c r="S1589" s="61" t="n">
        <f aca="false">PERCENTRANK($Q$2:$Q$1780,Q1589,6)</f>
        <v>0.253656</v>
      </c>
      <c r="T1589" s="61" t="n">
        <f aca="false">PERCENTRANK($F$2:$F$1780,F1589,6)</f>
        <v>0</v>
      </c>
      <c r="U1589" s="62" t="n">
        <f aca="false">IF(F1589&gt;0,(Settings!$B$8*T1589+Settings!$B$9*R1589+Settings!$B$10*S1589)/SUM(Settings!$B$8:$B$10),0)</f>
        <v>0</v>
      </c>
      <c r="V1589" s="56" t="str">
        <f aca="false">IF(U1589&gt;0,RANK(U1589,$U$2:$U$1780)+COUNTIF($U$2:U1589,U1589)-1,"")</f>
        <v/>
      </c>
      <c r="W1589" s="56" t="str">
        <f aca="false">IF(V1589="","",IF(V1589&lt;=Settings!$B$11,"1 - Fix first",IF(V1589&lt;=Settings!$B$12,"2 - Review","3 - Monitor")))</f>
        <v/>
      </c>
      <c r="X1589" s="56" t="str">
        <f aca="false">IF(AND(E1589&gt;=Settings!$B$4,F1589&gt;=Settings!$B$5,O1589&gt;=Settings!$B$6),"HIGH RATE","")</f>
        <v/>
      </c>
      <c r="Y1589" s="56" t="str">
        <f aca="false">IF(F1589&gt;0,RANK(F1589,$F$2:$F$1780)+COUNTIF($F$2:F1589,F1589)-1,"")</f>
        <v/>
      </c>
      <c r="Z1589" s="56" t="str">
        <f aca="false">IF(H1589&gt;0,RANK(H1589,$H$2:$H$1780)+COUNTIF($H$2:H1589,H1589)-1,"")</f>
        <v/>
      </c>
      <c r="AA1589" s="56" t="str">
        <f aca="false">IF(AC1589="","",RANK(AC1589,$AC$2:$AC$1780)+COUNTIF($AC$2:AC1589,AC1589)-1)</f>
        <v/>
      </c>
      <c r="AB1589" s="56" t="str">
        <f aca="false">IF(AD1589="","",RANK(AD1589,$AD$2:$AD$1780)+COUNTIF($AD$2:AD1589,AD1589)-1)</f>
        <v/>
      </c>
      <c r="AC1589" s="56" t="str">
        <f aca="false">IF(AND(F1589&gt;0,E1589&gt;=Settings!$B$4),J1589,"")</f>
        <v/>
      </c>
      <c r="AD1589" s="56" t="str">
        <f aca="false">IF(X1589="HIGH RATE",O1589,"")</f>
        <v/>
      </c>
    </row>
    <row r="1590" customFormat="false" ht="15" hidden="false" customHeight="false" outlineLevel="0" collapsed="false">
      <c r="A1590" s="56" t="s">
        <v>3055</v>
      </c>
      <c r="B1590" s="56" t="s">
        <v>3056</v>
      </c>
      <c r="C1590" s="56" t="s">
        <v>162</v>
      </c>
      <c r="D1590" s="56" t="str">
        <f aca="false">IFERROR(INDEX('Brand Map'!$B$4:$B$124,MATCH(C1590,'Brand Map'!$A$4:$A$124,0)),"Other")</f>
        <v>GBAU</v>
      </c>
      <c r="E1590" s="57" t="n">
        <v>1</v>
      </c>
      <c r="F1590" s="57" t="n">
        <v>0</v>
      </c>
      <c r="G1590" s="58" t="n">
        <v>186.32</v>
      </c>
      <c r="H1590" s="58" t="n">
        <v>0</v>
      </c>
      <c r="I1590" s="58" t="n">
        <v>186.32</v>
      </c>
      <c r="J1590" s="32" t="n">
        <f aca="false">IF(E1590&gt;0,F1590/E1590,0)</f>
        <v>0</v>
      </c>
      <c r="K1590" s="32" t="n">
        <f aca="false">IF(G1590&gt;0,H1590/G1590,0)</f>
        <v>-0</v>
      </c>
      <c r="L1590" s="59" t="n">
        <f aca="false">H1590/Settings!$B$16</f>
        <v>-0</v>
      </c>
      <c r="M1590" s="59" t="n">
        <f aca="false">H1590/Settings!$B$20</f>
        <v>-0</v>
      </c>
      <c r="N1590" s="60" t="n">
        <f aca="false">E1590*Settings!$B$3</f>
        <v>0.0309861510798204</v>
      </c>
      <c r="O1590" s="60" t="n">
        <f aca="false">IF(E1590&gt;0,(F1590-N1590)/SQRT(E1590*Settings!$B$3*(1-Settings!$B$3)),0)</f>
        <v>-0.178821125934444</v>
      </c>
      <c r="P1590" s="60" t="n">
        <f aca="false">MAX(0,F1590-N1590)</f>
        <v>0</v>
      </c>
      <c r="Q1590" s="32" t="n">
        <f aca="false">(F1590+Settings!$B$7*Settings!$B$3)/(E1590+Settings!$B$7)</f>
        <v>0.0299865978191811</v>
      </c>
      <c r="R1590" s="61" t="n">
        <f aca="false">PERCENTRANK($H$2:$H$1780,H1590,6)</f>
        <v>0</v>
      </c>
      <c r="S1590" s="61" t="n">
        <f aca="false">PERCENTRANK($Q$2:$Q$1780,Q1590,6)</f>
        <v>0.486502</v>
      </c>
      <c r="T1590" s="61" t="n">
        <f aca="false">PERCENTRANK($F$2:$F$1780,F1590,6)</f>
        <v>0</v>
      </c>
      <c r="U1590" s="62" t="n">
        <f aca="false">IF(F1590&gt;0,(Settings!$B$8*T1590+Settings!$B$9*R1590+Settings!$B$10*S1590)/SUM(Settings!$B$8:$B$10),0)</f>
        <v>0</v>
      </c>
      <c r="V1590" s="56" t="str">
        <f aca="false">IF(U1590&gt;0,RANK(U1590,$U$2:$U$1780)+COUNTIF($U$2:U1590,U1590)-1,"")</f>
        <v/>
      </c>
      <c r="W1590" s="56" t="str">
        <f aca="false">IF(V1590="","",IF(V1590&lt;=Settings!$B$11,"1 - Fix first",IF(V1590&lt;=Settings!$B$12,"2 - Review","3 - Monitor")))</f>
        <v/>
      </c>
      <c r="X1590" s="56" t="str">
        <f aca="false">IF(AND(E1590&gt;=Settings!$B$4,F1590&gt;=Settings!$B$5,O1590&gt;=Settings!$B$6),"HIGH RATE","")</f>
        <v/>
      </c>
      <c r="Y1590" s="56" t="str">
        <f aca="false">IF(F1590&gt;0,RANK(F1590,$F$2:$F$1780)+COUNTIF($F$2:F1590,F1590)-1,"")</f>
        <v/>
      </c>
      <c r="Z1590" s="56" t="str">
        <f aca="false">IF(H1590&gt;0,RANK(H1590,$H$2:$H$1780)+COUNTIF($H$2:H1590,H1590)-1,"")</f>
        <v/>
      </c>
      <c r="AA1590" s="56" t="str">
        <f aca="false">IF(AC1590="","",RANK(AC1590,$AC$2:$AC$1780)+COUNTIF($AC$2:AC1590,AC1590)-1)</f>
        <v/>
      </c>
      <c r="AB1590" s="56" t="str">
        <f aca="false">IF(AD1590="","",RANK(AD1590,$AD$2:$AD$1780)+COUNTIF($AD$2:AD1590,AD1590)-1)</f>
        <v/>
      </c>
      <c r="AC1590" s="56" t="str">
        <f aca="false">IF(AND(F1590&gt;0,E1590&gt;=Settings!$B$4),J1590,"")</f>
        <v/>
      </c>
      <c r="AD1590" s="56" t="str">
        <f aca="false">IF(X1590="HIGH RATE",O1590,"")</f>
        <v/>
      </c>
    </row>
    <row r="1591" customFormat="false" ht="15" hidden="false" customHeight="false" outlineLevel="0" collapsed="false">
      <c r="A1591" s="56" t="s">
        <v>3057</v>
      </c>
      <c r="B1591" s="56" t="s">
        <v>3056</v>
      </c>
      <c r="C1591" s="56" t="s">
        <v>162</v>
      </c>
      <c r="D1591" s="56" t="str">
        <f aca="false">IFERROR(INDEX('Brand Map'!$B$4:$B$124,MATCH(C1591,'Brand Map'!$A$4:$A$124,0)),"Other")</f>
        <v>GBAU</v>
      </c>
      <c r="E1591" s="57" t="n">
        <v>1</v>
      </c>
      <c r="F1591" s="57" t="n">
        <v>0</v>
      </c>
      <c r="G1591" s="58" t="n">
        <v>244.95</v>
      </c>
      <c r="H1591" s="58" t="n">
        <v>0</v>
      </c>
      <c r="I1591" s="58" t="n">
        <v>244.95</v>
      </c>
      <c r="J1591" s="32" t="n">
        <f aca="false">IF(E1591&gt;0,F1591/E1591,0)</f>
        <v>0</v>
      </c>
      <c r="K1591" s="32" t="n">
        <f aca="false">IF(G1591&gt;0,H1591/G1591,0)</f>
        <v>-0</v>
      </c>
      <c r="L1591" s="59" t="n">
        <f aca="false">H1591/Settings!$B$16</f>
        <v>-0</v>
      </c>
      <c r="M1591" s="59" t="n">
        <f aca="false">H1591/Settings!$B$20</f>
        <v>-0</v>
      </c>
      <c r="N1591" s="60" t="n">
        <f aca="false">E1591*Settings!$B$3</f>
        <v>0.0309861510798204</v>
      </c>
      <c r="O1591" s="60" t="n">
        <f aca="false">IF(E1591&gt;0,(F1591-N1591)/SQRT(E1591*Settings!$B$3*(1-Settings!$B$3)),0)</f>
        <v>-0.178821125934444</v>
      </c>
      <c r="P1591" s="60" t="n">
        <f aca="false">MAX(0,F1591-N1591)</f>
        <v>0</v>
      </c>
      <c r="Q1591" s="32" t="n">
        <f aca="false">(F1591+Settings!$B$7*Settings!$B$3)/(E1591+Settings!$B$7)</f>
        <v>0.0299865978191811</v>
      </c>
      <c r="R1591" s="61" t="n">
        <f aca="false">PERCENTRANK($H$2:$H$1780,H1591,6)</f>
        <v>0</v>
      </c>
      <c r="S1591" s="61" t="n">
        <f aca="false">PERCENTRANK($Q$2:$Q$1780,Q1591,6)</f>
        <v>0.486502</v>
      </c>
      <c r="T1591" s="61" t="n">
        <f aca="false">PERCENTRANK($F$2:$F$1780,F1591,6)</f>
        <v>0</v>
      </c>
      <c r="U1591" s="62" t="n">
        <f aca="false">IF(F1591&gt;0,(Settings!$B$8*T1591+Settings!$B$9*R1591+Settings!$B$10*S1591)/SUM(Settings!$B$8:$B$10),0)</f>
        <v>0</v>
      </c>
      <c r="V1591" s="56" t="str">
        <f aca="false">IF(U1591&gt;0,RANK(U1591,$U$2:$U$1780)+COUNTIF($U$2:U1591,U1591)-1,"")</f>
        <v/>
      </c>
      <c r="W1591" s="56" t="str">
        <f aca="false">IF(V1591="","",IF(V1591&lt;=Settings!$B$11,"1 - Fix first",IF(V1591&lt;=Settings!$B$12,"2 - Review","3 - Monitor")))</f>
        <v/>
      </c>
      <c r="X1591" s="56" t="str">
        <f aca="false">IF(AND(E1591&gt;=Settings!$B$4,F1591&gt;=Settings!$B$5,O1591&gt;=Settings!$B$6),"HIGH RATE","")</f>
        <v/>
      </c>
      <c r="Y1591" s="56" t="str">
        <f aca="false">IF(F1591&gt;0,RANK(F1591,$F$2:$F$1780)+COUNTIF($F$2:F1591,F1591)-1,"")</f>
        <v/>
      </c>
      <c r="Z1591" s="56" t="str">
        <f aca="false">IF(H1591&gt;0,RANK(H1591,$H$2:$H$1780)+COUNTIF($H$2:H1591,H1591)-1,"")</f>
        <v/>
      </c>
      <c r="AA1591" s="56" t="str">
        <f aca="false">IF(AC1591="","",RANK(AC1591,$AC$2:$AC$1780)+COUNTIF($AC$2:AC1591,AC1591)-1)</f>
        <v/>
      </c>
      <c r="AB1591" s="56" t="str">
        <f aca="false">IF(AD1591="","",RANK(AD1591,$AD$2:$AD$1780)+COUNTIF($AD$2:AD1591,AD1591)-1)</f>
        <v/>
      </c>
      <c r="AC1591" s="56" t="str">
        <f aca="false">IF(AND(F1591&gt;0,E1591&gt;=Settings!$B$4),J1591,"")</f>
        <v/>
      </c>
      <c r="AD1591" s="56" t="str">
        <f aca="false">IF(X1591="HIGH RATE",O1591,"")</f>
        <v/>
      </c>
    </row>
    <row r="1592" customFormat="false" ht="15" hidden="false" customHeight="false" outlineLevel="0" collapsed="false">
      <c r="A1592" s="56" t="s">
        <v>3058</v>
      </c>
      <c r="B1592" s="56" t="s">
        <v>3059</v>
      </c>
      <c r="C1592" s="56" t="s">
        <v>162</v>
      </c>
      <c r="D1592" s="56" t="str">
        <f aca="false">IFERROR(INDEX('Brand Map'!$B$4:$B$124,MATCH(C1592,'Brand Map'!$A$4:$A$124,0)),"Other")</f>
        <v>GBAU</v>
      </c>
      <c r="E1592" s="57" t="n">
        <v>4</v>
      </c>
      <c r="F1592" s="57" t="n">
        <v>0</v>
      </c>
      <c r="G1592" s="58" t="n">
        <v>354.8</v>
      </c>
      <c r="H1592" s="58" t="n">
        <v>0</v>
      </c>
      <c r="I1592" s="58" t="n">
        <v>342.06</v>
      </c>
      <c r="J1592" s="32" t="n">
        <f aca="false">IF(E1592&gt;0,F1592/E1592,0)</f>
        <v>0</v>
      </c>
      <c r="K1592" s="32" t="n">
        <f aca="false">IF(G1592&gt;0,H1592/G1592,0)</f>
        <v>-0</v>
      </c>
      <c r="L1592" s="59" t="n">
        <f aca="false">H1592/Settings!$B$16</f>
        <v>-0</v>
      </c>
      <c r="M1592" s="59" t="n">
        <f aca="false">H1592/Settings!$B$20</f>
        <v>-0</v>
      </c>
      <c r="N1592" s="60" t="n">
        <f aca="false">E1592*Settings!$B$3</f>
        <v>0.123944604319282</v>
      </c>
      <c r="O1592" s="60" t="n">
        <f aca="false">IF(E1592&gt;0,(F1592-N1592)/SQRT(E1592*Settings!$B$3*(1-Settings!$B$3)),0)</f>
        <v>-0.357642251868888</v>
      </c>
      <c r="P1592" s="60" t="n">
        <f aca="false">MAX(0,F1592-N1592)</f>
        <v>0</v>
      </c>
      <c r="Q1592" s="32" t="n">
        <f aca="false">(F1592+Settings!$B$7*Settings!$B$3)/(E1592+Settings!$B$7)</f>
        <v>0.027340721541018</v>
      </c>
      <c r="R1592" s="61" t="n">
        <f aca="false">PERCENTRANK($H$2:$H$1780,H1592,6)</f>
        <v>0</v>
      </c>
      <c r="S1592" s="61" t="n">
        <f aca="false">PERCENTRANK($Q$2:$Q$1780,Q1592,6)</f>
        <v>0.253656</v>
      </c>
      <c r="T1592" s="61" t="n">
        <f aca="false">PERCENTRANK($F$2:$F$1780,F1592,6)</f>
        <v>0</v>
      </c>
      <c r="U1592" s="62" t="n">
        <f aca="false">IF(F1592&gt;0,(Settings!$B$8*T1592+Settings!$B$9*R1592+Settings!$B$10*S1592)/SUM(Settings!$B$8:$B$10),0)</f>
        <v>0</v>
      </c>
      <c r="V1592" s="56" t="str">
        <f aca="false">IF(U1592&gt;0,RANK(U1592,$U$2:$U$1780)+COUNTIF($U$2:U1592,U1592)-1,"")</f>
        <v/>
      </c>
      <c r="W1592" s="56" t="str">
        <f aca="false">IF(V1592="","",IF(V1592&lt;=Settings!$B$11,"1 - Fix first",IF(V1592&lt;=Settings!$B$12,"2 - Review","3 - Monitor")))</f>
        <v/>
      </c>
      <c r="X1592" s="56" t="str">
        <f aca="false">IF(AND(E1592&gt;=Settings!$B$4,F1592&gt;=Settings!$B$5,O1592&gt;=Settings!$B$6),"HIGH RATE","")</f>
        <v/>
      </c>
      <c r="Y1592" s="56" t="str">
        <f aca="false">IF(F1592&gt;0,RANK(F1592,$F$2:$F$1780)+COUNTIF($F$2:F1592,F1592)-1,"")</f>
        <v/>
      </c>
      <c r="Z1592" s="56" t="str">
        <f aca="false">IF(H1592&gt;0,RANK(H1592,$H$2:$H$1780)+COUNTIF($H$2:H1592,H1592)-1,"")</f>
        <v/>
      </c>
      <c r="AA1592" s="56" t="str">
        <f aca="false">IF(AC1592="","",RANK(AC1592,$AC$2:$AC$1780)+COUNTIF($AC$2:AC1592,AC1592)-1)</f>
        <v/>
      </c>
      <c r="AB1592" s="56" t="str">
        <f aca="false">IF(AD1592="","",RANK(AD1592,$AD$2:$AD$1780)+COUNTIF($AD$2:AD1592,AD1592)-1)</f>
        <v/>
      </c>
      <c r="AC1592" s="56" t="str">
        <f aca="false">IF(AND(F1592&gt;0,E1592&gt;=Settings!$B$4),J1592,"")</f>
        <v/>
      </c>
      <c r="AD1592" s="56" t="str">
        <f aca="false">IF(X1592="HIGH RATE",O1592,"")</f>
        <v/>
      </c>
    </row>
    <row r="1593" customFormat="false" ht="15" hidden="false" customHeight="false" outlineLevel="0" collapsed="false">
      <c r="A1593" s="56" t="s">
        <v>3060</v>
      </c>
      <c r="B1593" s="56" t="s">
        <v>3061</v>
      </c>
      <c r="C1593" s="56" t="s">
        <v>162</v>
      </c>
      <c r="D1593" s="56" t="str">
        <f aca="false">IFERROR(INDEX('Brand Map'!$B$4:$B$124,MATCH(C1593,'Brand Map'!$A$4:$A$124,0)),"Other")</f>
        <v>GBAU</v>
      </c>
      <c r="E1593" s="57" t="n">
        <v>2</v>
      </c>
      <c r="F1593" s="57" t="n">
        <v>0</v>
      </c>
      <c r="G1593" s="58" t="n">
        <v>256.27</v>
      </c>
      <c r="H1593" s="58" t="n">
        <v>0</v>
      </c>
      <c r="I1593" s="58" t="n">
        <v>256.27</v>
      </c>
      <c r="J1593" s="32" t="n">
        <f aca="false">IF(E1593&gt;0,F1593/E1593,0)</f>
        <v>0</v>
      </c>
      <c r="K1593" s="32" t="n">
        <f aca="false">IF(G1593&gt;0,H1593/G1593,0)</f>
        <v>-0</v>
      </c>
      <c r="L1593" s="59" t="n">
        <f aca="false">H1593/Settings!$B$16</f>
        <v>-0</v>
      </c>
      <c r="M1593" s="59" t="n">
        <f aca="false">H1593/Settings!$B$20</f>
        <v>-0</v>
      </c>
      <c r="N1593" s="60" t="n">
        <f aca="false">E1593*Settings!$B$3</f>
        <v>0.0619723021596408</v>
      </c>
      <c r="O1593" s="60" t="n">
        <f aca="false">IF(E1593&gt;0,(F1593-N1593)/SQRT(E1593*Settings!$B$3*(1-Settings!$B$3)),0)</f>
        <v>-0.252891261535318</v>
      </c>
      <c r="P1593" s="60" t="n">
        <f aca="false">MAX(0,F1593-N1593)</f>
        <v>0</v>
      </c>
      <c r="Q1593" s="32" t="n">
        <f aca="false">(F1593+Settings!$B$7*Settings!$B$3)/(E1593+Settings!$B$7)</f>
        <v>0.0290495166373316</v>
      </c>
      <c r="R1593" s="61" t="n">
        <f aca="false">PERCENTRANK($H$2:$H$1780,H1593,6)</f>
        <v>0</v>
      </c>
      <c r="S1593" s="61" t="n">
        <f aca="false">PERCENTRANK($Q$2:$Q$1780,Q1593,6)</f>
        <v>0.365579</v>
      </c>
      <c r="T1593" s="61" t="n">
        <f aca="false">PERCENTRANK($F$2:$F$1780,F1593,6)</f>
        <v>0</v>
      </c>
      <c r="U1593" s="62" t="n">
        <f aca="false">IF(F1593&gt;0,(Settings!$B$8*T1593+Settings!$B$9*R1593+Settings!$B$10*S1593)/SUM(Settings!$B$8:$B$10),0)</f>
        <v>0</v>
      </c>
      <c r="V1593" s="56" t="str">
        <f aca="false">IF(U1593&gt;0,RANK(U1593,$U$2:$U$1780)+COUNTIF($U$2:U1593,U1593)-1,"")</f>
        <v/>
      </c>
      <c r="W1593" s="56" t="str">
        <f aca="false">IF(V1593="","",IF(V1593&lt;=Settings!$B$11,"1 - Fix first",IF(V1593&lt;=Settings!$B$12,"2 - Review","3 - Monitor")))</f>
        <v/>
      </c>
      <c r="X1593" s="56" t="str">
        <f aca="false">IF(AND(E1593&gt;=Settings!$B$4,F1593&gt;=Settings!$B$5,O1593&gt;=Settings!$B$6),"HIGH RATE","")</f>
        <v/>
      </c>
      <c r="Y1593" s="56" t="str">
        <f aca="false">IF(F1593&gt;0,RANK(F1593,$F$2:$F$1780)+COUNTIF($F$2:F1593,F1593)-1,"")</f>
        <v/>
      </c>
      <c r="Z1593" s="56" t="str">
        <f aca="false">IF(H1593&gt;0,RANK(H1593,$H$2:$H$1780)+COUNTIF($H$2:H1593,H1593)-1,"")</f>
        <v/>
      </c>
      <c r="AA1593" s="56" t="str">
        <f aca="false">IF(AC1593="","",RANK(AC1593,$AC$2:$AC$1780)+COUNTIF($AC$2:AC1593,AC1593)-1)</f>
        <v/>
      </c>
      <c r="AB1593" s="56" t="str">
        <f aca="false">IF(AD1593="","",RANK(AD1593,$AD$2:$AD$1780)+COUNTIF($AD$2:AD1593,AD1593)-1)</f>
        <v/>
      </c>
      <c r="AC1593" s="56" t="str">
        <f aca="false">IF(AND(F1593&gt;0,E1593&gt;=Settings!$B$4),J1593,"")</f>
        <v/>
      </c>
      <c r="AD1593" s="56" t="str">
        <f aca="false">IF(X1593="HIGH RATE",O1593,"")</f>
        <v/>
      </c>
    </row>
    <row r="1594" customFormat="false" ht="15" hidden="false" customHeight="false" outlineLevel="0" collapsed="false">
      <c r="A1594" s="56" t="s">
        <v>3062</v>
      </c>
      <c r="B1594" s="56" t="s">
        <v>3063</v>
      </c>
      <c r="C1594" s="56" t="s">
        <v>668</v>
      </c>
      <c r="D1594" s="56" t="str">
        <f aca="false">IFERROR(INDEX('Brand Map'!$B$4:$B$124,MATCH(C1594,'Brand Map'!$A$4:$A$124,0)),"Other")</f>
        <v>Other (small prefixes)</v>
      </c>
      <c r="E1594" s="57" t="n">
        <v>13</v>
      </c>
      <c r="F1594" s="57" t="n">
        <v>0</v>
      </c>
      <c r="G1594" s="58" t="n">
        <v>1032.78</v>
      </c>
      <c r="H1594" s="58" t="n">
        <v>0</v>
      </c>
      <c r="I1594" s="58" t="n">
        <v>1009.39</v>
      </c>
      <c r="J1594" s="32" t="n">
        <f aca="false">IF(E1594&gt;0,F1594/E1594,0)</f>
        <v>0</v>
      </c>
      <c r="K1594" s="32" t="n">
        <f aca="false">IF(G1594&gt;0,H1594/G1594,0)</f>
        <v>-0</v>
      </c>
      <c r="L1594" s="59" t="n">
        <f aca="false">H1594/Settings!$B$16</f>
        <v>-0</v>
      </c>
      <c r="M1594" s="59" t="n">
        <f aca="false">H1594/Settings!$B$20</f>
        <v>-0</v>
      </c>
      <c r="N1594" s="60" t="n">
        <f aca="false">E1594*Settings!$B$3</f>
        <v>0.402819964037665</v>
      </c>
      <c r="O1594" s="60" t="n">
        <f aca="false">IF(E1594&gt;0,(F1594-N1594)/SQRT(E1594*Settings!$B$3*(1-Settings!$B$3)),0)</f>
        <v>-0.644748738692841</v>
      </c>
      <c r="P1594" s="60" t="n">
        <f aca="false">MAX(0,F1594-N1594)</f>
        <v>0</v>
      </c>
      <c r="Q1594" s="32" t="n">
        <f aca="false">(F1594+Settings!$B$7*Settings!$B$3)/(E1594+Settings!$B$7)</f>
        <v>0.0216182449394096</v>
      </c>
      <c r="R1594" s="61" t="n">
        <f aca="false">PERCENTRANK($H$2:$H$1780,H1594,6)</f>
        <v>0</v>
      </c>
      <c r="S1594" s="61" t="n">
        <f aca="false">PERCENTRANK($Q$2:$Q$1780,Q1594,6)</f>
        <v>0.104049</v>
      </c>
      <c r="T1594" s="61" t="n">
        <f aca="false">PERCENTRANK($F$2:$F$1780,F1594,6)</f>
        <v>0</v>
      </c>
      <c r="U1594" s="62" t="n">
        <f aca="false">IF(F1594&gt;0,(Settings!$B$8*T1594+Settings!$B$9*R1594+Settings!$B$10*S1594)/SUM(Settings!$B$8:$B$10),0)</f>
        <v>0</v>
      </c>
      <c r="V1594" s="56" t="str">
        <f aca="false">IF(U1594&gt;0,RANK(U1594,$U$2:$U$1780)+COUNTIF($U$2:U1594,U1594)-1,"")</f>
        <v/>
      </c>
      <c r="W1594" s="56" t="str">
        <f aca="false">IF(V1594="","",IF(V1594&lt;=Settings!$B$11,"1 - Fix first",IF(V1594&lt;=Settings!$B$12,"2 - Review","3 - Monitor")))</f>
        <v/>
      </c>
      <c r="X1594" s="56" t="str">
        <f aca="false">IF(AND(E1594&gt;=Settings!$B$4,F1594&gt;=Settings!$B$5,O1594&gt;=Settings!$B$6),"HIGH RATE","")</f>
        <v/>
      </c>
      <c r="Y1594" s="56" t="str">
        <f aca="false">IF(F1594&gt;0,RANK(F1594,$F$2:$F$1780)+COUNTIF($F$2:F1594,F1594)-1,"")</f>
        <v/>
      </c>
      <c r="Z1594" s="56" t="str">
        <f aca="false">IF(H1594&gt;0,RANK(H1594,$H$2:$H$1780)+COUNTIF($H$2:H1594,H1594)-1,"")</f>
        <v/>
      </c>
      <c r="AA1594" s="56" t="str">
        <f aca="false">IF(AC1594="","",RANK(AC1594,$AC$2:$AC$1780)+COUNTIF($AC$2:AC1594,AC1594)-1)</f>
        <v/>
      </c>
      <c r="AB1594" s="56" t="str">
        <f aca="false">IF(AD1594="","",RANK(AD1594,$AD$2:$AD$1780)+COUNTIF($AD$2:AD1594,AD1594)-1)</f>
        <v/>
      </c>
      <c r="AC1594" s="56" t="str">
        <f aca="false">IF(AND(F1594&gt;0,E1594&gt;=Settings!$B$4),J1594,"")</f>
        <v/>
      </c>
      <c r="AD1594" s="56" t="str">
        <f aca="false">IF(X1594="HIGH RATE",O1594,"")</f>
        <v/>
      </c>
    </row>
    <row r="1595" customFormat="false" ht="15" hidden="false" customHeight="false" outlineLevel="0" collapsed="false">
      <c r="A1595" s="56" t="s">
        <v>3064</v>
      </c>
      <c r="B1595" s="56" t="s">
        <v>3065</v>
      </c>
      <c r="C1595" s="56" t="s">
        <v>668</v>
      </c>
      <c r="D1595" s="56" t="str">
        <f aca="false">IFERROR(INDEX('Brand Map'!$B$4:$B$124,MATCH(C1595,'Brand Map'!$A$4:$A$124,0)),"Other")</f>
        <v>Other (small prefixes)</v>
      </c>
      <c r="E1595" s="57" t="n">
        <v>19</v>
      </c>
      <c r="F1595" s="57" t="n">
        <v>0</v>
      </c>
      <c r="G1595" s="58" t="n">
        <v>1687.25</v>
      </c>
      <c r="H1595" s="58" t="n">
        <v>0</v>
      </c>
      <c r="I1595" s="58" t="n">
        <v>1620.51</v>
      </c>
      <c r="J1595" s="32" t="n">
        <f aca="false">IF(E1595&gt;0,F1595/E1595,0)</f>
        <v>0</v>
      </c>
      <c r="K1595" s="32" t="n">
        <f aca="false">IF(G1595&gt;0,H1595/G1595,0)</f>
        <v>-0</v>
      </c>
      <c r="L1595" s="59" t="n">
        <f aca="false">H1595/Settings!$B$16</f>
        <v>-0</v>
      </c>
      <c r="M1595" s="59" t="n">
        <f aca="false">H1595/Settings!$B$20</f>
        <v>-0</v>
      </c>
      <c r="N1595" s="60" t="n">
        <f aca="false">E1595*Settings!$B$3</f>
        <v>0.588736870516588</v>
      </c>
      <c r="O1595" s="60" t="n">
        <f aca="false">IF(E1595&gt;0,(F1595-N1595)/SQRT(E1595*Settings!$B$3*(1-Settings!$B$3)),0)</f>
        <v>-0.779463216918402</v>
      </c>
      <c r="P1595" s="60" t="n">
        <f aca="false">MAX(0,F1595-N1595)</f>
        <v>0</v>
      </c>
      <c r="Q1595" s="32" t="n">
        <f aca="false">(F1595+Settings!$B$7*Settings!$B$3)/(E1595+Settings!$B$7)</f>
        <v>0.0189711129060125</v>
      </c>
      <c r="R1595" s="61" t="n">
        <f aca="false">PERCENTRANK($H$2:$H$1780,H1595,6)</f>
        <v>0</v>
      </c>
      <c r="S1595" s="61" t="n">
        <f aca="false">PERCENTRANK($Q$2:$Q$1780,Q1595,6)</f>
        <v>0.0776153</v>
      </c>
      <c r="T1595" s="61" t="n">
        <f aca="false">PERCENTRANK($F$2:$F$1780,F1595,6)</f>
        <v>0</v>
      </c>
      <c r="U1595" s="62" t="n">
        <f aca="false">IF(F1595&gt;0,(Settings!$B$8*T1595+Settings!$B$9*R1595+Settings!$B$10*S1595)/SUM(Settings!$B$8:$B$10),0)</f>
        <v>0</v>
      </c>
      <c r="V1595" s="56" t="str">
        <f aca="false">IF(U1595&gt;0,RANK(U1595,$U$2:$U$1780)+COUNTIF($U$2:U1595,U1595)-1,"")</f>
        <v/>
      </c>
      <c r="W1595" s="56" t="str">
        <f aca="false">IF(V1595="","",IF(V1595&lt;=Settings!$B$11,"1 - Fix first",IF(V1595&lt;=Settings!$B$12,"2 - Review","3 - Monitor")))</f>
        <v/>
      </c>
      <c r="X1595" s="56" t="str">
        <f aca="false">IF(AND(E1595&gt;=Settings!$B$4,F1595&gt;=Settings!$B$5,O1595&gt;=Settings!$B$6),"HIGH RATE","")</f>
        <v/>
      </c>
      <c r="Y1595" s="56" t="str">
        <f aca="false">IF(F1595&gt;0,RANK(F1595,$F$2:$F$1780)+COUNTIF($F$2:F1595,F1595)-1,"")</f>
        <v/>
      </c>
      <c r="Z1595" s="56" t="str">
        <f aca="false">IF(H1595&gt;0,RANK(H1595,$H$2:$H$1780)+COUNTIF($H$2:H1595,H1595)-1,"")</f>
        <v/>
      </c>
      <c r="AA1595" s="56" t="str">
        <f aca="false">IF(AC1595="","",RANK(AC1595,$AC$2:$AC$1780)+COUNTIF($AC$2:AC1595,AC1595)-1)</f>
        <v/>
      </c>
      <c r="AB1595" s="56" t="str">
        <f aca="false">IF(AD1595="","",RANK(AD1595,$AD$2:$AD$1780)+COUNTIF($AD$2:AD1595,AD1595)-1)</f>
        <v/>
      </c>
      <c r="AC1595" s="56" t="str">
        <f aca="false">IF(AND(F1595&gt;0,E1595&gt;=Settings!$B$4),J1595,"")</f>
        <v/>
      </c>
      <c r="AD1595" s="56" t="str">
        <f aca="false">IF(X1595="HIGH RATE",O1595,"")</f>
        <v/>
      </c>
    </row>
    <row r="1596" customFormat="false" ht="15" hidden="false" customHeight="false" outlineLevel="0" collapsed="false">
      <c r="A1596" s="56" t="s">
        <v>3066</v>
      </c>
      <c r="B1596" s="56" t="s">
        <v>3067</v>
      </c>
      <c r="C1596" s="56" t="s">
        <v>668</v>
      </c>
      <c r="D1596" s="56" t="str">
        <f aca="false">IFERROR(INDEX('Brand Map'!$B$4:$B$124,MATCH(C1596,'Brand Map'!$A$4:$A$124,0)),"Other")</f>
        <v>Other (small prefixes)</v>
      </c>
      <c r="E1596" s="57" t="n">
        <v>20</v>
      </c>
      <c r="F1596" s="57" t="n">
        <v>0</v>
      </c>
      <c r="G1596" s="58" t="n">
        <v>1441.29</v>
      </c>
      <c r="H1596" s="58" t="n">
        <v>0</v>
      </c>
      <c r="I1596" s="58" t="n">
        <v>1417.86</v>
      </c>
      <c r="J1596" s="32" t="n">
        <f aca="false">IF(E1596&gt;0,F1596/E1596,0)</f>
        <v>0</v>
      </c>
      <c r="K1596" s="32" t="n">
        <f aca="false">IF(G1596&gt;0,H1596/G1596,0)</f>
        <v>-0</v>
      </c>
      <c r="L1596" s="59" t="n">
        <f aca="false">H1596/Settings!$B$16</f>
        <v>-0</v>
      </c>
      <c r="M1596" s="59" t="n">
        <f aca="false">H1596/Settings!$B$20</f>
        <v>-0</v>
      </c>
      <c r="N1596" s="60" t="n">
        <f aca="false">E1596*Settings!$B$3</f>
        <v>0.619723021596408</v>
      </c>
      <c r="O1596" s="60" t="n">
        <f aca="false">IF(E1596&gt;0,(F1596-N1596)/SQRT(E1596*Settings!$B$3*(1-Settings!$B$3)),0)</f>
        <v>-0.799712386804935</v>
      </c>
      <c r="P1596" s="60" t="n">
        <f aca="false">MAX(0,F1596-N1596)</f>
        <v>0</v>
      </c>
      <c r="Q1596" s="32" t="n">
        <f aca="false">(F1596+Settings!$B$7*Settings!$B$3)/(E1596+Settings!$B$7)</f>
        <v>0.0185916906478923</v>
      </c>
      <c r="R1596" s="61" t="n">
        <f aca="false">PERCENTRANK($H$2:$H$1780,H1596,6)</f>
        <v>0</v>
      </c>
      <c r="S1596" s="61" t="n">
        <f aca="false">PERCENTRANK($Q$2:$Q$1780,Q1596,6)</f>
        <v>0.0748031</v>
      </c>
      <c r="T1596" s="61" t="n">
        <f aca="false">PERCENTRANK($F$2:$F$1780,F1596,6)</f>
        <v>0</v>
      </c>
      <c r="U1596" s="62" t="n">
        <f aca="false">IF(F1596&gt;0,(Settings!$B$8*T1596+Settings!$B$9*R1596+Settings!$B$10*S1596)/SUM(Settings!$B$8:$B$10),0)</f>
        <v>0</v>
      </c>
      <c r="V1596" s="56" t="str">
        <f aca="false">IF(U1596&gt;0,RANK(U1596,$U$2:$U$1780)+COUNTIF($U$2:U1596,U1596)-1,"")</f>
        <v/>
      </c>
      <c r="W1596" s="56" t="str">
        <f aca="false">IF(V1596="","",IF(V1596&lt;=Settings!$B$11,"1 - Fix first",IF(V1596&lt;=Settings!$B$12,"2 - Review","3 - Monitor")))</f>
        <v/>
      </c>
      <c r="X1596" s="56" t="str">
        <f aca="false">IF(AND(E1596&gt;=Settings!$B$4,F1596&gt;=Settings!$B$5,O1596&gt;=Settings!$B$6),"HIGH RATE","")</f>
        <v/>
      </c>
      <c r="Y1596" s="56" t="str">
        <f aca="false">IF(F1596&gt;0,RANK(F1596,$F$2:$F$1780)+COUNTIF($F$2:F1596,F1596)-1,"")</f>
        <v/>
      </c>
      <c r="Z1596" s="56" t="str">
        <f aca="false">IF(H1596&gt;0,RANK(H1596,$H$2:$H$1780)+COUNTIF($H$2:H1596,H1596)-1,"")</f>
        <v/>
      </c>
      <c r="AA1596" s="56" t="str">
        <f aca="false">IF(AC1596="","",RANK(AC1596,$AC$2:$AC$1780)+COUNTIF($AC$2:AC1596,AC1596)-1)</f>
        <v/>
      </c>
      <c r="AB1596" s="56" t="str">
        <f aca="false">IF(AD1596="","",RANK(AD1596,$AD$2:$AD$1780)+COUNTIF($AD$2:AD1596,AD1596)-1)</f>
        <v/>
      </c>
      <c r="AC1596" s="56" t="str">
        <f aca="false">IF(AND(F1596&gt;0,E1596&gt;=Settings!$B$4),J1596,"")</f>
        <v/>
      </c>
      <c r="AD1596" s="56" t="str">
        <f aca="false">IF(X1596="HIGH RATE",O1596,"")</f>
        <v/>
      </c>
    </row>
    <row r="1597" customFormat="false" ht="15" hidden="false" customHeight="false" outlineLevel="0" collapsed="false">
      <c r="A1597" s="56" t="s">
        <v>669</v>
      </c>
      <c r="B1597" s="56" t="s">
        <v>670</v>
      </c>
      <c r="C1597" s="56" t="s">
        <v>668</v>
      </c>
      <c r="D1597" s="56" t="str">
        <f aca="false">IFERROR(INDEX('Brand Map'!$B$4:$B$124,MATCH(C1597,'Brand Map'!$A$4:$A$124,0)),"Other")</f>
        <v>Other (small prefixes)</v>
      </c>
      <c r="E1597" s="57" t="n">
        <v>22</v>
      </c>
      <c r="F1597" s="57" t="n">
        <v>0</v>
      </c>
      <c r="G1597" s="58" t="n">
        <v>2194.87</v>
      </c>
      <c r="H1597" s="58" t="n">
        <v>0</v>
      </c>
      <c r="I1597" s="58" t="n">
        <v>2177.63</v>
      </c>
      <c r="J1597" s="32" t="n">
        <f aca="false">IF(E1597&gt;0,F1597/E1597,0)</f>
        <v>0</v>
      </c>
      <c r="K1597" s="32" t="n">
        <f aca="false">IF(G1597&gt;0,H1597/G1597,0)</f>
        <v>-0</v>
      </c>
      <c r="L1597" s="59" t="n">
        <f aca="false">H1597/Settings!$B$16</f>
        <v>-0</v>
      </c>
      <c r="M1597" s="59" t="n">
        <f aca="false">H1597/Settings!$B$20</f>
        <v>-0</v>
      </c>
      <c r="N1597" s="60" t="n">
        <f aca="false">E1597*Settings!$B$3</f>
        <v>0.681695323756049</v>
      </c>
      <c r="O1597" s="60" t="n">
        <f aca="false">IF(E1597&gt;0,(F1597-N1597)/SQRT(E1597*Settings!$B$3*(1-Settings!$B$3)),0)</f>
        <v>-0.838745427272287</v>
      </c>
      <c r="P1597" s="60" t="n">
        <f aca="false">MAX(0,F1597-N1597)</f>
        <v>0</v>
      </c>
      <c r="Q1597" s="32" t="n">
        <f aca="false">(F1597+Settings!$B$7*Settings!$B$3)/(E1597+Settings!$B$7)</f>
        <v>0.0178766256229733</v>
      </c>
      <c r="R1597" s="61" t="n">
        <f aca="false">PERCENTRANK($H$2:$H$1780,H1597,6)</f>
        <v>0</v>
      </c>
      <c r="S1597" s="61" t="n">
        <f aca="false">PERCENTRANK($Q$2:$Q$1780,Q1597,6)</f>
        <v>0.0658043</v>
      </c>
      <c r="T1597" s="61" t="n">
        <f aca="false">PERCENTRANK($F$2:$F$1780,F1597,6)</f>
        <v>0</v>
      </c>
      <c r="U1597" s="62" t="n">
        <f aca="false">IF(F1597&gt;0,(Settings!$B$8*T1597+Settings!$B$9*R1597+Settings!$B$10*S1597)/SUM(Settings!$B$8:$B$10),0)</f>
        <v>0</v>
      </c>
      <c r="V1597" s="56" t="str">
        <f aca="false">IF(U1597&gt;0,RANK(U1597,$U$2:$U$1780)+COUNTIF($U$2:U1597,U1597)-1,"")</f>
        <v/>
      </c>
      <c r="W1597" s="56" t="str">
        <f aca="false">IF(V1597="","",IF(V1597&lt;=Settings!$B$11,"1 - Fix first",IF(V1597&lt;=Settings!$B$12,"2 - Review","3 - Monitor")))</f>
        <v/>
      </c>
      <c r="X1597" s="56" t="str">
        <f aca="false">IF(AND(E1597&gt;=Settings!$B$4,F1597&gt;=Settings!$B$5,O1597&gt;=Settings!$B$6),"HIGH RATE","")</f>
        <v/>
      </c>
      <c r="Y1597" s="56" t="str">
        <f aca="false">IF(F1597&gt;0,RANK(F1597,$F$2:$F$1780)+COUNTIF($F$2:F1597,F1597)-1,"")</f>
        <v/>
      </c>
      <c r="Z1597" s="56" t="str">
        <f aca="false">IF(H1597&gt;0,RANK(H1597,$H$2:$H$1780)+COUNTIF($H$2:H1597,H1597)-1,"")</f>
        <v/>
      </c>
      <c r="AA1597" s="56" t="str">
        <f aca="false">IF(AC1597="","",RANK(AC1597,$AC$2:$AC$1780)+COUNTIF($AC$2:AC1597,AC1597)-1)</f>
        <v/>
      </c>
      <c r="AB1597" s="56" t="str">
        <f aca="false">IF(AD1597="","",RANK(AD1597,$AD$2:$AD$1780)+COUNTIF($AD$2:AD1597,AD1597)-1)</f>
        <v/>
      </c>
      <c r="AC1597" s="56" t="str">
        <f aca="false">IF(AND(F1597&gt;0,E1597&gt;=Settings!$B$4),J1597,"")</f>
        <v/>
      </c>
      <c r="AD1597" s="56" t="str">
        <f aca="false">IF(X1597="HIGH RATE",O1597,"")</f>
        <v/>
      </c>
    </row>
    <row r="1598" customFormat="false" ht="15" hidden="false" customHeight="false" outlineLevel="0" collapsed="false">
      <c r="A1598" s="56" t="s">
        <v>788</v>
      </c>
      <c r="B1598" s="56" t="s">
        <v>789</v>
      </c>
      <c r="C1598" s="56" t="s">
        <v>787</v>
      </c>
      <c r="D1598" s="56" t="str">
        <f aca="false">IFERROR(INDEX('Brand Map'!$B$4:$B$124,MATCH(C1598,'Brand Map'!$A$4:$A$124,0)),"Other")</f>
        <v>Other (small prefixes)</v>
      </c>
      <c r="E1598" s="57" t="n">
        <v>3</v>
      </c>
      <c r="F1598" s="57" t="n">
        <v>0</v>
      </c>
      <c r="G1598" s="58" t="n">
        <v>136.23</v>
      </c>
      <c r="H1598" s="58" t="n">
        <v>0</v>
      </c>
      <c r="I1598" s="58" t="n">
        <v>129.43</v>
      </c>
      <c r="J1598" s="32" t="n">
        <f aca="false">IF(E1598&gt;0,F1598/E1598,0)</f>
        <v>0</v>
      </c>
      <c r="K1598" s="32" t="n">
        <f aca="false">IF(G1598&gt;0,H1598/G1598,0)</f>
        <v>-0</v>
      </c>
      <c r="L1598" s="59" t="n">
        <f aca="false">H1598/Settings!$B$16</f>
        <v>-0</v>
      </c>
      <c r="M1598" s="59" t="n">
        <f aca="false">H1598/Settings!$B$20</f>
        <v>-0</v>
      </c>
      <c r="N1598" s="60" t="n">
        <f aca="false">E1598*Settings!$B$3</f>
        <v>0.0929584532394613</v>
      </c>
      <c r="O1598" s="60" t="n">
        <f aca="false">IF(E1598&gt;0,(F1598-N1598)/SQRT(E1598*Settings!$B$3*(1-Settings!$B$3)),0)</f>
        <v>-0.30972727558513</v>
      </c>
      <c r="P1598" s="60" t="n">
        <f aca="false">MAX(0,F1598-N1598)</f>
        <v>0</v>
      </c>
      <c r="Q1598" s="32" t="n">
        <f aca="false">(F1598+Settings!$B$7*Settings!$B$3)/(E1598+Settings!$B$7)</f>
        <v>0.0281692282543822</v>
      </c>
      <c r="R1598" s="61" t="n">
        <f aca="false">PERCENTRANK($H$2:$H$1780,H1598,6)</f>
        <v>0</v>
      </c>
      <c r="S1598" s="61" t="n">
        <f aca="false">PERCENTRANK($Q$2:$Q$1780,Q1598,6)</f>
        <v>0.294151</v>
      </c>
      <c r="T1598" s="61" t="n">
        <f aca="false">PERCENTRANK($F$2:$F$1780,F1598,6)</f>
        <v>0</v>
      </c>
      <c r="U1598" s="62" t="n">
        <f aca="false">IF(F1598&gt;0,(Settings!$B$8*T1598+Settings!$B$9*R1598+Settings!$B$10*S1598)/SUM(Settings!$B$8:$B$10),0)</f>
        <v>0</v>
      </c>
      <c r="V1598" s="56" t="str">
        <f aca="false">IF(U1598&gt;0,RANK(U1598,$U$2:$U$1780)+COUNTIF($U$2:U1598,U1598)-1,"")</f>
        <v/>
      </c>
      <c r="W1598" s="56" t="str">
        <f aca="false">IF(V1598="","",IF(V1598&lt;=Settings!$B$11,"1 - Fix first",IF(V1598&lt;=Settings!$B$12,"2 - Review","3 - Monitor")))</f>
        <v/>
      </c>
      <c r="X1598" s="56" t="str">
        <f aca="false">IF(AND(E1598&gt;=Settings!$B$4,F1598&gt;=Settings!$B$5,O1598&gt;=Settings!$B$6),"HIGH RATE","")</f>
        <v/>
      </c>
      <c r="Y1598" s="56" t="str">
        <f aca="false">IF(F1598&gt;0,RANK(F1598,$F$2:$F$1780)+COUNTIF($F$2:F1598,F1598)-1,"")</f>
        <v/>
      </c>
      <c r="Z1598" s="56" t="str">
        <f aca="false">IF(H1598&gt;0,RANK(H1598,$H$2:$H$1780)+COUNTIF($H$2:H1598,H1598)-1,"")</f>
        <v/>
      </c>
      <c r="AA1598" s="56" t="str">
        <f aca="false">IF(AC1598="","",RANK(AC1598,$AC$2:$AC$1780)+COUNTIF($AC$2:AC1598,AC1598)-1)</f>
        <v/>
      </c>
      <c r="AB1598" s="56" t="str">
        <f aca="false">IF(AD1598="","",RANK(AD1598,$AD$2:$AD$1780)+COUNTIF($AD$2:AD1598,AD1598)-1)</f>
        <v/>
      </c>
      <c r="AC1598" s="56" t="str">
        <f aca="false">IF(AND(F1598&gt;0,E1598&gt;=Settings!$B$4),J1598,"")</f>
        <v/>
      </c>
      <c r="AD1598" s="56" t="str">
        <f aca="false">IF(X1598="HIGH RATE",O1598,"")</f>
        <v/>
      </c>
    </row>
    <row r="1599" customFormat="false" ht="15" hidden="false" customHeight="false" outlineLevel="0" collapsed="false">
      <c r="A1599" s="56" t="s">
        <v>3068</v>
      </c>
      <c r="B1599" s="56" t="s">
        <v>3069</v>
      </c>
      <c r="C1599" s="56" t="s">
        <v>737</v>
      </c>
      <c r="D1599" s="56" t="str">
        <f aca="false">IFERROR(INDEX('Brand Map'!$B$4:$B$124,MATCH(C1599,'Brand Map'!$A$4:$A$124,0)),"Other")</f>
        <v>Other (small prefixes)</v>
      </c>
      <c r="E1599" s="57" t="n">
        <v>2</v>
      </c>
      <c r="F1599" s="57" t="n">
        <v>0</v>
      </c>
      <c r="G1599" s="58" t="n">
        <v>122.63</v>
      </c>
      <c r="H1599" s="58" t="n">
        <v>0</v>
      </c>
      <c r="I1599" s="58" t="n">
        <v>122.63</v>
      </c>
      <c r="J1599" s="32" t="n">
        <f aca="false">IF(E1599&gt;0,F1599/E1599,0)</f>
        <v>0</v>
      </c>
      <c r="K1599" s="32" t="n">
        <f aca="false">IF(G1599&gt;0,H1599/G1599,0)</f>
        <v>-0</v>
      </c>
      <c r="L1599" s="59" t="n">
        <f aca="false">H1599/Settings!$B$16</f>
        <v>-0</v>
      </c>
      <c r="M1599" s="59" t="n">
        <f aca="false">H1599/Settings!$B$20</f>
        <v>-0</v>
      </c>
      <c r="N1599" s="60" t="n">
        <f aca="false">E1599*Settings!$B$3</f>
        <v>0.0619723021596408</v>
      </c>
      <c r="O1599" s="60" t="n">
        <f aca="false">IF(E1599&gt;0,(F1599-N1599)/SQRT(E1599*Settings!$B$3*(1-Settings!$B$3)),0)</f>
        <v>-0.252891261535318</v>
      </c>
      <c r="P1599" s="60" t="n">
        <f aca="false">MAX(0,F1599-N1599)</f>
        <v>0</v>
      </c>
      <c r="Q1599" s="32" t="n">
        <f aca="false">(F1599+Settings!$B$7*Settings!$B$3)/(E1599+Settings!$B$7)</f>
        <v>0.0290495166373316</v>
      </c>
      <c r="R1599" s="61" t="n">
        <f aca="false">PERCENTRANK($H$2:$H$1780,H1599,6)</f>
        <v>0</v>
      </c>
      <c r="S1599" s="61" t="n">
        <f aca="false">PERCENTRANK($Q$2:$Q$1780,Q1599,6)</f>
        <v>0.365579</v>
      </c>
      <c r="T1599" s="61" t="n">
        <f aca="false">PERCENTRANK($F$2:$F$1780,F1599,6)</f>
        <v>0</v>
      </c>
      <c r="U1599" s="62" t="n">
        <f aca="false">IF(F1599&gt;0,(Settings!$B$8*T1599+Settings!$B$9*R1599+Settings!$B$10*S1599)/SUM(Settings!$B$8:$B$10),0)</f>
        <v>0</v>
      </c>
      <c r="V1599" s="56" t="str">
        <f aca="false">IF(U1599&gt;0,RANK(U1599,$U$2:$U$1780)+COUNTIF($U$2:U1599,U1599)-1,"")</f>
        <v/>
      </c>
      <c r="W1599" s="56" t="str">
        <f aca="false">IF(V1599="","",IF(V1599&lt;=Settings!$B$11,"1 - Fix first",IF(V1599&lt;=Settings!$B$12,"2 - Review","3 - Monitor")))</f>
        <v/>
      </c>
      <c r="X1599" s="56" t="str">
        <f aca="false">IF(AND(E1599&gt;=Settings!$B$4,F1599&gt;=Settings!$B$5,O1599&gt;=Settings!$B$6),"HIGH RATE","")</f>
        <v/>
      </c>
      <c r="Y1599" s="56" t="str">
        <f aca="false">IF(F1599&gt;0,RANK(F1599,$F$2:$F$1780)+COUNTIF($F$2:F1599,F1599)-1,"")</f>
        <v/>
      </c>
      <c r="Z1599" s="56" t="str">
        <f aca="false">IF(H1599&gt;0,RANK(H1599,$H$2:$H$1780)+COUNTIF($H$2:H1599,H1599)-1,"")</f>
        <v/>
      </c>
      <c r="AA1599" s="56" t="str">
        <f aca="false">IF(AC1599="","",RANK(AC1599,$AC$2:$AC$1780)+COUNTIF($AC$2:AC1599,AC1599)-1)</f>
        <v/>
      </c>
      <c r="AB1599" s="56" t="str">
        <f aca="false">IF(AD1599="","",RANK(AD1599,$AD$2:$AD$1780)+COUNTIF($AD$2:AD1599,AD1599)-1)</f>
        <v/>
      </c>
      <c r="AC1599" s="56" t="str">
        <f aca="false">IF(AND(F1599&gt;0,E1599&gt;=Settings!$B$4),J1599,"")</f>
        <v/>
      </c>
      <c r="AD1599" s="56" t="str">
        <f aca="false">IF(X1599="HIGH RATE",O1599,"")</f>
        <v/>
      </c>
    </row>
    <row r="1600" customFormat="false" ht="15" hidden="false" customHeight="false" outlineLevel="0" collapsed="false">
      <c r="A1600" s="56" t="s">
        <v>3070</v>
      </c>
      <c r="B1600" s="56" t="s">
        <v>3071</v>
      </c>
      <c r="C1600" s="56" t="s">
        <v>737</v>
      </c>
      <c r="D1600" s="56" t="str">
        <f aca="false">IFERROR(INDEX('Brand Map'!$B$4:$B$124,MATCH(C1600,'Brand Map'!$A$4:$A$124,0)),"Other")</f>
        <v>Other (small prefixes)</v>
      </c>
      <c r="E1600" s="57" t="n">
        <v>1</v>
      </c>
      <c r="F1600" s="57" t="n">
        <v>0</v>
      </c>
      <c r="G1600" s="58" t="n">
        <v>101.95</v>
      </c>
      <c r="H1600" s="58" t="n">
        <v>0</v>
      </c>
      <c r="I1600" s="58" t="n">
        <v>101.95</v>
      </c>
      <c r="J1600" s="32" t="n">
        <f aca="false">IF(E1600&gt;0,F1600/E1600,0)</f>
        <v>0</v>
      </c>
      <c r="K1600" s="32" t="n">
        <f aca="false">IF(G1600&gt;0,H1600/G1600,0)</f>
        <v>-0</v>
      </c>
      <c r="L1600" s="59" t="n">
        <f aca="false">H1600/Settings!$B$16</f>
        <v>-0</v>
      </c>
      <c r="M1600" s="59" t="n">
        <f aca="false">H1600/Settings!$B$20</f>
        <v>-0</v>
      </c>
      <c r="N1600" s="60" t="n">
        <f aca="false">E1600*Settings!$B$3</f>
        <v>0.0309861510798204</v>
      </c>
      <c r="O1600" s="60" t="n">
        <f aca="false">IF(E1600&gt;0,(F1600-N1600)/SQRT(E1600*Settings!$B$3*(1-Settings!$B$3)),0)</f>
        <v>-0.178821125934444</v>
      </c>
      <c r="P1600" s="60" t="n">
        <f aca="false">MAX(0,F1600-N1600)</f>
        <v>0</v>
      </c>
      <c r="Q1600" s="32" t="n">
        <f aca="false">(F1600+Settings!$B$7*Settings!$B$3)/(E1600+Settings!$B$7)</f>
        <v>0.0299865978191811</v>
      </c>
      <c r="R1600" s="61" t="n">
        <f aca="false">PERCENTRANK($H$2:$H$1780,H1600,6)</f>
        <v>0</v>
      </c>
      <c r="S1600" s="61" t="n">
        <f aca="false">PERCENTRANK($Q$2:$Q$1780,Q1600,6)</f>
        <v>0.486502</v>
      </c>
      <c r="T1600" s="61" t="n">
        <f aca="false">PERCENTRANK($F$2:$F$1780,F1600,6)</f>
        <v>0</v>
      </c>
      <c r="U1600" s="62" t="n">
        <f aca="false">IF(F1600&gt;0,(Settings!$B$8*T1600+Settings!$B$9*R1600+Settings!$B$10*S1600)/SUM(Settings!$B$8:$B$10),0)</f>
        <v>0</v>
      </c>
      <c r="V1600" s="56" t="str">
        <f aca="false">IF(U1600&gt;0,RANK(U1600,$U$2:$U$1780)+COUNTIF($U$2:U1600,U1600)-1,"")</f>
        <v/>
      </c>
      <c r="W1600" s="56" t="str">
        <f aca="false">IF(V1600="","",IF(V1600&lt;=Settings!$B$11,"1 - Fix first",IF(V1600&lt;=Settings!$B$12,"2 - Review","3 - Monitor")))</f>
        <v/>
      </c>
      <c r="X1600" s="56" t="str">
        <f aca="false">IF(AND(E1600&gt;=Settings!$B$4,F1600&gt;=Settings!$B$5,O1600&gt;=Settings!$B$6),"HIGH RATE","")</f>
        <v/>
      </c>
      <c r="Y1600" s="56" t="str">
        <f aca="false">IF(F1600&gt;0,RANK(F1600,$F$2:$F$1780)+COUNTIF($F$2:F1600,F1600)-1,"")</f>
        <v/>
      </c>
      <c r="Z1600" s="56" t="str">
        <f aca="false">IF(H1600&gt;0,RANK(H1600,$H$2:$H$1780)+COUNTIF($H$2:H1600,H1600)-1,"")</f>
        <v/>
      </c>
      <c r="AA1600" s="56" t="str">
        <f aca="false">IF(AC1600="","",RANK(AC1600,$AC$2:$AC$1780)+COUNTIF($AC$2:AC1600,AC1600)-1)</f>
        <v/>
      </c>
      <c r="AB1600" s="56" t="str">
        <f aca="false">IF(AD1600="","",RANK(AD1600,$AD$2:$AD$1780)+COUNTIF($AD$2:AD1600,AD1600)-1)</f>
        <v/>
      </c>
      <c r="AC1600" s="56" t="str">
        <f aca="false">IF(AND(F1600&gt;0,E1600&gt;=Settings!$B$4),J1600,"")</f>
        <v/>
      </c>
      <c r="AD1600" s="56" t="str">
        <f aca="false">IF(X1600="HIGH RATE",O1600,"")</f>
        <v/>
      </c>
    </row>
    <row r="1601" customFormat="false" ht="15" hidden="false" customHeight="false" outlineLevel="0" collapsed="false">
      <c r="A1601" s="56" t="s">
        <v>3072</v>
      </c>
      <c r="B1601" s="56" t="s">
        <v>3073</v>
      </c>
      <c r="C1601" s="56" t="s">
        <v>737</v>
      </c>
      <c r="D1601" s="56" t="str">
        <f aca="false">IFERROR(INDEX('Brand Map'!$B$4:$B$124,MATCH(C1601,'Brand Map'!$A$4:$A$124,0)),"Other")</f>
        <v>Other (small prefixes)</v>
      </c>
      <c r="E1601" s="57" t="n">
        <v>1</v>
      </c>
      <c r="F1601" s="57" t="n">
        <v>0</v>
      </c>
      <c r="G1601" s="58" t="n">
        <v>123.59</v>
      </c>
      <c r="H1601" s="58" t="n">
        <v>0</v>
      </c>
      <c r="I1601" s="58" t="n">
        <v>111.24</v>
      </c>
      <c r="J1601" s="32" t="n">
        <f aca="false">IF(E1601&gt;0,F1601/E1601,0)</f>
        <v>0</v>
      </c>
      <c r="K1601" s="32" t="n">
        <f aca="false">IF(G1601&gt;0,H1601/G1601,0)</f>
        <v>-0</v>
      </c>
      <c r="L1601" s="59" t="n">
        <f aca="false">H1601/Settings!$B$16</f>
        <v>-0</v>
      </c>
      <c r="M1601" s="59" t="n">
        <f aca="false">H1601/Settings!$B$20</f>
        <v>-0</v>
      </c>
      <c r="N1601" s="60" t="n">
        <f aca="false">E1601*Settings!$B$3</f>
        <v>0.0309861510798204</v>
      </c>
      <c r="O1601" s="60" t="n">
        <f aca="false">IF(E1601&gt;0,(F1601-N1601)/SQRT(E1601*Settings!$B$3*(1-Settings!$B$3)),0)</f>
        <v>-0.178821125934444</v>
      </c>
      <c r="P1601" s="60" t="n">
        <f aca="false">MAX(0,F1601-N1601)</f>
        <v>0</v>
      </c>
      <c r="Q1601" s="32" t="n">
        <f aca="false">(F1601+Settings!$B$7*Settings!$B$3)/(E1601+Settings!$B$7)</f>
        <v>0.0299865978191811</v>
      </c>
      <c r="R1601" s="61" t="n">
        <f aca="false">PERCENTRANK($H$2:$H$1780,H1601,6)</f>
        <v>0</v>
      </c>
      <c r="S1601" s="61" t="n">
        <f aca="false">PERCENTRANK($Q$2:$Q$1780,Q1601,6)</f>
        <v>0.486502</v>
      </c>
      <c r="T1601" s="61" t="n">
        <f aca="false">PERCENTRANK($F$2:$F$1780,F1601,6)</f>
        <v>0</v>
      </c>
      <c r="U1601" s="62" t="n">
        <f aca="false">IF(F1601&gt;0,(Settings!$B$8*T1601+Settings!$B$9*R1601+Settings!$B$10*S1601)/SUM(Settings!$B$8:$B$10),0)</f>
        <v>0</v>
      </c>
      <c r="V1601" s="56" t="str">
        <f aca="false">IF(U1601&gt;0,RANK(U1601,$U$2:$U$1780)+COUNTIF($U$2:U1601,U1601)-1,"")</f>
        <v/>
      </c>
      <c r="W1601" s="56" t="str">
        <f aca="false">IF(V1601="","",IF(V1601&lt;=Settings!$B$11,"1 - Fix first",IF(V1601&lt;=Settings!$B$12,"2 - Review","3 - Monitor")))</f>
        <v/>
      </c>
      <c r="X1601" s="56" t="str">
        <f aca="false">IF(AND(E1601&gt;=Settings!$B$4,F1601&gt;=Settings!$B$5,O1601&gt;=Settings!$B$6),"HIGH RATE","")</f>
        <v/>
      </c>
      <c r="Y1601" s="56" t="str">
        <f aca="false">IF(F1601&gt;0,RANK(F1601,$F$2:$F$1780)+COUNTIF($F$2:F1601,F1601)-1,"")</f>
        <v/>
      </c>
      <c r="Z1601" s="56" t="str">
        <f aca="false">IF(H1601&gt;0,RANK(H1601,$H$2:$H$1780)+COUNTIF($H$2:H1601,H1601)-1,"")</f>
        <v/>
      </c>
      <c r="AA1601" s="56" t="str">
        <f aca="false">IF(AC1601="","",RANK(AC1601,$AC$2:$AC$1780)+COUNTIF($AC$2:AC1601,AC1601)-1)</f>
        <v/>
      </c>
      <c r="AB1601" s="56" t="str">
        <f aca="false">IF(AD1601="","",RANK(AD1601,$AD$2:$AD$1780)+COUNTIF($AD$2:AD1601,AD1601)-1)</f>
        <v/>
      </c>
      <c r="AC1601" s="56" t="str">
        <f aca="false">IF(AND(F1601&gt;0,E1601&gt;=Settings!$B$4),J1601,"")</f>
        <v/>
      </c>
      <c r="AD1601" s="56" t="str">
        <f aca="false">IF(X1601="HIGH RATE",O1601,"")</f>
        <v/>
      </c>
    </row>
    <row r="1602" customFormat="false" ht="15" hidden="false" customHeight="false" outlineLevel="0" collapsed="false">
      <c r="A1602" s="56" t="s">
        <v>738</v>
      </c>
      <c r="B1602" s="56" t="s">
        <v>739</v>
      </c>
      <c r="C1602" s="56" t="s">
        <v>737</v>
      </c>
      <c r="D1602" s="56" t="str">
        <f aca="false">IFERROR(INDEX('Brand Map'!$B$4:$B$124,MATCH(C1602,'Brand Map'!$A$4:$A$124,0)),"Other")</f>
        <v>Other (small prefixes)</v>
      </c>
      <c r="E1602" s="57" t="n">
        <v>2</v>
      </c>
      <c r="F1602" s="57" t="n">
        <v>0</v>
      </c>
      <c r="G1602" s="58" t="n">
        <v>343.63</v>
      </c>
      <c r="H1602" s="58" t="n">
        <v>0</v>
      </c>
      <c r="I1602" s="58" t="n">
        <v>343.63</v>
      </c>
      <c r="J1602" s="32" t="n">
        <f aca="false">IF(E1602&gt;0,F1602/E1602,0)</f>
        <v>0</v>
      </c>
      <c r="K1602" s="32" t="n">
        <f aca="false">IF(G1602&gt;0,H1602/G1602,0)</f>
        <v>-0</v>
      </c>
      <c r="L1602" s="59" t="n">
        <f aca="false">H1602/Settings!$B$16</f>
        <v>-0</v>
      </c>
      <c r="M1602" s="59" t="n">
        <f aca="false">H1602/Settings!$B$20</f>
        <v>-0</v>
      </c>
      <c r="N1602" s="60" t="n">
        <f aca="false">E1602*Settings!$B$3</f>
        <v>0.0619723021596408</v>
      </c>
      <c r="O1602" s="60" t="n">
        <f aca="false">IF(E1602&gt;0,(F1602-N1602)/SQRT(E1602*Settings!$B$3*(1-Settings!$B$3)),0)</f>
        <v>-0.252891261535318</v>
      </c>
      <c r="P1602" s="60" t="n">
        <f aca="false">MAX(0,F1602-N1602)</f>
        <v>0</v>
      </c>
      <c r="Q1602" s="32" t="n">
        <f aca="false">(F1602+Settings!$B$7*Settings!$B$3)/(E1602+Settings!$B$7)</f>
        <v>0.0290495166373316</v>
      </c>
      <c r="R1602" s="61" t="n">
        <f aca="false">PERCENTRANK($H$2:$H$1780,H1602,6)</f>
        <v>0</v>
      </c>
      <c r="S1602" s="61" t="n">
        <f aca="false">PERCENTRANK($Q$2:$Q$1780,Q1602,6)</f>
        <v>0.365579</v>
      </c>
      <c r="T1602" s="61" t="n">
        <f aca="false">PERCENTRANK($F$2:$F$1780,F1602,6)</f>
        <v>0</v>
      </c>
      <c r="U1602" s="62" t="n">
        <f aca="false">IF(F1602&gt;0,(Settings!$B$8*T1602+Settings!$B$9*R1602+Settings!$B$10*S1602)/SUM(Settings!$B$8:$B$10),0)</f>
        <v>0</v>
      </c>
      <c r="V1602" s="56" t="str">
        <f aca="false">IF(U1602&gt;0,RANK(U1602,$U$2:$U$1780)+COUNTIF($U$2:U1602,U1602)-1,"")</f>
        <v/>
      </c>
      <c r="W1602" s="56" t="str">
        <f aca="false">IF(V1602="","",IF(V1602&lt;=Settings!$B$11,"1 - Fix first",IF(V1602&lt;=Settings!$B$12,"2 - Review","3 - Monitor")))</f>
        <v/>
      </c>
      <c r="X1602" s="56" t="str">
        <f aca="false">IF(AND(E1602&gt;=Settings!$B$4,F1602&gt;=Settings!$B$5,O1602&gt;=Settings!$B$6),"HIGH RATE","")</f>
        <v/>
      </c>
      <c r="Y1602" s="56" t="str">
        <f aca="false">IF(F1602&gt;0,RANK(F1602,$F$2:$F$1780)+COUNTIF($F$2:F1602,F1602)-1,"")</f>
        <v/>
      </c>
      <c r="Z1602" s="56" t="str">
        <f aca="false">IF(H1602&gt;0,RANK(H1602,$H$2:$H$1780)+COUNTIF($H$2:H1602,H1602)-1,"")</f>
        <v/>
      </c>
      <c r="AA1602" s="56" t="str">
        <f aca="false">IF(AC1602="","",RANK(AC1602,$AC$2:$AC$1780)+COUNTIF($AC$2:AC1602,AC1602)-1)</f>
        <v/>
      </c>
      <c r="AB1602" s="56" t="str">
        <f aca="false">IF(AD1602="","",RANK(AD1602,$AD$2:$AD$1780)+COUNTIF($AD$2:AD1602,AD1602)-1)</f>
        <v/>
      </c>
      <c r="AC1602" s="56" t="str">
        <f aca="false">IF(AND(F1602&gt;0,E1602&gt;=Settings!$B$4),J1602,"")</f>
        <v/>
      </c>
      <c r="AD1602" s="56" t="str">
        <f aca="false">IF(X1602="HIGH RATE",O1602,"")</f>
        <v/>
      </c>
    </row>
    <row r="1603" customFormat="false" ht="15" hidden="false" customHeight="false" outlineLevel="0" collapsed="false">
      <c r="A1603" s="56" t="s">
        <v>604</v>
      </c>
      <c r="B1603" s="56" t="s">
        <v>605</v>
      </c>
      <c r="C1603" s="56" t="s">
        <v>177</v>
      </c>
      <c r="D1603" s="56" t="str">
        <f aca="false">IFERROR(INDEX('Brand Map'!$B$4:$B$124,MATCH(C1603,'Brand Map'!$A$4:$A$124,0)),"Other")</f>
        <v>GBGC</v>
      </c>
      <c r="E1603" s="57" t="n">
        <v>46</v>
      </c>
      <c r="F1603" s="57" t="n">
        <v>0</v>
      </c>
      <c r="G1603" s="58" t="n">
        <v>8330.91</v>
      </c>
      <c r="H1603" s="58" t="n">
        <v>0</v>
      </c>
      <c r="I1603" s="58" t="n">
        <v>8161.94</v>
      </c>
      <c r="J1603" s="32" t="n">
        <f aca="false">IF(E1603&gt;0,F1603/E1603,0)</f>
        <v>0</v>
      </c>
      <c r="K1603" s="32" t="n">
        <f aca="false">IF(G1603&gt;0,H1603/G1603,0)</f>
        <v>-0</v>
      </c>
      <c r="L1603" s="59" t="n">
        <f aca="false">H1603/Settings!$B$16</f>
        <v>-0</v>
      </c>
      <c r="M1603" s="59" t="n">
        <f aca="false">H1603/Settings!$B$20</f>
        <v>-0</v>
      </c>
      <c r="N1603" s="60" t="n">
        <f aca="false">E1603*Settings!$B$3</f>
        <v>1.42536294967174</v>
      </c>
      <c r="O1603" s="60" t="n">
        <f aca="false">IF(E1603&gt;0,(F1603-N1603)/SQRT(E1603*Settings!$B$3*(1-Settings!$B$3)),0)</f>
        <v>-1.2128238840414</v>
      </c>
      <c r="P1603" s="60" t="n">
        <f aca="false">MAX(0,F1603-N1603)</f>
        <v>0</v>
      </c>
      <c r="Q1603" s="32" t="n">
        <f aca="false">(F1603+Settings!$B$7*Settings!$B$3)/(E1603+Settings!$B$7)</f>
        <v>0.0122313754262449</v>
      </c>
      <c r="R1603" s="61" t="n">
        <f aca="false">PERCENTRANK($H$2:$H$1780,H1603,6)</f>
        <v>0</v>
      </c>
      <c r="S1603" s="61" t="n">
        <f aca="false">PERCENTRANK($Q$2:$Q$1780,Q1603,6)</f>
        <v>0.0219348</v>
      </c>
      <c r="T1603" s="61" t="n">
        <f aca="false">PERCENTRANK($F$2:$F$1780,F1603,6)</f>
        <v>0</v>
      </c>
      <c r="U1603" s="62" t="n">
        <f aca="false">IF(F1603&gt;0,(Settings!$B$8*T1603+Settings!$B$9*R1603+Settings!$B$10*S1603)/SUM(Settings!$B$8:$B$10),0)</f>
        <v>0</v>
      </c>
      <c r="V1603" s="56" t="str">
        <f aca="false">IF(U1603&gt;0,RANK(U1603,$U$2:$U$1780)+COUNTIF($U$2:U1603,U1603)-1,"")</f>
        <v/>
      </c>
      <c r="W1603" s="56" t="str">
        <f aca="false">IF(V1603="","",IF(V1603&lt;=Settings!$B$11,"1 - Fix first",IF(V1603&lt;=Settings!$B$12,"2 - Review","3 - Monitor")))</f>
        <v/>
      </c>
      <c r="X1603" s="56" t="str">
        <f aca="false">IF(AND(E1603&gt;=Settings!$B$4,F1603&gt;=Settings!$B$5,O1603&gt;=Settings!$B$6),"HIGH RATE","")</f>
        <v/>
      </c>
      <c r="Y1603" s="56" t="str">
        <f aca="false">IF(F1603&gt;0,RANK(F1603,$F$2:$F$1780)+COUNTIF($F$2:F1603,F1603)-1,"")</f>
        <v/>
      </c>
      <c r="Z1603" s="56" t="str">
        <f aca="false">IF(H1603&gt;0,RANK(H1603,$H$2:$H$1780)+COUNTIF($H$2:H1603,H1603)-1,"")</f>
        <v/>
      </c>
      <c r="AA1603" s="56" t="str">
        <f aca="false">IF(AC1603="","",RANK(AC1603,$AC$2:$AC$1780)+COUNTIF($AC$2:AC1603,AC1603)-1)</f>
        <v/>
      </c>
      <c r="AB1603" s="56" t="str">
        <f aca="false">IF(AD1603="","",RANK(AD1603,$AD$2:$AD$1780)+COUNTIF($AD$2:AD1603,AD1603)-1)</f>
        <v/>
      </c>
      <c r="AC1603" s="56" t="str">
        <f aca="false">IF(AND(F1603&gt;0,E1603&gt;=Settings!$B$4),J1603,"")</f>
        <v/>
      </c>
      <c r="AD1603" s="56" t="str">
        <f aca="false">IF(X1603="HIGH RATE",O1603,"")</f>
        <v/>
      </c>
    </row>
    <row r="1604" customFormat="false" ht="15" hidden="false" customHeight="false" outlineLevel="0" collapsed="false">
      <c r="A1604" s="56" t="s">
        <v>627</v>
      </c>
      <c r="B1604" s="56" t="s">
        <v>628</v>
      </c>
      <c r="C1604" s="56" t="s">
        <v>626</v>
      </c>
      <c r="D1604" s="56" t="str">
        <f aca="false">IFERROR(INDEX('Brand Map'!$B$4:$B$124,MATCH(C1604,'Brand Map'!$A$4:$A$124,0)),"Other")</f>
        <v>Other (small prefixes)</v>
      </c>
      <c r="E1604" s="57" t="n">
        <v>62</v>
      </c>
      <c r="F1604" s="57" t="n">
        <v>0</v>
      </c>
      <c r="G1604" s="58" t="n">
        <v>6153.32</v>
      </c>
      <c r="H1604" s="58" t="n">
        <v>0</v>
      </c>
      <c r="I1604" s="58" t="n">
        <v>5969.82</v>
      </c>
      <c r="J1604" s="32" t="n">
        <f aca="false">IF(E1604&gt;0,F1604/E1604,0)</f>
        <v>0</v>
      </c>
      <c r="K1604" s="32" t="n">
        <f aca="false">IF(G1604&gt;0,H1604/G1604,0)</f>
        <v>-0</v>
      </c>
      <c r="L1604" s="59" t="n">
        <f aca="false">H1604/Settings!$B$16</f>
        <v>-0</v>
      </c>
      <c r="M1604" s="59" t="n">
        <f aca="false">H1604/Settings!$B$20</f>
        <v>-0</v>
      </c>
      <c r="N1604" s="60" t="n">
        <f aca="false">E1604*Settings!$B$3</f>
        <v>1.92114136694887</v>
      </c>
      <c r="O1604" s="60" t="n">
        <f aca="false">IF(E1604&gt;0,(F1604-N1604)/SQRT(E1604*Settings!$B$3*(1-Settings!$B$3)),0)</f>
        <v>-1.40803895364747</v>
      </c>
      <c r="P1604" s="60" t="n">
        <f aca="false">MAX(0,F1604-N1604)</f>
        <v>0</v>
      </c>
      <c r="Q1604" s="32" t="n">
        <f aca="false">(F1604+Settings!$B$7*Settings!$B$3)/(E1604+Settings!$B$7)</f>
        <v>0.0101041796999414</v>
      </c>
      <c r="R1604" s="61" t="n">
        <f aca="false">PERCENTRANK($H$2:$H$1780,H1604,6)</f>
        <v>0</v>
      </c>
      <c r="S1604" s="61" t="n">
        <f aca="false">PERCENTRANK($Q$2:$Q$1780,Q1604,6)</f>
        <v>0.0146232</v>
      </c>
      <c r="T1604" s="61" t="n">
        <f aca="false">PERCENTRANK($F$2:$F$1780,F1604,6)</f>
        <v>0</v>
      </c>
      <c r="U1604" s="62" t="n">
        <f aca="false">IF(F1604&gt;0,(Settings!$B$8*T1604+Settings!$B$9*R1604+Settings!$B$10*S1604)/SUM(Settings!$B$8:$B$10),0)</f>
        <v>0</v>
      </c>
      <c r="V1604" s="56" t="str">
        <f aca="false">IF(U1604&gt;0,RANK(U1604,$U$2:$U$1780)+COUNTIF($U$2:U1604,U1604)-1,"")</f>
        <v/>
      </c>
      <c r="W1604" s="56" t="str">
        <f aca="false">IF(V1604="","",IF(V1604&lt;=Settings!$B$11,"1 - Fix first",IF(V1604&lt;=Settings!$B$12,"2 - Review","3 - Monitor")))</f>
        <v/>
      </c>
      <c r="X1604" s="56" t="str">
        <f aca="false">IF(AND(E1604&gt;=Settings!$B$4,F1604&gt;=Settings!$B$5,O1604&gt;=Settings!$B$6),"HIGH RATE","")</f>
        <v/>
      </c>
      <c r="Y1604" s="56" t="str">
        <f aca="false">IF(F1604&gt;0,RANK(F1604,$F$2:$F$1780)+COUNTIF($F$2:F1604,F1604)-1,"")</f>
        <v/>
      </c>
      <c r="Z1604" s="56" t="str">
        <f aca="false">IF(H1604&gt;0,RANK(H1604,$H$2:$H$1780)+COUNTIF($H$2:H1604,H1604)-1,"")</f>
        <v/>
      </c>
      <c r="AA1604" s="56" t="str">
        <f aca="false">IF(AC1604="","",RANK(AC1604,$AC$2:$AC$1780)+COUNTIF($AC$2:AC1604,AC1604)-1)</f>
        <v/>
      </c>
      <c r="AB1604" s="56" t="str">
        <f aca="false">IF(AD1604="","",RANK(AD1604,$AD$2:$AD$1780)+COUNTIF($AD$2:AD1604,AD1604)-1)</f>
        <v/>
      </c>
      <c r="AC1604" s="56" t="str">
        <f aca="false">IF(AND(F1604&gt;0,E1604&gt;=Settings!$B$4),J1604,"")</f>
        <v/>
      </c>
      <c r="AD1604" s="56" t="str">
        <f aca="false">IF(X1604="HIGH RATE",O1604,"")</f>
        <v/>
      </c>
    </row>
    <row r="1605" customFormat="false" ht="15" hidden="false" customHeight="false" outlineLevel="0" collapsed="false">
      <c r="A1605" s="56" t="s">
        <v>3074</v>
      </c>
      <c r="B1605" s="56" t="s">
        <v>3075</v>
      </c>
      <c r="C1605" s="56" t="s">
        <v>626</v>
      </c>
      <c r="D1605" s="56" t="str">
        <f aca="false">IFERROR(INDEX('Brand Map'!$B$4:$B$124,MATCH(C1605,'Brand Map'!$A$4:$A$124,0)),"Other")</f>
        <v>Other (small prefixes)</v>
      </c>
      <c r="E1605" s="57" t="n">
        <v>15</v>
      </c>
      <c r="F1605" s="57" t="n">
        <v>0</v>
      </c>
      <c r="G1605" s="58" t="n">
        <v>1914.97</v>
      </c>
      <c r="H1605" s="58" t="n">
        <v>0</v>
      </c>
      <c r="I1605" s="58" t="n">
        <v>1855.74</v>
      </c>
      <c r="J1605" s="32" t="n">
        <f aca="false">IF(E1605&gt;0,F1605/E1605,0)</f>
        <v>0</v>
      </c>
      <c r="K1605" s="32" t="n">
        <f aca="false">IF(G1605&gt;0,H1605/G1605,0)</f>
        <v>-0</v>
      </c>
      <c r="L1605" s="59" t="n">
        <f aca="false">H1605/Settings!$B$16</f>
        <v>-0</v>
      </c>
      <c r="M1605" s="59" t="n">
        <f aca="false">H1605/Settings!$B$20</f>
        <v>-0</v>
      </c>
      <c r="N1605" s="60" t="n">
        <f aca="false">E1605*Settings!$B$3</f>
        <v>0.464792266197306</v>
      </c>
      <c r="O1605" s="60" t="n">
        <f aca="false">IF(E1605&gt;0,(F1605-N1605)/SQRT(E1605*Settings!$B$3*(1-Settings!$B$3)),0)</f>
        <v>-0.692571242694161</v>
      </c>
      <c r="P1605" s="60" t="n">
        <f aca="false">MAX(0,F1605-N1605)</f>
        <v>0</v>
      </c>
      <c r="Q1605" s="32" t="n">
        <f aca="false">(F1605+Settings!$B$7*Settings!$B$3)/(E1605+Settings!$B$7)</f>
        <v>0.0206574340532136</v>
      </c>
      <c r="R1605" s="61" t="n">
        <f aca="false">PERCENTRANK($H$2:$H$1780,H1605,6)</f>
        <v>0</v>
      </c>
      <c r="S1605" s="61" t="n">
        <f aca="false">PERCENTRANK($Q$2:$Q$1780,Q1605,6)</f>
        <v>0.0928009</v>
      </c>
      <c r="T1605" s="61" t="n">
        <f aca="false">PERCENTRANK($F$2:$F$1780,F1605,6)</f>
        <v>0</v>
      </c>
      <c r="U1605" s="62" t="n">
        <f aca="false">IF(F1605&gt;0,(Settings!$B$8*T1605+Settings!$B$9*R1605+Settings!$B$10*S1605)/SUM(Settings!$B$8:$B$10),0)</f>
        <v>0</v>
      </c>
      <c r="V1605" s="56" t="str">
        <f aca="false">IF(U1605&gt;0,RANK(U1605,$U$2:$U$1780)+COUNTIF($U$2:U1605,U1605)-1,"")</f>
        <v/>
      </c>
      <c r="W1605" s="56" t="str">
        <f aca="false">IF(V1605="","",IF(V1605&lt;=Settings!$B$11,"1 - Fix first",IF(V1605&lt;=Settings!$B$12,"2 - Review","3 - Monitor")))</f>
        <v/>
      </c>
      <c r="X1605" s="56" t="str">
        <f aca="false">IF(AND(E1605&gt;=Settings!$B$4,F1605&gt;=Settings!$B$5,O1605&gt;=Settings!$B$6),"HIGH RATE","")</f>
        <v/>
      </c>
      <c r="Y1605" s="56" t="str">
        <f aca="false">IF(F1605&gt;0,RANK(F1605,$F$2:$F$1780)+COUNTIF($F$2:F1605,F1605)-1,"")</f>
        <v/>
      </c>
      <c r="Z1605" s="56" t="str">
        <f aca="false">IF(H1605&gt;0,RANK(H1605,$H$2:$H$1780)+COUNTIF($H$2:H1605,H1605)-1,"")</f>
        <v/>
      </c>
      <c r="AA1605" s="56" t="str">
        <f aca="false">IF(AC1605="","",RANK(AC1605,$AC$2:$AC$1780)+COUNTIF($AC$2:AC1605,AC1605)-1)</f>
        <v/>
      </c>
      <c r="AB1605" s="56" t="str">
        <f aca="false">IF(AD1605="","",RANK(AD1605,$AD$2:$AD$1780)+COUNTIF($AD$2:AD1605,AD1605)-1)</f>
        <v/>
      </c>
      <c r="AC1605" s="56" t="str">
        <f aca="false">IF(AND(F1605&gt;0,E1605&gt;=Settings!$B$4),J1605,"")</f>
        <v/>
      </c>
      <c r="AD1605" s="56" t="str">
        <f aca="false">IF(X1605="HIGH RATE",O1605,"")</f>
        <v/>
      </c>
    </row>
    <row r="1606" customFormat="false" ht="15" hidden="false" customHeight="false" outlineLevel="0" collapsed="false">
      <c r="A1606" s="56" t="s">
        <v>3076</v>
      </c>
      <c r="B1606" s="56" t="s">
        <v>3077</v>
      </c>
      <c r="C1606" s="56" t="s">
        <v>626</v>
      </c>
      <c r="D1606" s="56" t="str">
        <f aca="false">IFERROR(INDEX('Brand Map'!$B$4:$B$124,MATCH(C1606,'Brand Map'!$A$4:$A$124,0)),"Other")</f>
        <v>Other (small prefixes)</v>
      </c>
      <c r="E1606" s="57" t="n">
        <v>15</v>
      </c>
      <c r="F1606" s="57" t="n">
        <v>0</v>
      </c>
      <c r="G1606" s="58" t="n">
        <v>2069.29</v>
      </c>
      <c r="H1606" s="58" t="n">
        <v>0</v>
      </c>
      <c r="I1606" s="58" t="n">
        <v>2069.29</v>
      </c>
      <c r="J1606" s="32" t="n">
        <f aca="false">IF(E1606&gt;0,F1606/E1606,0)</f>
        <v>0</v>
      </c>
      <c r="K1606" s="32" t="n">
        <f aca="false">IF(G1606&gt;0,H1606/G1606,0)</f>
        <v>-0</v>
      </c>
      <c r="L1606" s="59" t="n">
        <f aca="false">H1606/Settings!$B$16</f>
        <v>-0</v>
      </c>
      <c r="M1606" s="59" t="n">
        <f aca="false">H1606/Settings!$B$20</f>
        <v>-0</v>
      </c>
      <c r="N1606" s="60" t="n">
        <f aca="false">E1606*Settings!$B$3</f>
        <v>0.464792266197306</v>
      </c>
      <c r="O1606" s="60" t="n">
        <f aca="false">IF(E1606&gt;0,(F1606-N1606)/SQRT(E1606*Settings!$B$3*(1-Settings!$B$3)),0)</f>
        <v>-0.692571242694161</v>
      </c>
      <c r="P1606" s="60" t="n">
        <f aca="false">MAX(0,F1606-N1606)</f>
        <v>0</v>
      </c>
      <c r="Q1606" s="32" t="n">
        <f aca="false">(F1606+Settings!$B$7*Settings!$B$3)/(E1606+Settings!$B$7)</f>
        <v>0.0206574340532136</v>
      </c>
      <c r="R1606" s="61" t="n">
        <f aca="false">PERCENTRANK($H$2:$H$1780,H1606,6)</f>
        <v>0</v>
      </c>
      <c r="S1606" s="61" t="n">
        <f aca="false">PERCENTRANK($Q$2:$Q$1780,Q1606,6)</f>
        <v>0.0928009</v>
      </c>
      <c r="T1606" s="61" t="n">
        <f aca="false">PERCENTRANK($F$2:$F$1780,F1606,6)</f>
        <v>0</v>
      </c>
      <c r="U1606" s="62" t="n">
        <f aca="false">IF(F1606&gt;0,(Settings!$B$8*T1606+Settings!$B$9*R1606+Settings!$B$10*S1606)/SUM(Settings!$B$8:$B$10),0)</f>
        <v>0</v>
      </c>
      <c r="V1606" s="56" t="str">
        <f aca="false">IF(U1606&gt;0,RANK(U1606,$U$2:$U$1780)+COUNTIF($U$2:U1606,U1606)-1,"")</f>
        <v/>
      </c>
      <c r="W1606" s="56" t="str">
        <f aca="false">IF(V1606="","",IF(V1606&lt;=Settings!$B$11,"1 - Fix first",IF(V1606&lt;=Settings!$B$12,"2 - Review","3 - Monitor")))</f>
        <v/>
      </c>
      <c r="X1606" s="56" t="str">
        <f aca="false">IF(AND(E1606&gt;=Settings!$B$4,F1606&gt;=Settings!$B$5,O1606&gt;=Settings!$B$6),"HIGH RATE","")</f>
        <v/>
      </c>
      <c r="Y1606" s="56" t="str">
        <f aca="false">IF(F1606&gt;0,RANK(F1606,$F$2:$F$1780)+COUNTIF($F$2:F1606,F1606)-1,"")</f>
        <v/>
      </c>
      <c r="Z1606" s="56" t="str">
        <f aca="false">IF(H1606&gt;0,RANK(H1606,$H$2:$H$1780)+COUNTIF($H$2:H1606,H1606)-1,"")</f>
        <v/>
      </c>
      <c r="AA1606" s="56" t="str">
        <f aca="false">IF(AC1606="","",RANK(AC1606,$AC$2:$AC$1780)+COUNTIF($AC$2:AC1606,AC1606)-1)</f>
        <v/>
      </c>
      <c r="AB1606" s="56" t="str">
        <f aca="false">IF(AD1606="","",RANK(AD1606,$AD$2:$AD$1780)+COUNTIF($AD$2:AD1606,AD1606)-1)</f>
        <v/>
      </c>
      <c r="AC1606" s="56" t="str">
        <f aca="false">IF(AND(F1606&gt;0,E1606&gt;=Settings!$B$4),J1606,"")</f>
        <v/>
      </c>
      <c r="AD1606" s="56" t="str">
        <f aca="false">IF(X1606="HIGH RATE",O1606,"")</f>
        <v/>
      </c>
    </row>
    <row r="1607" customFormat="false" ht="15" hidden="false" customHeight="false" outlineLevel="0" collapsed="false">
      <c r="A1607" s="56" t="s">
        <v>3078</v>
      </c>
      <c r="B1607" s="56" t="s">
        <v>3079</v>
      </c>
      <c r="C1607" s="56" t="s">
        <v>626</v>
      </c>
      <c r="D1607" s="56" t="str">
        <f aca="false">IFERROR(INDEX('Brand Map'!$B$4:$B$124,MATCH(C1607,'Brand Map'!$A$4:$A$124,0)),"Other")</f>
        <v>Other (small prefixes)</v>
      </c>
      <c r="E1607" s="57" t="n">
        <v>10</v>
      </c>
      <c r="F1607" s="57" t="n">
        <v>0</v>
      </c>
      <c r="G1607" s="58" t="n">
        <v>1672.72</v>
      </c>
      <c r="H1607" s="58" t="n">
        <v>0</v>
      </c>
      <c r="I1607" s="58" t="n">
        <v>1617.31</v>
      </c>
      <c r="J1607" s="32" t="n">
        <f aca="false">IF(E1607&gt;0,F1607/E1607,0)</f>
        <v>0</v>
      </c>
      <c r="K1607" s="32" t="n">
        <f aca="false">IF(G1607&gt;0,H1607/G1607,0)</f>
        <v>-0</v>
      </c>
      <c r="L1607" s="59" t="n">
        <f aca="false">H1607/Settings!$B$16</f>
        <v>-0</v>
      </c>
      <c r="M1607" s="59" t="n">
        <f aca="false">H1607/Settings!$B$20</f>
        <v>-0</v>
      </c>
      <c r="N1607" s="60" t="n">
        <f aca="false">E1607*Settings!$B$3</f>
        <v>0.309861510798204</v>
      </c>
      <c r="O1607" s="60" t="n">
        <f aca="false">IF(E1607&gt;0,(F1607-N1607)/SQRT(E1607*Settings!$B$3*(1-Settings!$B$3)),0)</f>
        <v>-0.565482051708649</v>
      </c>
      <c r="P1607" s="60" t="n">
        <f aca="false">MAX(0,F1607-N1607)</f>
        <v>0</v>
      </c>
      <c r="Q1607" s="32" t="n">
        <f aca="false">(F1607+Settings!$B$7*Settings!$B$3)/(E1607+Settings!$B$7)</f>
        <v>0.0232396133098653</v>
      </c>
      <c r="R1607" s="61" t="n">
        <f aca="false">PERCENTRANK($H$2:$H$1780,H1607,6)</f>
        <v>0</v>
      </c>
      <c r="S1607" s="61" t="n">
        <f aca="false">PERCENTRANK($Q$2:$Q$1780,Q1607,6)</f>
        <v>0.131046</v>
      </c>
      <c r="T1607" s="61" t="n">
        <f aca="false">PERCENTRANK($F$2:$F$1780,F1607,6)</f>
        <v>0</v>
      </c>
      <c r="U1607" s="62" t="n">
        <f aca="false">IF(F1607&gt;0,(Settings!$B$8*T1607+Settings!$B$9*R1607+Settings!$B$10*S1607)/SUM(Settings!$B$8:$B$10),0)</f>
        <v>0</v>
      </c>
      <c r="V1607" s="56" t="str">
        <f aca="false">IF(U1607&gt;0,RANK(U1607,$U$2:$U$1780)+COUNTIF($U$2:U1607,U1607)-1,"")</f>
        <v/>
      </c>
      <c r="W1607" s="56" t="str">
        <f aca="false">IF(V1607="","",IF(V1607&lt;=Settings!$B$11,"1 - Fix first",IF(V1607&lt;=Settings!$B$12,"2 - Review","3 - Monitor")))</f>
        <v/>
      </c>
      <c r="X1607" s="56" t="str">
        <f aca="false">IF(AND(E1607&gt;=Settings!$B$4,F1607&gt;=Settings!$B$5,O1607&gt;=Settings!$B$6),"HIGH RATE","")</f>
        <v/>
      </c>
      <c r="Y1607" s="56" t="str">
        <f aca="false">IF(F1607&gt;0,RANK(F1607,$F$2:$F$1780)+COUNTIF($F$2:F1607,F1607)-1,"")</f>
        <v/>
      </c>
      <c r="Z1607" s="56" t="str">
        <f aca="false">IF(H1607&gt;0,RANK(H1607,$H$2:$H$1780)+COUNTIF($H$2:H1607,H1607)-1,"")</f>
        <v/>
      </c>
      <c r="AA1607" s="56" t="str">
        <f aca="false">IF(AC1607="","",RANK(AC1607,$AC$2:$AC$1780)+COUNTIF($AC$2:AC1607,AC1607)-1)</f>
        <v/>
      </c>
      <c r="AB1607" s="56" t="str">
        <f aca="false">IF(AD1607="","",RANK(AD1607,$AD$2:$AD$1780)+COUNTIF($AD$2:AD1607,AD1607)-1)</f>
        <v/>
      </c>
      <c r="AC1607" s="56" t="str">
        <f aca="false">IF(AND(F1607&gt;0,E1607&gt;=Settings!$B$4),J1607,"")</f>
        <v/>
      </c>
      <c r="AD1607" s="56" t="str">
        <f aca="false">IF(X1607="HIGH RATE",O1607,"")</f>
        <v/>
      </c>
    </row>
    <row r="1608" customFormat="false" ht="15" hidden="false" customHeight="false" outlineLevel="0" collapsed="false">
      <c r="A1608" s="56" t="s">
        <v>3080</v>
      </c>
      <c r="B1608" s="56" t="s">
        <v>3081</v>
      </c>
      <c r="C1608" s="56" t="s">
        <v>626</v>
      </c>
      <c r="D1608" s="56" t="str">
        <f aca="false">IFERROR(INDEX('Brand Map'!$B$4:$B$124,MATCH(C1608,'Brand Map'!$A$4:$A$124,0)),"Other")</f>
        <v>Other (small prefixes)</v>
      </c>
      <c r="E1608" s="57" t="n">
        <v>5</v>
      </c>
      <c r="F1608" s="57" t="n">
        <v>0</v>
      </c>
      <c r="G1608" s="58" t="n">
        <v>913.4</v>
      </c>
      <c r="H1608" s="58" t="n">
        <v>0</v>
      </c>
      <c r="I1608" s="58" t="n">
        <v>883.41</v>
      </c>
      <c r="J1608" s="32" t="n">
        <f aca="false">IF(E1608&gt;0,F1608/E1608,0)</f>
        <v>0</v>
      </c>
      <c r="K1608" s="32" t="n">
        <f aca="false">IF(G1608&gt;0,H1608/G1608,0)</f>
        <v>-0</v>
      </c>
      <c r="L1608" s="59" t="n">
        <f aca="false">H1608/Settings!$B$16</f>
        <v>-0</v>
      </c>
      <c r="M1608" s="59" t="n">
        <f aca="false">H1608/Settings!$B$20</f>
        <v>-0</v>
      </c>
      <c r="N1608" s="60" t="n">
        <f aca="false">E1608*Settings!$B$3</f>
        <v>0.154930755399102</v>
      </c>
      <c r="O1608" s="60" t="n">
        <f aca="false">IF(E1608&gt;0,(F1608-N1608)/SQRT(E1608*Settings!$B$3*(1-Settings!$B$3)),0)</f>
        <v>-0.399856193402468</v>
      </c>
      <c r="P1608" s="60" t="n">
        <f aca="false">MAX(0,F1608-N1608)</f>
        <v>0</v>
      </c>
      <c r="Q1608" s="32" t="n">
        <f aca="false">(F1608+Settings!$B$7*Settings!$B$3)/(E1608+Settings!$B$7)</f>
        <v>0.0265595580684175</v>
      </c>
      <c r="R1608" s="61" t="n">
        <f aca="false">PERCENTRANK($H$2:$H$1780,H1608,6)</f>
        <v>0</v>
      </c>
      <c r="S1608" s="61" t="n">
        <f aca="false">PERCENTRANK($Q$2:$Q$1780,Q1608,6)</f>
        <v>0.220472</v>
      </c>
      <c r="T1608" s="61" t="n">
        <f aca="false">PERCENTRANK($F$2:$F$1780,F1608,6)</f>
        <v>0</v>
      </c>
      <c r="U1608" s="62" t="n">
        <f aca="false">IF(F1608&gt;0,(Settings!$B$8*T1608+Settings!$B$9*R1608+Settings!$B$10*S1608)/SUM(Settings!$B$8:$B$10),0)</f>
        <v>0</v>
      </c>
      <c r="V1608" s="56" t="str">
        <f aca="false">IF(U1608&gt;0,RANK(U1608,$U$2:$U$1780)+COUNTIF($U$2:U1608,U1608)-1,"")</f>
        <v/>
      </c>
      <c r="W1608" s="56" t="str">
        <f aca="false">IF(V1608="","",IF(V1608&lt;=Settings!$B$11,"1 - Fix first",IF(V1608&lt;=Settings!$B$12,"2 - Review","3 - Monitor")))</f>
        <v/>
      </c>
      <c r="X1608" s="56" t="str">
        <f aca="false">IF(AND(E1608&gt;=Settings!$B$4,F1608&gt;=Settings!$B$5,O1608&gt;=Settings!$B$6),"HIGH RATE","")</f>
        <v/>
      </c>
      <c r="Y1608" s="56" t="str">
        <f aca="false">IF(F1608&gt;0,RANK(F1608,$F$2:$F$1780)+COUNTIF($F$2:F1608,F1608)-1,"")</f>
        <v/>
      </c>
      <c r="Z1608" s="56" t="str">
        <f aca="false">IF(H1608&gt;0,RANK(H1608,$H$2:$H$1780)+COUNTIF($H$2:H1608,H1608)-1,"")</f>
        <v/>
      </c>
      <c r="AA1608" s="56" t="str">
        <f aca="false">IF(AC1608="","",RANK(AC1608,$AC$2:$AC$1780)+COUNTIF($AC$2:AC1608,AC1608)-1)</f>
        <v/>
      </c>
      <c r="AB1608" s="56" t="str">
        <f aca="false">IF(AD1608="","",RANK(AD1608,$AD$2:$AD$1780)+COUNTIF($AD$2:AD1608,AD1608)-1)</f>
        <v/>
      </c>
      <c r="AC1608" s="56" t="str">
        <f aca="false">IF(AND(F1608&gt;0,E1608&gt;=Settings!$B$4),J1608,"")</f>
        <v/>
      </c>
      <c r="AD1608" s="56" t="str">
        <f aca="false">IF(X1608="HIGH RATE",O1608,"")</f>
        <v/>
      </c>
    </row>
    <row r="1609" customFormat="false" ht="15" hidden="false" customHeight="false" outlineLevel="0" collapsed="false">
      <c r="A1609" s="56" t="s">
        <v>3082</v>
      </c>
      <c r="B1609" s="56" t="s">
        <v>3083</v>
      </c>
      <c r="C1609" s="56" t="s">
        <v>626</v>
      </c>
      <c r="D1609" s="56" t="str">
        <f aca="false">IFERROR(INDEX('Brand Map'!$B$4:$B$124,MATCH(C1609,'Brand Map'!$A$4:$A$124,0)),"Other")</f>
        <v>Other (small prefixes)</v>
      </c>
      <c r="E1609" s="57" t="n">
        <v>2</v>
      </c>
      <c r="F1609" s="57" t="n">
        <v>0</v>
      </c>
      <c r="G1609" s="58" t="n">
        <v>526.81</v>
      </c>
      <c r="H1609" s="58" t="n">
        <v>0</v>
      </c>
      <c r="I1609" s="58" t="n">
        <v>485.42</v>
      </c>
      <c r="J1609" s="32" t="n">
        <f aca="false">IF(E1609&gt;0,F1609/E1609,0)</f>
        <v>0</v>
      </c>
      <c r="K1609" s="32" t="n">
        <f aca="false">IF(G1609&gt;0,H1609/G1609,0)</f>
        <v>-0</v>
      </c>
      <c r="L1609" s="59" t="n">
        <f aca="false">H1609/Settings!$B$16</f>
        <v>-0</v>
      </c>
      <c r="M1609" s="59" t="n">
        <f aca="false">H1609/Settings!$B$20</f>
        <v>-0</v>
      </c>
      <c r="N1609" s="60" t="n">
        <f aca="false">E1609*Settings!$B$3</f>
        <v>0.0619723021596408</v>
      </c>
      <c r="O1609" s="60" t="n">
        <f aca="false">IF(E1609&gt;0,(F1609-N1609)/SQRT(E1609*Settings!$B$3*(1-Settings!$B$3)),0)</f>
        <v>-0.252891261535318</v>
      </c>
      <c r="P1609" s="60" t="n">
        <f aca="false">MAX(0,F1609-N1609)</f>
        <v>0</v>
      </c>
      <c r="Q1609" s="32" t="n">
        <f aca="false">(F1609+Settings!$B$7*Settings!$B$3)/(E1609+Settings!$B$7)</f>
        <v>0.0290495166373316</v>
      </c>
      <c r="R1609" s="61" t="n">
        <f aca="false">PERCENTRANK($H$2:$H$1780,H1609,6)</f>
        <v>0</v>
      </c>
      <c r="S1609" s="61" t="n">
        <f aca="false">PERCENTRANK($Q$2:$Q$1780,Q1609,6)</f>
        <v>0.365579</v>
      </c>
      <c r="T1609" s="61" t="n">
        <f aca="false">PERCENTRANK($F$2:$F$1780,F1609,6)</f>
        <v>0</v>
      </c>
      <c r="U1609" s="62" t="n">
        <f aca="false">IF(F1609&gt;0,(Settings!$B$8*T1609+Settings!$B$9*R1609+Settings!$B$10*S1609)/SUM(Settings!$B$8:$B$10),0)</f>
        <v>0</v>
      </c>
      <c r="V1609" s="56" t="str">
        <f aca="false">IF(U1609&gt;0,RANK(U1609,$U$2:$U$1780)+COUNTIF($U$2:U1609,U1609)-1,"")</f>
        <v/>
      </c>
      <c r="W1609" s="56" t="str">
        <f aca="false">IF(V1609="","",IF(V1609&lt;=Settings!$B$11,"1 - Fix first",IF(V1609&lt;=Settings!$B$12,"2 - Review","3 - Monitor")))</f>
        <v/>
      </c>
      <c r="X1609" s="56" t="str">
        <f aca="false">IF(AND(E1609&gt;=Settings!$B$4,F1609&gt;=Settings!$B$5,O1609&gt;=Settings!$B$6),"HIGH RATE","")</f>
        <v/>
      </c>
      <c r="Y1609" s="56" t="str">
        <f aca="false">IF(F1609&gt;0,RANK(F1609,$F$2:$F$1780)+COUNTIF($F$2:F1609,F1609)-1,"")</f>
        <v/>
      </c>
      <c r="Z1609" s="56" t="str">
        <f aca="false">IF(H1609&gt;0,RANK(H1609,$H$2:$H$1780)+COUNTIF($H$2:H1609,H1609)-1,"")</f>
        <v/>
      </c>
      <c r="AA1609" s="56" t="str">
        <f aca="false">IF(AC1609="","",RANK(AC1609,$AC$2:$AC$1780)+COUNTIF($AC$2:AC1609,AC1609)-1)</f>
        <v/>
      </c>
      <c r="AB1609" s="56" t="str">
        <f aca="false">IF(AD1609="","",RANK(AD1609,$AD$2:$AD$1780)+COUNTIF($AD$2:AD1609,AD1609)-1)</f>
        <v/>
      </c>
      <c r="AC1609" s="56" t="str">
        <f aca="false">IF(AND(F1609&gt;0,E1609&gt;=Settings!$B$4),J1609,"")</f>
        <v/>
      </c>
      <c r="AD1609" s="56" t="str">
        <f aca="false">IF(X1609="HIGH RATE",O1609,"")</f>
        <v/>
      </c>
    </row>
    <row r="1610" customFormat="false" ht="15" hidden="false" customHeight="false" outlineLevel="0" collapsed="false">
      <c r="A1610" s="56" t="s">
        <v>3084</v>
      </c>
      <c r="B1610" s="56" t="s">
        <v>3085</v>
      </c>
      <c r="C1610" s="56" t="s">
        <v>659</v>
      </c>
      <c r="D1610" s="56" t="str">
        <f aca="false">IFERROR(INDEX('Brand Map'!$B$4:$B$124,MATCH(C1610,'Brand Map'!$A$4:$A$124,0)),"Other")</f>
        <v>Other (small prefixes)</v>
      </c>
      <c r="E1610" s="57" t="n">
        <v>3</v>
      </c>
      <c r="F1610" s="57" t="n">
        <v>0</v>
      </c>
      <c r="G1610" s="58" t="n">
        <v>282.75</v>
      </c>
      <c r="H1610" s="58" t="n">
        <v>0</v>
      </c>
      <c r="I1610" s="58" t="n">
        <v>282.75</v>
      </c>
      <c r="J1610" s="32" t="n">
        <f aca="false">IF(E1610&gt;0,F1610/E1610,0)</f>
        <v>0</v>
      </c>
      <c r="K1610" s="32" t="n">
        <f aca="false">IF(G1610&gt;0,H1610/G1610,0)</f>
        <v>-0</v>
      </c>
      <c r="L1610" s="59" t="n">
        <f aca="false">H1610/Settings!$B$16</f>
        <v>-0</v>
      </c>
      <c r="M1610" s="59" t="n">
        <f aca="false">H1610/Settings!$B$20</f>
        <v>-0</v>
      </c>
      <c r="N1610" s="60" t="n">
        <f aca="false">E1610*Settings!$B$3</f>
        <v>0.0929584532394613</v>
      </c>
      <c r="O1610" s="60" t="n">
        <f aca="false">IF(E1610&gt;0,(F1610-N1610)/SQRT(E1610*Settings!$B$3*(1-Settings!$B$3)),0)</f>
        <v>-0.30972727558513</v>
      </c>
      <c r="P1610" s="60" t="n">
        <f aca="false">MAX(0,F1610-N1610)</f>
        <v>0</v>
      </c>
      <c r="Q1610" s="32" t="n">
        <f aca="false">(F1610+Settings!$B$7*Settings!$B$3)/(E1610+Settings!$B$7)</f>
        <v>0.0281692282543822</v>
      </c>
      <c r="R1610" s="61" t="n">
        <f aca="false">PERCENTRANK($H$2:$H$1780,H1610,6)</f>
        <v>0</v>
      </c>
      <c r="S1610" s="61" t="n">
        <f aca="false">PERCENTRANK($Q$2:$Q$1780,Q1610,6)</f>
        <v>0.294151</v>
      </c>
      <c r="T1610" s="61" t="n">
        <f aca="false">PERCENTRANK($F$2:$F$1780,F1610,6)</f>
        <v>0</v>
      </c>
      <c r="U1610" s="62" t="n">
        <f aca="false">IF(F1610&gt;0,(Settings!$B$8*T1610+Settings!$B$9*R1610+Settings!$B$10*S1610)/SUM(Settings!$B$8:$B$10),0)</f>
        <v>0</v>
      </c>
      <c r="V1610" s="56" t="str">
        <f aca="false">IF(U1610&gt;0,RANK(U1610,$U$2:$U$1780)+COUNTIF($U$2:U1610,U1610)-1,"")</f>
        <v/>
      </c>
      <c r="W1610" s="56" t="str">
        <f aca="false">IF(V1610="","",IF(V1610&lt;=Settings!$B$11,"1 - Fix first",IF(V1610&lt;=Settings!$B$12,"2 - Review","3 - Monitor")))</f>
        <v/>
      </c>
      <c r="X1610" s="56" t="str">
        <f aca="false">IF(AND(E1610&gt;=Settings!$B$4,F1610&gt;=Settings!$B$5,O1610&gt;=Settings!$B$6),"HIGH RATE","")</f>
        <v/>
      </c>
      <c r="Y1610" s="56" t="str">
        <f aca="false">IF(F1610&gt;0,RANK(F1610,$F$2:$F$1780)+COUNTIF($F$2:F1610,F1610)-1,"")</f>
        <v/>
      </c>
      <c r="Z1610" s="56" t="str">
        <f aca="false">IF(H1610&gt;0,RANK(H1610,$H$2:$H$1780)+COUNTIF($H$2:H1610,H1610)-1,"")</f>
        <v/>
      </c>
      <c r="AA1610" s="56" t="str">
        <f aca="false">IF(AC1610="","",RANK(AC1610,$AC$2:$AC$1780)+COUNTIF($AC$2:AC1610,AC1610)-1)</f>
        <v/>
      </c>
      <c r="AB1610" s="56" t="str">
        <f aca="false">IF(AD1610="","",RANK(AD1610,$AD$2:$AD$1780)+COUNTIF($AD$2:AD1610,AD1610)-1)</f>
        <v/>
      </c>
      <c r="AC1610" s="56" t="str">
        <f aca="false">IF(AND(F1610&gt;0,E1610&gt;=Settings!$B$4),J1610,"")</f>
        <v/>
      </c>
      <c r="AD1610" s="56" t="str">
        <f aca="false">IF(X1610="HIGH RATE",O1610,"")</f>
        <v/>
      </c>
    </row>
    <row r="1611" customFormat="false" ht="15" hidden="false" customHeight="false" outlineLevel="0" collapsed="false">
      <c r="A1611" s="56" t="s">
        <v>660</v>
      </c>
      <c r="B1611" s="56" t="s">
        <v>661</v>
      </c>
      <c r="C1611" s="56" t="s">
        <v>659</v>
      </c>
      <c r="D1611" s="56" t="str">
        <f aca="false">IFERROR(INDEX('Brand Map'!$B$4:$B$124,MATCH(C1611,'Brand Map'!$A$4:$A$124,0)),"Other")</f>
        <v>Other (small prefixes)</v>
      </c>
      <c r="E1611" s="57" t="n">
        <v>46</v>
      </c>
      <c r="F1611" s="57" t="n">
        <v>0</v>
      </c>
      <c r="G1611" s="58" t="n">
        <v>5885.75</v>
      </c>
      <c r="H1611" s="58" t="n">
        <v>0</v>
      </c>
      <c r="I1611" s="58" t="n">
        <v>5885.75</v>
      </c>
      <c r="J1611" s="32" t="n">
        <f aca="false">IF(E1611&gt;0,F1611/E1611,0)</f>
        <v>0</v>
      </c>
      <c r="K1611" s="32" t="n">
        <f aca="false">IF(G1611&gt;0,H1611/G1611,0)</f>
        <v>-0</v>
      </c>
      <c r="L1611" s="59" t="n">
        <f aca="false">H1611/Settings!$B$16</f>
        <v>-0</v>
      </c>
      <c r="M1611" s="59" t="n">
        <f aca="false">H1611/Settings!$B$20</f>
        <v>-0</v>
      </c>
      <c r="N1611" s="60" t="n">
        <f aca="false">E1611*Settings!$B$3</f>
        <v>1.42536294967174</v>
      </c>
      <c r="O1611" s="60" t="n">
        <f aca="false">IF(E1611&gt;0,(F1611-N1611)/SQRT(E1611*Settings!$B$3*(1-Settings!$B$3)),0)</f>
        <v>-1.2128238840414</v>
      </c>
      <c r="P1611" s="60" t="n">
        <f aca="false">MAX(0,F1611-N1611)</f>
        <v>0</v>
      </c>
      <c r="Q1611" s="32" t="n">
        <f aca="false">(F1611+Settings!$B$7*Settings!$B$3)/(E1611+Settings!$B$7)</f>
        <v>0.0122313754262449</v>
      </c>
      <c r="R1611" s="61" t="n">
        <f aca="false">PERCENTRANK($H$2:$H$1780,H1611,6)</f>
        <v>0</v>
      </c>
      <c r="S1611" s="61" t="n">
        <f aca="false">PERCENTRANK($Q$2:$Q$1780,Q1611,6)</f>
        <v>0.0219348</v>
      </c>
      <c r="T1611" s="61" t="n">
        <f aca="false">PERCENTRANK($F$2:$F$1780,F1611,6)</f>
        <v>0</v>
      </c>
      <c r="U1611" s="62" t="n">
        <f aca="false">IF(F1611&gt;0,(Settings!$B$8*T1611+Settings!$B$9*R1611+Settings!$B$10*S1611)/SUM(Settings!$B$8:$B$10),0)</f>
        <v>0</v>
      </c>
      <c r="V1611" s="56" t="str">
        <f aca="false">IF(U1611&gt;0,RANK(U1611,$U$2:$U$1780)+COUNTIF($U$2:U1611,U1611)-1,"")</f>
        <v/>
      </c>
      <c r="W1611" s="56" t="str">
        <f aca="false">IF(V1611="","",IF(V1611&lt;=Settings!$B$11,"1 - Fix first",IF(V1611&lt;=Settings!$B$12,"2 - Review","3 - Monitor")))</f>
        <v/>
      </c>
      <c r="X1611" s="56" t="str">
        <f aca="false">IF(AND(E1611&gt;=Settings!$B$4,F1611&gt;=Settings!$B$5,O1611&gt;=Settings!$B$6),"HIGH RATE","")</f>
        <v/>
      </c>
      <c r="Y1611" s="56" t="str">
        <f aca="false">IF(F1611&gt;0,RANK(F1611,$F$2:$F$1780)+COUNTIF($F$2:F1611,F1611)-1,"")</f>
        <v/>
      </c>
      <c r="Z1611" s="56" t="str">
        <f aca="false">IF(H1611&gt;0,RANK(H1611,$H$2:$H$1780)+COUNTIF($H$2:H1611,H1611)-1,"")</f>
        <v/>
      </c>
      <c r="AA1611" s="56" t="str">
        <f aca="false">IF(AC1611="","",RANK(AC1611,$AC$2:$AC$1780)+COUNTIF($AC$2:AC1611,AC1611)-1)</f>
        <v/>
      </c>
      <c r="AB1611" s="56" t="str">
        <f aca="false">IF(AD1611="","",RANK(AD1611,$AD$2:$AD$1780)+COUNTIF($AD$2:AD1611,AD1611)-1)</f>
        <v/>
      </c>
      <c r="AC1611" s="56" t="str">
        <f aca="false">IF(AND(F1611&gt;0,E1611&gt;=Settings!$B$4),J1611,"")</f>
        <v/>
      </c>
      <c r="AD1611" s="56" t="str">
        <f aca="false">IF(X1611="HIGH RATE",O1611,"")</f>
        <v/>
      </c>
    </row>
    <row r="1612" customFormat="false" ht="15" hidden="false" customHeight="false" outlineLevel="0" collapsed="false">
      <c r="A1612" s="56" t="s">
        <v>3086</v>
      </c>
      <c r="B1612" s="56" t="s">
        <v>3087</v>
      </c>
      <c r="C1612" s="56" t="s">
        <v>659</v>
      </c>
      <c r="D1612" s="56" t="str">
        <f aca="false">IFERROR(INDEX('Brand Map'!$B$4:$B$124,MATCH(C1612,'Brand Map'!$A$4:$A$124,0)),"Other")</f>
        <v>Other (small prefixes)</v>
      </c>
      <c r="E1612" s="57" t="n">
        <v>7</v>
      </c>
      <c r="F1612" s="57" t="n">
        <v>0</v>
      </c>
      <c r="G1612" s="58" t="n">
        <v>1085.65</v>
      </c>
      <c r="H1612" s="58" t="n">
        <v>0</v>
      </c>
      <c r="I1612" s="58" t="n">
        <v>1085.65</v>
      </c>
      <c r="J1612" s="32" t="n">
        <f aca="false">IF(E1612&gt;0,F1612/E1612,0)</f>
        <v>0</v>
      </c>
      <c r="K1612" s="32" t="n">
        <f aca="false">IF(G1612&gt;0,H1612/G1612,0)</f>
        <v>-0</v>
      </c>
      <c r="L1612" s="59" t="n">
        <f aca="false">H1612/Settings!$B$16</f>
        <v>-0</v>
      </c>
      <c r="M1612" s="59" t="n">
        <f aca="false">H1612/Settings!$B$20</f>
        <v>-0</v>
      </c>
      <c r="N1612" s="60" t="n">
        <f aca="false">E1612*Settings!$B$3</f>
        <v>0.216903057558743</v>
      </c>
      <c r="O1612" s="60" t="n">
        <f aca="false">IF(E1612&gt;0,(F1612-N1612)/SQRT(E1612*Settings!$B$3*(1-Settings!$B$3)),0)</f>
        <v>-0.473116228387102</v>
      </c>
      <c r="P1612" s="60" t="n">
        <f aca="false">MAX(0,F1612-N1612)</f>
        <v>0</v>
      </c>
      <c r="Q1612" s="32" t="n">
        <f aca="false">(F1612+Settings!$B$7*Settings!$B$3)/(E1612+Settings!$B$7)</f>
        <v>0.0251239062809355</v>
      </c>
      <c r="R1612" s="61" t="n">
        <f aca="false">PERCENTRANK($H$2:$H$1780,H1612,6)</f>
        <v>0</v>
      </c>
      <c r="S1612" s="61" t="n">
        <f aca="false">PERCENTRANK($Q$2:$Q$1780,Q1612,6)</f>
        <v>0.168166</v>
      </c>
      <c r="T1612" s="61" t="n">
        <f aca="false">PERCENTRANK($F$2:$F$1780,F1612,6)</f>
        <v>0</v>
      </c>
      <c r="U1612" s="62" t="n">
        <f aca="false">IF(F1612&gt;0,(Settings!$B$8*T1612+Settings!$B$9*R1612+Settings!$B$10*S1612)/SUM(Settings!$B$8:$B$10),0)</f>
        <v>0</v>
      </c>
      <c r="V1612" s="56" t="str">
        <f aca="false">IF(U1612&gt;0,RANK(U1612,$U$2:$U$1780)+COUNTIF($U$2:U1612,U1612)-1,"")</f>
        <v/>
      </c>
      <c r="W1612" s="56" t="str">
        <f aca="false">IF(V1612="","",IF(V1612&lt;=Settings!$B$11,"1 - Fix first",IF(V1612&lt;=Settings!$B$12,"2 - Review","3 - Monitor")))</f>
        <v/>
      </c>
      <c r="X1612" s="56" t="str">
        <f aca="false">IF(AND(E1612&gt;=Settings!$B$4,F1612&gt;=Settings!$B$5,O1612&gt;=Settings!$B$6),"HIGH RATE","")</f>
        <v/>
      </c>
      <c r="Y1612" s="56" t="str">
        <f aca="false">IF(F1612&gt;0,RANK(F1612,$F$2:$F$1780)+COUNTIF($F$2:F1612,F1612)-1,"")</f>
        <v/>
      </c>
      <c r="Z1612" s="56" t="str">
        <f aca="false">IF(H1612&gt;0,RANK(H1612,$H$2:$H$1780)+COUNTIF($H$2:H1612,H1612)-1,"")</f>
        <v/>
      </c>
      <c r="AA1612" s="56" t="str">
        <f aca="false">IF(AC1612="","",RANK(AC1612,$AC$2:$AC$1780)+COUNTIF($AC$2:AC1612,AC1612)-1)</f>
        <v/>
      </c>
      <c r="AB1612" s="56" t="str">
        <f aca="false">IF(AD1612="","",RANK(AD1612,$AD$2:$AD$1780)+COUNTIF($AD$2:AD1612,AD1612)-1)</f>
        <v/>
      </c>
      <c r="AC1612" s="56" t="str">
        <f aca="false">IF(AND(F1612&gt;0,E1612&gt;=Settings!$B$4),J1612,"")</f>
        <v/>
      </c>
      <c r="AD1612" s="56" t="str">
        <f aca="false">IF(X1612="HIGH RATE",O1612,"")</f>
        <v/>
      </c>
    </row>
    <row r="1613" customFormat="false" ht="15" hidden="false" customHeight="false" outlineLevel="0" collapsed="false">
      <c r="A1613" s="56" t="s">
        <v>3088</v>
      </c>
      <c r="B1613" s="56" t="s">
        <v>3089</v>
      </c>
      <c r="C1613" s="56" t="s">
        <v>659</v>
      </c>
      <c r="D1613" s="56" t="str">
        <f aca="false">IFERROR(INDEX('Brand Map'!$B$4:$B$124,MATCH(C1613,'Brand Map'!$A$4:$A$124,0)),"Other")</f>
        <v>Other (small prefixes)</v>
      </c>
      <c r="E1613" s="57" t="n">
        <v>2</v>
      </c>
      <c r="F1613" s="57" t="n">
        <v>0</v>
      </c>
      <c r="G1613" s="58" t="n">
        <v>543.9</v>
      </c>
      <c r="H1613" s="58" t="n">
        <v>0</v>
      </c>
      <c r="I1613" s="58" t="n">
        <v>543.9</v>
      </c>
      <c r="J1613" s="32" t="n">
        <f aca="false">IF(E1613&gt;0,F1613/E1613,0)</f>
        <v>0</v>
      </c>
      <c r="K1613" s="32" t="n">
        <f aca="false">IF(G1613&gt;0,H1613/G1613,0)</f>
        <v>-0</v>
      </c>
      <c r="L1613" s="59" t="n">
        <f aca="false">H1613/Settings!$B$16</f>
        <v>-0</v>
      </c>
      <c r="M1613" s="59" t="n">
        <f aca="false">H1613/Settings!$B$20</f>
        <v>-0</v>
      </c>
      <c r="N1613" s="60" t="n">
        <f aca="false">E1613*Settings!$B$3</f>
        <v>0.0619723021596408</v>
      </c>
      <c r="O1613" s="60" t="n">
        <f aca="false">IF(E1613&gt;0,(F1613-N1613)/SQRT(E1613*Settings!$B$3*(1-Settings!$B$3)),0)</f>
        <v>-0.252891261535318</v>
      </c>
      <c r="P1613" s="60" t="n">
        <f aca="false">MAX(0,F1613-N1613)</f>
        <v>0</v>
      </c>
      <c r="Q1613" s="32" t="n">
        <f aca="false">(F1613+Settings!$B$7*Settings!$B$3)/(E1613+Settings!$B$7)</f>
        <v>0.0290495166373316</v>
      </c>
      <c r="R1613" s="61" t="n">
        <f aca="false">PERCENTRANK($H$2:$H$1780,H1613,6)</f>
        <v>0</v>
      </c>
      <c r="S1613" s="61" t="n">
        <f aca="false">PERCENTRANK($Q$2:$Q$1780,Q1613,6)</f>
        <v>0.365579</v>
      </c>
      <c r="T1613" s="61" t="n">
        <f aca="false">PERCENTRANK($F$2:$F$1780,F1613,6)</f>
        <v>0</v>
      </c>
      <c r="U1613" s="62" t="n">
        <f aca="false">IF(F1613&gt;0,(Settings!$B$8*T1613+Settings!$B$9*R1613+Settings!$B$10*S1613)/SUM(Settings!$B$8:$B$10),0)</f>
        <v>0</v>
      </c>
      <c r="V1613" s="56" t="str">
        <f aca="false">IF(U1613&gt;0,RANK(U1613,$U$2:$U$1780)+COUNTIF($U$2:U1613,U1613)-1,"")</f>
        <v/>
      </c>
      <c r="W1613" s="56" t="str">
        <f aca="false">IF(V1613="","",IF(V1613&lt;=Settings!$B$11,"1 - Fix first",IF(V1613&lt;=Settings!$B$12,"2 - Review","3 - Monitor")))</f>
        <v/>
      </c>
      <c r="X1613" s="56" t="str">
        <f aca="false">IF(AND(E1613&gt;=Settings!$B$4,F1613&gt;=Settings!$B$5,O1613&gt;=Settings!$B$6),"HIGH RATE","")</f>
        <v/>
      </c>
      <c r="Y1613" s="56" t="str">
        <f aca="false">IF(F1613&gt;0,RANK(F1613,$F$2:$F$1780)+COUNTIF($F$2:F1613,F1613)-1,"")</f>
        <v/>
      </c>
      <c r="Z1613" s="56" t="str">
        <f aca="false">IF(H1613&gt;0,RANK(H1613,$H$2:$H$1780)+COUNTIF($H$2:H1613,H1613)-1,"")</f>
        <v/>
      </c>
      <c r="AA1613" s="56" t="str">
        <f aca="false">IF(AC1613="","",RANK(AC1613,$AC$2:$AC$1780)+COUNTIF($AC$2:AC1613,AC1613)-1)</f>
        <v/>
      </c>
      <c r="AB1613" s="56" t="str">
        <f aca="false">IF(AD1613="","",RANK(AD1613,$AD$2:$AD$1780)+COUNTIF($AD$2:AD1613,AD1613)-1)</f>
        <v/>
      </c>
      <c r="AC1613" s="56" t="str">
        <f aca="false">IF(AND(F1613&gt;0,E1613&gt;=Settings!$B$4),J1613,"")</f>
        <v/>
      </c>
      <c r="AD1613" s="56" t="str">
        <f aca="false">IF(X1613="HIGH RATE",O1613,"")</f>
        <v/>
      </c>
    </row>
    <row r="1614" customFormat="false" ht="15" hidden="false" customHeight="false" outlineLevel="0" collapsed="false">
      <c r="A1614" s="56" t="s">
        <v>3090</v>
      </c>
      <c r="B1614" s="56" t="s">
        <v>622</v>
      </c>
      <c r="C1614" s="56" t="s">
        <v>773</v>
      </c>
      <c r="D1614" s="56" t="str">
        <f aca="false">IFERROR(INDEX('Brand Map'!$B$4:$B$124,MATCH(C1614,'Brand Map'!$A$4:$A$124,0)),"Other")</f>
        <v>Other (small prefixes)</v>
      </c>
      <c r="E1614" s="57" t="n">
        <v>1</v>
      </c>
      <c r="F1614" s="57" t="n">
        <v>0</v>
      </c>
      <c r="G1614" s="58" t="n">
        <v>29.95</v>
      </c>
      <c r="H1614" s="58" t="n">
        <v>0</v>
      </c>
      <c r="I1614" s="58" t="n">
        <v>29.95</v>
      </c>
      <c r="J1614" s="32" t="n">
        <f aca="false">IF(E1614&gt;0,F1614/E1614,0)</f>
        <v>0</v>
      </c>
      <c r="K1614" s="32" t="n">
        <f aca="false">IF(G1614&gt;0,H1614/G1614,0)</f>
        <v>-0</v>
      </c>
      <c r="L1614" s="59" t="n">
        <f aca="false">H1614/Settings!$B$16</f>
        <v>-0</v>
      </c>
      <c r="M1614" s="59" t="n">
        <f aca="false">H1614/Settings!$B$20</f>
        <v>-0</v>
      </c>
      <c r="N1614" s="60" t="n">
        <f aca="false">E1614*Settings!$B$3</f>
        <v>0.0309861510798204</v>
      </c>
      <c r="O1614" s="60" t="n">
        <f aca="false">IF(E1614&gt;0,(F1614-N1614)/SQRT(E1614*Settings!$B$3*(1-Settings!$B$3)),0)</f>
        <v>-0.178821125934444</v>
      </c>
      <c r="P1614" s="60" t="n">
        <f aca="false">MAX(0,F1614-N1614)</f>
        <v>0</v>
      </c>
      <c r="Q1614" s="32" t="n">
        <f aca="false">(F1614+Settings!$B$7*Settings!$B$3)/(E1614+Settings!$B$7)</f>
        <v>0.0299865978191811</v>
      </c>
      <c r="R1614" s="61" t="n">
        <f aca="false">PERCENTRANK($H$2:$H$1780,H1614,6)</f>
        <v>0</v>
      </c>
      <c r="S1614" s="61" t="n">
        <f aca="false">PERCENTRANK($Q$2:$Q$1780,Q1614,6)</f>
        <v>0.486502</v>
      </c>
      <c r="T1614" s="61" t="n">
        <f aca="false">PERCENTRANK($F$2:$F$1780,F1614,6)</f>
        <v>0</v>
      </c>
      <c r="U1614" s="62" t="n">
        <f aca="false">IF(F1614&gt;0,(Settings!$B$8*T1614+Settings!$B$9*R1614+Settings!$B$10*S1614)/SUM(Settings!$B$8:$B$10),0)</f>
        <v>0</v>
      </c>
      <c r="V1614" s="56" t="str">
        <f aca="false">IF(U1614&gt;0,RANK(U1614,$U$2:$U$1780)+COUNTIF($U$2:U1614,U1614)-1,"")</f>
        <v/>
      </c>
      <c r="W1614" s="56" t="str">
        <f aca="false">IF(V1614="","",IF(V1614&lt;=Settings!$B$11,"1 - Fix first",IF(V1614&lt;=Settings!$B$12,"2 - Review","3 - Monitor")))</f>
        <v/>
      </c>
      <c r="X1614" s="56" t="str">
        <f aca="false">IF(AND(E1614&gt;=Settings!$B$4,F1614&gt;=Settings!$B$5,O1614&gt;=Settings!$B$6),"HIGH RATE","")</f>
        <v/>
      </c>
      <c r="Y1614" s="56" t="str">
        <f aca="false">IF(F1614&gt;0,RANK(F1614,$F$2:$F$1780)+COUNTIF($F$2:F1614,F1614)-1,"")</f>
        <v/>
      </c>
      <c r="Z1614" s="56" t="str">
        <f aca="false">IF(H1614&gt;0,RANK(H1614,$H$2:$H$1780)+COUNTIF($H$2:H1614,H1614)-1,"")</f>
        <v/>
      </c>
      <c r="AA1614" s="56" t="str">
        <f aca="false">IF(AC1614="","",RANK(AC1614,$AC$2:$AC$1780)+COUNTIF($AC$2:AC1614,AC1614)-1)</f>
        <v/>
      </c>
      <c r="AB1614" s="56" t="str">
        <f aca="false">IF(AD1614="","",RANK(AD1614,$AD$2:$AD$1780)+COUNTIF($AD$2:AD1614,AD1614)-1)</f>
        <v/>
      </c>
      <c r="AC1614" s="56" t="str">
        <f aca="false">IF(AND(F1614&gt;0,E1614&gt;=Settings!$B$4),J1614,"")</f>
        <v/>
      </c>
      <c r="AD1614" s="56" t="str">
        <f aca="false">IF(X1614="HIGH RATE",O1614,"")</f>
        <v/>
      </c>
    </row>
    <row r="1615" customFormat="false" ht="15" hidden="false" customHeight="false" outlineLevel="0" collapsed="false">
      <c r="A1615" s="56" t="s">
        <v>3091</v>
      </c>
      <c r="B1615" s="56" t="s">
        <v>3092</v>
      </c>
      <c r="C1615" s="56" t="s">
        <v>773</v>
      </c>
      <c r="D1615" s="56" t="str">
        <f aca="false">IFERROR(INDEX('Brand Map'!$B$4:$B$124,MATCH(C1615,'Brand Map'!$A$4:$A$124,0)),"Other")</f>
        <v>Other (small prefixes)</v>
      </c>
      <c r="E1615" s="57" t="n">
        <v>1</v>
      </c>
      <c r="F1615" s="57" t="n">
        <v>0</v>
      </c>
      <c r="G1615" s="58" t="n">
        <v>71.6</v>
      </c>
      <c r="H1615" s="58" t="n">
        <v>0</v>
      </c>
      <c r="I1615" s="58" t="n">
        <v>71.6</v>
      </c>
      <c r="J1615" s="32" t="n">
        <f aca="false">IF(E1615&gt;0,F1615/E1615,0)</f>
        <v>0</v>
      </c>
      <c r="K1615" s="32" t="n">
        <f aca="false">IF(G1615&gt;0,H1615/G1615,0)</f>
        <v>-0</v>
      </c>
      <c r="L1615" s="59" t="n">
        <f aca="false">H1615/Settings!$B$16</f>
        <v>-0</v>
      </c>
      <c r="M1615" s="59" t="n">
        <f aca="false">H1615/Settings!$B$20</f>
        <v>-0</v>
      </c>
      <c r="N1615" s="60" t="n">
        <f aca="false">E1615*Settings!$B$3</f>
        <v>0.0309861510798204</v>
      </c>
      <c r="O1615" s="60" t="n">
        <f aca="false">IF(E1615&gt;0,(F1615-N1615)/SQRT(E1615*Settings!$B$3*(1-Settings!$B$3)),0)</f>
        <v>-0.178821125934444</v>
      </c>
      <c r="P1615" s="60" t="n">
        <f aca="false">MAX(0,F1615-N1615)</f>
        <v>0</v>
      </c>
      <c r="Q1615" s="32" t="n">
        <f aca="false">(F1615+Settings!$B$7*Settings!$B$3)/(E1615+Settings!$B$7)</f>
        <v>0.0299865978191811</v>
      </c>
      <c r="R1615" s="61" t="n">
        <f aca="false">PERCENTRANK($H$2:$H$1780,H1615,6)</f>
        <v>0</v>
      </c>
      <c r="S1615" s="61" t="n">
        <f aca="false">PERCENTRANK($Q$2:$Q$1780,Q1615,6)</f>
        <v>0.486502</v>
      </c>
      <c r="T1615" s="61" t="n">
        <f aca="false">PERCENTRANK($F$2:$F$1780,F1615,6)</f>
        <v>0</v>
      </c>
      <c r="U1615" s="62" t="n">
        <f aca="false">IF(F1615&gt;0,(Settings!$B$8*T1615+Settings!$B$9*R1615+Settings!$B$10*S1615)/SUM(Settings!$B$8:$B$10),0)</f>
        <v>0</v>
      </c>
      <c r="V1615" s="56" t="str">
        <f aca="false">IF(U1615&gt;0,RANK(U1615,$U$2:$U$1780)+COUNTIF($U$2:U1615,U1615)-1,"")</f>
        <v/>
      </c>
      <c r="W1615" s="56" t="str">
        <f aca="false">IF(V1615="","",IF(V1615&lt;=Settings!$B$11,"1 - Fix first",IF(V1615&lt;=Settings!$B$12,"2 - Review","3 - Monitor")))</f>
        <v/>
      </c>
      <c r="X1615" s="56" t="str">
        <f aca="false">IF(AND(E1615&gt;=Settings!$B$4,F1615&gt;=Settings!$B$5,O1615&gt;=Settings!$B$6),"HIGH RATE","")</f>
        <v/>
      </c>
      <c r="Y1615" s="56" t="str">
        <f aca="false">IF(F1615&gt;0,RANK(F1615,$F$2:$F$1780)+COUNTIF($F$2:F1615,F1615)-1,"")</f>
        <v/>
      </c>
      <c r="Z1615" s="56" t="str">
        <f aca="false">IF(H1615&gt;0,RANK(H1615,$H$2:$H$1780)+COUNTIF($H$2:H1615,H1615)-1,"")</f>
        <v/>
      </c>
      <c r="AA1615" s="56" t="str">
        <f aca="false">IF(AC1615="","",RANK(AC1615,$AC$2:$AC$1780)+COUNTIF($AC$2:AC1615,AC1615)-1)</f>
        <v/>
      </c>
      <c r="AB1615" s="56" t="str">
        <f aca="false">IF(AD1615="","",RANK(AD1615,$AD$2:$AD$1780)+COUNTIF($AD$2:AD1615,AD1615)-1)</f>
        <v/>
      </c>
      <c r="AC1615" s="56" t="str">
        <f aca="false">IF(AND(F1615&gt;0,E1615&gt;=Settings!$B$4),J1615,"")</f>
        <v/>
      </c>
      <c r="AD1615" s="56" t="str">
        <f aca="false">IF(X1615="HIGH RATE",O1615,"")</f>
        <v/>
      </c>
    </row>
    <row r="1616" customFormat="false" ht="15" hidden="false" customHeight="false" outlineLevel="0" collapsed="false">
      <c r="A1616" s="56" t="s">
        <v>774</v>
      </c>
      <c r="B1616" s="56" t="s">
        <v>605</v>
      </c>
      <c r="C1616" s="56" t="s">
        <v>773</v>
      </c>
      <c r="D1616" s="56" t="str">
        <f aca="false">IFERROR(INDEX('Brand Map'!$B$4:$B$124,MATCH(C1616,'Brand Map'!$A$4:$A$124,0)),"Other")</f>
        <v>Other (small prefixes)</v>
      </c>
      <c r="E1616" s="57" t="n">
        <v>1</v>
      </c>
      <c r="F1616" s="57" t="n">
        <v>0</v>
      </c>
      <c r="G1616" s="58" t="n">
        <v>99.95</v>
      </c>
      <c r="H1616" s="58" t="n">
        <v>0</v>
      </c>
      <c r="I1616" s="58" t="n">
        <v>99.95</v>
      </c>
      <c r="J1616" s="32" t="n">
        <f aca="false">IF(E1616&gt;0,F1616/E1616,0)</f>
        <v>0</v>
      </c>
      <c r="K1616" s="32" t="n">
        <f aca="false">IF(G1616&gt;0,H1616/G1616,0)</f>
        <v>-0</v>
      </c>
      <c r="L1616" s="59" t="n">
        <f aca="false">H1616/Settings!$B$16</f>
        <v>-0</v>
      </c>
      <c r="M1616" s="59" t="n">
        <f aca="false">H1616/Settings!$B$20</f>
        <v>-0</v>
      </c>
      <c r="N1616" s="60" t="n">
        <f aca="false">E1616*Settings!$B$3</f>
        <v>0.0309861510798204</v>
      </c>
      <c r="O1616" s="60" t="n">
        <f aca="false">IF(E1616&gt;0,(F1616-N1616)/SQRT(E1616*Settings!$B$3*(1-Settings!$B$3)),0)</f>
        <v>-0.178821125934444</v>
      </c>
      <c r="P1616" s="60" t="n">
        <f aca="false">MAX(0,F1616-N1616)</f>
        <v>0</v>
      </c>
      <c r="Q1616" s="32" t="n">
        <f aca="false">(F1616+Settings!$B$7*Settings!$B$3)/(E1616+Settings!$B$7)</f>
        <v>0.0299865978191811</v>
      </c>
      <c r="R1616" s="61" t="n">
        <f aca="false">PERCENTRANK($H$2:$H$1780,H1616,6)</f>
        <v>0</v>
      </c>
      <c r="S1616" s="61" t="n">
        <f aca="false">PERCENTRANK($Q$2:$Q$1780,Q1616,6)</f>
        <v>0.486502</v>
      </c>
      <c r="T1616" s="61" t="n">
        <f aca="false">PERCENTRANK($F$2:$F$1780,F1616,6)</f>
        <v>0</v>
      </c>
      <c r="U1616" s="62" t="n">
        <f aca="false">IF(F1616&gt;0,(Settings!$B$8*T1616+Settings!$B$9*R1616+Settings!$B$10*S1616)/SUM(Settings!$B$8:$B$10),0)</f>
        <v>0</v>
      </c>
      <c r="V1616" s="56" t="str">
        <f aca="false">IF(U1616&gt;0,RANK(U1616,$U$2:$U$1780)+COUNTIF($U$2:U1616,U1616)-1,"")</f>
        <v/>
      </c>
      <c r="W1616" s="56" t="str">
        <f aca="false">IF(V1616="","",IF(V1616&lt;=Settings!$B$11,"1 - Fix first",IF(V1616&lt;=Settings!$B$12,"2 - Review","3 - Monitor")))</f>
        <v/>
      </c>
      <c r="X1616" s="56" t="str">
        <f aca="false">IF(AND(E1616&gt;=Settings!$B$4,F1616&gt;=Settings!$B$5,O1616&gt;=Settings!$B$6),"HIGH RATE","")</f>
        <v/>
      </c>
      <c r="Y1616" s="56" t="str">
        <f aca="false">IF(F1616&gt;0,RANK(F1616,$F$2:$F$1780)+COUNTIF($F$2:F1616,F1616)-1,"")</f>
        <v/>
      </c>
      <c r="Z1616" s="56" t="str">
        <f aca="false">IF(H1616&gt;0,RANK(H1616,$H$2:$H$1780)+COUNTIF($H$2:H1616,H1616)-1,"")</f>
        <v/>
      </c>
      <c r="AA1616" s="56" t="str">
        <f aca="false">IF(AC1616="","",RANK(AC1616,$AC$2:$AC$1780)+COUNTIF($AC$2:AC1616,AC1616)-1)</f>
        <v/>
      </c>
      <c r="AB1616" s="56" t="str">
        <f aca="false">IF(AD1616="","",RANK(AD1616,$AD$2:$AD$1780)+COUNTIF($AD$2:AD1616,AD1616)-1)</f>
        <v/>
      </c>
      <c r="AC1616" s="56" t="str">
        <f aca="false">IF(AND(F1616&gt;0,E1616&gt;=Settings!$B$4),J1616,"")</f>
        <v/>
      </c>
      <c r="AD1616" s="56" t="str">
        <f aca="false">IF(X1616="HIGH RATE",O1616,"")</f>
        <v/>
      </c>
    </row>
    <row r="1617" customFormat="false" ht="15" hidden="false" customHeight="false" outlineLevel="0" collapsed="false">
      <c r="A1617" s="56" t="s">
        <v>304</v>
      </c>
      <c r="B1617" s="56" t="s">
        <v>1177</v>
      </c>
      <c r="C1617" s="56" t="s">
        <v>71</v>
      </c>
      <c r="D1617" s="56" t="str">
        <f aca="false">IFERROR(INDEX('Brand Map'!$B$4:$B$124,MATCH(C1617,'Brand Map'!$A$4:$A$124,0)),"Other")</f>
        <v>GF</v>
      </c>
      <c r="E1617" s="57" t="n">
        <v>1</v>
      </c>
      <c r="F1617" s="57" t="n">
        <v>0</v>
      </c>
      <c r="G1617" s="58" t="n">
        <v>149.95</v>
      </c>
      <c r="H1617" s="58" t="n">
        <v>0</v>
      </c>
      <c r="I1617" s="58" t="n">
        <v>149.95</v>
      </c>
      <c r="J1617" s="32" t="n">
        <f aca="false">IF(E1617&gt;0,F1617/E1617,0)</f>
        <v>0</v>
      </c>
      <c r="K1617" s="32" t="n">
        <f aca="false">IF(G1617&gt;0,H1617/G1617,0)</f>
        <v>-0</v>
      </c>
      <c r="L1617" s="59" t="n">
        <f aca="false">H1617/Settings!$B$16</f>
        <v>-0</v>
      </c>
      <c r="M1617" s="59" t="n">
        <f aca="false">H1617/Settings!$B$20</f>
        <v>-0</v>
      </c>
      <c r="N1617" s="60" t="n">
        <f aca="false">E1617*Settings!$B$3</f>
        <v>0.0309861510798204</v>
      </c>
      <c r="O1617" s="60" t="n">
        <f aca="false">IF(E1617&gt;0,(F1617-N1617)/SQRT(E1617*Settings!$B$3*(1-Settings!$B$3)),0)</f>
        <v>-0.178821125934444</v>
      </c>
      <c r="P1617" s="60" t="n">
        <f aca="false">MAX(0,F1617-N1617)</f>
        <v>0</v>
      </c>
      <c r="Q1617" s="32" t="n">
        <f aca="false">(F1617+Settings!$B$7*Settings!$B$3)/(E1617+Settings!$B$7)</f>
        <v>0.0299865978191811</v>
      </c>
      <c r="R1617" s="61" t="n">
        <f aca="false">PERCENTRANK($H$2:$H$1780,H1617,6)</f>
        <v>0</v>
      </c>
      <c r="S1617" s="61" t="n">
        <f aca="false">PERCENTRANK($Q$2:$Q$1780,Q1617,6)</f>
        <v>0.486502</v>
      </c>
      <c r="T1617" s="61" t="n">
        <f aca="false">PERCENTRANK($F$2:$F$1780,F1617,6)</f>
        <v>0</v>
      </c>
      <c r="U1617" s="62" t="n">
        <f aca="false">IF(F1617&gt;0,(Settings!$B$8*T1617+Settings!$B$9*R1617+Settings!$B$10*S1617)/SUM(Settings!$B$8:$B$10),0)</f>
        <v>0</v>
      </c>
      <c r="V1617" s="56" t="str">
        <f aca="false">IF(U1617&gt;0,RANK(U1617,$U$2:$U$1780)+COUNTIF($U$2:U1617,U1617)-1,"")</f>
        <v/>
      </c>
      <c r="W1617" s="56" t="str">
        <f aca="false">IF(V1617="","",IF(V1617&lt;=Settings!$B$11,"1 - Fix first",IF(V1617&lt;=Settings!$B$12,"2 - Review","3 - Monitor")))</f>
        <v/>
      </c>
      <c r="X1617" s="56" t="str">
        <f aca="false">IF(AND(E1617&gt;=Settings!$B$4,F1617&gt;=Settings!$B$5,O1617&gt;=Settings!$B$6),"HIGH RATE","")</f>
        <v/>
      </c>
      <c r="Y1617" s="56" t="str">
        <f aca="false">IF(F1617&gt;0,RANK(F1617,$F$2:$F$1780)+COUNTIF($F$2:F1617,F1617)-1,"")</f>
        <v/>
      </c>
      <c r="Z1617" s="56" t="str">
        <f aca="false">IF(H1617&gt;0,RANK(H1617,$H$2:$H$1780)+COUNTIF($H$2:H1617,H1617)-1,"")</f>
        <v/>
      </c>
      <c r="AA1617" s="56" t="str">
        <f aca="false">IF(AC1617="","",RANK(AC1617,$AC$2:$AC$1780)+COUNTIF($AC$2:AC1617,AC1617)-1)</f>
        <v/>
      </c>
      <c r="AB1617" s="56" t="str">
        <f aca="false">IF(AD1617="","",RANK(AD1617,$AD$2:$AD$1780)+COUNTIF($AD$2:AD1617,AD1617)-1)</f>
        <v/>
      </c>
      <c r="AC1617" s="56" t="str">
        <f aca="false">IF(AND(F1617&gt;0,E1617&gt;=Settings!$B$4),J1617,"")</f>
        <v/>
      </c>
      <c r="AD1617" s="56" t="str">
        <f aca="false">IF(X1617="HIGH RATE",O1617,"")</f>
        <v/>
      </c>
    </row>
    <row r="1618" customFormat="false" ht="15" hidden="false" customHeight="false" outlineLevel="0" collapsed="false">
      <c r="A1618" s="56" t="s">
        <v>3093</v>
      </c>
      <c r="B1618" s="56" t="s">
        <v>3094</v>
      </c>
      <c r="C1618" s="56" t="s">
        <v>71</v>
      </c>
      <c r="D1618" s="56" t="str">
        <f aca="false">IFERROR(INDEX('Brand Map'!$B$4:$B$124,MATCH(C1618,'Brand Map'!$A$4:$A$124,0)),"Other")</f>
        <v>GF</v>
      </c>
      <c r="E1618" s="57" t="n">
        <v>4</v>
      </c>
      <c r="F1618" s="57" t="n">
        <v>0</v>
      </c>
      <c r="G1618" s="58" t="n">
        <v>391.18</v>
      </c>
      <c r="H1618" s="58" t="n">
        <v>0</v>
      </c>
      <c r="I1618" s="58" t="n">
        <v>376.88</v>
      </c>
      <c r="J1618" s="32" t="n">
        <f aca="false">IF(E1618&gt;0,F1618/E1618,0)</f>
        <v>0</v>
      </c>
      <c r="K1618" s="32" t="n">
        <f aca="false">IF(G1618&gt;0,H1618/G1618,0)</f>
        <v>-0</v>
      </c>
      <c r="L1618" s="59" t="n">
        <f aca="false">H1618/Settings!$B$16</f>
        <v>-0</v>
      </c>
      <c r="M1618" s="59" t="n">
        <f aca="false">H1618/Settings!$B$20</f>
        <v>-0</v>
      </c>
      <c r="N1618" s="60" t="n">
        <f aca="false">E1618*Settings!$B$3</f>
        <v>0.123944604319282</v>
      </c>
      <c r="O1618" s="60" t="n">
        <f aca="false">IF(E1618&gt;0,(F1618-N1618)/SQRT(E1618*Settings!$B$3*(1-Settings!$B$3)),0)</f>
        <v>-0.357642251868888</v>
      </c>
      <c r="P1618" s="60" t="n">
        <f aca="false">MAX(0,F1618-N1618)</f>
        <v>0</v>
      </c>
      <c r="Q1618" s="32" t="n">
        <f aca="false">(F1618+Settings!$B$7*Settings!$B$3)/(E1618+Settings!$B$7)</f>
        <v>0.027340721541018</v>
      </c>
      <c r="R1618" s="61" t="n">
        <f aca="false">PERCENTRANK($H$2:$H$1780,H1618,6)</f>
        <v>0</v>
      </c>
      <c r="S1618" s="61" t="n">
        <f aca="false">PERCENTRANK($Q$2:$Q$1780,Q1618,6)</f>
        <v>0.253656</v>
      </c>
      <c r="T1618" s="61" t="n">
        <f aca="false">PERCENTRANK($F$2:$F$1780,F1618,6)</f>
        <v>0</v>
      </c>
      <c r="U1618" s="62" t="n">
        <f aca="false">IF(F1618&gt;0,(Settings!$B$8*T1618+Settings!$B$9*R1618+Settings!$B$10*S1618)/SUM(Settings!$B$8:$B$10),0)</f>
        <v>0</v>
      </c>
      <c r="V1618" s="56" t="str">
        <f aca="false">IF(U1618&gt;0,RANK(U1618,$U$2:$U$1780)+COUNTIF($U$2:U1618,U1618)-1,"")</f>
        <v/>
      </c>
      <c r="W1618" s="56" t="str">
        <f aca="false">IF(V1618="","",IF(V1618&lt;=Settings!$B$11,"1 - Fix first",IF(V1618&lt;=Settings!$B$12,"2 - Review","3 - Monitor")))</f>
        <v/>
      </c>
      <c r="X1618" s="56" t="str">
        <f aca="false">IF(AND(E1618&gt;=Settings!$B$4,F1618&gt;=Settings!$B$5,O1618&gt;=Settings!$B$6),"HIGH RATE","")</f>
        <v/>
      </c>
      <c r="Y1618" s="56" t="str">
        <f aca="false">IF(F1618&gt;0,RANK(F1618,$F$2:$F$1780)+COUNTIF($F$2:F1618,F1618)-1,"")</f>
        <v/>
      </c>
      <c r="Z1618" s="56" t="str">
        <f aca="false">IF(H1618&gt;0,RANK(H1618,$H$2:$H$1780)+COUNTIF($H$2:H1618,H1618)-1,"")</f>
        <v/>
      </c>
      <c r="AA1618" s="56" t="str">
        <f aca="false">IF(AC1618="","",RANK(AC1618,$AC$2:$AC$1780)+COUNTIF($AC$2:AC1618,AC1618)-1)</f>
        <v/>
      </c>
      <c r="AB1618" s="56" t="str">
        <f aca="false">IF(AD1618="","",RANK(AD1618,$AD$2:$AD$1780)+COUNTIF($AD$2:AD1618,AD1618)-1)</f>
        <v/>
      </c>
      <c r="AC1618" s="56" t="str">
        <f aca="false">IF(AND(F1618&gt;0,E1618&gt;=Settings!$B$4),J1618,"")</f>
        <v/>
      </c>
      <c r="AD1618" s="56" t="str">
        <f aca="false">IF(X1618="HIGH RATE",O1618,"")</f>
        <v/>
      </c>
    </row>
    <row r="1619" customFormat="false" ht="15" hidden="false" customHeight="false" outlineLevel="0" collapsed="false">
      <c r="A1619" s="56" t="s">
        <v>3095</v>
      </c>
      <c r="B1619" s="56" t="s">
        <v>3096</v>
      </c>
      <c r="C1619" s="56" t="s">
        <v>71</v>
      </c>
      <c r="D1619" s="56" t="str">
        <f aca="false">IFERROR(INDEX('Brand Map'!$B$4:$B$124,MATCH(C1619,'Brand Map'!$A$4:$A$124,0)),"Other")</f>
        <v>GF</v>
      </c>
      <c r="E1619" s="57" t="n">
        <v>1</v>
      </c>
      <c r="F1619" s="57" t="n">
        <v>0</v>
      </c>
      <c r="G1619" s="58" t="n">
        <v>163.58</v>
      </c>
      <c r="H1619" s="58" t="n">
        <v>0</v>
      </c>
      <c r="I1619" s="58" t="n">
        <v>139.05</v>
      </c>
      <c r="J1619" s="32" t="n">
        <f aca="false">IF(E1619&gt;0,F1619/E1619,0)</f>
        <v>0</v>
      </c>
      <c r="K1619" s="32" t="n">
        <f aca="false">IF(G1619&gt;0,H1619/G1619,0)</f>
        <v>-0</v>
      </c>
      <c r="L1619" s="59" t="n">
        <f aca="false">H1619/Settings!$B$16</f>
        <v>-0</v>
      </c>
      <c r="M1619" s="59" t="n">
        <f aca="false">H1619/Settings!$B$20</f>
        <v>-0</v>
      </c>
      <c r="N1619" s="60" t="n">
        <f aca="false">E1619*Settings!$B$3</f>
        <v>0.0309861510798204</v>
      </c>
      <c r="O1619" s="60" t="n">
        <f aca="false">IF(E1619&gt;0,(F1619-N1619)/SQRT(E1619*Settings!$B$3*(1-Settings!$B$3)),0)</f>
        <v>-0.178821125934444</v>
      </c>
      <c r="P1619" s="60" t="n">
        <f aca="false">MAX(0,F1619-N1619)</f>
        <v>0</v>
      </c>
      <c r="Q1619" s="32" t="n">
        <f aca="false">(F1619+Settings!$B$7*Settings!$B$3)/(E1619+Settings!$B$7)</f>
        <v>0.0299865978191811</v>
      </c>
      <c r="R1619" s="61" t="n">
        <f aca="false">PERCENTRANK($H$2:$H$1780,H1619,6)</f>
        <v>0</v>
      </c>
      <c r="S1619" s="61" t="n">
        <f aca="false">PERCENTRANK($Q$2:$Q$1780,Q1619,6)</f>
        <v>0.486502</v>
      </c>
      <c r="T1619" s="61" t="n">
        <f aca="false">PERCENTRANK($F$2:$F$1780,F1619,6)</f>
        <v>0</v>
      </c>
      <c r="U1619" s="62" t="n">
        <f aca="false">IF(F1619&gt;0,(Settings!$B$8*T1619+Settings!$B$9*R1619+Settings!$B$10*S1619)/SUM(Settings!$B$8:$B$10),0)</f>
        <v>0</v>
      </c>
      <c r="V1619" s="56" t="str">
        <f aca="false">IF(U1619&gt;0,RANK(U1619,$U$2:$U$1780)+COUNTIF($U$2:U1619,U1619)-1,"")</f>
        <v/>
      </c>
      <c r="W1619" s="56" t="str">
        <f aca="false">IF(V1619="","",IF(V1619&lt;=Settings!$B$11,"1 - Fix first",IF(V1619&lt;=Settings!$B$12,"2 - Review","3 - Monitor")))</f>
        <v/>
      </c>
      <c r="X1619" s="56" t="str">
        <f aca="false">IF(AND(E1619&gt;=Settings!$B$4,F1619&gt;=Settings!$B$5,O1619&gt;=Settings!$B$6),"HIGH RATE","")</f>
        <v/>
      </c>
      <c r="Y1619" s="56" t="str">
        <f aca="false">IF(F1619&gt;0,RANK(F1619,$F$2:$F$1780)+COUNTIF($F$2:F1619,F1619)-1,"")</f>
        <v/>
      </c>
      <c r="Z1619" s="56" t="str">
        <f aca="false">IF(H1619&gt;0,RANK(H1619,$H$2:$H$1780)+COUNTIF($H$2:H1619,H1619)-1,"")</f>
        <v/>
      </c>
      <c r="AA1619" s="56" t="str">
        <f aca="false">IF(AC1619="","",RANK(AC1619,$AC$2:$AC$1780)+COUNTIF($AC$2:AC1619,AC1619)-1)</f>
        <v/>
      </c>
      <c r="AB1619" s="56" t="str">
        <f aca="false">IF(AD1619="","",RANK(AD1619,$AD$2:$AD$1780)+COUNTIF($AD$2:AD1619,AD1619)-1)</f>
        <v/>
      </c>
      <c r="AC1619" s="56" t="str">
        <f aca="false">IF(AND(F1619&gt;0,E1619&gt;=Settings!$B$4),J1619,"")</f>
        <v/>
      </c>
      <c r="AD1619" s="56" t="str">
        <f aca="false">IF(X1619="HIGH RATE",O1619,"")</f>
        <v/>
      </c>
    </row>
    <row r="1620" customFormat="false" ht="15" hidden="false" customHeight="false" outlineLevel="0" collapsed="false">
      <c r="A1620" s="56" t="s">
        <v>3097</v>
      </c>
      <c r="B1620" s="56" t="s">
        <v>3098</v>
      </c>
      <c r="C1620" s="56" t="s">
        <v>71</v>
      </c>
      <c r="D1620" s="56" t="str">
        <f aca="false">IFERROR(INDEX('Brand Map'!$B$4:$B$124,MATCH(C1620,'Brand Map'!$A$4:$A$124,0)),"Other")</f>
        <v>GF</v>
      </c>
      <c r="E1620" s="57" t="n">
        <v>3</v>
      </c>
      <c r="F1620" s="57" t="n">
        <v>0</v>
      </c>
      <c r="G1620" s="58" t="n">
        <v>545.31</v>
      </c>
      <c r="H1620" s="58" t="n">
        <v>0</v>
      </c>
      <c r="I1620" s="58" t="n">
        <v>516.69</v>
      </c>
      <c r="J1620" s="32" t="n">
        <f aca="false">IF(E1620&gt;0,F1620/E1620,0)</f>
        <v>0</v>
      </c>
      <c r="K1620" s="32" t="n">
        <f aca="false">IF(G1620&gt;0,H1620/G1620,0)</f>
        <v>-0</v>
      </c>
      <c r="L1620" s="59" t="n">
        <f aca="false">H1620/Settings!$B$16</f>
        <v>-0</v>
      </c>
      <c r="M1620" s="59" t="n">
        <f aca="false">H1620/Settings!$B$20</f>
        <v>-0</v>
      </c>
      <c r="N1620" s="60" t="n">
        <f aca="false">E1620*Settings!$B$3</f>
        <v>0.0929584532394613</v>
      </c>
      <c r="O1620" s="60" t="n">
        <f aca="false">IF(E1620&gt;0,(F1620-N1620)/SQRT(E1620*Settings!$B$3*(1-Settings!$B$3)),0)</f>
        <v>-0.30972727558513</v>
      </c>
      <c r="P1620" s="60" t="n">
        <f aca="false">MAX(0,F1620-N1620)</f>
        <v>0</v>
      </c>
      <c r="Q1620" s="32" t="n">
        <f aca="false">(F1620+Settings!$B$7*Settings!$B$3)/(E1620+Settings!$B$7)</f>
        <v>0.0281692282543822</v>
      </c>
      <c r="R1620" s="61" t="n">
        <f aca="false">PERCENTRANK($H$2:$H$1780,H1620,6)</f>
        <v>0</v>
      </c>
      <c r="S1620" s="61" t="n">
        <f aca="false">PERCENTRANK($Q$2:$Q$1780,Q1620,6)</f>
        <v>0.294151</v>
      </c>
      <c r="T1620" s="61" t="n">
        <f aca="false">PERCENTRANK($F$2:$F$1780,F1620,6)</f>
        <v>0</v>
      </c>
      <c r="U1620" s="62" t="n">
        <f aca="false">IF(F1620&gt;0,(Settings!$B$8*T1620+Settings!$B$9*R1620+Settings!$B$10*S1620)/SUM(Settings!$B$8:$B$10),0)</f>
        <v>0</v>
      </c>
      <c r="V1620" s="56" t="str">
        <f aca="false">IF(U1620&gt;0,RANK(U1620,$U$2:$U$1780)+COUNTIF($U$2:U1620,U1620)-1,"")</f>
        <v/>
      </c>
      <c r="W1620" s="56" t="str">
        <f aca="false">IF(V1620="","",IF(V1620&lt;=Settings!$B$11,"1 - Fix first",IF(V1620&lt;=Settings!$B$12,"2 - Review","3 - Monitor")))</f>
        <v/>
      </c>
      <c r="X1620" s="56" t="str">
        <f aca="false">IF(AND(E1620&gt;=Settings!$B$4,F1620&gt;=Settings!$B$5,O1620&gt;=Settings!$B$6),"HIGH RATE","")</f>
        <v/>
      </c>
      <c r="Y1620" s="56" t="str">
        <f aca="false">IF(F1620&gt;0,RANK(F1620,$F$2:$F$1780)+COUNTIF($F$2:F1620,F1620)-1,"")</f>
        <v/>
      </c>
      <c r="Z1620" s="56" t="str">
        <f aca="false">IF(H1620&gt;0,RANK(H1620,$H$2:$H$1780)+COUNTIF($H$2:H1620,H1620)-1,"")</f>
        <v/>
      </c>
      <c r="AA1620" s="56" t="str">
        <f aca="false">IF(AC1620="","",RANK(AC1620,$AC$2:$AC$1780)+COUNTIF($AC$2:AC1620,AC1620)-1)</f>
        <v/>
      </c>
      <c r="AB1620" s="56" t="str">
        <f aca="false">IF(AD1620="","",RANK(AD1620,$AD$2:$AD$1780)+COUNTIF($AD$2:AD1620,AD1620)-1)</f>
        <v/>
      </c>
      <c r="AC1620" s="56" t="str">
        <f aca="false">IF(AND(F1620&gt;0,E1620&gt;=Settings!$B$4),J1620,"")</f>
        <v/>
      </c>
      <c r="AD1620" s="56" t="str">
        <f aca="false">IF(X1620="HIGH RATE",O1620,"")</f>
        <v/>
      </c>
    </row>
    <row r="1621" customFormat="false" ht="15" hidden="false" customHeight="false" outlineLevel="0" collapsed="false">
      <c r="A1621" s="56" t="s">
        <v>3099</v>
      </c>
      <c r="B1621" s="56" t="s">
        <v>3100</v>
      </c>
      <c r="C1621" s="56" t="s">
        <v>71</v>
      </c>
      <c r="D1621" s="56" t="str">
        <f aca="false">IFERROR(INDEX('Brand Map'!$B$4:$B$124,MATCH(C1621,'Brand Map'!$A$4:$A$124,0)),"Other")</f>
        <v>GF</v>
      </c>
      <c r="E1621" s="57" t="n">
        <v>2</v>
      </c>
      <c r="F1621" s="57" t="n">
        <v>0</v>
      </c>
      <c r="G1621" s="58" t="n">
        <v>536.27</v>
      </c>
      <c r="H1621" s="58" t="n">
        <v>0</v>
      </c>
      <c r="I1621" s="58" t="n">
        <v>536.27</v>
      </c>
      <c r="J1621" s="32" t="n">
        <f aca="false">IF(E1621&gt;0,F1621/E1621,0)</f>
        <v>0</v>
      </c>
      <c r="K1621" s="32" t="n">
        <f aca="false">IF(G1621&gt;0,H1621/G1621,0)</f>
        <v>-0</v>
      </c>
      <c r="L1621" s="59" t="n">
        <f aca="false">H1621/Settings!$B$16</f>
        <v>-0</v>
      </c>
      <c r="M1621" s="59" t="n">
        <f aca="false">H1621/Settings!$B$20</f>
        <v>-0</v>
      </c>
      <c r="N1621" s="60" t="n">
        <f aca="false">E1621*Settings!$B$3</f>
        <v>0.0619723021596408</v>
      </c>
      <c r="O1621" s="60" t="n">
        <f aca="false">IF(E1621&gt;0,(F1621-N1621)/SQRT(E1621*Settings!$B$3*(1-Settings!$B$3)),0)</f>
        <v>-0.252891261535318</v>
      </c>
      <c r="P1621" s="60" t="n">
        <f aca="false">MAX(0,F1621-N1621)</f>
        <v>0</v>
      </c>
      <c r="Q1621" s="32" t="n">
        <f aca="false">(F1621+Settings!$B$7*Settings!$B$3)/(E1621+Settings!$B$7)</f>
        <v>0.0290495166373316</v>
      </c>
      <c r="R1621" s="61" t="n">
        <f aca="false">PERCENTRANK($H$2:$H$1780,H1621,6)</f>
        <v>0</v>
      </c>
      <c r="S1621" s="61" t="n">
        <f aca="false">PERCENTRANK($Q$2:$Q$1780,Q1621,6)</f>
        <v>0.365579</v>
      </c>
      <c r="T1621" s="61" t="n">
        <f aca="false">PERCENTRANK($F$2:$F$1780,F1621,6)</f>
        <v>0</v>
      </c>
      <c r="U1621" s="62" t="n">
        <f aca="false">IF(F1621&gt;0,(Settings!$B$8*T1621+Settings!$B$9*R1621+Settings!$B$10*S1621)/SUM(Settings!$B$8:$B$10),0)</f>
        <v>0</v>
      </c>
      <c r="V1621" s="56" t="str">
        <f aca="false">IF(U1621&gt;0,RANK(U1621,$U$2:$U$1780)+COUNTIF($U$2:U1621,U1621)-1,"")</f>
        <v/>
      </c>
      <c r="W1621" s="56" t="str">
        <f aca="false">IF(V1621="","",IF(V1621&lt;=Settings!$B$11,"1 - Fix first",IF(V1621&lt;=Settings!$B$12,"2 - Review","3 - Monitor")))</f>
        <v/>
      </c>
      <c r="X1621" s="56" t="str">
        <f aca="false">IF(AND(E1621&gt;=Settings!$B$4,F1621&gt;=Settings!$B$5,O1621&gt;=Settings!$B$6),"HIGH RATE","")</f>
        <v/>
      </c>
      <c r="Y1621" s="56" t="str">
        <f aca="false">IF(F1621&gt;0,RANK(F1621,$F$2:$F$1780)+COUNTIF($F$2:F1621,F1621)-1,"")</f>
        <v/>
      </c>
      <c r="Z1621" s="56" t="str">
        <f aca="false">IF(H1621&gt;0,RANK(H1621,$H$2:$H$1780)+COUNTIF($H$2:H1621,H1621)-1,"")</f>
        <v/>
      </c>
      <c r="AA1621" s="56" t="str">
        <f aca="false">IF(AC1621="","",RANK(AC1621,$AC$2:$AC$1780)+COUNTIF($AC$2:AC1621,AC1621)-1)</f>
        <v/>
      </c>
      <c r="AB1621" s="56" t="str">
        <f aca="false">IF(AD1621="","",RANK(AD1621,$AD$2:$AD$1780)+COUNTIF($AD$2:AD1621,AD1621)-1)</f>
        <v/>
      </c>
      <c r="AC1621" s="56" t="str">
        <f aca="false">IF(AND(F1621&gt;0,E1621&gt;=Settings!$B$4),J1621,"")</f>
        <v/>
      </c>
      <c r="AD1621" s="56" t="str">
        <f aca="false">IF(X1621="HIGH RATE",O1621,"")</f>
        <v/>
      </c>
    </row>
    <row r="1622" customFormat="false" ht="15" hidden="false" customHeight="false" outlineLevel="0" collapsed="false">
      <c r="A1622" s="56" t="s">
        <v>3101</v>
      </c>
      <c r="B1622" s="56" t="s">
        <v>3102</v>
      </c>
      <c r="C1622" s="56" t="s">
        <v>71</v>
      </c>
      <c r="D1622" s="56" t="str">
        <f aca="false">IFERROR(INDEX('Brand Map'!$B$4:$B$124,MATCH(C1622,'Brand Map'!$A$4:$A$124,0)),"Other")</f>
        <v>GF</v>
      </c>
      <c r="E1622" s="57" t="n">
        <v>3</v>
      </c>
      <c r="F1622" s="57" t="n">
        <v>0</v>
      </c>
      <c r="G1622" s="58" t="n">
        <v>322.59</v>
      </c>
      <c r="H1622" s="58" t="n">
        <v>0</v>
      </c>
      <c r="I1622" s="58" t="n">
        <v>304.89</v>
      </c>
      <c r="J1622" s="32" t="n">
        <f aca="false">IF(E1622&gt;0,F1622/E1622,0)</f>
        <v>0</v>
      </c>
      <c r="K1622" s="32" t="n">
        <f aca="false">IF(G1622&gt;0,H1622/G1622,0)</f>
        <v>-0</v>
      </c>
      <c r="L1622" s="59" t="n">
        <f aca="false">H1622/Settings!$B$16</f>
        <v>-0</v>
      </c>
      <c r="M1622" s="59" t="n">
        <f aca="false">H1622/Settings!$B$20</f>
        <v>-0</v>
      </c>
      <c r="N1622" s="60" t="n">
        <f aca="false">E1622*Settings!$B$3</f>
        <v>0.0929584532394613</v>
      </c>
      <c r="O1622" s="60" t="n">
        <f aca="false">IF(E1622&gt;0,(F1622-N1622)/SQRT(E1622*Settings!$B$3*(1-Settings!$B$3)),0)</f>
        <v>-0.30972727558513</v>
      </c>
      <c r="P1622" s="60" t="n">
        <f aca="false">MAX(0,F1622-N1622)</f>
        <v>0</v>
      </c>
      <c r="Q1622" s="32" t="n">
        <f aca="false">(F1622+Settings!$B$7*Settings!$B$3)/(E1622+Settings!$B$7)</f>
        <v>0.0281692282543822</v>
      </c>
      <c r="R1622" s="61" t="n">
        <f aca="false">PERCENTRANK($H$2:$H$1780,H1622,6)</f>
        <v>0</v>
      </c>
      <c r="S1622" s="61" t="n">
        <f aca="false">PERCENTRANK($Q$2:$Q$1780,Q1622,6)</f>
        <v>0.294151</v>
      </c>
      <c r="T1622" s="61" t="n">
        <f aca="false">PERCENTRANK($F$2:$F$1780,F1622,6)</f>
        <v>0</v>
      </c>
      <c r="U1622" s="62" t="n">
        <f aca="false">IF(F1622&gt;0,(Settings!$B$8*T1622+Settings!$B$9*R1622+Settings!$B$10*S1622)/SUM(Settings!$B$8:$B$10),0)</f>
        <v>0</v>
      </c>
      <c r="V1622" s="56" t="str">
        <f aca="false">IF(U1622&gt;0,RANK(U1622,$U$2:$U$1780)+COUNTIF($U$2:U1622,U1622)-1,"")</f>
        <v/>
      </c>
      <c r="W1622" s="56" t="str">
        <f aca="false">IF(V1622="","",IF(V1622&lt;=Settings!$B$11,"1 - Fix first",IF(V1622&lt;=Settings!$B$12,"2 - Review","3 - Monitor")))</f>
        <v/>
      </c>
      <c r="X1622" s="56" t="str">
        <f aca="false">IF(AND(E1622&gt;=Settings!$B$4,F1622&gt;=Settings!$B$5,O1622&gt;=Settings!$B$6),"HIGH RATE","")</f>
        <v/>
      </c>
      <c r="Y1622" s="56" t="str">
        <f aca="false">IF(F1622&gt;0,RANK(F1622,$F$2:$F$1780)+COUNTIF($F$2:F1622,F1622)-1,"")</f>
        <v/>
      </c>
      <c r="Z1622" s="56" t="str">
        <f aca="false">IF(H1622&gt;0,RANK(H1622,$H$2:$H$1780)+COUNTIF($H$2:H1622,H1622)-1,"")</f>
        <v/>
      </c>
      <c r="AA1622" s="56" t="str">
        <f aca="false">IF(AC1622="","",RANK(AC1622,$AC$2:$AC$1780)+COUNTIF($AC$2:AC1622,AC1622)-1)</f>
        <v/>
      </c>
      <c r="AB1622" s="56" t="str">
        <f aca="false">IF(AD1622="","",RANK(AD1622,$AD$2:$AD$1780)+COUNTIF($AD$2:AD1622,AD1622)-1)</f>
        <v/>
      </c>
      <c r="AC1622" s="56" t="str">
        <f aca="false">IF(AND(F1622&gt;0,E1622&gt;=Settings!$B$4),J1622,"")</f>
        <v/>
      </c>
      <c r="AD1622" s="56" t="str">
        <f aca="false">IF(X1622="HIGH RATE",O1622,"")</f>
        <v/>
      </c>
    </row>
    <row r="1623" customFormat="false" ht="15" hidden="false" customHeight="false" outlineLevel="0" collapsed="false">
      <c r="A1623" s="56" t="s">
        <v>3103</v>
      </c>
      <c r="B1623" s="56" t="s">
        <v>3104</v>
      </c>
      <c r="C1623" s="56" t="s">
        <v>71</v>
      </c>
      <c r="D1623" s="56" t="str">
        <f aca="false">IFERROR(INDEX('Brand Map'!$B$4:$B$124,MATCH(C1623,'Brand Map'!$A$4:$A$124,0)),"Other")</f>
        <v>GF</v>
      </c>
      <c r="E1623" s="57" t="n">
        <v>11</v>
      </c>
      <c r="F1623" s="57" t="n">
        <v>0</v>
      </c>
      <c r="G1623" s="58" t="n">
        <v>1013.82</v>
      </c>
      <c r="H1623" s="58" t="n">
        <v>0</v>
      </c>
      <c r="I1623" s="58" t="n">
        <v>995.65</v>
      </c>
      <c r="J1623" s="32" t="n">
        <f aca="false">IF(E1623&gt;0,F1623/E1623,0)</f>
        <v>0</v>
      </c>
      <c r="K1623" s="32" t="n">
        <f aca="false">IF(G1623&gt;0,H1623/G1623,0)</f>
        <v>-0</v>
      </c>
      <c r="L1623" s="59" t="n">
        <f aca="false">H1623/Settings!$B$16</f>
        <v>-0</v>
      </c>
      <c r="M1623" s="59" t="n">
        <f aca="false">H1623/Settings!$B$20</f>
        <v>-0</v>
      </c>
      <c r="N1623" s="60" t="n">
        <f aca="false">E1623*Settings!$B$3</f>
        <v>0.340847661878025</v>
      </c>
      <c r="O1623" s="60" t="n">
        <f aca="false">IF(E1623&gt;0,(F1623-N1623)/SQRT(E1623*Settings!$B$3*(1-Settings!$B$3)),0)</f>
        <v>-0.593082579313442</v>
      </c>
      <c r="P1623" s="60" t="n">
        <f aca="false">MAX(0,F1623-N1623)</f>
        <v>0</v>
      </c>
      <c r="Q1623" s="32" t="n">
        <f aca="false">(F1623+Settings!$B$7*Settings!$B$3)/(E1623+Settings!$B$7)</f>
        <v>0.0226727934730393</v>
      </c>
      <c r="R1623" s="61" t="n">
        <f aca="false">PERCENTRANK($H$2:$H$1780,H1623,6)</f>
        <v>0</v>
      </c>
      <c r="S1623" s="61" t="n">
        <f aca="false">PERCENTRANK($Q$2:$Q$1780,Q1623,6)</f>
        <v>0.117548</v>
      </c>
      <c r="T1623" s="61" t="n">
        <f aca="false">PERCENTRANK($F$2:$F$1780,F1623,6)</f>
        <v>0</v>
      </c>
      <c r="U1623" s="62" t="n">
        <f aca="false">IF(F1623&gt;0,(Settings!$B$8*T1623+Settings!$B$9*R1623+Settings!$B$10*S1623)/SUM(Settings!$B$8:$B$10),0)</f>
        <v>0</v>
      </c>
      <c r="V1623" s="56" t="str">
        <f aca="false">IF(U1623&gt;0,RANK(U1623,$U$2:$U$1780)+COUNTIF($U$2:U1623,U1623)-1,"")</f>
        <v/>
      </c>
      <c r="W1623" s="56" t="str">
        <f aca="false">IF(V1623="","",IF(V1623&lt;=Settings!$B$11,"1 - Fix first",IF(V1623&lt;=Settings!$B$12,"2 - Review","3 - Monitor")))</f>
        <v/>
      </c>
      <c r="X1623" s="56" t="str">
        <f aca="false">IF(AND(E1623&gt;=Settings!$B$4,F1623&gt;=Settings!$B$5,O1623&gt;=Settings!$B$6),"HIGH RATE","")</f>
        <v/>
      </c>
      <c r="Y1623" s="56" t="str">
        <f aca="false">IF(F1623&gt;0,RANK(F1623,$F$2:$F$1780)+COUNTIF($F$2:F1623,F1623)-1,"")</f>
        <v/>
      </c>
      <c r="Z1623" s="56" t="str">
        <f aca="false">IF(H1623&gt;0,RANK(H1623,$H$2:$H$1780)+COUNTIF($H$2:H1623,H1623)-1,"")</f>
        <v/>
      </c>
      <c r="AA1623" s="56" t="str">
        <f aca="false">IF(AC1623="","",RANK(AC1623,$AC$2:$AC$1780)+COUNTIF($AC$2:AC1623,AC1623)-1)</f>
        <v/>
      </c>
      <c r="AB1623" s="56" t="str">
        <f aca="false">IF(AD1623="","",RANK(AD1623,$AD$2:$AD$1780)+COUNTIF($AD$2:AD1623,AD1623)-1)</f>
        <v/>
      </c>
      <c r="AC1623" s="56" t="str">
        <f aca="false">IF(AND(F1623&gt;0,E1623&gt;=Settings!$B$4),J1623,"")</f>
        <v/>
      </c>
      <c r="AD1623" s="56" t="str">
        <f aca="false">IF(X1623="HIGH RATE",O1623,"")</f>
        <v/>
      </c>
    </row>
    <row r="1624" customFormat="false" ht="15" hidden="false" customHeight="false" outlineLevel="0" collapsed="false">
      <c r="A1624" s="56" t="s">
        <v>3105</v>
      </c>
      <c r="B1624" s="56" t="s">
        <v>545</v>
      </c>
      <c r="C1624" s="56" t="s">
        <v>71</v>
      </c>
      <c r="D1624" s="56" t="str">
        <f aca="false">IFERROR(INDEX('Brand Map'!$B$4:$B$124,MATCH(C1624,'Brand Map'!$A$4:$A$124,0)),"Other")</f>
        <v>GF</v>
      </c>
      <c r="E1624" s="57" t="n">
        <v>6</v>
      </c>
      <c r="F1624" s="57" t="n">
        <v>0</v>
      </c>
      <c r="G1624" s="58" t="n">
        <v>749.7</v>
      </c>
      <c r="H1624" s="58" t="n">
        <v>0</v>
      </c>
      <c r="I1624" s="58" t="n">
        <v>749.7</v>
      </c>
      <c r="J1624" s="32" t="n">
        <f aca="false">IF(E1624&gt;0,F1624/E1624,0)</f>
        <v>0</v>
      </c>
      <c r="K1624" s="32" t="n">
        <f aca="false">IF(G1624&gt;0,H1624/G1624,0)</f>
        <v>-0</v>
      </c>
      <c r="L1624" s="59" t="n">
        <f aca="false">H1624/Settings!$B$16</f>
        <v>-0</v>
      </c>
      <c r="M1624" s="59" t="n">
        <f aca="false">H1624/Settings!$B$20</f>
        <v>-0</v>
      </c>
      <c r="N1624" s="60" t="n">
        <f aca="false">E1624*Settings!$B$3</f>
        <v>0.185916906478923</v>
      </c>
      <c r="O1624" s="60" t="n">
        <f aca="false">IF(E1624&gt;0,(F1624-N1624)/SQRT(E1624*Settings!$B$3*(1-Settings!$B$3)),0)</f>
        <v>-0.43802051376936</v>
      </c>
      <c r="P1624" s="60" t="n">
        <f aca="false">MAX(0,F1624-N1624)</f>
        <v>0</v>
      </c>
      <c r="Q1624" s="32" t="n">
        <f aca="false">(F1624+Settings!$B$7*Settings!$B$3)/(E1624+Settings!$B$7)</f>
        <v>0.025821792566517</v>
      </c>
      <c r="R1624" s="61" t="n">
        <f aca="false">PERCENTRANK($H$2:$H$1780,H1624,6)</f>
        <v>0</v>
      </c>
      <c r="S1624" s="61" t="n">
        <f aca="false">PERCENTRANK($Q$2:$Q$1780,Q1624,6)</f>
        <v>0.189539</v>
      </c>
      <c r="T1624" s="61" t="n">
        <f aca="false">PERCENTRANK($F$2:$F$1780,F1624,6)</f>
        <v>0</v>
      </c>
      <c r="U1624" s="62" t="n">
        <f aca="false">IF(F1624&gt;0,(Settings!$B$8*T1624+Settings!$B$9*R1624+Settings!$B$10*S1624)/SUM(Settings!$B$8:$B$10),0)</f>
        <v>0</v>
      </c>
      <c r="V1624" s="56" t="str">
        <f aca="false">IF(U1624&gt;0,RANK(U1624,$U$2:$U$1780)+COUNTIF($U$2:U1624,U1624)-1,"")</f>
        <v/>
      </c>
      <c r="W1624" s="56" t="str">
        <f aca="false">IF(V1624="","",IF(V1624&lt;=Settings!$B$11,"1 - Fix first",IF(V1624&lt;=Settings!$B$12,"2 - Review","3 - Monitor")))</f>
        <v/>
      </c>
      <c r="X1624" s="56" t="str">
        <f aca="false">IF(AND(E1624&gt;=Settings!$B$4,F1624&gt;=Settings!$B$5,O1624&gt;=Settings!$B$6),"HIGH RATE","")</f>
        <v/>
      </c>
      <c r="Y1624" s="56" t="str">
        <f aca="false">IF(F1624&gt;0,RANK(F1624,$F$2:$F$1780)+COUNTIF($F$2:F1624,F1624)-1,"")</f>
        <v/>
      </c>
      <c r="Z1624" s="56" t="str">
        <f aca="false">IF(H1624&gt;0,RANK(H1624,$H$2:$H$1780)+COUNTIF($H$2:H1624,H1624)-1,"")</f>
        <v/>
      </c>
      <c r="AA1624" s="56" t="str">
        <f aca="false">IF(AC1624="","",RANK(AC1624,$AC$2:$AC$1780)+COUNTIF($AC$2:AC1624,AC1624)-1)</f>
        <v/>
      </c>
      <c r="AB1624" s="56" t="str">
        <f aca="false">IF(AD1624="","",RANK(AD1624,$AD$2:$AD$1780)+COUNTIF($AD$2:AD1624,AD1624)-1)</f>
        <v/>
      </c>
      <c r="AC1624" s="56" t="str">
        <f aca="false">IF(AND(F1624&gt;0,E1624&gt;=Settings!$B$4),J1624,"")</f>
        <v/>
      </c>
      <c r="AD1624" s="56" t="str">
        <f aca="false">IF(X1624="HIGH RATE",O1624,"")</f>
        <v/>
      </c>
    </row>
    <row r="1625" customFormat="false" ht="15" hidden="false" customHeight="false" outlineLevel="0" collapsed="false">
      <c r="A1625" s="56" t="s">
        <v>3106</v>
      </c>
      <c r="B1625" s="56" t="s">
        <v>545</v>
      </c>
      <c r="C1625" s="56" t="s">
        <v>71</v>
      </c>
      <c r="D1625" s="56" t="str">
        <f aca="false">IFERROR(INDEX('Brand Map'!$B$4:$B$124,MATCH(C1625,'Brand Map'!$A$4:$A$124,0)),"Other")</f>
        <v>GF</v>
      </c>
      <c r="E1625" s="57" t="n">
        <v>5</v>
      </c>
      <c r="F1625" s="57" t="n">
        <v>0</v>
      </c>
      <c r="G1625" s="58" t="n">
        <v>774.75</v>
      </c>
      <c r="H1625" s="58" t="n">
        <v>0</v>
      </c>
      <c r="I1625" s="58" t="n">
        <v>774.75</v>
      </c>
      <c r="J1625" s="32" t="n">
        <f aca="false">IF(E1625&gt;0,F1625/E1625,0)</f>
        <v>0</v>
      </c>
      <c r="K1625" s="32" t="n">
        <f aca="false">IF(G1625&gt;0,H1625/G1625,0)</f>
        <v>-0</v>
      </c>
      <c r="L1625" s="59" t="n">
        <f aca="false">H1625/Settings!$B$16</f>
        <v>-0</v>
      </c>
      <c r="M1625" s="59" t="n">
        <f aca="false">H1625/Settings!$B$20</f>
        <v>-0</v>
      </c>
      <c r="N1625" s="60" t="n">
        <f aca="false">E1625*Settings!$B$3</f>
        <v>0.154930755399102</v>
      </c>
      <c r="O1625" s="60" t="n">
        <f aca="false">IF(E1625&gt;0,(F1625-N1625)/SQRT(E1625*Settings!$B$3*(1-Settings!$B$3)),0)</f>
        <v>-0.399856193402468</v>
      </c>
      <c r="P1625" s="60" t="n">
        <f aca="false">MAX(0,F1625-N1625)</f>
        <v>0</v>
      </c>
      <c r="Q1625" s="32" t="n">
        <f aca="false">(F1625+Settings!$B$7*Settings!$B$3)/(E1625+Settings!$B$7)</f>
        <v>0.0265595580684175</v>
      </c>
      <c r="R1625" s="61" t="n">
        <f aca="false">PERCENTRANK($H$2:$H$1780,H1625,6)</f>
        <v>0</v>
      </c>
      <c r="S1625" s="61" t="n">
        <f aca="false">PERCENTRANK($Q$2:$Q$1780,Q1625,6)</f>
        <v>0.220472</v>
      </c>
      <c r="T1625" s="61" t="n">
        <f aca="false">PERCENTRANK($F$2:$F$1780,F1625,6)</f>
        <v>0</v>
      </c>
      <c r="U1625" s="62" t="n">
        <f aca="false">IF(F1625&gt;0,(Settings!$B$8*T1625+Settings!$B$9*R1625+Settings!$B$10*S1625)/SUM(Settings!$B$8:$B$10),0)</f>
        <v>0</v>
      </c>
      <c r="V1625" s="56" t="str">
        <f aca="false">IF(U1625&gt;0,RANK(U1625,$U$2:$U$1780)+COUNTIF($U$2:U1625,U1625)-1,"")</f>
        <v/>
      </c>
      <c r="W1625" s="56" t="str">
        <f aca="false">IF(V1625="","",IF(V1625&lt;=Settings!$B$11,"1 - Fix first",IF(V1625&lt;=Settings!$B$12,"2 - Review","3 - Monitor")))</f>
        <v/>
      </c>
      <c r="X1625" s="56" t="str">
        <f aca="false">IF(AND(E1625&gt;=Settings!$B$4,F1625&gt;=Settings!$B$5,O1625&gt;=Settings!$B$6),"HIGH RATE","")</f>
        <v/>
      </c>
      <c r="Y1625" s="56" t="str">
        <f aca="false">IF(F1625&gt;0,RANK(F1625,$F$2:$F$1780)+COUNTIF($F$2:F1625,F1625)-1,"")</f>
        <v/>
      </c>
      <c r="Z1625" s="56" t="str">
        <f aca="false">IF(H1625&gt;0,RANK(H1625,$H$2:$H$1780)+COUNTIF($H$2:H1625,H1625)-1,"")</f>
        <v/>
      </c>
      <c r="AA1625" s="56" t="str">
        <f aca="false">IF(AC1625="","",RANK(AC1625,$AC$2:$AC$1780)+COUNTIF($AC$2:AC1625,AC1625)-1)</f>
        <v/>
      </c>
      <c r="AB1625" s="56" t="str">
        <f aca="false">IF(AD1625="","",RANK(AD1625,$AD$2:$AD$1780)+COUNTIF($AD$2:AD1625,AD1625)-1)</f>
        <v/>
      </c>
      <c r="AC1625" s="56" t="str">
        <f aca="false">IF(AND(F1625&gt;0,E1625&gt;=Settings!$B$4),J1625,"")</f>
        <v/>
      </c>
      <c r="AD1625" s="56" t="str">
        <f aca="false">IF(X1625="HIGH RATE",O1625,"")</f>
        <v/>
      </c>
    </row>
    <row r="1626" customFormat="false" ht="15" hidden="false" customHeight="false" outlineLevel="0" collapsed="false">
      <c r="A1626" s="56" t="s">
        <v>3107</v>
      </c>
      <c r="B1626" s="56" t="s">
        <v>545</v>
      </c>
      <c r="C1626" s="56" t="s">
        <v>71</v>
      </c>
      <c r="D1626" s="56" t="str">
        <f aca="false">IFERROR(INDEX('Brand Map'!$B$4:$B$124,MATCH(C1626,'Brand Map'!$A$4:$A$124,0)),"Other")</f>
        <v>GF</v>
      </c>
      <c r="E1626" s="57" t="n">
        <v>7</v>
      </c>
      <c r="F1626" s="57" t="n">
        <v>0</v>
      </c>
      <c r="G1626" s="58" t="n">
        <v>769.65</v>
      </c>
      <c r="H1626" s="58" t="n">
        <v>0</v>
      </c>
      <c r="I1626" s="58" t="n">
        <v>769.65</v>
      </c>
      <c r="J1626" s="32" t="n">
        <f aca="false">IF(E1626&gt;0,F1626/E1626,0)</f>
        <v>0</v>
      </c>
      <c r="K1626" s="32" t="n">
        <f aca="false">IF(G1626&gt;0,H1626/G1626,0)</f>
        <v>-0</v>
      </c>
      <c r="L1626" s="59" t="n">
        <f aca="false">H1626/Settings!$B$16</f>
        <v>-0</v>
      </c>
      <c r="M1626" s="59" t="n">
        <f aca="false">H1626/Settings!$B$20</f>
        <v>-0</v>
      </c>
      <c r="N1626" s="60" t="n">
        <f aca="false">E1626*Settings!$B$3</f>
        <v>0.216903057558743</v>
      </c>
      <c r="O1626" s="60" t="n">
        <f aca="false">IF(E1626&gt;0,(F1626-N1626)/SQRT(E1626*Settings!$B$3*(1-Settings!$B$3)),0)</f>
        <v>-0.473116228387102</v>
      </c>
      <c r="P1626" s="60" t="n">
        <f aca="false">MAX(0,F1626-N1626)</f>
        <v>0</v>
      </c>
      <c r="Q1626" s="32" t="n">
        <f aca="false">(F1626+Settings!$B$7*Settings!$B$3)/(E1626+Settings!$B$7)</f>
        <v>0.0251239062809355</v>
      </c>
      <c r="R1626" s="61" t="n">
        <f aca="false">PERCENTRANK($H$2:$H$1780,H1626,6)</f>
        <v>0</v>
      </c>
      <c r="S1626" s="61" t="n">
        <f aca="false">PERCENTRANK($Q$2:$Q$1780,Q1626,6)</f>
        <v>0.168166</v>
      </c>
      <c r="T1626" s="61" t="n">
        <f aca="false">PERCENTRANK($F$2:$F$1780,F1626,6)</f>
        <v>0</v>
      </c>
      <c r="U1626" s="62" t="n">
        <f aca="false">IF(F1626&gt;0,(Settings!$B$8*T1626+Settings!$B$9*R1626+Settings!$B$10*S1626)/SUM(Settings!$B$8:$B$10),0)</f>
        <v>0</v>
      </c>
      <c r="V1626" s="56" t="str">
        <f aca="false">IF(U1626&gt;0,RANK(U1626,$U$2:$U$1780)+COUNTIF($U$2:U1626,U1626)-1,"")</f>
        <v/>
      </c>
      <c r="W1626" s="56" t="str">
        <f aca="false">IF(V1626="","",IF(V1626&lt;=Settings!$B$11,"1 - Fix first",IF(V1626&lt;=Settings!$B$12,"2 - Review","3 - Monitor")))</f>
        <v/>
      </c>
      <c r="X1626" s="56" t="str">
        <f aca="false">IF(AND(E1626&gt;=Settings!$B$4,F1626&gt;=Settings!$B$5,O1626&gt;=Settings!$B$6),"HIGH RATE","")</f>
        <v/>
      </c>
      <c r="Y1626" s="56" t="str">
        <f aca="false">IF(F1626&gt;0,RANK(F1626,$F$2:$F$1780)+COUNTIF($F$2:F1626,F1626)-1,"")</f>
        <v/>
      </c>
      <c r="Z1626" s="56" t="str">
        <f aca="false">IF(H1626&gt;0,RANK(H1626,$H$2:$H$1780)+COUNTIF($H$2:H1626,H1626)-1,"")</f>
        <v/>
      </c>
      <c r="AA1626" s="56" t="str">
        <f aca="false">IF(AC1626="","",RANK(AC1626,$AC$2:$AC$1780)+COUNTIF($AC$2:AC1626,AC1626)-1)</f>
        <v/>
      </c>
      <c r="AB1626" s="56" t="str">
        <f aca="false">IF(AD1626="","",RANK(AD1626,$AD$2:$AD$1780)+COUNTIF($AD$2:AD1626,AD1626)-1)</f>
        <v/>
      </c>
      <c r="AC1626" s="56" t="str">
        <f aca="false">IF(AND(F1626&gt;0,E1626&gt;=Settings!$B$4),J1626,"")</f>
        <v/>
      </c>
      <c r="AD1626" s="56" t="str">
        <f aca="false">IF(X1626="HIGH RATE",O1626,"")</f>
        <v/>
      </c>
    </row>
    <row r="1627" customFormat="false" ht="15" hidden="false" customHeight="false" outlineLevel="0" collapsed="false">
      <c r="A1627" s="56" t="s">
        <v>3108</v>
      </c>
      <c r="B1627" s="56" t="s">
        <v>3109</v>
      </c>
      <c r="C1627" s="56" t="s">
        <v>71</v>
      </c>
      <c r="D1627" s="56" t="str">
        <f aca="false">IFERROR(INDEX('Brand Map'!$B$4:$B$124,MATCH(C1627,'Brand Map'!$A$4:$A$124,0)),"Other")</f>
        <v>GF</v>
      </c>
      <c r="E1627" s="57" t="n">
        <v>1</v>
      </c>
      <c r="F1627" s="57" t="n">
        <v>0</v>
      </c>
      <c r="G1627" s="58" t="n">
        <v>84.95</v>
      </c>
      <c r="H1627" s="58" t="n">
        <v>0</v>
      </c>
      <c r="I1627" s="58" t="n">
        <v>84.95</v>
      </c>
      <c r="J1627" s="32" t="n">
        <f aca="false">IF(E1627&gt;0,F1627/E1627,0)</f>
        <v>0</v>
      </c>
      <c r="K1627" s="32" t="n">
        <f aca="false">IF(G1627&gt;0,H1627/G1627,0)</f>
        <v>-0</v>
      </c>
      <c r="L1627" s="59" t="n">
        <f aca="false">H1627/Settings!$B$16</f>
        <v>-0</v>
      </c>
      <c r="M1627" s="59" t="n">
        <f aca="false">H1627/Settings!$B$20</f>
        <v>-0</v>
      </c>
      <c r="N1627" s="60" t="n">
        <f aca="false">E1627*Settings!$B$3</f>
        <v>0.0309861510798204</v>
      </c>
      <c r="O1627" s="60" t="n">
        <f aca="false">IF(E1627&gt;0,(F1627-N1627)/SQRT(E1627*Settings!$B$3*(1-Settings!$B$3)),0)</f>
        <v>-0.178821125934444</v>
      </c>
      <c r="P1627" s="60" t="n">
        <f aca="false">MAX(0,F1627-N1627)</f>
        <v>0</v>
      </c>
      <c r="Q1627" s="32" t="n">
        <f aca="false">(F1627+Settings!$B$7*Settings!$B$3)/(E1627+Settings!$B$7)</f>
        <v>0.0299865978191811</v>
      </c>
      <c r="R1627" s="61" t="n">
        <f aca="false">PERCENTRANK($H$2:$H$1780,H1627,6)</f>
        <v>0</v>
      </c>
      <c r="S1627" s="61" t="n">
        <f aca="false">PERCENTRANK($Q$2:$Q$1780,Q1627,6)</f>
        <v>0.486502</v>
      </c>
      <c r="T1627" s="61" t="n">
        <f aca="false">PERCENTRANK($F$2:$F$1780,F1627,6)</f>
        <v>0</v>
      </c>
      <c r="U1627" s="62" t="n">
        <f aca="false">IF(F1627&gt;0,(Settings!$B$8*T1627+Settings!$B$9*R1627+Settings!$B$10*S1627)/SUM(Settings!$B$8:$B$10),0)</f>
        <v>0</v>
      </c>
      <c r="V1627" s="56" t="str">
        <f aca="false">IF(U1627&gt;0,RANK(U1627,$U$2:$U$1780)+COUNTIF($U$2:U1627,U1627)-1,"")</f>
        <v/>
      </c>
      <c r="W1627" s="56" t="str">
        <f aca="false">IF(V1627="","",IF(V1627&lt;=Settings!$B$11,"1 - Fix first",IF(V1627&lt;=Settings!$B$12,"2 - Review","3 - Monitor")))</f>
        <v/>
      </c>
      <c r="X1627" s="56" t="str">
        <f aca="false">IF(AND(E1627&gt;=Settings!$B$4,F1627&gt;=Settings!$B$5,O1627&gt;=Settings!$B$6),"HIGH RATE","")</f>
        <v/>
      </c>
      <c r="Y1627" s="56" t="str">
        <f aca="false">IF(F1627&gt;0,RANK(F1627,$F$2:$F$1780)+COUNTIF($F$2:F1627,F1627)-1,"")</f>
        <v/>
      </c>
      <c r="Z1627" s="56" t="str">
        <f aca="false">IF(H1627&gt;0,RANK(H1627,$H$2:$H$1780)+COUNTIF($H$2:H1627,H1627)-1,"")</f>
        <v/>
      </c>
      <c r="AA1627" s="56" t="str">
        <f aca="false">IF(AC1627="","",RANK(AC1627,$AC$2:$AC$1780)+COUNTIF($AC$2:AC1627,AC1627)-1)</f>
        <v/>
      </c>
      <c r="AB1627" s="56" t="str">
        <f aca="false">IF(AD1627="","",RANK(AD1627,$AD$2:$AD$1780)+COUNTIF($AD$2:AD1627,AD1627)-1)</f>
        <v/>
      </c>
      <c r="AC1627" s="56" t="str">
        <f aca="false">IF(AND(F1627&gt;0,E1627&gt;=Settings!$B$4),J1627,"")</f>
        <v/>
      </c>
      <c r="AD1627" s="56" t="str">
        <f aca="false">IF(X1627="HIGH RATE",O1627,"")</f>
        <v/>
      </c>
    </row>
    <row r="1628" customFormat="false" ht="15" hidden="false" customHeight="false" outlineLevel="0" collapsed="false">
      <c r="A1628" s="56" t="s">
        <v>3110</v>
      </c>
      <c r="B1628" s="56" t="s">
        <v>901</v>
      </c>
      <c r="C1628" s="56" t="s">
        <v>71</v>
      </c>
      <c r="D1628" s="56" t="str">
        <f aca="false">IFERROR(INDEX('Brand Map'!$B$4:$B$124,MATCH(C1628,'Brand Map'!$A$4:$A$124,0)),"Other")</f>
        <v>GF</v>
      </c>
      <c r="E1628" s="57" t="n">
        <v>5</v>
      </c>
      <c r="F1628" s="57" t="n">
        <v>0</v>
      </c>
      <c r="G1628" s="58" t="n">
        <v>699.75</v>
      </c>
      <c r="H1628" s="58" t="n">
        <v>0</v>
      </c>
      <c r="I1628" s="58" t="n">
        <v>699.75</v>
      </c>
      <c r="J1628" s="32" t="n">
        <f aca="false">IF(E1628&gt;0,F1628/E1628,0)</f>
        <v>0</v>
      </c>
      <c r="K1628" s="32" t="n">
        <f aca="false">IF(G1628&gt;0,H1628/G1628,0)</f>
        <v>-0</v>
      </c>
      <c r="L1628" s="59" t="n">
        <f aca="false">H1628/Settings!$B$16</f>
        <v>-0</v>
      </c>
      <c r="M1628" s="59" t="n">
        <f aca="false">H1628/Settings!$B$20</f>
        <v>-0</v>
      </c>
      <c r="N1628" s="60" t="n">
        <f aca="false">E1628*Settings!$B$3</f>
        <v>0.154930755399102</v>
      </c>
      <c r="O1628" s="60" t="n">
        <f aca="false">IF(E1628&gt;0,(F1628-N1628)/SQRT(E1628*Settings!$B$3*(1-Settings!$B$3)),0)</f>
        <v>-0.399856193402468</v>
      </c>
      <c r="P1628" s="60" t="n">
        <f aca="false">MAX(0,F1628-N1628)</f>
        <v>0</v>
      </c>
      <c r="Q1628" s="32" t="n">
        <f aca="false">(F1628+Settings!$B$7*Settings!$B$3)/(E1628+Settings!$B$7)</f>
        <v>0.0265595580684175</v>
      </c>
      <c r="R1628" s="61" t="n">
        <f aca="false">PERCENTRANK($H$2:$H$1780,H1628,6)</f>
        <v>0</v>
      </c>
      <c r="S1628" s="61" t="n">
        <f aca="false">PERCENTRANK($Q$2:$Q$1780,Q1628,6)</f>
        <v>0.220472</v>
      </c>
      <c r="T1628" s="61" t="n">
        <f aca="false">PERCENTRANK($F$2:$F$1780,F1628,6)</f>
        <v>0</v>
      </c>
      <c r="U1628" s="62" t="n">
        <f aca="false">IF(F1628&gt;0,(Settings!$B$8*T1628+Settings!$B$9*R1628+Settings!$B$10*S1628)/SUM(Settings!$B$8:$B$10),0)</f>
        <v>0</v>
      </c>
      <c r="V1628" s="56" t="str">
        <f aca="false">IF(U1628&gt;0,RANK(U1628,$U$2:$U$1780)+COUNTIF($U$2:U1628,U1628)-1,"")</f>
        <v/>
      </c>
      <c r="W1628" s="56" t="str">
        <f aca="false">IF(V1628="","",IF(V1628&lt;=Settings!$B$11,"1 - Fix first",IF(V1628&lt;=Settings!$B$12,"2 - Review","3 - Monitor")))</f>
        <v/>
      </c>
      <c r="X1628" s="56" t="str">
        <f aca="false">IF(AND(E1628&gt;=Settings!$B$4,F1628&gt;=Settings!$B$5,O1628&gt;=Settings!$B$6),"HIGH RATE","")</f>
        <v/>
      </c>
      <c r="Y1628" s="56" t="str">
        <f aca="false">IF(F1628&gt;0,RANK(F1628,$F$2:$F$1780)+COUNTIF($F$2:F1628,F1628)-1,"")</f>
        <v/>
      </c>
      <c r="Z1628" s="56" t="str">
        <f aca="false">IF(H1628&gt;0,RANK(H1628,$H$2:$H$1780)+COUNTIF($H$2:H1628,H1628)-1,"")</f>
        <v/>
      </c>
      <c r="AA1628" s="56" t="str">
        <f aca="false">IF(AC1628="","",RANK(AC1628,$AC$2:$AC$1780)+COUNTIF($AC$2:AC1628,AC1628)-1)</f>
        <v/>
      </c>
      <c r="AB1628" s="56" t="str">
        <f aca="false">IF(AD1628="","",RANK(AD1628,$AD$2:$AD$1780)+COUNTIF($AD$2:AD1628,AD1628)-1)</f>
        <v/>
      </c>
      <c r="AC1628" s="56" t="str">
        <f aca="false">IF(AND(F1628&gt;0,E1628&gt;=Settings!$B$4),J1628,"")</f>
        <v/>
      </c>
      <c r="AD1628" s="56" t="str">
        <f aca="false">IF(X1628="HIGH RATE",O1628,"")</f>
        <v/>
      </c>
    </row>
    <row r="1629" customFormat="false" ht="15" hidden="false" customHeight="false" outlineLevel="0" collapsed="false">
      <c r="A1629" s="56" t="s">
        <v>3111</v>
      </c>
      <c r="B1629" s="56" t="s">
        <v>901</v>
      </c>
      <c r="C1629" s="56" t="s">
        <v>71</v>
      </c>
      <c r="D1629" s="56" t="str">
        <f aca="false">IFERROR(INDEX('Brand Map'!$B$4:$B$124,MATCH(C1629,'Brand Map'!$A$4:$A$124,0)),"Other")</f>
        <v>GF</v>
      </c>
      <c r="E1629" s="57" t="n">
        <v>4</v>
      </c>
      <c r="F1629" s="57" t="n">
        <v>0</v>
      </c>
      <c r="G1629" s="58" t="n">
        <v>619.8</v>
      </c>
      <c r="H1629" s="58" t="n">
        <v>0</v>
      </c>
      <c r="I1629" s="58" t="n">
        <v>619.8</v>
      </c>
      <c r="J1629" s="32" t="n">
        <f aca="false">IF(E1629&gt;0,F1629/E1629,0)</f>
        <v>0</v>
      </c>
      <c r="K1629" s="32" t="n">
        <f aca="false">IF(G1629&gt;0,H1629/G1629,0)</f>
        <v>-0</v>
      </c>
      <c r="L1629" s="59" t="n">
        <f aca="false">H1629/Settings!$B$16</f>
        <v>-0</v>
      </c>
      <c r="M1629" s="59" t="n">
        <f aca="false">H1629/Settings!$B$20</f>
        <v>-0</v>
      </c>
      <c r="N1629" s="60" t="n">
        <f aca="false">E1629*Settings!$B$3</f>
        <v>0.123944604319282</v>
      </c>
      <c r="O1629" s="60" t="n">
        <f aca="false">IF(E1629&gt;0,(F1629-N1629)/SQRT(E1629*Settings!$B$3*(1-Settings!$B$3)),0)</f>
        <v>-0.357642251868888</v>
      </c>
      <c r="P1629" s="60" t="n">
        <f aca="false">MAX(0,F1629-N1629)</f>
        <v>0</v>
      </c>
      <c r="Q1629" s="32" t="n">
        <f aca="false">(F1629+Settings!$B$7*Settings!$B$3)/(E1629+Settings!$B$7)</f>
        <v>0.027340721541018</v>
      </c>
      <c r="R1629" s="61" t="n">
        <f aca="false">PERCENTRANK($H$2:$H$1780,H1629,6)</f>
        <v>0</v>
      </c>
      <c r="S1629" s="61" t="n">
        <f aca="false">PERCENTRANK($Q$2:$Q$1780,Q1629,6)</f>
        <v>0.253656</v>
      </c>
      <c r="T1629" s="61" t="n">
        <f aca="false">PERCENTRANK($F$2:$F$1780,F1629,6)</f>
        <v>0</v>
      </c>
      <c r="U1629" s="62" t="n">
        <f aca="false">IF(F1629&gt;0,(Settings!$B$8*T1629+Settings!$B$9*R1629+Settings!$B$10*S1629)/SUM(Settings!$B$8:$B$10),0)</f>
        <v>0</v>
      </c>
      <c r="V1629" s="56" t="str">
        <f aca="false">IF(U1629&gt;0,RANK(U1629,$U$2:$U$1780)+COUNTIF($U$2:U1629,U1629)-1,"")</f>
        <v/>
      </c>
      <c r="W1629" s="56" t="str">
        <f aca="false">IF(V1629="","",IF(V1629&lt;=Settings!$B$11,"1 - Fix first",IF(V1629&lt;=Settings!$B$12,"2 - Review","3 - Monitor")))</f>
        <v/>
      </c>
      <c r="X1629" s="56" t="str">
        <f aca="false">IF(AND(E1629&gt;=Settings!$B$4,F1629&gt;=Settings!$B$5,O1629&gt;=Settings!$B$6),"HIGH RATE","")</f>
        <v/>
      </c>
      <c r="Y1629" s="56" t="str">
        <f aca="false">IF(F1629&gt;0,RANK(F1629,$F$2:$F$1780)+COUNTIF($F$2:F1629,F1629)-1,"")</f>
        <v/>
      </c>
      <c r="Z1629" s="56" t="str">
        <f aca="false">IF(H1629&gt;0,RANK(H1629,$H$2:$H$1780)+COUNTIF($H$2:H1629,H1629)-1,"")</f>
        <v/>
      </c>
      <c r="AA1629" s="56" t="str">
        <f aca="false">IF(AC1629="","",RANK(AC1629,$AC$2:$AC$1780)+COUNTIF($AC$2:AC1629,AC1629)-1)</f>
        <v/>
      </c>
      <c r="AB1629" s="56" t="str">
        <f aca="false">IF(AD1629="","",RANK(AD1629,$AD$2:$AD$1780)+COUNTIF($AD$2:AD1629,AD1629)-1)</f>
        <v/>
      </c>
      <c r="AC1629" s="56" t="str">
        <f aca="false">IF(AND(F1629&gt;0,E1629&gt;=Settings!$B$4),J1629,"")</f>
        <v/>
      </c>
      <c r="AD1629" s="56" t="str">
        <f aca="false">IF(X1629="HIGH RATE",O1629,"")</f>
        <v/>
      </c>
    </row>
    <row r="1630" customFormat="false" ht="15" hidden="false" customHeight="false" outlineLevel="0" collapsed="false">
      <c r="A1630" s="56" t="s">
        <v>3112</v>
      </c>
      <c r="B1630" s="56" t="s">
        <v>901</v>
      </c>
      <c r="C1630" s="56" t="s">
        <v>71</v>
      </c>
      <c r="D1630" s="56" t="str">
        <f aca="false">IFERROR(INDEX('Brand Map'!$B$4:$B$124,MATCH(C1630,'Brand Map'!$A$4:$A$124,0)),"Other")</f>
        <v>GF</v>
      </c>
      <c r="E1630" s="57" t="n">
        <v>21</v>
      </c>
      <c r="F1630" s="57" t="n">
        <v>0</v>
      </c>
      <c r="G1630" s="58" t="n">
        <v>2308.95</v>
      </c>
      <c r="H1630" s="58" t="n">
        <v>0</v>
      </c>
      <c r="I1630" s="58" t="n">
        <v>2308.95</v>
      </c>
      <c r="J1630" s="32" t="n">
        <f aca="false">IF(E1630&gt;0,F1630/E1630,0)</f>
        <v>0</v>
      </c>
      <c r="K1630" s="32" t="n">
        <f aca="false">IF(G1630&gt;0,H1630/G1630,0)</f>
        <v>-0</v>
      </c>
      <c r="L1630" s="59" t="n">
        <f aca="false">H1630/Settings!$B$16</f>
        <v>-0</v>
      </c>
      <c r="M1630" s="59" t="n">
        <f aca="false">H1630/Settings!$B$20</f>
        <v>-0</v>
      </c>
      <c r="N1630" s="60" t="n">
        <f aca="false">E1630*Settings!$B$3</f>
        <v>0.650709172676229</v>
      </c>
      <c r="O1630" s="60" t="n">
        <f aca="false">IF(E1630&gt;0,(F1630-N1630)/SQRT(E1630*Settings!$B$3*(1-Settings!$B$3)),0)</f>
        <v>-0.819461345451821</v>
      </c>
      <c r="P1630" s="60" t="n">
        <f aca="false">MAX(0,F1630-N1630)</f>
        <v>0</v>
      </c>
      <c r="Q1630" s="32" t="n">
        <f aca="false">(F1630+Settings!$B$7*Settings!$B$3)/(E1630+Settings!$B$7)</f>
        <v>0.018227147694012</v>
      </c>
      <c r="R1630" s="61" t="n">
        <f aca="false">PERCENTRANK($H$2:$H$1780,H1630,6)</f>
        <v>0</v>
      </c>
      <c r="S1630" s="61" t="n">
        <f aca="false">PERCENTRANK($Q$2:$Q$1780,Q1630,6)</f>
        <v>0.0697413</v>
      </c>
      <c r="T1630" s="61" t="n">
        <f aca="false">PERCENTRANK($F$2:$F$1780,F1630,6)</f>
        <v>0</v>
      </c>
      <c r="U1630" s="62" t="n">
        <f aca="false">IF(F1630&gt;0,(Settings!$B$8*T1630+Settings!$B$9*R1630+Settings!$B$10*S1630)/SUM(Settings!$B$8:$B$10),0)</f>
        <v>0</v>
      </c>
      <c r="V1630" s="56" t="str">
        <f aca="false">IF(U1630&gt;0,RANK(U1630,$U$2:$U$1780)+COUNTIF($U$2:U1630,U1630)-1,"")</f>
        <v/>
      </c>
      <c r="W1630" s="56" t="str">
        <f aca="false">IF(V1630="","",IF(V1630&lt;=Settings!$B$11,"1 - Fix first",IF(V1630&lt;=Settings!$B$12,"2 - Review","3 - Monitor")))</f>
        <v/>
      </c>
      <c r="X1630" s="56" t="str">
        <f aca="false">IF(AND(E1630&gt;=Settings!$B$4,F1630&gt;=Settings!$B$5,O1630&gt;=Settings!$B$6),"HIGH RATE","")</f>
        <v/>
      </c>
      <c r="Y1630" s="56" t="str">
        <f aca="false">IF(F1630&gt;0,RANK(F1630,$F$2:$F$1780)+COUNTIF($F$2:F1630,F1630)-1,"")</f>
        <v/>
      </c>
      <c r="Z1630" s="56" t="str">
        <f aca="false">IF(H1630&gt;0,RANK(H1630,$H$2:$H$1780)+COUNTIF($H$2:H1630,H1630)-1,"")</f>
        <v/>
      </c>
      <c r="AA1630" s="56" t="str">
        <f aca="false">IF(AC1630="","",RANK(AC1630,$AC$2:$AC$1780)+COUNTIF($AC$2:AC1630,AC1630)-1)</f>
        <v/>
      </c>
      <c r="AB1630" s="56" t="str">
        <f aca="false">IF(AD1630="","",RANK(AD1630,$AD$2:$AD$1780)+COUNTIF($AD$2:AD1630,AD1630)-1)</f>
        <v/>
      </c>
      <c r="AC1630" s="56" t="str">
        <f aca="false">IF(AND(F1630&gt;0,E1630&gt;=Settings!$B$4),J1630,"")</f>
        <v/>
      </c>
      <c r="AD1630" s="56" t="str">
        <f aca="false">IF(X1630="HIGH RATE",O1630,"")</f>
        <v/>
      </c>
    </row>
    <row r="1631" customFormat="false" ht="15" hidden="false" customHeight="false" outlineLevel="0" collapsed="false">
      <c r="A1631" s="56" t="s">
        <v>3113</v>
      </c>
      <c r="B1631" s="56" t="s">
        <v>371</v>
      </c>
      <c r="C1631" s="56" t="s">
        <v>71</v>
      </c>
      <c r="D1631" s="56" t="str">
        <f aca="false">IFERROR(INDEX('Brand Map'!$B$4:$B$124,MATCH(C1631,'Brand Map'!$A$4:$A$124,0)),"Other")</f>
        <v>GF</v>
      </c>
      <c r="E1631" s="57" t="n">
        <v>3</v>
      </c>
      <c r="F1631" s="57" t="n">
        <v>0</v>
      </c>
      <c r="G1631" s="58" t="n">
        <v>284.85</v>
      </c>
      <c r="H1631" s="58" t="n">
        <v>0</v>
      </c>
      <c r="I1631" s="58" t="n">
        <v>284.85</v>
      </c>
      <c r="J1631" s="32" t="n">
        <f aca="false">IF(E1631&gt;0,F1631/E1631,0)</f>
        <v>0</v>
      </c>
      <c r="K1631" s="32" t="n">
        <f aca="false">IF(G1631&gt;0,H1631/G1631,0)</f>
        <v>-0</v>
      </c>
      <c r="L1631" s="59" t="n">
        <f aca="false">H1631/Settings!$B$16</f>
        <v>-0</v>
      </c>
      <c r="M1631" s="59" t="n">
        <f aca="false">H1631/Settings!$B$20</f>
        <v>-0</v>
      </c>
      <c r="N1631" s="60" t="n">
        <f aca="false">E1631*Settings!$B$3</f>
        <v>0.0929584532394613</v>
      </c>
      <c r="O1631" s="60" t="n">
        <f aca="false">IF(E1631&gt;0,(F1631-N1631)/SQRT(E1631*Settings!$B$3*(1-Settings!$B$3)),0)</f>
        <v>-0.30972727558513</v>
      </c>
      <c r="P1631" s="60" t="n">
        <f aca="false">MAX(0,F1631-N1631)</f>
        <v>0</v>
      </c>
      <c r="Q1631" s="32" t="n">
        <f aca="false">(F1631+Settings!$B$7*Settings!$B$3)/(E1631+Settings!$B$7)</f>
        <v>0.0281692282543822</v>
      </c>
      <c r="R1631" s="61" t="n">
        <f aca="false">PERCENTRANK($H$2:$H$1780,H1631,6)</f>
        <v>0</v>
      </c>
      <c r="S1631" s="61" t="n">
        <f aca="false">PERCENTRANK($Q$2:$Q$1780,Q1631,6)</f>
        <v>0.294151</v>
      </c>
      <c r="T1631" s="61" t="n">
        <f aca="false">PERCENTRANK($F$2:$F$1780,F1631,6)</f>
        <v>0</v>
      </c>
      <c r="U1631" s="62" t="n">
        <f aca="false">IF(F1631&gt;0,(Settings!$B$8*T1631+Settings!$B$9*R1631+Settings!$B$10*S1631)/SUM(Settings!$B$8:$B$10),0)</f>
        <v>0</v>
      </c>
      <c r="V1631" s="56" t="str">
        <f aca="false">IF(U1631&gt;0,RANK(U1631,$U$2:$U$1780)+COUNTIF($U$2:U1631,U1631)-1,"")</f>
        <v/>
      </c>
      <c r="W1631" s="56" t="str">
        <f aca="false">IF(V1631="","",IF(V1631&lt;=Settings!$B$11,"1 - Fix first",IF(V1631&lt;=Settings!$B$12,"2 - Review","3 - Monitor")))</f>
        <v/>
      </c>
      <c r="X1631" s="56" t="str">
        <f aca="false">IF(AND(E1631&gt;=Settings!$B$4,F1631&gt;=Settings!$B$5,O1631&gt;=Settings!$B$6),"HIGH RATE","")</f>
        <v/>
      </c>
      <c r="Y1631" s="56" t="str">
        <f aca="false">IF(F1631&gt;0,RANK(F1631,$F$2:$F$1780)+COUNTIF($F$2:F1631,F1631)-1,"")</f>
        <v/>
      </c>
      <c r="Z1631" s="56" t="str">
        <f aca="false">IF(H1631&gt;0,RANK(H1631,$H$2:$H$1780)+COUNTIF($H$2:H1631,H1631)-1,"")</f>
        <v/>
      </c>
      <c r="AA1631" s="56" t="str">
        <f aca="false">IF(AC1631="","",RANK(AC1631,$AC$2:$AC$1780)+COUNTIF($AC$2:AC1631,AC1631)-1)</f>
        <v/>
      </c>
      <c r="AB1631" s="56" t="str">
        <f aca="false">IF(AD1631="","",RANK(AD1631,$AD$2:$AD$1780)+COUNTIF($AD$2:AD1631,AD1631)-1)</f>
        <v/>
      </c>
      <c r="AC1631" s="56" t="str">
        <f aca="false">IF(AND(F1631&gt;0,E1631&gt;=Settings!$B$4),J1631,"")</f>
        <v/>
      </c>
      <c r="AD1631" s="56" t="str">
        <f aca="false">IF(X1631="HIGH RATE",O1631,"")</f>
        <v/>
      </c>
    </row>
    <row r="1632" customFormat="false" ht="15" hidden="false" customHeight="false" outlineLevel="0" collapsed="false">
      <c r="A1632" s="56" t="s">
        <v>3114</v>
      </c>
      <c r="B1632" s="56" t="s">
        <v>371</v>
      </c>
      <c r="C1632" s="56" t="s">
        <v>71</v>
      </c>
      <c r="D1632" s="56" t="str">
        <f aca="false">IFERROR(INDEX('Brand Map'!$B$4:$B$124,MATCH(C1632,'Brand Map'!$A$4:$A$124,0)),"Other")</f>
        <v>GF</v>
      </c>
      <c r="E1632" s="57" t="n">
        <v>4</v>
      </c>
      <c r="F1632" s="57" t="n">
        <v>0</v>
      </c>
      <c r="G1632" s="58" t="n">
        <v>439.8</v>
      </c>
      <c r="H1632" s="58" t="n">
        <v>0</v>
      </c>
      <c r="I1632" s="58" t="n">
        <v>439.8</v>
      </c>
      <c r="J1632" s="32" t="n">
        <f aca="false">IF(E1632&gt;0,F1632/E1632,0)</f>
        <v>0</v>
      </c>
      <c r="K1632" s="32" t="n">
        <f aca="false">IF(G1632&gt;0,H1632/G1632,0)</f>
        <v>-0</v>
      </c>
      <c r="L1632" s="59" t="n">
        <f aca="false">H1632/Settings!$B$16</f>
        <v>-0</v>
      </c>
      <c r="M1632" s="59" t="n">
        <f aca="false">H1632/Settings!$B$20</f>
        <v>-0</v>
      </c>
      <c r="N1632" s="60" t="n">
        <f aca="false">E1632*Settings!$B$3</f>
        <v>0.123944604319282</v>
      </c>
      <c r="O1632" s="60" t="n">
        <f aca="false">IF(E1632&gt;0,(F1632-N1632)/SQRT(E1632*Settings!$B$3*(1-Settings!$B$3)),0)</f>
        <v>-0.357642251868888</v>
      </c>
      <c r="P1632" s="60" t="n">
        <f aca="false">MAX(0,F1632-N1632)</f>
        <v>0</v>
      </c>
      <c r="Q1632" s="32" t="n">
        <f aca="false">(F1632+Settings!$B$7*Settings!$B$3)/(E1632+Settings!$B$7)</f>
        <v>0.027340721541018</v>
      </c>
      <c r="R1632" s="61" t="n">
        <f aca="false">PERCENTRANK($H$2:$H$1780,H1632,6)</f>
        <v>0</v>
      </c>
      <c r="S1632" s="61" t="n">
        <f aca="false">PERCENTRANK($Q$2:$Q$1780,Q1632,6)</f>
        <v>0.253656</v>
      </c>
      <c r="T1632" s="61" t="n">
        <f aca="false">PERCENTRANK($F$2:$F$1780,F1632,6)</f>
        <v>0</v>
      </c>
      <c r="U1632" s="62" t="n">
        <f aca="false">IF(F1632&gt;0,(Settings!$B$8*T1632+Settings!$B$9*R1632+Settings!$B$10*S1632)/SUM(Settings!$B$8:$B$10),0)</f>
        <v>0</v>
      </c>
      <c r="V1632" s="56" t="str">
        <f aca="false">IF(U1632&gt;0,RANK(U1632,$U$2:$U$1780)+COUNTIF($U$2:U1632,U1632)-1,"")</f>
        <v/>
      </c>
      <c r="W1632" s="56" t="str">
        <f aca="false">IF(V1632="","",IF(V1632&lt;=Settings!$B$11,"1 - Fix first",IF(V1632&lt;=Settings!$B$12,"2 - Review","3 - Monitor")))</f>
        <v/>
      </c>
      <c r="X1632" s="56" t="str">
        <f aca="false">IF(AND(E1632&gt;=Settings!$B$4,F1632&gt;=Settings!$B$5,O1632&gt;=Settings!$B$6),"HIGH RATE","")</f>
        <v/>
      </c>
      <c r="Y1632" s="56" t="str">
        <f aca="false">IF(F1632&gt;0,RANK(F1632,$F$2:$F$1780)+COUNTIF($F$2:F1632,F1632)-1,"")</f>
        <v/>
      </c>
      <c r="Z1632" s="56" t="str">
        <f aca="false">IF(H1632&gt;0,RANK(H1632,$H$2:$H$1780)+COUNTIF($H$2:H1632,H1632)-1,"")</f>
        <v/>
      </c>
      <c r="AA1632" s="56" t="str">
        <f aca="false">IF(AC1632="","",RANK(AC1632,$AC$2:$AC$1780)+COUNTIF($AC$2:AC1632,AC1632)-1)</f>
        <v/>
      </c>
      <c r="AB1632" s="56" t="str">
        <f aca="false">IF(AD1632="","",RANK(AD1632,$AD$2:$AD$1780)+COUNTIF($AD$2:AD1632,AD1632)-1)</f>
        <v/>
      </c>
      <c r="AC1632" s="56" t="str">
        <f aca="false">IF(AND(F1632&gt;0,E1632&gt;=Settings!$B$4),J1632,"")</f>
        <v/>
      </c>
      <c r="AD1632" s="56" t="str">
        <f aca="false">IF(X1632="HIGH RATE",O1632,"")</f>
        <v/>
      </c>
    </row>
    <row r="1633" customFormat="false" ht="15" hidden="false" customHeight="false" outlineLevel="0" collapsed="false">
      <c r="A1633" s="56" t="s">
        <v>3115</v>
      </c>
      <c r="B1633" s="56" t="s">
        <v>371</v>
      </c>
      <c r="C1633" s="56" t="s">
        <v>71</v>
      </c>
      <c r="D1633" s="56" t="str">
        <f aca="false">IFERROR(INDEX('Brand Map'!$B$4:$B$124,MATCH(C1633,'Brand Map'!$A$4:$A$124,0)),"Other")</f>
        <v>GF</v>
      </c>
      <c r="E1633" s="57" t="n">
        <v>59</v>
      </c>
      <c r="F1633" s="57" t="n">
        <v>0</v>
      </c>
      <c r="G1633" s="58" t="n">
        <v>3832.05</v>
      </c>
      <c r="H1633" s="58" t="n">
        <v>0</v>
      </c>
      <c r="I1633" s="58" t="n">
        <v>3832.05</v>
      </c>
      <c r="J1633" s="32" t="n">
        <f aca="false">IF(E1633&gt;0,F1633/E1633,0)</f>
        <v>0</v>
      </c>
      <c r="K1633" s="32" t="n">
        <f aca="false">IF(G1633&gt;0,H1633/G1633,0)</f>
        <v>-0</v>
      </c>
      <c r="L1633" s="59" t="n">
        <f aca="false">H1633/Settings!$B$16</f>
        <v>-0</v>
      </c>
      <c r="M1633" s="59" t="n">
        <f aca="false">H1633/Settings!$B$20</f>
        <v>-0</v>
      </c>
      <c r="N1633" s="60" t="n">
        <f aca="false">E1633*Settings!$B$3</f>
        <v>1.8281829137094</v>
      </c>
      <c r="O1633" s="60" t="n">
        <f aca="false">IF(E1633&gt;0,(F1633-N1633)/SQRT(E1633*Settings!$B$3*(1-Settings!$B$3)),0)</f>
        <v>-1.37355113110043</v>
      </c>
      <c r="P1633" s="60" t="n">
        <f aca="false">MAX(0,F1633-N1633)</f>
        <v>0</v>
      </c>
      <c r="Q1633" s="32" t="n">
        <f aca="false">(F1633+Settings!$B$7*Settings!$B$3)/(E1633+Settings!$B$7)</f>
        <v>0.0104447700269058</v>
      </c>
      <c r="R1633" s="61" t="n">
        <f aca="false">PERCENTRANK($H$2:$H$1780,H1633,6)</f>
        <v>0</v>
      </c>
      <c r="S1633" s="61" t="n">
        <f aca="false">PERCENTRANK($Q$2:$Q$1780,Q1633,6)</f>
        <v>0.0163105</v>
      </c>
      <c r="T1633" s="61" t="n">
        <f aca="false">PERCENTRANK($F$2:$F$1780,F1633,6)</f>
        <v>0</v>
      </c>
      <c r="U1633" s="62" t="n">
        <f aca="false">IF(F1633&gt;0,(Settings!$B$8*T1633+Settings!$B$9*R1633+Settings!$B$10*S1633)/SUM(Settings!$B$8:$B$10),0)</f>
        <v>0</v>
      </c>
      <c r="V1633" s="56" t="str">
        <f aca="false">IF(U1633&gt;0,RANK(U1633,$U$2:$U$1780)+COUNTIF($U$2:U1633,U1633)-1,"")</f>
        <v/>
      </c>
      <c r="W1633" s="56" t="str">
        <f aca="false">IF(V1633="","",IF(V1633&lt;=Settings!$B$11,"1 - Fix first",IF(V1633&lt;=Settings!$B$12,"2 - Review","3 - Monitor")))</f>
        <v/>
      </c>
      <c r="X1633" s="56" t="str">
        <f aca="false">IF(AND(E1633&gt;=Settings!$B$4,F1633&gt;=Settings!$B$5,O1633&gt;=Settings!$B$6),"HIGH RATE","")</f>
        <v/>
      </c>
      <c r="Y1633" s="56" t="str">
        <f aca="false">IF(F1633&gt;0,RANK(F1633,$F$2:$F$1780)+COUNTIF($F$2:F1633,F1633)-1,"")</f>
        <v/>
      </c>
      <c r="Z1633" s="56" t="str">
        <f aca="false">IF(H1633&gt;0,RANK(H1633,$H$2:$H$1780)+COUNTIF($H$2:H1633,H1633)-1,"")</f>
        <v/>
      </c>
      <c r="AA1633" s="56" t="str">
        <f aca="false">IF(AC1633="","",RANK(AC1633,$AC$2:$AC$1780)+COUNTIF($AC$2:AC1633,AC1633)-1)</f>
        <v/>
      </c>
      <c r="AB1633" s="56" t="str">
        <f aca="false">IF(AD1633="","",RANK(AD1633,$AD$2:$AD$1780)+COUNTIF($AD$2:AD1633,AD1633)-1)</f>
        <v/>
      </c>
      <c r="AC1633" s="56" t="str">
        <f aca="false">IF(AND(F1633&gt;0,E1633&gt;=Settings!$B$4),J1633,"")</f>
        <v/>
      </c>
      <c r="AD1633" s="56" t="str">
        <f aca="false">IF(X1633="HIGH RATE",O1633,"")</f>
        <v/>
      </c>
    </row>
    <row r="1634" customFormat="false" ht="15" hidden="false" customHeight="false" outlineLevel="0" collapsed="false">
      <c r="A1634" s="56" t="s">
        <v>3116</v>
      </c>
      <c r="B1634" s="56" t="s">
        <v>2221</v>
      </c>
      <c r="C1634" s="56" t="s">
        <v>71</v>
      </c>
      <c r="D1634" s="56" t="str">
        <f aca="false">IFERROR(INDEX('Brand Map'!$B$4:$B$124,MATCH(C1634,'Brand Map'!$A$4:$A$124,0)),"Other")</f>
        <v>GF</v>
      </c>
      <c r="E1634" s="57" t="n">
        <v>2</v>
      </c>
      <c r="F1634" s="57" t="n">
        <v>0</v>
      </c>
      <c r="G1634" s="58" t="n">
        <v>304.45</v>
      </c>
      <c r="H1634" s="58" t="n">
        <v>0</v>
      </c>
      <c r="I1634" s="58" t="n">
        <v>277.19</v>
      </c>
      <c r="J1634" s="32" t="n">
        <f aca="false">IF(E1634&gt;0,F1634/E1634,0)</f>
        <v>0</v>
      </c>
      <c r="K1634" s="32" t="n">
        <f aca="false">IF(G1634&gt;0,H1634/G1634,0)</f>
        <v>-0</v>
      </c>
      <c r="L1634" s="59" t="n">
        <f aca="false">H1634/Settings!$B$16</f>
        <v>-0</v>
      </c>
      <c r="M1634" s="59" t="n">
        <f aca="false">H1634/Settings!$B$20</f>
        <v>-0</v>
      </c>
      <c r="N1634" s="60" t="n">
        <f aca="false">E1634*Settings!$B$3</f>
        <v>0.0619723021596408</v>
      </c>
      <c r="O1634" s="60" t="n">
        <f aca="false">IF(E1634&gt;0,(F1634-N1634)/SQRT(E1634*Settings!$B$3*(1-Settings!$B$3)),0)</f>
        <v>-0.252891261535318</v>
      </c>
      <c r="P1634" s="60" t="n">
        <f aca="false">MAX(0,F1634-N1634)</f>
        <v>0</v>
      </c>
      <c r="Q1634" s="32" t="n">
        <f aca="false">(F1634+Settings!$B$7*Settings!$B$3)/(E1634+Settings!$B$7)</f>
        <v>0.0290495166373316</v>
      </c>
      <c r="R1634" s="61" t="n">
        <f aca="false">PERCENTRANK($H$2:$H$1780,H1634,6)</f>
        <v>0</v>
      </c>
      <c r="S1634" s="61" t="n">
        <f aca="false">PERCENTRANK($Q$2:$Q$1780,Q1634,6)</f>
        <v>0.365579</v>
      </c>
      <c r="T1634" s="61" t="n">
        <f aca="false">PERCENTRANK($F$2:$F$1780,F1634,6)</f>
        <v>0</v>
      </c>
      <c r="U1634" s="62" t="n">
        <f aca="false">IF(F1634&gt;0,(Settings!$B$8*T1634+Settings!$B$9*R1634+Settings!$B$10*S1634)/SUM(Settings!$B$8:$B$10),0)</f>
        <v>0</v>
      </c>
      <c r="V1634" s="56" t="str">
        <f aca="false">IF(U1634&gt;0,RANK(U1634,$U$2:$U$1780)+COUNTIF($U$2:U1634,U1634)-1,"")</f>
        <v/>
      </c>
      <c r="W1634" s="56" t="str">
        <f aca="false">IF(V1634="","",IF(V1634&lt;=Settings!$B$11,"1 - Fix first",IF(V1634&lt;=Settings!$B$12,"2 - Review","3 - Monitor")))</f>
        <v/>
      </c>
      <c r="X1634" s="56" t="str">
        <f aca="false">IF(AND(E1634&gt;=Settings!$B$4,F1634&gt;=Settings!$B$5,O1634&gt;=Settings!$B$6),"HIGH RATE","")</f>
        <v/>
      </c>
      <c r="Y1634" s="56" t="str">
        <f aca="false">IF(F1634&gt;0,RANK(F1634,$F$2:$F$1780)+COUNTIF($F$2:F1634,F1634)-1,"")</f>
        <v/>
      </c>
      <c r="Z1634" s="56" t="str">
        <f aca="false">IF(H1634&gt;0,RANK(H1634,$H$2:$H$1780)+COUNTIF($H$2:H1634,H1634)-1,"")</f>
        <v/>
      </c>
      <c r="AA1634" s="56" t="str">
        <f aca="false">IF(AC1634="","",RANK(AC1634,$AC$2:$AC$1780)+COUNTIF($AC$2:AC1634,AC1634)-1)</f>
        <v/>
      </c>
      <c r="AB1634" s="56" t="str">
        <f aca="false">IF(AD1634="","",RANK(AD1634,$AD$2:$AD$1780)+COUNTIF($AD$2:AD1634,AD1634)-1)</f>
        <v/>
      </c>
      <c r="AC1634" s="56" t="str">
        <f aca="false">IF(AND(F1634&gt;0,E1634&gt;=Settings!$B$4),J1634,"")</f>
        <v/>
      </c>
      <c r="AD1634" s="56" t="str">
        <f aca="false">IF(X1634="HIGH RATE",O1634,"")</f>
        <v/>
      </c>
    </row>
    <row r="1635" customFormat="false" ht="15" hidden="false" customHeight="false" outlineLevel="0" collapsed="false">
      <c r="A1635" s="56" t="s">
        <v>3117</v>
      </c>
      <c r="B1635" s="56" t="s">
        <v>3118</v>
      </c>
      <c r="C1635" s="56" t="s">
        <v>71</v>
      </c>
      <c r="D1635" s="56" t="str">
        <f aca="false">IFERROR(INDEX('Brand Map'!$B$4:$B$124,MATCH(C1635,'Brand Map'!$A$4:$A$124,0)),"Other")</f>
        <v>GF</v>
      </c>
      <c r="E1635" s="57" t="n">
        <v>1</v>
      </c>
      <c r="F1635" s="57" t="n">
        <v>0</v>
      </c>
      <c r="G1635" s="58" t="n">
        <v>109.95</v>
      </c>
      <c r="H1635" s="58" t="n">
        <v>0</v>
      </c>
      <c r="I1635" s="58" t="n">
        <v>109.95</v>
      </c>
      <c r="J1635" s="32" t="n">
        <f aca="false">IF(E1635&gt;0,F1635/E1635,0)</f>
        <v>0</v>
      </c>
      <c r="K1635" s="32" t="n">
        <f aca="false">IF(G1635&gt;0,H1635/G1635,0)</f>
        <v>-0</v>
      </c>
      <c r="L1635" s="59" t="n">
        <f aca="false">H1635/Settings!$B$16</f>
        <v>-0</v>
      </c>
      <c r="M1635" s="59" t="n">
        <f aca="false">H1635/Settings!$B$20</f>
        <v>-0</v>
      </c>
      <c r="N1635" s="60" t="n">
        <f aca="false">E1635*Settings!$B$3</f>
        <v>0.0309861510798204</v>
      </c>
      <c r="O1635" s="60" t="n">
        <f aca="false">IF(E1635&gt;0,(F1635-N1635)/SQRT(E1635*Settings!$B$3*(1-Settings!$B$3)),0)</f>
        <v>-0.178821125934444</v>
      </c>
      <c r="P1635" s="60" t="n">
        <f aca="false">MAX(0,F1635-N1635)</f>
        <v>0</v>
      </c>
      <c r="Q1635" s="32" t="n">
        <f aca="false">(F1635+Settings!$B$7*Settings!$B$3)/(E1635+Settings!$B$7)</f>
        <v>0.0299865978191811</v>
      </c>
      <c r="R1635" s="61" t="n">
        <f aca="false">PERCENTRANK($H$2:$H$1780,H1635,6)</f>
        <v>0</v>
      </c>
      <c r="S1635" s="61" t="n">
        <f aca="false">PERCENTRANK($Q$2:$Q$1780,Q1635,6)</f>
        <v>0.486502</v>
      </c>
      <c r="T1635" s="61" t="n">
        <f aca="false">PERCENTRANK($F$2:$F$1780,F1635,6)</f>
        <v>0</v>
      </c>
      <c r="U1635" s="62" t="n">
        <f aca="false">IF(F1635&gt;0,(Settings!$B$8*T1635+Settings!$B$9*R1635+Settings!$B$10*S1635)/SUM(Settings!$B$8:$B$10),0)</f>
        <v>0</v>
      </c>
      <c r="V1635" s="56" t="str">
        <f aca="false">IF(U1635&gt;0,RANK(U1635,$U$2:$U$1780)+COUNTIF($U$2:U1635,U1635)-1,"")</f>
        <v/>
      </c>
      <c r="W1635" s="56" t="str">
        <f aca="false">IF(V1635="","",IF(V1635&lt;=Settings!$B$11,"1 - Fix first",IF(V1635&lt;=Settings!$B$12,"2 - Review","3 - Monitor")))</f>
        <v/>
      </c>
      <c r="X1635" s="56" t="str">
        <f aca="false">IF(AND(E1635&gt;=Settings!$B$4,F1635&gt;=Settings!$B$5,O1635&gt;=Settings!$B$6),"HIGH RATE","")</f>
        <v/>
      </c>
      <c r="Y1635" s="56" t="str">
        <f aca="false">IF(F1635&gt;0,RANK(F1635,$F$2:$F$1780)+COUNTIF($F$2:F1635,F1635)-1,"")</f>
        <v/>
      </c>
      <c r="Z1635" s="56" t="str">
        <f aca="false">IF(H1635&gt;0,RANK(H1635,$H$2:$H$1780)+COUNTIF($H$2:H1635,H1635)-1,"")</f>
        <v/>
      </c>
      <c r="AA1635" s="56" t="str">
        <f aca="false">IF(AC1635="","",RANK(AC1635,$AC$2:$AC$1780)+COUNTIF($AC$2:AC1635,AC1635)-1)</f>
        <v/>
      </c>
      <c r="AB1635" s="56" t="str">
        <f aca="false">IF(AD1635="","",RANK(AD1635,$AD$2:$AD$1780)+COUNTIF($AD$2:AD1635,AD1635)-1)</f>
        <v/>
      </c>
      <c r="AC1635" s="56" t="str">
        <f aca="false">IF(AND(F1635&gt;0,E1635&gt;=Settings!$B$4),J1635,"")</f>
        <v/>
      </c>
      <c r="AD1635" s="56" t="str">
        <f aca="false">IF(X1635="HIGH RATE",O1635,"")</f>
        <v/>
      </c>
    </row>
    <row r="1636" customFormat="false" ht="15" hidden="false" customHeight="false" outlineLevel="0" collapsed="false">
      <c r="A1636" s="56" t="s">
        <v>3119</v>
      </c>
      <c r="B1636" s="56" t="s">
        <v>3120</v>
      </c>
      <c r="C1636" s="56" t="s">
        <v>71</v>
      </c>
      <c r="D1636" s="56" t="str">
        <f aca="false">IFERROR(INDEX('Brand Map'!$B$4:$B$124,MATCH(C1636,'Brand Map'!$A$4:$A$124,0)),"Other")</f>
        <v>GF</v>
      </c>
      <c r="E1636" s="57" t="n">
        <v>1</v>
      </c>
      <c r="F1636" s="57" t="n">
        <v>0</v>
      </c>
      <c r="G1636" s="58" t="n">
        <v>69.95</v>
      </c>
      <c r="H1636" s="58" t="n">
        <v>0</v>
      </c>
      <c r="I1636" s="58" t="n">
        <v>69.95</v>
      </c>
      <c r="J1636" s="32" t="n">
        <f aca="false">IF(E1636&gt;0,F1636/E1636,0)</f>
        <v>0</v>
      </c>
      <c r="K1636" s="32" t="n">
        <f aca="false">IF(G1636&gt;0,H1636/G1636,0)</f>
        <v>-0</v>
      </c>
      <c r="L1636" s="59" t="n">
        <f aca="false">H1636/Settings!$B$16</f>
        <v>-0</v>
      </c>
      <c r="M1636" s="59" t="n">
        <f aca="false">H1636/Settings!$B$20</f>
        <v>-0</v>
      </c>
      <c r="N1636" s="60" t="n">
        <f aca="false">E1636*Settings!$B$3</f>
        <v>0.0309861510798204</v>
      </c>
      <c r="O1636" s="60" t="n">
        <f aca="false">IF(E1636&gt;0,(F1636-N1636)/SQRT(E1636*Settings!$B$3*(1-Settings!$B$3)),0)</f>
        <v>-0.178821125934444</v>
      </c>
      <c r="P1636" s="60" t="n">
        <f aca="false">MAX(0,F1636-N1636)</f>
        <v>0</v>
      </c>
      <c r="Q1636" s="32" t="n">
        <f aca="false">(F1636+Settings!$B$7*Settings!$B$3)/(E1636+Settings!$B$7)</f>
        <v>0.0299865978191811</v>
      </c>
      <c r="R1636" s="61" t="n">
        <f aca="false">PERCENTRANK($H$2:$H$1780,H1636,6)</f>
        <v>0</v>
      </c>
      <c r="S1636" s="61" t="n">
        <f aca="false">PERCENTRANK($Q$2:$Q$1780,Q1636,6)</f>
        <v>0.486502</v>
      </c>
      <c r="T1636" s="61" t="n">
        <f aca="false">PERCENTRANK($F$2:$F$1780,F1636,6)</f>
        <v>0</v>
      </c>
      <c r="U1636" s="62" t="n">
        <f aca="false">IF(F1636&gt;0,(Settings!$B$8*T1636+Settings!$B$9*R1636+Settings!$B$10*S1636)/SUM(Settings!$B$8:$B$10),0)</f>
        <v>0</v>
      </c>
      <c r="V1636" s="56" t="str">
        <f aca="false">IF(U1636&gt;0,RANK(U1636,$U$2:$U$1780)+COUNTIF($U$2:U1636,U1636)-1,"")</f>
        <v/>
      </c>
      <c r="W1636" s="56" t="str">
        <f aca="false">IF(V1636="","",IF(V1636&lt;=Settings!$B$11,"1 - Fix first",IF(V1636&lt;=Settings!$B$12,"2 - Review","3 - Monitor")))</f>
        <v/>
      </c>
      <c r="X1636" s="56" t="str">
        <f aca="false">IF(AND(E1636&gt;=Settings!$B$4,F1636&gt;=Settings!$B$5,O1636&gt;=Settings!$B$6),"HIGH RATE","")</f>
        <v/>
      </c>
      <c r="Y1636" s="56" t="str">
        <f aca="false">IF(F1636&gt;0,RANK(F1636,$F$2:$F$1780)+COUNTIF($F$2:F1636,F1636)-1,"")</f>
        <v/>
      </c>
      <c r="Z1636" s="56" t="str">
        <f aca="false">IF(H1636&gt;0,RANK(H1636,$H$2:$H$1780)+COUNTIF($H$2:H1636,H1636)-1,"")</f>
        <v/>
      </c>
      <c r="AA1636" s="56" t="str">
        <f aca="false">IF(AC1636="","",RANK(AC1636,$AC$2:$AC$1780)+COUNTIF($AC$2:AC1636,AC1636)-1)</f>
        <v/>
      </c>
      <c r="AB1636" s="56" t="str">
        <f aca="false">IF(AD1636="","",RANK(AD1636,$AD$2:$AD$1780)+COUNTIF($AD$2:AD1636,AD1636)-1)</f>
        <v/>
      </c>
      <c r="AC1636" s="56" t="str">
        <f aca="false">IF(AND(F1636&gt;0,E1636&gt;=Settings!$B$4),J1636,"")</f>
        <v/>
      </c>
      <c r="AD1636" s="56" t="str">
        <f aca="false">IF(X1636="HIGH RATE",O1636,"")</f>
        <v/>
      </c>
    </row>
    <row r="1637" customFormat="false" ht="15" hidden="false" customHeight="false" outlineLevel="0" collapsed="false">
      <c r="A1637" s="56" t="s">
        <v>3121</v>
      </c>
      <c r="B1637" s="56" t="s">
        <v>3122</v>
      </c>
      <c r="C1637" s="56" t="s">
        <v>71</v>
      </c>
      <c r="D1637" s="56" t="str">
        <f aca="false">IFERROR(INDEX('Brand Map'!$B$4:$B$124,MATCH(C1637,'Brand Map'!$A$4:$A$124,0)),"Other")</f>
        <v>GF</v>
      </c>
      <c r="E1637" s="57" t="n">
        <v>6</v>
      </c>
      <c r="F1637" s="57" t="n">
        <v>0</v>
      </c>
      <c r="G1637" s="58" t="n">
        <v>731.53</v>
      </c>
      <c r="H1637" s="58" t="n">
        <v>0</v>
      </c>
      <c r="I1637" s="58" t="n">
        <v>667.26</v>
      </c>
      <c r="J1637" s="32" t="n">
        <f aca="false">IF(E1637&gt;0,F1637/E1637,0)</f>
        <v>0</v>
      </c>
      <c r="K1637" s="32" t="n">
        <f aca="false">IF(G1637&gt;0,H1637/G1637,0)</f>
        <v>-0</v>
      </c>
      <c r="L1637" s="59" t="n">
        <f aca="false">H1637/Settings!$B$16</f>
        <v>-0</v>
      </c>
      <c r="M1637" s="59" t="n">
        <f aca="false">H1637/Settings!$B$20</f>
        <v>-0</v>
      </c>
      <c r="N1637" s="60" t="n">
        <f aca="false">E1637*Settings!$B$3</f>
        <v>0.185916906478923</v>
      </c>
      <c r="O1637" s="60" t="n">
        <f aca="false">IF(E1637&gt;0,(F1637-N1637)/SQRT(E1637*Settings!$B$3*(1-Settings!$B$3)),0)</f>
        <v>-0.43802051376936</v>
      </c>
      <c r="P1637" s="60" t="n">
        <f aca="false">MAX(0,F1637-N1637)</f>
        <v>0</v>
      </c>
      <c r="Q1637" s="32" t="n">
        <f aca="false">(F1637+Settings!$B$7*Settings!$B$3)/(E1637+Settings!$B$7)</f>
        <v>0.025821792566517</v>
      </c>
      <c r="R1637" s="61" t="n">
        <f aca="false">PERCENTRANK($H$2:$H$1780,H1637,6)</f>
        <v>0</v>
      </c>
      <c r="S1637" s="61" t="n">
        <f aca="false">PERCENTRANK($Q$2:$Q$1780,Q1637,6)</f>
        <v>0.189539</v>
      </c>
      <c r="T1637" s="61" t="n">
        <f aca="false">PERCENTRANK($F$2:$F$1780,F1637,6)</f>
        <v>0</v>
      </c>
      <c r="U1637" s="62" t="n">
        <f aca="false">IF(F1637&gt;0,(Settings!$B$8*T1637+Settings!$B$9*R1637+Settings!$B$10*S1637)/SUM(Settings!$B$8:$B$10),0)</f>
        <v>0</v>
      </c>
      <c r="V1637" s="56" t="str">
        <f aca="false">IF(U1637&gt;0,RANK(U1637,$U$2:$U$1780)+COUNTIF($U$2:U1637,U1637)-1,"")</f>
        <v/>
      </c>
      <c r="W1637" s="56" t="str">
        <f aca="false">IF(V1637="","",IF(V1637&lt;=Settings!$B$11,"1 - Fix first",IF(V1637&lt;=Settings!$B$12,"2 - Review","3 - Monitor")))</f>
        <v/>
      </c>
      <c r="X1637" s="56" t="str">
        <f aca="false">IF(AND(E1637&gt;=Settings!$B$4,F1637&gt;=Settings!$B$5,O1637&gt;=Settings!$B$6),"HIGH RATE","")</f>
        <v/>
      </c>
      <c r="Y1637" s="56" t="str">
        <f aca="false">IF(F1637&gt;0,RANK(F1637,$F$2:$F$1780)+COUNTIF($F$2:F1637,F1637)-1,"")</f>
        <v/>
      </c>
      <c r="Z1637" s="56" t="str">
        <f aca="false">IF(H1637&gt;0,RANK(H1637,$H$2:$H$1780)+COUNTIF($H$2:H1637,H1637)-1,"")</f>
        <v/>
      </c>
      <c r="AA1637" s="56" t="str">
        <f aca="false">IF(AC1637="","",RANK(AC1637,$AC$2:$AC$1780)+COUNTIF($AC$2:AC1637,AC1637)-1)</f>
        <v/>
      </c>
      <c r="AB1637" s="56" t="str">
        <f aca="false">IF(AD1637="","",RANK(AD1637,$AD$2:$AD$1780)+COUNTIF($AD$2:AD1637,AD1637)-1)</f>
        <v/>
      </c>
      <c r="AC1637" s="56" t="str">
        <f aca="false">IF(AND(F1637&gt;0,E1637&gt;=Settings!$B$4),J1637,"")</f>
        <v/>
      </c>
      <c r="AD1637" s="56" t="str">
        <f aca="false">IF(X1637="HIGH RATE",O1637,"")</f>
        <v/>
      </c>
    </row>
    <row r="1638" customFormat="false" ht="15" hidden="false" customHeight="false" outlineLevel="0" collapsed="false">
      <c r="A1638" s="56" t="s">
        <v>3123</v>
      </c>
      <c r="B1638" s="56" t="s">
        <v>3124</v>
      </c>
      <c r="C1638" s="56" t="s">
        <v>165</v>
      </c>
      <c r="D1638" s="56" t="str">
        <f aca="false">IFERROR(INDEX('Brand Map'!$B$4:$B$124,MATCH(C1638,'Brand Map'!$A$4:$A$124,0)),"Other")</f>
        <v>GWC</v>
      </c>
      <c r="E1638" s="57" t="n">
        <v>10</v>
      </c>
      <c r="F1638" s="57" t="n">
        <v>0</v>
      </c>
      <c r="G1638" s="58" t="n">
        <v>1633.98</v>
      </c>
      <c r="H1638" s="58" t="n">
        <v>0</v>
      </c>
      <c r="I1638" s="58" t="n">
        <v>1611.09</v>
      </c>
      <c r="J1638" s="32" t="n">
        <f aca="false">IF(E1638&gt;0,F1638/E1638,0)</f>
        <v>0</v>
      </c>
      <c r="K1638" s="32" t="n">
        <f aca="false">IF(G1638&gt;0,H1638/G1638,0)</f>
        <v>-0</v>
      </c>
      <c r="L1638" s="59" t="n">
        <f aca="false">H1638/Settings!$B$16</f>
        <v>-0</v>
      </c>
      <c r="M1638" s="59" t="n">
        <f aca="false">H1638/Settings!$B$20</f>
        <v>-0</v>
      </c>
      <c r="N1638" s="60" t="n">
        <f aca="false">E1638*Settings!$B$3</f>
        <v>0.309861510798204</v>
      </c>
      <c r="O1638" s="60" t="n">
        <f aca="false">IF(E1638&gt;0,(F1638-N1638)/SQRT(E1638*Settings!$B$3*(1-Settings!$B$3)),0)</f>
        <v>-0.565482051708649</v>
      </c>
      <c r="P1638" s="60" t="n">
        <f aca="false">MAX(0,F1638-N1638)</f>
        <v>0</v>
      </c>
      <c r="Q1638" s="32" t="n">
        <f aca="false">(F1638+Settings!$B$7*Settings!$B$3)/(E1638+Settings!$B$7)</f>
        <v>0.0232396133098653</v>
      </c>
      <c r="R1638" s="61" t="n">
        <f aca="false">PERCENTRANK($H$2:$H$1780,H1638,6)</f>
        <v>0</v>
      </c>
      <c r="S1638" s="61" t="n">
        <f aca="false">PERCENTRANK($Q$2:$Q$1780,Q1638,6)</f>
        <v>0.131046</v>
      </c>
      <c r="T1638" s="61" t="n">
        <f aca="false">PERCENTRANK($F$2:$F$1780,F1638,6)</f>
        <v>0</v>
      </c>
      <c r="U1638" s="62" t="n">
        <f aca="false">IF(F1638&gt;0,(Settings!$B$8*T1638+Settings!$B$9*R1638+Settings!$B$10*S1638)/SUM(Settings!$B$8:$B$10),0)</f>
        <v>0</v>
      </c>
      <c r="V1638" s="56" t="str">
        <f aca="false">IF(U1638&gt;0,RANK(U1638,$U$2:$U$1780)+COUNTIF($U$2:U1638,U1638)-1,"")</f>
        <v/>
      </c>
      <c r="W1638" s="56" t="str">
        <f aca="false">IF(V1638="","",IF(V1638&lt;=Settings!$B$11,"1 - Fix first",IF(V1638&lt;=Settings!$B$12,"2 - Review","3 - Monitor")))</f>
        <v/>
      </c>
      <c r="X1638" s="56" t="str">
        <f aca="false">IF(AND(E1638&gt;=Settings!$B$4,F1638&gt;=Settings!$B$5,O1638&gt;=Settings!$B$6),"HIGH RATE","")</f>
        <v/>
      </c>
      <c r="Y1638" s="56" t="str">
        <f aca="false">IF(F1638&gt;0,RANK(F1638,$F$2:$F$1780)+COUNTIF($F$2:F1638,F1638)-1,"")</f>
        <v/>
      </c>
      <c r="Z1638" s="56" t="str">
        <f aca="false">IF(H1638&gt;0,RANK(H1638,$H$2:$H$1780)+COUNTIF($H$2:H1638,H1638)-1,"")</f>
        <v/>
      </c>
      <c r="AA1638" s="56" t="str">
        <f aca="false">IF(AC1638="","",RANK(AC1638,$AC$2:$AC$1780)+COUNTIF($AC$2:AC1638,AC1638)-1)</f>
        <v/>
      </c>
      <c r="AB1638" s="56" t="str">
        <f aca="false">IF(AD1638="","",RANK(AD1638,$AD$2:$AD$1780)+COUNTIF($AD$2:AD1638,AD1638)-1)</f>
        <v/>
      </c>
      <c r="AC1638" s="56" t="str">
        <f aca="false">IF(AND(F1638&gt;0,E1638&gt;=Settings!$B$4),J1638,"")</f>
        <v/>
      </c>
      <c r="AD1638" s="56" t="str">
        <f aca="false">IF(X1638="HIGH RATE",O1638,"")</f>
        <v/>
      </c>
    </row>
    <row r="1639" customFormat="false" ht="15" hidden="false" customHeight="false" outlineLevel="0" collapsed="false">
      <c r="A1639" s="56" t="s">
        <v>3125</v>
      </c>
      <c r="B1639" s="56" t="s">
        <v>3126</v>
      </c>
      <c r="C1639" s="56" t="s">
        <v>171</v>
      </c>
      <c r="D1639" s="56" t="str">
        <f aca="false">IFERROR(INDEX('Brand Map'!$B$4:$B$124,MATCH(C1639,'Brand Map'!$A$4:$A$124,0)),"Other")</f>
        <v>HF</v>
      </c>
      <c r="E1639" s="57" t="n">
        <v>3</v>
      </c>
      <c r="F1639" s="57" t="n">
        <v>0</v>
      </c>
      <c r="G1639" s="58" t="n">
        <v>291.21</v>
      </c>
      <c r="H1639" s="58" t="n">
        <v>0</v>
      </c>
      <c r="I1639" s="58" t="n">
        <v>273.95</v>
      </c>
      <c r="J1639" s="32" t="n">
        <f aca="false">IF(E1639&gt;0,F1639/E1639,0)</f>
        <v>0</v>
      </c>
      <c r="K1639" s="32" t="n">
        <f aca="false">IF(G1639&gt;0,H1639/G1639,0)</f>
        <v>-0</v>
      </c>
      <c r="L1639" s="59" t="n">
        <f aca="false">H1639/Settings!$B$16</f>
        <v>-0</v>
      </c>
      <c r="M1639" s="59" t="n">
        <f aca="false">H1639/Settings!$B$20</f>
        <v>-0</v>
      </c>
      <c r="N1639" s="60" t="n">
        <f aca="false">E1639*Settings!$B$3</f>
        <v>0.0929584532394613</v>
      </c>
      <c r="O1639" s="60" t="n">
        <f aca="false">IF(E1639&gt;0,(F1639-N1639)/SQRT(E1639*Settings!$B$3*(1-Settings!$B$3)),0)</f>
        <v>-0.30972727558513</v>
      </c>
      <c r="P1639" s="60" t="n">
        <f aca="false">MAX(0,F1639-N1639)</f>
        <v>0</v>
      </c>
      <c r="Q1639" s="32" t="n">
        <f aca="false">(F1639+Settings!$B$7*Settings!$B$3)/(E1639+Settings!$B$7)</f>
        <v>0.0281692282543822</v>
      </c>
      <c r="R1639" s="61" t="n">
        <f aca="false">PERCENTRANK($H$2:$H$1780,H1639,6)</f>
        <v>0</v>
      </c>
      <c r="S1639" s="61" t="n">
        <f aca="false">PERCENTRANK($Q$2:$Q$1780,Q1639,6)</f>
        <v>0.294151</v>
      </c>
      <c r="T1639" s="61" t="n">
        <f aca="false">PERCENTRANK($F$2:$F$1780,F1639,6)</f>
        <v>0</v>
      </c>
      <c r="U1639" s="62" t="n">
        <f aca="false">IF(F1639&gt;0,(Settings!$B$8*T1639+Settings!$B$9*R1639+Settings!$B$10*S1639)/SUM(Settings!$B$8:$B$10),0)</f>
        <v>0</v>
      </c>
      <c r="V1639" s="56" t="str">
        <f aca="false">IF(U1639&gt;0,RANK(U1639,$U$2:$U$1780)+COUNTIF($U$2:U1639,U1639)-1,"")</f>
        <v/>
      </c>
      <c r="W1639" s="56" t="str">
        <f aca="false">IF(V1639="","",IF(V1639&lt;=Settings!$B$11,"1 - Fix first",IF(V1639&lt;=Settings!$B$12,"2 - Review","3 - Monitor")))</f>
        <v/>
      </c>
      <c r="X1639" s="56" t="str">
        <f aca="false">IF(AND(E1639&gt;=Settings!$B$4,F1639&gt;=Settings!$B$5,O1639&gt;=Settings!$B$6),"HIGH RATE","")</f>
        <v/>
      </c>
      <c r="Y1639" s="56" t="str">
        <f aca="false">IF(F1639&gt;0,RANK(F1639,$F$2:$F$1780)+COUNTIF($F$2:F1639,F1639)-1,"")</f>
        <v/>
      </c>
      <c r="Z1639" s="56" t="str">
        <f aca="false">IF(H1639&gt;0,RANK(H1639,$H$2:$H$1780)+COUNTIF($H$2:H1639,H1639)-1,"")</f>
        <v/>
      </c>
      <c r="AA1639" s="56" t="str">
        <f aca="false">IF(AC1639="","",RANK(AC1639,$AC$2:$AC$1780)+COUNTIF($AC$2:AC1639,AC1639)-1)</f>
        <v/>
      </c>
      <c r="AB1639" s="56" t="str">
        <f aca="false">IF(AD1639="","",RANK(AD1639,$AD$2:$AD$1780)+COUNTIF($AD$2:AD1639,AD1639)-1)</f>
        <v/>
      </c>
      <c r="AC1639" s="56" t="str">
        <f aca="false">IF(AND(F1639&gt;0,E1639&gt;=Settings!$B$4),J1639,"")</f>
        <v/>
      </c>
      <c r="AD1639" s="56" t="str">
        <f aca="false">IF(X1639="HIGH RATE",O1639,"")</f>
        <v/>
      </c>
    </row>
    <row r="1640" customFormat="false" ht="15" hidden="false" customHeight="false" outlineLevel="0" collapsed="false">
      <c r="A1640" s="56" t="s">
        <v>3127</v>
      </c>
      <c r="B1640" s="56" t="s">
        <v>736</v>
      </c>
      <c r="C1640" s="56" t="s">
        <v>734</v>
      </c>
      <c r="D1640" s="56" t="str">
        <f aca="false">IFERROR(INDEX('Brand Map'!$B$4:$B$124,MATCH(C1640,'Brand Map'!$A$4:$A$124,0)),"Other")</f>
        <v>Other (small prefixes)</v>
      </c>
      <c r="E1640" s="57" t="n">
        <v>1</v>
      </c>
      <c r="F1640" s="57" t="n">
        <v>0</v>
      </c>
      <c r="G1640" s="58" t="n">
        <v>124.95</v>
      </c>
      <c r="H1640" s="58" t="n">
        <v>0</v>
      </c>
      <c r="I1640" s="58" t="n">
        <v>124.95</v>
      </c>
      <c r="J1640" s="32" t="n">
        <f aca="false">IF(E1640&gt;0,F1640/E1640,0)</f>
        <v>0</v>
      </c>
      <c r="K1640" s="32" t="n">
        <f aca="false">IF(G1640&gt;0,H1640/G1640,0)</f>
        <v>-0</v>
      </c>
      <c r="L1640" s="59" t="n">
        <f aca="false">H1640/Settings!$B$16</f>
        <v>-0</v>
      </c>
      <c r="M1640" s="59" t="n">
        <f aca="false">H1640/Settings!$B$20</f>
        <v>-0</v>
      </c>
      <c r="N1640" s="60" t="n">
        <f aca="false">E1640*Settings!$B$3</f>
        <v>0.0309861510798204</v>
      </c>
      <c r="O1640" s="60" t="n">
        <f aca="false">IF(E1640&gt;0,(F1640-N1640)/SQRT(E1640*Settings!$B$3*(1-Settings!$B$3)),0)</f>
        <v>-0.178821125934444</v>
      </c>
      <c r="P1640" s="60" t="n">
        <f aca="false">MAX(0,F1640-N1640)</f>
        <v>0</v>
      </c>
      <c r="Q1640" s="32" t="n">
        <f aca="false">(F1640+Settings!$B$7*Settings!$B$3)/(E1640+Settings!$B$7)</f>
        <v>0.0299865978191811</v>
      </c>
      <c r="R1640" s="61" t="n">
        <f aca="false">PERCENTRANK($H$2:$H$1780,H1640,6)</f>
        <v>0</v>
      </c>
      <c r="S1640" s="61" t="n">
        <f aca="false">PERCENTRANK($Q$2:$Q$1780,Q1640,6)</f>
        <v>0.486502</v>
      </c>
      <c r="T1640" s="61" t="n">
        <f aca="false">PERCENTRANK($F$2:$F$1780,F1640,6)</f>
        <v>0</v>
      </c>
      <c r="U1640" s="62" t="n">
        <f aca="false">IF(F1640&gt;0,(Settings!$B$8*T1640+Settings!$B$9*R1640+Settings!$B$10*S1640)/SUM(Settings!$B$8:$B$10),0)</f>
        <v>0</v>
      </c>
      <c r="V1640" s="56" t="str">
        <f aca="false">IF(U1640&gt;0,RANK(U1640,$U$2:$U$1780)+COUNTIF($U$2:U1640,U1640)-1,"")</f>
        <v/>
      </c>
      <c r="W1640" s="56" t="str">
        <f aca="false">IF(V1640="","",IF(V1640&lt;=Settings!$B$11,"1 - Fix first",IF(V1640&lt;=Settings!$B$12,"2 - Review","3 - Monitor")))</f>
        <v/>
      </c>
      <c r="X1640" s="56" t="str">
        <f aca="false">IF(AND(E1640&gt;=Settings!$B$4,F1640&gt;=Settings!$B$5,O1640&gt;=Settings!$B$6),"HIGH RATE","")</f>
        <v/>
      </c>
      <c r="Y1640" s="56" t="str">
        <f aca="false">IF(F1640&gt;0,RANK(F1640,$F$2:$F$1780)+COUNTIF($F$2:F1640,F1640)-1,"")</f>
        <v/>
      </c>
      <c r="Z1640" s="56" t="str">
        <f aca="false">IF(H1640&gt;0,RANK(H1640,$H$2:$H$1780)+COUNTIF($H$2:H1640,H1640)-1,"")</f>
        <v/>
      </c>
      <c r="AA1640" s="56" t="str">
        <f aca="false">IF(AC1640="","",RANK(AC1640,$AC$2:$AC$1780)+COUNTIF($AC$2:AC1640,AC1640)-1)</f>
        <v/>
      </c>
      <c r="AB1640" s="56" t="str">
        <f aca="false">IF(AD1640="","",RANK(AD1640,$AD$2:$AD$1780)+COUNTIF($AD$2:AD1640,AD1640)-1)</f>
        <v/>
      </c>
      <c r="AC1640" s="56" t="str">
        <f aca="false">IF(AND(F1640&gt;0,E1640&gt;=Settings!$B$4),J1640,"")</f>
        <v/>
      </c>
      <c r="AD1640" s="56" t="str">
        <f aca="false">IF(X1640="HIGH RATE",O1640,"")</f>
        <v/>
      </c>
    </row>
    <row r="1641" customFormat="false" ht="15" hidden="false" customHeight="false" outlineLevel="0" collapsed="false">
      <c r="A1641" s="56" t="s">
        <v>735</v>
      </c>
      <c r="B1641" s="56" t="s">
        <v>736</v>
      </c>
      <c r="C1641" s="56" t="s">
        <v>734</v>
      </c>
      <c r="D1641" s="56" t="str">
        <f aca="false">IFERROR(INDEX('Brand Map'!$B$4:$B$124,MATCH(C1641,'Brand Map'!$A$4:$A$124,0)),"Other")</f>
        <v>Other (small prefixes)</v>
      </c>
      <c r="E1641" s="57" t="n">
        <v>8</v>
      </c>
      <c r="F1641" s="57" t="n">
        <v>0</v>
      </c>
      <c r="G1641" s="58" t="n">
        <v>639.6</v>
      </c>
      <c r="H1641" s="58" t="n">
        <v>0</v>
      </c>
      <c r="I1641" s="58" t="n">
        <v>639.6</v>
      </c>
      <c r="J1641" s="32" t="n">
        <f aca="false">IF(E1641&gt;0,F1641/E1641,0)</f>
        <v>0</v>
      </c>
      <c r="K1641" s="32" t="n">
        <f aca="false">IF(G1641&gt;0,H1641/G1641,0)</f>
        <v>-0</v>
      </c>
      <c r="L1641" s="59" t="n">
        <f aca="false">H1641/Settings!$B$16</f>
        <v>-0</v>
      </c>
      <c r="M1641" s="59" t="n">
        <f aca="false">H1641/Settings!$B$20</f>
        <v>-0</v>
      </c>
      <c r="N1641" s="60" t="n">
        <f aca="false">E1641*Settings!$B$3</f>
        <v>0.247889208638563</v>
      </c>
      <c r="O1641" s="60" t="n">
        <f aca="false">IF(E1641&gt;0,(F1641-N1641)/SQRT(E1641*Settings!$B$3*(1-Settings!$B$3)),0)</f>
        <v>-0.505782523070636</v>
      </c>
      <c r="P1641" s="60" t="n">
        <f aca="false">MAX(0,F1641-N1641)</f>
        <v>0</v>
      </c>
      <c r="Q1641" s="32" t="n">
        <f aca="false">(F1641+Settings!$B$7*Settings!$B$3)/(E1641+Settings!$B$7)</f>
        <v>0.0244627508524898</v>
      </c>
      <c r="R1641" s="61" t="n">
        <f aca="false">PERCENTRANK($H$2:$H$1780,H1641,6)</f>
        <v>0</v>
      </c>
      <c r="S1641" s="61" t="n">
        <f aca="false">PERCENTRANK($Q$2:$Q$1780,Q1641,6)</f>
        <v>0.154668</v>
      </c>
      <c r="T1641" s="61" t="n">
        <f aca="false">PERCENTRANK($F$2:$F$1780,F1641,6)</f>
        <v>0</v>
      </c>
      <c r="U1641" s="62" t="n">
        <f aca="false">IF(F1641&gt;0,(Settings!$B$8*T1641+Settings!$B$9*R1641+Settings!$B$10*S1641)/SUM(Settings!$B$8:$B$10),0)</f>
        <v>0</v>
      </c>
      <c r="V1641" s="56" t="str">
        <f aca="false">IF(U1641&gt;0,RANK(U1641,$U$2:$U$1780)+COUNTIF($U$2:U1641,U1641)-1,"")</f>
        <v/>
      </c>
      <c r="W1641" s="56" t="str">
        <f aca="false">IF(V1641="","",IF(V1641&lt;=Settings!$B$11,"1 - Fix first",IF(V1641&lt;=Settings!$B$12,"2 - Review","3 - Monitor")))</f>
        <v/>
      </c>
      <c r="X1641" s="56" t="str">
        <f aca="false">IF(AND(E1641&gt;=Settings!$B$4,F1641&gt;=Settings!$B$5,O1641&gt;=Settings!$B$6),"HIGH RATE","")</f>
        <v/>
      </c>
      <c r="Y1641" s="56" t="str">
        <f aca="false">IF(F1641&gt;0,RANK(F1641,$F$2:$F$1780)+COUNTIF($F$2:F1641,F1641)-1,"")</f>
        <v/>
      </c>
      <c r="Z1641" s="56" t="str">
        <f aca="false">IF(H1641&gt;0,RANK(H1641,$H$2:$H$1780)+COUNTIF($H$2:H1641,H1641)-1,"")</f>
        <v/>
      </c>
      <c r="AA1641" s="56" t="str">
        <f aca="false">IF(AC1641="","",RANK(AC1641,$AC$2:$AC$1780)+COUNTIF($AC$2:AC1641,AC1641)-1)</f>
        <v/>
      </c>
      <c r="AB1641" s="56" t="str">
        <f aca="false">IF(AD1641="","",RANK(AD1641,$AD$2:$AD$1780)+COUNTIF($AD$2:AD1641,AD1641)-1)</f>
        <v/>
      </c>
      <c r="AC1641" s="56" t="str">
        <f aca="false">IF(AND(F1641&gt;0,E1641&gt;=Settings!$B$4),J1641,"")</f>
        <v/>
      </c>
      <c r="AD1641" s="56" t="str">
        <f aca="false">IF(X1641="HIGH RATE",O1641,"")</f>
        <v/>
      </c>
    </row>
    <row r="1642" customFormat="false" ht="15" hidden="false" customHeight="false" outlineLevel="0" collapsed="false">
      <c r="A1642" s="56" t="s">
        <v>800</v>
      </c>
      <c r="B1642" s="56" t="s">
        <v>801</v>
      </c>
      <c r="C1642" s="56" t="s">
        <v>799</v>
      </c>
      <c r="D1642" s="56" t="str">
        <f aca="false">IFERROR(INDEX('Brand Map'!$B$4:$B$124,MATCH(C1642,'Brand Map'!$A$4:$A$124,0)),"Other")</f>
        <v>Other (small prefixes)</v>
      </c>
      <c r="E1642" s="57" t="n">
        <v>1</v>
      </c>
      <c r="F1642" s="57" t="n">
        <v>0</v>
      </c>
      <c r="G1642" s="58" t="n">
        <v>86.32</v>
      </c>
      <c r="H1642" s="58" t="n">
        <v>0</v>
      </c>
      <c r="I1642" s="58" t="n">
        <v>86.32</v>
      </c>
      <c r="J1642" s="32" t="n">
        <f aca="false">IF(E1642&gt;0,F1642/E1642,0)</f>
        <v>0</v>
      </c>
      <c r="K1642" s="32" t="n">
        <f aca="false">IF(G1642&gt;0,H1642/G1642,0)</f>
        <v>-0</v>
      </c>
      <c r="L1642" s="59" t="n">
        <f aca="false">H1642/Settings!$B$16</f>
        <v>-0</v>
      </c>
      <c r="M1642" s="59" t="n">
        <f aca="false">H1642/Settings!$B$20</f>
        <v>-0</v>
      </c>
      <c r="N1642" s="60" t="n">
        <f aca="false">E1642*Settings!$B$3</f>
        <v>0.0309861510798204</v>
      </c>
      <c r="O1642" s="60" t="n">
        <f aca="false">IF(E1642&gt;0,(F1642-N1642)/SQRT(E1642*Settings!$B$3*(1-Settings!$B$3)),0)</f>
        <v>-0.178821125934444</v>
      </c>
      <c r="P1642" s="60" t="n">
        <f aca="false">MAX(0,F1642-N1642)</f>
        <v>0</v>
      </c>
      <c r="Q1642" s="32" t="n">
        <f aca="false">(F1642+Settings!$B$7*Settings!$B$3)/(E1642+Settings!$B$7)</f>
        <v>0.0299865978191811</v>
      </c>
      <c r="R1642" s="61" t="n">
        <f aca="false">PERCENTRANK($H$2:$H$1780,H1642,6)</f>
        <v>0</v>
      </c>
      <c r="S1642" s="61" t="n">
        <f aca="false">PERCENTRANK($Q$2:$Q$1780,Q1642,6)</f>
        <v>0.486502</v>
      </c>
      <c r="T1642" s="61" t="n">
        <f aca="false">PERCENTRANK($F$2:$F$1780,F1642,6)</f>
        <v>0</v>
      </c>
      <c r="U1642" s="62" t="n">
        <f aca="false">IF(F1642&gt;0,(Settings!$B$8*T1642+Settings!$B$9*R1642+Settings!$B$10*S1642)/SUM(Settings!$B$8:$B$10),0)</f>
        <v>0</v>
      </c>
      <c r="V1642" s="56" t="str">
        <f aca="false">IF(U1642&gt;0,RANK(U1642,$U$2:$U$1780)+COUNTIF($U$2:U1642,U1642)-1,"")</f>
        <v/>
      </c>
      <c r="W1642" s="56" t="str">
        <f aca="false">IF(V1642="","",IF(V1642&lt;=Settings!$B$11,"1 - Fix first",IF(V1642&lt;=Settings!$B$12,"2 - Review","3 - Monitor")))</f>
        <v/>
      </c>
      <c r="X1642" s="56" t="str">
        <f aca="false">IF(AND(E1642&gt;=Settings!$B$4,F1642&gt;=Settings!$B$5,O1642&gt;=Settings!$B$6),"HIGH RATE","")</f>
        <v/>
      </c>
      <c r="Y1642" s="56" t="str">
        <f aca="false">IF(F1642&gt;0,RANK(F1642,$F$2:$F$1780)+COUNTIF($F$2:F1642,F1642)-1,"")</f>
        <v/>
      </c>
      <c r="Z1642" s="56" t="str">
        <f aca="false">IF(H1642&gt;0,RANK(H1642,$H$2:$H$1780)+COUNTIF($H$2:H1642,H1642)-1,"")</f>
        <v/>
      </c>
      <c r="AA1642" s="56" t="str">
        <f aca="false">IF(AC1642="","",RANK(AC1642,$AC$2:$AC$1780)+COUNTIF($AC$2:AC1642,AC1642)-1)</f>
        <v/>
      </c>
      <c r="AB1642" s="56" t="str">
        <f aca="false">IF(AD1642="","",RANK(AD1642,$AD$2:$AD$1780)+COUNTIF($AD$2:AD1642,AD1642)-1)</f>
        <v/>
      </c>
      <c r="AC1642" s="56" t="str">
        <f aca="false">IF(AND(F1642&gt;0,E1642&gt;=Settings!$B$4),J1642,"")</f>
        <v/>
      </c>
      <c r="AD1642" s="56" t="str">
        <f aca="false">IF(X1642="HIGH RATE",O1642,"")</f>
        <v/>
      </c>
    </row>
    <row r="1643" customFormat="false" ht="15" hidden="false" customHeight="false" outlineLevel="0" collapsed="false">
      <c r="A1643" s="56" t="s">
        <v>771</v>
      </c>
      <c r="B1643" s="56" t="s">
        <v>772</v>
      </c>
      <c r="C1643" s="56" t="s">
        <v>770</v>
      </c>
      <c r="D1643" s="56" t="str">
        <f aca="false">IFERROR(INDEX('Brand Map'!$B$4:$B$124,MATCH(C1643,'Brand Map'!$A$4:$A$124,0)),"Other")</f>
        <v>Other (small prefixes)</v>
      </c>
      <c r="E1643" s="57" t="n">
        <v>2</v>
      </c>
      <c r="F1643" s="57" t="n">
        <v>0</v>
      </c>
      <c r="G1643" s="58" t="n">
        <v>205.36</v>
      </c>
      <c r="H1643" s="58" t="n">
        <v>0</v>
      </c>
      <c r="I1643" s="58" t="n">
        <v>205.36</v>
      </c>
      <c r="J1643" s="32" t="n">
        <f aca="false">IF(E1643&gt;0,F1643/E1643,0)</f>
        <v>0</v>
      </c>
      <c r="K1643" s="32" t="n">
        <f aca="false">IF(G1643&gt;0,H1643/G1643,0)</f>
        <v>-0</v>
      </c>
      <c r="L1643" s="59" t="n">
        <f aca="false">H1643/Settings!$B$16</f>
        <v>-0</v>
      </c>
      <c r="M1643" s="59" t="n">
        <f aca="false">H1643/Settings!$B$20</f>
        <v>-0</v>
      </c>
      <c r="N1643" s="60" t="n">
        <f aca="false">E1643*Settings!$B$3</f>
        <v>0.0619723021596408</v>
      </c>
      <c r="O1643" s="60" t="n">
        <f aca="false">IF(E1643&gt;0,(F1643-N1643)/SQRT(E1643*Settings!$B$3*(1-Settings!$B$3)),0)</f>
        <v>-0.252891261535318</v>
      </c>
      <c r="P1643" s="60" t="n">
        <f aca="false">MAX(0,F1643-N1643)</f>
        <v>0</v>
      </c>
      <c r="Q1643" s="32" t="n">
        <f aca="false">(F1643+Settings!$B$7*Settings!$B$3)/(E1643+Settings!$B$7)</f>
        <v>0.0290495166373316</v>
      </c>
      <c r="R1643" s="61" t="n">
        <f aca="false">PERCENTRANK($H$2:$H$1780,H1643,6)</f>
        <v>0</v>
      </c>
      <c r="S1643" s="61" t="n">
        <f aca="false">PERCENTRANK($Q$2:$Q$1780,Q1643,6)</f>
        <v>0.365579</v>
      </c>
      <c r="T1643" s="61" t="n">
        <f aca="false">PERCENTRANK($F$2:$F$1780,F1643,6)</f>
        <v>0</v>
      </c>
      <c r="U1643" s="62" t="n">
        <f aca="false">IF(F1643&gt;0,(Settings!$B$8*T1643+Settings!$B$9*R1643+Settings!$B$10*S1643)/SUM(Settings!$B$8:$B$10),0)</f>
        <v>0</v>
      </c>
      <c r="V1643" s="56" t="str">
        <f aca="false">IF(U1643&gt;0,RANK(U1643,$U$2:$U$1780)+COUNTIF($U$2:U1643,U1643)-1,"")</f>
        <v/>
      </c>
      <c r="W1643" s="56" t="str">
        <f aca="false">IF(V1643="","",IF(V1643&lt;=Settings!$B$11,"1 - Fix first",IF(V1643&lt;=Settings!$B$12,"2 - Review","3 - Monitor")))</f>
        <v/>
      </c>
      <c r="X1643" s="56" t="str">
        <f aca="false">IF(AND(E1643&gt;=Settings!$B$4,F1643&gt;=Settings!$B$5,O1643&gt;=Settings!$B$6),"HIGH RATE","")</f>
        <v/>
      </c>
      <c r="Y1643" s="56" t="str">
        <f aca="false">IF(F1643&gt;0,RANK(F1643,$F$2:$F$1780)+COUNTIF($F$2:F1643,F1643)-1,"")</f>
        <v/>
      </c>
      <c r="Z1643" s="56" t="str">
        <f aca="false">IF(H1643&gt;0,RANK(H1643,$H$2:$H$1780)+COUNTIF($H$2:H1643,H1643)-1,"")</f>
        <v/>
      </c>
      <c r="AA1643" s="56" t="str">
        <f aca="false">IF(AC1643="","",RANK(AC1643,$AC$2:$AC$1780)+COUNTIF($AC$2:AC1643,AC1643)-1)</f>
        <v/>
      </c>
      <c r="AB1643" s="56" t="str">
        <f aca="false">IF(AD1643="","",RANK(AD1643,$AD$2:$AD$1780)+COUNTIF($AD$2:AD1643,AD1643)-1)</f>
        <v/>
      </c>
      <c r="AC1643" s="56" t="str">
        <f aca="false">IF(AND(F1643&gt;0,E1643&gt;=Settings!$B$4),J1643,"")</f>
        <v/>
      </c>
      <c r="AD1643" s="56" t="str">
        <f aca="false">IF(X1643="HIGH RATE",O1643,"")</f>
        <v/>
      </c>
    </row>
    <row r="1644" customFormat="false" ht="15" hidden="false" customHeight="false" outlineLevel="0" collapsed="false">
      <c r="A1644" s="56" t="s">
        <v>3128</v>
      </c>
      <c r="B1644" s="56" t="s">
        <v>1449</v>
      </c>
      <c r="C1644" s="56" t="s">
        <v>117</v>
      </c>
      <c r="D1644" s="56" t="str">
        <f aca="false">IFERROR(INDEX('Brand Map'!$B$4:$B$124,MATCH(C1644,'Brand Map'!$A$4:$A$124,0)),"Other")</f>
        <v>LF</v>
      </c>
      <c r="E1644" s="57" t="n">
        <v>1</v>
      </c>
      <c r="F1644" s="57" t="n">
        <v>0</v>
      </c>
      <c r="G1644" s="58" t="n">
        <v>89.95</v>
      </c>
      <c r="H1644" s="58" t="n">
        <v>0</v>
      </c>
      <c r="I1644" s="58" t="n">
        <v>89.95</v>
      </c>
      <c r="J1644" s="32" t="n">
        <f aca="false">IF(E1644&gt;0,F1644/E1644,0)</f>
        <v>0</v>
      </c>
      <c r="K1644" s="32" t="n">
        <f aca="false">IF(G1644&gt;0,H1644/G1644,0)</f>
        <v>-0</v>
      </c>
      <c r="L1644" s="59" t="n">
        <f aca="false">H1644/Settings!$B$16</f>
        <v>-0</v>
      </c>
      <c r="M1644" s="59" t="n">
        <f aca="false">H1644/Settings!$B$20</f>
        <v>-0</v>
      </c>
      <c r="N1644" s="60" t="n">
        <f aca="false">E1644*Settings!$B$3</f>
        <v>0.0309861510798204</v>
      </c>
      <c r="O1644" s="60" t="n">
        <f aca="false">IF(E1644&gt;0,(F1644-N1644)/SQRT(E1644*Settings!$B$3*(1-Settings!$B$3)),0)</f>
        <v>-0.178821125934444</v>
      </c>
      <c r="P1644" s="60" t="n">
        <f aca="false">MAX(0,F1644-N1644)</f>
        <v>0</v>
      </c>
      <c r="Q1644" s="32" t="n">
        <f aca="false">(F1644+Settings!$B$7*Settings!$B$3)/(E1644+Settings!$B$7)</f>
        <v>0.0299865978191811</v>
      </c>
      <c r="R1644" s="61" t="n">
        <f aca="false">PERCENTRANK($H$2:$H$1780,H1644,6)</f>
        <v>0</v>
      </c>
      <c r="S1644" s="61" t="n">
        <f aca="false">PERCENTRANK($Q$2:$Q$1780,Q1644,6)</f>
        <v>0.486502</v>
      </c>
      <c r="T1644" s="61" t="n">
        <f aca="false">PERCENTRANK($F$2:$F$1780,F1644,6)</f>
        <v>0</v>
      </c>
      <c r="U1644" s="62" t="n">
        <f aca="false">IF(F1644&gt;0,(Settings!$B$8*T1644+Settings!$B$9*R1644+Settings!$B$10*S1644)/SUM(Settings!$B$8:$B$10),0)</f>
        <v>0</v>
      </c>
      <c r="V1644" s="56" t="str">
        <f aca="false">IF(U1644&gt;0,RANK(U1644,$U$2:$U$1780)+COUNTIF($U$2:U1644,U1644)-1,"")</f>
        <v/>
      </c>
      <c r="W1644" s="56" t="str">
        <f aca="false">IF(V1644="","",IF(V1644&lt;=Settings!$B$11,"1 - Fix first",IF(V1644&lt;=Settings!$B$12,"2 - Review","3 - Monitor")))</f>
        <v/>
      </c>
      <c r="X1644" s="56" t="str">
        <f aca="false">IF(AND(E1644&gt;=Settings!$B$4,F1644&gt;=Settings!$B$5,O1644&gt;=Settings!$B$6),"HIGH RATE","")</f>
        <v/>
      </c>
      <c r="Y1644" s="56" t="str">
        <f aca="false">IF(F1644&gt;0,RANK(F1644,$F$2:$F$1780)+COUNTIF($F$2:F1644,F1644)-1,"")</f>
        <v/>
      </c>
      <c r="Z1644" s="56" t="str">
        <f aca="false">IF(H1644&gt;0,RANK(H1644,$H$2:$H$1780)+COUNTIF($H$2:H1644,H1644)-1,"")</f>
        <v/>
      </c>
      <c r="AA1644" s="56" t="str">
        <f aca="false">IF(AC1644="","",RANK(AC1644,$AC$2:$AC$1780)+COUNTIF($AC$2:AC1644,AC1644)-1)</f>
        <v/>
      </c>
      <c r="AB1644" s="56" t="str">
        <f aca="false">IF(AD1644="","",RANK(AD1644,$AD$2:$AD$1780)+COUNTIF($AD$2:AD1644,AD1644)-1)</f>
        <v/>
      </c>
      <c r="AC1644" s="56" t="str">
        <f aca="false">IF(AND(F1644&gt;0,E1644&gt;=Settings!$B$4),J1644,"")</f>
        <v/>
      </c>
      <c r="AD1644" s="56" t="str">
        <f aca="false">IF(X1644="HIGH RATE",O1644,"")</f>
        <v/>
      </c>
    </row>
    <row r="1645" customFormat="false" ht="15" hidden="false" customHeight="false" outlineLevel="0" collapsed="false">
      <c r="A1645" s="56" t="s">
        <v>3129</v>
      </c>
      <c r="B1645" s="56" t="s">
        <v>1449</v>
      </c>
      <c r="C1645" s="56" t="s">
        <v>117</v>
      </c>
      <c r="D1645" s="56" t="str">
        <f aca="false">IFERROR(INDEX('Brand Map'!$B$4:$B$124,MATCH(C1645,'Brand Map'!$A$4:$A$124,0)),"Other")</f>
        <v>LF</v>
      </c>
      <c r="E1645" s="57" t="n">
        <v>7</v>
      </c>
      <c r="F1645" s="57" t="n">
        <v>0</v>
      </c>
      <c r="G1645" s="58" t="n">
        <v>419.65</v>
      </c>
      <c r="H1645" s="58" t="n">
        <v>0</v>
      </c>
      <c r="I1645" s="58" t="n">
        <v>419.65</v>
      </c>
      <c r="J1645" s="32" t="n">
        <f aca="false">IF(E1645&gt;0,F1645/E1645,0)</f>
        <v>0</v>
      </c>
      <c r="K1645" s="32" t="n">
        <f aca="false">IF(G1645&gt;0,H1645/G1645,0)</f>
        <v>-0</v>
      </c>
      <c r="L1645" s="59" t="n">
        <f aca="false">H1645/Settings!$B$16</f>
        <v>-0</v>
      </c>
      <c r="M1645" s="59" t="n">
        <f aca="false">H1645/Settings!$B$20</f>
        <v>-0</v>
      </c>
      <c r="N1645" s="60" t="n">
        <f aca="false">E1645*Settings!$B$3</f>
        <v>0.216903057558743</v>
      </c>
      <c r="O1645" s="60" t="n">
        <f aca="false">IF(E1645&gt;0,(F1645-N1645)/SQRT(E1645*Settings!$B$3*(1-Settings!$B$3)),0)</f>
        <v>-0.473116228387102</v>
      </c>
      <c r="P1645" s="60" t="n">
        <f aca="false">MAX(0,F1645-N1645)</f>
        <v>0</v>
      </c>
      <c r="Q1645" s="32" t="n">
        <f aca="false">(F1645+Settings!$B$7*Settings!$B$3)/(E1645+Settings!$B$7)</f>
        <v>0.0251239062809355</v>
      </c>
      <c r="R1645" s="61" t="n">
        <f aca="false">PERCENTRANK($H$2:$H$1780,H1645,6)</f>
        <v>0</v>
      </c>
      <c r="S1645" s="61" t="n">
        <f aca="false">PERCENTRANK($Q$2:$Q$1780,Q1645,6)</f>
        <v>0.168166</v>
      </c>
      <c r="T1645" s="61" t="n">
        <f aca="false">PERCENTRANK($F$2:$F$1780,F1645,6)</f>
        <v>0</v>
      </c>
      <c r="U1645" s="62" t="n">
        <f aca="false">IF(F1645&gt;0,(Settings!$B$8*T1645+Settings!$B$9*R1645+Settings!$B$10*S1645)/SUM(Settings!$B$8:$B$10),0)</f>
        <v>0</v>
      </c>
      <c r="V1645" s="56" t="str">
        <f aca="false">IF(U1645&gt;0,RANK(U1645,$U$2:$U$1780)+COUNTIF($U$2:U1645,U1645)-1,"")</f>
        <v/>
      </c>
      <c r="W1645" s="56" t="str">
        <f aca="false">IF(V1645="","",IF(V1645&lt;=Settings!$B$11,"1 - Fix first",IF(V1645&lt;=Settings!$B$12,"2 - Review","3 - Monitor")))</f>
        <v/>
      </c>
      <c r="X1645" s="56" t="str">
        <f aca="false">IF(AND(E1645&gt;=Settings!$B$4,F1645&gt;=Settings!$B$5,O1645&gt;=Settings!$B$6),"HIGH RATE","")</f>
        <v/>
      </c>
      <c r="Y1645" s="56" t="str">
        <f aca="false">IF(F1645&gt;0,RANK(F1645,$F$2:$F$1780)+COUNTIF($F$2:F1645,F1645)-1,"")</f>
        <v/>
      </c>
      <c r="Z1645" s="56" t="str">
        <f aca="false">IF(H1645&gt;0,RANK(H1645,$H$2:$H$1780)+COUNTIF($H$2:H1645,H1645)-1,"")</f>
        <v/>
      </c>
      <c r="AA1645" s="56" t="str">
        <f aca="false">IF(AC1645="","",RANK(AC1645,$AC$2:$AC$1780)+COUNTIF($AC$2:AC1645,AC1645)-1)</f>
        <v/>
      </c>
      <c r="AB1645" s="56" t="str">
        <f aca="false">IF(AD1645="","",RANK(AD1645,$AD$2:$AD$1780)+COUNTIF($AD$2:AD1645,AD1645)-1)</f>
        <v/>
      </c>
      <c r="AC1645" s="56" t="str">
        <f aca="false">IF(AND(F1645&gt;0,E1645&gt;=Settings!$B$4),J1645,"")</f>
        <v/>
      </c>
      <c r="AD1645" s="56" t="str">
        <f aca="false">IF(X1645="HIGH RATE",O1645,"")</f>
        <v/>
      </c>
    </row>
    <row r="1646" customFormat="false" ht="15" hidden="false" customHeight="false" outlineLevel="0" collapsed="false">
      <c r="A1646" s="56" t="s">
        <v>3130</v>
      </c>
      <c r="B1646" s="56" t="s">
        <v>673</v>
      </c>
      <c r="C1646" s="56" t="s">
        <v>117</v>
      </c>
      <c r="D1646" s="56" t="str">
        <f aca="false">IFERROR(INDEX('Brand Map'!$B$4:$B$124,MATCH(C1646,'Brand Map'!$A$4:$A$124,0)),"Other")</f>
        <v>LF</v>
      </c>
      <c r="E1646" s="57" t="n">
        <v>1</v>
      </c>
      <c r="F1646" s="57" t="n">
        <v>0</v>
      </c>
      <c r="G1646" s="58" t="n">
        <v>104.95</v>
      </c>
      <c r="H1646" s="58" t="n">
        <v>0</v>
      </c>
      <c r="I1646" s="58" t="n">
        <v>104.95</v>
      </c>
      <c r="J1646" s="32" t="n">
        <f aca="false">IF(E1646&gt;0,F1646/E1646,0)</f>
        <v>0</v>
      </c>
      <c r="K1646" s="32" t="n">
        <f aca="false">IF(G1646&gt;0,H1646/G1646,0)</f>
        <v>-0</v>
      </c>
      <c r="L1646" s="59" t="n">
        <f aca="false">H1646/Settings!$B$16</f>
        <v>-0</v>
      </c>
      <c r="M1646" s="59" t="n">
        <f aca="false">H1646/Settings!$B$20</f>
        <v>-0</v>
      </c>
      <c r="N1646" s="60" t="n">
        <f aca="false">E1646*Settings!$B$3</f>
        <v>0.0309861510798204</v>
      </c>
      <c r="O1646" s="60" t="n">
        <f aca="false">IF(E1646&gt;0,(F1646-N1646)/SQRT(E1646*Settings!$B$3*(1-Settings!$B$3)),0)</f>
        <v>-0.178821125934444</v>
      </c>
      <c r="P1646" s="60" t="n">
        <f aca="false">MAX(0,F1646-N1646)</f>
        <v>0</v>
      </c>
      <c r="Q1646" s="32" t="n">
        <f aca="false">(F1646+Settings!$B$7*Settings!$B$3)/(E1646+Settings!$B$7)</f>
        <v>0.0299865978191811</v>
      </c>
      <c r="R1646" s="61" t="n">
        <f aca="false">PERCENTRANK($H$2:$H$1780,H1646,6)</f>
        <v>0</v>
      </c>
      <c r="S1646" s="61" t="n">
        <f aca="false">PERCENTRANK($Q$2:$Q$1780,Q1646,6)</f>
        <v>0.486502</v>
      </c>
      <c r="T1646" s="61" t="n">
        <f aca="false">PERCENTRANK($F$2:$F$1780,F1646,6)</f>
        <v>0</v>
      </c>
      <c r="U1646" s="62" t="n">
        <f aca="false">IF(F1646&gt;0,(Settings!$B$8*T1646+Settings!$B$9*R1646+Settings!$B$10*S1646)/SUM(Settings!$B$8:$B$10),0)</f>
        <v>0</v>
      </c>
      <c r="V1646" s="56" t="str">
        <f aca="false">IF(U1646&gt;0,RANK(U1646,$U$2:$U$1780)+COUNTIF($U$2:U1646,U1646)-1,"")</f>
        <v/>
      </c>
      <c r="W1646" s="56" t="str">
        <f aca="false">IF(V1646="","",IF(V1646&lt;=Settings!$B$11,"1 - Fix first",IF(V1646&lt;=Settings!$B$12,"2 - Review","3 - Monitor")))</f>
        <v/>
      </c>
      <c r="X1646" s="56" t="str">
        <f aca="false">IF(AND(E1646&gt;=Settings!$B$4,F1646&gt;=Settings!$B$5,O1646&gt;=Settings!$B$6),"HIGH RATE","")</f>
        <v/>
      </c>
      <c r="Y1646" s="56" t="str">
        <f aca="false">IF(F1646&gt;0,RANK(F1646,$F$2:$F$1780)+COUNTIF($F$2:F1646,F1646)-1,"")</f>
        <v/>
      </c>
      <c r="Z1646" s="56" t="str">
        <f aca="false">IF(H1646&gt;0,RANK(H1646,$H$2:$H$1780)+COUNTIF($H$2:H1646,H1646)-1,"")</f>
        <v/>
      </c>
      <c r="AA1646" s="56" t="str">
        <f aca="false">IF(AC1646="","",RANK(AC1646,$AC$2:$AC$1780)+COUNTIF($AC$2:AC1646,AC1646)-1)</f>
        <v/>
      </c>
      <c r="AB1646" s="56" t="str">
        <f aca="false">IF(AD1646="","",RANK(AD1646,$AD$2:$AD$1780)+COUNTIF($AD$2:AD1646,AD1646)-1)</f>
        <v/>
      </c>
      <c r="AC1646" s="56" t="str">
        <f aca="false">IF(AND(F1646&gt;0,E1646&gt;=Settings!$B$4),J1646,"")</f>
        <v/>
      </c>
      <c r="AD1646" s="56" t="str">
        <f aca="false">IF(X1646="HIGH RATE",O1646,"")</f>
        <v/>
      </c>
    </row>
    <row r="1647" customFormat="false" ht="15" hidden="false" customHeight="false" outlineLevel="0" collapsed="false">
      <c r="A1647" s="56" t="s">
        <v>3131</v>
      </c>
      <c r="B1647" s="56" t="s">
        <v>3132</v>
      </c>
      <c r="C1647" s="56" t="s">
        <v>117</v>
      </c>
      <c r="D1647" s="56" t="str">
        <f aca="false">IFERROR(INDEX('Brand Map'!$B$4:$B$124,MATCH(C1647,'Brand Map'!$A$4:$A$124,0)),"Other")</f>
        <v>LF</v>
      </c>
      <c r="E1647" s="57" t="n">
        <v>2</v>
      </c>
      <c r="F1647" s="57" t="n">
        <v>0</v>
      </c>
      <c r="G1647" s="58" t="n">
        <v>119.9</v>
      </c>
      <c r="H1647" s="58" t="n">
        <v>0</v>
      </c>
      <c r="I1647" s="58" t="n">
        <v>119.9</v>
      </c>
      <c r="J1647" s="32" t="n">
        <f aca="false">IF(E1647&gt;0,F1647/E1647,0)</f>
        <v>0</v>
      </c>
      <c r="K1647" s="32" t="n">
        <f aca="false">IF(G1647&gt;0,H1647/G1647,0)</f>
        <v>-0</v>
      </c>
      <c r="L1647" s="59" t="n">
        <f aca="false">H1647/Settings!$B$16</f>
        <v>-0</v>
      </c>
      <c r="M1647" s="59" t="n">
        <f aca="false">H1647/Settings!$B$20</f>
        <v>-0</v>
      </c>
      <c r="N1647" s="60" t="n">
        <f aca="false">E1647*Settings!$B$3</f>
        <v>0.0619723021596408</v>
      </c>
      <c r="O1647" s="60" t="n">
        <f aca="false">IF(E1647&gt;0,(F1647-N1647)/SQRT(E1647*Settings!$B$3*(1-Settings!$B$3)),0)</f>
        <v>-0.252891261535318</v>
      </c>
      <c r="P1647" s="60" t="n">
        <f aca="false">MAX(0,F1647-N1647)</f>
        <v>0</v>
      </c>
      <c r="Q1647" s="32" t="n">
        <f aca="false">(F1647+Settings!$B$7*Settings!$B$3)/(E1647+Settings!$B$7)</f>
        <v>0.0290495166373316</v>
      </c>
      <c r="R1647" s="61" t="n">
        <f aca="false">PERCENTRANK($H$2:$H$1780,H1647,6)</f>
        <v>0</v>
      </c>
      <c r="S1647" s="61" t="n">
        <f aca="false">PERCENTRANK($Q$2:$Q$1780,Q1647,6)</f>
        <v>0.365579</v>
      </c>
      <c r="T1647" s="61" t="n">
        <f aca="false">PERCENTRANK($F$2:$F$1780,F1647,6)</f>
        <v>0</v>
      </c>
      <c r="U1647" s="62" t="n">
        <f aca="false">IF(F1647&gt;0,(Settings!$B$8*T1647+Settings!$B$9*R1647+Settings!$B$10*S1647)/SUM(Settings!$B$8:$B$10),0)</f>
        <v>0</v>
      </c>
      <c r="V1647" s="56" t="str">
        <f aca="false">IF(U1647&gt;0,RANK(U1647,$U$2:$U$1780)+COUNTIF($U$2:U1647,U1647)-1,"")</f>
        <v/>
      </c>
      <c r="W1647" s="56" t="str">
        <f aca="false">IF(V1647="","",IF(V1647&lt;=Settings!$B$11,"1 - Fix first",IF(V1647&lt;=Settings!$B$12,"2 - Review","3 - Monitor")))</f>
        <v/>
      </c>
      <c r="X1647" s="56" t="str">
        <f aca="false">IF(AND(E1647&gt;=Settings!$B$4,F1647&gt;=Settings!$B$5,O1647&gt;=Settings!$B$6),"HIGH RATE","")</f>
        <v/>
      </c>
      <c r="Y1647" s="56" t="str">
        <f aca="false">IF(F1647&gt;0,RANK(F1647,$F$2:$F$1780)+COUNTIF($F$2:F1647,F1647)-1,"")</f>
        <v/>
      </c>
      <c r="Z1647" s="56" t="str">
        <f aca="false">IF(H1647&gt;0,RANK(H1647,$H$2:$H$1780)+COUNTIF($H$2:H1647,H1647)-1,"")</f>
        <v/>
      </c>
      <c r="AA1647" s="56" t="str">
        <f aca="false">IF(AC1647="","",RANK(AC1647,$AC$2:$AC$1780)+COUNTIF($AC$2:AC1647,AC1647)-1)</f>
        <v/>
      </c>
      <c r="AB1647" s="56" t="str">
        <f aca="false">IF(AD1647="","",RANK(AD1647,$AD$2:$AD$1780)+COUNTIF($AD$2:AD1647,AD1647)-1)</f>
        <v/>
      </c>
      <c r="AC1647" s="56" t="str">
        <f aca="false">IF(AND(F1647&gt;0,E1647&gt;=Settings!$B$4),J1647,"")</f>
        <v/>
      </c>
      <c r="AD1647" s="56" t="str">
        <f aca="false">IF(X1647="HIGH RATE",O1647,"")</f>
        <v/>
      </c>
    </row>
    <row r="1648" customFormat="false" ht="15" hidden="false" customHeight="false" outlineLevel="0" collapsed="false">
      <c r="A1648" s="56" t="s">
        <v>3133</v>
      </c>
      <c r="B1648" s="56" t="s">
        <v>3134</v>
      </c>
      <c r="C1648" s="56" t="s">
        <v>117</v>
      </c>
      <c r="D1648" s="56" t="str">
        <f aca="false">IFERROR(INDEX('Brand Map'!$B$4:$B$124,MATCH(C1648,'Brand Map'!$A$4:$A$124,0)),"Other")</f>
        <v>LF</v>
      </c>
      <c r="E1648" s="57" t="n">
        <v>12</v>
      </c>
      <c r="F1648" s="57" t="n">
        <v>0</v>
      </c>
      <c r="G1648" s="58" t="n">
        <v>944.91</v>
      </c>
      <c r="H1648" s="58" t="n">
        <v>0</v>
      </c>
      <c r="I1648" s="58" t="n">
        <v>928.56</v>
      </c>
      <c r="J1648" s="32" t="n">
        <f aca="false">IF(E1648&gt;0,F1648/E1648,0)</f>
        <v>0</v>
      </c>
      <c r="K1648" s="32" t="n">
        <f aca="false">IF(G1648&gt;0,H1648/G1648,0)</f>
        <v>-0</v>
      </c>
      <c r="L1648" s="59" t="n">
        <f aca="false">H1648/Settings!$B$16</f>
        <v>-0</v>
      </c>
      <c r="M1648" s="59" t="n">
        <f aca="false">H1648/Settings!$B$20</f>
        <v>-0</v>
      </c>
      <c r="N1648" s="60" t="n">
        <f aca="false">E1648*Settings!$B$3</f>
        <v>0.371833812957845</v>
      </c>
      <c r="O1648" s="60" t="n">
        <f aca="false">IF(E1648&gt;0,(F1648-N1648)/SQRT(E1648*Settings!$B$3*(1-Settings!$B$3)),0)</f>
        <v>-0.61945455117026</v>
      </c>
      <c r="P1648" s="60" t="n">
        <f aca="false">MAX(0,F1648-N1648)</f>
        <v>0</v>
      </c>
      <c r="Q1648" s="32" t="n">
        <f aca="false">(F1648+Settings!$B$7*Settings!$B$3)/(E1648+Settings!$B$7)</f>
        <v>0.0221329650570146</v>
      </c>
      <c r="R1648" s="61" t="n">
        <f aca="false">PERCENTRANK($H$2:$H$1780,H1648,6)</f>
        <v>0</v>
      </c>
      <c r="S1648" s="61" t="n">
        <f aca="false">PERCENTRANK($Q$2:$Q$1780,Q1648,6)</f>
        <v>0.109674</v>
      </c>
      <c r="T1648" s="61" t="n">
        <f aca="false">PERCENTRANK($F$2:$F$1780,F1648,6)</f>
        <v>0</v>
      </c>
      <c r="U1648" s="62" t="n">
        <f aca="false">IF(F1648&gt;0,(Settings!$B$8*T1648+Settings!$B$9*R1648+Settings!$B$10*S1648)/SUM(Settings!$B$8:$B$10),0)</f>
        <v>0</v>
      </c>
      <c r="V1648" s="56" t="str">
        <f aca="false">IF(U1648&gt;0,RANK(U1648,$U$2:$U$1780)+COUNTIF($U$2:U1648,U1648)-1,"")</f>
        <v/>
      </c>
      <c r="W1648" s="56" t="str">
        <f aca="false">IF(V1648="","",IF(V1648&lt;=Settings!$B$11,"1 - Fix first",IF(V1648&lt;=Settings!$B$12,"2 - Review","3 - Monitor")))</f>
        <v/>
      </c>
      <c r="X1648" s="56" t="str">
        <f aca="false">IF(AND(E1648&gt;=Settings!$B$4,F1648&gt;=Settings!$B$5,O1648&gt;=Settings!$B$6),"HIGH RATE","")</f>
        <v/>
      </c>
      <c r="Y1648" s="56" t="str">
        <f aca="false">IF(F1648&gt;0,RANK(F1648,$F$2:$F$1780)+COUNTIF($F$2:F1648,F1648)-1,"")</f>
        <v/>
      </c>
      <c r="Z1648" s="56" t="str">
        <f aca="false">IF(H1648&gt;0,RANK(H1648,$H$2:$H$1780)+COUNTIF($H$2:H1648,H1648)-1,"")</f>
        <v/>
      </c>
      <c r="AA1648" s="56" t="str">
        <f aca="false">IF(AC1648="","",RANK(AC1648,$AC$2:$AC$1780)+COUNTIF($AC$2:AC1648,AC1648)-1)</f>
        <v/>
      </c>
      <c r="AB1648" s="56" t="str">
        <f aca="false">IF(AD1648="","",RANK(AD1648,$AD$2:$AD$1780)+COUNTIF($AD$2:AD1648,AD1648)-1)</f>
        <v/>
      </c>
      <c r="AC1648" s="56" t="str">
        <f aca="false">IF(AND(F1648&gt;0,E1648&gt;=Settings!$B$4),J1648,"")</f>
        <v/>
      </c>
      <c r="AD1648" s="56" t="str">
        <f aca="false">IF(X1648="HIGH RATE",O1648,"")</f>
        <v/>
      </c>
    </row>
    <row r="1649" customFormat="false" ht="15" hidden="false" customHeight="false" outlineLevel="0" collapsed="false">
      <c r="A1649" s="56" t="s">
        <v>3135</v>
      </c>
      <c r="B1649" s="56" t="s">
        <v>3136</v>
      </c>
      <c r="C1649" s="56" t="s">
        <v>117</v>
      </c>
      <c r="D1649" s="56" t="str">
        <f aca="false">IFERROR(INDEX('Brand Map'!$B$4:$B$124,MATCH(C1649,'Brand Map'!$A$4:$A$124,0)),"Other")</f>
        <v>LF</v>
      </c>
      <c r="E1649" s="57" t="n">
        <v>5</v>
      </c>
      <c r="F1649" s="57" t="n">
        <v>0</v>
      </c>
      <c r="G1649" s="58" t="n">
        <v>620.02</v>
      </c>
      <c r="H1649" s="58" t="n">
        <v>0</v>
      </c>
      <c r="I1649" s="58" t="n">
        <v>573.56</v>
      </c>
      <c r="J1649" s="32" t="n">
        <f aca="false">IF(E1649&gt;0,F1649/E1649,0)</f>
        <v>0</v>
      </c>
      <c r="K1649" s="32" t="n">
        <f aca="false">IF(G1649&gt;0,H1649/G1649,0)</f>
        <v>-0</v>
      </c>
      <c r="L1649" s="59" t="n">
        <f aca="false">H1649/Settings!$B$16</f>
        <v>-0</v>
      </c>
      <c r="M1649" s="59" t="n">
        <f aca="false">H1649/Settings!$B$20</f>
        <v>-0</v>
      </c>
      <c r="N1649" s="60" t="n">
        <f aca="false">E1649*Settings!$B$3</f>
        <v>0.154930755399102</v>
      </c>
      <c r="O1649" s="60" t="n">
        <f aca="false">IF(E1649&gt;0,(F1649-N1649)/SQRT(E1649*Settings!$B$3*(1-Settings!$B$3)),0)</f>
        <v>-0.399856193402468</v>
      </c>
      <c r="P1649" s="60" t="n">
        <f aca="false">MAX(0,F1649-N1649)</f>
        <v>0</v>
      </c>
      <c r="Q1649" s="32" t="n">
        <f aca="false">(F1649+Settings!$B$7*Settings!$B$3)/(E1649+Settings!$B$7)</f>
        <v>0.0265595580684175</v>
      </c>
      <c r="R1649" s="61" t="n">
        <f aca="false">PERCENTRANK($H$2:$H$1780,H1649,6)</f>
        <v>0</v>
      </c>
      <c r="S1649" s="61" t="n">
        <f aca="false">PERCENTRANK($Q$2:$Q$1780,Q1649,6)</f>
        <v>0.220472</v>
      </c>
      <c r="T1649" s="61" t="n">
        <f aca="false">PERCENTRANK($F$2:$F$1780,F1649,6)</f>
        <v>0</v>
      </c>
      <c r="U1649" s="62" t="n">
        <f aca="false">IF(F1649&gt;0,(Settings!$B$8*T1649+Settings!$B$9*R1649+Settings!$B$10*S1649)/SUM(Settings!$B$8:$B$10),0)</f>
        <v>0</v>
      </c>
      <c r="V1649" s="56" t="str">
        <f aca="false">IF(U1649&gt;0,RANK(U1649,$U$2:$U$1780)+COUNTIF($U$2:U1649,U1649)-1,"")</f>
        <v/>
      </c>
      <c r="W1649" s="56" t="str">
        <f aca="false">IF(V1649="","",IF(V1649&lt;=Settings!$B$11,"1 - Fix first",IF(V1649&lt;=Settings!$B$12,"2 - Review","3 - Monitor")))</f>
        <v/>
      </c>
      <c r="X1649" s="56" t="str">
        <f aca="false">IF(AND(E1649&gt;=Settings!$B$4,F1649&gt;=Settings!$B$5,O1649&gt;=Settings!$B$6),"HIGH RATE","")</f>
        <v/>
      </c>
      <c r="Y1649" s="56" t="str">
        <f aca="false">IF(F1649&gt;0,RANK(F1649,$F$2:$F$1780)+COUNTIF($F$2:F1649,F1649)-1,"")</f>
        <v/>
      </c>
      <c r="Z1649" s="56" t="str">
        <f aca="false">IF(H1649&gt;0,RANK(H1649,$H$2:$H$1780)+COUNTIF($H$2:H1649,H1649)-1,"")</f>
        <v/>
      </c>
      <c r="AA1649" s="56" t="str">
        <f aca="false">IF(AC1649="","",RANK(AC1649,$AC$2:$AC$1780)+COUNTIF($AC$2:AC1649,AC1649)-1)</f>
        <v/>
      </c>
      <c r="AB1649" s="56" t="str">
        <f aca="false">IF(AD1649="","",RANK(AD1649,$AD$2:$AD$1780)+COUNTIF($AD$2:AD1649,AD1649)-1)</f>
        <v/>
      </c>
      <c r="AC1649" s="56" t="str">
        <f aca="false">IF(AND(F1649&gt;0,E1649&gt;=Settings!$B$4),J1649,"")</f>
        <v/>
      </c>
      <c r="AD1649" s="56" t="str">
        <f aca="false">IF(X1649="HIGH RATE",O1649,"")</f>
        <v/>
      </c>
    </row>
    <row r="1650" customFormat="false" ht="15" hidden="false" customHeight="false" outlineLevel="0" collapsed="false">
      <c r="A1650" s="56" t="s">
        <v>3137</v>
      </c>
      <c r="B1650" s="56" t="s">
        <v>999</v>
      </c>
      <c r="C1650" s="56" t="s">
        <v>117</v>
      </c>
      <c r="D1650" s="56" t="str">
        <f aca="false">IFERROR(INDEX('Brand Map'!$B$4:$B$124,MATCH(C1650,'Brand Map'!$A$4:$A$124,0)),"Other")</f>
        <v>LF</v>
      </c>
      <c r="E1650" s="57" t="n">
        <v>6</v>
      </c>
      <c r="F1650" s="57" t="n">
        <v>0</v>
      </c>
      <c r="G1650" s="58" t="n">
        <v>1541.54</v>
      </c>
      <c r="H1650" s="58" t="n">
        <v>0</v>
      </c>
      <c r="I1650" s="58" t="n">
        <v>1412.05</v>
      </c>
      <c r="J1650" s="32" t="n">
        <f aca="false">IF(E1650&gt;0,F1650/E1650,0)</f>
        <v>0</v>
      </c>
      <c r="K1650" s="32" t="n">
        <f aca="false">IF(G1650&gt;0,H1650/G1650,0)</f>
        <v>-0</v>
      </c>
      <c r="L1650" s="59" t="n">
        <f aca="false">H1650/Settings!$B$16</f>
        <v>-0</v>
      </c>
      <c r="M1650" s="59" t="n">
        <f aca="false">H1650/Settings!$B$20</f>
        <v>-0</v>
      </c>
      <c r="N1650" s="60" t="n">
        <f aca="false">E1650*Settings!$B$3</f>
        <v>0.185916906478923</v>
      </c>
      <c r="O1650" s="60" t="n">
        <f aca="false">IF(E1650&gt;0,(F1650-N1650)/SQRT(E1650*Settings!$B$3*(1-Settings!$B$3)),0)</f>
        <v>-0.43802051376936</v>
      </c>
      <c r="P1650" s="60" t="n">
        <f aca="false">MAX(0,F1650-N1650)</f>
        <v>0</v>
      </c>
      <c r="Q1650" s="32" t="n">
        <f aca="false">(F1650+Settings!$B$7*Settings!$B$3)/(E1650+Settings!$B$7)</f>
        <v>0.025821792566517</v>
      </c>
      <c r="R1650" s="61" t="n">
        <f aca="false">PERCENTRANK($H$2:$H$1780,H1650,6)</f>
        <v>0</v>
      </c>
      <c r="S1650" s="61" t="n">
        <f aca="false">PERCENTRANK($Q$2:$Q$1780,Q1650,6)</f>
        <v>0.189539</v>
      </c>
      <c r="T1650" s="61" t="n">
        <f aca="false">PERCENTRANK($F$2:$F$1780,F1650,6)</f>
        <v>0</v>
      </c>
      <c r="U1650" s="62" t="n">
        <f aca="false">IF(F1650&gt;0,(Settings!$B$8*T1650+Settings!$B$9*R1650+Settings!$B$10*S1650)/SUM(Settings!$B$8:$B$10),0)</f>
        <v>0</v>
      </c>
      <c r="V1650" s="56" t="str">
        <f aca="false">IF(U1650&gt;0,RANK(U1650,$U$2:$U$1780)+COUNTIF($U$2:U1650,U1650)-1,"")</f>
        <v/>
      </c>
      <c r="W1650" s="56" t="str">
        <f aca="false">IF(V1650="","",IF(V1650&lt;=Settings!$B$11,"1 - Fix first",IF(V1650&lt;=Settings!$B$12,"2 - Review","3 - Monitor")))</f>
        <v/>
      </c>
      <c r="X1650" s="56" t="str">
        <f aca="false">IF(AND(E1650&gt;=Settings!$B$4,F1650&gt;=Settings!$B$5,O1650&gt;=Settings!$B$6),"HIGH RATE","")</f>
        <v/>
      </c>
      <c r="Y1650" s="56" t="str">
        <f aca="false">IF(F1650&gt;0,RANK(F1650,$F$2:$F$1780)+COUNTIF($F$2:F1650,F1650)-1,"")</f>
        <v/>
      </c>
      <c r="Z1650" s="56" t="str">
        <f aca="false">IF(H1650&gt;0,RANK(H1650,$H$2:$H$1780)+COUNTIF($H$2:H1650,H1650)-1,"")</f>
        <v/>
      </c>
      <c r="AA1650" s="56" t="str">
        <f aca="false">IF(AC1650="","",RANK(AC1650,$AC$2:$AC$1780)+COUNTIF($AC$2:AC1650,AC1650)-1)</f>
        <v/>
      </c>
      <c r="AB1650" s="56" t="str">
        <f aca="false">IF(AD1650="","",RANK(AD1650,$AD$2:$AD$1780)+COUNTIF($AD$2:AD1650,AD1650)-1)</f>
        <v/>
      </c>
      <c r="AC1650" s="56" t="str">
        <f aca="false">IF(AND(F1650&gt;0,E1650&gt;=Settings!$B$4),J1650,"")</f>
        <v/>
      </c>
      <c r="AD1650" s="56" t="str">
        <f aca="false">IF(X1650="HIGH RATE",O1650,"")</f>
        <v/>
      </c>
    </row>
    <row r="1651" customFormat="false" ht="15" hidden="false" customHeight="false" outlineLevel="0" collapsed="false">
      <c r="A1651" s="56" t="s">
        <v>3138</v>
      </c>
      <c r="B1651" s="56" t="s">
        <v>3139</v>
      </c>
      <c r="C1651" s="56" t="s">
        <v>117</v>
      </c>
      <c r="D1651" s="56" t="str">
        <f aca="false">IFERROR(INDEX('Brand Map'!$B$4:$B$124,MATCH(C1651,'Brand Map'!$A$4:$A$124,0)),"Other")</f>
        <v>LF</v>
      </c>
      <c r="E1651" s="57" t="n">
        <v>35</v>
      </c>
      <c r="F1651" s="57" t="n">
        <v>0</v>
      </c>
      <c r="G1651" s="58" t="n">
        <v>6121.98</v>
      </c>
      <c r="H1651" s="58" t="n">
        <v>0</v>
      </c>
      <c r="I1651" s="58" t="n">
        <v>5986.79</v>
      </c>
      <c r="J1651" s="32" t="n">
        <f aca="false">IF(E1651&gt;0,F1651/E1651,0)</f>
        <v>0</v>
      </c>
      <c r="K1651" s="32" t="n">
        <f aca="false">IF(G1651&gt;0,H1651/G1651,0)</f>
        <v>-0</v>
      </c>
      <c r="L1651" s="59" t="n">
        <f aca="false">H1651/Settings!$B$16</f>
        <v>-0</v>
      </c>
      <c r="M1651" s="59" t="n">
        <f aca="false">H1651/Settings!$B$20</f>
        <v>-0</v>
      </c>
      <c r="N1651" s="60" t="n">
        <f aca="false">E1651*Settings!$B$3</f>
        <v>1.08451528779371</v>
      </c>
      <c r="O1651" s="60" t="n">
        <f aca="false">IF(E1651&gt;0,(F1651-N1651)/SQRT(E1651*Settings!$B$3*(1-Settings!$B$3)),0)</f>
        <v>-1.05792004793187</v>
      </c>
      <c r="P1651" s="60" t="n">
        <f aca="false">MAX(0,F1651-N1651)</f>
        <v>0</v>
      </c>
      <c r="Q1651" s="32" t="n">
        <f aca="false">(F1651+Settings!$B$7*Settings!$B$3)/(E1651+Settings!$B$7)</f>
        <v>0.0143013004983787</v>
      </c>
      <c r="R1651" s="61" t="n">
        <f aca="false">PERCENTRANK($H$2:$H$1780,H1651,6)</f>
        <v>0</v>
      </c>
      <c r="S1651" s="61" t="n">
        <f aca="false">PERCENTRANK($Q$2:$Q$1780,Q1651,6)</f>
        <v>0.0348706</v>
      </c>
      <c r="T1651" s="61" t="n">
        <f aca="false">PERCENTRANK($F$2:$F$1780,F1651,6)</f>
        <v>0</v>
      </c>
      <c r="U1651" s="62" t="n">
        <f aca="false">IF(F1651&gt;0,(Settings!$B$8*T1651+Settings!$B$9*R1651+Settings!$B$10*S1651)/SUM(Settings!$B$8:$B$10),0)</f>
        <v>0</v>
      </c>
      <c r="V1651" s="56" t="str">
        <f aca="false">IF(U1651&gt;0,RANK(U1651,$U$2:$U$1780)+COUNTIF($U$2:U1651,U1651)-1,"")</f>
        <v/>
      </c>
      <c r="W1651" s="56" t="str">
        <f aca="false">IF(V1651="","",IF(V1651&lt;=Settings!$B$11,"1 - Fix first",IF(V1651&lt;=Settings!$B$12,"2 - Review","3 - Monitor")))</f>
        <v/>
      </c>
      <c r="X1651" s="56" t="str">
        <f aca="false">IF(AND(E1651&gt;=Settings!$B$4,F1651&gt;=Settings!$B$5,O1651&gt;=Settings!$B$6),"HIGH RATE","")</f>
        <v/>
      </c>
      <c r="Y1651" s="56" t="str">
        <f aca="false">IF(F1651&gt;0,RANK(F1651,$F$2:$F$1780)+COUNTIF($F$2:F1651,F1651)-1,"")</f>
        <v/>
      </c>
      <c r="Z1651" s="56" t="str">
        <f aca="false">IF(H1651&gt;0,RANK(H1651,$H$2:$H$1780)+COUNTIF($H$2:H1651,H1651)-1,"")</f>
        <v/>
      </c>
      <c r="AA1651" s="56" t="str">
        <f aca="false">IF(AC1651="","",RANK(AC1651,$AC$2:$AC$1780)+COUNTIF($AC$2:AC1651,AC1651)-1)</f>
        <v/>
      </c>
      <c r="AB1651" s="56" t="str">
        <f aca="false">IF(AD1651="","",RANK(AD1651,$AD$2:$AD$1780)+COUNTIF($AD$2:AD1651,AD1651)-1)</f>
        <v/>
      </c>
      <c r="AC1651" s="56" t="str">
        <f aca="false">IF(AND(F1651&gt;0,E1651&gt;=Settings!$B$4),J1651,"")</f>
        <v/>
      </c>
      <c r="AD1651" s="56" t="str">
        <f aca="false">IF(X1651="HIGH RATE",O1651,"")</f>
        <v/>
      </c>
    </row>
    <row r="1652" customFormat="false" ht="15" hidden="false" customHeight="false" outlineLevel="0" collapsed="false">
      <c r="A1652" s="56" t="s">
        <v>3140</v>
      </c>
      <c r="B1652" s="56" t="s">
        <v>3139</v>
      </c>
      <c r="C1652" s="56" t="s">
        <v>117</v>
      </c>
      <c r="D1652" s="56" t="str">
        <f aca="false">IFERROR(INDEX('Brand Map'!$B$4:$B$124,MATCH(C1652,'Brand Map'!$A$4:$A$124,0)),"Other")</f>
        <v>LF</v>
      </c>
      <c r="E1652" s="57" t="n">
        <v>4</v>
      </c>
      <c r="F1652" s="57" t="n">
        <v>0</v>
      </c>
      <c r="G1652" s="58" t="n">
        <v>823.8</v>
      </c>
      <c r="H1652" s="58" t="n">
        <v>0</v>
      </c>
      <c r="I1652" s="58" t="n">
        <v>823.8</v>
      </c>
      <c r="J1652" s="32" t="n">
        <f aca="false">IF(E1652&gt;0,F1652/E1652,0)</f>
        <v>0</v>
      </c>
      <c r="K1652" s="32" t="n">
        <f aca="false">IF(G1652&gt;0,H1652/G1652,0)</f>
        <v>-0</v>
      </c>
      <c r="L1652" s="59" t="n">
        <f aca="false">H1652/Settings!$B$16</f>
        <v>-0</v>
      </c>
      <c r="M1652" s="59" t="n">
        <f aca="false">H1652/Settings!$B$20</f>
        <v>-0</v>
      </c>
      <c r="N1652" s="60" t="n">
        <f aca="false">E1652*Settings!$B$3</f>
        <v>0.123944604319282</v>
      </c>
      <c r="O1652" s="60" t="n">
        <f aca="false">IF(E1652&gt;0,(F1652-N1652)/SQRT(E1652*Settings!$B$3*(1-Settings!$B$3)),0)</f>
        <v>-0.357642251868888</v>
      </c>
      <c r="P1652" s="60" t="n">
        <f aca="false">MAX(0,F1652-N1652)</f>
        <v>0</v>
      </c>
      <c r="Q1652" s="32" t="n">
        <f aca="false">(F1652+Settings!$B$7*Settings!$B$3)/(E1652+Settings!$B$7)</f>
        <v>0.027340721541018</v>
      </c>
      <c r="R1652" s="61" t="n">
        <f aca="false">PERCENTRANK($H$2:$H$1780,H1652,6)</f>
        <v>0</v>
      </c>
      <c r="S1652" s="61" t="n">
        <f aca="false">PERCENTRANK($Q$2:$Q$1780,Q1652,6)</f>
        <v>0.253656</v>
      </c>
      <c r="T1652" s="61" t="n">
        <f aca="false">PERCENTRANK($F$2:$F$1780,F1652,6)</f>
        <v>0</v>
      </c>
      <c r="U1652" s="62" t="n">
        <f aca="false">IF(F1652&gt;0,(Settings!$B$8*T1652+Settings!$B$9*R1652+Settings!$B$10*S1652)/SUM(Settings!$B$8:$B$10),0)</f>
        <v>0</v>
      </c>
      <c r="V1652" s="56" t="str">
        <f aca="false">IF(U1652&gt;0,RANK(U1652,$U$2:$U$1780)+COUNTIF($U$2:U1652,U1652)-1,"")</f>
        <v/>
      </c>
      <c r="W1652" s="56" t="str">
        <f aca="false">IF(V1652="","",IF(V1652&lt;=Settings!$B$11,"1 - Fix first",IF(V1652&lt;=Settings!$B$12,"2 - Review","3 - Monitor")))</f>
        <v/>
      </c>
      <c r="X1652" s="56" t="str">
        <f aca="false">IF(AND(E1652&gt;=Settings!$B$4,F1652&gt;=Settings!$B$5,O1652&gt;=Settings!$B$6),"HIGH RATE","")</f>
        <v/>
      </c>
      <c r="Y1652" s="56" t="str">
        <f aca="false">IF(F1652&gt;0,RANK(F1652,$F$2:$F$1780)+COUNTIF($F$2:F1652,F1652)-1,"")</f>
        <v/>
      </c>
      <c r="Z1652" s="56" t="str">
        <f aca="false">IF(H1652&gt;0,RANK(H1652,$H$2:$H$1780)+COUNTIF($H$2:H1652,H1652)-1,"")</f>
        <v/>
      </c>
      <c r="AA1652" s="56" t="str">
        <f aca="false">IF(AC1652="","",RANK(AC1652,$AC$2:$AC$1780)+COUNTIF($AC$2:AC1652,AC1652)-1)</f>
        <v/>
      </c>
      <c r="AB1652" s="56" t="str">
        <f aca="false">IF(AD1652="","",RANK(AD1652,$AD$2:$AD$1780)+COUNTIF($AD$2:AD1652,AD1652)-1)</f>
        <v/>
      </c>
      <c r="AC1652" s="56" t="str">
        <f aca="false">IF(AND(F1652&gt;0,E1652&gt;=Settings!$B$4),J1652,"")</f>
        <v/>
      </c>
      <c r="AD1652" s="56" t="str">
        <f aca="false">IF(X1652="HIGH RATE",O1652,"")</f>
        <v/>
      </c>
    </row>
    <row r="1653" customFormat="false" ht="15" hidden="false" customHeight="false" outlineLevel="0" collapsed="false">
      <c r="A1653" s="56" t="s">
        <v>3141</v>
      </c>
      <c r="B1653" s="56" t="s">
        <v>3139</v>
      </c>
      <c r="C1653" s="56" t="s">
        <v>117</v>
      </c>
      <c r="D1653" s="56" t="str">
        <f aca="false">IFERROR(INDEX('Brand Map'!$B$4:$B$124,MATCH(C1653,'Brand Map'!$A$4:$A$124,0)),"Other")</f>
        <v>LF</v>
      </c>
      <c r="E1653" s="57" t="n">
        <v>1</v>
      </c>
      <c r="F1653" s="57" t="n">
        <v>0</v>
      </c>
      <c r="G1653" s="58" t="n">
        <v>252.95</v>
      </c>
      <c r="H1653" s="58" t="n">
        <v>0</v>
      </c>
      <c r="I1653" s="58" t="n">
        <v>252.95</v>
      </c>
      <c r="J1653" s="32" t="n">
        <f aca="false">IF(E1653&gt;0,F1653/E1653,0)</f>
        <v>0</v>
      </c>
      <c r="K1653" s="32" t="n">
        <f aca="false">IF(G1653&gt;0,H1653/G1653,0)</f>
        <v>-0</v>
      </c>
      <c r="L1653" s="59" t="n">
        <f aca="false">H1653/Settings!$B$16</f>
        <v>-0</v>
      </c>
      <c r="M1653" s="59" t="n">
        <f aca="false">H1653/Settings!$B$20</f>
        <v>-0</v>
      </c>
      <c r="N1653" s="60" t="n">
        <f aca="false">E1653*Settings!$B$3</f>
        <v>0.0309861510798204</v>
      </c>
      <c r="O1653" s="60" t="n">
        <f aca="false">IF(E1653&gt;0,(F1653-N1653)/SQRT(E1653*Settings!$B$3*(1-Settings!$B$3)),0)</f>
        <v>-0.178821125934444</v>
      </c>
      <c r="P1653" s="60" t="n">
        <f aca="false">MAX(0,F1653-N1653)</f>
        <v>0</v>
      </c>
      <c r="Q1653" s="32" t="n">
        <f aca="false">(F1653+Settings!$B$7*Settings!$B$3)/(E1653+Settings!$B$7)</f>
        <v>0.0299865978191811</v>
      </c>
      <c r="R1653" s="61" t="n">
        <f aca="false">PERCENTRANK($H$2:$H$1780,H1653,6)</f>
        <v>0</v>
      </c>
      <c r="S1653" s="61" t="n">
        <f aca="false">PERCENTRANK($Q$2:$Q$1780,Q1653,6)</f>
        <v>0.486502</v>
      </c>
      <c r="T1653" s="61" t="n">
        <f aca="false">PERCENTRANK($F$2:$F$1780,F1653,6)</f>
        <v>0</v>
      </c>
      <c r="U1653" s="62" t="n">
        <f aca="false">IF(F1653&gt;0,(Settings!$B$8*T1653+Settings!$B$9*R1653+Settings!$B$10*S1653)/SUM(Settings!$B$8:$B$10),0)</f>
        <v>0</v>
      </c>
      <c r="V1653" s="56" t="str">
        <f aca="false">IF(U1653&gt;0,RANK(U1653,$U$2:$U$1780)+COUNTIF($U$2:U1653,U1653)-1,"")</f>
        <v/>
      </c>
      <c r="W1653" s="56" t="str">
        <f aca="false">IF(V1653="","",IF(V1653&lt;=Settings!$B$11,"1 - Fix first",IF(V1653&lt;=Settings!$B$12,"2 - Review","3 - Monitor")))</f>
        <v/>
      </c>
      <c r="X1653" s="56" t="str">
        <f aca="false">IF(AND(E1653&gt;=Settings!$B$4,F1653&gt;=Settings!$B$5,O1653&gt;=Settings!$B$6),"HIGH RATE","")</f>
        <v/>
      </c>
      <c r="Y1653" s="56" t="str">
        <f aca="false">IF(F1653&gt;0,RANK(F1653,$F$2:$F$1780)+COUNTIF($F$2:F1653,F1653)-1,"")</f>
        <v/>
      </c>
      <c r="Z1653" s="56" t="str">
        <f aca="false">IF(H1653&gt;0,RANK(H1653,$H$2:$H$1780)+COUNTIF($H$2:H1653,H1653)-1,"")</f>
        <v/>
      </c>
      <c r="AA1653" s="56" t="str">
        <f aca="false">IF(AC1653="","",RANK(AC1653,$AC$2:$AC$1780)+COUNTIF($AC$2:AC1653,AC1653)-1)</f>
        <v/>
      </c>
      <c r="AB1653" s="56" t="str">
        <f aca="false">IF(AD1653="","",RANK(AD1653,$AD$2:$AD$1780)+COUNTIF($AD$2:AD1653,AD1653)-1)</f>
        <v/>
      </c>
      <c r="AC1653" s="56" t="str">
        <f aca="false">IF(AND(F1653&gt;0,E1653&gt;=Settings!$B$4),J1653,"")</f>
        <v/>
      </c>
      <c r="AD1653" s="56" t="str">
        <f aca="false">IF(X1653="HIGH RATE",O1653,"")</f>
        <v/>
      </c>
    </row>
    <row r="1654" customFormat="false" ht="15" hidden="false" customHeight="false" outlineLevel="0" collapsed="false">
      <c r="A1654" s="56" t="s">
        <v>3142</v>
      </c>
      <c r="B1654" s="56" t="s">
        <v>3143</v>
      </c>
      <c r="C1654" s="56" t="s">
        <v>731</v>
      </c>
      <c r="D1654" s="56" t="str">
        <f aca="false">IFERROR(INDEX('Brand Map'!$B$4:$B$124,MATCH(C1654,'Brand Map'!$A$4:$A$124,0)),"Other")</f>
        <v>Other (small prefixes)</v>
      </c>
      <c r="E1654" s="57" t="n">
        <v>1</v>
      </c>
      <c r="F1654" s="57" t="n">
        <v>0</v>
      </c>
      <c r="G1654" s="58" t="n">
        <v>54.95</v>
      </c>
      <c r="H1654" s="58" t="n">
        <v>0</v>
      </c>
      <c r="I1654" s="58" t="n">
        <v>54.95</v>
      </c>
      <c r="J1654" s="32" t="n">
        <f aca="false">IF(E1654&gt;0,F1654/E1654,0)</f>
        <v>0</v>
      </c>
      <c r="K1654" s="32" t="n">
        <f aca="false">IF(G1654&gt;0,H1654/G1654,0)</f>
        <v>-0</v>
      </c>
      <c r="L1654" s="59" t="n">
        <f aca="false">H1654/Settings!$B$16</f>
        <v>-0</v>
      </c>
      <c r="M1654" s="59" t="n">
        <f aca="false">H1654/Settings!$B$20</f>
        <v>-0</v>
      </c>
      <c r="N1654" s="60" t="n">
        <f aca="false">E1654*Settings!$B$3</f>
        <v>0.0309861510798204</v>
      </c>
      <c r="O1654" s="60" t="n">
        <f aca="false">IF(E1654&gt;0,(F1654-N1654)/SQRT(E1654*Settings!$B$3*(1-Settings!$B$3)),0)</f>
        <v>-0.178821125934444</v>
      </c>
      <c r="P1654" s="60" t="n">
        <f aca="false">MAX(0,F1654-N1654)</f>
        <v>0</v>
      </c>
      <c r="Q1654" s="32" t="n">
        <f aca="false">(F1654+Settings!$B$7*Settings!$B$3)/(E1654+Settings!$B$7)</f>
        <v>0.0299865978191811</v>
      </c>
      <c r="R1654" s="61" t="n">
        <f aca="false">PERCENTRANK($H$2:$H$1780,H1654,6)</f>
        <v>0</v>
      </c>
      <c r="S1654" s="61" t="n">
        <f aca="false">PERCENTRANK($Q$2:$Q$1780,Q1654,6)</f>
        <v>0.486502</v>
      </c>
      <c r="T1654" s="61" t="n">
        <f aca="false">PERCENTRANK($F$2:$F$1780,F1654,6)</f>
        <v>0</v>
      </c>
      <c r="U1654" s="62" t="n">
        <f aca="false">IF(F1654&gt;0,(Settings!$B$8*T1654+Settings!$B$9*R1654+Settings!$B$10*S1654)/SUM(Settings!$B$8:$B$10),0)</f>
        <v>0</v>
      </c>
      <c r="V1654" s="56" t="str">
        <f aca="false">IF(U1654&gt;0,RANK(U1654,$U$2:$U$1780)+COUNTIF($U$2:U1654,U1654)-1,"")</f>
        <v/>
      </c>
      <c r="W1654" s="56" t="str">
        <f aca="false">IF(V1654="","",IF(V1654&lt;=Settings!$B$11,"1 - Fix first",IF(V1654&lt;=Settings!$B$12,"2 - Review","3 - Monitor")))</f>
        <v/>
      </c>
      <c r="X1654" s="56" t="str">
        <f aca="false">IF(AND(E1654&gt;=Settings!$B$4,F1654&gt;=Settings!$B$5,O1654&gt;=Settings!$B$6),"HIGH RATE","")</f>
        <v/>
      </c>
      <c r="Y1654" s="56" t="str">
        <f aca="false">IF(F1654&gt;0,RANK(F1654,$F$2:$F$1780)+COUNTIF($F$2:F1654,F1654)-1,"")</f>
        <v/>
      </c>
      <c r="Z1654" s="56" t="str">
        <f aca="false">IF(H1654&gt;0,RANK(H1654,$H$2:$H$1780)+COUNTIF($H$2:H1654,H1654)-1,"")</f>
        <v/>
      </c>
      <c r="AA1654" s="56" t="str">
        <f aca="false">IF(AC1654="","",RANK(AC1654,$AC$2:$AC$1780)+COUNTIF($AC$2:AC1654,AC1654)-1)</f>
        <v/>
      </c>
      <c r="AB1654" s="56" t="str">
        <f aca="false">IF(AD1654="","",RANK(AD1654,$AD$2:$AD$1780)+COUNTIF($AD$2:AD1654,AD1654)-1)</f>
        <v/>
      </c>
      <c r="AC1654" s="56" t="str">
        <f aca="false">IF(AND(F1654&gt;0,E1654&gt;=Settings!$B$4),J1654,"")</f>
        <v/>
      </c>
      <c r="AD1654" s="56" t="str">
        <f aca="false">IF(X1654="HIGH RATE",O1654,"")</f>
        <v/>
      </c>
    </row>
    <row r="1655" customFormat="false" ht="15" hidden="false" customHeight="false" outlineLevel="0" collapsed="false">
      <c r="A1655" s="56" t="s">
        <v>732</v>
      </c>
      <c r="B1655" s="56" t="s">
        <v>733</v>
      </c>
      <c r="C1655" s="56" t="s">
        <v>731</v>
      </c>
      <c r="D1655" s="56" t="str">
        <f aca="false">IFERROR(INDEX('Brand Map'!$B$4:$B$124,MATCH(C1655,'Brand Map'!$A$4:$A$124,0)),"Other")</f>
        <v>Other (small prefixes)</v>
      </c>
      <c r="E1655" s="57" t="n">
        <v>6</v>
      </c>
      <c r="F1655" s="57" t="n">
        <v>0</v>
      </c>
      <c r="G1655" s="58" t="n">
        <v>872.44</v>
      </c>
      <c r="H1655" s="58" t="n">
        <v>0</v>
      </c>
      <c r="I1655" s="58" t="n">
        <v>872.44</v>
      </c>
      <c r="J1655" s="32" t="n">
        <f aca="false">IF(E1655&gt;0,F1655/E1655,0)</f>
        <v>0</v>
      </c>
      <c r="K1655" s="32" t="n">
        <f aca="false">IF(G1655&gt;0,H1655/G1655,0)</f>
        <v>-0</v>
      </c>
      <c r="L1655" s="59" t="n">
        <f aca="false">H1655/Settings!$B$16</f>
        <v>-0</v>
      </c>
      <c r="M1655" s="59" t="n">
        <f aca="false">H1655/Settings!$B$20</f>
        <v>-0</v>
      </c>
      <c r="N1655" s="60" t="n">
        <f aca="false">E1655*Settings!$B$3</f>
        <v>0.185916906478923</v>
      </c>
      <c r="O1655" s="60" t="n">
        <f aca="false">IF(E1655&gt;0,(F1655-N1655)/SQRT(E1655*Settings!$B$3*(1-Settings!$B$3)),0)</f>
        <v>-0.43802051376936</v>
      </c>
      <c r="P1655" s="60" t="n">
        <f aca="false">MAX(0,F1655-N1655)</f>
        <v>0</v>
      </c>
      <c r="Q1655" s="32" t="n">
        <f aca="false">(F1655+Settings!$B$7*Settings!$B$3)/(E1655+Settings!$B$7)</f>
        <v>0.025821792566517</v>
      </c>
      <c r="R1655" s="61" t="n">
        <f aca="false">PERCENTRANK($H$2:$H$1780,H1655,6)</f>
        <v>0</v>
      </c>
      <c r="S1655" s="61" t="n">
        <f aca="false">PERCENTRANK($Q$2:$Q$1780,Q1655,6)</f>
        <v>0.189539</v>
      </c>
      <c r="T1655" s="61" t="n">
        <f aca="false">PERCENTRANK($F$2:$F$1780,F1655,6)</f>
        <v>0</v>
      </c>
      <c r="U1655" s="62" t="n">
        <f aca="false">IF(F1655&gt;0,(Settings!$B$8*T1655+Settings!$B$9*R1655+Settings!$B$10*S1655)/SUM(Settings!$B$8:$B$10),0)</f>
        <v>0</v>
      </c>
      <c r="V1655" s="56" t="str">
        <f aca="false">IF(U1655&gt;0,RANK(U1655,$U$2:$U$1780)+COUNTIF($U$2:U1655,U1655)-1,"")</f>
        <v/>
      </c>
      <c r="W1655" s="56" t="str">
        <f aca="false">IF(V1655="","",IF(V1655&lt;=Settings!$B$11,"1 - Fix first",IF(V1655&lt;=Settings!$B$12,"2 - Review","3 - Monitor")))</f>
        <v/>
      </c>
      <c r="X1655" s="56" t="str">
        <f aca="false">IF(AND(E1655&gt;=Settings!$B$4,F1655&gt;=Settings!$B$5,O1655&gt;=Settings!$B$6),"HIGH RATE","")</f>
        <v/>
      </c>
      <c r="Y1655" s="56" t="str">
        <f aca="false">IF(F1655&gt;0,RANK(F1655,$F$2:$F$1780)+COUNTIF($F$2:F1655,F1655)-1,"")</f>
        <v/>
      </c>
      <c r="Z1655" s="56" t="str">
        <f aca="false">IF(H1655&gt;0,RANK(H1655,$H$2:$H$1780)+COUNTIF($H$2:H1655,H1655)-1,"")</f>
        <v/>
      </c>
      <c r="AA1655" s="56" t="str">
        <f aca="false">IF(AC1655="","",RANK(AC1655,$AC$2:$AC$1780)+COUNTIF($AC$2:AC1655,AC1655)-1)</f>
        <v/>
      </c>
      <c r="AB1655" s="56" t="str">
        <f aca="false">IF(AD1655="","",RANK(AD1655,$AD$2:$AD$1780)+COUNTIF($AD$2:AD1655,AD1655)-1)</f>
        <v/>
      </c>
      <c r="AC1655" s="56" t="str">
        <f aca="false">IF(AND(F1655&gt;0,E1655&gt;=Settings!$B$4),J1655,"")</f>
        <v/>
      </c>
      <c r="AD1655" s="56" t="str">
        <f aca="false">IF(X1655="HIGH RATE",O1655,"")</f>
        <v/>
      </c>
    </row>
    <row r="1656" customFormat="false" ht="15" hidden="false" customHeight="false" outlineLevel="0" collapsed="false">
      <c r="A1656" s="56" t="s">
        <v>663</v>
      </c>
      <c r="B1656" s="56" t="s">
        <v>664</v>
      </c>
      <c r="C1656" s="56" t="s">
        <v>662</v>
      </c>
      <c r="D1656" s="56" t="str">
        <f aca="false">IFERROR(INDEX('Brand Map'!$B$4:$B$124,MATCH(C1656,'Brand Map'!$A$4:$A$124,0)),"Other")</f>
        <v>Other (small prefixes)</v>
      </c>
      <c r="E1656" s="57" t="n">
        <v>58</v>
      </c>
      <c r="F1656" s="57" t="n">
        <v>0</v>
      </c>
      <c r="G1656" s="58" t="n">
        <v>4684.42</v>
      </c>
      <c r="H1656" s="58" t="n">
        <v>0</v>
      </c>
      <c r="I1656" s="58" t="n">
        <v>4615.39</v>
      </c>
      <c r="J1656" s="32" t="n">
        <f aca="false">IF(E1656&gt;0,F1656/E1656,0)</f>
        <v>0</v>
      </c>
      <c r="K1656" s="32" t="n">
        <f aca="false">IF(G1656&gt;0,H1656/G1656,0)</f>
        <v>-0</v>
      </c>
      <c r="L1656" s="59" t="n">
        <f aca="false">H1656/Settings!$B$16</f>
        <v>-0</v>
      </c>
      <c r="M1656" s="59" t="n">
        <f aca="false">H1656/Settings!$B$20</f>
        <v>-0</v>
      </c>
      <c r="N1656" s="60" t="n">
        <f aca="false">E1656*Settings!$B$3</f>
        <v>1.79719676262958</v>
      </c>
      <c r="O1656" s="60" t="n">
        <f aca="false">IF(E1656&gt;0,(F1656-N1656)/SQRT(E1656*Settings!$B$3*(1-Settings!$B$3)),0)</f>
        <v>-1.36186112165184</v>
      </c>
      <c r="P1656" s="60" t="n">
        <f aca="false">MAX(0,F1656-N1656)</f>
        <v>0</v>
      </c>
      <c r="Q1656" s="32" t="n">
        <f aca="false">(F1656+Settings!$B$7*Settings!$B$3)/(E1656+Settings!$B$7)</f>
        <v>0.0105634605953933</v>
      </c>
      <c r="R1656" s="61" t="n">
        <f aca="false">PERCENTRANK($H$2:$H$1780,H1656,6)</f>
        <v>0</v>
      </c>
      <c r="S1656" s="61" t="n">
        <f aca="false">PERCENTRANK($Q$2:$Q$1780,Q1656,6)</f>
        <v>0.0174353</v>
      </c>
      <c r="T1656" s="61" t="n">
        <f aca="false">PERCENTRANK($F$2:$F$1780,F1656,6)</f>
        <v>0</v>
      </c>
      <c r="U1656" s="62" t="n">
        <f aca="false">IF(F1656&gt;0,(Settings!$B$8*T1656+Settings!$B$9*R1656+Settings!$B$10*S1656)/SUM(Settings!$B$8:$B$10),0)</f>
        <v>0</v>
      </c>
      <c r="V1656" s="56" t="str">
        <f aca="false">IF(U1656&gt;0,RANK(U1656,$U$2:$U$1780)+COUNTIF($U$2:U1656,U1656)-1,"")</f>
        <v/>
      </c>
      <c r="W1656" s="56" t="str">
        <f aca="false">IF(V1656="","",IF(V1656&lt;=Settings!$B$11,"1 - Fix first",IF(V1656&lt;=Settings!$B$12,"2 - Review","3 - Monitor")))</f>
        <v/>
      </c>
      <c r="X1656" s="56" t="str">
        <f aca="false">IF(AND(E1656&gt;=Settings!$B$4,F1656&gt;=Settings!$B$5,O1656&gt;=Settings!$B$6),"HIGH RATE","")</f>
        <v/>
      </c>
      <c r="Y1656" s="56" t="str">
        <f aca="false">IF(F1656&gt;0,RANK(F1656,$F$2:$F$1780)+COUNTIF($F$2:F1656,F1656)-1,"")</f>
        <v/>
      </c>
      <c r="Z1656" s="56" t="str">
        <f aca="false">IF(H1656&gt;0,RANK(H1656,$H$2:$H$1780)+COUNTIF($H$2:H1656,H1656)-1,"")</f>
        <v/>
      </c>
      <c r="AA1656" s="56" t="str">
        <f aca="false">IF(AC1656="","",RANK(AC1656,$AC$2:$AC$1780)+COUNTIF($AC$2:AC1656,AC1656)-1)</f>
        <v/>
      </c>
      <c r="AB1656" s="56" t="str">
        <f aca="false">IF(AD1656="","",RANK(AD1656,$AD$2:$AD$1780)+COUNTIF($AD$2:AD1656,AD1656)-1)</f>
        <v/>
      </c>
      <c r="AC1656" s="56" t="str">
        <f aca="false">IF(AND(F1656&gt;0,E1656&gt;=Settings!$B$4),J1656,"")</f>
        <v/>
      </c>
      <c r="AD1656" s="56" t="str">
        <f aca="false">IF(X1656="HIGH RATE",O1656,"")</f>
        <v/>
      </c>
    </row>
    <row r="1657" customFormat="false" ht="15" hidden="false" customHeight="false" outlineLevel="0" collapsed="false">
      <c r="A1657" s="56" t="s">
        <v>3144</v>
      </c>
      <c r="B1657" s="56" t="s">
        <v>3145</v>
      </c>
      <c r="C1657" s="56" t="s">
        <v>662</v>
      </c>
      <c r="D1657" s="56" t="str">
        <f aca="false">IFERROR(INDEX('Brand Map'!$B$4:$B$124,MATCH(C1657,'Brand Map'!$A$4:$A$124,0)),"Other")</f>
        <v>Other (small prefixes)</v>
      </c>
      <c r="E1657" s="57" t="n">
        <v>23</v>
      </c>
      <c r="F1657" s="57" t="n">
        <v>0</v>
      </c>
      <c r="G1657" s="58" t="n">
        <v>2745.46</v>
      </c>
      <c r="H1657" s="58" t="n">
        <v>0</v>
      </c>
      <c r="I1657" s="58" t="n">
        <v>2640.08</v>
      </c>
      <c r="J1657" s="32" t="n">
        <f aca="false">IF(E1657&gt;0,F1657/E1657,0)</f>
        <v>0</v>
      </c>
      <c r="K1657" s="32" t="n">
        <f aca="false">IF(G1657&gt;0,H1657/G1657,0)</f>
        <v>-0</v>
      </c>
      <c r="L1657" s="59" t="n">
        <f aca="false">H1657/Settings!$B$16</f>
        <v>-0</v>
      </c>
      <c r="M1657" s="59" t="n">
        <f aca="false">H1657/Settings!$B$20</f>
        <v>-0</v>
      </c>
      <c r="N1657" s="60" t="n">
        <f aca="false">E1657*Settings!$B$3</f>
        <v>0.71268147483587</v>
      </c>
      <c r="O1657" s="60" t="n">
        <f aca="false">IF(E1657&gt;0,(F1657-N1657)/SQRT(E1657*Settings!$B$3*(1-Settings!$B$3)),0)</f>
        <v>-0.85759599279068</v>
      </c>
      <c r="P1657" s="60" t="n">
        <f aca="false">MAX(0,F1657-N1657)</f>
        <v>0</v>
      </c>
      <c r="Q1657" s="32" t="n">
        <f aca="false">(F1657+Settings!$B$7*Settings!$B$3)/(E1657+Settings!$B$7)</f>
        <v>0.0175393307998984</v>
      </c>
      <c r="R1657" s="61" t="n">
        <f aca="false">PERCENTRANK($H$2:$H$1780,H1657,6)</f>
        <v>0</v>
      </c>
      <c r="S1657" s="61" t="n">
        <f aca="false">PERCENTRANK($Q$2:$Q$1780,Q1657,6)</f>
        <v>0.0579303</v>
      </c>
      <c r="T1657" s="61" t="n">
        <f aca="false">PERCENTRANK($F$2:$F$1780,F1657,6)</f>
        <v>0</v>
      </c>
      <c r="U1657" s="62" t="n">
        <f aca="false">IF(F1657&gt;0,(Settings!$B$8*T1657+Settings!$B$9*R1657+Settings!$B$10*S1657)/SUM(Settings!$B$8:$B$10),0)</f>
        <v>0</v>
      </c>
      <c r="V1657" s="56" t="str">
        <f aca="false">IF(U1657&gt;0,RANK(U1657,$U$2:$U$1780)+COUNTIF($U$2:U1657,U1657)-1,"")</f>
        <v/>
      </c>
      <c r="W1657" s="56" t="str">
        <f aca="false">IF(V1657="","",IF(V1657&lt;=Settings!$B$11,"1 - Fix first",IF(V1657&lt;=Settings!$B$12,"2 - Review","3 - Monitor")))</f>
        <v/>
      </c>
      <c r="X1657" s="56" t="str">
        <f aca="false">IF(AND(E1657&gt;=Settings!$B$4,F1657&gt;=Settings!$B$5,O1657&gt;=Settings!$B$6),"HIGH RATE","")</f>
        <v/>
      </c>
      <c r="Y1657" s="56" t="str">
        <f aca="false">IF(F1657&gt;0,RANK(F1657,$F$2:$F$1780)+COUNTIF($F$2:F1657,F1657)-1,"")</f>
        <v/>
      </c>
      <c r="Z1657" s="56" t="str">
        <f aca="false">IF(H1657&gt;0,RANK(H1657,$H$2:$H$1780)+COUNTIF($H$2:H1657,H1657)-1,"")</f>
        <v/>
      </c>
      <c r="AA1657" s="56" t="str">
        <f aca="false">IF(AC1657="","",RANK(AC1657,$AC$2:$AC$1780)+COUNTIF($AC$2:AC1657,AC1657)-1)</f>
        <v/>
      </c>
      <c r="AB1657" s="56" t="str">
        <f aca="false">IF(AD1657="","",RANK(AD1657,$AD$2:$AD$1780)+COUNTIF($AD$2:AD1657,AD1657)-1)</f>
        <v/>
      </c>
      <c r="AC1657" s="56" t="str">
        <f aca="false">IF(AND(F1657&gt;0,E1657&gt;=Settings!$B$4),J1657,"")</f>
        <v/>
      </c>
      <c r="AD1657" s="56" t="str">
        <f aca="false">IF(X1657="HIGH RATE",O1657,"")</f>
        <v/>
      </c>
    </row>
    <row r="1658" customFormat="false" ht="15" hidden="false" customHeight="false" outlineLevel="0" collapsed="false">
      <c r="A1658" s="56" t="s">
        <v>609</v>
      </c>
      <c r="B1658" s="56" t="s">
        <v>610</v>
      </c>
      <c r="C1658" s="56" t="s">
        <v>608</v>
      </c>
      <c r="D1658" s="56" t="str">
        <f aca="false">IFERROR(INDEX('Brand Map'!$B$4:$B$124,MATCH(C1658,'Brand Map'!$A$4:$A$124,0)),"Other")</f>
        <v>Other (small prefixes)</v>
      </c>
      <c r="E1658" s="57" t="n">
        <v>101</v>
      </c>
      <c r="F1658" s="57" t="n">
        <v>0</v>
      </c>
      <c r="G1658" s="58" t="n">
        <v>8267.52</v>
      </c>
      <c r="H1658" s="58" t="n">
        <v>0</v>
      </c>
      <c r="I1658" s="58" t="n">
        <v>8267.52</v>
      </c>
      <c r="J1658" s="32" t="n">
        <f aca="false">IF(E1658&gt;0,F1658/E1658,0)</f>
        <v>0</v>
      </c>
      <c r="K1658" s="32" t="n">
        <f aca="false">IF(G1658&gt;0,H1658/G1658,0)</f>
        <v>-0</v>
      </c>
      <c r="L1658" s="59" t="n">
        <f aca="false">H1658/Settings!$B$16</f>
        <v>-0</v>
      </c>
      <c r="M1658" s="59" t="n">
        <f aca="false">H1658/Settings!$B$20</f>
        <v>-0</v>
      </c>
      <c r="N1658" s="60" t="n">
        <f aca="false">E1658*Settings!$B$3</f>
        <v>3.12960125906186</v>
      </c>
      <c r="O1658" s="60" t="n">
        <f aca="false">IF(E1658&gt;0,(F1658-N1658)/SQRT(E1658*Settings!$B$3*(1-Settings!$B$3)),0)</f>
        <v>-1.79713007406996</v>
      </c>
      <c r="P1658" s="60" t="n">
        <f aca="false">MAX(0,F1658-N1658)</f>
        <v>0</v>
      </c>
      <c r="Q1658" s="32" t="n">
        <f aca="false">(F1658+Settings!$B$7*Settings!$B$3)/(E1658+Settings!$B$7)</f>
        <v>0.0070960651327833</v>
      </c>
      <c r="R1658" s="61" t="n">
        <f aca="false">PERCENTRANK($H$2:$H$1780,H1658,6)</f>
        <v>0</v>
      </c>
      <c r="S1658" s="61" t="n">
        <f aca="false">PERCENTRANK($Q$2:$Q$1780,Q1658,6)</f>
        <v>0.00843645</v>
      </c>
      <c r="T1658" s="61" t="n">
        <f aca="false">PERCENTRANK($F$2:$F$1780,F1658,6)</f>
        <v>0</v>
      </c>
      <c r="U1658" s="62" t="n">
        <f aca="false">IF(F1658&gt;0,(Settings!$B$8*T1658+Settings!$B$9*R1658+Settings!$B$10*S1658)/SUM(Settings!$B$8:$B$10),0)</f>
        <v>0</v>
      </c>
      <c r="V1658" s="56" t="str">
        <f aca="false">IF(U1658&gt;0,RANK(U1658,$U$2:$U$1780)+COUNTIF($U$2:U1658,U1658)-1,"")</f>
        <v/>
      </c>
      <c r="W1658" s="56" t="str">
        <f aca="false">IF(V1658="","",IF(V1658&lt;=Settings!$B$11,"1 - Fix first",IF(V1658&lt;=Settings!$B$12,"2 - Review","3 - Monitor")))</f>
        <v/>
      </c>
      <c r="X1658" s="56" t="str">
        <f aca="false">IF(AND(E1658&gt;=Settings!$B$4,F1658&gt;=Settings!$B$5,O1658&gt;=Settings!$B$6),"HIGH RATE","")</f>
        <v/>
      </c>
      <c r="Y1658" s="56" t="str">
        <f aca="false">IF(F1658&gt;0,RANK(F1658,$F$2:$F$1780)+COUNTIF($F$2:F1658,F1658)-1,"")</f>
        <v/>
      </c>
      <c r="Z1658" s="56" t="str">
        <f aca="false">IF(H1658&gt;0,RANK(H1658,$H$2:$H$1780)+COUNTIF($H$2:H1658,H1658)-1,"")</f>
        <v/>
      </c>
      <c r="AA1658" s="56" t="str">
        <f aca="false">IF(AC1658="","",RANK(AC1658,$AC$2:$AC$1780)+COUNTIF($AC$2:AC1658,AC1658)-1)</f>
        <v/>
      </c>
      <c r="AB1658" s="56" t="str">
        <f aca="false">IF(AD1658="","",RANK(AD1658,$AD$2:$AD$1780)+COUNTIF($AD$2:AD1658,AD1658)-1)</f>
        <v/>
      </c>
      <c r="AC1658" s="56" t="str">
        <f aca="false">IF(AND(F1658&gt;0,E1658&gt;=Settings!$B$4),J1658,"")</f>
        <v/>
      </c>
      <c r="AD1658" s="56" t="str">
        <f aca="false">IF(X1658="HIGH RATE",O1658,"")</f>
        <v/>
      </c>
    </row>
    <row r="1659" customFormat="false" ht="15" hidden="false" customHeight="false" outlineLevel="0" collapsed="false">
      <c r="A1659" s="56" t="s">
        <v>3146</v>
      </c>
      <c r="B1659" s="56" t="s">
        <v>3147</v>
      </c>
      <c r="C1659" s="56" t="s">
        <v>608</v>
      </c>
      <c r="D1659" s="56" t="str">
        <f aca="false">IFERROR(INDEX('Brand Map'!$B$4:$B$124,MATCH(C1659,'Brand Map'!$A$4:$A$124,0)),"Other")</f>
        <v>Other (small prefixes)</v>
      </c>
      <c r="E1659" s="57" t="n">
        <v>46</v>
      </c>
      <c r="F1659" s="57" t="n">
        <v>0</v>
      </c>
      <c r="G1659" s="58" t="n">
        <v>4399.11</v>
      </c>
      <c r="H1659" s="58" t="n">
        <v>0</v>
      </c>
      <c r="I1659" s="58" t="n">
        <v>4383.3</v>
      </c>
      <c r="J1659" s="32" t="n">
        <f aca="false">IF(E1659&gt;0,F1659/E1659,0)</f>
        <v>0</v>
      </c>
      <c r="K1659" s="32" t="n">
        <f aca="false">IF(G1659&gt;0,H1659/G1659,0)</f>
        <v>-0</v>
      </c>
      <c r="L1659" s="59" t="n">
        <f aca="false">H1659/Settings!$B$16</f>
        <v>-0</v>
      </c>
      <c r="M1659" s="59" t="n">
        <f aca="false">H1659/Settings!$B$20</f>
        <v>-0</v>
      </c>
      <c r="N1659" s="60" t="n">
        <f aca="false">E1659*Settings!$B$3</f>
        <v>1.42536294967174</v>
      </c>
      <c r="O1659" s="60" t="n">
        <f aca="false">IF(E1659&gt;0,(F1659-N1659)/SQRT(E1659*Settings!$B$3*(1-Settings!$B$3)),0)</f>
        <v>-1.2128238840414</v>
      </c>
      <c r="P1659" s="60" t="n">
        <f aca="false">MAX(0,F1659-N1659)</f>
        <v>0</v>
      </c>
      <c r="Q1659" s="32" t="n">
        <f aca="false">(F1659+Settings!$B$7*Settings!$B$3)/(E1659+Settings!$B$7)</f>
        <v>0.0122313754262449</v>
      </c>
      <c r="R1659" s="61" t="n">
        <f aca="false">PERCENTRANK($H$2:$H$1780,H1659,6)</f>
        <v>0</v>
      </c>
      <c r="S1659" s="61" t="n">
        <f aca="false">PERCENTRANK($Q$2:$Q$1780,Q1659,6)</f>
        <v>0.0219348</v>
      </c>
      <c r="T1659" s="61" t="n">
        <f aca="false">PERCENTRANK($F$2:$F$1780,F1659,6)</f>
        <v>0</v>
      </c>
      <c r="U1659" s="62" t="n">
        <f aca="false">IF(F1659&gt;0,(Settings!$B$8*T1659+Settings!$B$9*R1659+Settings!$B$10*S1659)/SUM(Settings!$B$8:$B$10),0)</f>
        <v>0</v>
      </c>
      <c r="V1659" s="56" t="str">
        <f aca="false">IF(U1659&gt;0,RANK(U1659,$U$2:$U$1780)+COUNTIF($U$2:U1659,U1659)-1,"")</f>
        <v/>
      </c>
      <c r="W1659" s="56" t="str">
        <f aca="false">IF(V1659="","",IF(V1659&lt;=Settings!$B$11,"1 - Fix first",IF(V1659&lt;=Settings!$B$12,"2 - Review","3 - Monitor")))</f>
        <v/>
      </c>
      <c r="X1659" s="56" t="str">
        <f aca="false">IF(AND(E1659&gt;=Settings!$B$4,F1659&gt;=Settings!$B$5,O1659&gt;=Settings!$B$6),"HIGH RATE","")</f>
        <v/>
      </c>
      <c r="Y1659" s="56" t="str">
        <f aca="false">IF(F1659&gt;0,RANK(F1659,$F$2:$F$1780)+COUNTIF($F$2:F1659,F1659)-1,"")</f>
        <v/>
      </c>
      <c r="Z1659" s="56" t="str">
        <f aca="false">IF(H1659&gt;0,RANK(H1659,$H$2:$H$1780)+COUNTIF($H$2:H1659,H1659)-1,"")</f>
        <v/>
      </c>
      <c r="AA1659" s="56" t="str">
        <f aca="false">IF(AC1659="","",RANK(AC1659,$AC$2:$AC$1780)+COUNTIF($AC$2:AC1659,AC1659)-1)</f>
        <v/>
      </c>
      <c r="AB1659" s="56" t="str">
        <f aca="false">IF(AD1659="","",RANK(AD1659,$AD$2:$AD$1780)+COUNTIF($AD$2:AD1659,AD1659)-1)</f>
        <v/>
      </c>
      <c r="AC1659" s="56" t="str">
        <f aca="false">IF(AND(F1659&gt;0,E1659&gt;=Settings!$B$4),J1659,"")</f>
        <v/>
      </c>
      <c r="AD1659" s="56" t="str">
        <f aca="false">IF(X1659="HIGH RATE",O1659,"")</f>
        <v/>
      </c>
    </row>
    <row r="1660" customFormat="false" ht="15" hidden="false" customHeight="false" outlineLevel="0" collapsed="false">
      <c r="A1660" s="56" t="s">
        <v>3148</v>
      </c>
      <c r="B1660" s="56" t="s">
        <v>1566</v>
      </c>
      <c r="C1660" s="56" t="s">
        <v>608</v>
      </c>
      <c r="D1660" s="56" t="str">
        <f aca="false">IFERROR(INDEX('Brand Map'!$B$4:$B$124,MATCH(C1660,'Brand Map'!$A$4:$A$124,0)),"Other")</f>
        <v>Other (small prefixes)</v>
      </c>
      <c r="E1660" s="57" t="n">
        <v>1</v>
      </c>
      <c r="F1660" s="57" t="n">
        <v>0</v>
      </c>
      <c r="G1660" s="58" t="n">
        <v>94.95</v>
      </c>
      <c r="H1660" s="58" t="n">
        <v>0</v>
      </c>
      <c r="I1660" s="58" t="n">
        <v>94.95</v>
      </c>
      <c r="J1660" s="32" t="n">
        <f aca="false">IF(E1660&gt;0,F1660/E1660,0)</f>
        <v>0</v>
      </c>
      <c r="K1660" s="32" t="n">
        <f aca="false">IF(G1660&gt;0,H1660/G1660,0)</f>
        <v>-0</v>
      </c>
      <c r="L1660" s="59" t="n">
        <f aca="false">H1660/Settings!$B$16</f>
        <v>-0</v>
      </c>
      <c r="M1660" s="59" t="n">
        <f aca="false">H1660/Settings!$B$20</f>
        <v>-0</v>
      </c>
      <c r="N1660" s="60" t="n">
        <f aca="false">E1660*Settings!$B$3</f>
        <v>0.0309861510798204</v>
      </c>
      <c r="O1660" s="60" t="n">
        <f aca="false">IF(E1660&gt;0,(F1660-N1660)/SQRT(E1660*Settings!$B$3*(1-Settings!$B$3)),0)</f>
        <v>-0.178821125934444</v>
      </c>
      <c r="P1660" s="60" t="n">
        <f aca="false">MAX(0,F1660-N1660)</f>
        <v>0</v>
      </c>
      <c r="Q1660" s="32" t="n">
        <f aca="false">(F1660+Settings!$B$7*Settings!$B$3)/(E1660+Settings!$B$7)</f>
        <v>0.0299865978191811</v>
      </c>
      <c r="R1660" s="61" t="n">
        <f aca="false">PERCENTRANK($H$2:$H$1780,H1660,6)</f>
        <v>0</v>
      </c>
      <c r="S1660" s="61" t="n">
        <f aca="false">PERCENTRANK($Q$2:$Q$1780,Q1660,6)</f>
        <v>0.486502</v>
      </c>
      <c r="T1660" s="61" t="n">
        <f aca="false">PERCENTRANK($F$2:$F$1780,F1660,6)</f>
        <v>0</v>
      </c>
      <c r="U1660" s="62" t="n">
        <f aca="false">IF(F1660&gt;0,(Settings!$B$8*T1660+Settings!$B$9*R1660+Settings!$B$10*S1660)/SUM(Settings!$B$8:$B$10),0)</f>
        <v>0</v>
      </c>
      <c r="V1660" s="56" t="str">
        <f aca="false">IF(U1660&gt;0,RANK(U1660,$U$2:$U$1780)+COUNTIF($U$2:U1660,U1660)-1,"")</f>
        <v/>
      </c>
      <c r="W1660" s="56" t="str">
        <f aca="false">IF(V1660="","",IF(V1660&lt;=Settings!$B$11,"1 - Fix first",IF(V1660&lt;=Settings!$B$12,"2 - Review","3 - Monitor")))</f>
        <v/>
      </c>
      <c r="X1660" s="56" t="str">
        <f aca="false">IF(AND(E1660&gt;=Settings!$B$4,F1660&gt;=Settings!$B$5,O1660&gt;=Settings!$B$6),"HIGH RATE","")</f>
        <v/>
      </c>
      <c r="Y1660" s="56" t="str">
        <f aca="false">IF(F1660&gt;0,RANK(F1660,$F$2:$F$1780)+COUNTIF($F$2:F1660,F1660)-1,"")</f>
        <v/>
      </c>
      <c r="Z1660" s="56" t="str">
        <f aca="false">IF(H1660&gt;0,RANK(H1660,$H$2:$H$1780)+COUNTIF($H$2:H1660,H1660)-1,"")</f>
        <v/>
      </c>
      <c r="AA1660" s="56" t="str">
        <f aca="false">IF(AC1660="","",RANK(AC1660,$AC$2:$AC$1780)+COUNTIF($AC$2:AC1660,AC1660)-1)</f>
        <v/>
      </c>
      <c r="AB1660" s="56" t="str">
        <f aca="false">IF(AD1660="","",RANK(AD1660,$AD$2:$AD$1780)+COUNTIF($AD$2:AD1660,AD1660)-1)</f>
        <v/>
      </c>
      <c r="AC1660" s="56" t="str">
        <f aca="false">IF(AND(F1660&gt;0,E1660&gt;=Settings!$B$4),J1660,"")</f>
        <v/>
      </c>
      <c r="AD1660" s="56" t="str">
        <f aca="false">IF(X1660="HIGH RATE",O1660,"")</f>
        <v/>
      </c>
    </row>
    <row r="1661" customFormat="false" ht="15" hidden="false" customHeight="false" outlineLevel="0" collapsed="false">
      <c r="A1661" s="56" t="s">
        <v>3149</v>
      </c>
      <c r="B1661" s="56" t="s">
        <v>3150</v>
      </c>
      <c r="C1661" s="56" t="s">
        <v>701</v>
      </c>
      <c r="D1661" s="56" t="str">
        <f aca="false">IFERROR(INDEX('Brand Map'!$B$4:$B$124,MATCH(C1661,'Brand Map'!$A$4:$A$124,0)),"Other")</f>
        <v>Other (small prefixes)</v>
      </c>
      <c r="E1661" s="57" t="n">
        <v>1</v>
      </c>
      <c r="F1661" s="57" t="n">
        <v>0</v>
      </c>
      <c r="G1661" s="58" t="n">
        <v>89.55</v>
      </c>
      <c r="H1661" s="58" t="n">
        <v>0</v>
      </c>
      <c r="I1661" s="58" t="n">
        <v>89.55</v>
      </c>
      <c r="J1661" s="32" t="n">
        <f aca="false">IF(E1661&gt;0,F1661/E1661,0)</f>
        <v>0</v>
      </c>
      <c r="K1661" s="32" t="n">
        <f aca="false">IF(G1661&gt;0,H1661/G1661,0)</f>
        <v>-0</v>
      </c>
      <c r="L1661" s="59" t="n">
        <f aca="false">H1661/Settings!$B$16</f>
        <v>-0</v>
      </c>
      <c r="M1661" s="59" t="n">
        <f aca="false">H1661/Settings!$B$20</f>
        <v>-0</v>
      </c>
      <c r="N1661" s="60" t="n">
        <f aca="false">E1661*Settings!$B$3</f>
        <v>0.0309861510798204</v>
      </c>
      <c r="O1661" s="60" t="n">
        <f aca="false">IF(E1661&gt;0,(F1661-N1661)/SQRT(E1661*Settings!$B$3*(1-Settings!$B$3)),0)</f>
        <v>-0.178821125934444</v>
      </c>
      <c r="P1661" s="60" t="n">
        <f aca="false">MAX(0,F1661-N1661)</f>
        <v>0</v>
      </c>
      <c r="Q1661" s="32" t="n">
        <f aca="false">(F1661+Settings!$B$7*Settings!$B$3)/(E1661+Settings!$B$7)</f>
        <v>0.0299865978191811</v>
      </c>
      <c r="R1661" s="61" t="n">
        <f aca="false">PERCENTRANK($H$2:$H$1780,H1661,6)</f>
        <v>0</v>
      </c>
      <c r="S1661" s="61" t="n">
        <f aca="false">PERCENTRANK($Q$2:$Q$1780,Q1661,6)</f>
        <v>0.486502</v>
      </c>
      <c r="T1661" s="61" t="n">
        <f aca="false">PERCENTRANK($F$2:$F$1780,F1661,6)</f>
        <v>0</v>
      </c>
      <c r="U1661" s="62" t="n">
        <f aca="false">IF(F1661&gt;0,(Settings!$B$8*T1661+Settings!$B$9*R1661+Settings!$B$10*S1661)/SUM(Settings!$B$8:$B$10),0)</f>
        <v>0</v>
      </c>
      <c r="V1661" s="56" t="str">
        <f aca="false">IF(U1661&gt;0,RANK(U1661,$U$2:$U$1780)+COUNTIF($U$2:U1661,U1661)-1,"")</f>
        <v/>
      </c>
      <c r="W1661" s="56" t="str">
        <f aca="false">IF(V1661="","",IF(V1661&lt;=Settings!$B$11,"1 - Fix first",IF(V1661&lt;=Settings!$B$12,"2 - Review","3 - Monitor")))</f>
        <v/>
      </c>
      <c r="X1661" s="56" t="str">
        <f aca="false">IF(AND(E1661&gt;=Settings!$B$4,F1661&gt;=Settings!$B$5,O1661&gt;=Settings!$B$6),"HIGH RATE","")</f>
        <v/>
      </c>
      <c r="Y1661" s="56" t="str">
        <f aca="false">IF(F1661&gt;0,RANK(F1661,$F$2:$F$1780)+COUNTIF($F$2:F1661,F1661)-1,"")</f>
        <v/>
      </c>
      <c r="Z1661" s="56" t="str">
        <f aca="false">IF(H1661&gt;0,RANK(H1661,$H$2:$H$1780)+COUNTIF($H$2:H1661,H1661)-1,"")</f>
        <v/>
      </c>
      <c r="AA1661" s="56" t="str">
        <f aca="false">IF(AC1661="","",RANK(AC1661,$AC$2:$AC$1780)+COUNTIF($AC$2:AC1661,AC1661)-1)</f>
        <v/>
      </c>
      <c r="AB1661" s="56" t="str">
        <f aca="false">IF(AD1661="","",RANK(AD1661,$AD$2:$AD$1780)+COUNTIF($AD$2:AD1661,AD1661)-1)</f>
        <v/>
      </c>
      <c r="AC1661" s="56" t="str">
        <f aca="false">IF(AND(F1661&gt;0,E1661&gt;=Settings!$B$4),J1661,"")</f>
        <v/>
      </c>
      <c r="AD1661" s="56" t="str">
        <f aca="false">IF(X1661="HIGH RATE",O1661,"")</f>
        <v/>
      </c>
    </row>
    <row r="1662" customFormat="false" ht="15" hidden="false" customHeight="false" outlineLevel="0" collapsed="false">
      <c r="A1662" s="56" t="s">
        <v>3151</v>
      </c>
      <c r="B1662" s="56" t="s">
        <v>3152</v>
      </c>
      <c r="C1662" s="56" t="s">
        <v>701</v>
      </c>
      <c r="D1662" s="56" t="str">
        <f aca="false">IFERROR(INDEX('Brand Map'!$B$4:$B$124,MATCH(C1662,'Brand Map'!$A$4:$A$124,0)),"Other")</f>
        <v>Other (small prefixes)</v>
      </c>
      <c r="E1662" s="57" t="n">
        <v>1</v>
      </c>
      <c r="F1662" s="57" t="n">
        <v>0</v>
      </c>
      <c r="G1662" s="58" t="n">
        <v>124.95</v>
      </c>
      <c r="H1662" s="58" t="n">
        <v>0</v>
      </c>
      <c r="I1662" s="58" t="n">
        <v>124.95</v>
      </c>
      <c r="J1662" s="32" t="n">
        <f aca="false">IF(E1662&gt;0,F1662/E1662,0)</f>
        <v>0</v>
      </c>
      <c r="K1662" s="32" t="n">
        <f aca="false">IF(G1662&gt;0,H1662/G1662,0)</f>
        <v>-0</v>
      </c>
      <c r="L1662" s="59" t="n">
        <f aca="false">H1662/Settings!$B$16</f>
        <v>-0</v>
      </c>
      <c r="M1662" s="59" t="n">
        <f aca="false">H1662/Settings!$B$20</f>
        <v>-0</v>
      </c>
      <c r="N1662" s="60" t="n">
        <f aca="false">E1662*Settings!$B$3</f>
        <v>0.0309861510798204</v>
      </c>
      <c r="O1662" s="60" t="n">
        <f aca="false">IF(E1662&gt;0,(F1662-N1662)/SQRT(E1662*Settings!$B$3*(1-Settings!$B$3)),0)</f>
        <v>-0.178821125934444</v>
      </c>
      <c r="P1662" s="60" t="n">
        <f aca="false">MAX(0,F1662-N1662)</f>
        <v>0</v>
      </c>
      <c r="Q1662" s="32" t="n">
        <f aca="false">(F1662+Settings!$B$7*Settings!$B$3)/(E1662+Settings!$B$7)</f>
        <v>0.0299865978191811</v>
      </c>
      <c r="R1662" s="61" t="n">
        <f aca="false">PERCENTRANK($H$2:$H$1780,H1662,6)</f>
        <v>0</v>
      </c>
      <c r="S1662" s="61" t="n">
        <f aca="false">PERCENTRANK($Q$2:$Q$1780,Q1662,6)</f>
        <v>0.486502</v>
      </c>
      <c r="T1662" s="61" t="n">
        <f aca="false">PERCENTRANK($F$2:$F$1780,F1662,6)</f>
        <v>0</v>
      </c>
      <c r="U1662" s="62" t="n">
        <f aca="false">IF(F1662&gt;0,(Settings!$B$8*T1662+Settings!$B$9*R1662+Settings!$B$10*S1662)/SUM(Settings!$B$8:$B$10),0)</f>
        <v>0</v>
      </c>
      <c r="V1662" s="56" t="str">
        <f aca="false">IF(U1662&gt;0,RANK(U1662,$U$2:$U$1780)+COUNTIF($U$2:U1662,U1662)-1,"")</f>
        <v/>
      </c>
      <c r="W1662" s="56" t="str">
        <f aca="false">IF(V1662="","",IF(V1662&lt;=Settings!$B$11,"1 - Fix first",IF(V1662&lt;=Settings!$B$12,"2 - Review","3 - Monitor")))</f>
        <v/>
      </c>
      <c r="X1662" s="56" t="str">
        <f aca="false">IF(AND(E1662&gt;=Settings!$B$4,F1662&gt;=Settings!$B$5,O1662&gt;=Settings!$B$6),"HIGH RATE","")</f>
        <v/>
      </c>
      <c r="Y1662" s="56" t="str">
        <f aca="false">IF(F1662&gt;0,RANK(F1662,$F$2:$F$1780)+COUNTIF($F$2:F1662,F1662)-1,"")</f>
        <v/>
      </c>
      <c r="Z1662" s="56" t="str">
        <f aca="false">IF(H1662&gt;0,RANK(H1662,$H$2:$H$1780)+COUNTIF($H$2:H1662,H1662)-1,"")</f>
        <v/>
      </c>
      <c r="AA1662" s="56" t="str">
        <f aca="false">IF(AC1662="","",RANK(AC1662,$AC$2:$AC$1780)+COUNTIF($AC$2:AC1662,AC1662)-1)</f>
        <v/>
      </c>
      <c r="AB1662" s="56" t="str">
        <f aca="false">IF(AD1662="","",RANK(AD1662,$AD$2:$AD$1780)+COUNTIF($AD$2:AD1662,AD1662)-1)</f>
        <v/>
      </c>
      <c r="AC1662" s="56" t="str">
        <f aca="false">IF(AND(F1662&gt;0,E1662&gt;=Settings!$B$4),J1662,"")</f>
        <v/>
      </c>
      <c r="AD1662" s="56" t="str">
        <f aca="false">IF(X1662="HIGH RATE",O1662,"")</f>
        <v/>
      </c>
    </row>
    <row r="1663" customFormat="false" ht="15" hidden="false" customHeight="false" outlineLevel="0" collapsed="false">
      <c r="A1663" s="56" t="s">
        <v>3153</v>
      </c>
      <c r="B1663" s="56" t="s">
        <v>3154</v>
      </c>
      <c r="C1663" s="56" t="s">
        <v>183</v>
      </c>
      <c r="D1663" s="56" t="str">
        <f aca="false">IFERROR(INDEX('Brand Map'!$B$4:$B$124,MATCH(C1663,'Brand Map'!$A$4:$A$124,0)),"Other")</f>
        <v>MDDC</v>
      </c>
      <c r="E1663" s="57" t="n">
        <v>28</v>
      </c>
      <c r="F1663" s="57" t="n">
        <v>0</v>
      </c>
      <c r="G1663" s="58" t="n">
        <v>4233.27</v>
      </c>
      <c r="H1663" s="58" t="n">
        <v>0</v>
      </c>
      <c r="I1663" s="58" t="n">
        <v>4233.27</v>
      </c>
      <c r="J1663" s="32" t="n">
        <f aca="false">IF(E1663&gt;0,F1663/E1663,0)</f>
        <v>0</v>
      </c>
      <c r="K1663" s="32" t="n">
        <f aca="false">IF(G1663&gt;0,H1663/G1663,0)</f>
        <v>-0</v>
      </c>
      <c r="L1663" s="59" t="n">
        <f aca="false">H1663/Settings!$B$16</f>
        <v>-0</v>
      </c>
      <c r="M1663" s="59" t="n">
        <f aca="false">H1663/Settings!$B$20</f>
        <v>-0</v>
      </c>
      <c r="N1663" s="60" t="n">
        <f aca="false">E1663*Settings!$B$3</f>
        <v>0.867612230234972</v>
      </c>
      <c r="O1663" s="60" t="n">
        <f aca="false">IF(E1663&gt;0,(F1663-N1663)/SQRT(E1663*Settings!$B$3*(1-Settings!$B$3)),0)</f>
        <v>-0.946232456774203</v>
      </c>
      <c r="P1663" s="60" t="n">
        <f aca="false">MAX(0,F1663-N1663)</f>
        <v>0</v>
      </c>
      <c r="Q1663" s="32" t="n">
        <f aca="false">(F1663+Settings!$B$7*Settings!$B$3)/(E1663+Settings!$B$7)</f>
        <v>0.016027319524045</v>
      </c>
      <c r="R1663" s="61" t="n">
        <f aca="false">PERCENTRANK($H$2:$H$1780,H1663,6)</f>
        <v>0</v>
      </c>
      <c r="S1663" s="61" t="n">
        <f aca="false">PERCENTRANK($Q$2:$Q$1780,Q1663,6)</f>
        <v>0.0449944</v>
      </c>
      <c r="T1663" s="61" t="n">
        <f aca="false">PERCENTRANK($F$2:$F$1780,F1663,6)</f>
        <v>0</v>
      </c>
      <c r="U1663" s="62" t="n">
        <f aca="false">IF(F1663&gt;0,(Settings!$B$8*T1663+Settings!$B$9*R1663+Settings!$B$10*S1663)/SUM(Settings!$B$8:$B$10),0)</f>
        <v>0</v>
      </c>
      <c r="V1663" s="56" t="str">
        <f aca="false">IF(U1663&gt;0,RANK(U1663,$U$2:$U$1780)+COUNTIF($U$2:U1663,U1663)-1,"")</f>
        <v/>
      </c>
      <c r="W1663" s="56" t="str">
        <f aca="false">IF(V1663="","",IF(V1663&lt;=Settings!$B$11,"1 - Fix first",IF(V1663&lt;=Settings!$B$12,"2 - Review","3 - Monitor")))</f>
        <v/>
      </c>
      <c r="X1663" s="56" t="str">
        <f aca="false">IF(AND(E1663&gt;=Settings!$B$4,F1663&gt;=Settings!$B$5,O1663&gt;=Settings!$B$6),"HIGH RATE","")</f>
        <v/>
      </c>
      <c r="Y1663" s="56" t="str">
        <f aca="false">IF(F1663&gt;0,RANK(F1663,$F$2:$F$1780)+COUNTIF($F$2:F1663,F1663)-1,"")</f>
        <v/>
      </c>
      <c r="Z1663" s="56" t="str">
        <f aca="false">IF(H1663&gt;0,RANK(H1663,$H$2:$H$1780)+COUNTIF($H$2:H1663,H1663)-1,"")</f>
        <v/>
      </c>
      <c r="AA1663" s="56" t="str">
        <f aca="false">IF(AC1663="","",RANK(AC1663,$AC$2:$AC$1780)+COUNTIF($AC$2:AC1663,AC1663)-1)</f>
        <v/>
      </c>
      <c r="AB1663" s="56" t="str">
        <f aca="false">IF(AD1663="","",RANK(AD1663,$AD$2:$AD$1780)+COUNTIF($AD$2:AD1663,AD1663)-1)</f>
        <v/>
      </c>
      <c r="AC1663" s="56" t="str">
        <f aca="false">IF(AND(F1663&gt;0,E1663&gt;=Settings!$B$4),J1663,"")</f>
        <v/>
      </c>
      <c r="AD1663" s="56" t="str">
        <f aca="false">IF(X1663="HIGH RATE",O1663,"")</f>
        <v/>
      </c>
    </row>
    <row r="1664" customFormat="false" ht="15" hidden="false" customHeight="false" outlineLevel="0" collapsed="false">
      <c r="A1664" s="56" t="s">
        <v>594</v>
      </c>
      <c r="B1664" s="56" t="s">
        <v>595</v>
      </c>
      <c r="C1664" s="56" t="s">
        <v>183</v>
      </c>
      <c r="D1664" s="56" t="str">
        <f aca="false">IFERROR(INDEX('Brand Map'!$B$4:$B$124,MATCH(C1664,'Brand Map'!$A$4:$A$124,0)),"Other")</f>
        <v>MDDC</v>
      </c>
      <c r="E1664" s="57" t="n">
        <v>144</v>
      </c>
      <c r="F1664" s="57" t="n">
        <v>0</v>
      </c>
      <c r="G1664" s="58" t="n">
        <v>16777.54</v>
      </c>
      <c r="H1664" s="58" t="n">
        <v>0</v>
      </c>
      <c r="I1664" s="58" t="n">
        <v>16668.33</v>
      </c>
      <c r="J1664" s="32" t="n">
        <f aca="false">IF(E1664&gt;0,F1664/E1664,0)</f>
        <v>0</v>
      </c>
      <c r="K1664" s="32" t="n">
        <f aca="false">IF(G1664&gt;0,H1664/G1664,0)</f>
        <v>-0</v>
      </c>
      <c r="L1664" s="59" t="n">
        <f aca="false">H1664/Settings!$B$16</f>
        <v>-0</v>
      </c>
      <c r="M1664" s="59" t="n">
        <f aca="false">H1664/Settings!$B$20</f>
        <v>-0</v>
      </c>
      <c r="N1664" s="60" t="n">
        <f aca="false">E1664*Settings!$B$3</f>
        <v>4.46200575549414</v>
      </c>
      <c r="O1664" s="60" t="n">
        <f aca="false">IF(E1664&gt;0,(F1664-N1664)/SQRT(E1664*Settings!$B$3*(1-Settings!$B$3)),0)</f>
        <v>-2.14585351121333</v>
      </c>
      <c r="P1664" s="60" t="n">
        <f aca="false">MAX(0,F1664-N1664)</f>
        <v>0</v>
      </c>
      <c r="Q1664" s="32" t="n">
        <f aca="false">(F1664+Settings!$B$7*Settings!$B$3)/(E1664+Settings!$B$7)</f>
        <v>0.00534243984134835</v>
      </c>
      <c r="R1664" s="61" t="n">
        <f aca="false">PERCENTRANK($H$2:$H$1780,H1664,6)</f>
        <v>0</v>
      </c>
      <c r="S1664" s="61" t="n">
        <f aca="false">PERCENTRANK($Q$2:$Q$1780,Q1664,6)</f>
        <v>0.00337458</v>
      </c>
      <c r="T1664" s="61" t="n">
        <f aca="false">PERCENTRANK($F$2:$F$1780,F1664,6)</f>
        <v>0</v>
      </c>
      <c r="U1664" s="62" t="n">
        <f aca="false">IF(F1664&gt;0,(Settings!$B$8*T1664+Settings!$B$9*R1664+Settings!$B$10*S1664)/SUM(Settings!$B$8:$B$10),0)</f>
        <v>0</v>
      </c>
      <c r="V1664" s="56" t="str">
        <f aca="false">IF(U1664&gt;0,RANK(U1664,$U$2:$U$1780)+COUNTIF($U$2:U1664,U1664)-1,"")</f>
        <v/>
      </c>
      <c r="W1664" s="56" t="str">
        <f aca="false">IF(V1664="","",IF(V1664&lt;=Settings!$B$11,"1 - Fix first",IF(V1664&lt;=Settings!$B$12,"2 - Review","3 - Monitor")))</f>
        <v/>
      </c>
      <c r="X1664" s="56" t="str">
        <f aca="false">IF(AND(E1664&gt;=Settings!$B$4,F1664&gt;=Settings!$B$5,O1664&gt;=Settings!$B$6),"HIGH RATE","")</f>
        <v/>
      </c>
      <c r="Y1664" s="56" t="str">
        <f aca="false">IF(F1664&gt;0,RANK(F1664,$F$2:$F$1780)+COUNTIF($F$2:F1664,F1664)-1,"")</f>
        <v/>
      </c>
      <c r="Z1664" s="56" t="str">
        <f aca="false">IF(H1664&gt;0,RANK(H1664,$H$2:$H$1780)+COUNTIF($H$2:H1664,H1664)-1,"")</f>
        <v/>
      </c>
      <c r="AA1664" s="56" t="str">
        <f aca="false">IF(AC1664="","",RANK(AC1664,$AC$2:$AC$1780)+COUNTIF($AC$2:AC1664,AC1664)-1)</f>
        <v/>
      </c>
      <c r="AB1664" s="56" t="str">
        <f aca="false">IF(AD1664="","",RANK(AD1664,$AD$2:$AD$1780)+COUNTIF($AD$2:AD1664,AD1664)-1)</f>
        <v/>
      </c>
      <c r="AC1664" s="56" t="str">
        <f aca="false">IF(AND(F1664&gt;0,E1664&gt;=Settings!$B$4),J1664,"")</f>
        <v/>
      </c>
      <c r="AD1664" s="56" t="str">
        <f aca="false">IF(X1664="HIGH RATE",O1664,"")</f>
        <v/>
      </c>
    </row>
    <row r="1665" customFormat="false" ht="15" hidden="false" customHeight="false" outlineLevel="0" collapsed="false">
      <c r="A1665" s="56" t="s">
        <v>3155</v>
      </c>
      <c r="B1665" s="56" t="s">
        <v>3156</v>
      </c>
      <c r="C1665" s="56" t="s">
        <v>183</v>
      </c>
      <c r="D1665" s="56" t="str">
        <f aca="false">IFERROR(INDEX('Brand Map'!$B$4:$B$124,MATCH(C1665,'Brand Map'!$A$4:$A$124,0)),"Other")</f>
        <v>MDDC</v>
      </c>
      <c r="E1665" s="57" t="n">
        <v>26</v>
      </c>
      <c r="F1665" s="57" t="n">
        <v>0</v>
      </c>
      <c r="G1665" s="58" t="n">
        <v>4811.89</v>
      </c>
      <c r="H1665" s="58" t="n">
        <v>0</v>
      </c>
      <c r="I1665" s="58" t="n">
        <v>4727.14</v>
      </c>
      <c r="J1665" s="32" t="n">
        <f aca="false">IF(E1665&gt;0,F1665/E1665,0)</f>
        <v>0</v>
      </c>
      <c r="K1665" s="32" t="n">
        <f aca="false">IF(G1665&gt;0,H1665/G1665,0)</f>
        <v>-0</v>
      </c>
      <c r="L1665" s="59" t="n">
        <f aca="false">H1665/Settings!$B$16</f>
        <v>-0</v>
      </c>
      <c r="M1665" s="59" t="n">
        <f aca="false">H1665/Settings!$B$20</f>
        <v>-0</v>
      </c>
      <c r="N1665" s="60" t="n">
        <f aca="false">E1665*Settings!$B$3</f>
        <v>0.805639928075331</v>
      </c>
      <c r="O1665" s="60" t="n">
        <f aca="false">IF(E1665&gt;0,(F1665-N1665)/SQRT(E1665*Settings!$B$3*(1-Settings!$B$3)),0)</f>
        <v>-0.911812410582363</v>
      </c>
      <c r="P1665" s="60" t="n">
        <f aca="false">MAX(0,F1665-N1665)</f>
        <v>0</v>
      </c>
      <c r="Q1665" s="32" t="n">
        <f aca="false">(F1665+Settings!$B$7*Settings!$B$3)/(E1665+Settings!$B$7)</f>
        <v>0.0165997237927609</v>
      </c>
      <c r="R1665" s="61" t="n">
        <f aca="false">PERCENTRANK($H$2:$H$1780,H1665,6)</f>
        <v>0</v>
      </c>
      <c r="S1665" s="61" t="n">
        <f aca="false">PERCENTRANK($Q$2:$Q$1780,Q1665,6)</f>
        <v>0.0528684</v>
      </c>
      <c r="T1665" s="61" t="n">
        <f aca="false">PERCENTRANK($F$2:$F$1780,F1665,6)</f>
        <v>0</v>
      </c>
      <c r="U1665" s="62" t="n">
        <f aca="false">IF(F1665&gt;0,(Settings!$B$8*T1665+Settings!$B$9*R1665+Settings!$B$10*S1665)/SUM(Settings!$B$8:$B$10),0)</f>
        <v>0</v>
      </c>
      <c r="V1665" s="56" t="str">
        <f aca="false">IF(U1665&gt;0,RANK(U1665,$U$2:$U$1780)+COUNTIF($U$2:U1665,U1665)-1,"")</f>
        <v/>
      </c>
      <c r="W1665" s="56" t="str">
        <f aca="false">IF(V1665="","",IF(V1665&lt;=Settings!$B$11,"1 - Fix first",IF(V1665&lt;=Settings!$B$12,"2 - Review","3 - Monitor")))</f>
        <v/>
      </c>
      <c r="X1665" s="56" t="str">
        <f aca="false">IF(AND(E1665&gt;=Settings!$B$4,F1665&gt;=Settings!$B$5,O1665&gt;=Settings!$B$6),"HIGH RATE","")</f>
        <v/>
      </c>
      <c r="Y1665" s="56" t="str">
        <f aca="false">IF(F1665&gt;0,RANK(F1665,$F$2:$F$1780)+COUNTIF($F$2:F1665,F1665)-1,"")</f>
        <v/>
      </c>
      <c r="Z1665" s="56" t="str">
        <f aca="false">IF(H1665&gt;0,RANK(H1665,$H$2:$H$1780)+COUNTIF($H$2:H1665,H1665)-1,"")</f>
        <v/>
      </c>
      <c r="AA1665" s="56" t="str">
        <f aca="false">IF(AC1665="","",RANK(AC1665,$AC$2:$AC$1780)+COUNTIF($AC$2:AC1665,AC1665)-1)</f>
        <v/>
      </c>
      <c r="AB1665" s="56" t="str">
        <f aca="false">IF(AD1665="","",RANK(AD1665,$AD$2:$AD$1780)+COUNTIF($AD$2:AD1665,AD1665)-1)</f>
        <v/>
      </c>
      <c r="AC1665" s="56" t="str">
        <f aca="false">IF(AND(F1665&gt;0,E1665&gt;=Settings!$B$4),J1665,"")</f>
        <v/>
      </c>
      <c r="AD1665" s="56" t="str">
        <f aca="false">IF(X1665="HIGH RATE",O1665,"")</f>
        <v/>
      </c>
    </row>
    <row r="1666" customFormat="false" ht="15" hidden="false" customHeight="false" outlineLevel="0" collapsed="false">
      <c r="A1666" s="56" t="s">
        <v>3157</v>
      </c>
      <c r="B1666" s="56" t="s">
        <v>3158</v>
      </c>
      <c r="C1666" s="56" t="s">
        <v>186</v>
      </c>
      <c r="D1666" s="56" t="str">
        <f aca="false">IFERROR(INDEX('Brand Map'!$B$4:$B$124,MATCH(C1666,'Brand Map'!$A$4:$A$124,0)),"Other")</f>
        <v>MDLR</v>
      </c>
      <c r="E1666" s="57" t="n">
        <v>156</v>
      </c>
      <c r="F1666" s="57" t="n">
        <v>0</v>
      </c>
      <c r="G1666" s="58" t="n">
        <v>8844.54</v>
      </c>
      <c r="H1666" s="58" t="n">
        <v>0</v>
      </c>
      <c r="I1666" s="58" t="n">
        <v>8814.14</v>
      </c>
      <c r="J1666" s="32" t="n">
        <f aca="false">IF(E1666&gt;0,F1666/E1666,0)</f>
        <v>0</v>
      </c>
      <c r="K1666" s="32" t="n">
        <f aca="false">IF(G1666&gt;0,H1666/G1666,0)</f>
        <v>-0</v>
      </c>
      <c r="L1666" s="59" t="n">
        <f aca="false">H1666/Settings!$B$16</f>
        <v>-0</v>
      </c>
      <c r="M1666" s="59" t="n">
        <f aca="false">H1666/Settings!$B$20</f>
        <v>-0</v>
      </c>
      <c r="N1666" s="60" t="n">
        <f aca="false">E1666*Settings!$B$3</f>
        <v>4.83383956845199</v>
      </c>
      <c r="O1666" s="60" t="n">
        <f aca="false">IF(E1666&gt;0,(F1666-N1666)/SQRT(E1666*Settings!$B$3*(1-Settings!$B$3)),0)</f>
        <v>-2.2334751470639</v>
      </c>
      <c r="P1666" s="60" t="n">
        <f aca="false">MAX(0,F1666-N1666)</f>
        <v>0</v>
      </c>
      <c r="Q1666" s="32" t="n">
        <f aca="false">(F1666+Settings!$B$7*Settings!$B$3)/(E1666+Settings!$B$7)</f>
        <v>0.00499776630319684</v>
      </c>
      <c r="R1666" s="61" t="n">
        <f aca="false">PERCENTRANK($H$2:$H$1780,H1666,6)</f>
        <v>0</v>
      </c>
      <c r="S1666" s="61" t="n">
        <f aca="false">PERCENTRANK($Q$2:$Q$1780,Q1666,6)</f>
        <v>0.00224972</v>
      </c>
      <c r="T1666" s="61" t="n">
        <f aca="false">PERCENTRANK($F$2:$F$1780,F1666,6)</f>
        <v>0</v>
      </c>
      <c r="U1666" s="62" t="n">
        <f aca="false">IF(F1666&gt;0,(Settings!$B$8*T1666+Settings!$B$9*R1666+Settings!$B$10*S1666)/SUM(Settings!$B$8:$B$10),0)</f>
        <v>0</v>
      </c>
      <c r="V1666" s="56" t="str">
        <f aca="false">IF(U1666&gt;0,RANK(U1666,$U$2:$U$1780)+COUNTIF($U$2:U1666,U1666)-1,"")</f>
        <v/>
      </c>
      <c r="W1666" s="56" t="str">
        <f aca="false">IF(V1666="","",IF(V1666&lt;=Settings!$B$11,"1 - Fix first",IF(V1666&lt;=Settings!$B$12,"2 - Review","3 - Monitor")))</f>
        <v/>
      </c>
      <c r="X1666" s="56" t="str">
        <f aca="false">IF(AND(E1666&gt;=Settings!$B$4,F1666&gt;=Settings!$B$5,O1666&gt;=Settings!$B$6),"HIGH RATE","")</f>
        <v/>
      </c>
      <c r="Y1666" s="56" t="str">
        <f aca="false">IF(F1666&gt;0,RANK(F1666,$F$2:$F$1780)+COUNTIF($F$2:F1666,F1666)-1,"")</f>
        <v/>
      </c>
      <c r="Z1666" s="56" t="str">
        <f aca="false">IF(H1666&gt;0,RANK(H1666,$H$2:$H$1780)+COUNTIF($H$2:H1666,H1666)-1,"")</f>
        <v/>
      </c>
      <c r="AA1666" s="56" t="str">
        <f aca="false">IF(AC1666="","",RANK(AC1666,$AC$2:$AC$1780)+COUNTIF($AC$2:AC1666,AC1666)-1)</f>
        <v/>
      </c>
      <c r="AB1666" s="56" t="str">
        <f aca="false">IF(AD1666="","",RANK(AD1666,$AD$2:$AD$1780)+COUNTIF($AD$2:AD1666,AD1666)-1)</f>
        <v/>
      </c>
      <c r="AC1666" s="56" t="str">
        <f aca="false">IF(AND(F1666&gt;0,E1666&gt;=Settings!$B$4),J1666,"")</f>
        <v/>
      </c>
      <c r="AD1666" s="56" t="str">
        <f aca="false">IF(X1666="HIGH RATE",O1666,"")</f>
        <v/>
      </c>
    </row>
    <row r="1667" customFormat="false" ht="15" hidden="false" customHeight="false" outlineLevel="0" collapsed="false">
      <c r="A1667" s="56" t="s">
        <v>3159</v>
      </c>
      <c r="B1667" s="56" t="s">
        <v>3158</v>
      </c>
      <c r="C1667" s="56" t="s">
        <v>186</v>
      </c>
      <c r="D1667" s="56" t="str">
        <f aca="false">IFERROR(INDEX('Brand Map'!$B$4:$B$124,MATCH(C1667,'Brand Map'!$A$4:$A$124,0)),"Other")</f>
        <v>MDLR</v>
      </c>
      <c r="E1667" s="57" t="n">
        <v>1</v>
      </c>
      <c r="F1667" s="57" t="n">
        <v>0</v>
      </c>
      <c r="G1667" s="58" t="n">
        <v>81.45</v>
      </c>
      <c r="H1667" s="58" t="n">
        <v>0</v>
      </c>
      <c r="I1667" s="58" t="n">
        <v>81.45</v>
      </c>
      <c r="J1667" s="32" t="n">
        <f aca="false">IF(E1667&gt;0,F1667/E1667,0)</f>
        <v>0</v>
      </c>
      <c r="K1667" s="32" t="n">
        <f aca="false">IF(G1667&gt;0,H1667/G1667,0)</f>
        <v>-0</v>
      </c>
      <c r="L1667" s="59" t="n">
        <f aca="false">H1667/Settings!$B$16</f>
        <v>-0</v>
      </c>
      <c r="M1667" s="59" t="n">
        <f aca="false">H1667/Settings!$B$20</f>
        <v>-0</v>
      </c>
      <c r="N1667" s="60" t="n">
        <f aca="false">E1667*Settings!$B$3</f>
        <v>0.0309861510798204</v>
      </c>
      <c r="O1667" s="60" t="n">
        <f aca="false">IF(E1667&gt;0,(F1667-N1667)/SQRT(E1667*Settings!$B$3*(1-Settings!$B$3)),0)</f>
        <v>-0.178821125934444</v>
      </c>
      <c r="P1667" s="60" t="n">
        <f aca="false">MAX(0,F1667-N1667)</f>
        <v>0</v>
      </c>
      <c r="Q1667" s="32" t="n">
        <f aca="false">(F1667+Settings!$B$7*Settings!$B$3)/(E1667+Settings!$B$7)</f>
        <v>0.0299865978191811</v>
      </c>
      <c r="R1667" s="61" t="n">
        <f aca="false">PERCENTRANK($H$2:$H$1780,H1667,6)</f>
        <v>0</v>
      </c>
      <c r="S1667" s="61" t="n">
        <f aca="false">PERCENTRANK($Q$2:$Q$1780,Q1667,6)</f>
        <v>0.486502</v>
      </c>
      <c r="T1667" s="61" t="n">
        <f aca="false">PERCENTRANK($F$2:$F$1780,F1667,6)</f>
        <v>0</v>
      </c>
      <c r="U1667" s="62" t="n">
        <f aca="false">IF(F1667&gt;0,(Settings!$B$8*T1667+Settings!$B$9*R1667+Settings!$B$10*S1667)/SUM(Settings!$B$8:$B$10),0)</f>
        <v>0</v>
      </c>
      <c r="V1667" s="56" t="str">
        <f aca="false">IF(U1667&gt;0,RANK(U1667,$U$2:$U$1780)+COUNTIF($U$2:U1667,U1667)-1,"")</f>
        <v/>
      </c>
      <c r="W1667" s="56" t="str">
        <f aca="false">IF(V1667="","",IF(V1667&lt;=Settings!$B$11,"1 - Fix first",IF(V1667&lt;=Settings!$B$12,"2 - Review","3 - Monitor")))</f>
        <v/>
      </c>
      <c r="X1667" s="56" t="str">
        <f aca="false">IF(AND(E1667&gt;=Settings!$B$4,F1667&gt;=Settings!$B$5,O1667&gt;=Settings!$B$6),"HIGH RATE","")</f>
        <v/>
      </c>
      <c r="Y1667" s="56" t="str">
        <f aca="false">IF(F1667&gt;0,RANK(F1667,$F$2:$F$1780)+COUNTIF($F$2:F1667,F1667)-1,"")</f>
        <v/>
      </c>
      <c r="Z1667" s="56" t="str">
        <f aca="false">IF(H1667&gt;0,RANK(H1667,$H$2:$H$1780)+COUNTIF($H$2:H1667,H1667)-1,"")</f>
        <v/>
      </c>
      <c r="AA1667" s="56" t="str">
        <f aca="false">IF(AC1667="","",RANK(AC1667,$AC$2:$AC$1780)+COUNTIF($AC$2:AC1667,AC1667)-1)</f>
        <v/>
      </c>
      <c r="AB1667" s="56" t="str">
        <f aca="false">IF(AD1667="","",RANK(AD1667,$AD$2:$AD$1780)+COUNTIF($AD$2:AD1667,AD1667)-1)</f>
        <v/>
      </c>
      <c r="AC1667" s="56" t="str">
        <f aca="false">IF(AND(F1667&gt;0,E1667&gt;=Settings!$B$4),J1667,"")</f>
        <v/>
      </c>
      <c r="AD1667" s="56" t="str">
        <f aca="false">IF(X1667="HIGH RATE",O1667,"")</f>
        <v/>
      </c>
    </row>
    <row r="1668" customFormat="false" ht="15" hidden="false" customHeight="false" outlineLevel="0" collapsed="false">
      <c r="A1668" s="56" t="s">
        <v>3160</v>
      </c>
      <c r="B1668" s="56" t="s">
        <v>3158</v>
      </c>
      <c r="C1668" s="56" t="s">
        <v>186</v>
      </c>
      <c r="D1668" s="56" t="str">
        <f aca="false">IFERROR(INDEX('Brand Map'!$B$4:$B$124,MATCH(C1668,'Brand Map'!$A$4:$A$124,0)),"Other")</f>
        <v>MDLR</v>
      </c>
      <c r="E1668" s="57" t="n">
        <v>1</v>
      </c>
      <c r="F1668" s="57" t="n">
        <v>0</v>
      </c>
      <c r="G1668" s="58" t="n">
        <v>51.45</v>
      </c>
      <c r="H1668" s="58" t="n">
        <v>0</v>
      </c>
      <c r="I1668" s="58" t="n">
        <v>51.45</v>
      </c>
      <c r="J1668" s="32" t="n">
        <f aca="false">IF(E1668&gt;0,F1668/E1668,0)</f>
        <v>0</v>
      </c>
      <c r="K1668" s="32" t="n">
        <f aca="false">IF(G1668&gt;0,H1668/G1668,0)</f>
        <v>-0</v>
      </c>
      <c r="L1668" s="59" t="n">
        <f aca="false">H1668/Settings!$B$16</f>
        <v>-0</v>
      </c>
      <c r="M1668" s="59" t="n">
        <f aca="false">H1668/Settings!$B$20</f>
        <v>-0</v>
      </c>
      <c r="N1668" s="60" t="n">
        <f aca="false">E1668*Settings!$B$3</f>
        <v>0.0309861510798204</v>
      </c>
      <c r="O1668" s="60" t="n">
        <f aca="false">IF(E1668&gt;0,(F1668-N1668)/SQRT(E1668*Settings!$B$3*(1-Settings!$B$3)),0)</f>
        <v>-0.178821125934444</v>
      </c>
      <c r="P1668" s="60" t="n">
        <f aca="false">MAX(0,F1668-N1668)</f>
        <v>0</v>
      </c>
      <c r="Q1668" s="32" t="n">
        <f aca="false">(F1668+Settings!$B$7*Settings!$B$3)/(E1668+Settings!$B$7)</f>
        <v>0.0299865978191811</v>
      </c>
      <c r="R1668" s="61" t="n">
        <f aca="false">PERCENTRANK($H$2:$H$1780,H1668,6)</f>
        <v>0</v>
      </c>
      <c r="S1668" s="61" t="n">
        <f aca="false">PERCENTRANK($Q$2:$Q$1780,Q1668,6)</f>
        <v>0.486502</v>
      </c>
      <c r="T1668" s="61" t="n">
        <f aca="false">PERCENTRANK($F$2:$F$1780,F1668,6)</f>
        <v>0</v>
      </c>
      <c r="U1668" s="62" t="n">
        <f aca="false">IF(F1668&gt;0,(Settings!$B$8*T1668+Settings!$B$9*R1668+Settings!$B$10*S1668)/SUM(Settings!$B$8:$B$10),0)</f>
        <v>0</v>
      </c>
      <c r="V1668" s="56" t="str">
        <f aca="false">IF(U1668&gt;0,RANK(U1668,$U$2:$U$1780)+COUNTIF($U$2:U1668,U1668)-1,"")</f>
        <v/>
      </c>
      <c r="W1668" s="56" t="str">
        <f aca="false">IF(V1668="","",IF(V1668&lt;=Settings!$B$11,"1 - Fix first",IF(V1668&lt;=Settings!$B$12,"2 - Review","3 - Monitor")))</f>
        <v/>
      </c>
      <c r="X1668" s="56" t="str">
        <f aca="false">IF(AND(E1668&gt;=Settings!$B$4,F1668&gt;=Settings!$B$5,O1668&gt;=Settings!$B$6),"HIGH RATE","")</f>
        <v/>
      </c>
      <c r="Y1668" s="56" t="str">
        <f aca="false">IF(F1668&gt;0,RANK(F1668,$F$2:$F$1780)+COUNTIF($F$2:F1668,F1668)-1,"")</f>
        <v/>
      </c>
      <c r="Z1668" s="56" t="str">
        <f aca="false">IF(H1668&gt;0,RANK(H1668,$H$2:$H$1780)+COUNTIF($H$2:H1668,H1668)-1,"")</f>
        <v/>
      </c>
      <c r="AA1668" s="56" t="str">
        <f aca="false">IF(AC1668="","",RANK(AC1668,$AC$2:$AC$1780)+COUNTIF($AC$2:AC1668,AC1668)-1)</f>
        <v/>
      </c>
      <c r="AB1668" s="56" t="str">
        <f aca="false">IF(AD1668="","",RANK(AD1668,$AD$2:$AD$1780)+COUNTIF($AD$2:AD1668,AD1668)-1)</f>
        <v/>
      </c>
      <c r="AC1668" s="56" t="str">
        <f aca="false">IF(AND(F1668&gt;0,E1668&gt;=Settings!$B$4),J1668,"")</f>
        <v/>
      </c>
      <c r="AD1668" s="56" t="str">
        <f aca="false">IF(X1668="HIGH RATE",O1668,"")</f>
        <v/>
      </c>
    </row>
    <row r="1669" customFormat="false" ht="15" hidden="false" customHeight="false" outlineLevel="0" collapsed="false">
      <c r="A1669" s="56" t="s">
        <v>3161</v>
      </c>
      <c r="B1669" s="56" t="s">
        <v>3158</v>
      </c>
      <c r="C1669" s="56" t="s">
        <v>186</v>
      </c>
      <c r="D1669" s="56" t="str">
        <f aca="false">IFERROR(INDEX('Brand Map'!$B$4:$B$124,MATCH(C1669,'Brand Map'!$A$4:$A$124,0)),"Other")</f>
        <v>MDLR</v>
      </c>
      <c r="E1669" s="57" t="n">
        <v>1</v>
      </c>
      <c r="F1669" s="57" t="n">
        <v>0</v>
      </c>
      <c r="G1669" s="58" t="n">
        <v>81.45</v>
      </c>
      <c r="H1669" s="58" t="n">
        <v>0</v>
      </c>
      <c r="I1669" s="58" t="n">
        <v>81.45</v>
      </c>
      <c r="J1669" s="32" t="n">
        <f aca="false">IF(E1669&gt;0,F1669/E1669,0)</f>
        <v>0</v>
      </c>
      <c r="K1669" s="32" t="n">
        <f aca="false">IF(G1669&gt;0,H1669/G1669,0)</f>
        <v>-0</v>
      </c>
      <c r="L1669" s="59" t="n">
        <f aca="false">H1669/Settings!$B$16</f>
        <v>-0</v>
      </c>
      <c r="M1669" s="59" t="n">
        <f aca="false">H1669/Settings!$B$20</f>
        <v>-0</v>
      </c>
      <c r="N1669" s="60" t="n">
        <f aca="false">E1669*Settings!$B$3</f>
        <v>0.0309861510798204</v>
      </c>
      <c r="O1669" s="60" t="n">
        <f aca="false">IF(E1669&gt;0,(F1669-N1669)/SQRT(E1669*Settings!$B$3*(1-Settings!$B$3)),0)</f>
        <v>-0.178821125934444</v>
      </c>
      <c r="P1669" s="60" t="n">
        <f aca="false">MAX(0,F1669-N1669)</f>
        <v>0</v>
      </c>
      <c r="Q1669" s="32" t="n">
        <f aca="false">(F1669+Settings!$B$7*Settings!$B$3)/(E1669+Settings!$B$7)</f>
        <v>0.0299865978191811</v>
      </c>
      <c r="R1669" s="61" t="n">
        <f aca="false">PERCENTRANK($H$2:$H$1780,H1669,6)</f>
        <v>0</v>
      </c>
      <c r="S1669" s="61" t="n">
        <f aca="false">PERCENTRANK($Q$2:$Q$1780,Q1669,6)</f>
        <v>0.486502</v>
      </c>
      <c r="T1669" s="61" t="n">
        <f aca="false">PERCENTRANK($F$2:$F$1780,F1669,6)</f>
        <v>0</v>
      </c>
      <c r="U1669" s="62" t="n">
        <f aca="false">IF(F1669&gt;0,(Settings!$B$8*T1669+Settings!$B$9*R1669+Settings!$B$10*S1669)/SUM(Settings!$B$8:$B$10),0)</f>
        <v>0</v>
      </c>
      <c r="V1669" s="56" t="str">
        <f aca="false">IF(U1669&gt;0,RANK(U1669,$U$2:$U$1780)+COUNTIF($U$2:U1669,U1669)-1,"")</f>
        <v/>
      </c>
      <c r="W1669" s="56" t="str">
        <f aca="false">IF(V1669="","",IF(V1669&lt;=Settings!$B$11,"1 - Fix first",IF(V1669&lt;=Settings!$B$12,"2 - Review","3 - Monitor")))</f>
        <v/>
      </c>
      <c r="X1669" s="56" t="str">
        <f aca="false">IF(AND(E1669&gt;=Settings!$B$4,F1669&gt;=Settings!$B$5,O1669&gt;=Settings!$B$6),"HIGH RATE","")</f>
        <v/>
      </c>
      <c r="Y1669" s="56" t="str">
        <f aca="false">IF(F1669&gt;0,RANK(F1669,$F$2:$F$1780)+COUNTIF($F$2:F1669,F1669)-1,"")</f>
        <v/>
      </c>
      <c r="Z1669" s="56" t="str">
        <f aca="false">IF(H1669&gt;0,RANK(H1669,$H$2:$H$1780)+COUNTIF($H$2:H1669,H1669)-1,"")</f>
        <v/>
      </c>
      <c r="AA1669" s="56" t="str">
        <f aca="false">IF(AC1669="","",RANK(AC1669,$AC$2:$AC$1780)+COUNTIF($AC$2:AC1669,AC1669)-1)</f>
        <v/>
      </c>
      <c r="AB1669" s="56" t="str">
        <f aca="false">IF(AD1669="","",RANK(AD1669,$AD$2:$AD$1780)+COUNTIF($AD$2:AD1669,AD1669)-1)</f>
        <v/>
      </c>
      <c r="AC1669" s="56" t="str">
        <f aca="false">IF(AND(F1669&gt;0,E1669&gt;=Settings!$B$4),J1669,"")</f>
        <v/>
      </c>
      <c r="AD1669" s="56" t="str">
        <f aca="false">IF(X1669="HIGH RATE",O1669,"")</f>
        <v/>
      </c>
    </row>
    <row r="1670" customFormat="false" ht="15" hidden="false" customHeight="false" outlineLevel="0" collapsed="false">
      <c r="A1670" s="56" t="s">
        <v>602</v>
      </c>
      <c r="B1670" s="56" t="s">
        <v>603</v>
      </c>
      <c r="C1670" s="56" t="s">
        <v>186</v>
      </c>
      <c r="D1670" s="56" t="str">
        <f aca="false">IFERROR(INDEX('Brand Map'!$B$4:$B$124,MATCH(C1670,'Brand Map'!$A$4:$A$124,0)),"Other")</f>
        <v>MDLR</v>
      </c>
      <c r="E1670" s="57" t="n">
        <v>126</v>
      </c>
      <c r="F1670" s="57" t="n">
        <v>0</v>
      </c>
      <c r="G1670" s="58" t="n">
        <v>8954.38</v>
      </c>
      <c r="H1670" s="58" t="n">
        <v>0</v>
      </c>
      <c r="I1670" s="58" t="n">
        <v>8954.38</v>
      </c>
      <c r="J1670" s="32" t="n">
        <f aca="false">IF(E1670&gt;0,F1670/E1670,0)</f>
        <v>0</v>
      </c>
      <c r="K1670" s="32" t="n">
        <f aca="false">IF(G1670&gt;0,H1670/G1670,0)</f>
        <v>-0</v>
      </c>
      <c r="L1670" s="59" t="n">
        <f aca="false">H1670/Settings!$B$16</f>
        <v>-0</v>
      </c>
      <c r="M1670" s="59" t="n">
        <f aca="false">H1670/Settings!$B$20</f>
        <v>-0</v>
      </c>
      <c r="N1670" s="60" t="n">
        <f aca="false">E1670*Settings!$B$3</f>
        <v>3.90425503605737</v>
      </c>
      <c r="O1670" s="60" t="n">
        <f aca="false">IF(E1670&gt;0,(F1670-N1670)/SQRT(E1670*Settings!$B$3*(1-Settings!$B$3)),0)</f>
        <v>-2.00726216029154</v>
      </c>
      <c r="P1670" s="60" t="n">
        <f aca="false">MAX(0,F1670-N1670)</f>
        <v>0</v>
      </c>
      <c r="Q1670" s="32" t="n">
        <f aca="false">(F1670+Settings!$B$7*Settings!$B$3)/(E1670+Settings!$B$7)</f>
        <v>0.00595887520765777</v>
      </c>
      <c r="R1670" s="61" t="n">
        <f aca="false">PERCENTRANK($H$2:$H$1780,H1670,6)</f>
        <v>0</v>
      </c>
      <c r="S1670" s="61" t="n">
        <f aca="false">PERCENTRANK($Q$2:$Q$1780,Q1670,6)</f>
        <v>0.0056243</v>
      </c>
      <c r="T1670" s="61" t="n">
        <f aca="false">PERCENTRANK($F$2:$F$1780,F1670,6)</f>
        <v>0</v>
      </c>
      <c r="U1670" s="62" t="n">
        <f aca="false">IF(F1670&gt;0,(Settings!$B$8*T1670+Settings!$B$9*R1670+Settings!$B$10*S1670)/SUM(Settings!$B$8:$B$10),0)</f>
        <v>0</v>
      </c>
      <c r="V1670" s="56" t="str">
        <f aca="false">IF(U1670&gt;0,RANK(U1670,$U$2:$U$1780)+COUNTIF($U$2:U1670,U1670)-1,"")</f>
        <v/>
      </c>
      <c r="W1670" s="56" t="str">
        <f aca="false">IF(V1670="","",IF(V1670&lt;=Settings!$B$11,"1 - Fix first",IF(V1670&lt;=Settings!$B$12,"2 - Review","3 - Monitor")))</f>
        <v/>
      </c>
      <c r="X1670" s="56" t="str">
        <f aca="false">IF(AND(E1670&gt;=Settings!$B$4,F1670&gt;=Settings!$B$5,O1670&gt;=Settings!$B$6),"HIGH RATE","")</f>
        <v/>
      </c>
      <c r="Y1670" s="56" t="str">
        <f aca="false">IF(F1670&gt;0,RANK(F1670,$F$2:$F$1780)+COUNTIF($F$2:F1670,F1670)-1,"")</f>
        <v/>
      </c>
      <c r="Z1670" s="56" t="str">
        <f aca="false">IF(H1670&gt;0,RANK(H1670,$H$2:$H$1780)+COUNTIF($H$2:H1670,H1670)-1,"")</f>
        <v/>
      </c>
      <c r="AA1670" s="56" t="str">
        <f aca="false">IF(AC1670="","",RANK(AC1670,$AC$2:$AC$1780)+COUNTIF($AC$2:AC1670,AC1670)-1)</f>
        <v/>
      </c>
      <c r="AB1670" s="56" t="str">
        <f aca="false">IF(AD1670="","",RANK(AD1670,$AD$2:$AD$1780)+COUNTIF($AD$2:AD1670,AD1670)-1)</f>
        <v/>
      </c>
      <c r="AC1670" s="56" t="str">
        <f aca="false">IF(AND(F1670&gt;0,E1670&gt;=Settings!$B$4),J1670,"")</f>
        <v/>
      </c>
      <c r="AD1670" s="56" t="str">
        <f aca="false">IF(X1670="HIGH RATE",O1670,"")</f>
        <v/>
      </c>
    </row>
    <row r="1671" customFormat="false" ht="15" hidden="false" customHeight="false" outlineLevel="0" collapsed="false">
      <c r="A1671" s="56" t="s">
        <v>3162</v>
      </c>
      <c r="B1671" s="56" t="s">
        <v>3163</v>
      </c>
      <c r="C1671" s="56" t="s">
        <v>186</v>
      </c>
      <c r="D1671" s="56" t="str">
        <f aca="false">IFERROR(INDEX('Brand Map'!$B$4:$B$124,MATCH(C1671,'Brand Map'!$A$4:$A$124,0)),"Other")</f>
        <v>MDLR</v>
      </c>
      <c r="E1671" s="57" t="n">
        <v>32</v>
      </c>
      <c r="F1671" s="57" t="n">
        <v>0</v>
      </c>
      <c r="G1671" s="58" t="n">
        <v>3295.06</v>
      </c>
      <c r="H1671" s="58" t="n">
        <v>0</v>
      </c>
      <c r="I1671" s="58" t="n">
        <v>3295.06</v>
      </c>
      <c r="J1671" s="32" t="n">
        <f aca="false">IF(E1671&gt;0,F1671/E1671,0)</f>
        <v>0</v>
      </c>
      <c r="K1671" s="32" t="n">
        <f aca="false">IF(G1671&gt;0,H1671/G1671,0)</f>
        <v>-0</v>
      </c>
      <c r="L1671" s="59" t="n">
        <f aca="false">H1671/Settings!$B$16</f>
        <v>-0</v>
      </c>
      <c r="M1671" s="59" t="n">
        <f aca="false">H1671/Settings!$B$20</f>
        <v>-0</v>
      </c>
      <c r="N1671" s="60" t="n">
        <f aca="false">E1671*Settings!$B$3</f>
        <v>0.991556834554253</v>
      </c>
      <c r="O1671" s="60" t="n">
        <f aca="false">IF(E1671&gt;0,(F1671-N1671)/SQRT(E1671*Settings!$B$3*(1-Settings!$B$3)),0)</f>
        <v>-1.01156504614127</v>
      </c>
      <c r="P1671" s="60" t="n">
        <f aca="false">MAX(0,F1671-N1671)</f>
        <v>0</v>
      </c>
      <c r="Q1671" s="32" t="n">
        <f aca="false">(F1671+Settings!$B$7*Settings!$B$3)/(E1671+Settings!$B$7)</f>
        <v>0.0149932989095905</v>
      </c>
      <c r="R1671" s="61" t="n">
        <f aca="false">PERCENTRANK($H$2:$H$1780,H1671,6)</f>
        <v>0</v>
      </c>
      <c r="S1671" s="61" t="n">
        <f aca="false">PERCENTRANK($Q$2:$Q$1780,Q1671,6)</f>
        <v>0.0399325</v>
      </c>
      <c r="T1671" s="61" t="n">
        <f aca="false">PERCENTRANK($F$2:$F$1780,F1671,6)</f>
        <v>0</v>
      </c>
      <c r="U1671" s="62" t="n">
        <f aca="false">IF(F1671&gt;0,(Settings!$B$8*T1671+Settings!$B$9*R1671+Settings!$B$10*S1671)/SUM(Settings!$B$8:$B$10),0)</f>
        <v>0</v>
      </c>
      <c r="V1671" s="56" t="str">
        <f aca="false">IF(U1671&gt;0,RANK(U1671,$U$2:$U$1780)+COUNTIF($U$2:U1671,U1671)-1,"")</f>
        <v/>
      </c>
      <c r="W1671" s="56" t="str">
        <f aca="false">IF(V1671="","",IF(V1671&lt;=Settings!$B$11,"1 - Fix first",IF(V1671&lt;=Settings!$B$12,"2 - Review","3 - Monitor")))</f>
        <v/>
      </c>
      <c r="X1671" s="56" t="str">
        <f aca="false">IF(AND(E1671&gt;=Settings!$B$4,F1671&gt;=Settings!$B$5,O1671&gt;=Settings!$B$6),"HIGH RATE","")</f>
        <v/>
      </c>
      <c r="Y1671" s="56" t="str">
        <f aca="false">IF(F1671&gt;0,RANK(F1671,$F$2:$F$1780)+COUNTIF($F$2:F1671,F1671)-1,"")</f>
        <v/>
      </c>
      <c r="Z1671" s="56" t="str">
        <f aca="false">IF(H1671&gt;0,RANK(H1671,$H$2:$H$1780)+COUNTIF($H$2:H1671,H1671)-1,"")</f>
        <v/>
      </c>
      <c r="AA1671" s="56" t="str">
        <f aca="false">IF(AC1671="","",RANK(AC1671,$AC$2:$AC$1780)+COUNTIF($AC$2:AC1671,AC1671)-1)</f>
        <v/>
      </c>
      <c r="AB1671" s="56" t="str">
        <f aca="false">IF(AD1671="","",RANK(AD1671,$AD$2:$AD$1780)+COUNTIF($AD$2:AD1671,AD1671)-1)</f>
        <v/>
      </c>
      <c r="AC1671" s="56" t="str">
        <f aca="false">IF(AND(F1671&gt;0,E1671&gt;=Settings!$B$4),J1671,"")</f>
        <v/>
      </c>
      <c r="AD1671" s="56" t="str">
        <f aca="false">IF(X1671="HIGH RATE",O1671,"")</f>
        <v/>
      </c>
    </row>
    <row r="1672" customFormat="false" ht="15" hidden="false" customHeight="false" outlineLevel="0" collapsed="false">
      <c r="A1672" s="56" t="s">
        <v>3164</v>
      </c>
      <c r="B1672" s="56" t="s">
        <v>3165</v>
      </c>
      <c r="C1672" s="56" t="s">
        <v>186</v>
      </c>
      <c r="D1672" s="56" t="str">
        <f aca="false">IFERROR(INDEX('Brand Map'!$B$4:$B$124,MATCH(C1672,'Brand Map'!$A$4:$A$124,0)),"Other")</f>
        <v>MDLR</v>
      </c>
      <c r="E1672" s="57" t="n">
        <v>7</v>
      </c>
      <c r="F1672" s="57" t="n">
        <v>0</v>
      </c>
      <c r="G1672" s="58" t="n">
        <v>846.94</v>
      </c>
      <c r="H1672" s="58" t="n">
        <v>0</v>
      </c>
      <c r="I1672" s="58" t="n">
        <v>846.94</v>
      </c>
      <c r="J1672" s="32" t="n">
        <f aca="false">IF(E1672&gt;0,F1672/E1672,0)</f>
        <v>0</v>
      </c>
      <c r="K1672" s="32" t="n">
        <f aca="false">IF(G1672&gt;0,H1672/G1672,0)</f>
        <v>-0</v>
      </c>
      <c r="L1672" s="59" t="n">
        <f aca="false">H1672/Settings!$B$16</f>
        <v>-0</v>
      </c>
      <c r="M1672" s="59" t="n">
        <f aca="false">H1672/Settings!$B$20</f>
        <v>-0</v>
      </c>
      <c r="N1672" s="60" t="n">
        <f aca="false">E1672*Settings!$B$3</f>
        <v>0.216903057558743</v>
      </c>
      <c r="O1672" s="60" t="n">
        <f aca="false">IF(E1672&gt;0,(F1672-N1672)/SQRT(E1672*Settings!$B$3*(1-Settings!$B$3)),0)</f>
        <v>-0.473116228387102</v>
      </c>
      <c r="P1672" s="60" t="n">
        <f aca="false">MAX(0,F1672-N1672)</f>
        <v>0</v>
      </c>
      <c r="Q1672" s="32" t="n">
        <f aca="false">(F1672+Settings!$B$7*Settings!$B$3)/(E1672+Settings!$B$7)</f>
        <v>0.0251239062809355</v>
      </c>
      <c r="R1672" s="61" t="n">
        <f aca="false">PERCENTRANK($H$2:$H$1780,H1672,6)</f>
        <v>0</v>
      </c>
      <c r="S1672" s="61" t="n">
        <f aca="false">PERCENTRANK($Q$2:$Q$1780,Q1672,6)</f>
        <v>0.168166</v>
      </c>
      <c r="T1672" s="61" t="n">
        <f aca="false">PERCENTRANK($F$2:$F$1780,F1672,6)</f>
        <v>0</v>
      </c>
      <c r="U1672" s="62" t="n">
        <f aca="false">IF(F1672&gt;0,(Settings!$B$8*T1672+Settings!$B$9*R1672+Settings!$B$10*S1672)/SUM(Settings!$B$8:$B$10),0)</f>
        <v>0</v>
      </c>
      <c r="V1672" s="56" t="str">
        <f aca="false">IF(U1672&gt;0,RANK(U1672,$U$2:$U$1780)+COUNTIF($U$2:U1672,U1672)-1,"")</f>
        <v/>
      </c>
      <c r="W1672" s="56" t="str">
        <f aca="false">IF(V1672="","",IF(V1672&lt;=Settings!$B$11,"1 - Fix first",IF(V1672&lt;=Settings!$B$12,"2 - Review","3 - Monitor")))</f>
        <v/>
      </c>
      <c r="X1672" s="56" t="str">
        <f aca="false">IF(AND(E1672&gt;=Settings!$B$4,F1672&gt;=Settings!$B$5,O1672&gt;=Settings!$B$6),"HIGH RATE","")</f>
        <v/>
      </c>
      <c r="Y1672" s="56" t="str">
        <f aca="false">IF(F1672&gt;0,RANK(F1672,$F$2:$F$1780)+COUNTIF($F$2:F1672,F1672)-1,"")</f>
        <v/>
      </c>
      <c r="Z1672" s="56" t="str">
        <f aca="false">IF(H1672&gt;0,RANK(H1672,$H$2:$H$1780)+COUNTIF($H$2:H1672,H1672)-1,"")</f>
        <v/>
      </c>
      <c r="AA1672" s="56" t="str">
        <f aca="false">IF(AC1672="","",RANK(AC1672,$AC$2:$AC$1780)+COUNTIF($AC$2:AC1672,AC1672)-1)</f>
        <v/>
      </c>
      <c r="AB1672" s="56" t="str">
        <f aca="false">IF(AD1672="","",RANK(AD1672,$AD$2:$AD$1780)+COUNTIF($AD$2:AD1672,AD1672)-1)</f>
        <v/>
      </c>
      <c r="AC1672" s="56" t="str">
        <f aca="false">IF(AND(F1672&gt;0,E1672&gt;=Settings!$B$4),J1672,"")</f>
        <v/>
      </c>
      <c r="AD1672" s="56" t="str">
        <f aca="false">IF(X1672="HIGH RATE",O1672,"")</f>
        <v/>
      </c>
    </row>
    <row r="1673" customFormat="false" ht="15" hidden="false" customHeight="false" outlineLevel="0" collapsed="false">
      <c r="A1673" s="56" t="s">
        <v>3166</v>
      </c>
      <c r="B1673" s="56" t="s">
        <v>3167</v>
      </c>
      <c r="C1673" s="56" t="s">
        <v>186</v>
      </c>
      <c r="D1673" s="56" t="str">
        <f aca="false">IFERROR(INDEX('Brand Map'!$B$4:$B$124,MATCH(C1673,'Brand Map'!$A$4:$A$124,0)),"Other")</f>
        <v>MDLR</v>
      </c>
      <c r="E1673" s="57" t="n">
        <v>33</v>
      </c>
      <c r="F1673" s="57" t="n">
        <v>0</v>
      </c>
      <c r="G1673" s="58" t="n">
        <v>3680.34</v>
      </c>
      <c r="H1673" s="58" t="n">
        <v>0</v>
      </c>
      <c r="I1673" s="58" t="n">
        <v>3670.35</v>
      </c>
      <c r="J1673" s="32" t="n">
        <f aca="false">IF(E1673&gt;0,F1673/E1673,0)</f>
        <v>0</v>
      </c>
      <c r="K1673" s="32" t="n">
        <f aca="false">IF(G1673&gt;0,H1673/G1673,0)</f>
        <v>-0</v>
      </c>
      <c r="L1673" s="59" t="n">
        <f aca="false">H1673/Settings!$B$16</f>
        <v>-0</v>
      </c>
      <c r="M1673" s="59" t="n">
        <f aca="false">H1673/Settings!$B$20</f>
        <v>-0</v>
      </c>
      <c r="N1673" s="60" t="n">
        <f aca="false">E1673*Settings!$B$3</f>
        <v>1.02254298563407</v>
      </c>
      <c r="O1673" s="60" t="n">
        <f aca="false">IF(E1673&gt;0,(F1673-N1673)/SQRT(E1673*Settings!$B$3*(1-Settings!$B$3)),0)</f>
        <v>-1.02724916045488</v>
      </c>
      <c r="P1673" s="60" t="n">
        <f aca="false">MAX(0,F1673-N1673)</f>
        <v>0</v>
      </c>
      <c r="Q1673" s="32" t="n">
        <f aca="false">(F1673+Settings!$B$7*Settings!$B$3)/(E1673+Settings!$B$7)</f>
        <v>0.0147553100380097</v>
      </c>
      <c r="R1673" s="61" t="n">
        <f aca="false">PERCENTRANK($H$2:$H$1780,H1673,6)</f>
        <v>0</v>
      </c>
      <c r="S1673" s="61" t="n">
        <f aca="false">PERCENTRANK($Q$2:$Q$1780,Q1673,6)</f>
        <v>0.0376828</v>
      </c>
      <c r="T1673" s="61" t="n">
        <f aca="false">PERCENTRANK($F$2:$F$1780,F1673,6)</f>
        <v>0</v>
      </c>
      <c r="U1673" s="62" t="n">
        <f aca="false">IF(F1673&gt;0,(Settings!$B$8*T1673+Settings!$B$9*R1673+Settings!$B$10*S1673)/SUM(Settings!$B$8:$B$10),0)</f>
        <v>0</v>
      </c>
      <c r="V1673" s="56" t="str">
        <f aca="false">IF(U1673&gt;0,RANK(U1673,$U$2:$U$1780)+COUNTIF($U$2:U1673,U1673)-1,"")</f>
        <v/>
      </c>
      <c r="W1673" s="56" t="str">
        <f aca="false">IF(V1673="","",IF(V1673&lt;=Settings!$B$11,"1 - Fix first",IF(V1673&lt;=Settings!$B$12,"2 - Review","3 - Monitor")))</f>
        <v/>
      </c>
      <c r="X1673" s="56" t="str">
        <f aca="false">IF(AND(E1673&gt;=Settings!$B$4,F1673&gt;=Settings!$B$5,O1673&gt;=Settings!$B$6),"HIGH RATE","")</f>
        <v/>
      </c>
      <c r="Y1673" s="56" t="str">
        <f aca="false">IF(F1673&gt;0,RANK(F1673,$F$2:$F$1780)+COUNTIF($F$2:F1673,F1673)-1,"")</f>
        <v/>
      </c>
      <c r="Z1673" s="56" t="str">
        <f aca="false">IF(H1673&gt;0,RANK(H1673,$H$2:$H$1780)+COUNTIF($H$2:H1673,H1673)-1,"")</f>
        <v/>
      </c>
      <c r="AA1673" s="56" t="str">
        <f aca="false">IF(AC1673="","",RANK(AC1673,$AC$2:$AC$1780)+COUNTIF($AC$2:AC1673,AC1673)-1)</f>
        <v/>
      </c>
      <c r="AB1673" s="56" t="str">
        <f aca="false">IF(AD1673="","",RANK(AD1673,$AD$2:$AD$1780)+COUNTIF($AD$2:AD1673,AD1673)-1)</f>
        <v/>
      </c>
      <c r="AC1673" s="56" t="str">
        <f aca="false">IF(AND(F1673&gt;0,E1673&gt;=Settings!$B$4),J1673,"")</f>
        <v/>
      </c>
      <c r="AD1673" s="56" t="str">
        <f aca="false">IF(X1673="HIGH RATE",O1673,"")</f>
        <v/>
      </c>
    </row>
    <row r="1674" customFormat="false" ht="15" hidden="false" customHeight="false" outlineLevel="0" collapsed="false">
      <c r="A1674" s="56" t="s">
        <v>3168</v>
      </c>
      <c r="B1674" s="56" t="s">
        <v>3169</v>
      </c>
      <c r="C1674" s="56" t="s">
        <v>186</v>
      </c>
      <c r="D1674" s="56" t="str">
        <f aca="false">IFERROR(INDEX('Brand Map'!$B$4:$B$124,MATCH(C1674,'Brand Map'!$A$4:$A$124,0)),"Other")</f>
        <v>MDLR</v>
      </c>
      <c r="E1674" s="57" t="n">
        <v>6</v>
      </c>
      <c r="F1674" s="57" t="n">
        <v>0</v>
      </c>
      <c r="G1674" s="58" t="n">
        <v>782.7</v>
      </c>
      <c r="H1674" s="58" t="n">
        <v>0</v>
      </c>
      <c r="I1674" s="58" t="n">
        <v>782.7</v>
      </c>
      <c r="J1674" s="32" t="n">
        <f aca="false">IF(E1674&gt;0,F1674/E1674,0)</f>
        <v>0</v>
      </c>
      <c r="K1674" s="32" t="n">
        <f aca="false">IF(G1674&gt;0,H1674/G1674,0)</f>
        <v>-0</v>
      </c>
      <c r="L1674" s="59" t="n">
        <f aca="false">H1674/Settings!$B$16</f>
        <v>-0</v>
      </c>
      <c r="M1674" s="59" t="n">
        <f aca="false">H1674/Settings!$B$20</f>
        <v>-0</v>
      </c>
      <c r="N1674" s="60" t="n">
        <f aca="false">E1674*Settings!$B$3</f>
        <v>0.185916906478923</v>
      </c>
      <c r="O1674" s="60" t="n">
        <f aca="false">IF(E1674&gt;0,(F1674-N1674)/SQRT(E1674*Settings!$B$3*(1-Settings!$B$3)),0)</f>
        <v>-0.43802051376936</v>
      </c>
      <c r="P1674" s="60" t="n">
        <f aca="false">MAX(0,F1674-N1674)</f>
        <v>0</v>
      </c>
      <c r="Q1674" s="32" t="n">
        <f aca="false">(F1674+Settings!$B$7*Settings!$B$3)/(E1674+Settings!$B$7)</f>
        <v>0.025821792566517</v>
      </c>
      <c r="R1674" s="61" t="n">
        <f aca="false">PERCENTRANK($H$2:$H$1780,H1674,6)</f>
        <v>0</v>
      </c>
      <c r="S1674" s="61" t="n">
        <f aca="false">PERCENTRANK($Q$2:$Q$1780,Q1674,6)</f>
        <v>0.189539</v>
      </c>
      <c r="T1674" s="61" t="n">
        <f aca="false">PERCENTRANK($F$2:$F$1780,F1674,6)</f>
        <v>0</v>
      </c>
      <c r="U1674" s="62" t="n">
        <f aca="false">IF(F1674&gt;0,(Settings!$B$8*T1674+Settings!$B$9*R1674+Settings!$B$10*S1674)/SUM(Settings!$B$8:$B$10),0)</f>
        <v>0</v>
      </c>
      <c r="V1674" s="56" t="str">
        <f aca="false">IF(U1674&gt;0,RANK(U1674,$U$2:$U$1780)+COUNTIF($U$2:U1674,U1674)-1,"")</f>
        <v/>
      </c>
      <c r="W1674" s="56" t="str">
        <f aca="false">IF(V1674="","",IF(V1674&lt;=Settings!$B$11,"1 - Fix first",IF(V1674&lt;=Settings!$B$12,"2 - Review","3 - Monitor")))</f>
        <v/>
      </c>
      <c r="X1674" s="56" t="str">
        <f aca="false">IF(AND(E1674&gt;=Settings!$B$4,F1674&gt;=Settings!$B$5,O1674&gt;=Settings!$B$6),"HIGH RATE","")</f>
        <v/>
      </c>
      <c r="Y1674" s="56" t="str">
        <f aca="false">IF(F1674&gt;0,RANK(F1674,$F$2:$F$1780)+COUNTIF($F$2:F1674,F1674)-1,"")</f>
        <v/>
      </c>
      <c r="Z1674" s="56" t="str">
        <f aca="false">IF(H1674&gt;0,RANK(H1674,$H$2:$H$1780)+COUNTIF($H$2:H1674,H1674)-1,"")</f>
        <v/>
      </c>
      <c r="AA1674" s="56" t="str">
        <f aca="false">IF(AC1674="","",RANK(AC1674,$AC$2:$AC$1780)+COUNTIF($AC$2:AC1674,AC1674)-1)</f>
        <v/>
      </c>
      <c r="AB1674" s="56" t="str">
        <f aca="false">IF(AD1674="","",RANK(AD1674,$AD$2:$AD$1780)+COUNTIF($AD$2:AD1674,AD1674)-1)</f>
        <v/>
      </c>
      <c r="AC1674" s="56" t="str">
        <f aca="false">IF(AND(F1674&gt;0,E1674&gt;=Settings!$B$4),J1674,"")</f>
        <v/>
      </c>
      <c r="AD1674" s="56" t="str">
        <f aca="false">IF(X1674="HIGH RATE",O1674,"")</f>
        <v/>
      </c>
    </row>
    <row r="1675" customFormat="false" ht="15" hidden="false" customHeight="false" outlineLevel="0" collapsed="false">
      <c r="A1675" s="56" t="s">
        <v>3170</v>
      </c>
      <c r="B1675" s="56" t="s">
        <v>2851</v>
      </c>
      <c r="C1675" s="56" t="s">
        <v>186</v>
      </c>
      <c r="D1675" s="56" t="str">
        <f aca="false">IFERROR(INDEX('Brand Map'!$B$4:$B$124,MATCH(C1675,'Brand Map'!$A$4:$A$124,0)),"Other")</f>
        <v>MDLR</v>
      </c>
      <c r="E1675" s="57" t="n">
        <v>6</v>
      </c>
      <c r="F1675" s="57" t="n">
        <v>0</v>
      </c>
      <c r="G1675" s="58" t="n">
        <v>909.16</v>
      </c>
      <c r="H1675" s="58" t="n">
        <v>0</v>
      </c>
      <c r="I1675" s="58" t="n">
        <v>909.16</v>
      </c>
      <c r="J1675" s="32" t="n">
        <f aca="false">IF(E1675&gt;0,F1675/E1675,0)</f>
        <v>0</v>
      </c>
      <c r="K1675" s="32" t="n">
        <f aca="false">IF(G1675&gt;0,H1675/G1675,0)</f>
        <v>-0</v>
      </c>
      <c r="L1675" s="59" t="n">
        <f aca="false">H1675/Settings!$B$16</f>
        <v>-0</v>
      </c>
      <c r="M1675" s="59" t="n">
        <f aca="false">H1675/Settings!$B$20</f>
        <v>-0</v>
      </c>
      <c r="N1675" s="60" t="n">
        <f aca="false">E1675*Settings!$B$3</f>
        <v>0.185916906478923</v>
      </c>
      <c r="O1675" s="60" t="n">
        <f aca="false">IF(E1675&gt;0,(F1675-N1675)/SQRT(E1675*Settings!$B$3*(1-Settings!$B$3)),0)</f>
        <v>-0.43802051376936</v>
      </c>
      <c r="P1675" s="60" t="n">
        <f aca="false">MAX(0,F1675-N1675)</f>
        <v>0</v>
      </c>
      <c r="Q1675" s="32" t="n">
        <f aca="false">(F1675+Settings!$B$7*Settings!$B$3)/(E1675+Settings!$B$7)</f>
        <v>0.025821792566517</v>
      </c>
      <c r="R1675" s="61" t="n">
        <f aca="false">PERCENTRANK($H$2:$H$1780,H1675,6)</f>
        <v>0</v>
      </c>
      <c r="S1675" s="61" t="n">
        <f aca="false">PERCENTRANK($Q$2:$Q$1780,Q1675,6)</f>
        <v>0.189539</v>
      </c>
      <c r="T1675" s="61" t="n">
        <f aca="false">PERCENTRANK($F$2:$F$1780,F1675,6)</f>
        <v>0</v>
      </c>
      <c r="U1675" s="62" t="n">
        <f aca="false">IF(F1675&gt;0,(Settings!$B$8*T1675+Settings!$B$9*R1675+Settings!$B$10*S1675)/SUM(Settings!$B$8:$B$10),0)</f>
        <v>0</v>
      </c>
      <c r="V1675" s="56" t="str">
        <f aca="false">IF(U1675&gt;0,RANK(U1675,$U$2:$U$1780)+COUNTIF($U$2:U1675,U1675)-1,"")</f>
        <v/>
      </c>
      <c r="W1675" s="56" t="str">
        <f aca="false">IF(V1675="","",IF(V1675&lt;=Settings!$B$11,"1 - Fix first",IF(V1675&lt;=Settings!$B$12,"2 - Review","3 - Monitor")))</f>
        <v/>
      </c>
      <c r="X1675" s="56" t="str">
        <f aca="false">IF(AND(E1675&gt;=Settings!$B$4,F1675&gt;=Settings!$B$5,O1675&gt;=Settings!$B$6),"HIGH RATE","")</f>
        <v/>
      </c>
      <c r="Y1675" s="56" t="str">
        <f aca="false">IF(F1675&gt;0,RANK(F1675,$F$2:$F$1780)+COUNTIF($F$2:F1675,F1675)-1,"")</f>
        <v/>
      </c>
      <c r="Z1675" s="56" t="str">
        <f aca="false">IF(H1675&gt;0,RANK(H1675,$H$2:$H$1780)+COUNTIF($H$2:H1675,H1675)-1,"")</f>
        <v/>
      </c>
      <c r="AA1675" s="56" t="str">
        <f aca="false">IF(AC1675="","",RANK(AC1675,$AC$2:$AC$1780)+COUNTIF($AC$2:AC1675,AC1675)-1)</f>
        <v/>
      </c>
      <c r="AB1675" s="56" t="str">
        <f aca="false">IF(AD1675="","",RANK(AD1675,$AD$2:$AD$1780)+COUNTIF($AD$2:AD1675,AD1675)-1)</f>
        <v/>
      </c>
      <c r="AC1675" s="56" t="str">
        <f aca="false">IF(AND(F1675&gt;0,E1675&gt;=Settings!$B$4),J1675,"")</f>
        <v/>
      </c>
      <c r="AD1675" s="56" t="str">
        <f aca="false">IF(X1675="HIGH RATE",O1675,"")</f>
        <v/>
      </c>
    </row>
    <row r="1676" customFormat="false" ht="15" hidden="false" customHeight="false" outlineLevel="0" collapsed="false">
      <c r="A1676" s="56" t="s">
        <v>3171</v>
      </c>
      <c r="B1676" s="56" t="s">
        <v>625</v>
      </c>
      <c r="C1676" s="56" t="s">
        <v>623</v>
      </c>
      <c r="D1676" s="56" t="str">
        <f aca="false">IFERROR(INDEX('Brand Map'!$B$4:$B$124,MATCH(C1676,'Brand Map'!$A$4:$A$124,0)),"Other")</f>
        <v>Other (small prefixes)</v>
      </c>
      <c r="E1676" s="57" t="n">
        <v>1</v>
      </c>
      <c r="F1676" s="57" t="n">
        <v>0</v>
      </c>
      <c r="G1676" s="58" t="n">
        <v>109.95</v>
      </c>
      <c r="H1676" s="58" t="n">
        <v>0</v>
      </c>
      <c r="I1676" s="58" t="n">
        <v>109.95</v>
      </c>
      <c r="J1676" s="32" t="n">
        <f aca="false">IF(E1676&gt;0,F1676/E1676,0)</f>
        <v>0</v>
      </c>
      <c r="K1676" s="32" t="n">
        <f aca="false">IF(G1676&gt;0,H1676/G1676,0)</f>
        <v>-0</v>
      </c>
      <c r="L1676" s="59" t="n">
        <f aca="false">H1676/Settings!$B$16</f>
        <v>-0</v>
      </c>
      <c r="M1676" s="59" t="n">
        <f aca="false">H1676/Settings!$B$20</f>
        <v>-0</v>
      </c>
      <c r="N1676" s="60" t="n">
        <f aca="false">E1676*Settings!$B$3</f>
        <v>0.0309861510798204</v>
      </c>
      <c r="O1676" s="60" t="n">
        <f aca="false">IF(E1676&gt;0,(F1676-N1676)/SQRT(E1676*Settings!$B$3*(1-Settings!$B$3)),0)</f>
        <v>-0.178821125934444</v>
      </c>
      <c r="P1676" s="60" t="n">
        <f aca="false">MAX(0,F1676-N1676)</f>
        <v>0</v>
      </c>
      <c r="Q1676" s="32" t="n">
        <f aca="false">(F1676+Settings!$B$7*Settings!$B$3)/(E1676+Settings!$B$7)</f>
        <v>0.0299865978191811</v>
      </c>
      <c r="R1676" s="61" t="n">
        <f aca="false">PERCENTRANK($H$2:$H$1780,H1676,6)</f>
        <v>0</v>
      </c>
      <c r="S1676" s="61" t="n">
        <f aca="false">PERCENTRANK($Q$2:$Q$1780,Q1676,6)</f>
        <v>0.486502</v>
      </c>
      <c r="T1676" s="61" t="n">
        <f aca="false">PERCENTRANK($F$2:$F$1780,F1676,6)</f>
        <v>0</v>
      </c>
      <c r="U1676" s="62" t="n">
        <f aca="false">IF(F1676&gt;0,(Settings!$B$8*T1676+Settings!$B$9*R1676+Settings!$B$10*S1676)/SUM(Settings!$B$8:$B$10),0)</f>
        <v>0</v>
      </c>
      <c r="V1676" s="56" t="str">
        <f aca="false">IF(U1676&gt;0,RANK(U1676,$U$2:$U$1780)+COUNTIF($U$2:U1676,U1676)-1,"")</f>
        <v/>
      </c>
      <c r="W1676" s="56" t="str">
        <f aca="false">IF(V1676="","",IF(V1676&lt;=Settings!$B$11,"1 - Fix first",IF(V1676&lt;=Settings!$B$12,"2 - Review","3 - Monitor")))</f>
        <v/>
      </c>
      <c r="X1676" s="56" t="str">
        <f aca="false">IF(AND(E1676&gt;=Settings!$B$4,F1676&gt;=Settings!$B$5,O1676&gt;=Settings!$B$6),"HIGH RATE","")</f>
        <v/>
      </c>
      <c r="Y1676" s="56" t="str">
        <f aca="false">IF(F1676&gt;0,RANK(F1676,$F$2:$F$1780)+COUNTIF($F$2:F1676,F1676)-1,"")</f>
        <v/>
      </c>
      <c r="Z1676" s="56" t="str">
        <f aca="false">IF(H1676&gt;0,RANK(H1676,$H$2:$H$1780)+COUNTIF($H$2:H1676,H1676)-1,"")</f>
        <v/>
      </c>
      <c r="AA1676" s="56" t="str">
        <f aca="false">IF(AC1676="","",RANK(AC1676,$AC$2:$AC$1780)+COUNTIF($AC$2:AC1676,AC1676)-1)</f>
        <v/>
      </c>
      <c r="AB1676" s="56" t="str">
        <f aca="false">IF(AD1676="","",RANK(AD1676,$AD$2:$AD$1780)+COUNTIF($AD$2:AD1676,AD1676)-1)</f>
        <v/>
      </c>
      <c r="AC1676" s="56" t="str">
        <f aca="false">IF(AND(F1676&gt;0,E1676&gt;=Settings!$B$4),J1676,"")</f>
        <v/>
      </c>
      <c r="AD1676" s="56" t="str">
        <f aca="false">IF(X1676="HIGH RATE",O1676,"")</f>
        <v/>
      </c>
    </row>
    <row r="1677" customFormat="false" ht="15" hidden="false" customHeight="false" outlineLevel="0" collapsed="false">
      <c r="A1677" s="56" t="s">
        <v>3172</v>
      </c>
      <c r="B1677" s="56" t="s">
        <v>625</v>
      </c>
      <c r="C1677" s="56" t="s">
        <v>623</v>
      </c>
      <c r="D1677" s="56" t="str">
        <f aca="false">IFERROR(INDEX('Brand Map'!$B$4:$B$124,MATCH(C1677,'Brand Map'!$A$4:$A$124,0)),"Other")</f>
        <v>Other (small prefixes)</v>
      </c>
      <c r="E1677" s="57" t="n">
        <v>3</v>
      </c>
      <c r="F1677" s="57" t="n">
        <v>0</v>
      </c>
      <c r="G1677" s="58" t="n">
        <v>389.85</v>
      </c>
      <c r="H1677" s="58" t="n">
        <v>0</v>
      </c>
      <c r="I1677" s="58" t="n">
        <v>389.85</v>
      </c>
      <c r="J1677" s="32" t="n">
        <f aca="false">IF(E1677&gt;0,F1677/E1677,0)</f>
        <v>0</v>
      </c>
      <c r="K1677" s="32" t="n">
        <f aca="false">IF(G1677&gt;0,H1677/G1677,0)</f>
        <v>-0</v>
      </c>
      <c r="L1677" s="59" t="n">
        <f aca="false">H1677/Settings!$B$16</f>
        <v>-0</v>
      </c>
      <c r="M1677" s="59" t="n">
        <f aca="false">H1677/Settings!$B$20</f>
        <v>-0</v>
      </c>
      <c r="N1677" s="60" t="n">
        <f aca="false">E1677*Settings!$B$3</f>
        <v>0.0929584532394613</v>
      </c>
      <c r="O1677" s="60" t="n">
        <f aca="false">IF(E1677&gt;0,(F1677-N1677)/SQRT(E1677*Settings!$B$3*(1-Settings!$B$3)),0)</f>
        <v>-0.30972727558513</v>
      </c>
      <c r="P1677" s="60" t="n">
        <f aca="false">MAX(0,F1677-N1677)</f>
        <v>0</v>
      </c>
      <c r="Q1677" s="32" t="n">
        <f aca="false">(F1677+Settings!$B$7*Settings!$B$3)/(E1677+Settings!$B$7)</f>
        <v>0.0281692282543822</v>
      </c>
      <c r="R1677" s="61" t="n">
        <f aca="false">PERCENTRANK($H$2:$H$1780,H1677,6)</f>
        <v>0</v>
      </c>
      <c r="S1677" s="61" t="n">
        <f aca="false">PERCENTRANK($Q$2:$Q$1780,Q1677,6)</f>
        <v>0.294151</v>
      </c>
      <c r="T1677" s="61" t="n">
        <f aca="false">PERCENTRANK($F$2:$F$1780,F1677,6)</f>
        <v>0</v>
      </c>
      <c r="U1677" s="62" t="n">
        <f aca="false">IF(F1677&gt;0,(Settings!$B$8*T1677+Settings!$B$9*R1677+Settings!$B$10*S1677)/SUM(Settings!$B$8:$B$10),0)</f>
        <v>0</v>
      </c>
      <c r="V1677" s="56" t="str">
        <f aca="false">IF(U1677&gt;0,RANK(U1677,$U$2:$U$1780)+COUNTIF($U$2:U1677,U1677)-1,"")</f>
        <v/>
      </c>
      <c r="W1677" s="56" t="str">
        <f aca="false">IF(V1677="","",IF(V1677&lt;=Settings!$B$11,"1 - Fix first",IF(V1677&lt;=Settings!$B$12,"2 - Review","3 - Monitor")))</f>
        <v/>
      </c>
      <c r="X1677" s="56" t="str">
        <f aca="false">IF(AND(E1677&gt;=Settings!$B$4,F1677&gt;=Settings!$B$5,O1677&gt;=Settings!$B$6),"HIGH RATE","")</f>
        <v/>
      </c>
      <c r="Y1677" s="56" t="str">
        <f aca="false">IF(F1677&gt;0,RANK(F1677,$F$2:$F$1780)+COUNTIF($F$2:F1677,F1677)-1,"")</f>
        <v/>
      </c>
      <c r="Z1677" s="56" t="str">
        <f aca="false">IF(H1677&gt;0,RANK(H1677,$H$2:$H$1780)+COUNTIF($H$2:H1677,H1677)-1,"")</f>
        <v/>
      </c>
      <c r="AA1677" s="56" t="str">
        <f aca="false">IF(AC1677="","",RANK(AC1677,$AC$2:$AC$1780)+COUNTIF($AC$2:AC1677,AC1677)-1)</f>
        <v/>
      </c>
      <c r="AB1677" s="56" t="str">
        <f aca="false">IF(AD1677="","",RANK(AD1677,$AD$2:$AD$1780)+COUNTIF($AD$2:AD1677,AD1677)-1)</f>
        <v/>
      </c>
      <c r="AC1677" s="56" t="str">
        <f aca="false">IF(AND(F1677&gt;0,E1677&gt;=Settings!$B$4),J1677,"")</f>
        <v/>
      </c>
      <c r="AD1677" s="56" t="str">
        <f aca="false">IF(X1677="HIGH RATE",O1677,"")</f>
        <v/>
      </c>
    </row>
    <row r="1678" customFormat="false" ht="15" hidden="false" customHeight="false" outlineLevel="0" collapsed="false">
      <c r="A1678" s="56" t="s">
        <v>3173</v>
      </c>
      <c r="B1678" s="56" t="s">
        <v>3174</v>
      </c>
      <c r="C1678" s="56" t="s">
        <v>180</v>
      </c>
      <c r="D1678" s="56" t="str">
        <f aca="false">IFERROR(INDEX('Brand Map'!$B$4:$B$124,MATCH(C1678,'Brand Map'!$A$4:$A$124,0)),"Other")</f>
        <v>MDPR</v>
      </c>
      <c r="E1678" s="57" t="n">
        <v>59</v>
      </c>
      <c r="F1678" s="57" t="n">
        <v>0</v>
      </c>
      <c r="G1678" s="58" t="n">
        <v>3640.6</v>
      </c>
      <c r="H1678" s="58" t="n">
        <v>0</v>
      </c>
      <c r="I1678" s="58" t="n">
        <v>3619.12</v>
      </c>
      <c r="J1678" s="32" t="n">
        <f aca="false">IF(E1678&gt;0,F1678/E1678,0)</f>
        <v>0</v>
      </c>
      <c r="K1678" s="32" t="n">
        <f aca="false">IF(G1678&gt;0,H1678/G1678,0)</f>
        <v>-0</v>
      </c>
      <c r="L1678" s="59" t="n">
        <f aca="false">H1678/Settings!$B$16</f>
        <v>-0</v>
      </c>
      <c r="M1678" s="59" t="n">
        <f aca="false">H1678/Settings!$B$20</f>
        <v>-0</v>
      </c>
      <c r="N1678" s="60" t="n">
        <f aca="false">E1678*Settings!$B$3</f>
        <v>1.8281829137094</v>
      </c>
      <c r="O1678" s="60" t="n">
        <f aca="false">IF(E1678&gt;0,(F1678-N1678)/SQRT(E1678*Settings!$B$3*(1-Settings!$B$3)),0)</f>
        <v>-1.37355113110043</v>
      </c>
      <c r="P1678" s="60" t="n">
        <f aca="false">MAX(0,F1678-N1678)</f>
        <v>0</v>
      </c>
      <c r="Q1678" s="32" t="n">
        <f aca="false">(F1678+Settings!$B$7*Settings!$B$3)/(E1678+Settings!$B$7)</f>
        <v>0.0104447700269058</v>
      </c>
      <c r="R1678" s="61" t="n">
        <f aca="false">PERCENTRANK($H$2:$H$1780,H1678,6)</f>
        <v>0</v>
      </c>
      <c r="S1678" s="61" t="n">
        <f aca="false">PERCENTRANK($Q$2:$Q$1780,Q1678,6)</f>
        <v>0.0163105</v>
      </c>
      <c r="T1678" s="61" t="n">
        <f aca="false">PERCENTRANK($F$2:$F$1780,F1678,6)</f>
        <v>0</v>
      </c>
      <c r="U1678" s="62" t="n">
        <f aca="false">IF(F1678&gt;0,(Settings!$B$8*T1678+Settings!$B$9*R1678+Settings!$B$10*S1678)/SUM(Settings!$B$8:$B$10),0)</f>
        <v>0</v>
      </c>
      <c r="V1678" s="56" t="str">
        <f aca="false">IF(U1678&gt;0,RANK(U1678,$U$2:$U$1780)+COUNTIF($U$2:U1678,U1678)-1,"")</f>
        <v/>
      </c>
      <c r="W1678" s="56" t="str">
        <f aca="false">IF(V1678="","",IF(V1678&lt;=Settings!$B$11,"1 - Fix first",IF(V1678&lt;=Settings!$B$12,"2 - Review","3 - Monitor")))</f>
        <v/>
      </c>
      <c r="X1678" s="56" t="str">
        <f aca="false">IF(AND(E1678&gt;=Settings!$B$4,F1678&gt;=Settings!$B$5,O1678&gt;=Settings!$B$6),"HIGH RATE","")</f>
        <v/>
      </c>
      <c r="Y1678" s="56" t="str">
        <f aca="false">IF(F1678&gt;0,RANK(F1678,$F$2:$F$1780)+COUNTIF($F$2:F1678,F1678)-1,"")</f>
        <v/>
      </c>
      <c r="Z1678" s="56" t="str">
        <f aca="false">IF(H1678&gt;0,RANK(H1678,$H$2:$H$1780)+COUNTIF($H$2:H1678,H1678)-1,"")</f>
        <v/>
      </c>
      <c r="AA1678" s="56" t="str">
        <f aca="false">IF(AC1678="","",RANK(AC1678,$AC$2:$AC$1780)+COUNTIF($AC$2:AC1678,AC1678)-1)</f>
        <v/>
      </c>
      <c r="AB1678" s="56" t="str">
        <f aca="false">IF(AD1678="","",RANK(AD1678,$AD$2:$AD$1780)+COUNTIF($AD$2:AD1678,AD1678)-1)</f>
        <v/>
      </c>
      <c r="AC1678" s="56" t="str">
        <f aca="false">IF(AND(F1678&gt;0,E1678&gt;=Settings!$B$4),J1678,"")</f>
        <v/>
      </c>
      <c r="AD1678" s="56" t="str">
        <f aca="false">IF(X1678="HIGH RATE",O1678,"")</f>
        <v/>
      </c>
    </row>
    <row r="1679" customFormat="false" ht="15" hidden="false" customHeight="false" outlineLevel="0" collapsed="false">
      <c r="A1679" s="56" t="s">
        <v>3175</v>
      </c>
      <c r="B1679" s="56" t="s">
        <v>3176</v>
      </c>
      <c r="C1679" s="56" t="s">
        <v>180</v>
      </c>
      <c r="D1679" s="56" t="str">
        <f aca="false">IFERROR(INDEX('Brand Map'!$B$4:$B$124,MATCH(C1679,'Brand Map'!$A$4:$A$124,0)),"Other")</f>
        <v>MDPR</v>
      </c>
      <c r="E1679" s="57" t="n">
        <v>35</v>
      </c>
      <c r="F1679" s="57" t="n">
        <v>0</v>
      </c>
      <c r="G1679" s="58" t="n">
        <v>3909.08</v>
      </c>
      <c r="H1679" s="58" t="n">
        <v>0</v>
      </c>
      <c r="I1679" s="58" t="n">
        <v>3909.08</v>
      </c>
      <c r="J1679" s="32" t="n">
        <f aca="false">IF(E1679&gt;0,F1679/E1679,0)</f>
        <v>0</v>
      </c>
      <c r="K1679" s="32" t="n">
        <f aca="false">IF(G1679&gt;0,H1679/G1679,0)</f>
        <v>-0</v>
      </c>
      <c r="L1679" s="59" t="n">
        <f aca="false">H1679/Settings!$B$16</f>
        <v>-0</v>
      </c>
      <c r="M1679" s="59" t="n">
        <f aca="false">H1679/Settings!$B$20</f>
        <v>-0</v>
      </c>
      <c r="N1679" s="60" t="n">
        <f aca="false">E1679*Settings!$B$3</f>
        <v>1.08451528779371</v>
      </c>
      <c r="O1679" s="60" t="n">
        <f aca="false">IF(E1679&gt;0,(F1679-N1679)/SQRT(E1679*Settings!$B$3*(1-Settings!$B$3)),0)</f>
        <v>-1.05792004793187</v>
      </c>
      <c r="P1679" s="60" t="n">
        <f aca="false">MAX(0,F1679-N1679)</f>
        <v>0</v>
      </c>
      <c r="Q1679" s="32" t="n">
        <f aca="false">(F1679+Settings!$B$7*Settings!$B$3)/(E1679+Settings!$B$7)</f>
        <v>0.0143013004983787</v>
      </c>
      <c r="R1679" s="61" t="n">
        <f aca="false">PERCENTRANK($H$2:$H$1780,H1679,6)</f>
        <v>0</v>
      </c>
      <c r="S1679" s="61" t="n">
        <f aca="false">PERCENTRANK($Q$2:$Q$1780,Q1679,6)</f>
        <v>0.0348706</v>
      </c>
      <c r="T1679" s="61" t="n">
        <f aca="false">PERCENTRANK($F$2:$F$1780,F1679,6)</f>
        <v>0</v>
      </c>
      <c r="U1679" s="62" t="n">
        <f aca="false">IF(F1679&gt;0,(Settings!$B$8*T1679+Settings!$B$9*R1679+Settings!$B$10*S1679)/SUM(Settings!$B$8:$B$10),0)</f>
        <v>0</v>
      </c>
      <c r="V1679" s="56" t="str">
        <f aca="false">IF(U1679&gt;0,RANK(U1679,$U$2:$U$1780)+COUNTIF($U$2:U1679,U1679)-1,"")</f>
        <v/>
      </c>
      <c r="W1679" s="56" t="str">
        <f aca="false">IF(V1679="","",IF(V1679&lt;=Settings!$B$11,"1 - Fix first",IF(V1679&lt;=Settings!$B$12,"2 - Review","3 - Monitor")))</f>
        <v/>
      </c>
      <c r="X1679" s="56" t="str">
        <f aca="false">IF(AND(E1679&gt;=Settings!$B$4,F1679&gt;=Settings!$B$5,O1679&gt;=Settings!$B$6),"HIGH RATE","")</f>
        <v/>
      </c>
      <c r="Y1679" s="56" t="str">
        <f aca="false">IF(F1679&gt;0,RANK(F1679,$F$2:$F$1780)+COUNTIF($F$2:F1679,F1679)-1,"")</f>
        <v/>
      </c>
      <c r="Z1679" s="56" t="str">
        <f aca="false">IF(H1679&gt;0,RANK(H1679,$H$2:$H$1780)+COUNTIF($H$2:H1679,H1679)-1,"")</f>
        <v/>
      </c>
      <c r="AA1679" s="56" t="str">
        <f aca="false">IF(AC1679="","",RANK(AC1679,$AC$2:$AC$1780)+COUNTIF($AC$2:AC1679,AC1679)-1)</f>
        <v/>
      </c>
      <c r="AB1679" s="56" t="str">
        <f aca="false">IF(AD1679="","",RANK(AD1679,$AD$2:$AD$1780)+COUNTIF($AD$2:AD1679,AD1679)-1)</f>
        <v/>
      </c>
      <c r="AC1679" s="56" t="str">
        <f aca="false">IF(AND(F1679&gt;0,E1679&gt;=Settings!$B$4),J1679,"")</f>
        <v/>
      </c>
      <c r="AD1679" s="56" t="str">
        <f aca="false">IF(X1679="HIGH RATE",O1679,"")</f>
        <v/>
      </c>
    </row>
    <row r="1680" customFormat="false" ht="15" hidden="false" customHeight="false" outlineLevel="0" collapsed="false">
      <c r="A1680" s="56" t="s">
        <v>3177</v>
      </c>
      <c r="B1680" s="56" t="s">
        <v>3178</v>
      </c>
      <c r="C1680" s="56" t="s">
        <v>180</v>
      </c>
      <c r="D1680" s="56" t="str">
        <f aca="false">IFERROR(INDEX('Brand Map'!$B$4:$B$124,MATCH(C1680,'Brand Map'!$A$4:$A$124,0)),"Other")</f>
        <v>MDPR</v>
      </c>
      <c r="E1680" s="57" t="n">
        <v>7</v>
      </c>
      <c r="F1680" s="57" t="n">
        <v>0</v>
      </c>
      <c r="G1680" s="58" t="n">
        <v>865.65</v>
      </c>
      <c r="H1680" s="58" t="n">
        <v>0</v>
      </c>
      <c r="I1680" s="58" t="n">
        <v>865.65</v>
      </c>
      <c r="J1680" s="32" t="n">
        <f aca="false">IF(E1680&gt;0,F1680/E1680,0)</f>
        <v>0</v>
      </c>
      <c r="K1680" s="32" t="n">
        <f aca="false">IF(G1680&gt;0,H1680/G1680,0)</f>
        <v>-0</v>
      </c>
      <c r="L1680" s="59" t="n">
        <f aca="false">H1680/Settings!$B$16</f>
        <v>-0</v>
      </c>
      <c r="M1680" s="59" t="n">
        <f aca="false">H1680/Settings!$B$20</f>
        <v>-0</v>
      </c>
      <c r="N1680" s="60" t="n">
        <f aca="false">E1680*Settings!$B$3</f>
        <v>0.216903057558743</v>
      </c>
      <c r="O1680" s="60" t="n">
        <f aca="false">IF(E1680&gt;0,(F1680-N1680)/SQRT(E1680*Settings!$B$3*(1-Settings!$B$3)),0)</f>
        <v>-0.473116228387102</v>
      </c>
      <c r="P1680" s="60" t="n">
        <f aca="false">MAX(0,F1680-N1680)</f>
        <v>0</v>
      </c>
      <c r="Q1680" s="32" t="n">
        <f aca="false">(F1680+Settings!$B$7*Settings!$B$3)/(E1680+Settings!$B$7)</f>
        <v>0.0251239062809355</v>
      </c>
      <c r="R1680" s="61" t="n">
        <f aca="false">PERCENTRANK($H$2:$H$1780,H1680,6)</f>
        <v>0</v>
      </c>
      <c r="S1680" s="61" t="n">
        <f aca="false">PERCENTRANK($Q$2:$Q$1780,Q1680,6)</f>
        <v>0.168166</v>
      </c>
      <c r="T1680" s="61" t="n">
        <f aca="false">PERCENTRANK($F$2:$F$1780,F1680,6)</f>
        <v>0</v>
      </c>
      <c r="U1680" s="62" t="n">
        <f aca="false">IF(F1680&gt;0,(Settings!$B$8*T1680+Settings!$B$9*R1680+Settings!$B$10*S1680)/SUM(Settings!$B$8:$B$10),0)</f>
        <v>0</v>
      </c>
      <c r="V1680" s="56" t="str">
        <f aca="false">IF(U1680&gt;0,RANK(U1680,$U$2:$U$1780)+COUNTIF($U$2:U1680,U1680)-1,"")</f>
        <v/>
      </c>
      <c r="W1680" s="56" t="str">
        <f aca="false">IF(V1680="","",IF(V1680&lt;=Settings!$B$11,"1 - Fix first",IF(V1680&lt;=Settings!$B$12,"2 - Review","3 - Monitor")))</f>
        <v/>
      </c>
      <c r="X1680" s="56" t="str">
        <f aca="false">IF(AND(E1680&gt;=Settings!$B$4,F1680&gt;=Settings!$B$5,O1680&gt;=Settings!$B$6),"HIGH RATE","")</f>
        <v/>
      </c>
      <c r="Y1680" s="56" t="str">
        <f aca="false">IF(F1680&gt;0,RANK(F1680,$F$2:$F$1780)+COUNTIF($F$2:F1680,F1680)-1,"")</f>
        <v/>
      </c>
      <c r="Z1680" s="56" t="str">
        <f aca="false">IF(H1680&gt;0,RANK(H1680,$H$2:$H$1780)+COUNTIF($H$2:H1680,H1680)-1,"")</f>
        <v/>
      </c>
      <c r="AA1680" s="56" t="str">
        <f aca="false">IF(AC1680="","",RANK(AC1680,$AC$2:$AC$1780)+COUNTIF($AC$2:AC1680,AC1680)-1)</f>
        <v/>
      </c>
      <c r="AB1680" s="56" t="str">
        <f aca="false">IF(AD1680="","",RANK(AD1680,$AD$2:$AD$1780)+COUNTIF($AD$2:AD1680,AD1680)-1)</f>
        <v/>
      </c>
      <c r="AC1680" s="56" t="str">
        <f aca="false">IF(AND(F1680&gt;0,E1680&gt;=Settings!$B$4),J1680,"")</f>
        <v/>
      </c>
      <c r="AD1680" s="56" t="str">
        <f aca="false">IF(X1680="HIGH RATE",O1680,"")</f>
        <v/>
      </c>
    </row>
    <row r="1681" customFormat="false" ht="15" hidden="false" customHeight="false" outlineLevel="0" collapsed="false">
      <c r="A1681" s="56" t="s">
        <v>3179</v>
      </c>
      <c r="B1681" s="56" t="s">
        <v>3180</v>
      </c>
      <c r="C1681" s="56" t="s">
        <v>180</v>
      </c>
      <c r="D1681" s="56" t="str">
        <f aca="false">IFERROR(INDEX('Brand Map'!$B$4:$B$124,MATCH(C1681,'Brand Map'!$A$4:$A$124,0)),"Other")</f>
        <v>MDPR</v>
      </c>
      <c r="E1681" s="57" t="n">
        <v>19</v>
      </c>
      <c r="F1681" s="57" t="n">
        <v>0</v>
      </c>
      <c r="G1681" s="58" t="n">
        <v>2276.24</v>
      </c>
      <c r="H1681" s="58" t="n">
        <v>0</v>
      </c>
      <c r="I1681" s="58" t="n">
        <v>2254.8</v>
      </c>
      <c r="J1681" s="32" t="n">
        <f aca="false">IF(E1681&gt;0,F1681/E1681,0)</f>
        <v>0</v>
      </c>
      <c r="K1681" s="32" t="n">
        <f aca="false">IF(G1681&gt;0,H1681/G1681,0)</f>
        <v>-0</v>
      </c>
      <c r="L1681" s="59" t="n">
        <f aca="false">H1681/Settings!$B$16</f>
        <v>-0</v>
      </c>
      <c r="M1681" s="59" t="n">
        <f aca="false">H1681/Settings!$B$20</f>
        <v>-0</v>
      </c>
      <c r="N1681" s="60" t="n">
        <f aca="false">E1681*Settings!$B$3</f>
        <v>0.588736870516588</v>
      </c>
      <c r="O1681" s="60" t="n">
        <f aca="false">IF(E1681&gt;0,(F1681-N1681)/SQRT(E1681*Settings!$B$3*(1-Settings!$B$3)),0)</f>
        <v>-0.779463216918402</v>
      </c>
      <c r="P1681" s="60" t="n">
        <f aca="false">MAX(0,F1681-N1681)</f>
        <v>0</v>
      </c>
      <c r="Q1681" s="32" t="n">
        <f aca="false">(F1681+Settings!$B$7*Settings!$B$3)/(E1681+Settings!$B$7)</f>
        <v>0.0189711129060125</v>
      </c>
      <c r="R1681" s="61" t="n">
        <f aca="false">PERCENTRANK($H$2:$H$1780,H1681,6)</f>
        <v>0</v>
      </c>
      <c r="S1681" s="61" t="n">
        <f aca="false">PERCENTRANK($Q$2:$Q$1780,Q1681,6)</f>
        <v>0.0776153</v>
      </c>
      <c r="T1681" s="61" t="n">
        <f aca="false">PERCENTRANK($F$2:$F$1780,F1681,6)</f>
        <v>0</v>
      </c>
      <c r="U1681" s="62" t="n">
        <f aca="false">IF(F1681&gt;0,(Settings!$B$8*T1681+Settings!$B$9*R1681+Settings!$B$10*S1681)/SUM(Settings!$B$8:$B$10),0)</f>
        <v>0</v>
      </c>
      <c r="V1681" s="56" t="str">
        <f aca="false">IF(U1681&gt;0,RANK(U1681,$U$2:$U$1780)+COUNTIF($U$2:U1681,U1681)-1,"")</f>
        <v/>
      </c>
      <c r="W1681" s="56" t="str">
        <f aca="false">IF(V1681="","",IF(V1681&lt;=Settings!$B$11,"1 - Fix first",IF(V1681&lt;=Settings!$B$12,"2 - Review","3 - Monitor")))</f>
        <v/>
      </c>
      <c r="X1681" s="56" t="str">
        <f aca="false">IF(AND(E1681&gt;=Settings!$B$4,F1681&gt;=Settings!$B$5,O1681&gt;=Settings!$B$6),"HIGH RATE","")</f>
        <v/>
      </c>
      <c r="Y1681" s="56" t="str">
        <f aca="false">IF(F1681&gt;0,RANK(F1681,$F$2:$F$1780)+COUNTIF($F$2:F1681,F1681)-1,"")</f>
        <v/>
      </c>
      <c r="Z1681" s="56" t="str">
        <f aca="false">IF(H1681&gt;0,RANK(H1681,$H$2:$H$1780)+COUNTIF($H$2:H1681,H1681)-1,"")</f>
        <v/>
      </c>
      <c r="AA1681" s="56" t="str">
        <f aca="false">IF(AC1681="","",RANK(AC1681,$AC$2:$AC$1780)+COUNTIF($AC$2:AC1681,AC1681)-1)</f>
        <v/>
      </c>
      <c r="AB1681" s="56" t="str">
        <f aca="false">IF(AD1681="","",RANK(AD1681,$AD$2:$AD$1780)+COUNTIF($AD$2:AD1681,AD1681)-1)</f>
        <v/>
      </c>
      <c r="AC1681" s="56" t="str">
        <f aca="false">IF(AND(F1681&gt;0,E1681&gt;=Settings!$B$4),J1681,"")</f>
        <v/>
      </c>
      <c r="AD1681" s="56" t="str">
        <f aca="false">IF(X1681="HIGH RATE",O1681,"")</f>
        <v/>
      </c>
    </row>
    <row r="1682" customFormat="false" ht="15" hidden="false" customHeight="false" outlineLevel="0" collapsed="false">
      <c r="A1682" s="56" t="s">
        <v>3181</v>
      </c>
      <c r="B1682" s="56" t="s">
        <v>3182</v>
      </c>
      <c r="C1682" s="56" t="s">
        <v>180</v>
      </c>
      <c r="D1682" s="56" t="str">
        <f aca="false">IFERROR(INDEX('Brand Map'!$B$4:$B$124,MATCH(C1682,'Brand Map'!$A$4:$A$124,0)),"Other")</f>
        <v>MDPR</v>
      </c>
      <c r="E1682" s="57" t="n">
        <v>4</v>
      </c>
      <c r="F1682" s="57" t="n">
        <v>0</v>
      </c>
      <c r="G1682" s="58" t="n">
        <v>607.8</v>
      </c>
      <c r="H1682" s="58" t="n">
        <v>0</v>
      </c>
      <c r="I1682" s="58" t="n">
        <v>607.8</v>
      </c>
      <c r="J1682" s="32" t="n">
        <f aca="false">IF(E1682&gt;0,F1682/E1682,0)</f>
        <v>0</v>
      </c>
      <c r="K1682" s="32" t="n">
        <f aca="false">IF(G1682&gt;0,H1682/G1682,0)</f>
        <v>-0</v>
      </c>
      <c r="L1682" s="59" t="n">
        <f aca="false">H1682/Settings!$B$16</f>
        <v>-0</v>
      </c>
      <c r="M1682" s="59" t="n">
        <f aca="false">H1682/Settings!$B$20</f>
        <v>-0</v>
      </c>
      <c r="N1682" s="60" t="n">
        <f aca="false">E1682*Settings!$B$3</f>
        <v>0.123944604319282</v>
      </c>
      <c r="O1682" s="60" t="n">
        <f aca="false">IF(E1682&gt;0,(F1682-N1682)/SQRT(E1682*Settings!$B$3*(1-Settings!$B$3)),0)</f>
        <v>-0.357642251868888</v>
      </c>
      <c r="P1682" s="60" t="n">
        <f aca="false">MAX(0,F1682-N1682)</f>
        <v>0</v>
      </c>
      <c r="Q1682" s="32" t="n">
        <f aca="false">(F1682+Settings!$B$7*Settings!$B$3)/(E1682+Settings!$B$7)</f>
        <v>0.027340721541018</v>
      </c>
      <c r="R1682" s="61" t="n">
        <f aca="false">PERCENTRANK($H$2:$H$1780,H1682,6)</f>
        <v>0</v>
      </c>
      <c r="S1682" s="61" t="n">
        <f aca="false">PERCENTRANK($Q$2:$Q$1780,Q1682,6)</f>
        <v>0.253656</v>
      </c>
      <c r="T1682" s="61" t="n">
        <f aca="false">PERCENTRANK($F$2:$F$1780,F1682,6)</f>
        <v>0</v>
      </c>
      <c r="U1682" s="62" t="n">
        <f aca="false">IF(F1682&gt;0,(Settings!$B$8*T1682+Settings!$B$9*R1682+Settings!$B$10*S1682)/SUM(Settings!$B$8:$B$10),0)</f>
        <v>0</v>
      </c>
      <c r="V1682" s="56" t="str">
        <f aca="false">IF(U1682&gt;0,RANK(U1682,$U$2:$U$1780)+COUNTIF($U$2:U1682,U1682)-1,"")</f>
        <v/>
      </c>
      <c r="W1682" s="56" t="str">
        <f aca="false">IF(V1682="","",IF(V1682&lt;=Settings!$B$11,"1 - Fix first",IF(V1682&lt;=Settings!$B$12,"2 - Review","3 - Monitor")))</f>
        <v/>
      </c>
      <c r="X1682" s="56" t="str">
        <f aca="false">IF(AND(E1682&gt;=Settings!$B$4,F1682&gt;=Settings!$B$5,O1682&gt;=Settings!$B$6),"HIGH RATE","")</f>
        <v/>
      </c>
      <c r="Y1682" s="56" t="str">
        <f aca="false">IF(F1682&gt;0,RANK(F1682,$F$2:$F$1780)+COUNTIF($F$2:F1682,F1682)-1,"")</f>
        <v/>
      </c>
      <c r="Z1682" s="56" t="str">
        <f aca="false">IF(H1682&gt;0,RANK(H1682,$H$2:$H$1780)+COUNTIF($H$2:H1682,H1682)-1,"")</f>
        <v/>
      </c>
      <c r="AA1682" s="56" t="str">
        <f aca="false">IF(AC1682="","",RANK(AC1682,$AC$2:$AC$1780)+COUNTIF($AC$2:AC1682,AC1682)-1)</f>
        <v/>
      </c>
      <c r="AB1682" s="56" t="str">
        <f aca="false">IF(AD1682="","",RANK(AD1682,$AD$2:$AD$1780)+COUNTIF($AD$2:AD1682,AD1682)-1)</f>
        <v/>
      </c>
      <c r="AC1682" s="56" t="str">
        <f aca="false">IF(AND(F1682&gt;0,E1682&gt;=Settings!$B$4),J1682,"")</f>
        <v/>
      </c>
      <c r="AD1682" s="56" t="str">
        <f aca="false">IF(X1682="HIGH RATE",O1682,"")</f>
        <v/>
      </c>
    </row>
    <row r="1683" customFormat="false" ht="15" hidden="false" customHeight="false" outlineLevel="0" collapsed="false">
      <c r="A1683" s="56" t="s">
        <v>3183</v>
      </c>
      <c r="B1683" s="56" t="s">
        <v>3184</v>
      </c>
      <c r="C1683" s="56" t="s">
        <v>180</v>
      </c>
      <c r="D1683" s="56" t="str">
        <f aca="false">IFERROR(INDEX('Brand Map'!$B$4:$B$124,MATCH(C1683,'Brand Map'!$A$4:$A$124,0)),"Other")</f>
        <v>MDPR</v>
      </c>
      <c r="E1683" s="57" t="n">
        <v>4</v>
      </c>
      <c r="F1683" s="57" t="n">
        <v>0</v>
      </c>
      <c r="G1683" s="58" t="n">
        <v>620.8</v>
      </c>
      <c r="H1683" s="58" t="n">
        <v>0</v>
      </c>
      <c r="I1683" s="58" t="n">
        <v>620.8</v>
      </c>
      <c r="J1683" s="32" t="n">
        <f aca="false">IF(E1683&gt;0,F1683/E1683,0)</f>
        <v>0</v>
      </c>
      <c r="K1683" s="32" t="n">
        <f aca="false">IF(G1683&gt;0,H1683/G1683,0)</f>
        <v>-0</v>
      </c>
      <c r="L1683" s="59" t="n">
        <f aca="false">H1683/Settings!$B$16</f>
        <v>-0</v>
      </c>
      <c r="M1683" s="59" t="n">
        <f aca="false">H1683/Settings!$B$20</f>
        <v>-0</v>
      </c>
      <c r="N1683" s="60" t="n">
        <f aca="false">E1683*Settings!$B$3</f>
        <v>0.123944604319282</v>
      </c>
      <c r="O1683" s="60" t="n">
        <f aca="false">IF(E1683&gt;0,(F1683-N1683)/SQRT(E1683*Settings!$B$3*(1-Settings!$B$3)),0)</f>
        <v>-0.357642251868888</v>
      </c>
      <c r="P1683" s="60" t="n">
        <f aca="false">MAX(0,F1683-N1683)</f>
        <v>0</v>
      </c>
      <c r="Q1683" s="32" t="n">
        <f aca="false">(F1683+Settings!$B$7*Settings!$B$3)/(E1683+Settings!$B$7)</f>
        <v>0.027340721541018</v>
      </c>
      <c r="R1683" s="61" t="n">
        <f aca="false">PERCENTRANK($H$2:$H$1780,H1683,6)</f>
        <v>0</v>
      </c>
      <c r="S1683" s="61" t="n">
        <f aca="false">PERCENTRANK($Q$2:$Q$1780,Q1683,6)</f>
        <v>0.253656</v>
      </c>
      <c r="T1683" s="61" t="n">
        <f aca="false">PERCENTRANK($F$2:$F$1780,F1683,6)</f>
        <v>0</v>
      </c>
      <c r="U1683" s="62" t="n">
        <f aca="false">IF(F1683&gt;0,(Settings!$B$8*T1683+Settings!$B$9*R1683+Settings!$B$10*S1683)/SUM(Settings!$B$8:$B$10),0)</f>
        <v>0</v>
      </c>
      <c r="V1683" s="56" t="str">
        <f aca="false">IF(U1683&gt;0,RANK(U1683,$U$2:$U$1780)+COUNTIF($U$2:U1683,U1683)-1,"")</f>
        <v/>
      </c>
      <c r="W1683" s="56" t="str">
        <f aca="false">IF(V1683="","",IF(V1683&lt;=Settings!$B$11,"1 - Fix first",IF(V1683&lt;=Settings!$B$12,"2 - Review","3 - Monitor")))</f>
        <v/>
      </c>
      <c r="X1683" s="56" t="str">
        <f aca="false">IF(AND(E1683&gt;=Settings!$B$4,F1683&gt;=Settings!$B$5,O1683&gt;=Settings!$B$6),"HIGH RATE","")</f>
        <v/>
      </c>
      <c r="Y1683" s="56" t="str">
        <f aca="false">IF(F1683&gt;0,RANK(F1683,$F$2:$F$1780)+COUNTIF($F$2:F1683,F1683)-1,"")</f>
        <v/>
      </c>
      <c r="Z1683" s="56" t="str">
        <f aca="false">IF(H1683&gt;0,RANK(H1683,$H$2:$H$1780)+COUNTIF($H$2:H1683,H1683)-1,"")</f>
        <v/>
      </c>
      <c r="AA1683" s="56" t="str">
        <f aca="false">IF(AC1683="","",RANK(AC1683,$AC$2:$AC$1780)+COUNTIF($AC$2:AC1683,AC1683)-1)</f>
        <v/>
      </c>
      <c r="AB1683" s="56" t="str">
        <f aca="false">IF(AD1683="","",RANK(AD1683,$AD$2:$AD$1780)+COUNTIF($AD$2:AD1683,AD1683)-1)</f>
        <v/>
      </c>
      <c r="AC1683" s="56" t="str">
        <f aca="false">IF(AND(F1683&gt;0,E1683&gt;=Settings!$B$4),J1683,"")</f>
        <v/>
      </c>
      <c r="AD1683" s="56" t="str">
        <f aca="false">IF(X1683="HIGH RATE",O1683,"")</f>
        <v/>
      </c>
    </row>
    <row r="1684" customFormat="false" ht="15" hidden="false" customHeight="false" outlineLevel="0" collapsed="false">
      <c r="A1684" s="56" t="s">
        <v>3185</v>
      </c>
      <c r="B1684" s="56" t="s">
        <v>3186</v>
      </c>
      <c r="C1684" s="56" t="s">
        <v>180</v>
      </c>
      <c r="D1684" s="56" t="str">
        <f aca="false">IFERROR(INDEX('Brand Map'!$B$4:$B$124,MATCH(C1684,'Brand Map'!$A$4:$A$124,0)),"Other")</f>
        <v>MDPR</v>
      </c>
      <c r="E1684" s="57" t="n">
        <v>1</v>
      </c>
      <c r="F1684" s="57" t="n">
        <v>0</v>
      </c>
      <c r="G1684" s="58" t="n">
        <v>161.95</v>
      </c>
      <c r="H1684" s="58" t="n">
        <v>0</v>
      </c>
      <c r="I1684" s="58" t="n">
        <v>161.95</v>
      </c>
      <c r="J1684" s="32" t="n">
        <f aca="false">IF(E1684&gt;0,F1684/E1684,0)</f>
        <v>0</v>
      </c>
      <c r="K1684" s="32" t="n">
        <f aca="false">IF(G1684&gt;0,H1684/G1684,0)</f>
        <v>-0</v>
      </c>
      <c r="L1684" s="59" t="n">
        <f aca="false">H1684/Settings!$B$16</f>
        <v>-0</v>
      </c>
      <c r="M1684" s="59" t="n">
        <f aca="false">H1684/Settings!$B$20</f>
        <v>-0</v>
      </c>
      <c r="N1684" s="60" t="n">
        <f aca="false">E1684*Settings!$B$3</f>
        <v>0.0309861510798204</v>
      </c>
      <c r="O1684" s="60" t="n">
        <f aca="false">IF(E1684&gt;0,(F1684-N1684)/SQRT(E1684*Settings!$B$3*(1-Settings!$B$3)),0)</f>
        <v>-0.178821125934444</v>
      </c>
      <c r="P1684" s="60" t="n">
        <f aca="false">MAX(0,F1684-N1684)</f>
        <v>0</v>
      </c>
      <c r="Q1684" s="32" t="n">
        <f aca="false">(F1684+Settings!$B$7*Settings!$B$3)/(E1684+Settings!$B$7)</f>
        <v>0.0299865978191811</v>
      </c>
      <c r="R1684" s="61" t="n">
        <f aca="false">PERCENTRANK($H$2:$H$1780,H1684,6)</f>
        <v>0</v>
      </c>
      <c r="S1684" s="61" t="n">
        <f aca="false">PERCENTRANK($Q$2:$Q$1780,Q1684,6)</f>
        <v>0.486502</v>
      </c>
      <c r="T1684" s="61" t="n">
        <f aca="false">PERCENTRANK($F$2:$F$1780,F1684,6)</f>
        <v>0</v>
      </c>
      <c r="U1684" s="62" t="n">
        <f aca="false">IF(F1684&gt;0,(Settings!$B$8*T1684+Settings!$B$9*R1684+Settings!$B$10*S1684)/SUM(Settings!$B$8:$B$10),0)</f>
        <v>0</v>
      </c>
      <c r="V1684" s="56" t="str">
        <f aca="false">IF(U1684&gt;0,RANK(U1684,$U$2:$U$1780)+COUNTIF($U$2:U1684,U1684)-1,"")</f>
        <v/>
      </c>
      <c r="W1684" s="56" t="str">
        <f aca="false">IF(V1684="","",IF(V1684&lt;=Settings!$B$11,"1 - Fix first",IF(V1684&lt;=Settings!$B$12,"2 - Review","3 - Monitor")))</f>
        <v/>
      </c>
      <c r="X1684" s="56" t="str">
        <f aca="false">IF(AND(E1684&gt;=Settings!$B$4,F1684&gt;=Settings!$B$5,O1684&gt;=Settings!$B$6),"HIGH RATE","")</f>
        <v/>
      </c>
      <c r="Y1684" s="56" t="str">
        <f aca="false">IF(F1684&gt;0,RANK(F1684,$F$2:$F$1780)+COUNTIF($F$2:F1684,F1684)-1,"")</f>
        <v/>
      </c>
      <c r="Z1684" s="56" t="str">
        <f aca="false">IF(H1684&gt;0,RANK(H1684,$H$2:$H$1780)+COUNTIF($H$2:H1684,H1684)-1,"")</f>
        <v/>
      </c>
      <c r="AA1684" s="56" t="str">
        <f aca="false">IF(AC1684="","",RANK(AC1684,$AC$2:$AC$1780)+COUNTIF($AC$2:AC1684,AC1684)-1)</f>
        <v/>
      </c>
      <c r="AB1684" s="56" t="str">
        <f aca="false">IF(AD1684="","",RANK(AD1684,$AD$2:$AD$1780)+COUNTIF($AD$2:AD1684,AD1684)-1)</f>
        <v/>
      </c>
      <c r="AC1684" s="56" t="str">
        <f aca="false">IF(AND(F1684&gt;0,E1684&gt;=Settings!$B$4),J1684,"")</f>
        <v/>
      </c>
      <c r="AD1684" s="56" t="str">
        <f aca="false">IF(X1684="HIGH RATE",O1684,"")</f>
        <v/>
      </c>
    </row>
    <row r="1685" customFormat="false" ht="15" hidden="false" customHeight="false" outlineLevel="0" collapsed="false">
      <c r="A1685" s="56" t="s">
        <v>3187</v>
      </c>
      <c r="B1685" s="56" t="s">
        <v>3188</v>
      </c>
      <c r="C1685" s="56" t="s">
        <v>180</v>
      </c>
      <c r="D1685" s="56" t="str">
        <f aca="false">IFERROR(INDEX('Brand Map'!$B$4:$B$124,MATCH(C1685,'Brand Map'!$A$4:$A$124,0)),"Other")</f>
        <v>MDPR</v>
      </c>
      <c r="E1685" s="57" t="n">
        <v>5</v>
      </c>
      <c r="F1685" s="57" t="n">
        <v>0</v>
      </c>
      <c r="G1685" s="58" t="n">
        <v>952.03</v>
      </c>
      <c r="H1685" s="58" t="n">
        <v>0</v>
      </c>
      <c r="I1685" s="58" t="n">
        <v>923.95</v>
      </c>
      <c r="J1685" s="32" t="n">
        <f aca="false">IF(E1685&gt;0,F1685/E1685,0)</f>
        <v>0</v>
      </c>
      <c r="K1685" s="32" t="n">
        <f aca="false">IF(G1685&gt;0,H1685/G1685,0)</f>
        <v>-0</v>
      </c>
      <c r="L1685" s="59" t="n">
        <f aca="false">H1685/Settings!$B$16</f>
        <v>-0</v>
      </c>
      <c r="M1685" s="59" t="n">
        <f aca="false">H1685/Settings!$B$20</f>
        <v>-0</v>
      </c>
      <c r="N1685" s="60" t="n">
        <f aca="false">E1685*Settings!$B$3</f>
        <v>0.154930755399102</v>
      </c>
      <c r="O1685" s="60" t="n">
        <f aca="false">IF(E1685&gt;0,(F1685-N1685)/SQRT(E1685*Settings!$B$3*(1-Settings!$B$3)),0)</f>
        <v>-0.399856193402468</v>
      </c>
      <c r="P1685" s="60" t="n">
        <f aca="false">MAX(0,F1685-N1685)</f>
        <v>0</v>
      </c>
      <c r="Q1685" s="32" t="n">
        <f aca="false">(F1685+Settings!$B$7*Settings!$B$3)/(E1685+Settings!$B$7)</f>
        <v>0.0265595580684175</v>
      </c>
      <c r="R1685" s="61" t="n">
        <f aca="false">PERCENTRANK($H$2:$H$1780,H1685,6)</f>
        <v>0</v>
      </c>
      <c r="S1685" s="61" t="n">
        <f aca="false">PERCENTRANK($Q$2:$Q$1780,Q1685,6)</f>
        <v>0.220472</v>
      </c>
      <c r="T1685" s="61" t="n">
        <f aca="false">PERCENTRANK($F$2:$F$1780,F1685,6)</f>
        <v>0</v>
      </c>
      <c r="U1685" s="62" t="n">
        <f aca="false">IF(F1685&gt;0,(Settings!$B$8*T1685+Settings!$B$9*R1685+Settings!$B$10*S1685)/SUM(Settings!$B$8:$B$10),0)</f>
        <v>0</v>
      </c>
      <c r="V1685" s="56" t="str">
        <f aca="false">IF(U1685&gt;0,RANK(U1685,$U$2:$U$1780)+COUNTIF($U$2:U1685,U1685)-1,"")</f>
        <v/>
      </c>
      <c r="W1685" s="56" t="str">
        <f aca="false">IF(V1685="","",IF(V1685&lt;=Settings!$B$11,"1 - Fix first",IF(V1685&lt;=Settings!$B$12,"2 - Review","3 - Monitor")))</f>
        <v/>
      </c>
      <c r="X1685" s="56" t="str">
        <f aca="false">IF(AND(E1685&gt;=Settings!$B$4,F1685&gt;=Settings!$B$5,O1685&gt;=Settings!$B$6),"HIGH RATE","")</f>
        <v/>
      </c>
      <c r="Y1685" s="56" t="str">
        <f aca="false">IF(F1685&gt;0,RANK(F1685,$F$2:$F$1780)+COUNTIF($F$2:F1685,F1685)-1,"")</f>
        <v/>
      </c>
      <c r="Z1685" s="56" t="str">
        <f aca="false">IF(H1685&gt;0,RANK(H1685,$H$2:$H$1780)+COUNTIF($H$2:H1685,H1685)-1,"")</f>
        <v/>
      </c>
      <c r="AA1685" s="56" t="str">
        <f aca="false">IF(AC1685="","",RANK(AC1685,$AC$2:$AC$1780)+COUNTIF($AC$2:AC1685,AC1685)-1)</f>
        <v/>
      </c>
      <c r="AB1685" s="56" t="str">
        <f aca="false">IF(AD1685="","",RANK(AD1685,$AD$2:$AD$1780)+COUNTIF($AD$2:AD1685,AD1685)-1)</f>
        <v/>
      </c>
      <c r="AC1685" s="56" t="str">
        <f aca="false">IF(AND(F1685&gt;0,E1685&gt;=Settings!$B$4),J1685,"")</f>
        <v/>
      </c>
      <c r="AD1685" s="56" t="str">
        <f aca="false">IF(X1685="HIGH RATE",O1685,"")</f>
        <v/>
      </c>
    </row>
    <row r="1686" customFormat="false" ht="15" hidden="false" customHeight="false" outlineLevel="0" collapsed="false">
      <c r="A1686" s="56" t="s">
        <v>3189</v>
      </c>
      <c r="B1686" s="56" t="s">
        <v>3190</v>
      </c>
      <c r="C1686" s="56" t="s">
        <v>180</v>
      </c>
      <c r="D1686" s="56" t="str">
        <f aca="false">IFERROR(INDEX('Brand Map'!$B$4:$B$124,MATCH(C1686,'Brand Map'!$A$4:$A$124,0)),"Other")</f>
        <v>MDPR</v>
      </c>
      <c r="E1686" s="57" t="n">
        <v>3</v>
      </c>
      <c r="F1686" s="57" t="n">
        <v>0</v>
      </c>
      <c r="G1686" s="58" t="n">
        <v>622.85</v>
      </c>
      <c r="H1686" s="58" t="n">
        <v>0</v>
      </c>
      <c r="I1686" s="58" t="n">
        <v>622.85</v>
      </c>
      <c r="J1686" s="32" t="n">
        <f aca="false">IF(E1686&gt;0,F1686/E1686,0)</f>
        <v>0</v>
      </c>
      <c r="K1686" s="32" t="n">
        <f aca="false">IF(G1686&gt;0,H1686/G1686,0)</f>
        <v>-0</v>
      </c>
      <c r="L1686" s="59" t="n">
        <f aca="false">H1686/Settings!$B$16</f>
        <v>-0</v>
      </c>
      <c r="M1686" s="59" t="n">
        <f aca="false">H1686/Settings!$B$20</f>
        <v>-0</v>
      </c>
      <c r="N1686" s="60" t="n">
        <f aca="false">E1686*Settings!$B$3</f>
        <v>0.0929584532394613</v>
      </c>
      <c r="O1686" s="60" t="n">
        <f aca="false">IF(E1686&gt;0,(F1686-N1686)/SQRT(E1686*Settings!$B$3*(1-Settings!$B$3)),0)</f>
        <v>-0.30972727558513</v>
      </c>
      <c r="P1686" s="60" t="n">
        <f aca="false">MAX(0,F1686-N1686)</f>
        <v>0</v>
      </c>
      <c r="Q1686" s="32" t="n">
        <f aca="false">(F1686+Settings!$B$7*Settings!$B$3)/(E1686+Settings!$B$7)</f>
        <v>0.0281692282543822</v>
      </c>
      <c r="R1686" s="61" t="n">
        <f aca="false">PERCENTRANK($H$2:$H$1780,H1686,6)</f>
        <v>0</v>
      </c>
      <c r="S1686" s="61" t="n">
        <f aca="false">PERCENTRANK($Q$2:$Q$1780,Q1686,6)</f>
        <v>0.294151</v>
      </c>
      <c r="T1686" s="61" t="n">
        <f aca="false">PERCENTRANK($F$2:$F$1780,F1686,6)</f>
        <v>0</v>
      </c>
      <c r="U1686" s="62" t="n">
        <f aca="false">IF(F1686&gt;0,(Settings!$B$8*T1686+Settings!$B$9*R1686+Settings!$B$10*S1686)/SUM(Settings!$B$8:$B$10),0)</f>
        <v>0</v>
      </c>
      <c r="V1686" s="56" t="str">
        <f aca="false">IF(U1686&gt;0,RANK(U1686,$U$2:$U$1780)+COUNTIF($U$2:U1686,U1686)-1,"")</f>
        <v/>
      </c>
      <c r="W1686" s="56" t="str">
        <f aca="false">IF(V1686="","",IF(V1686&lt;=Settings!$B$11,"1 - Fix first",IF(V1686&lt;=Settings!$B$12,"2 - Review","3 - Monitor")))</f>
        <v/>
      </c>
      <c r="X1686" s="56" t="str">
        <f aca="false">IF(AND(E1686&gt;=Settings!$B$4,F1686&gt;=Settings!$B$5,O1686&gt;=Settings!$B$6),"HIGH RATE","")</f>
        <v/>
      </c>
      <c r="Y1686" s="56" t="str">
        <f aca="false">IF(F1686&gt;0,RANK(F1686,$F$2:$F$1780)+COUNTIF($F$2:F1686,F1686)-1,"")</f>
        <v/>
      </c>
      <c r="Z1686" s="56" t="str">
        <f aca="false">IF(H1686&gt;0,RANK(H1686,$H$2:$H$1780)+COUNTIF($H$2:H1686,H1686)-1,"")</f>
        <v/>
      </c>
      <c r="AA1686" s="56" t="str">
        <f aca="false">IF(AC1686="","",RANK(AC1686,$AC$2:$AC$1780)+COUNTIF($AC$2:AC1686,AC1686)-1)</f>
        <v/>
      </c>
      <c r="AB1686" s="56" t="str">
        <f aca="false">IF(AD1686="","",RANK(AD1686,$AD$2:$AD$1780)+COUNTIF($AD$2:AD1686,AD1686)-1)</f>
        <v/>
      </c>
      <c r="AC1686" s="56" t="str">
        <f aca="false">IF(AND(F1686&gt;0,E1686&gt;=Settings!$B$4),J1686,"")</f>
        <v/>
      </c>
      <c r="AD1686" s="56" t="str">
        <f aca="false">IF(X1686="HIGH RATE",O1686,"")</f>
        <v/>
      </c>
    </row>
    <row r="1687" customFormat="false" ht="15" hidden="false" customHeight="false" outlineLevel="0" collapsed="false">
      <c r="A1687" s="56" t="s">
        <v>3191</v>
      </c>
      <c r="B1687" s="56" t="s">
        <v>3192</v>
      </c>
      <c r="C1687" s="56" t="s">
        <v>180</v>
      </c>
      <c r="D1687" s="56" t="str">
        <f aca="false">IFERROR(INDEX('Brand Map'!$B$4:$B$124,MATCH(C1687,'Brand Map'!$A$4:$A$124,0)),"Other")</f>
        <v>MDPR</v>
      </c>
      <c r="E1687" s="57" t="n">
        <v>1</v>
      </c>
      <c r="F1687" s="57" t="n">
        <v>0</v>
      </c>
      <c r="G1687" s="58" t="n">
        <v>199.95</v>
      </c>
      <c r="H1687" s="58" t="n">
        <v>0</v>
      </c>
      <c r="I1687" s="58" t="n">
        <v>199.95</v>
      </c>
      <c r="J1687" s="32" t="n">
        <f aca="false">IF(E1687&gt;0,F1687/E1687,0)</f>
        <v>0</v>
      </c>
      <c r="K1687" s="32" t="n">
        <f aca="false">IF(G1687&gt;0,H1687/G1687,0)</f>
        <v>-0</v>
      </c>
      <c r="L1687" s="59" t="n">
        <f aca="false">H1687/Settings!$B$16</f>
        <v>-0</v>
      </c>
      <c r="M1687" s="59" t="n">
        <f aca="false">H1687/Settings!$B$20</f>
        <v>-0</v>
      </c>
      <c r="N1687" s="60" t="n">
        <f aca="false">E1687*Settings!$B$3</f>
        <v>0.0309861510798204</v>
      </c>
      <c r="O1687" s="60" t="n">
        <f aca="false">IF(E1687&gt;0,(F1687-N1687)/SQRT(E1687*Settings!$B$3*(1-Settings!$B$3)),0)</f>
        <v>-0.178821125934444</v>
      </c>
      <c r="P1687" s="60" t="n">
        <f aca="false">MAX(0,F1687-N1687)</f>
        <v>0</v>
      </c>
      <c r="Q1687" s="32" t="n">
        <f aca="false">(F1687+Settings!$B$7*Settings!$B$3)/(E1687+Settings!$B$7)</f>
        <v>0.0299865978191811</v>
      </c>
      <c r="R1687" s="61" t="n">
        <f aca="false">PERCENTRANK($H$2:$H$1780,H1687,6)</f>
        <v>0</v>
      </c>
      <c r="S1687" s="61" t="n">
        <f aca="false">PERCENTRANK($Q$2:$Q$1780,Q1687,6)</f>
        <v>0.486502</v>
      </c>
      <c r="T1687" s="61" t="n">
        <f aca="false">PERCENTRANK($F$2:$F$1780,F1687,6)</f>
        <v>0</v>
      </c>
      <c r="U1687" s="62" t="n">
        <f aca="false">IF(F1687&gt;0,(Settings!$B$8*T1687+Settings!$B$9*R1687+Settings!$B$10*S1687)/SUM(Settings!$B$8:$B$10),0)</f>
        <v>0</v>
      </c>
      <c r="V1687" s="56" t="str">
        <f aca="false">IF(U1687&gt;0,RANK(U1687,$U$2:$U$1780)+COUNTIF($U$2:U1687,U1687)-1,"")</f>
        <v/>
      </c>
      <c r="W1687" s="56" t="str">
        <f aca="false">IF(V1687="","",IF(V1687&lt;=Settings!$B$11,"1 - Fix first",IF(V1687&lt;=Settings!$B$12,"2 - Review","3 - Monitor")))</f>
        <v/>
      </c>
      <c r="X1687" s="56" t="str">
        <f aca="false">IF(AND(E1687&gt;=Settings!$B$4,F1687&gt;=Settings!$B$5,O1687&gt;=Settings!$B$6),"HIGH RATE","")</f>
        <v/>
      </c>
      <c r="Y1687" s="56" t="str">
        <f aca="false">IF(F1687&gt;0,RANK(F1687,$F$2:$F$1780)+COUNTIF($F$2:F1687,F1687)-1,"")</f>
        <v/>
      </c>
      <c r="Z1687" s="56" t="str">
        <f aca="false">IF(H1687&gt;0,RANK(H1687,$H$2:$H$1780)+COUNTIF($H$2:H1687,H1687)-1,"")</f>
        <v/>
      </c>
      <c r="AA1687" s="56" t="str">
        <f aca="false">IF(AC1687="","",RANK(AC1687,$AC$2:$AC$1780)+COUNTIF($AC$2:AC1687,AC1687)-1)</f>
        <v/>
      </c>
      <c r="AB1687" s="56" t="str">
        <f aca="false">IF(AD1687="","",RANK(AD1687,$AD$2:$AD$1780)+COUNTIF($AD$2:AD1687,AD1687)-1)</f>
        <v/>
      </c>
      <c r="AC1687" s="56" t="str">
        <f aca="false">IF(AND(F1687&gt;0,E1687&gt;=Settings!$B$4),J1687,"")</f>
        <v/>
      </c>
      <c r="AD1687" s="56" t="str">
        <f aca="false">IF(X1687="HIGH RATE",O1687,"")</f>
        <v/>
      </c>
    </row>
    <row r="1688" customFormat="false" ht="15" hidden="false" customHeight="false" outlineLevel="0" collapsed="false">
      <c r="A1688" s="56" t="s">
        <v>3193</v>
      </c>
      <c r="B1688" s="56" t="s">
        <v>3194</v>
      </c>
      <c r="C1688" s="56" t="s">
        <v>180</v>
      </c>
      <c r="D1688" s="56" t="str">
        <f aca="false">IFERROR(INDEX('Brand Map'!$B$4:$B$124,MATCH(C1688,'Brand Map'!$A$4:$A$124,0)),"Other")</f>
        <v>MDPR</v>
      </c>
      <c r="E1688" s="57" t="n">
        <v>1</v>
      </c>
      <c r="F1688" s="57" t="n">
        <v>0</v>
      </c>
      <c r="G1688" s="58" t="n">
        <v>260.95</v>
      </c>
      <c r="H1688" s="58" t="n">
        <v>0</v>
      </c>
      <c r="I1688" s="58" t="n">
        <v>260.95</v>
      </c>
      <c r="J1688" s="32" t="n">
        <f aca="false">IF(E1688&gt;0,F1688/E1688,0)</f>
        <v>0</v>
      </c>
      <c r="K1688" s="32" t="n">
        <f aca="false">IF(G1688&gt;0,H1688/G1688,0)</f>
        <v>-0</v>
      </c>
      <c r="L1688" s="59" t="n">
        <f aca="false">H1688/Settings!$B$16</f>
        <v>-0</v>
      </c>
      <c r="M1688" s="59" t="n">
        <f aca="false">H1688/Settings!$B$20</f>
        <v>-0</v>
      </c>
      <c r="N1688" s="60" t="n">
        <f aca="false">E1688*Settings!$B$3</f>
        <v>0.0309861510798204</v>
      </c>
      <c r="O1688" s="60" t="n">
        <f aca="false">IF(E1688&gt;0,(F1688-N1688)/SQRT(E1688*Settings!$B$3*(1-Settings!$B$3)),0)</f>
        <v>-0.178821125934444</v>
      </c>
      <c r="P1688" s="60" t="n">
        <f aca="false">MAX(0,F1688-N1688)</f>
        <v>0</v>
      </c>
      <c r="Q1688" s="32" t="n">
        <f aca="false">(F1688+Settings!$B$7*Settings!$B$3)/(E1688+Settings!$B$7)</f>
        <v>0.0299865978191811</v>
      </c>
      <c r="R1688" s="61" t="n">
        <f aca="false">PERCENTRANK($H$2:$H$1780,H1688,6)</f>
        <v>0</v>
      </c>
      <c r="S1688" s="61" t="n">
        <f aca="false">PERCENTRANK($Q$2:$Q$1780,Q1688,6)</f>
        <v>0.486502</v>
      </c>
      <c r="T1688" s="61" t="n">
        <f aca="false">PERCENTRANK($F$2:$F$1780,F1688,6)</f>
        <v>0</v>
      </c>
      <c r="U1688" s="62" t="n">
        <f aca="false">IF(F1688&gt;0,(Settings!$B$8*T1688+Settings!$B$9*R1688+Settings!$B$10*S1688)/SUM(Settings!$B$8:$B$10),0)</f>
        <v>0</v>
      </c>
      <c r="V1688" s="56" t="str">
        <f aca="false">IF(U1688&gt;0,RANK(U1688,$U$2:$U$1780)+COUNTIF($U$2:U1688,U1688)-1,"")</f>
        <v/>
      </c>
      <c r="W1688" s="56" t="str">
        <f aca="false">IF(V1688="","",IF(V1688&lt;=Settings!$B$11,"1 - Fix first",IF(V1688&lt;=Settings!$B$12,"2 - Review","3 - Monitor")))</f>
        <v/>
      </c>
      <c r="X1688" s="56" t="str">
        <f aca="false">IF(AND(E1688&gt;=Settings!$B$4,F1688&gt;=Settings!$B$5,O1688&gt;=Settings!$B$6),"HIGH RATE","")</f>
        <v/>
      </c>
      <c r="Y1688" s="56" t="str">
        <f aca="false">IF(F1688&gt;0,RANK(F1688,$F$2:$F$1780)+COUNTIF($F$2:F1688,F1688)-1,"")</f>
        <v/>
      </c>
      <c r="Z1688" s="56" t="str">
        <f aca="false">IF(H1688&gt;0,RANK(H1688,$H$2:$H$1780)+COUNTIF($H$2:H1688,H1688)-1,"")</f>
        <v/>
      </c>
      <c r="AA1688" s="56" t="str">
        <f aca="false">IF(AC1688="","",RANK(AC1688,$AC$2:$AC$1780)+COUNTIF($AC$2:AC1688,AC1688)-1)</f>
        <v/>
      </c>
      <c r="AB1688" s="56" t="str">
        <f aca="false">IF(AD1688="","",RANK(AD1688,$AD$2:$AD$1780)+COUNTIF($AD$2:AD1688,AD1688)-1)</f>
        <v/>
      </c>
      <c r="AC1688" s="56" t="str">
        <f aca="false">IF(AND(F1688&gt;0,E1688&gt;=Settings!$B$4),J1688,"")</f>
        <v/>
      </c>
      <c r="AD1688" s="56" t="str">
        <f aca="false">IF(X1688="HIGH RATE",O1688,"")</f>
        <v/>
      </c>
    </row>
    <row r="1689" customFormat="false" ht="15" hidden="false" customHeight="false" outlineLevel="0" collapsed="false">
      <c r="A1689" s="56" t="s">
        <v>3195</v>
      </c>
      <c r="B1689" s="56" t="s">
        <v>2592</v>
      </c>
      <c r="C1689" s="56" t="s">
        <v>67</v>
      </c>
      <c r="D1689" s="56" t="str">
        <f aca="false">IFERROR(INDEX('Brand Map'!$B$4:$B$124,MATCH(C1689,'Brand Map'!$A$4:$A$124,0)),"Other")</f>
        <v>MJ</v>
      </c>
      <c r="E1689" s="57" t="n">
        <v>5</v>
      </c>
      <c r="F1689" s="57" t="n">
        <v>0</v>
      </c>
      <c r="G1689" s="58" t="n">
        <v>263.39</v>
      </c>
      <c r="H1689" s="58" t="n">
        <v>0</v>
      </c>
      <c r="I1689" s="58" t="n">
        <v>263.39</v>
      </c>
      <c r="J1689" s="32" t="n">
        <f aca="false">IF(E1689&gt;0,F1689/E1689,0)</f>
        <v>0</v>
      </c>
      <c r="K1689" s="32" t="n">
        <f aca="false">IF(G1689&gt;0,H1689/G1689,0)</f>
        <v>-0</v>
      </c>
      <c r="L1689" s="59" t="n">
        <f aca="false">H1689/Settings!$B$16</f>
        <v>-0</v>
      </c>
      <c r="M1689" s="59" t="n">
        <f aca="false">H1689/Settings!$B$20</f>
        <v>-0</v>
      </c>
      <c r="N1689" s="60" t="n">
        <f aca="false">E1689*Settings!$B$3</f>
        <v>0.154930755399102</v>
      </c>
      <c r="O1689" s="60" t="n">
        <f aca="false">IF(E1689&gt;0,(F1689-N1689)/SQRT(E1689*Settings!$B$3*(1-Settings!$B$3)),0)</f>
        <v>-0.399856193402468</v>
      </c>
      <c r="P1689" s="60" t="n">
        <f aca="false">MAX(0,F1689-N1689)</f>
        <v>0</v>
      </c>
      <c r="Q1689" s="32" t="n">
        <f aca="false">(F1689+Settings!$B$7*Settings!$B$3)/(E1689+Settings!$B$7)</f>
        <v>0.0265595580684175</v>
      </c>
      <c r="R1689" s="61" t="n">
        <f aca="false">PERCENTRANK($H$2:$H$1780,H1689,6)</f>
        <v>0</v>
      </c>
      <c r="S1689" s="61" t="n">
        <f aca="false">PERCENTRANK($Q$2:$Q$1780,Q1689,6)</f>
        <v>0.220472</v>
      </c>
      <c r="T1689" s="61" t="n">
        <f aca="false">PERCENTRANK($F$2:$F$1780,F1689,6)</f>
        <v>0</v>
      </c>
      <c r="U1689" s="62" t="n">
        <f aca="false">IF(F1689&gt;0,(Settings!$B$8*T1689+Settings!$B$9*R1689+Settings!$B$10*S1689)/SUM(Settings!$B$8:$B$10),0)</f>
        <v>0</v>
      </c>
      <c r="V1689" s="56" t="str">
        <f aca="false">IF(U1689&gt;0,RANK(U1689,$U$2:$U$1780)+COUNTIF($U$2:U1689,U1689)-1,"")</f>
        <v/>
      </c>
      <c r="W1689" s="56" t="str">
        <f aca="false">IF(V1689="","",IF(V1689&lt;=Settings!$B$11,"1 - Fix first",IF(V1689&lt;=Settings!$B$12,"2 - Review","3 - Monitor")))</f>
        <v/>
      </c>
      <c r="X1689" s="56" t="str">
        <f aca="false">IF(AND(E1689&gt;=Settings!$B$4,F1689&gt;=Settings!$B$5,O1689&gt;=Settings!$B$6),"HIGH RATE","")</f>
        <v/>
      </c>
      <c r="Y1689" s="56" t="str">
        <f aca="false">IF(F1689&gt;0,RANK(F1689,$F$2:$F$1780)+COUNTIF($F$2:F1689,F1689)-1,"")</f>
        <v/>
      </c>
      <c r="Z1689" s="56" t="str">
        <f aca="false">IF(H1689&gt;0,RANK(H1689,$H$2:$H$1780)+COUNTIF($H$2:H1689,H1689)-1,"")</f>
        <v/>
      </c>
      <c r="AA1689" s="56" t="str">
        <f aca="false">IF(AC1689="","",RANK(AC1689,$AC$2:$AC$1780)+COUNTIF($AC$2:AC1689,AC1689)-1)</f>
        <v/>
      </c>
      <c r="AB1689" s="56" t="str">
        <f aca="false">IF(AD1689="","",RANK(AD1689,$AD$2:$AD$1780)+COUNTIF($AD$2:AD1689,AD1689)-1)</f>
        <v/>
      </c>
      <c r="AC1689" s="56" t="str">
        <f aca="false">IF(AND(F1689&gt;0,E1689&gt;=Settings!$B$4),J1689,"")</f>
        <v/>
      </c>
      <c r="AD1689" s="56" t="str">
        <f aca="false">IF(X1689="HIGH RATE",O1689,"")</f>
        <v/>
      </c>
    </row>
    <row r="1690" customFormat="false" ht="15" hidden="false" customHeight="false" outlineLevel="0" collapsed="false">
      <c r="A1690" s="56" t="s">
        <v>3196</v>
      </c>
      <c r="B1690" s="56" t="s">
        <v>3197</v>
      </c>
      <c r="C1690" s="56" t="s">
        <v>67</v>
      </c>
      <c r="D1690" s="56" t="str">
        <f aca="false">IFERROR(INDEX('Brand Map'!$B$4:$B$124,MATCH(C1690,'Brand Map'!$A$4:$A$124,0)),"Other")</f>
        <v>MJ</v>
      </c>
      <c r="E1690" s="57" t="n">
        <v>4</v>
      </c>
      <c r="F1690" s="57" t="n">
        <v>0</v>
      </c>
      <c r="G1690" s="58" t="n">
        <v>254.8</v>
      </c>
      <c r="H1690" s="58" t="n">
        <v>0</v>
      </c>
      <c r="I1690" s="58" t="n">
        <v>254.8</v>
      </c>
      <c r="J1690" s="32" t="n">
        <f aca="false">IF(E1690&gt;0,F1690/E1690,0)</f>
        <v>0</v>
      </c>
      <c r="K1690" s="32" t="n">
        <f aca="false">IF(G1690&gt;0,H1690/G1690,0)</f>
        <v>-0</v>
      </c>
      <c r="L1690" s="59" t="n">
        <f aca="false">H1690/Settings!$B$16</f>
        <v>-0</v>
      </c>
      <c r="M1690" s="59" t="n">
        <f aca="false">H1690/Settings!$B$20</f>
        <v>-0</v>
      </c>
      <c r="N1690" s="60" t="n">
        <f aca="false">E1690*Settings!$B$3</f>
        <v>0.123944604319282</v>
      </c>
      <c r="O1690" s="60" t="n">
        <f aca="false">IF(E1690&gt;0,(F1690-N1690)/SQRT(E1690*Settings!$B$3*(1-Settings!$B$3)),0)</f>
        <v>-0.357642251868888</v>
      </c>
      <c r="P1690" s="60" t="n">
        <f aca="false">MAX(0,F1690-N1690)</f>
        <v>0</v>
      </c>
      <c r="Q1690" s="32" t="n">
        <f aca="false">(F1690+Settings!$B$7*Settings!$B$3)/(E1690+Settings!$B$7)</f>
        <v>0.027340721541018</v>
      </c>
      <c r="R1690" s="61" t="n">
        <f aca="false">PERCENTRANK($H$2:$H$1780,H1690,6)</f>
        <v>0</v>
      </c>
      <c r="S1690" s="61" t="n">
        <f aca="false">PERCENTRANK($Q$2:$Q$1780,Q1690,6)</f>
        <v>0.253656</v>
      </c>
      <c r="T1690" s="61" t="n">
        <f aca="false">PERCENTRANK($F$2:$F$1780,F1690,6)</f>
        <v>0</v>
      </c>
      <c r="U1690" s="62" t="n">
        <f aca="false">IF(F1690&gt;0,(Settings!$B$8*T1690+Settings!$B$9*R1690+Settings!$B$10*S1690)/SUM(Settings!$B$8:$B$10),0)</f>
        <v>0</v>
      </c>
      <c r="V1690" s="56" t="str">
        <f aca="false">IF(U1690&gt;0,RANK(U1690,$U$2:$U$1780)+COUNTIF($U$2:U1690,U1690)-1,"")</f>
        <v/>
      </c>
      <c r="W1690" s="56" t="str">
        <f aca="false">IF(V1690="","",IF(V1690&lt;=Settings!$B$11,"1 - Fix first",IF(V1690&lt;=Settings!$B$12,"2 - Review","3 - Monitor")))</f>
        <v/>
      </c>
      <c r="X1690" s="56" t="str">
        <f aca="false">IF(AND(E1690&gt;=Settings!$B$4,F1690&gt;=Settings!$B$5,O1690&gt;=Settings!$B$6),"HIGH RATE","")</f>
        <v/>
      </c>
      <c r="Y1690" s="56" t="str">
        <f aca="false">IF(F1690&gt;0,RANK(F1690,$F$2:$F$1780)+COUNTIF($F$2:F1690,F1690)-1,"")</f>
        <v/>
      </c>
      <c r="Z1690" s="56" t="str">
        <f aca="false">IF(H1690&gt;0,RANK(H1690,$H$2:$H$1780)+COUNTIF($H$2:H1690,H1690)-1,"")</f>
        <v/>
      </c>
      <c r="AA1690" s="56" t="str">
        <f aca="false">IF(AC1690="","",RANK(AC1690,$AC$2:$AC$1780)+COUNTIF($AC$2:AC1690,AC1690)-1)</f>
        <v/>
      </c>
      <c r="AB1690" s="56" t="str">
        <f aca="false">IF(AD1690="","",RANK(AD1690,$AD$2:$AD$1780)+COUNTIF($AD$2:AD1690,AD1690)-1)</f>
        <v/>
      </c>
      <c r="AC1690" s="56" t="str">
        <f aca="false">IF(AND(F1690&gt;0,E1690&gt;=Settings!$B$4),J1690,"")</f>
        <v/>
      </c>
      <c r="AD1690" s="56" t="str">
        <f aca="false">IF(X1690="HIGH RATE",O1690,"")</f>
        <v/>
      </c>
    </row>
    <row r="1691" customFormat="false" ht="15" hidden="false" customHeight="false" outlineLevel="0" collapsed="false">
      <c r="A1691" s="56" t="s">
        <v>3198</v>
      </c>
      <c r="B1691" s="56" t="s">
        <v>3199</v>
      </c>
      <c r="C1691" s="56" t="s">
        <v>67</v>
      </c>
      <c r="D1691" s="56" t="str">
        <f aca="false">IFERROR(INDEX('Brand Map'!$B$4:$B$124,MATCH(C1691,'Brand Map'!$A$4:$A$124,0)),"Other")</f>
        <v>MJ</v>
      </c>
      <c r="E1691" s="57" t="n">
        <v>2</v>
      </c>
      <c r="F1691" s="57" t="n">
        <v>0</v>
      </c>
      <c r="G1691" s="58" t="n">
        <v>149.91</v>
      </c>
      <c r="H1691" s="58" t="n">
        <v>0</v>
      </c>
      <c r="I1691" s="58" t="n">
        <v>149.91</v>
      </c>
      <c r="J1691" s="32" t="n">
        <f aca="false">IF(E1691&gt;0,F1691/E1691,0)</f>
        <v>0</v>
      </c>
      <c r="K1691" s="32" t="n">
        <f aca="false">IF(G1691&gt;0,H1691/G1691,0)</f>
        <v>-0</v>
      </c>
      <c r="L1691" s="59" t="n">
        <f aca="false">H1691/Settings!$B$16</f>
        <v>-0</v>
      </c>
      <c r="M1691" s="59" t="n">
        <f aca="false">H1691/Settings!$B$20</f>
        <v>-0</v>
      </c>
      <c r="N1691" s="60" t="n">
        <f aca="false">E1691*Settings!$B$3</f>
        <v>0.0619723021596408</v>
      </c>
      <c r="O1691" s="60" t="n">
        <f aca="false">IF(E1691&gt;0,(F1691-N1691)/SQRT(E1691*Settings!$B$3*(1-Settings!$B$3)),0)</f>
        <v>-0.252891261535318</v>
      </c>
      <c r="P1691" s="60" t="n">
        <f aca="false">MAX(0,F1691-N1691)</f>
        <v>0</v>
      </c>
      <c r="Q1691" s="32" t="n">
        <f aca="false">(F1691+Settings!$B$7*Settings!$B$3)/(E1691+Settings!$B$7)</f>
        <v>0.0290495166373316</v>
      </c>
      <c r="R1691" s="61" t="n">
        <f aca="false">PERCENTRANK($H$2:$H$1780,H1691,6)</f>
        <v>0</v>
      </c>
      <c r="S1691" s="61" t="n">
        <f aca="false">PERCENTRANK($Q$2:$Q$1780,Q1691,6)</f>
        <v>0.365579</v>
      </c>
      <c r="T1691" s="61" t="n">
        <f aca="false">PERCENTRANK($F$2:$F$1780,F1691,6)</f>
        <v>0</v>
      </c>
      <c r="U1691" s="62" t="n">
        <f aca="false">IF(F1691&gt;0,(Settings!$B$8*T1691+Settings!$B$9*R1691+Settings!$B$10*S1691)/SUM(Settings!$B$8:$B$10),0)</f>
        <v>0</v>
      </c>
      <c r="V1691" s="56" t="str">
        <f aca="false">IF(U1691&gt;0,RANK(U1691,$U$2:$U$1780)+COUNTIF($U$2:U1691,U1691)-1,"")</f>
        <v/>
      </c>
      <c r="W1691" s="56" t="str">
        <f aca="false">IF(V1691="","",IF(V1691&lt;=Settings!$B$11,"1 - Fix first",IF(V1691&lt;=Settings!$B$12,"2 - Review","3 - Monitor")))</f>
        <v/>
      </c>
      <c r="X1691" s="56" t="str">
        <f aca="false">IF(AND(E1691&gt;=Settings!$B$4,F1691&gt;=Settings!$B$5,O1691&gt;=Settings!$B$6),"HIGH RATE","")</f>
        <v/>
      </c>
      <c r="Y1691" s="56" t="str">
        <f aca="false">IF(F1691&gt;0,RANK(F1691,$F$2:$F$1780)+COUNTIF($F$2:F1691,F1691)-1,"")</f>
        <v/>
      </c>
      <c r="Z1691" s="56" t="str">
        <f aca="false">IF(H1691&gt;0,RANK(H1691,$H$2:$H$1780)+COUNTIF($H$2:H1691,H1691)-1,"")</f>
        <v/>
      </c>
      <c r="AA1691" s="56" t="str">
        <f aca="false">IF(AC1691="","",RANK(AC1691,$AC$2:$AC$1780)+COUNTIF($AC$2:AC1691,AC1691)-1)</f>
        <v/>
      </c>
      <c r="AB1691" s="56" t="str">
        <f aca="false">IF(AD1691="","",RANK(AD1691,$AD$2:$AD$1780)+COUNTIF($AD$2:AD1691,AD1691)-1)</f>
        <v/>
      </c>
      <c r="AC1691" s="56" t="str">
        <f aca="false">IF(AND(F1691&gt;0,E1691&gt;=Settings!$B$4),J1691,"")</f>
        <v/>
      </c>
      <c r="AD1691" s="56" t="str">
        <f aca="false">IF(X1691="HIGH RATE",O1691,"")</f>
        <v/>
      </c>
    </row>
    <row r="1692" customFormat="false" ht="15" hidden="false" customHeight="false" outlineLevel="0" collapsed="false">
      <c r="A1692" s="56" t="s">
        <v>3200</v>
      </c>
      <c r="B1692" s="56" t="s">
        <v>981</v>
      </c>
      <c r="C1692" s="56" t="s">
        <v>67</v>
      </c>
      <c r="D1692" s="56" t="str">
        <f aca="false">IFERROR(INDEX('Brand Map'!$B$4:$B$124,MATCH(C1692,'Brand Map'!$A$4:$A$124,0)),"Other")</f>
        <v>MJ</v>
      </c>
      <c r="E1692" s="57" t="n">
        <v>11</v>
      </c>
      <c r="F1692" s="57" t="n">
        <v>0</v>
      </c>
      <c r="G1692" s="58" t="n">
        <v>989.45</v>
      </c>
      <c r="H1692" s="58" t="n">
        <v>0</v>
      </c>
      <c r="I1692" s="58" t="n">
        <v>989.45</v>
      </c>
      <c r="J1692" s="32" t="n">
        <f aca="false">IF(E1692&gt;0,F1692/E1692,0)</f>
        <v>0</v>
      </c>
      <c r="K1692" s="32" t="n">
        <f aca="false">IF(G1692&gt;0,H1692/G1692,0)</f>
        <v>-0</v>
      </c>
      <c r="L1692" s="59" t="n">
        <f aca="false">H1692/Settings!$B$16</f>
        <v>-0</v>
      </c>
      <c r="M1692" s="59" t="n">
        <f aca="false">H1692/Settings!$B$20</f>
        <v>-0</v>
      </c>
      <c r="N1692" s="60" t="n">
        <f aca="false">E1692*Settings!$B$3</f>
        <v>0.340847661878025</v>
      </c>
      <c r="O1692" s="60" t="n">
        <f aca="false">IF(E1692&gt;0,(F1692-N1692)/SQRT(E1692*Settings!$B$3*(1-Settings!$B$3)),0)</f>
        <v>-0.593082579313442</v>
      </c>
      <c r="P1692" s="60" t="n">
        <f aca="false">MAX(0,F1692-N1692)</f>
        <v>0</v>
      </c>
      <c r="Q1692" s="32" t="n">
        <f aca="false">(F1692+Settings!$B$7*Settings!$B$3)/(E1692+Settings!$B$7)</f>
        <v>0.0226727934730393</v>
      </c>
      <c r="R1692" s="61" t="n">
        <f aca="false">PERCENTRANK($H$2:$H$1780,H1692,6)</f>
        <v>0</v>
      </c>
      <c r="S1692" s="61" t="n">
        <f aca="false">PERCENTRANK($Q$2:$Q$1780,Q1692,6)</f>
        <v>0.117548</v>
      </c>
      <c r="T1692" s="61" t="n">
        <f aca="false">PERCENTRANK($F$2:$F$1780,F1692,6)</f>
        <v>0</v>
      </c>
      <c r="U1692" s="62" t="n">
        <f aca="false">IF(F1692&gt;0,(Settings!$B$8*T1692+Settings!$B$9*R1692+Settings!$B$10*S1692)/SUM(Settings!$B$8:$B$10),0)</f>
        <v>0</v>
      </c>
      <c r="V1692" s="56" t="str">
        <f aca="false">IF(U1692&gt;0,RANK(U1692,$U$2:$U$1780)+COUNTIF($U$2:U1692,U1692)-1,"")</f>
        <v/>
      </c>
      <c r="W1692" s="56" t="str">
        <f aca="false">IF(V1692="","",IF(V1692&lt;=Settings!$B$11,"1 - Fix first",IF(V1692&lt;=Settings!$B$12,"2 - Review","3 - Monitor")))</f>
        <v/>
      </c>
      <c r="X1692" s="56" t="str">
        <f aca="false">IF(AND(E1692&gt;=Settings!$B$4,F1692&gt;=Settings!$B$5,O1692&gt;=Settings!$B$6),"HIGH RATE","")</f>
        <v/>
      </c>
      <c r="Y1692" s="56" t="str">
        <f aca="false">IF(F1692&gt;0,RANK(F1692,$F$2:$F$1780)+COUNTIF($F$2:F1692,F1692)-1,"")</f>
        <v/>
      </c>
      <c r="Z1692" s="56" t="str">
        <f aca="false">IF(H1692&gt;0,RANK(H1692,$H$2:$H$1780)+COUNTIF($H$2:H1692,H1692)-1,"")</f>
        <v/>
      </c>
      <c r="AA1692" s="56" t="str">
        <f aca="false">IF(AC1692="","",RANK(AC1692,$AC$2:$AC$1780)+COUNTIF($AC$2:AC1692,AC1692)-1)</f>
        <v/>
      </c>
      <c r="AB1692" s="56" t="str">
        <f aca="false">IF(AD1692="","",RANK(AD1692,$AD$2:$AD$1780)+COUNTIF($AD$2:AD1692,AD1692)-1)</f>
        <v/>
      </c>
      <c r="AC1692" s="56" t="str">
        <f aca="false">IF(AND(F1692&gt;0,E1692&gt;=Settings!$B$4),J1692,"")</f>
        <v/>
      </c>
      <c r="AD1692" s="56" t="str">
        <f aca="false">IF(X1692="HIGH RATE",O1692,"")</f>
        <v/>
      </c>
    </row>
    <row r="1693" customFormat="false" ht="15" hidden="false" customHeight="false" outlineLevel="0" collapsed="false">
      <c r="A1693" s="56" t="s">
        <v>3201</v>
      </c>
      <c r="B1693" s="56" t="s">
        <v>981</v>
      </c>
      <c r="C1693" s="56" t="s">
        <v>67</v>
      </c>
      <c r="D1693" s="56" t="str">
        <f aca="false">IFERROR(INDEX('Brand Map'!$B$4:$B$124,MATCH(C1693,'Brand Map'!$A$4:$A$124,0)),"Other")</f>
        <v>MJ</v>
      </c>
      <c r="E1693" s="57" t="n">
        <v>1</v>
      </c>
      <c r="F1693" s="57" t="n">
        <v>0</v>
      </c>
      <c r="G1693" s="58" t="n">
        <v>104.95</v>
      </c>
      <c r="H1693" s="58" t="n">
        <v>0</v>
      </c>
      <c r="I1693" s="58" t="n">
        <v>104.95</v>
      </c>
      <c r="J1693" s="32" t="n">
        <f aca="false">IF(E1693&gt;0,F1693/E1693,0)</f>
        <v>0</v>
      </c>
      <c r="K1693" s="32" t="n">
        <f aca="false">IF(G1693&gt;0,H1693/G1693,0)</f>
        <v>-0</v>
      </c>
      <c r="L1693" s="59" t="n">
        <f aca="false">H1693/Settings!$B$16</f>
        <v>-0</v>
      </c>
      <c r="M1693" s="59" t="n">
        <f aca="false">H1693/Settings!$B$20</f>
        <v>-0</v>
      </c>
      <c r="N1693" s="60" t="n">
        <f aca="false">E1693*Settings!$B$3</f>
        <v>0.0309861510798204</v>
      </c>
      <c r="O1693" s="60" t="n">
        <f aca="false">IF(E1693&gt;0,(F1693-N1693)/SQRT(E1693*Settings!$B$3*(1-Settings!$B$3)),0)</f>
        <v>-0.178821125934444</v>
      </c>
      <c r="P1693" s="60" t="n">
        <f aca="false">MAX(0,F1693-N1693)</f>
        <v>0</v>
      </c>
      <c r="Q1693" s="32" t="n">
        <f aca="false">(F1693+Settings!$B$7*Settings!$B$3)/(E1693+Settings!$B$7)</f>
        <v>0.0299865978191811</v>
      </c>
      <c r="R1693" s="61" t="n">
        <f aca="false">PERCENTRANK($H$2:$H$1780,H1693,6)</f>
        <v>0</v>
      </c>
      <c r="S1693" s="61" t="n">
        <f aca="false">PERCENTRANK($Q$2:$Q$1780,Q1693,6)</f>
        <v>0.486502</v>
      </c>
      <c r="T1693" s="61" t="n">
        <f aca="false">PERCENTRANK($F$2:$F$1780,F1693,6)</f>
        <v>0</v>
      </c>
      <c r="U1693" s="62" t="n">
        <f aca="false">IF(F1693&gt;0,(Settings!$B$8*T1693+Settings!$B$9*R1693+Settings!$B$10*S1693)/SUM(Settings!$B$8:$B$10),0)</f>
        <v>0</v>
      </c>
      <c r="V1693" s="56" t="str">
        <f aca="false">IF(U1693&gt;0,RANK(U1693,$U$2:$U$1780)+COUNTIF($U$2:U1693,U1693)-1,"")</f>
        <v/>
      </c>
      <c r="W1693" s="56" t="str">
        <f aca="false">IF(V1693="","",IF(V1693&lt;=Settings!$B$11,"1 - Fix first",IF(V1693&lt;=Settings!$B$12,"2 - Review","3 - Monitor")))</f>
        <v/>
      </c>
      <c r="X1693" s="56" t="str">
        <f aca="false">IF(AND(E1693&gt;=Settings!$B$4,F1693&gt;=Settings!$B$5,O1693&gt;=Settings!$B$6),"HIGH RATE","")</f>
        <v/>
      </c>
      <c r="Y1693" s="56" t="str">
        <f aca="false">IF(F1693&gt;0,RANK(F1693,$F$2:$F$1780)+COUNTIF($F$2:F1693,F1693)-1,"")</f>
        <v/>
      </c>
      <c r="Z1693" s="56" t="str">
        <f aca="false">IF(H1693&gt;0,RANK(H1693,$H$2:$H$1780)+COUNTIF($H$2:H1693,H1693)-1,"")</f>
        <v/>
      </c>
      <c r="AA1693" s="56" t="str">
        <f aca="false">IF(AC1693="","",RANK(AC1693,$AC$2:$AC$1780)+COUNTIF($AC$2:AC1693,AC1693)-1)</f>
        <v/>
      </c>
      <c r="AB1693" s="56" t="str">
        <f aca="false">IF(AD1693="","",RANK(AD1693,$AD$2:$AD$1780)+COUNTIF($AD$2:AD1693,AD1693)-1)</f>
        <v/>
      </c>
      <c r="AC1693" s="56" t="str">
        <f aca="false">IF(AND(F1693&gt;0,E1693&gt;=Settings!$B$4),J1693,"")</f>
        <v/>
      </c>
      <c r="AD1693" s="56" t="str">
        <f aca="false">IF(X1693="HIGH RATE",O1693,"")</f>
        <v/>
      </c>
    </row>
    <row r="1694" customFormat="false" ht="15" hidden="false" customHeight="false" outlineLevel="0" collapsed="false">
      <c r="A1694" s="56" t="s">
        <v>3202</v>
      </c>
      <c r="B1694" s="56" t="s">
        <v>981</v>
      </c>
      <c r="C1694" s="56" t="s">
        <v>67</v>
      </c>
      <c r="D1694" s="56" t="str">
        <f aca="false">IFERROR(INDEX('Brand Map'!$B$4:$B$124,MATCH(C1694,'Brand Map'!$A$4:$A$124,0)),"Other")</f>
        <v>MJ</v>
      </c>
      <c r="E1694" s="57" t="n">
        <v>1</v>
      </c>
      <c r="F1694" s="57" t="n">
        <v>0</v>
      </c>
      <c r="G1694" s="58" t="n">
        <v>119.95</v>
      </c>
      <c r="H1694" s="58" t="n">
        <v>0</v>
      </c>
      <c r="I1694" s="58" t="n">
        <v>119.95</v>
      </c>
      <c r="J1694" s="32" t="n">
        <f aca="false">IF(E1694&gt;0,F1694/E1694,0)</f>
        <v>0</v>
      </c>
      <c r="K1694" s="32" t="n">
        <f aca="false">IF(G1694&gt;0,H1694/G1694,0)</f>
        <v>-0</v>
      </c>
      <c r="L1694" s="59" t="n">
        <f aca="false">H1694/Settings!$B$16</f>
        <v>-0</v>
      </c>
      <c r="M1694" s="59" t="n">
        <f aca="false">H1694/Settings!$B$20</f>
        <v>-0</v>
      </c>
      <c r="N1694" s="60" t="n">
        <f aca="false">E1694*Settings!$B$3</f>
        <v>0.0309861510798204</v>
      </c>
      <c r="O1694" s="60" t="n">
        <f aca="false">IF(E1694&gt;0,(F1694-N1694)/SQRT(E1694*Settings!$B$3*(1-Settings!$B$3)),0)</f>
        <v>-0.178821125934444</v>
      </c>
      <c r="P1694" s="60" t="n">
        <f aca="false">MAX(0,F1694-N1694)</f>
        <v>0</v>
      </c>
      <c r="Q1694" s="32" t="n">
        <f aca="false">(F1694+Settings!$B$7*Settings!$B$3)/(E1694+Settings!$B$7)</f>
        <v>0.0299865978191811</v>
      </c>
      <c r="R1694" s="61" t="n">
        <f aca="false">PERCENTRANK($H$2:$H$1780,H1694,6)</f>
        <v>0</v>
      </c>
      <c r="S1694" s="61" t="n">
        <f aca="false">PERCENTRANK($Q$2:$Q$1780,Q1694,6)</f>
        <v>0.486502</v>
      </c>
      <c r="T1694" s="61" t="n">
        <f aca="false">PERCENTRANK($F$2:$F$1780,F1694,6)</f>
        <v>0</v>
      </c>
      <c r="U1694" s="62" t="n">
        <f aca="false">IF(F1694&gt;0,(Settings!$B$8*T1694+Settings!$B$9*R1694+Settings!$B$10*S1694)/SUM(Settings!$B$8:$B$10),0)</f>
        <v>0</v>
      </c>
      <c r="V1694" s="56" t="str">
        <f aca="false">IF(U1694&gt;0,RANK(U1694,$U$2:$U$1780)+COUNTIF($U$2:U1694,U1694)-1,"")</f>
        <v/>
      </c>
      <c r="W1694" s="56" t="str">
        <f aca="false">IF(V1694="","",IF(V1694&lt;=Settings!$B$11,"1 - Fix first",IF(V1694&lt;=Settings!$B$12,"2 - Review","3 - Monitor")))</f>
        <v/>
      </c>
      <c r="X1694" s="56" t="str">
        <f aca="false">IF(AND(E1694&gt;=Settings!$B$4,F1694&gt;=Settings!$B$5,O1694&gt;=Settings!$B$6),"HIGH RATE","")</f>
        <v/>
      </c>
      <c r="Y1694" s="56" t="str">
        <f aca="false">IF(F1694&gt;0,RANK(F1694,$F$2:$F$1780)+COUNTIF($F$2:F1694,F1694)-1,"")</f>
        <v/>
      </c>
      <c r="Z1694" s="56" t="str">
        <f aca="false">IF(H1694&gt;0,RANK(H1694,$H$2:$H$1780)+COUNTIF($H$2:H1694,H1694)-1,"")</f>
        <v/>
      </c>
      <c r="AA1694" s="56" t="str">
        <f aca="false">IF(AC1694="","",RANK(AC1694,$AC$2:$AC$1780)+COUNTIF($AC$2:AC1694,AC1694)-1)</f>
        <v/>
      </c>
      <c r="AB1694" s="56" t="str">
        <f aca="false">IF(AD1694="","",RANK(AD1694,$AD$2:$AD$1780)+COUNTIF($AD$2:AD1694,AD1694)-1)</f>
        <v/>
      </c>
      <c r="AC1694" s="56" t="str">
        <f aca="false">IF(AND(F1694&gt;0,E1694&gt;=Settings!$B$4),J1694,"")</f>
        <v/>
      </c>
      <c r="AD1694" s="56" t="str">
        <f aca="false">IF(X1694="HIGH RATE",O1694,"")</f>
        <v/>
      </c>
    </row>
    <row r="1695" customFormat="false" ht="15" hidden="false" customHeight="false" outlineLevel="0" collapsed="false">
      <c r="A1695" s="56" t="s">
        <v>3203</v>
      </c>
      <c r="B1695" s="56" t="s">
        <v>896</v>
      </c>
      <c r="C1695" s="56" t="s">
        <v>67</v>
      </c>
      <c r="D1695" s="56" t="str">
        <f aca="false">IFERROR(INDEX('Brand Map'!$B$4:$B$124,MATCH(C1695,'Brand Map'!$A$4:$A$124,0)),"Other")</f>
        <v>MJ</v>
      </c>
      <c r="E1695" s="57" t="n">
        <v>8</v>
      </c>
      <c r="F1695" s="57" t="n">
        <v>0</v>
      </c>
      <c r="G1695" s="58" t="n">
        <v>599.6</v>
      </c>
      <c r="H1695" s="58" t="n">
        <v>0</v>
      </c>
      <c r="I1695" s="58" t="n">
        <v>599.6</v>
      </c>
      <c r="J1695" s="32" t="n">
        <f aca="false">IF(E1695&gt;0,F1695/E1695,0)</f>
        <v>0</v>
      </c>
      <c r="K1695" s="32" t="n">
        <f aca="false">IF(G1695&gt;0,H1695/G1695,0)</f>
        <v>-0</v>
      </c>
      <c r="L1695" s="59" t="n">
        <f aca="false">H1695/Settings!$B$16</f>
        <v>-0</v>
      </c>
      <c r="M1695" s="59" t="n">
        <f aca="false">H1695/Settings!$B$20</f>
        <v>-0</v>
      </c>
      <c r="N1695" s="60" t="n">
        <f aca="false">E1695*Settings!$B$3</f>
        <v>0.247889208638563</v>
      </c>
      <c r="O1695" s="60" t="n">
        <f aca="false">IF(E1695&gt;0,(F1695-N1695)/SQRT(E1695*Settings!$B$3*(1-Settings!$B$3)),0)</f>
        <v>-0.505782523070636</v>
      </c>
      <c r="P1695" s="60" t="n">
        <f aca="false">MAX(0,F1695-N1695)</f>
        <v>0</v>
      </c>
      <c r="Q1695" s="32" t="n">
        <f aca="false">(F1695+Settings!$B$7*Settings!$B$3)/(E1695+Settings!$B$7)</f>
        <v>0.0244627508524898</v>
      </c>
      <c r="R1695" s="61" t="n">
        <f aca="false">PERCENTRANK($H$2:$H$1780,H1695,6)</f>
        <v>0</v>
      </c>
      <c r="S1695" s="61" t="n">
        <f aca="false">PERCENTRANK($Q$2:$Q$1780,Q1695,6)</f>
        <v>0.154668</v>
      </c>
      <c r="T1695" s="61" t="n">
        <f aca="false">PERCENTRANK($F$2:$F$1780,F1695,6)</f>
        <v>0</v>
      </c>
      <c r="U1695" s="62" t="n">
        <f aca="false">IF(F1695&gt;0,(Settings!$B$8*T1695+Settings!$B$9*R1695+Settings!$B$10*S1695)/SUM(Settings!$B$8:$B$10),0)</f>
        <v>0</v>
      </c>
      <c r="V1695" s="56" t="str">
        <f aca="false">IF(U1695&gt;0,RANK(U1695,$U$2:$U$1780)+COUNTIF($U$2:U1695,U1695)-1,"")</f>
        <v/>
      </c>
      <c r="W1695" s="56" t="str">
        <f aca="false">IF(V1695="","",IF(V1695&lt;=Settings!$B$11,"1 - Fix first",IF(V1695&lt;=Settings!$B$12,"2 - Review","3 - Monitor")))</f>
        <v/>
      </c>
      <c r="X1695" s="56" t="str">
        <f aca="false">IF(AND(E1695&gt;=Settings!$B$4,F1695&gt;=Settings!$B$5,O1695&gt;=Settings!$B$6),"HIGH RATE","")</f>
        <v/>
      </c>
      <c r="Y1695" s="56" t="str">
        <f aca="false">IF(F1695&gt;0,RANK(F1695,$F$2:$F$1780)+COUNTIF($F$2:F1695,F1695)-1,"")</f>
        <v/>
      </c>
      <c r="Z1695" s="56" t="str">
        <f aca="false">IF(H1695&gt;0,RANK(H1695,$H$2:$H$1780)+COUNTIF($H$2:H1695,H1695)-1,"")</f>
        <v/>
      </c>
      <c r="AA1695" s="56" t="str">
        <f aca="false">IF(AC1695="","",RANK(AC1695,$AC$2:$AC$1780)+COUNTIF($AC$2:AC1695,AC1695)-1)</f>
        <v/>
      </c>
      <c r="AB1695" s="56" t="str">
        <f aca="false">IF(AD1695="","",RANK(AD1695,$AD$2:$AD$1780)+COUNTIF($AD$2:AD1695,AD1695)-1)</f>
        <v/>
      </c>
      <c r="AC1695" s="56" t="str">
        <f aca="false">IF(AND(F1695&gt;0,E1695&gt;=Settings!$B$4),J1695,"")</f>
        <v/>
      </c>
      <c r="AD1695" s="56" t="str">
        <f aca="false">IF(X1695="HIGH RATE",O1695,"")</f>
        <v/>
      </c>
    </row>
    <row r="1696" customFormat="false" ht="15" hidden="false" customHeight="false" outlineLevel="0" collapsed="false">
      <c r="A1696" s="56" t="s">
        <v>3204</v>
      </c>
      <c r="B1696" s="56" t="s">
        <v>896</v>
      </c>
      <c r="C1696" s="56" t="s">
        <v>67</v>
      </c>
      <c r="D1696" s="56" t="str">
        <f aca="false">IFERROR(INDEX('Brand Map'!$B$4:$B$124,MATCH(C1696,'Brand Map'!$A$4:$A$124,0)),"Other")</f>
        <v>MJ</v>
      </c>
      <c r="E1696" s="57" t="n">
        <v>3</v>
      </c>
      <c r="F1696" s="57" t="n">
        <v>0</v>
      </c>
      <c r="G1696" s="58" t="n">
        <v>269.85</v>
      </c>
      <c r="H1696" s="58" t="n">
        <v>0</v>
      </c>
      <c r="I1696" s="58" t="n">
        <v>269.85</v>
      </c>
      <c r="J1696" s="32" t="n">
        <f aca="false">IF(E1696&gt;0,F1696/E1696,0)</f>
        <v>0</v>
      </c>
      <c r="K1696" s="32" t="n">
        <f aca="false">IF(G1696&gt;0,H1696/G1696,0)</f>
        <v>-0</v>
      </c>
      <c r="L1696" s="59" t="n">
        <f aca="false">H1696/Settings!$B$16</f>
        <v>-0</v>
      </c>
      <c r="M1696" s="59" t="n">
        <f aca="false">H1696/Settings!$B$20</f>
        <v>-0</v>
      </c>
      <c r="N1696" s="60" t="n">
        <f aca="false">E1696*Settings!$B$3</f>
        <v>0.0929584532394613</v>
      </c>
      <c r="O1696" s="60" t="n">
        <f aca="false">IF(E1696&gt;0,(F1696-N1696)/SQRT(E1696*Settings!$B$3*(1-Settings!$B$3)),0)</f>
        <v>-0.30972727558513</v>
      </c>
      <c r="P1696" s="60" t="n">
        <f aca="false">MAX(0,F1696-N1696)</f>
        <v>0</v>
      </c>
      <c r="Q1696" s="32" t="n">
        <f aca="false">(F1696+Settings!$B$7*Settings!$B$3)/(E1696+Settings!$B$7)</f>
        <v>0.0281692282543822</v>
      </c>
      <c r="R1696" s="61" t="n">
        <f aca="false">PERCENTRANK($H$2:$H$1780,H1696,6)</f>
        <v>0</v>
      </c>
      <c r="S1696" s="61" t="n">
        <f aca="false">PERCENTRANK($Q$2:$Q$1780,Q1696,6)</f>
        <v>0.294151</v>
      </c>
      <c r="T1696" s="61" t="n">
        <f aca="false">PERCENTRANK($F$2:$F$1780,F1696,6)</f>
        <v>0</v>
      </c>
      <c r="U1696" s="62" t="n">
        <f aca="false">IF(F1696&gt;0,(Settings!$B$8*T1696+Settings!$B$9*R1696+Settings!$B$10*S1696)/SUM(Settings!$B$8:$B$10),0)</f>
        <v>0</v>
      </c>
      <c r="V1696" s="56" t="str">
        <f aca="false">IF(U1696&gt;0,RANK(U1696,$U$2:$U$1780)+COUNTIF($U$2:U1696,U1696)-1,"")</f>
        <v/>
      </c>
      <c r="W1696" s="56" t="str">
        <f aca="false">IF(V1696="","",IF(V1696&lt;=Settings!$B$11,"1 - Fix first",IF(V1696&lt;=Settings!$B$12,"2 - Review","3 - Monitor")))</f>
        <v/>
      </c>
      <c r="X1696" s="56" t="str">
        <f aca="false">IF(AND(E1696&gt;=Settings!$B$4,F1696&gt;=Settings!$B$5,O1696&gt;=Settings!$B$6),"HIGH RATE","")</f>
        <v/>
      </c>
      <c r="Y1696" s="56" t="str">
        <f aca="false">IF(F1696&gt;0,RANK(F1696,$F$2:$F$1780)+COUNTIF($F$2:F1696,F1696)-1,"")</f>
        <v/>
      </c>
      <c r="Z1696" s="56" t="str">
        <f aca="false">IF(H1696&gt;0,RANK(H1696,$H$2:$H$1780)+COUNTIF($H$2:H1696,H1696)-1,"")</f>
        <v/>
      </c>
      <c r="AA1696" s="56" t="str">
        <f aca="false">IF(AC1696="","",RANK(AC1696,$AC$2:$AC$1780)+COUNTIF($AC$2:AC1696,AC1696)-1)</f>
        <v/>
      </c>
      <c r="AB1696" s="56" t="str">
        <f aca="false">IF(AD1696="","",RANK(AD1696,$AD$2:$AD$1780)+COUNTIF($AD$2:AD1696,AD1696)-1)</f>
        <v/>
      </c>
      <c r="AC1696" s="56" t="str">
        <f aca="false">IF(AND(F1696&gt;0,E1696&gt;=Settings!$B$4),J1696,"")</f>
        <v/>
      </c>
      <c r="AD1696" s="56" t="str">
        <f aca="false">IF(X1696="HIGH RATE",O1696,"")</f>
        <v/>
      </c>
    </row>
    <row r="1697" customFormat="false" ht="15" hidden="false" customHeight="false" outlineLevel="0" collapsed="false">
      <c r="A1697" s="56" t="s">
        <v>3205</v>
      </c>
      <c r="B1697" s="56" t="s">
        <v>896</v>
      </c>
      <c r="C1697" s="56" t="s">
        <v>67</v>
      </c>
      <c r="D1697" s="56" t="str">
        <f aca="false">IFERROR(INDEX('Brand Map'!$B$4:$B$124,MATCH(C1697,'Brand Map'!$A$4:$A$124,0)),"Other")</f>
        <v>MJ</v>
      </c>
      <c r="E1697" s="57" t="n">
        <v>2</v>
      </c>
      <c r="F1697" s="57" t="n">
        <v>0</v>
      </c>
      <c r="G1697" s="58" t="n">
        <v>209.9</v>
      </c>
      <c r="H1697" s="58" t="n">
        <v>0</v>
      </c>
      <c r="I1697" s="58" t="n">
        <v>209.9</v>
      </c>
      <c r="J1697" s="32" t="n">
        <f aca="false">IF(E1697&gt;0,F1697/E1697,0)</f>
        <v>0</v>
      </c>
      <c r="K1697" s="32" t="n">
        <f aca="false">IF(G1697&gt;0,H1697/G1697,0)</f>
        <v>-0</v>
      </c>
      <c r="L1697" s="59" t="n">
        <f aca="false">H1697/Settings!$B$16</f>
        <v>-0</v>
      </c>
      <c r="M1697" s="59" t="n">
        <f aca="false">H1697/Settings!$B$20</f>
        <v>-0</v>
      </c>
      <c r="N1697" s="60" t="n">
        <f aca="false">E1697*Settings!$B$3</f>
        <v>0.0619723021596408</v>
      </c>
      <c r="O1697" s="60" t="n">
        <f aca="false">IF(E1697&gt;0,(F1697-N1697)/SQRT(E1697*Settings!$B$3*(1-Settings!$B$3)),0)</f>
        <v>-0.252891261535318</v>
      </c>
      <c r="P1697" s="60" t="n">
        <f aca="false">MAX(0,F1697-N1697)</f>
        <v>0</v>
      </c>
      <c r="Q1697" s="32" t="n">
        <f aca="false">(F1697+Settings!$B$7*Settings!$B$3)/(E1697+Settings!$B$7)</f>
        <v>0.0290495166373316</v>
      </c>
      <c r="R1697" s="61" t="n">
        <f aca="false">PERCENTRANK($H$2:$H$1780,H1697,6)</f>
        <v>0</v>
      </c>
      <c r="S1697" s="61" t="n">
        <f aca="false">PERCENTRANK($Q$2:$Q$1780,Q1697,6)</f>
        <v>0.365579</v>
      </c>
      <c r="T1697" s="61" t="n">
        <f aca="false">PERCENTRANK($F$2:$F$1780,F1697,6)</f>
        <v>0</v>
      </c>
      <c r="U1697" s="62" t="n">
        <f aca="false">IF(F1697&gt;0,(Settings!$B$8*T1697+Settings!$B$9*R1697+Settings!$B$10*S1697)/SUM(Settings!$B$8:$B$10),0)</f>
        <v>0</v>
      </c>
      <c r="V1697" s="56" t="str">
        <f aca="false">IF(U1697&gt;0,RANK(U1697,$U$2:$U$1780)+COUNTIF($U$2:U1697,U1697)-1,"")</f>
        <v/>
      </c>
      <c r="W1697" s="56" t="str">
        <f aca="false">IF(V1697="","",IF(V1697&lt;=Settings!$B$11,"1 - Fix first",IF(V1697&lt;=Settings!$B$12,"2 - Review","3 - Monitor")))</f>
        <v/>
      </c>
      <c r="X1697" s="56" t="str">
        <f aca="false">IF(AND(E1697&gt;=Settings!$B$4,F1697&gt;=Settings!$B$5,O1697&gt;=Settings!$B$6),"HIGH RATE","")</f>
        <v/>
      </c>
      <c r="Y1697" s="56" t="str">
        <f aca="false">IF(F1697&gt;0,RANK(F1697,$F$2:$F$1780)+COUNTIF($F$2:F1697,F1697)-1,"")</f>
        <v/>
      </c>
      <c r="Z1697" s="56" t="str">
        <f aca="false">IF(H1697&gt;0,RANK(H1697,$H$2:$H$1780)+COUNTIF($H$2:H1697,H1697)-1,"")</f>
        <v/>
      </c>
      <c r="AA1697" s="56" t="str">
        <f aca="false">IF(AC1697="","",RANK(AC1697,$AC$2:$AC$1780)+COUNTIF($AC$2:AC1697,AC1697)-1)</f>
        <v/>
      </c>
      <c r="AB1697" s="56" t="str">
        <f aca="false">IF(AD1697="","",RANK(AD1697,$AD$2:$AD$1780)+COUNTIF($AD$2:AD1697,AD1697)-1)</f>
        <v/>
      </c>
      <c r="AC1697" s="56" t="str">
        <f aca="false">IF(AND(F1697&gt;0,E1697&gt;=Settings!$B$4),J1697,"")</f>
        <v/>
      </c>
      <c r="AD1697" s="56" t="str">
        <f aca="false">IF(X1697="HIGH RATE",O1697,"")</f>
        <v/>
      </c>
    </row>
    <row r="1698" customFormat="false" ht="15" hidden="false" customHeight="false" outlineLevel="0" collapsed="false">
      <c r="A1698" s="56" t="s">
        <v>3206</v>
      </c>
      <c r="B1698" s="56" t="s">
        <v>896</v>
      </c>
      <c r="C1698" s="56" t="s">
        <v>67</v>
      </c>
      <c r="D1698" s="56" t="str">
        <f aca="false">IFERROR(INDEX('Brand Map'!$B$4:$B$124,MATCH(C1698,'Brand Map'!$A$4:$A$124,0)),"Other")</f>
        <v>MJ</v>
      </c>
      <c r="E1698" s="57" t="n">
        <v>27</v>
      </c>
      <c r="F1698" s="57" t="n">
        <v>0</v>
      </c>
      <c r="G1698" s="58" t="n">
        <v>1618.65</v>
      </c>
      <c r="H1698" s="58" t="n">
        <v>0</v>
      </c>
      <c r="I1698" s="58" t="n">
        <v>1618.65</v>
      </c>
      <c r="J1698" s="32" t="n">
        <f aca="false">IF(E1698&gt;0,F1698/E1698,0)</f>
        <v>0</v>
      </c>
      <c r="K1698" s="32" t="n">
        <f aca="false">IF(G1698&gt;0,H1698/G1698,0)</f>
        <v>-0</v>
      </c>
      <c r="L1698" s="59" t="n">
        <f aca="false">H1698/Settings!$B$16</f>
        <v>-0</v>
      </c>
      <c r="M1698" s="59" t="n">
        <f aca="false">H1698/Settings!$B$20</f>
        <v>-0</v>
      </c>
      <c r="N1698" s="60" t="n">
        <f aca="false">E1698*Settings!$B$3</f>
        <v>0.836626079155151</v>
      </c>
      <c r="O1698" s="60" t="n">
        <f aca="false">IF(E1698&gt;0,(F1698-N1698)/SQRT(E1698*Settings!$B$3*(1-Settings!$B$3)),0)</f>
        <v>-0.929181826755389</v>
      </c>
      <c r="P1698" s="60" t="n">
        <f aca="false">MAX(0,F1698-N1698)</f>
        <v>0</v>
      </c>
      <c r="Q1698" s="32" t="n">
        <f aca="false">(F1698+Settings!$B$7*Settings!$B$3)/(E1698+Settings!$B$7)</f>
        <v>0.0163085005683265</v>
      </c>
      <c r="R1698" s="61" t="n">
        <f aca="false">PERCENTRANK($H$2:$H$1780,H1698,6)</f>
        <v>0</v>
      </c>
      <c r="S1698" s="61" t="n">
        <f aca="false">PERCENTRANK($Q$2:$Q$1780,Q1698,6)</f>
        <v>0.0489314</v>
      </c>
      <c r="T1698" s="61" t="n">
        <f aca="false">PERCENTRANK($F$2:$F$1780,F1698,6)</f>
        <v>0</v>
      </c>
      <c r="U1698" s="62" t="n">
        <f aca="false">IF(F1698&gt;0,(Settings!$B$8*T1698+Settings!$B$9*R1698+Settings!$B$10*S1698)/SUM(Settings!$B$8:$B$10),0)</f>
        <v>0</v>
      </c>
      <c r="V1698" s="56" t="str">
        <f aca="false">IF(U1698&gt;0,RANK(U1698,$U$2:$U$1780)+COUNTIF($U$2:U1698,U1698)-1,"")</f>
        <v/>
      </c>
      <c r="W1698" s="56" t="str">
        <f aca="false">IF(V1698="","",IF(V1698&lt;=Settings!$B$11,"1 - Fix first",IF(V1698&lt;=Settings!$B$12,"2 - Review","3 - Monitor")))</f>
        <v/>
      </c>
      <c r="X1698" s="56" t="str">
        <f aca="false">IF(AND(E1698&gt;=Settings!$B$4,F1698&gt;=Settings!$B$5,O1698&gt;=Settings!$B$6),"HIGH RATE","")</f>
        <v/>
      </c>
      <c r="Y1698" s="56" t="str">
        <f aca="false">IF(F1698&gt;0,RANK(F1698,$F$2:$F$1780)+COUNTIF($F$2:F1698,F1698)-1,"")</f>
        <v/>
      </c>
      <c r="Z1698" s="56" t="str">
        <f aca="false">IF(H1698&gt;0,RANK(H1698,$H$2:$H$1780)+COUNTIF($H$2:H1698,H1698)-1,"")</f>
        <v/>
      </c>
      <c r="AA1698" s="56" t="str">
        <f aca="false">IF(AC1698="","",RANK(AC1698,$AC$2:$AC$1780)+COUNTIF($AC$2:AC1698,AC1698)-1)</f>
        <v/>
      </c>
      <c r="AB1698" s="56" t="str">
        <f aca="false">IF(AD1698="","",RANK(AD1698,$AD$2:$AD$1780)+COUNTIF($AD$2:AD1698,AD1698)-1)</f>
        <v/>
      </c>
      <c r="AC1698" s="56" t="str">
        <f aca="false">IF(AND(F1698&gt;0,E1698&gt;=Settings!$B$4),J1698,"")</f>
        <v/>
      </c>
      <c r="AD1698" s="56" t="str">
        <f aca="false">IF(X1698="HIGH RATE",O1698,"")</f>
        <v/>
      </c>
    </row>
    <row r="1699" customFormat="false" ht="15" hidden="false" customHeight="false" outlineLevel="0" collapsed="false">
      <c r="A1699" s="56" t="s">
        <v>3207</v>
      </c>
      <c r="B1699" s="56" t="s">
        <v>1599</v>
      </c>
      <c r="C1699" s="56" t="s">
        <v>67</v>
      </c>
      <c r="D1699" s="56" t="str">
        <f aca="false">IFERROR(INDEX('Brand Map'!$B$4:$B$124,MATCH(C1699,'Brand Map'!$A$4:$A$124,0)),"Other")</f>
        <v>MJ</v>
      </c>
      <c r="E1699" s="57" t="n">
        <v>4</v>
      </c>
      <c r="F1699" s="57" t="n">
        <v>0</v>
      </c>
      <c r="G1699" s="58" t="n">
        <v>159.8</v>
      </c>
      <c r="H1699" s="58" t="n">
        <v>0</v>
      </c>
      <c r="I1699" s="58" t="n">
        <v>159.8</v>
      </c>
      <c r="J1699" s="32" t="n">
        <f aca="false">IF(E1699&gt;0,F1699/E1699,0)</f>
        <v>0</v>
      </c>
      <c r="K1699" s="32" t="n">
        <f aca="false">IF(G1699&gt;0,H1699/G1699,0)</f>
        <v>-0</v>
      </c>
      <c r="L1699" s="59" t="n">
        <f aca="false">H1699/Settings!$B$16</f>
        <v>-0</v>
      </c>
      <c r="M1699" s="59" t="n">
        <f aca="false">H1699/Settings!$B$20</f>
        <v>-0</v>
      </c>
      <c r="N1699" s="60" t="n">
        <f aca="false">E1699*Settings!$B$3</f>
        <v>0.123944604319282</v>
      </c>
      <c r="O1699" s="60" t="n">
        <f aca="false">IF(E1699&gt;0,(F1699-N1699)/SQRT(E1699*Settings!$B$3*(1-Settings!$B$3)),0)</f>
        <v>-0.357642251868888</v>
      </c>
      <c r="P1699" s="60" t="n">
        <f aca="false">MAX(0,F1699-N1699)</f>
        <v>0</v>
      </c>
      <c r="Q1699" s="32" t="n">
        <f aca="false">(F1699+Settings!$B$7*Settings!$B$3)/(E1699+Settings!$B$7)</f>
        <v>0.027340721541018</v>
      </c>
      <c r="R1699" s="61" t="n">
        <f aca="false">PERCENTRANK($H$2:$H$1780,H1699,6)</f>
        <v>0</v>
      </c>
      <c r="S1699" s="61" t="n">
        <f aca="false">PERCENTRANK($Q$2:$Q$1780,Q1699,6)</f>
        <v>0.253656</v>
      </c>
      <c r="T1699" s="61" t="n">
        <f aca="false">PERCENTRANK($F$2:$F$1780,F1699,6)</f>
        <v>0</v>
      </c>
      <c r="U1699" s="62" t="n">
        <f aca="false">IF(F1699&gt;0,(Settings!$B$8*T1699+Settings!$B$9*R1699+Settings!$B$10*S1699)/SUM(Settings!$B$8:$B$10),0)</f>
        <v>0</v>
      </c>
      <c r="V1699" s="56" t="str">
        <f aca="false">IF(U1699&gt;0,RANK(U1699,$U$2:$U$1780)+COUNTIF($U$2:U1699,U1699)-1,"")</f>
        <v/>
      </c>
      <c r="W1699" s="56" t="str">
        <f aca="false">IF(V1699="","",IF(V1699&lt;=Settings!$B$11,"1 - Fix first",IF(V1699&lt;=Settings!$B$12,"2 - Review","3 - Monitor")))</f>
        <v/>
      </c>
      <c r="X1699" s="56" t="str">
        <f aca="false">IF(AND(E1699&gt;=Settings!$B$4,F1699&gt;=Settings!$B$5,O1699&gt;=Settings!$B$6),"HIGH RATE","")</f>
        <v/>
      </c>
      <c r="Y1699" s="56" t="str">
        <f aca="false">IF(F1699&gt;0,RANK(F1699,$F$2:$F$1780)+COUNTIF($F$2:F1699,F1699)-1,"")</f>
        <v/>
      </c>
      <c r="Z1699" s="56" t="str">
        <f aca="false">IF(H1699&gt;0,RANK(H1699,$H$2:$H$1780)+COUNTIF($H$2:H1699,H1699)-1,"")</f>
        <v/>
      </c>
      <c r="AA1699" s="56" t="str">
        <f aca="false">IF(AC1699="","",RANK(AC1699,$AC$2:$AC$1780)+COUNTIF($AC$2:AC1699,AC1699)-1)</f>
        <v/>
      </c>
      <c r="AB1699" s="56" t="str">
        <f aca="false">IF(AD1699="","",RANK(AD1699,$AD$2:$AD$1780)+COUNTIF($AD$2:AD1699,AD1699)-1)</f>
        <v/>
      </c>
      <c r="AC1699" s="56" t="str">
        <f aca="false">IF(AND(F1699&gt;0,E1699&gt;=Settings!$B$4),J1699,"")</f>
        <v/>
      </c>
      <c r="AD1699" s="56" t="str">
        <f aca="false">IF(X1699="HIGH RATE",O1699,"")</f>
        <v/>
      </c>
    </row>
    <row r="1700" customFormat="false" ht="15" hidden="false" customHeight="false" outlineLevel="0" collapsed="false">
      <c r="A1700" s="56" t="s">
        <v>3208</v>
      </c>
      <c r="B1700" s="56" t="s">
        <v>3209</v>
      </c>
      <c r="C1700" s="56" t="s">
        <v>67</v>
      </c>
      <c r="D1700" s="56" t="str">
        <f aca="false">IFERROR(INDEX('Brand Map'!$B$4:$B$124,MATCH(C1700,'Brand Map'!$A$4:$A$124,0)),"Other")</f>
        <v>MJ</v>
      </c>
      <c r="E1700" s="57" t="n">
        <v>6</v>
      </c>
      <c r="F1700" s="57" t="n">
        <v>0</v>
      </c>
      <c r="G1700" s="58" t="n">
        <v>209.7</v>
      </c>
      <c r="H1700" s="58" t="n">
        <v>0</v>
      </c>
      <c r="I1700" s="58" t="n">
        <v>209.7</v>
      </c>
      <c r="J1700" s="32" t="n">
        <f aca="false">IF(E1700&gt;0,F1700/E1700,0)</f>
        <v>0</v>
      </c>
      <c r="K1700" s="32" t="n">
        <f aca="false">IF(G1700&gt;0,H1700/G1700,0)</f>
        <v>-0</v>
      </c>
      <c r="L1700" s="59" t="n">
        <f aca="false">H1700/Settings!$B$16</f>
        <v>-0</v>
      </c>
      <c r="M1700" s="59" t="n">
        <f aca="false">H1700/Settings!$B$20</f>
        <v>-0</v>
      </c>
      <c r="N1700" s="60" t="n">
        <f aca="false">E1700*Settings!$B$3</f>
        <v>0.185916906478923</v>
      </c>
      <c r="O1700" s="60" t="n">
        <f aca="false">IF(E1700&gt;0,(F1700-N1700)/SQRT(E1700*Settings!$B$3*(1-Settings!$B$3)),0)</f>
        <v>-0.43802051376936</v>
      </c>
      <c r="P1700" s="60" t="n">
        <f aca="false">MAX(0,F1700-N1700)</f>
        <v>0</v>
      </c>
      <c r="Q1700" s="32" t="n">
        <f aca="false">(F1700+Settings!$B$7*Settings!$B$3)/(E1700+Settings!$B$7)</f>
        <v>0.025821792566517</v>
      </c>
      <c r="R1700" s="61" t="n">
        <f aca="false">PERCENTRANK($H$2:$H$1780,H1700,6)</f>
        <v>0</v>
      </c>
      <c r="S1700" s="61" t="n">
        <f aca="false">PERCENTRANK($Q$2:$Q$1780,Q1700,6)</f>
        <v>0.189539</v>
      </c>
      <c r="T1700" s="61" t="n">
        <f aca="false">PERCENTRANK($F$2:$F$1780,F1700,6)</f>
        <v>0</v>
      </c>
      <c r="U1700" s="62" t="n">
        <f aca="false">IF(F1700&gt;0,(Settings!$B$8*T1700+Settings!$B$9*R1700+Settings!$B$10*S1700)/SUM(Settings!$B$8:$B$10),0)</f>
        <v>0</v>
      </c>
      <c r="V1700" s="56" t="str">
        <f aca="false">IF(U1700&gt;0,RANK(U1700,$U$2:$U$1780)+COUNTIF($U$2:U1700,U1700)-1,"")</f>
        <v/>
      </c>
      <c r="W1700" s="56" t="str">
        <f aca="false">IF(V1700="","",IF(V1700&lt;=Settings!$B$11,"1 - Fix first",IF(V1700&lt;=Settings!$B$12,"2 - Review","3 - Monitor")))</f>
        <v/>
      </c>
      <c r="X1700" s="56" t="str">
        <f aca="false">IF(AND(E1700&gt;=Settings!$B$4,F1700&gt;=Settings!$B$5,O1700&gt;=Settings!$B$6),"HIGH RATE","")</f>
        <v/>
      </c>
      <c r="Y1700" s="56" t="str">
        <f aca="false">IF(F1700&gt;0,RANK(F1700,$F$2:$F$1780)+COUNTIF($F$2:F1700,F1700)-1,"")</f>
        <v/>
      </c>
      <c r="Z1700" s="56" t="str">
        <f aca="false">IF(H1700&gt;0,RANK(H1700,$H$2:$H$1780)+COUNTIF($H$2:H1700,H1700)-1,"")</f>
        <v/>
      </c>
      <c r="AA1700" s="56" t="str">
        <f aca="false">IF(AC1700="","",RANK(AC1700,$AC$2:$AC$1780)+COUNTIF($AC$2:AC1700,AC1700)-1)</f>
        <v/>
      </c>
      <c r="AB1700" s="56" t="str">
        <f aca="false">IF(AD1700="","",RANK(AD1700,$AD$2:$AD$1780)+COUNTIF($AD$2:AD1700,AD1700)-1)</f>
        <v/>
      </c>
      <c r="AC1700" s="56" t="str">
        <f aca="false">IF(AND(F1700&gt;0,E1700&gt;=Settings!$B$4),J1700,"")</f>
        <v/>
      </c>
      <c r="AD1700" s="56" t="str">
        <f aca="false">IF(X1700="HIGH RATE",O1700,"")</f>
        <v/>
      </c>
    </row>
    <row r="1701" customFormat="false" ht="15" hidden="false" customHeight="false" outlineLevel="0" collapsed="false">
      <c r="A1701" s="56" t="s">
        <v>3210</v>
      </c>
      <c r="B1701" s="56" t="s">
        <v>3211</v>
      </c>
      <c r="C1701" s="56" t="s">
        <v>67</v>
      </c>
      <c r="D1701" s="56" t="str">
        <f aca="false">IFERROR(INDEX('Brand Map'!$B$4:$B$124,MATCH(C1701,'Brand Map'!$A$4:$A$124,0)),"Other")</f>
        <v>MJ</v>
      </c>
      <c r="E1701" s="57" t="n">
        <v>1</v>
      </c>
      <c r="F1701" s="57" t="n">
        <v>0</v>
      </c>
      <c r="G1701" s="58" t="n">
        <v>99.95</v>
      </c>
      <c r="H1701" s="58" t="n">
        <v>0</v>
      </c>
      <c r="I1701" s="58" t="n">
        <v>84.96</v>
      </c>
      <c r="J1701" s="32" t="n">
        <f aca="false">IF(E1701&gt;0,F1701/E1701,0)</f>
        <v>0</v>
      </c>
      <c r="K1701" s="32" t="n">
        <f aca="false">IF(G1701&gt;0,H1701/G1701,0)</f>
        <v>-0</v>
      </c>
      <c r="L1701" s="59" t="n">
        <f aca="false">H1701/Settings!$B$16</f>
        <v>-0</v>
      </c>
      <c r="M1701" s="59" t="n">
        <f aca="false">H1701/Settings!$B$20</f>
        <v>-0</v>
      </c>
      <c r="N1701" s="60" t="n">
        <f aca="false">E1701*Settings!$B$3</f>
        <v>0.0309861510798204</v>
      </c>
      <c r="O1701" s="60" t="n">
        <f aca="false">IF(E1701&gt;0,(F1701-N1701)/SQRT(E1701*Settings!$B$3*(1-Settings!$B$3)),0)</f>
        <v>-0.178821125934444</v>
      </c>
      <c r="P1701" s="60" t="n">
        <f aca="false">MAX(0,F1701-N1701)</f>
        <v>0</v>
      </c>
      <c r="Q1701" s="32" t="n">
        <f aca="false">(F1701+Settings!$B$7*Settings!$B$3)/(E1701+Settings!$B$7)</f>
        <v>0.0299865978191811</v>
      </c>
      <c r="R1701" s="61" t="n">
        <f aca="false">PERCENTRANK($H$2:$H$1780,H1701,6)</f>
        <v>0</v>
      </c>
      <c r="S1701" s="61" t="n">
        <f aca="false">PERCENTRANK($Q$2:$Q$1780,Q1701,6)</f>
        <v>0.486502</v>
      </c>
      <c r="T1701" s="61" t="n">
        <f aca="false">PERCENTRANK($F$2:$F$1780,F1701,6)</f>
        <v>0</v>
      </c>
      <c r="U1701" s="62" t="n">
        <f aca="false">IF(F1701&gt;0,(Settings!$B$8*T1701+Settings!$B$9*R1701+Settings!$B$10*S1701)/SUM(Settings!$B$8:$B$10),0)</f>
        <v>0</v>
      </c>
      <c r="V1701" s="56" t="str">
        <f aca="false">IF(U1701&gt;0,RANK(U1701,$U$2:$U$1780)+COUNTIF($U$2:U1701,U1701)-1,"")</f>
        <v/>
      </c>
      <c r="W1701" s="56" t="str">
        <f aca="false">IF(V1701="","",IF(V1701&lt;=Settings!$B$11,"1 - Fix first",IF(V1701&lt;=Settings!$B$12,"2 - Review","3 - Monitor")))</f>
        <v/>
      </c>
      <c r="X1701" s="56" t="str">
        <f aca="false">IF(AND(E1701&gt;=Settings!$B$4,F1701&gt;=Settings!$B$5,O1701&gt;=Settings!$B$6),"HIGH RATE","")</f>
        <v/>
      </c>
      <c r="Y1701" s="56" t="str">
        <f aca="false">IF(F1701&gt;0,RANK(F1701,$F$2:$F$1780)+COUNTIF($F$2:F1701,F1701)-1,"")</f>
        <v/>
      </c>
      <c r="Z1701" s="56" t="str">
        <f aca="false">IF(H1701&gt;0,RANK(H1701,$H$2:$H$1780)+COUNTIF($H$2:H1701,H1701)-1,"")</f>
        <v/>
      </c>
      <c r="AA1701" s="56" t="str">
        <f aca="false">IF(AC1701="","",RANK(AC1701,$AC$2:$AC$1780)+COUNTIF($AC$2:AC1701,AC1701)-1)</f>
        <v/>
      </c>
      <c r="AB1701" s="56" t="str">
        <f aca="false">IF(AD1701="","",RANK(AD1701,$AD$2:$AD$1780)+COUNTIF($AD$2:AD1701,AD1701)-1)</f>
        <v/>
      </c>
      <c r="AC1701" s="56" t="str">
        <f aca="false">IF(AND(F1701&gt;0,E1701&gt;=Settings!$B$4),J1701,"")</f>
        <v/>
      </c>
      <c r="AD1701" s="56" t="str">
        <f aca="false">IF(X1701="HIGH RATE",O1701,"")</f>
        <v/>
      </c>
    </row>
    <row r="1702" customFormat="false" ht="15" hidden="false" customHeight="false" outlineLevel="0" collapsed="false">
      <c r="A1702" s="56" t="s">
        <v>3212</v>
      </c>
      <c r="B1702" s="56" t="s">
        <v>3213</v>
      </c>
      <c r="C1702" s="56" t="s">
        <v>67</v>
      </c>
      <c r="D1702" s="56" t="str">
        <f aca="false">IFERROR(INDEX('Brand Map'!$B$4:$B$124,MATCH(C1702,'Brand Map'!$A$4:$A$124,0)),"Other")</f>
        <v>MJ</v>
      </c>
      <c r="E1702" s="57" t="n">
        <v>1</v>
      </c>
      <c r="F1702" s="57" t="n">
        <v>0</v>
      </c>
      <c r="G1702" s="58" t="n">
        <v>117</v>
      </c>
      <c r="H1702" s="58" t="n">
        <v>0</v>
      </c>
      <c r="I1702" s="58" t="n">
        <v>117</v>
      </c>
      <c r="J1702" s="32" t="n">
        <f aca="false">IF(E1702&gt;0,F1702/E1702,0)</f>
        <v>0</v>
      </c>
      <c r="K1702" s="32" t="n">
        <f aca="false">IF(G1702&gt;0,H1702/G1702,0)</f>
        <v>-0</v>
      </c>
      <c r="L1702" s="59" t="n">
        <f aca="false">H1702/Settings!$B$16</f>
        <v>-0</v>
      </c>
      <c r="M1702" s="59" t="n">
        <f aca="false">H1702/Settings!$B$20</f>
        <v>-0</v>
      </c>
      <c r="N1702" s="60" t="n">
        <f aca="false">E1702*Settings!$B$3</f>
        <v>0.0309861510798204</v>
      </c>
      <c r="O1702" s="60" t="n">
        <f aca="false">IF(E1702&gt;0,(F1702-N1702)/SQRT(E1702*Settings!$B$3*(1-Settings!$B$3)),0)</f>
        <v>-0.178821125934444</v>
      </c>
      <c r="P1702" s="60" t="n">
        <f aca="false">MAX(0,F1702-N1702)</f>
        <v>0</v>
      </c>
      <c r="Q1702" s="32" t="n">
        <f aca="false">(F1702+Settings!$B$7*Settings!$B$3)/(E1702+Settings!$B$7)</f>
        <v>0.0299865978191811</v>
      </c>
      <c r="R1702" s="61" t="n">
        <f aca="false">PERCENTRANK($H$2:$H$1780,H1702,6)</f>
        <v>0</v>
      </c>
      <c r="S1702" s="61" t="n">
        <f aca="false">PERCENTRANK($Q$2:$Q$1780,Q1702,6)</f>
        <v>0.486502</v>
      </c>
      <c r="T1702" s="61" t="n">
        <f aca="false">PERCENTRANK($F$2:$F$1780,F1702,6)</f>
        <v>0</v>
      </c>
      <c r="U1702" s="62" t="n">
        <f aca="false">IF(F1702&gt;0,(Settings!$B$8*T1702+Settings!$B$9*R1702+Settings!$B$10*S1702)/SUM(Settings!$B$8:$B$10),0)</f>
        <v>0</v>
      </c>
      <c r="V1702" s="56" t="str">
        <f aca="false">IF(U1702&gt;0,RANK(U1702,$U$2:$U$1780)+COUNTIF($U$2:U1702,U1702)-1,"")</f>
        <v/>
      </c>
      <c r="W1702" s="56" t="str">
        <f aca="false">IF(V1702="","",IF(V1702&lt;=Settings!$B$11,"1 - Fix first",IF(V1702&lt;=Settings!$B$12,"2 - Review","3 - Monitor")))</f>
        <v/>
      </c>
      <c r="X1702" s="56" t="str">
        <f aca="false">IF(AND(E1702&gt;=Settings!$B$4,F1702&gt;=Settings!$B$5,O1702&gt;=Settings!$B$6),"HIGH RATE","")</f>
        <v/>
      </c>
      <c r="Y1702" s="56" t="str">
        <f aca="false">IF(F1702&gt;0,RANK(F1702,$F$2:$F$1780)+COUNTIF($F$2:F1702,F1702)-1,"")</f>
        <v/>
      </c>
      <c r="Z1702" s="56" t="str">
        <f aca="false">IF(H1702&gt;0,RANK(H1702,$H$2:$H$1780)+COUNTIF($H$2:H1702,H1702)-1,"")</f>
        <v/>
      </c>
      <c r="AA1702" s="56" t="str">
        <f aca="false">IF(AC1702="","",RANK(AC1702,$AC$2:$AC$1780)+COUNTIF($AC$2:AC1702,AC1702)-1)</f>
        <v/>
      </c>
      <c r="AB1702" s="56" t="str">
        <f aca="false">IF(AD1702="","",RANK(AD1702,$AD$2:$AD$1780)+COUNTIF($AD$2:AD1702,AD1702)-1)</f>
        <v/>
      </c>
      <c r="AC1702" s="56" t="str">
        <f aca="false">IF(AND(F1702&gt;0,E1702&gt;=Settings!$B$4),J1702,"")</f>
        <v/>
      </c>
      <c r="AD1702" s="56" t="str">
        <f aca="false">IF(X1702="HIGH RATE",O1702,"")</f>
        <v/>
      </c>
    </row>
    <row r="1703" customFormat="false" ht="15" hidden="false" customHeight="false" outlineLevel="0" collapsed="false">
      <c r="A1703" s="56" t="s">
        <v>3214</v>
      </c>
      <c r="B1703" s="56" t="s">
        <v>2596</v>
      </c>
      <c r="C1703" s="56" t="s">
        <v>67</v>
      </c>
      <c r="D1703" s="56" t="str">
        <f aca="false">IFERROR(INDEX('Brand Map'!$B$4:$B$124,MATCH(C1703,'Brand Map'!$A$4:$A$124,0)),"Other")</f>
        <v>MJ</v>
      </c>
      <c r="E1703" s="57" t="n">
        <v>10</v>
      </c>
      <c r="F1703" s="57" t="n">
        <v>0</v>
      </c>
      <c r="G1703" s="58" t="n">
        <v>861.16</v>
      </c>
      <c r="H1703" s="58" t="n">
        <v>0</v>
      </c>
      <c r="I1703" s="58" t="n">
        <v>818.31</v>
      </c>
      <c r="J1703" s="32" t="n">
        <f aca="false">IF(E1703&gt;0,F1703/E1703,0)</f>
        <v>0</v>
      </c>
      <c r="K1703" s="32" t="n">
        <f aca="false">IF(G1703&gt;0,H1703/G1703,0)</f>
        <v>-0</v>
      </c>
      <c r="L1703" s="59" t="n">
        <f aca="false">H1703/Settings!$B$16</f>
        <v>-0</v>
      </c>
      <c r="M1703" s="59" t="n">
        <f aca="false">H1703/Settings!$B$20</f>
        <v>-0</v>
      </c>
      <c r="N1703" s="60" t="n">
        <f aca="false">E1703*Settings!$B$3</f>
        <v>0.309861510798204</v>
      </c>
      <c r="O1703" s="60" t="n">
        <f aca="false">IF(E1703&gt;0,(F1703-N1703)/SQRT(E1703*Settings!$B$3*(1-Settings!$B$3)),0)</f>
        <v>-0.565482051708649</v>
      </c>
      <c r="P1703" s="60" t="n">
        <f aca="false">MAX(0,F1703-N1703)</f>
        <v>0</v>
      </c>
      <c r="Q1703" s="32" t="n">
        <f aca="false">(F1703+Settings!$B$7*Settings!$B$3)/(E1703+Settings!$B$7)</f>
        <v>0.0232396133098653</v>
      </c>
      <c r="R1703" s="61" t="n">
        <f aca="false">PERCENTRANK($H$2:$H$1780,H1703,6)</f>
        <v>0</v>
      </c>
      <c r="S1703" s="61" t="n">
        <f aca="false">PERCENTRANK($Q$2:$Q$1780,Q1703,6)</f>
        <v>0.131046</v>
      </c>
      <c r="T1703" s="61" t="n">
        <f aca="false">PERCENTRANK($F$2:$F$1780,F1703,6)</f>
        <v>0</v>
      </c>
      <c r="U1703" s="62" t="n">
        <f aca="false">IF(F1703&gt;0,(Settings!$B$8*T1703+Settings!$B$9*R1703+Settings!$B$10*S1703)/SUM(Settings!$B$8:$B$10),0)</f>
        <v>0</v>
      </c>
      <c r="V1703" s="56" t="str">
        <f aca="false">IF(U1703&gt;0,RANK(U1703,$U$2:$U$1780)+COUNTIF($U$2:U1703,U1703)-1,"")</f>
        <v/>
      </c>
      <c r="W1703" s="56" t="str">
        <f aca="false">IF(V1703="","",IF(V1703&lt;=Settings!$B$11,"1 - Fix first",IF(V1703&lt;=Settings!$B$12,"2 - Review","3 - Monitor")))</f>
        <v/>
      </c>
      <c r="X1703" s="56" t="str">
        <f aca="false">IF(AND(E1703&gt;=Settings!$B$4,F1703&gt;=Settings!$B$5,O1703&gt;=Settings!$B$6),"HIGH RATE","")</f>
        <v/>
      </c>
      <c r="Y1703" s="56" t="str">
        <f aca="false">IF(F1703&gt;0,RANK(F1703,$F$2:$F$1780)+COUNTIF($F$2:F1703,F1703)-1,"")</f>
        <v/>
      </c>
      <c r="Z1703" s="56" t="str">
        <f aca="false">IF(H1703&gt;0,RANK(H1703,$H$2:$H$1780)+COUNTIF($H$2:H1703,H1703)-1,"")</f>
        <v/>
      </c>
      <c r="AA1703" s="56" t="str">
        <f aca="false">IF(AC1703="","",RANK(AC1703,$AC$2:$AC$1780)+COUNTIF($AC$2:AC1703,AC1703)-1)</f>
        <v/>
      </c>
      <c r="AB1703" s="56" t="str">
        <f aca="false">IF(AD1703="","",RANK(AD1703,$AD$2:$AD$1780)+COUNTIF($AD$2:AD1703,AD1703)-1)</f>
        <v/>
      </c>
      <c r="AC1703" s="56" t="str">
        <f aca="false">IF(AND(F1703&gt;0,E1703&gt;=Settings!$B$4),J1703,"")</f>
        <v/>
      </c>
      <c r="AD1703" s="56" t="str">
        <f aca="false">IF(X1703="HIGH RATE",O1703,"")</f>
        <v/>
      </c>
    </row>
    <row r="1704" customFormat="false" ht="15" hidden="false" customHeight="false" outlineLevel="0" collapsed="false">
      <c r="A1704" s="56" t="s">
        <v>3215</v>
      </c>
      <c r="B1704" s="56" t="s">
        <v>3216</v>
      </c>
      <c r="C1704" s="56" t="s">
        <v>67</v>
      </c>
      <c r="D1704" s="56" t="str">
        <f aca="false">IFERROR(INDEX('Brand Map'!$B$4:$B$124,MATCH(C1704,'Brand Map'!$A$4:$A$124,0)),"Other")</f>
        <v>MJ</v>
      </c>
      <c r="E1704" s="57" t="n">
        <v>1</v>
      </c>
      <c r="F1704" s="57" t="n">
        <v>0</v>
      </c>
      <c r="G1704" s="58" t="n">
        <v>164.95</v>
      </c>
      <c r="H1704" s="58" t="n">
        <v>0</v>
      </c>
      <c r="I1704" s="58" t="n">
        <v>164.95</v>
      </c>
      <c r="J1704" s="32" t="n">
        <f aca="false">IF(E1704&gt;0,F1704/E1704,0)</f>
        <v>0</v>
      </c>
      <c r="K1704" s="32" t="n">
        <f aca="false">IF(G1704&gt;0,H1704/G1704,0)</f>
        <v>-0</v>
      </c>
      <c r="L1704" s="59" t="n">
        <f aca="false">H1704/Settings!$B$16</f>
        <v>-0</v>
      </c>
      <c r="M1704" s="59" t="n">
        <f aca="false">H1704/Settings!$B$20</f>
        <v>-0</v>
      </c>
      <c r="N1704" s="60" t="n">
        <f aca="false">E1704*Settings!$B$3</f>
        <v>0.0309861510798204</v>
      </c>
      <c r="O1704" s="60" t="n">
        <f aca="false">IF(E1704&gt;0,(F1704-N1704)/SQRT(E1704*Settings!$B$3*(1-Settings!$B$3)),0)</f>
        <v>-0.178821125934444</v>
      </c>
      <c r="P1704" s="60" t="n">
        <f aca="false">MAX(0,F1704-N1704)</f>
        <v>0</v>
      </c>
      <c r="Q1704" s="32" t="n">
        <f aca="false">(F1704+Settings!$B$7*Settings!$B$3)/(E1704+Settings!$B$7)</f>
        <v>0.0299865978191811</v>
      </c>
      <c r="R1704" s="61" t="n">
        <f aca="false">PERCENTRANK($H$2:$H$1780,H1704,6)</f>
        <v>0</v>
      </c>
      <c r="S1704" s="61" t="n">
        <f aca="false">PERCENTRANK($Q$2:$Q$1780,Q1704,6)</f>
        <v>0.486502</v>
      </c>
      <c r="T1704" s="61" t="n">
        <f aca="false">PERCENTRANK($F$2:$F$1780,F1704,6)</f>
        <v>0</v>
      </c>
      <c r="U1704" s="62" t="n">
        <f aca="false">IF(F1704&gt;0,(Settings!$B$8*T1704+Settings!$B$9*R1704+Settings!$B$10*S1704)/SUM(Settings!$B$8:$B$10),0)</f>
        <v>0</v>
      </c>
      <c r="V1704" s="56" t="str">
        <f aca="false">IF(U1704&gt;0,RANK(U1704,$U$2:$U$1780)+COUNTIF($U$2:U1704,U1704)-1,"")</f>
        <v/>
      </c>
      <c r="W1704" s="56" t="str">
        <f aca="false">IF(V1704="","",IF(V1704&lt;=Settings!$B$11,"1 - Fix first",IF(V1704&lt;=Settings!$B$12,"2 - Review","3 - Monitor")))</f>
        <v/>
      </c>
      <c r="X1704" s="56" t="str">
        <f aca="false">IF(AND(E1704&gt;=Settings!$B$4,F1704&gt;=Settings!$B$5,O1704&gt;=Settings!$B$6),"HIGH RATE","")</f>
        <v/>
      </c>
      <c r="Y1704" s="56" t="str">
        <f aca="false">IF(F1704&gt;0,RANK(F1704,$F$2:$F$1780)+COUNTIF($F$2:F1704,F1704)-1,"")</f>
        <v/>
      </c>
      <c r="Z1704" s="56" t="str">
        <f aca="false">IF(H1704&gt;0,RANK(H1704,$H$2:$H$1780)+COUNTIF($H$2:H1704,H1704)-1,"")</f>
        <v/>
      </c>
      <c r="AA1704" s="56" t="str">
        <f aca="false">IF(AC1704="","",RANK(AC1704,$AC$2:$AC$1780)+COUNTIF($AC$2:AC1704,AC1704)-1)</f>
        <v/>
      </c>
      <c r="AB1704" s="56" t="str">
        <f aca="false">IF(AD1704="","",RANK(AD1704,$AD$2:$AD$1780)+COUNTIF($AD$2:AD1704,AD1704)-1)</f>
        <v/>
      </c>
      <c r="AC1704" s="56" t="str">
        <f aca="false">IF(AND(F1704&gt;0,E1704&gt;=Settings!$B$4),J1704,"")</f>
        <v/>
      </c>
      <c r="AD1704" s="56" t="str">
        <f aca="false">IF(X1704="HIGH RATE",O1704,"")</f>
        <v/>
      </c>
    </row>
    <row r="1705" customFormat="false" ht="15" hidden="false" customHeight="false" outlineLevel="0" collapsed="false">
      <c r="A1705" s="56" t="s">
        <v>3217</v>
      </c>
      <c r="B1705" s="56" t="s">
        <v>795</v>
      </c>
      <c r="C1705" s="56" t="s">
        <v>793</v>
      </c>
      <c r="D1705" s="56" t="str">
        <f aca="false">IFERROR(INDEX('Brand Map'!$B$4:$B$124,MATCH(C1705,'Brand Map'!$A$4:$A$124,0)),"Other")</f>
        <v>Free / add-on / admin items</v>
      </c>
      <c r="E1705" s="57" t="n">
        <v>1</v>
      </c>
      <c r="F1705" s="57" t="n">
        <v>0</v>
      </c>
      <c r="G1705" s="58" t="n">
        <v>49.95</v>
      </c>
      <c r="H1705" s="58" t="n">
        <v>0</v>
      </c>
      <c r="I1705" s="58" t="n">
        <v>49.95</v>
      </c>
      <c r="J1705" s="32" t="n">
        <f aca="false">IF(E1705&gt;0,F1705/E1705,0)</f>
        <v>0</v>
      </c>
      <c r="K1705" s="32" t="n">
        <f aca="false">IF(G1705&gt;0,H1705/G1705,0)</f>
        <v>-0</v>
      </c>
      <c r="L1705" s="59" t="n">
        <f aca="false">H1705/Settings!$B$16</f>
        <v>-0</v>
      </c>
      <c r="M1705" s="59" t="n">
        <f aca="false">H1705/Settings!$B$20</f>
        <v>-0</v>
      </c>
      <c r="N1705" s="60" t="n">
        <f aca="false">E1705*Settings!$B$3</f>
        <v>0.0309861510798204</v>
      </c>
      <c r="O1705" s="60" t="n">
        <f aca="false">IF(E1705&gt;0,(F1705-N1705)/SQRT(E1705*Settings!$B$3*(1-Settings!$B$3)),0)</f>
        <v>-0.178821125934444</v>
      </c>
      <c r="P1705" s="60" t="n">
        <f aca="false">MAX(0,F1705-N1705)</f>
        <v>0</v>
      </c>
      <c r="Q1705" s="32" t="n">
        <f aca="false">(F1705+Settings!$B$7*Settings!$B$3)/(E1705+Settings!$B$7)</f>
        <v>0.0299865978191811</v>
      </c>
      <c r="R1705" s="61" t="n">
        <f aca="false">PERCENTRANK($H$2:$H$1780,H1705,6)</f>
        <v>0</v>
      </c>
      <c r="S1705" s="61" t="n">
        <f aca="false">PERCENTRANK($Q$2:$Q$1780,Q1705,6)</f>
        <v>0.486502</v>
      </c>
      <c r="T1705" s="61" t="n">
        <f aca="false">PERCENTRANK($F$2:$F$1780,F1705,6)</f>
        <v>0</v>
      </c>
      <c r="U1705" s="62" t="n">
        <f aca="false">IF(F1705&gt;0,(Settings!$B$8*T1705+Settings!$B$9*R1705+Settings!$B$10*S1705)/SUM(Settings!$B$8:$B$10),0)</f>
        <v>0</v>
      </c>
      <c r="V1705" s="56" t="str">
        <f aca="false">IF(U1705&gt;0,RANK(U1705,$U$2:$U$1780)+COUNTIF($U$2:U1705,U1705)-1,"")</f>
        <v/>
      </c>
      <c r="W1705" s="56" t="str">
        <f aca="false">IF(V1705="","",IF(V1705&lt;=Settings!$B$11,"1 - Fix first",IF(V1705&lt;=Settings!$B$12,"2 - Review","3 - Monitor")))</f>
        <v/>
      </c>
      <c r="X1705" s="56" t="str">
        <f aca="false">IF(AND(E1705&gt;=Settings!$B$4,F1705&gt;=Settings!$B$5,O1705&gt;=Settings!$B$6),"HIGH RATE","")</f>
        <v/>
      </c>
      <c r="Y1705" s="56" t="str">
        <f aca="false">IF(F1705&gt;0,RANK(F1705,$F$2:$F$1780)+COUNTIF($F$2:F1705,F1705)-1,"")</f>
        <v/>
      </c>
      <c r="Z1705" s="56" t="str">
        <f aca="false">IF(H1705&gt;0,RANK(H1705,$H$2:$H$1780)+COUNTIF($H$2:H1705,H1705)-1,"")</f>
        <v/>
      </c>
      <c r="AA1705" s="56" t="str">
        <f aca="false">IF(AC1705="","",RANK(AC1705,$AC$2:$AC$1780)+COUNTIF($AC$2:AC1705,AC1705)-1)</f>
        <v/>
      </c>
      <c r="AB1705" s="56" t="str">
        <f aca="false">IF(AD1705="","",RANK(AD1705,$AD$2:$AD$1780)+COUNTIF($AD$2:AD1705,AD1705)-1)</f>
        <v/>
      </c>
      <c r="AC1705" s="56" t="str">
        <f aca="false">IF(AND(F1705&gt;0,E1705&gt;=Settings!$B$4),J1705,"")</f>
        <v/>
      </c>
      <c r="AD1705" s="56" t="str">
        <f aca="false">IF(X1705="HIGH RATE",O1705,"")</f>
        <v/>
      </c>
    </row>
    <row r="1706" customFormat="false" ht="15" hidden="false" customHeight="false" outlineLevel="0" collapsed="false">
      <c r="A1706" s="56" t="s">
        <v>794</v>
      </c>
      <c r="B1706" s="56" t="s">
        <v>795</v>
      </c>
      <c r="C1706" s="56" t="s">
        <v>793</v>
      </c>
      <c r="D1706" s="56" t="str">
        <f aca="false">IFERROR(INDEX('Brand Map'!$B$4:$B$124,MATCH(C1706,'Brand Map'!$A$4:$A$124,0)),"Other")</f>
        <v>Free / add-on / admin items</v>
      </c>
      <c r="E1706" s="57" t="n">
        <v>3</v>
      </c>
      <c r="F1706" s="57" t="n">
        <v>0</v>
      </c>
      <c r="G1706" s="58" t="n">
        <v>59.85</v>
      </c>
      <c r="H1706" s="58" t="n">
        <v>0</v>
      </c>
      <c r="I1706" s="58" t="n">
        <v>59.85</v>
      </c>
      <c r="J1706" s="32" t="n">
        <f aca="false">IF(E1706&gt;0,F1706/E1706,0)</f>
        <v>0</v>
      </c>
      <c r="K1706" s="32" t="n">
        <f aca="false">IF(G1706&gt;0,H1706/G1706,0)</f>
        <v>-0</v>
      </c>
      <c r="L1706" s="59" t="n">
        <f aca="false">H1706/Settings!$B$16</f>
        <v>-0</v>
      </c>
      <c r="M1706" s="59" t="n">
        <f aca="false">H1706/Settings!$B$20</f>
        <v>-0</v>
      </c>
      <c r="N1706" s="60" t="n">
        <f aca="false">E1706*Settings!$B$3</f>
        <v>0.0929584532394613</v>
      </c>
      <c r="O1706" s="60" t="n">
        <f aca="false">IF(E1706&gt;0,(F1706-N1706)/SQRT(E1706*Settings!$B$3*(1-Settings!$B$3)),0)</f>
        <v>-0.30972727558513</v>
      </c>
      <c r="P1706" s="60" t="n">
        <f aca="false">MAX(0,F1706-N1706)</f>
        <v>0</v>
      </c>
      <c r="Q1706" s="32" t="n">
        <f aca="false">(F1706+Settings!$B$7*Settings!$B$3)/(E1706+Settings!$B$7)</f>
        <v>0.0281692282543822</v>
      </c>
      <c r="R1706" s="61" t="n">
        <f aca="false">PERCENTRANK($H$2:$H$1780,H1706,6)</f>
        <v>0</v>
      </c>
      <c r="S1706" s="61" t="n">
        <f aca="false">PERCENTRANK($Q$2:$Q$1780,Q1706,6)</f>
        <v>0.294151</v>
      </c>
      <c r="T1706" s="61" t="n">
        <f aca="false">PERCENTRANK($F$2:$F$1780,F1706,6)</f>
        <v>0</v>
      </c>
      <c r="U1706" s="62" t="n">
        <f aca="false">IF(F1706&gt;0,(Settings!$B$8*T1706+Settings!$B$9*R1706+Settings!$B$10*S1706)/SUM(Settings!$B$8:$B$10),0)</f>
        <v>0</v>
      </c>
      <c r="V1706" s="56" t="str">
        <f aca="false">IF(U1706&gt;0,RANK(U1706,$U$2:$U$1780)+COUNTIF($U$2:U1706,U1706)-1,"")</f>
        <v/>
      </c>
      <c r="W1706" s="56" t="str">
        <f aca="false">IF(V1706="","",IF(V1706&lt;=Settings!$B$11,"1 - Fix first",IF(V1706&lt;=Settings!$B$12,"2 - Review","3 - Monitor")))</f>
        <v/>
      </c>
      <c r="X1706" s="56" t="str">
        <f aca="false">IF(AND(E1706&gt;=Settings!$B$4,F1706&gt;=Settings!$B$5,O1706&gt;=Settings!$B$6),"HIGH RATE","")</f>
        <v/>
      </c>
      <c r="Y1706" s="56" t="str">
        <f aca="false">IF(F1706&gt;0,RANK(F1706,$F$2:$F$1780)+COUNTIF($F$2:F1706,F1706)-1,"")</f>
        <v/>
      </c>
      <c r="Z1706" s="56" t="str">
        <f aca="false">IF(H1706&gt;0,RANK(H1706,$H$2:$H$1780)+COUNTIF($H$2:H1706,H1706)-1,"")</f>
        <v/>
      </c>
      <c r="AA1706" s="56" t="str">
        <f aca="false">IF(AC1706="","",RANK(AC1706,$AC$2:$AC$1780)+COUNTIF($AC$2:AC1706,AC1706)-1)</f>
        <v/>
      </c>
      <c r="AB1706" s="56" t="str">
        <f aca="false">IF(AD1706="","",RANK(AD1706,$AD$2:$AD$1780)+COUNTIF($AD$2:AD1706,AD1706)-1)</f>
        <v/>
      </c>
      <c r="AC1706" s="56" t="str">
        <f aca="false">IF(AND(F1706&gt;0,E1706&gt;=Settings!$B$4),J1706,"")</f>
        <v/>
      </c>
      <c r="AD1706" s="56" t="str">
        <f aca="false">IF(X1706="HIGH RATE",O1706,"")</f>
        <v/>
      </c>
    </row>
    <row r="1707" customFormat="false" ht="15" hidden="false" customHeight="false" outlineLevel="0" collapsed="false">
      <c r="A1707" s="56" t="s">
        <v>3218</v>
      </c>
      <c r="B1707" s="56" t="s">
        <v>3219</v>
      </c>
      <c r="C1707" s="56" t="s">
        <v>168</v>
      </c>
      <c r="D1707" s="56" t="str">
        <f aca="false">IFERROR(INDEX('Brand Map'!$B$4:$B$124,MATCH(C1707,'Brand Map'!$A$4:$A$124,0)),"Other")</f>
        <v>OR</v>
      </c>
      <c r="E1707" s="57" t="n">
        <v>36</v>
      </c>
      <c r="F1707" s="57" t="n">
        <v>0</v>
      </c>
      <c r="G1707" s="58" t="n">
        <v>4024.58</v>
      </c>
      <c r="H1707" s="58" t="n">
        <v>0</v>
      </c>
      <c r="I1707" s="58" t="n">
        <v>4008.85</v>
      </c>
      <c r="J1707" s="32" t="n">
        <f aca="false">IF(E1707&gt;0,F1707/E1707,0)</f>
        <v>0</v>
      </c>
      <c r="K1707" s="32" t="n">
        <f aca="false">IF(G1707&gt;0,H1707/G1707,0)</f>
        <v>-0</v>
      </c>
      <c r="L1707" s="59" t="n">
        <f aca="false">H1707/Settings!$B$16</f>
        <v>-0</v>
      </c>
      <c r="M1707" s="59" t="n">
        <f aca="false">H1707/Settings!$B$20</f>
        <v>-0</v>
      </c>
      <c r="N1707" s="60" t="n">
        <f aca="false">E1707*Settings!$B$3</f>
        <v>1.11550143887354</v>
      </c>
      <c r="O1707" s="60" t="n">
        <f aca="false">IF(E1707&gt;0,(F1707-N1707)/SQRT(E1707*Settings!$B$3*(1-Settings!$B$3)),0)</f>
        <v>-1.07292675560666</v>
      </c>
      <c r="P1707" s="60" t="n">
        <f aca="false">MAX(0,F1707-N1707)</f>
        <v>0</v>
      </c>
      <c r="Q1707" s="32" t="n">
        <f aca="false">(F1707+Settings!$B$7*Settings!$B$3)/(E1707+Settings!$B$7)</f>
        <v>0.0140846141271911</v>
      </c>
      <c r="R1707" s="61" t="n">
        <f aca="false">PERCENTRANK($H$2:$H$1780,H1707,6)</f>
        <v>0</v>
      </c>
      <c r="S1707" s="61" t="n">
        <f aca="false">PERCENTRANK($Q$2:$Q$1780,Q1707,6)</f>
        <v>0.0331834</v>
      </c>
      <c r="T1707" s="61" t="n">
        <f aca="false">PERCENTRANK($F$2:$F$1780,F1707,6)</f>
        <v>0</v>
      </c>
      <c r="U1707" s="62" t="n">
        <f aca="false">IF(F1707&gt;0,(Settings!$B$8*T1707+Settings!$B$9*R1707+Settings!$B$10*S1707)/SUM(Settings!$B$8:$B$10),0)</f>
        <v>0</v>
      </c>
      <c r="V1707" s="56" t="str">
        <f aca="false">IF(U1707&gt;0,RANK(U1707,$U$2:$U$1780)+COUNTIF($U$2:U1707,U1707)-1,"")</f>
        <v/>
      </c>
      <c r="W1707" s="56" t="str">
        <f aca="false">IF(V1707="","",IF(V1707&lt;=Settings!$B$11,"1 - Fix first",IF(V1707&lt;=Settings!$B$12,"2 - Review","3 - Monitor")))</f>
        <v/>
      </c>
      <c r="X1707" s="56" t="str">
        <f aca="false">IF(AND(E1707&gt;=Settings!$B$4,F1707&gt;=Settings!$B$5,O1707&gt;=Settings!$B$6),"HIGH RATE","")</f>
        <v/>
      </c>
      <c r="Y1707" s="56" t="str">
        <f aca="false">IF(F1707&gt;0,RANK(F1707,$F$2:$F$1780)+COUNTIF($F$2:F1707,F1707)-1,"")</f>
        <v/>
      </c>
      <c r="Z1707" s="56" t="str">
        <f aca="false">IF(H1707&gt;0,RANK(H1707,$H$2:$H$1780)+COUNTIF($H$2:H1707,H1707)-1,"")</f>
        <v/>
      </c>
      <c r="AA1707" s="56" t="str">
        <f aca="false">IF(AC1707="","",RANK(AC1707,$AC$2:$AC$1780)+COUNTIF($AC$2:AC1707,AC1707)-1)</f>
        <v/>
      </c>
      <c r="AB1707" s="56" t="str">
        <f aca="false">IF(AD1707="","",RANK(AD1707,$AD$2:$AD$1780)+COUNTIF($AD$2:AD1707,AD1707)-1)</f>
        <v/>
      </c>
      <c r="AC1707" s="56" t="str">
        <f aca="false">IF(AND(F1707&gt;0,E1707&gt;=Settings!$B$4),J1707,"")</f>
        <v/>
      </c>
      <c r="AD1707" s="56" t="str">
        <f aca="false">IF(X1707="HIGH RATE",O1707,"")</f>
        <v/>
      </c>
    </row>
    <row r="1708" customFormat="false" ht="15" hidden="false" customHeight="false" outlineLevel="0" collapsed="false">
      <c r="A1708" s="56" t="s">
        <v>3220</v>
      </c>
      <c r="B1708" s="56" t="s">
        <v>3221</v>
      </c>
      <c r="C1708" s="56" t="s">
        <v>168</v>
      </c>
      <c r="D1708" s="56" t="str">
        <f aca="false">IFERROR(INDEX('Brand Map'!$B$4:$B$124,MATCH(C1708,'Brand Map'!$A$4:$A$124,0)),"Other")</f>
        <v>OR</v>
      </c>
      <c r="E1708" s="57" t="n">
        <v>15</v>
      </c>
      <c r="F1708" s="57" t="n">
        <v>0</v>
      </c>
      <c r="G1708" s="58" t="n">
        <v>2010.31</v>
      </c>
      <c r="H1708" s="58" t="n">
        <v>0</v>
      </c>
      <c r="I1708" s="58" t="n">
        <v>1992.33</v>
      </c>
      <c r="J1708" s="32" t="n">
        <f aca="false">IF(E1708&gt;0,F1708/E1708,0)</f>
        <v>0</v>
      </c>
      <c r="K1708" s="32" t="n">
        <f aca="false">IF(G1708&gt;0,H1708/G1708,0)</f>
        <v>-0</v>
      </c>
      <c r="L1708" s="59" t="n">
        <f aca="false">H1708/Settings!$B$16</f>
        <v>-0</v>
      </c>
      <c r="M1708" s="59" t="n">
        <f aca="false">H1708/Settings!$B$20</f>
        <v>-0</v>
      </c>
      <c r="N1708" s="60" t="n">
        <f aca="false">E1708*Settings!$B$3</f>
        <v>0.464792266197306</v>
      </c>
      <c r="O1708" s="60" t="n">
        <f aca="false">IF(E1708&gt;0,(F1708-N1708)/SQRT(E1708*Settings!$B$3*(1-Settings!$B$3)),0)</f>
        <v>-0.692571242694161</v>
      </c>
      <c r="P1708" s="60" t="n">
        <f aca="false">MAX(0,F1708-N1708)</f>
        <v>0</v>
      </c>
      <c r="Q1708" s="32" t="n">
        <f aca="false">(F1708+Settings!$B$7*Settings!$B$3)/(E1708+Settings!$B$7)</f>
        <v>0.0206574340532136</v>
      </c>
      <c r="R1708" s="61" t="n">
        <f aca="false">PERCENTRANK($H$2:$H$1780,H1708,6)</f>
        <v>0</v>
      </c>
      <c r="S1708" s="61" t="n">
        <f aca="false">PERCENTRANK($Q$2:$Q$1780,Q1708,6)</f>
        <v>0.0928009</v>
      </c>
      <c r="T1708" s="61" t="n">
        <f aca="false">PERCENTRANK($F$2:$F$1780,F1708,6)</f>
        <v>0</v>
      </c>
      <c r="U1708" s="62" t="n">
        <f aca="false">IF(F1708&gt;0,(Settings!$B$8*T1708+Settings!$B$9*R1708+Settings!$B$10*S1708)/SUM(Settings!$B$8:$B$10),0)</f>
        <v>0</v>
      </c>
      <c r="V1708" s="56" t="str">
        <f aca="false">IF(U1708&gt;0,RANK(U1708,$U$2:$U$1780)+COUNTIF($U$2:U1708,U1708)-1,"")</f>
        <v/>
      </c>
      <c r="W1708" s="56" t="str">
        <f aca="false">IF(V1708="","",IF(V1708&lt;=Settings!$B$11,"1 - Fix first",IF(V1708&lt;=Settings!$B$12,"2 - Review","3 - Monitor")))</f>
        <v/>
      </c>
      <c r="X1708" s="56" t="str">
        <f aca="false">IF(AND(E1708&gt;=Settings!$B$4,F1708&gt;=Settings!$B$5,O1708&gt;=Settings!$B$6),"HIGH RATE","")</f>
        <v/>
      </c>
      <c r="Y1708" s="56" t="str">
        <f aca="false">IF(F1708&gt;0,RANK(F1708,$F$2:$F$1780)+COUNTIF($F$2:F1708,F1708)-1,"")</f>
        <v/>
      </c>
      <c r="Z1708" s="56" t="str">
        <f aca="false">IF(H1708&gt;0,RANK(H1708,$H$2:$H$1780)+COUNTIF($H$2:H1708,H1708)-1,"")</f>
        <v/>
      </c>
      <c r="AA1708" s="56" t="str">
        <f aca="false">IF(AC1708="","",RANK(AC1708,$AC$2:$AC$1780)+COUNTIF($AC$2:AC1708,AC1708)-1)</f>
        <v/>
      </c>
      <c r="AB1708" s="56" t="str">
        <f aca="false">IF(AD1708="","",RANK(AD1708,$AD$2:$AD$1780)+COUNTIF($AD$2:AD1708,AD1708)-1)</f>
        <v/>
      </c>
      <c r="AC1708" s="56" t="str">
        <f aca="false">IF(AND(F1708&gt;0,E1708&gt;=Settings!$B$4),J1708,"")</f>
        <v/>
      </c>
      <c r="AD1708" s="56" t="str">
        <f aca="false">IF(X1708="HIGH RATE",O1708,"")</f>
        <v/>
      </c>
    </row>
    <row r="1709" customFormat="false" ht="15" hidden="false" customHeight="false" outlineLevel="0" collapsed="false">
      <c r="A1709" s="56" t="s">
        <v>3222</v>
      </c>
      <c r="B1709" s="56" t="s">
        <v>3223</v>
      </c>
      <c r="C1709" s="56" t="s">
        <v>665</v>
      </c>
      <c r="D1709" s="56" t="str">
        <f aca="false">IFERROR(INDEX('Brand Map'!$B$4:$B$124,MATCH(C1709,'Brand Map'!$A$4:$A$124,0)),"Other")</f>
        <v>Other (small prefixes)</v>
      </c>
      <c r="E1709" s="57" t="n">
        <v>5</v>
      </c>
      <c r="F1709" s="57" t="n">
        <v>0</v>
      </c>
      <c r="G1709" s="58" t="n">
        <v>403.75</v>
      </c>
      <c r="H1709" s="58" t="n">
        <v>0</v>
      </c>
      <c r="I1709" s="58" t="n">
        <v>403.75</v>
      </c>
      <c r="J1709" s="32" t="n">
        <f aca="false">IF(E1709&gt;0,F1709/E1709,0)</f>
        <v>0</v>
      </c>
      <c r="K1709" s="32" t="n">
        <f aca="false">IF(G1709&gt;0,H1709/G1709,0)</f>
        <v>-0</v>
      </c>
      <c r="L1709" s="59" t="n">
        <f aca="false">H1709/Settings!$B$16</f>
        <v>-0</v>
      </c>
      <c r="M1709" s="59" t="n">
        <f aca="false">H1709/Settings!$B$20</f>
        <v>-0</v>
      </c>
      <c r="N1709" s="60" t="n">
        <f aca="false">E1709*Settings!$B$3</f>
        <v>0.154930755399102</v>
      </c>
      <c r="O1709" s="60" t="n">
        <f aca="false">IF(E1709&gt;0,(F1709-N1709)/SQRT(E1709*Settings!$B$3*(1-Settings!$B$3)),0)</f>
        <v>-0.399856193402468</v>
      </c>
      <c r="P1709" s="60" t="n">
        <f aca="false">MAX(0,F1709-N1709)</f>
        <v>0</v>
      </c>
      <c r="Q1709" s="32" t="n">
        <f aca="false">(F1709+Settings!$B$7*Settings!$B$3)/(E1709+Settings!$B$7)</f>
        <v>0.0265595580684175</v>
      </c>
      <c r="R1709" s="61" t="n">
        <f aca="false">PERCENTRANK($H$2:$H$1780,H1709,6)</f>
        <v>0</v>
      </c>
      <c r="S1709" s="61" t="n">
        <f aca="false">PERCENTRANK($Q$2:$Q$1780,Q1709,6)</f>
        <v>0.220472</v>
      </c>
      <c r="T1709" s="61" t="n">
        <f aca="false">PERCENTRANK($F$2:$F$1780,F1709,6)</f>
        <v>0</v>
      </c>
      <c r="U1709" s="62" t="n">
        <f aca="false">IF(F1709&gt;0,(Settings!$B$8*T1709+Settings!$B$9*R1709+Settings!$B$10*S1709)/SUM(Settings!$B$8:$B$10),0)</f>
        <v>0</v>
      </c>
      <c r="V1709" s="56" t="str">
        <f aca="false">IF(U1709&gt;0,RANK(U1709,$U$2:$U$1780)+COUNTIF($U$2:U1709,U1709)-1,"")</f>
        <v/>
      </c>
      <c r="W1709" s="56" t="str">
        <f aca="false">IF(V1709="","",IF(V1709&lt;=Settings!$B$11,"1 - Fix first",IF(V1709&lt;=Settings!$B$12,"2 - Review","3 - Monitor")))</f>
        <v/>
      </c>
      <c r="X1709" s="56" t="str">
        <f aca="false">IF(AND(E1709&gt;=Settings!$B$4,F1709&gt;=Settings!$B$5,O1709&gt;=Settings!$B$6),"HIGH RATE","")</f>
        <v/>
      </c>
      <c r="Y1709" s="56" t="str">
        <f aca="false">IF(F1709&gt;0,RANK(F1709,$F$2:$F$1780)+COUNTIF($F$2:F1709,F1709)-1,"")</f>
        <v/>
      </c>
      <c r="Z1709" s="56" t="str">
        <f aca="false">IF(H1709&gt;0,RANK(H1709,$H$2:$H$1780)+COUNTIF($H$2:H1709,H1709)-1,"")</f>
        <v/>
      </c>
      <c r="AA1709" s="56" t="str">
        <f aca="false">IF(AC1709="","",RANK(AC1709,$AC$2:$AC$1780)+COUNTIF($AC$2:AC1709,AC1709)-1)</f>
        <v/>
      </c>
      <c r="AB1709" s="56" t="str">
        <f aca="false">IF(AD1709="","",RANK(AD1709,$AD$2:$AD$1780)+COUNTIF($AD$2:AD1709,AD1709)-1)</f>
        <v/>
      </c>
      <c r="AC1709" s="56" t="str">
        <f aca="false">IF(AND(F1709&gt;0,E1709&gt;=Settings!$B$4),J1709,"")</f>
        <v/>
      </c>
      <c r="AD1709" s="56" t="str">
        <f aca="false">IF(X1709="HIGH RATE",O1709,"")</f>
        <v/>
      </c>
    </row>
    <row r="1710" customFormat="false" ht="15" hidden="false" customHeight="false" outlineLevel="0" collapsed="false">
      <c r="A1710" s="56" t="s">
        <v>3224</v>
      </c>
      <c r="B1710" s="56" t="s">
        <v>3225</v>
      </c>
      <c r="C1710" s="56" t="s">
        <v>665</v>
      </c>
      <c r="D1710" s="56" t="str">
        <f aca="false">IFERROR(INDEX('Brand Map'!$B$4:$B$124,MATCH(C1710,'Brand Map'!$A$4:$A$124,0)),"Other")</f>
        <v>Other (small prefixes)</v>
      </c>
      <c r="E1710" s="57" t="n">
        <v>1</v>
      </c>
      <c r="F1710" s="57" t="n">
        <v>0</v>
      </c>
      <c r="G1710" s="58" t="n">
        <v>45.41</v>
      </c>
      <c r="H1710" s="58" t="n">
        <v>0</v>
      </c>
      <c r="I1710" s="58" t="n">
        <v>45.41</v>
      </c>
      <c r="J1710" s="32" t="n">
        <f aca="false">IF(E1710&gt;0,F1710/E1710,0)</f>
        <v>0</v>
      </c>
      <c r="K1710" s="32" t="n">
        <f aca="false">IF(G1710&gt;0,H1710/G1710,0)</f>
        <v>-0</v>
      </c>
      <c r="L1710" s="59" t="n">
        <f aca="false">H1710/Settings!$B$16</f>
        <v>-0</v>
      </c>
      <c r="M1710" s="59" t="n">
        <f aca="false">H1710/Settings!$B$20</f>
        <v>-0</v>
      </c>
      <c r="N1710" s="60" t="n">
        <f aca="false">E1710*Settings!$B$3</f>
        <v>0.0309861510798204</v>
      </c>
      <c r="O1710" s="60" t="n">
        <f aca="false">IF(E1710&gt;0,(F1710-N1710)/SQRT(E1710*Settings!$B$3*(1-Settings!$B$3)),0)</f>
        <v>-0.178821125934444</v>
      </c>
      <c r="P1710" s="60" t="n">
        <f aca="false">MAX(0,F1710-N1710)</f>
        <v>0</v>
      </c>
      <c r="Q1710" s="32" t="n">
        <f aca="false">(F1710+Settings!$B$7*Settings!$B$3)/(E1710+Settings!$B$7)</f>
        <v>0.0299865978191811</v>
      </c>
      <c r="R1710" s="61" t="n">
        <f aca="false">PERCENTRANK($H$2:$H$1780,H1710,6)</f>
        <v>0</v>
      </c>
      <c r="S1710" s="61" t="n">
        <f aca="false">PERCENTRANK($Q$2:$Q$1780,Q1710,6)</f>
        <v>0.486502</v>
      </c>
      <c r="T1710" s="61" t="n">
        <f aca="false">PERCENTRANK($F$2:$F$1780,F1710,6)</f>
        <v>0</v>
      </c>
      <c r="U1710" s="62" t="n">
        <f aca="false">IF(F1710&gt;0,(Settings!$B$8*T1710+Settings!$B$9*R1710+Settings!$B$10*S1710)/SUM(Settings!$B$8:$B$10),0)</f>
        <v>0</v>
      </c>
      <c r="V1710" s="56" t="str">
        <f aca="false">IF(U1710&gt;0,RANK(U1710,$U$2:$U$1780)+COUNTIF($U$2:U1710,U1710)-1,"")</f>
        <v/>
      </c>
      <c r="W1710" s="56" t="str">
        <f aca="false">IF(V1710="","",IF(V1710&lt;=Settings!$B$11,"1 - Fix first",IF(V1710&lt;=Settings!$B$12,"2 - Review","3 - Monitor")))</f>
        <v/>
      </c>
      <c r="X1710" s="56" t="str">
        <f aca="false">IF(AND(E1710&gt;=Settings!$B$4,F1710&gt;=Settings!$B$5,O1710&gt;=Settings!$B$6),"HIGH RATE","")</f>
        <v/>
      </c>
      <c r="Y1710" s="56" t="str">
        <f aca="false">IF(F1710&gt;0,RANK(F1710,$F$2:$F$1780)+COUNTIF($F$2:F1710,F1710)-1,"")</f>
        <v/>
      </c>
      <c r="Z1710" s="56" t="str">
        <f aca="false">IF(H1710&gt;0,RANK(H1710,$H$2:$H$1780)+COUNTIF($H$2:H1710,H1710)-1,"")</f>
        <v/>
      </c>
      <c r="AA1710" s="56" t="str">
        <f aca="false">IF(AC1710="","",RANK(AC1710,$AC$2:$AC$1780)+COUNTIF($AC$2:AC1710,AC1710)-1)</f>
        <v/>
      </c>
      <c r="AB1710" s="56" t="str">
        <f aca="false">IF(AD1710="","",RANK(AD1710,$AD$2:$AD$1780)+COUNTIF($AD$2:AD1710,AD1710)-1)</f>
        <v/>
      </c>
      <c r="AC1710" s="56" t="str">
        <f aca="false">IF(AND(F1710&gt;0,E1710&gt;=Settings!$B$4),J1710,"")</f>
        <v/>
      </c>
      <c r="AD1710" s="56" t="str">
        <f aca="false">IF(X1710="HIGH RATE",O1710,"")</f>
        <v/>
      </c>
    </row>
    <row r="1711" customFormat="false" ht="15" hidden="false" customHeight="false" outlineLevel="0" collapsed="false">
      <c r="A1711" s="56" t="s">
        <v>3226</v>
      </c>
      <c r="B1711" s="56" t="s">
        <v>3227</v>
      </c>
      <c r="C1711" s="56" t="s">
        <v>665</v>
      </c>
      <c r="D1711" s="56" t="str">
        <f aca="false">IFERROR(INDEX('Brand Map'!$B$4:$B$124,MATCH(C1711,'Brand Map'!$A$4:$A$124,0)),"Other")</f>
        <v>Other (small prefixes)</v>
      </c>
      <c r="E1711" s="57" t="n">
        <v>10</v>
      </c>
      <c r="F1711" s="57" t="n">
        <v>0</v>
      </c>
      <c r="G1711" s="58" t="n">
        <v>804.22</v>
      </c>
      <c r="H1711" s="58" t="n">
        <v>0</v>
      </c>
      <c r="I1711" s="58" t="n">
        <v>794.02</v>
      </c>
      <c r="J1711" s="32" t="n">
        <f aca="false">IF(E1711&gt;0,F1711/E1711,0)</f>
        <v>0</v>
      </c>
      <c r="K1711" s="32" t="n">
        <f aca="false">IF(G1711&gt;0,H1711/G1711,0)</f>
        <v>-0</v>
      </c>
      <c r="L1711" s="59" t="n">
        <f aca="false">H1711/Settings!$B$16</f>
        <v>-0</v>
      </c>
      <c r="M1711" s="59" t="n">
        <f aca="false">H1711/Settings!$B$20</f>
        <v>-0</v>
      </c>
      <c r="N1711" s="60" t="n">
        <f aca="false">E1711*Settings!$B$3</f>
        <v>0.309861510798204</v>
      </c>
      <c r="O1711" s="60" t="n">
        <f aca="false">IF(E1711&gt;0,(F1711-N1711)/SQRT(E1711*Settings!$B$3*(1-Settings!$B$3)),0)</f>
        <v>-0.565482051708649</v>
      </c>
      <c r="P1711" s="60" t="n">
        <f aca="false">MAX(0,F1711-N1711)</f>
        <v>0</v>
      </c>
      <c r="Q1711" s="32" t="n">
        <f aca="false">(F1711+Settings!$B$7*Settings!$B$3)/(E1711+Settings!$B$7)</f>
        <v>0.0232396133098653</v>
      </c>
      <c r="R1711" s="61" t="n">
        <f aca="false">PERCENTRANK($H$2:$H$1780,H1711,6)</f>
        <v>0</v>
      </c>
      <c r="S1711" s="61" t="n">
        <f aca="false">PERCENTRANK($Q$2:$Q$1780,Q1711,6)</f>
        <v>0.131046</v>
      </c>
      <c r="T1711" s="61" t="n">
        <f aca="false">PERCENTRANK($F$2:$F$1780,F1711,6)</f>
        <v>0</v>
      </c>
      <c r="U1711" s="62" t="n">
        <f aca="false">IF(F1711&gt;0,(Settings!$B$8*T1711+Settings!$B$9*R1711+Settings!$B$10*S1711)/SUM(Settings!$B$8:$B$10),0)</f>
        <v>0</v>
      </c>
      <c r="V1711" s="56" t="str">
        <f aca="false">IF(U1711&gt;0,RANK(U1711,$U$2:$U$1780)+COUNTIF($U$2:U1711,U1711)-1,"")</f>
        <v/>
      </c>
      <c r="W1711" s="56" t="str">
        <f aca="false">IF(V1711="","",IF(V1711&lt;=Settings!$B$11,"1 - Fix first",IF(V1711&lt;=Settings!$B$12,"2 - Review","3 - Monitor")))</f>
        <v/>
      </c>
      <c r="X1711" s="56" t="str">
        <f aca="false">IF(AND(E1711&gt;=Settings!$B$4,F1711&gt;=Settings!$B$5,O1711&gt;=Settings!$B$6),"HIGH RATE","")</f>
        <v/>
      </c>
      <c r="Y1711" s="56" t="str">
        <f aca="false">IF(F1711&gt;0,RANK(F1711,$F$2:$F$1780)+COUNTIF($F$2:F1711,F1711)-1,"")</f>
        <v/>
      </c>
      <c r="Z1711" s="56" t="str">
        <f aca="false">IF(H1711&gt;0,RANK(H1711,$H$2:$H$1780)+COUNTIF($H$2:H1711,H1711)-1,"")</f>
        <v/>
      </c>
      <c r="AA1711" s="56" t="str">
        <f aca="false">IF(AC1711="","",RANK(AC1711,$AC$2:$AC$1780)+COUNTIF($AC$2:AC1711,AC1711)-1)</f>
        <v/>
      </c>
      <c r="AB1711" s="56" t="str">
        <f aca="false">IF(AD1711="","",RANK(AD1711,$AD$2:$AD$1780)+COUNTIF($AD$2:AD1711,AD1711)-1)</f>
        <v/>
      </c>
      <c r="AC1711" s="56" t="str">
        <f aca="false">IF(AND(F1711&gt;0,E1711&gt;=Settings!$B$4),J1711,"")</f>
        <v/>
      </c>
      <c r="AD1711" s="56" t="str">
        <f aca="false">IF(X1711="HIGH RATE",O1711,"")</f>
        <v/>
      </c>
    </row>
    <row r="1712" customFormat="false" ht="15" hidden="false" customHeight="false" outlineLevel="0" collapsed="false">
      <c r="A1712" s="56" t="s">
        <v>3228</v>
      </c>
      <c r="B1712" s="56" t="s">
        <v>3229</v>
      </c>
      <c r="C1712" s="56" t="s">
        <v>665</v>
      </c>
      <c r="D1712" s="56" t="str">
        <f aca="false">IFERROR(INDEX('Brand Map'!$B$4:$B$124,MATCH(C1712,'Brand Map'!$A$4:$A$124,0)),"Other")</f>
        <v>Other (small prefixes)</v>
      </c>
      <c r="E1712" s="57" t="n">
        <v>8</v>
      </c>
      <c r="F1712" s="57" t="n">
        <v>0</v>
      </c>
      <c r="G1712" s="58" t="n">
        <v>472.8</v>
      </c>
      <c r="H1712" s="58" t="n">
        <v>0</v>
      </c>
      <c r="I1712" s="58" t="n">
        <v>461.9</v>
      </c>
      <c r="J1712" s="32" t="n">
        <f aca="false">IF(E1712&gt;0,F1712/E1712,0)</f>
        <v>0</v>
      </c>
      <c r="K1712" s="32" t="n">
        <f aca="false">IF(G1712&gt;0,H1712/G1712,0)</f>
        <v>-0</v>
      </c>
      <c r="L1712" s="59" t="n">
        <f aca="false">H1712/Settings!$B$16</f>
        <v>-0</v>
      </c>
      <c r="M1712" s="59" t="n">
        <f aca="false">H1712/Settings!$B$20</f>
        <v>-0</v>
      </c>
      <c r="N1712" s="60" t="n">
        <f aca="false">E1712*Settings!$B$3</f>
        <v>0.247889208638563</v>
      </c>
      <c r="O1712" s="60" t="n">
        <f aca="false">IF(E1712&gt;0,(F1712-N1712)/SQRT(E1712*Settings!$B$3*(1-Settings!$B$3)),0)</f>
        <v>-0.505782523070636</v>
      </c>
      <c r="P1712" s="60" t="n">
        <f aca="false">MAX(0,F1712-N1712)</f>
        <v>0</v>
      </c>
      <c r="Q1712" s="32" t="n">
        <f aca="false">(F1712+Settings!$B$7*Settings!$B$3)/(E1712+Settings!$B$7)</f>
        <v>0.0244627508524898</v>
      </c>
      <c r="R1712" s="61" t="n">
        <f aca="false">PERCENTRANK($H$2:$H$1780,H1712,6)</f>
        <v>0</v>
      </c>
      <c r="S1712" s="61" t="n">
        <f aca="false">PERCENTRANK($Q$2:$Q$1780,Q1712,6)</f>
        <v>0.154668</v>
      </c>
      <c r="T1712" s="61" t="n">
        <f aca="false">PERCENTRANK($F$2:$F$1780,F1712,6)</f>
        <v>0</v>
      </c>
      <c r="U1712" s="62" t="n">
        <f aca="false">IF(F1712&gt;0,(Settings!$B$8*T1712+Settings!$B$9*R1712+Settings!$B$10*S1712)/SUM(Settings!$B$8:$B$10),0)</f>
        <v>0</v>
      </c>
      <c r="V1712" s="56" t="str">
        <f aca="false">IF(U1712&gt;0,RANK(U1712,$U$2:$U$1780)+COUNTIF($U$2:U1712,U1712)-1,"")</f>
        <v/>
      </c>
      <c r="W1712" s="56" t="str">
        <f aca="false">IF(V1712="","",IF(V1712&lt;=Settings!$B$11,"1 - Fix first",IF(V1712&lt;=Settings!$B$12,"2 - Review","3 - Monitor")))</f>
        <v/>
      </c>
      <c r="X1712" s="56" t="str">
        <f aca="false">IF(AND(E1712&gt;=Settings!$B$4,F1712&gt;=Settings!$B$5,O1712&gt;=Settings!$B$6),"HIGH RATE","")</f>
        <v/>
      </c>
      <c r="Y1712" s="56" t="str">
        <f aca="false">IF(F1712&gt;0,RANK(F1712,$F$2:$F$1780)+COUNTIF($F$2:F1712,F1712)-1,"")</f>
        <v/>
      </c>
      <c r="Z1712" s="56" t="str">
        <f aca="false">IF(H1712&gt;0,RANK(H1712,$H$2:$H$1780)+COUNTIF($H$2:H1712,H1712)-1,"")</f>
        <v/>
      </c>
      <c r="AA1712" s="56" t="str">
        <f aca="false">IF(AC1712="","",RANK(AC1712,$AC$2:$AC$1780)+COUNTIF($AC$2:AC1712,AC1712)-1)</f>
        <v/>
      </c>
      <c r="AB1712" s="56" t="str">
        <f aca="false">IF(AD1712="","",RANK(AD1712,$AD$2:$AD$1780)+COUNTIF($AD$2:AD1712,AD1712)-1)</f>
        <v/>
      </c>
      <c r="AC1712" s="56" t="str">
        <f aca="false">IF(AND(F1712&gt;0,E1712&gt;=Settings!$B$4),J1712,"")</f>
        <v/>
      </c>
      <c r="AD1712" s="56" t="str">
        <f aca="false">IF(X1712="HIGH RATE",O1712,"")</f>
        <v/>
      </c>
    </row>
    <row r="1713" customFormat="false" ht="15" hidden="false" customHeight="false" outlineLevel="0" collapsed="false">
      <c r="A1713" s="56" t="s">
        <v>3230</v>
      </c>
      <c r="B1713" s="56" t="s">
        <v>3231</v>
      </c>
      <c r="C1713" s="56" t="s">
        <v>665</v>
      </c>
      <c r="D1713" s="56" t="str">
        <f aca="false">IFERROR(INDEX('Brand Map'!$B$4:$B$124,MATCH(C1713,'Brand Map'!$A$4:$A$124,0)),"Other")</f>
        <v>Other (small prefixes)</v>
      </c>
      <c r="E1713" s="57" t="n">
        <v>5</v>
      </c>
      <c r="F1713" s="57" t="n">
        <v>0</v>
      </c>
      <c r="G1713" s="58" t="n">
        <v>281.65</v>
      </c>
      <c r="H1713" s="58" t="n">
        <v>0</v>
      </c>
      <c r="I1713" s="58" t="n">
        <v>281.65</v>
      </c>
      <c r="J1713" s="32" t="n">
        <f aca="false">IF(E1713&gt;0,F1713/E1713,0)</f>
        <v>0</v>
      </c>
      <c r="K1713" s="32" t="n">
        <f aca="false">IF(G1713&gt;0,H1713/G1713,0)</f>
        <v>-0</v>
      </c>
      <c r="L1713" s="59" t="n">
        <f aca="false">H1713/Settings!$B$16</f>
        <v>-0</v>
      </c>
      <c r="M1713" s="59" t="n">
        <f aca="false">H1713/Settings!$B$20</f>
        <v>-0</v>
      </c>
      <c r="N1713" s="60" t="n">
        <f aca="false">E1713*Settings!$B$3</f>
        <v>0.154930755399102</v>
      </c>
      <c r="O1713" s="60" t="n">
        <f aca="false">IF(E1713&gt;0,(F1713-N1713)/SQRT(E1713*Settings!$B$3*(1-Settings!$B$3)),0)</f>
        <v>-0.399856193402468</v>
      </c>
      <c r="P1713" s="60" t="n">
        <f aca="false">MAX(0,F1713-N1713)</f>
        <v>0</v>
      </c>
      <c r="Q1713" s="32" t="n">
        <f aca="false">(F1713+Settings!$B$7*Settings!$B$3)/(E1713+Settings!$B$7)</f>
        <v>0.0265595580684175</v>
      </c>
      <c r="R1713" s="61" t="n">
        <f aca="false">PERCENTRANK($H$2:$H$1780,H1713,6)</f>
        <v>0</v>
      </c>
      <c r="S1713" s="61" t="n">
        <f aca="false">PERCENTRANK($Q$2:$Q$1780,Q1713,6)</f>
        <v>0.220472</v>
      </c>
      <c r="T1713" s="61" t="n">
        <f aca="false">PERCENTRANK($F$2:$F$1780,F1713,6)</f>
        <v>0</v>
      </c>
      <c r="U1713" s="62" t="n">
        <f aca="false">IF(F1713&gt;0,(Settings!$B$8*T1713+Settings!$B$9*R1713+Settings!$B$10*S1713)/SUM(Settings!$B$8:$B$10),0)</f>
        <v>0</v>
      </c>
      <c r="V1713" s="56" t="str">
        <f aca="false">IF(U1713&gt;0,RANK(U1713,$U$2:$U$1780)+COUNTIF($U$2:U1713,U1713)-1,"")</f>
        <v/>
      </c>
      <c r="W1713" s="56" t="str">
        <f aca="false">IF(V1713="","",IF(V1713&lt;=Settings!$B$11,"1 - Fix first",IF(V1713&lt;=Settings!$B$12,"2 - Review","3 - Monitor")))</f>
        <v/>
      </c>
      <c r="X1713" s="56" t="str">
        <f aca="false">IF(AND(E1713&gt;=Settings!$B$4,F1713&gt;=Settings!$B$5,O1713&gt;=Settings!$B$6),"HIGH RATE","")</f>
        <v/>
      </c>
      <c r="Y1713" s="56" t="str">
        <f aca="false">IF(F1713&gt;0,RANK(F1713,$F$2:$F$1780)+COUNTIF($F$2:F1713,F1713)-1,"")</f>
        <v/>
      </c>
      <c r="Z1713" s="56" t="str">
        <f aca="false">IF(H1713&gt;0,RANK(H1713,$H$2:$H$1780)+COUNTIF($H$2:H1713,H1713)-1,"")</f>
        <v/>
      </c>
      <c r="AA1713" s="56" t="str">
        <f aca="false">IF(AC1713="","",RANK(AC1713,$AC$2:$AC$1780)+COUNTIF($AC$2:AC1713,AC1713)-1)</f>
        <v/>
      </c>
      <c r="AB1713" s="56" t="str">
        <f aca="false">IF(AD1713="","",RANK(AD1713,$AD$2:$AD$1780)+COUNTIF($AD$2:AD1713,AD1713)-1)</f>
        <v/>
      </c>
      <c r="AC1713" s="56" t="str">
        <f aca="false">IF(AND(F1713&gt;0,E1713&gt;=Settings!$B$4),J1713,"")</f>
        <v/>
      </c>
      <c r="AD1713" s="56" t="str">
        <f aca="false">IF(X1713="HIGH RATE",O1713,"")</f>
        <v/>
      </c>
    </row>
    <row r="1714" customFormat="false" ht="15" hidden="false" customHeight="false" outlineLevel="0" collapsed="false">
      <c r="A1714" s="56" t="s">
        <v>3232</v>
      </c>
      <c r="B1714" s="56" t="s">
        <v>3233</v>
      </c>
      <c r="C1714" s="56" t="s">
        <v>665</v>
      </c>
      <c r="D1714" s="56" t="str">
        <f aca="false">IFERROR(INDEX('Brand Map'!$B$4:$B$124,MATCH(C1714,'Brand Map'!$A$4:$A$124,0)),"Other")</f>
        <v>Other (small prefixes)</v>
      </c>
      <c r="E1714" s="57" t="n">
        <v>5</v>
      </c>
      <c r="F1714" s="57" t="n">
        <v>0</v>
      </c>
      <c r="G1714" s="58" t="n">
        <v>254.74</v>
      </c>
      <c r="H1714" s="58" t="n">
        <v>0</v>
      </c>
      <c r="I1714" s="58" t="n">
        <v>239.76</v>
      </c>
      <c r="J1714" s="32" t="n">
        <f aca="false">IF(E1714&gt;0,F1714/E1714,0)</f>
        <v>0</v>
      </c>
      <c r="K1714" s="32" t="n">
        <f aca="false">IF(G1714&gt;0,H1714/G1714,0)</f>
        <v>-0</v>
      </c>
      <c r="L1714" s="59" t="n">
        <f aca="false">H1714/Settings!$B$16</f>
        <v>-0</v>
      </c>
      <c r="M1714" s="59" t="n">
        <f aca="false">H1714/Settings!$B$20</f>
        <v>-0</v>
      </c>
      <c r="N1714" s="60" t="n">
        <f aca="false">E1714*Settings!$B$3</f>
        <v>0.154930755399102</v>
      </c>
      <c r="O1714" s="60" t="n">
        <f aca="false">IF(E1714&gt;0,(F1714-N1714)/SQRT(E1714*Settings!$B$3*(1-Settings!$B$3)),0)</f>
        <v>-0.399856193402468</v>
      </c>
      <c r="P1714" s="60" t="n">
        <f aca="false">MAX(0,F1714-N1714)</f>
        <v>0</v>
      </c>
      <c r="Q1714" s="32" t="n">
        <f aca="false">(F1714+Settings!$B$7*Settings!$B$3)/(E1714+Settings!$B$7)</f>
        <v>0.0265595580684175</v>
      </c>
      <c r="R1714" s="61" t="n">
        <f aca="false">PERCENTRANK($H$2:$H$1780,H1714,6)</f>
        <v>0</v>
      </c>
      <c r="S1714" s="61" t="n">
        <f aca="false">PERCENTRANK($Q$2:$Q$1780,Q1714,6)</f>
        <v>0.220472</v>
      </c>
      <c r="T1714" s="61" t="n">
        <f aca="false">PERCENTRANK($F$2:$F$1780,F1714,6)</f>
        <v>0</v>
      </c>
      <c r="U1714" s="62" t="n">
        <f aca="false">IF(F1714&gt;0,(Settings!$B$8*T1714+Settings!$B$9*R1714+Settings!$B$10*S1714)/SUM(Settings!$B$8:$B$10),0)</f>
        <v>0</v>
      </c>
      <c r="V1714" s="56" t="str">
        <f aca="false">IF(U1714&gt;0,RANK(U1714,$U$2:$U$1780)+COUNTIF($U$2:U1714,U1714)-1,"")</f>
        <v/>
      </c>
      <c r="W1714" s="56" t="str">
        <f aca="false">IF(V1714="","",IF(V1714&lt;=Settings!$B$11,"1 - Fix first",IF(V1714&lt;=Settings!$B$12,"2 - Review","3 - Monitor")))</f>
        <v/>
      </c>
      <c r="X1714" s="56" t="str">
        <f aca="false">IF(AND(E1714&gt;=Settings!$B$4,F1714&gt;=Settings!$B$5,O1714&gt;=Settings!$B$6),"HIGH RATE","")</f>
        <v/>
      </c>
      <c r="Y1714" s="56" t="str">
        <f aca="false">IF(F1714&gt;0,RANK(F1714,$F$2:$F$1780)+COUNTIF($F$2:F1714,F1714)-1,"")</f>
        <v/>
      </c>
      <c r="Z1714" s="56" t="str">
        <f aca="false">IF(H1714&gt;0,RANK(H1714,$H$2:$H$1780)+COUNTIF($H$2:H1714,H1714)-1,"")</f>
        <v/>
      </c>
      <c r="AA1714" s="56" t="str">
        <f aca="false">IF(AC1714="","",RANK(AC1714,$AC$2:$AC$1780)+COUNTIF($AC$2:AC1714,AC1714)-1)</f>
        <v/>
      </c>
      <c r="AB1714" s="56" t="str">
        <f aca="false">IF(AD1714="","",RANK(AD1714,$AD$2:$AD$1780)+COUNTIF($AD$2:AD1714,AD1714)-1)</f>
        <v/>
      </c>
      <c r="AC1714" s="56" t="str">
        <f aca="false">IF(AND(F1714&gt;0,E1714&gt;=Settings!$B$4),J1714,"")</f>
        <v/>
      </c>
      <c r="AD1714" s="56" t="str">
        <f aca="false">IF(X1714="HIGH RATE",O1714,"")</f>
        <v/>
      </c>
    </row>
    <row r="1715" customFormat="false" ht="15" hidden="false" customHeight="false" outlineLevel="0" collapsed="false">
      <c r="A1715" s="56" t="s">
        <v>3234</v>
      </c>
      <c r="B1715" s="56" t="s">
        <v>3235</v>
      </c>
      <c r="C1715" s="56" t="s">
        <v>665</v>
      </c>
      <c r="D1715" s="56" t="str">
        <f aca="false">IFERROR(INDEX('Brand Map'!$B$4:$B$124,MATCH(C1715,'Brand Map'!$A$4:$A$124,0)),"Other")</f>
        <v>Other (small prefixes)</v>
      </c>
      <c r="E1715" s="57" t="n">
        <v>10</v>
      </c>
      <c r="F1715" s="57" t="n">
        <v>0</v>
      </c>
      <c r="G1715" s="58" t="n">
        <v>828.18</v>
      </c>
      <c r="H1715" s="58" t="n">
        <v>0</v>
      </c>
      <c r="I1715" s="58" t="n">
        <v>805.02</v>
      </c>
      <c r="J1715" s="32" t="n">
        <f aca="false">IF(E1715&gt;0,F1715/E1715,0)</f>
        <v>0</v>
      </c>
      <c r="K1715" s="32" t="n">
        <f aca="false">IF(G1715&gt;0,H1715/G1715,0)</f>
        <v>-0</v>
      </c>
      <c r="L1715" s="59" t="n">
        <f aca="false">H1715/Settings!$B$16</f>
        <v>-0</v>
      </c>
      <c r="M1715" s="59" t="n">
        <f aca="false">H1715/Settings!$B$20</f>
        <v>-0</v>
      </c>
      <c r="N1715" s="60" t="n">
        <f aca="false">E1715*Settings!$B$3</f>
        <v>0.309861510798204</v>
      </c>
      <c r="O1715" s="60" t="n">
        <f aca="false">IF(E1715&gt;0,(F1715-N1715)/SQRT(E1715*Settings!$B$3*(1-Settings!$B$3)),0)</f>
        <v>-0.565482051708649</v>
      </c>
      <c r="P1715" s="60" t="n">
        <f aca="false">MAX(0,F1715-N1715)</f>
        <v>0</v>
      </c>
      <c r="Q1715" s="32" t="n">
        <f aca="false">(F1715+Settings!$B$7*Settings!$B$3)/(E1715+Settings!$B$7)</f>
        <v>0.0232396133098653</v>
      </c>
      <c r="R1715" s="61" t="n">
        <f aca="false">PERCENTRANK($H$2:$H$1780,H1715,6)</f>
        <v>0</v>
      </c>
      <c r="S1715" s="61" t="n">
        <f aca="false">PERCENTRANK($Q$2:$Q$1780,Q1715,6)</f>
        <v>0.131046</v>
      </c>
      <c r="T1715" s="61" t="n">
        <f aca="false">PERCENTRANK($F$2:$F$1780,F1715,6)</f>
        <v>0</v>
      </c>
      <c r="U1715" s="62" t="n">
        <f aca="false">IF(F1715&gt;0,(Settings!$B$8*T1715+Settings!$B$9*R1715+Settings!$B$10*S1715)/SUM(Settings!$B$8:$B$10),0)</f>
        <v>0</v>
      </c>
      <c r="V1715" s="56" t="str">
        <f aca="false">IF(U1715&gt;0,RANK(U1715,$U$2:$U$1780)+COUNTIF($U$2:U1715,U1715)-1,"")</f>
        <v/>
      </c>
      <c r="W1715" s="56" t="str">
        <f aca="false">IF(V1715="","",IF(V1715&lt;=Settings!$B$11,"1 - Fix first",IF(V1715&lt;=Settings!$B$12,"2 - Review","3 - Monitor")))</f>
        <v/>
      </c>
      <c r="X1715" s="56" t="str">
        <f aca="false">IF(AND(E1715&gt;=Settings!$B$4,F1715&gt;=Settings!$B$5,O1715&gt;=Settings!$B$6),"HIGH RATE","")</f>
        <v/>
      </c>
      <c r="Y1715" s="56" t="str">
        <f aca="false">IF(F1715&gt;0,RANK(F1715,$F$2:$F$1780)+COUNTIF($F$2:F1715,F1715)-1,"")</f>
        <v/>
      </c>
      <c r="Z1715" s="56" t="str">
        <f aca="false">IF(H1715&gt;0,RANK(H1715,$H$2:$H$1780)+COUNTIF($H$2:H1715,H1715)-1,"")</f>
        <v/>
      </c>
      <c r="AA1715" s="56" t="str">
        <f aca="false">IF(AC1715="","",RANK(AC1715,$AC$2:$AC$1780)+COUNTIF($AC$2:AC1715,AC1715)-1)</f>
        <v/>
      </c>
      <c r="AB1715" s="56" t="str">
        <f aca="false">IF(AD1715="","",RANK(AD1715,$AD$2:$AD$1780)+COUNTIF($AD$2:AD1715,AD1715)-1)</f>
        <v/>
      </c>
      <c r="AC1715" s="56" t="str">
        <f aca="false">IF(AND(F1715&gt;0,E1715&gt;=Settings!$B$4),J1715,"")</f>
        <v/>
      </c>
      <c r="AD1715" s="56" t="str">
        <f aca="false">IF(X1715="HIGH RATE",O1715,"")</f>
        <v/>
      </c>
    </row>
    <row r="1716" customFormat="false" ht="15" hidden="false" customHeight="false" outlineLevel="0" collapsed="false">
      <c r="A1716" s="56" t="s">
        <v>3236</v>
      </c>
      <c r="B1716" s="56" t="s">
        <v>3237</v>
      </c>
      <c r="C1716" s="56" t="s">
        <v>665</v>
      </c>
      <c r="D1716" s="56" t="str">
        <f aca="false">IFERROR(INDEX('Brand Map'!$B$4:$B$124,MATCH(C1716,'Brand Map'!$A$4:$A$124,0)),"Other")</f>
        <v>Other (small prefixes)</v>
      </c>
      <c r="E1716" s="57" t="n">
        <v>3</v>
      </c>
      <c r="F1716" s="57" t="n">
        <v>0</v>
      </c>
      <c r="G1716" s="58" t="n">
        <v>194.85</v>
      </c>
      <c r="H1716" s="58" t="n">
        <v>0</v>
      </c>
      <c r="I1716" s="58" t="n">
        <v>179.12</v>
      </c>
      <c r="J1716" s="32" t="n">
        <f aca="false">IF(E1716&gt;0,F1716/E1716,0)</f>
        <v>0</v>
      </c>
      <c r="K1716" s="32" t="n">
        <f aca="false">IF(G1716&gt;0,H1716/G1716,0)</f>
        <v>-0</v>
      </c>
      <c r="L1716" s="59" t="n">
        <f aca="false">H1716/Settings!$B$16</f>
        <v>-0</v>
      </c>
      <c r="M1716" s="59" t="n">
        <f aca="false">H1716/Settings!$B$20</f>
        <v>-0</v>
      </c>
      <c r="N1716" s="60" t="n">
        <f aca="false">E1716*Settings!$B$3</f>
        <v>0.0929584532394613</v>
      </c>
      <c r="O1716" s="60" t="n">
        <f aca="false">IF(E1716&gt;0,(F1716-N1716)/SQRT(E1716*Settings!$B$3*(1-Settings!$B$3)),0)</f>
        <v>-0.30972727558513</v>
      </c>
      <c r="P1716" s="60" t="n">
        <f aca="false">MAX(0,F1716-N1716)</f>
        <v>0</v>
      </c>
      <c r="Q1716" s="32" t="n">
        <f aca="false">(F1716+Settings!$B$7*Settings!$B$3)/(E1716+Settings!$B$7)</f>
        <v>0.0281692282543822</v>
      </c>
      <c r="R1716" s="61" t="n">
        <f aca="false">PERCENTRANK($H$2:$H$1780,H1716,6)</f>
        <v>0</v>
      </c>
      <c r="S1716" s="61" t="n">
        <f aca="false">PERCENTRANK($Q$2:$Q$1780,Q1716,6)</f>
        <v>0.294151</v>
      </c>
      <c r="T1716" s="61" t="n">
        <f aca="false">PERCENTRANK($F$2:$F$1780,F1716,6)</f>
        <v>0</v>
      </c>
      <c r="U1716" s="62" t="n">
        <f aca="false">IF(F1716&gt;0,(Settings!$B$8*T1716+Settings!$B$9*R1716+Settings!$B$10*S1716)/SUM(Settings!$B$8:$B$10),0)</f>
        <v>0</v>
      </c>
      <c r="V1716" s="56" t="str">
        <f aca="false">IF(U1716&gt;0,RANK(U1716,$U$2:$U$1780)+COUNTIF($U$2:U1716,U1716)-1,"")</f>
        <v/>
      </c>
      <c r="W1716" s="56" t="str">
        <f aca="false">IF(V1716="","",IF(V1716&lt;=Settings!$B$11,"1 - Fix first",IF(V1716&lt;=Settings!$B$12,"2 - Review","3 - Monitor")))</f>
        <v/>
      </c>
      <c r="X1716" s="56" t="str">
        <f aca="false">IF(AND(E1716&gt;=Settings!$B$4,F1716&gt;=Settings!$B$5,O1716&gt;=Settings!$B$6),"HIGH RATE","")</f>
        <v/>
      </c>
      <c r="Y1716" s="56" t="str">
        <f aca="false">IF(F1716&gt;0,RANK(F1716,$F$2:$F$1780)+COUNTIF($F$2:F1716,F1716)-1,"")</f>
        <v/>
      </c>
      <c r="Z1716" s="56" t="str">
        <f aca="false">IF(H1716&gt;0,RANK(H1716,$H$2:$H$1780)+COUNTIF($H$2:H1716,H1716)-1,"")</f>
        <v/>
      </c>
      <c r="AA1716" s="56" t="str">
        <f aca="false">IF(AC1716="","",RANK(AC1716,$AC$2:$AC$1780)+COUNTIF($AC$2:AC1716,AC1716)-1)</f>
        <v/>
      </c>
      <c r="AB1716" s="56" t="str">
        <f aca="false">IF(AD1716="","",RANK(AD1716,$AD$2:$AD$1780)+COUNTIF($AD$2:AD1716,AD1716)-1)</f>
        <v/>
      </c>
      <c r="AC1716" s="56" t="str">
        <f aca="false">IF(AND(F1716&gt;0,E1716&gt;=Settings!$B$4),J1716,"")</f>
        <v/>
      </c>
      <c r="AD1716" s="56" t="str">
        <f aca="false">IF(X1716="HIGH RATE",O1716,"")</f>
        <v/>
      </c>
    </row>
    <row r="1717" customFormat="false" ht="15" hidden="false" customHeight="false" outlineLevel="0" collapsed="false">
      <c r="A1717" s="56" t="s">
        <v>3238</v>
      </c>
      <c r="B1717" s="56" t="s">
        <v>619</v>
      </c>
      <c r="C1717" s="56" t="s">
        <v>617</v>
      </c>
      <c r="D1717" s="56" t="str">
        <f aca="false">IFERROR(INDEX('Brand Map'!$B$4:$B$124,MATCH(C1717,'Brand Map'!$A$4:$A$124,0)),"Other")</f>
        <v>Other (small prefixes)</v>
      </c>
      <c r="E1717" s="57" t="n">
        <v>8</v>
      </c>
      <c r="F1717" s="57" t="n">
        <v>0</v>
      </c>
      <c r="G1717" s="58" t="n">
        <v>644.6</v>
      </c>
      <c r="H1717" s="58" t="n">
        <v>0</v>
      </c>
      <c r="I1717" s="58" t="n">
        <v>644.6</v>
      </c>
      <c r="J1717" s="32" t="n">
        <f aca="false">IF(E1717&gt;0,F1717/E1717,0)</f>
        <v>0</v>
      </c>
      <c r="K1717" s="32" t="n">
        <f aca="false">IF(G1717&gt;0,H1717/G1717,0)</f>
        <v>-0</v>
      </c>
      <c r="L1717" s="59" t="n">
        <f aca="false">H1717/Settings!$B$16</f>
        <v>-0</v>
      </c>
      <c r="M1717" s="59" t="n">
        <f aca="false">H1717/Settings!$B$20</f>
        <v>-0</v>
      </c>
      <c r="N1717" s="60" t="n">
        <f aca="false">E1717*Settings!$B$3</f>
        <v>0.247889208638563</v>
      </c>
      <c r="O1717" s="60" t="n">
        <f aca="false">IF(E1717&gt;0,(F1717-N1717)/SQRT(E1717*Settings!$B$3*(1-Settings!$B$3)),0)</f>
        <v>-0.505782523070636</v>
      </c>
      <c r="P1717" s="60" t="n">
        <f aca="false">MAX(0,F1717-N1717)</f>
        <v>0</v>
      </c>
      <c r="Q1717" s="32" t="n">
        <f aca="false">(F1717+Settings!$B$7*Settings!$B$3)/(E1717+Settings!$B$7)</f>
        <v>0.0244627508524898</v>
      </c>
      <c r="R1717" s="61" t="n">
        <f aca="false">PERCENTRANK($H$2:$H$1780,H1717,6)</f>
        <v>0</v>
      </c>
      <c r="S1717" s="61" t="n">
        <f aca="false">PERCENTRANK($Q$2:$Q$1780,Q1717,6)</f>
        <v>0.154668</v>
      </c>
      <c r="T1717" s="61" t="n">
        <f aca="false">PERCENTRANK($F$2:$F$1780,F1717,6)</f>
        <v>0</v>
      </c>
      <c r="U1717" s="62" t="n">
        <f aca="false">IF(F1717&gt;0,(Settings!$B$8*T1717+Settings!$B$9*R1717+Settings!$B$10*S1717)/SUM(Settings!$B$8:$B$10),0)</f>
        <v>0</v>
      </c>
      <c r="V1717" s="56" t="str">
        <f aca="false">IF(U1717&gt;0,RANK(U1717,$U$2:$U$1780)+COUNTIF($U$2:U1717,U1717)-1,"")</f>
        <v/>
      </c>
      <c r="W1717" s="56" t="str">
        <f aca="false">IF(V1717="","",IF(V1717&lt;=Settings!$B$11,"1 - Fix first",IF(V1717&lt;=Settings!$B$12,"2 - Review","3 - Monitor")))</f>
        <v/>
      </c>
      <c r="X1717" s="56" t="str">
        <f aca="false">IF(AND(E1717&gt;=Settings!$B$4,F1717&gt;=Settings!$B$5,O1717&gt;=Settings!$B$6),"HIGH RATE","")</f>
        <v/>
      </c>
      <c r="Y1717" s="56" t="str">
        <f aca="false">IF(F1717&gt;0,RANK(F1717,$F$2:$F$1780)+COUNTIF($F$2:F1717,F1717)-1,"")</f>
        <v/>
      </c>
      <c r="Z1717" s="56" t="str">
        <f aca="false">IF(H1717&gt;0,RANK(H1717,$H$2:$H$1780)+COUNTIF($H$2:H1717,H1717)-1,"")</f>
        <v/>
      </c>
      <c r="AA1717" s="56" t="str">
        <f aca="false">IF(AC1717="","",RANK(AC1717,$AC$2:$AC$1780)+COUNTIF($AC$2:AC1717,AC1717)-1)</f>
        <v/>
      </c>
      <c r="AB1717" s="56" t="str">
        <f aca="false">IF(AD1717="","",RANK(AD1717,$AD$2:$AD$1780)+COUNTIF($AD$2:AD1717,AD1717)-1)</f>
        <v/>
      </c>
      <c r="AC1717" s="56" t="str">
        <f aca="false">IF(AND(F1717&gt;0,E1717&gt;=Settings!$B$4),J1717,"")</f>
        <v/>
      </c>
      <c r="AD1717" s="56" t="str">
        <f aca="false">IF(X1717="HIGH RATE",O1717,"")</f>
        <v/>
      </c>
    </row>
    <row r="1718" customFormat="false" ht="15" hidden="false" customHeight="false" outlineLevel="0" collapsed="false">
      <c r="A1718" s="56" t="s">
        <v>3239</v>
      </c>
      <c r="B1718" s="56" t="s">
        <v>619</v>
      </c>
      <c r="C1718" s="56" t="s">
        <v>617</v>
      </c>
      <c r="D1718" s="56" t="str">
        <f aca="false">IFERROR(INDEX('Brand Map'!$B$4:$B$124,MATCH(C1718,'Brand Map'!$A$4:$A$124,0)),"Other")</f>
        <v>Other (small prefixes)</v>
      </c>
      <c r="E1718" s="57" t="n">
        <v>13</v>
      </c>
      <c r="F1718" s="57" t="n">
        <v>0</v>
      </c>
      <c r="G1718" s="58" t="n">
        <v>1364.35</v>
      </c>
      <c r="H1718" s="58" t="n">
        <v>0</v>
      </c>
      <c r="I1718" s="58" t="n">
        <v>1364.35</v>
      </c>
      <c r="J1718" s="32" t="n">
        <f aca="false">IF(E1718&gt;0,F1718/E1718,0)</f>
        <v>0</v>
      </c>
      <c r="K1718" s="32" t="n">
        <f aca="false">IF(G1718&gt;0,H1718/G1718,0)</f>
        <v>-0</v>
      </c>
      <c r="L1718" s="59" t="n">
        <f aca="false">H1718/Settings!$B$16</f>
        <v>-0</v>
      </c>
      <c r="M1718" s="59" t="n">
        <f aca="false">H1718/Settings!$B$20</f>
        <v>-0</v>
      </c>
      <c r="N1718" s="60" t="n">
        <f aca="false">E1718*Settings!$B$3</f>
        <v>0.402819964037665</v>
      </c>
      <c r="O1718" s="60" t="n">
        <f aca="false">IF(E1718&gt;0,(F1718-N1718)/SQRT(E1718*Settings!$B$3*(1-Settings!$B$3)),0)</f>
        <v>-0.644748738692841</v>
      </c>
      <c r="P1718" s="60" t="n">
        <f aca="false">MAX(0,F1718-N1718)</f>
        <v>0</v>
      </c>
      <c r="Q1718" s="32" t="n">
        <f aca="false">(F1718+Settings!$B$7*Settings!$B$3)/(E1718+Settings!$B$7)</f>
        <v>0.0216182449394096</v>
      </c>
      <c r="R1718" s="61" t="n">
        <f aca="false">PERCENTRANK($H$2:$H$1780,H1718,6)</f>
        <v>0</v>
      </c>
      <c r="S1718" s="61" t="n">
        <f aca="false">PERCENTRANK($Q$2:$Q$1780,Q1718,6)</f>
        <v>0.104049</v>
      </c>
      <c r="T1718" s="61" t="n">
        <f aca="false">PERCENTRANK($F$2:$F$1780,F1718,6)</f>
        <v>0</v>
      </c>
      <c r="U1718" s="62" t="n">
        <f aca="false">IF(F1718&gt;0,(Settings!$B$8*T1718+Settings!$B$9*R1718+Settings!$B$10*S1718)/SUM(Settings!$B$8:$B$10),0)</f>
        <v>0</v>
      </c>
      <c r="V1718" s="56" t="str">
        <f aca="false">IF(U1718&gt;0,RANK(U1718,$U$2:$U$1780)+COUNTIF($U$2:U1718,U1718)-1,"")</f>
        <v/>
      </c>
      <c r="W1718" s="56" t="str">
        <f aca="false">IF(V1718="","",IF(V1718&lt;=Settings!$B$11,"1 - Fix first",IF(V1718&lt;=Settings!$B$12,"2 - Review","3 - Monitor")))</f>
        <v/>
      </c>
      <c r="X1718" s="56" t="str">
        <f aca="false">IF(AND(E1718&gt;=Settings!$B$4,F1718&gt;=Settings!$B$5,O1718&gt;=Settings!$B$6),"HIGH RATE","")</f>
        <v/>
      </c>
      <c r="Y1718" s="56" t="str">
        <f aca="false">IF(F1718&gt;0,RANK(F1718,$F$2:$F$1780)+COUNTIF($F$2:F1718,F1718)-1,"")</f>
        <v/>
      </c>
      <c r="Z1718" s="56" t="str">
        <f aca="false">IF(H1718&gt;0,RANK(H1718,$H$2:$H$1780)+COUNTIF($H$2:H1718,H1718)-1,"")</f>
        <v/>
      </c>
      <c r="AA1718" s="56" t="str">
        <f aca="false">IF(AC1718="","",RANK(AC1718,$AC$2:$AC$1780)+COUNTIF($AC$2:AC1718,AC1718)-1)</f>
        <v/>
      </c>
      <c r="AB1718" s="56" t="str">
        <f aca="false">IF(AD1718="","",RANK(AD1718,$AD$2:$AD$1780)+COUNTIF($AD$2:AD1718,AD1718)-1)</f>
        <v/>
      </c>
      <c r="AC1718" s="56" t="str">
        <f aca="false">IF(AND(F1718&gt;0,E1718&gt;=Settings!$B$4),J1718,"")</f>
        <v/>
      </c>
      <c r="AD1718" s="56" t="str">
        <f aca="false">IF(X1718="HIGH RATE",O1718,"")</f>
        <v/>
      </c>
    </row>
    <row r="1719" customFormat="false" ht="15" hidden="false" customHeight="false" outlineLevel="0" collapsed="false">
      <c r="A1719" s="56" t="s">
        <v>3240</v>
      </c>
      <c r="B1719" s="56" t="s">
        <v>3241</v>
      </c>
      <c r="C1719" s="56" t="s">
        <v>617</v>
      </c>
      <c r="D1719" s="56" t="str">
        <f aca="false">IFERROR(INDEX('Brand Map'!$B$4:$B$124,MATCH(C1719,'Brand Map'!$A$4:$A$124,0)),"Other")</f>
        <v>Other (small prefixes)</v>
      </c>
      <c r="E1719" s="57" t="n">
        <v>1</v>
      </c>
      <c r="F1719" s="57" t="n">
        <v>0</v>
      </c>
      <c r="G1719" s="58" t="n">
        <v>129.95</v>
      </c>
      <c r="H1719" s="58" t="n">
        <v>0</v>
      </c>
      <c r="I1719" s="58" t="n">
        <v>129.95</v>
      </c>
      <c r="J1719" s="32" t="n">
        <f aca="false">IF(E1719&gt;0,F1719/E1719,0)</f>
        <v>0</v>
      </c>
      <c r="K1719" s="32" t="n">
        <f aca="false">IF(G1719&gt;0,H1719/G1719,0)</f>
        <v>-0</v>
      </c>
      <c r="L1719" s="59" t="n">
        <f aca="false">H1719/Settings!$B$16</f>
        <v>-0</v>
      </c>
      <c r="M1719" s="59" t="n">
        <f aca="false">H1719/Settings!$B$20</f>
        <v>-0</v>
      </c>
      <c r="N1719" s="60" t="n">
        <f aca="false">E1719*Settings!$B$3</f>
        <v>0.0309861510798204</v>
      </c>
      <c r="O1719" s="60" t="n">
        <f aca="false">IF(E1719&gt;0,(F1719-N1719)/SQRT(E1719*Settings!$B$3*(1-Settings!$B$3)),0)</f>
        <v>-0.178821125934444</v>
      </c>
      <c r="P1719" s="60" t="n">
        <f aca="false">MAX(0,F1719-N1719)</f>
        <v>0</v>
      </c>
      <c r="Q1719" s="32" t="n">
        <f aca="false">(F1719+Settings!$B$7*Settings!$B$3)/(E1719+Settings!$B$7)</f>
        <v>0.0299865978191811</v>
      </c>
      <c r="R1719" s="61" t="n">
        <f aca="false">PERCENTRANK($H$2:$H$1780,H1719,6)</f>
        <v>0</v>
      </c>
      <c r="S1719" s="61" t="n">
        <f aca="false">PERCENTRANK($Q$2:$Q$1780,Q1719,6)</f>
        <v>0.486502</v>
      </c>
      <c r="T1719" s="61" t="n">
        <f aca="false">PERCENTRANK($F$2:$F$1780,F1719,6)</f>
        <v>0</v>
      </c>
      <c r="U1719" s="62" t="n">
        <f aca="false">IF(F1719&gt;0,(Settings!$B$8*T1719+Settings!$B$9*R1719+Settings!$B$10*S1719)/SUM(Settings!$B$8:$B$10),0)</f>
        <v>0</v>
      </c>
      <c r="V1719" s="56" t="str">
        <f aca="false">IF(U1719&gt;0,RANK(U1719,$U$2:$U$1780)+COUNTIF($U$2:U1719,U1719)-1,"")</f>
        <v/>
      </c>
      <c r="W1719" s="56" t="str">
        <f aca="false">IF(V1719="","",IF(V1719&lt;=Settings!$B$11,"1 - Fix first",IF(V1719&lt;=Settings!$B$12,"2 - Review","3 - Monitor")))</f>
        <v/>
      </c>
      <c r="X1719" s="56" t="str">
        <f aca="false">IF(AND(E1719&gt;=Settings!$B$4,F1719&gt;=Settings!$B$5,O1719&gt;=Settings!$B$6),"HIGH RATE","")</f>
        <v/>
      </c>
      <c r="Y1719" s="56" t="str">
        <f aca="false">IF(F1719&gt;0,RANK(F1719,$F$2:$F$1780)+COUNTIF($F$2:F1719,F1719)-1,"")</f>
        <v/>
      </c>
      <c r="Z1719" s="56" t="str">
        <f aca="false">IF(H1719&gt;0,RANK(H1719,$H$2:$H$1780)+COUNTIF($H$2:H1719,H1719)-1,"")</f>
        <v/>
      </c>
      <c r="AA1719" s="56" t="str">
        <f aca="false">IF(AC1719="","",RANK(AC1719,$AC$2:$AC$1780)+COUNTIF($AC$2:AC1719,AC1719)-1)</f>
        <v/>
      </c>
      <c r="AB1719" s="56" t="str">
        <f aca="false">IF(AD1719="","",RANK(AD1719,$AD$2:$AD$1780)+COUNTIF($AD$2:AD1719,AD1719)-1)</f>
        <v/>
      </c>
      <c r="AC1719" s="56" t="str">
        <f aca="false">IF(AND(F1719&gt;0,E1719&gt;=Settings!$B$4),J1719,"")</f>
        <v/>
      </c>
      <c r="AD1719" s="56" t="str">
        <f aca="false">IF(X1719="HIGH RATE",O1719,"")</f>
        <v/>
      </c>
    </row>
    <row r="1720" customFormat="false" ht="15" hidden="false" customHeight="false" outlineLevel="0" collapsed="false">
      <c r="A1720" s="56" t="s">
        <v>3242</v>
      </c>
      <c r="B1720" s="56" t="s">
        <v>3241</v>
      </c>
      <c r="C1720" s="56" t="s">
        <v>617</v>
      </c>
      <c r="D1720" s="56" t="str">
        <f aca="false">IFERROR(INDEX('Brand Map'!$B$4:$B$124,MATCH(C1720,'Brand Map'!$A$4:$A$124,0)),"Other")</f>
        <v>Other (small prefixes)</v>
      </c>
      <c r="E1720" s="57" t="n">
        <v>2</v>
      </c>
      <c r="F1720" s="57" t="n">
        <v>0</v>
      </c>
      <c r="G1720" s="58" t="n">
        <v>289.9</v>
      </c>
      <c r="H1720" s="58" t="n">
        <v>0</v>
      </c>
      <c r="I1720" s="58" t="n">
        <v>289.9</v>
      </c>
      <c r="J1720" s="32" t="n">
        <f aca="false">IF(E1720&gt;0,F1720/E1720,0)</f>
        <v>0</v>
      </c>
      <c r="K1720" s="32" t="n">
        <f aca="false">IF(G1720&gt;0,H1720/G1720,0)</f>
        <v>-0</v>
      </c>
      <c r="L1720" s="59" t="n">
        <f aca="false">H1720/Settings!$B$16</f>
        <v>-0</v>
      </c>
      <c r="M1720" s="59" t="n">
        <f aca="false">H1720/Settings!$B$20</f>
        <v>-0</v>
      </c>
      <c r="N1720" s="60" t="n">
        <f aca="false">E1720*Settings!$B$3</f>
        <v>0.0619723021596408</v>
      </c>
      <c r="O1720" s="60" t="n">
        <f aca="false">IF(E1720&gt;0,(F1720-N1720)/SQRT(E1720*Settings!$B$3*(1-Settings!$B$3)),0)</f>
        <v>-0.252891261535318</v>
      </c>
      <c r="P1720" s="60" t="n">
        <f aca="false">MAX(0,F1720-N1720)</f>
        <v>0</v>
      </c>
      <c r="Q1720" s="32" t="n">
        <f aca="false">(F1720+Settings!$B$7*Settings!$B$3)/(E1720+Settings!$B$7)</f>
        <v>0.0290495166373316</v>
      </c>
      <c r="R1720" s="61" t="n">
        <f aca="false">PERCENTRANK($H$2:$H$1780,H1720,6)</f>
        <v>0</v>
      </c>
      <c r="S1720" s="61" t="n">
        <f aca="false">PERCENTRANK($Q$2:$Q$1780,Q1720,6)</f>
        <v>0.365579</v>
      </c>
      <c r="T1720" s="61" t="n">
        <f aca="false">PERCENTRANK($F$2:$F$1780,F1720,6)</f>
        <v>0</v>
      </c>
      <c r="U1720" s="62" t="n">
        <f aca="false">IF(F1720&gt;0,(Settings!$B$8*T1720+Settings!$B$9*R1720+Settings!$B$10*S1720)/SUM(Settings!$B$8:$B$10),0)</f>
        <v>0</v>
      </c>
      <c r="V1720" s="56" t="str">
        <f aca="false">IF(U1720&gt;0,RANK(U1720,$U$2:$U$1780)+COUNTIF($U$2:U1720,U1720)-1,"")</f>
        <v/>
      </c>
      <c r="W1720" s="56" t="str">
        <f aca="false">IF(V1720="","",IF(V1720&lt;=Settings!$B$11,"1 - Fix first",IF(V1720&lt;=Settings!$B$12,"2 - Review","3 - Monitor")))</f>
        <v/>
      </c>
      <c r="X1720" s="56" t="str">
        <f aca="false">IF(AND(E1720&gt;=Settings!$B$4,F1720&gt;=Settings!$B$5,O1720&gt;=Settings!$B$6),"HIGH RATE","")</f>
        <v/>
      </c>
      <c r="Y1720" s="56" t="str">
        <f aca="false">IF(F1720&gt;0,RANK(F1720,$F$2:$F$1780)+COUNTIF($F$2:F1720,F1720)-1,"")</f>
        <v/>
      </c>
      <c r="Z1720" s="56" t="str">
        <f aca="false">IF(H1720&gt;0,RANK(H1720,$H$2:$H$1780)+COUNTIF($H$2:H1720,H1720)-1,"")</f>
        <v/>
      </c>
      <c r="AA1720" s="56" t="str">
        <f aca="false">IF(AC1720="","",RANK(AC1720,$AC$2:$AC$1780)+COUNTIF($AC$2:AC1720,AC1720)-1)</f>
        <v/>
      </c>
      <c r="AB1720" s="56" t="str">
        <f aca="false">IF(AD1720="","",RANK(AD1720,$AD$2:$AD$1780)+COUNTIF($AD$2:AD1720,AD1720)-1)</f>
        <v/>
      </c>
      <c r="AC1720" s="56" t="str">
        <f aca="false">IF(AND(F1720&gt;0,E1720&gt;=Settings!$B$4),J1720,"")</f>
        <v/>
      </c>
      <c r="AD1720" s="56" t="str">
        <f aca="false">IF(X1720="HIGH RATE",O1720,"")</f>
        <v/>
      </c>
    </row>
    <row r="1721" customFormat="false" ht="15" hidden="false" customHeight="false" outlineLevel="0" collapsed="false">
      <c r="A1721" s="56" t="s">
        <v>827</v>
      </c>
      <c r="B1721" s="56" t="s">
        <v>828</v>
      </c>
      <c r="C1721" s="56" t="s">
        <v>826</v>
      </c>
      <c r="D1721" s="56" t="str">
        <f aca="false">IFERROR(INDEX('Brand Map'!$B$4:$B$124,MATCH(C1721,'Brand Map'!$A$4:$A$124,0)),"Other")</f>
        <v>Free / add-on / admin items</v>
      </c>
      <c r="E1721" s="57" t="n">
        <v>2</v>
      </c>
      <c r="F1721" s="57" t="n">
        <v>0</v>
      </c>
      <c r="G1721" s="58" t="n">
        <v>15</v>
      </c>
      <c r="H1721" s="58" t="n">
        <v>0</v>
      </c>
      <c r="I1721" s="58" t="n">
        <v>15</v>
      </c>
      <c r="J1721" s="32" t="n">
        <f aca="false">IF(E1721&gt;0,F1721/E1721,0)</f>
        <v>0</v>
      </c>
      <c r="K1721" s="32" t="n">
        <f aca="false">IF(G1721&gt;0,H1721/G1721,0)</f>
        <v>-0</v>
      </c>
      <c r="L1721" s="59" t="n">
        <f aca="false">H1721/Settings!$B$16</f>
        <v>-0</v>
      </c>
      <c r="M1721" s="59" t="n">
        <f aca="false">H1721/Settings!$B$20</f>
        <v>-0</v>
      </c>
      <c r="N1721" s="60" t="n">
        <f aca="false">E1721*Settings!$B$3</f>
        <v>0.0619723021596408</v>
      </c>
      <c r="O1721" s="60" t="n">
        <f aca="false">IF(E1721&gt;0,(F1721-N1721)/SQRT(E1721*Settings!$B$3*(1-Settings!$B$3)),0)</f>
        <v>-0.252891261535318</v>
      </c>
      <c r="P1721" s="60" t="n">
        <f aca="false">MAX(0,F1721-N1721)</f>
        <v>0</v>
      </c>
      <c r="Q1721" s="32" t="n">
        <f aca="false">(F1721+Settings!$B$7*Settings!$B$3)/(E1721+Settings!$B$7)</f>
        <v>0.0290495166373316</v>
      </c>
      <c r="R1721" s="61" t="n">
        <f aca="false">PERCENTRANK($H$2:$H$1780,H1721,6)</f>
        <v>0</v>
      </c>
      <c r="S1721" s="61" t="n">
        <f aca="false">PERCENTRANK($Q$2:$Q$1780,Q1721,6)</f>
        <v>0.365579</v>
      </c>
      <c r="T1721" s="61" t="n">
        <f aca="false">PERCENTRANK($F$2:$F$1780,F1721,6)</f>
        <v>0</v>
      </c>
      <c r="U1721" s="62" t="n">
        <f aca="false">IF(F1721&gt;0,(Settings!$B$8*T1721+Settings!$B$9*R1721+Settings!$B$10*S1721)/SUM(Settings!$B$8:$B$10),0)</f>
        <v>0</v>
      </c>
      <c r="V1721" s="56" t="str">
        <f aca="false">IF(U1721&gt;0,RANK(U1721,$U$2:$U$1780)+COUNTIF($U$2:U1721,U1721)-1,"")</f>
        <v/>
      </c>
      <c r="W1721" s="56" t="str">
        <f aca="false">IF(V1721="","",IF(V1721&lt;=Settings!$B$11,"1 - Fix first",IF(V1721&lt;=Settings!$B$12,"2 - Review","3 - Monitor")))</f>
        <v/>
      </c>
      <c r="X1721" s="56" t="str">
        <f aca="false">IF(AND(E1721&gt;=Settings!$B$4,F1721&gt;=Settings!$B$5,O1721&gt;=Settings!$B$6),"HIGH RATE","")</f>
        <v/>
      </c>
      <c r="Y1721" s="56" t="str">
        <f aca="false">IF(F1721&gt;0,RANK(F1721,$F$2:$F$1780)+COUNTIF($F$2:F1721,F1721)-1,"")</f>
        <v/>
      </c>
      <c r="Z1721" s="56" t="str">
        <f aca="false">IF(H1721&gt;0,RANK(H1721,$H$2:$H$1780)+COUNTIF($H$2:H1721,H1721)-1,"")</f>
        <v/>
      </c>
      <c r="AA1721" s="56" t="str">
        <f aca="false">IF(AC1721="","",RANK(AC1721,$AC$2:$AC$1780)+COUNTIF($AC$2:AC1721,AC1721)-1)</f>
        <v/>
      </c>
      <c r="AB1721" s="56" t="str">
        <f aca="false">IF(AD1721="","",RANK(AD1721,$AD$2:$AD$1780)+COUNTIF($AD$2:AD1721,AD1721)-1)</f>
        <v/>
      </c>
      <c r="AC1721" s="56" t="str">
        <f aca="false">IF(AND(F1721&gt;0,E1721&gt;=Settings!$B$4),J1721,"")</f>
        <v/>
      </c>
      <c r="AD1721" s="56" t="str">
        <f aca="false">IF(X1721="HIGH RATE",O1721,"")</f>
        <v/>
      </c>
    </row>
    <row r="1722" customFormat="false" ht="15" hidden="false" customHeight="false" outlineLevel="0" collapsed="false">
      <c r="A1722" s="56" t="s">
        <v>3243</v>
      </c>
      <c r="B1722" s="56" t="s">
        <v>769</v>
      </c>
      <c r="C1722" s="56" t="s">
        <v>767</v>
      </c>
      <c r="D1722" s="56" t="str">
        <f aca="false">IFERROR(INDEX('Brand Map'!$B$4:$B$124,MATCH(C1722,'Brand Map'!$A$4:$A$124,0)),"Other")</f>
        <v>Other (small prefixes)</v>
      </c>
      <c r="E1722" s="57" t="n">
        <v>1</v>
      </c>
      <c r="F1722" s="57" t="n">
        <v>0</v>
      </c>
      <c r="G1722" s="58" t="n">
        <v>69.95</v>
      </c>
      <c r="H1722" s="58" t="n">
        <v>0</v>
      </c>
      <c r="I1722" s="58" t="n">
        <v>69.95</v>
      </c>
      <c r="J1722" s="32" t="n">
        <f aca="false">IF(E1722&gt;0,F1722/E1722,0)</f>
        <v>0</v>
      </c>
      <c r="K1722" s="32" t="n">
        <f aca="false">IF(G1722&gt;0,H1722/G1722,0)</f>
        <v>-0</v>
      </c>
      <c r="L1722" s="59" t="n">
        <f aca="false">H1722/Settings!$B$16</f>
        <v>-0</v>
      </c>
      <c r="M1722" s="59" t="n">
        <f aca="false">H1722/Settings!$B$20</f>
        <v>-0</v>
      </c>
      <c r="N1722" s="60" t="n">
        <f aca="false">E1722*Settings!$B$3</f>
        <v>0.0309861510798204</v>
      </c>
      <c r="O1722" s="60" t="n">
        <f aca="false">IF(E1722&gt;0,(F1722-N1722)/SQRT(E1722*Settings!$B$3*(1-Settings!$B$3)),0)</f>
        <v>-0.178821125934444</v>
      </c>
      <c r="P1722" s="60" t="n">
        <f aca="false">MAX(0,F1722-N1722)</f>
        <v>0</v>
      </c>
      <c r="Q1722" s="32" t="n">
        <f aca="false">(F1722+Settings!$B$7*Settings!$B$3)/(E1722+Settings!$B$7)</f>
        <v>0.0299865978191811</v>
      </c>
      <c r="R1722" s="61" t="n">
        <f aca="false">PERCENTRANK($H$2:$H$1780,H1722,6)</f>
        <v>0</v>
      </c>
      <c r="S1722" s="61" t="n">
        <f aca="false">PERCENTRANK($Q$2:$Q$1780,Q1722,6)</f>
        <v>0.486502</v>
      </c>
      <c r="T1722" s="61" t="n">
        <f aca="false">PERCENTRANK($F$2:$F$1780,F1722,6)</f>
        <v>0</v>
      </c>
      <c r="U1722" s="62" t="n">
        <f aca="false">IF(F1722&gt;0,(Settings!$B$8*T1722+Settings!$B$9*R1722+Settings!$B$10*S1722)/SUM(Settings!$B$8:$B$10),0)</f>
        <v>0</v>
      </c>
      <c r="V1722" s="56" t="str">
        <f aca="false">IF(U1722&gt;0,RANK(U1722,$U$2:$U$1780)+COUNTIF($U$2:U1722,U1722)-1,"")</f>
        <v/>
      </c>
      <c r="W1722" s="56" t="str">
        <f aca="false">IF(V1722="","",IF(V1722&lt;=Settings!$B$11,"1 - Fix first",IF(V1722&lt;=Settings!$B$12,"2 - Review","3 - Monitor")))</f>
        <v/>
      </c>
      <c r="X1722" s="56" t="str">
        <f aca="false">IF(AND(E1722&gt;=Settings!$B$4,F1722&gt;=Settings!$B$5,O1722&gt;=Settings!$B$6),"HIGH RATE","")</f>
        <v/>
      </c>
      <c r="Y1722" s="56" t="str">
        <f aca="false">IF(F1722&gt;0,RANK(F1722,$F$2:$F$1780)+COUNTIF($F$2:F1722,F1722)-1,"")</f>
        <v/>
      </c>
      <c r="Z1722" s="56" t="str">
        <f aca="false">IF(H1722&gt;0,RANK(H1722,$H$2:$H$1780)+COUNTIF($H$2:H1722,H1722)-1,"")</f>
        <v/>
      </c>
      <c r="AA1722" s="56" t="str">
        <f aca="false">IF(AC1722="","",RANK(AC1722,$AC$2:$AC$1780)+COUNTIF($AC$2:AC1722,AC1722)-1)</f>
        <v/>
      </c>
      <c r="AB1722" s="56" t="str">
        <f aca="false">IF(AD1722="","",RANK(AD1722,$AD$2:$AD$1780)+COUNTIF($AD$2:AD1722,AD1722)-1)</f>
        <v/>
      </c>
      <c r="AC1722" s="56" t="str">
        <f aca="false">IF(AND(F1722&gt;0,E1722&gt;=Settings!$B$4),J1722,"")</f>
        <v/>
      </c>
      <c r="AD1722" s="56" t="str">
        <f aca="false">IF(X1722="HIGH RATE",O1722,"")</f>
        <v/>
      </c>
    </row>
    <row r="1723" customFormat="false" ht="15" hidden="false" customHeight="false" outlineLevel="0" collapsed="false">
      <c r="A1723" s="56" t="s">
        <v>768</v>
      </c>
      <c r="B1723" s="56" t="s">
        <v>769</v>
      </c>
      <c r="C1723" s="56" t="s">
        <v>767</v>
      </c>
      <c r="D1723" s="56" t="str">
        <f aca="false">IFERROR(INDEX('Brand Map'!$B$4:$B$124,MATCH(C1723,'Brand Map'!$A$4:$A$124,0)),"Other")</f>
        <v>Other (small prefixes)</v>
      </c>
      <c r="E1723" s="57" t="n">
        <v>1</v>
      </c>
      <c r="F1723" s="57" t="n">
        <v>0</v>
      </c>
      <c r="G1723" s="58" t="n">
        <v>84.95</v>
      </c>
      <c r="H1723" s="58" t="n">
        <v>0</v>
      </c>
      <c r="I1723" s="58" t="n">
        <v>84.95</v>
      </c>
      <c r="J1723" s="32" t="n">
        <f aca="false">IF(E1723&gt;0,F1723/E1723,0)</f>
        <v>0</v>
      </c>
      <c r="K1723" s="32" t="n">
        <f aca="false">IF(G1723&gt;0,H1723/G1723,0)</f>
        <v>-0</v>
      </c>
      <c r="L1723" s="59" t="n">
        <f aca="false">H1723/Settings!$B$16</f>
        <v>-0</v>
      </c>
      <c r="M1723" s="59" t="n">
        <f aca="false">H1723/Settings!$B$20</f>
        <v>-0</v>
      </c>
      <c r="N1723" s="60" t="n">
        <f aca="false">E1723*Settings!$B$3</f>
        <v>0.0309861510798204</v>
      </c>
      <c r="O1723" s="60" t="n">
        <f aca="false">IF(E1723&gt;0,(F1723-N1723)/SQRT(E1723*Settings!$B$3*(1-Settings!$B$3)),0)</f>
        <v>-0.178821125934444</v>
      </c>
      <c r="P1723" s="60" t="n">
        <f aca="false">MAX(0,F1723-N1723)</f>
        <v>0</v>
      </c>
      <c r="Q1723" s="32" t="n">
        <f aca="false">(F1723+Settings!$B$7*Settings!$B$3)/(E1723+Settings!$B$7)</f>
        <v>0.0299865978191811</v>
      </c>
      <c r="R1723" s="61" t="n">
        <f aca="false">PERCENTRANK($H$2:$H$1780,H1723,6)</f>
        <v>0</v>
      </c>
      <c r="S1723" s="61" t="n">
        <f aca="false">PERCENTRANK($Q$2:$Q$1780,Q1723,6)</f>
        <v>0.486502</v>
      </c>
      <c r="T1723" s="61" t="n">
        <f aca="false">PERCENTRANK($F$2:$F$1780,F1723,6)</f>
        <v>0</v>
      </c>
      <c r="U1723" s="62" t="n">
        <f aca="false">IF(F1723&gt;0,(Settings!$B$8*T1723+Settings!$B$9*R1723+Settings!$B$10*S1723)/SUM(Settings!$B$8:$B$10),0)</f>
        <v>0</v>
      </c>
      <c r="V1723" s="56" t="str">
        <f aca="false">IF(U1723&gt;0,RANK(U1723,$U$2:$U$1780)+COUNTIF($U$2:U1723,U1723)-1,"")</f>
        <v/>
      </c>
      <c r="W1723" s="56" t="str">
        <f aca="false">IF(V1723="","",IF(V1723&lt;=Settings!$B$11,"1 - Fix first",IF(V1723&lt;=Settings!$B$12,"2 - Review","3 - Monitor")))</f>
        <v/>
      </c>
      <c r="X1723" s="56" t="str">
        <f aca="false">IF(AND(E1723&gt;=Settings!$B$4,F1723&gt;=Settings!$B$5,O1723&gt;=Settings!$B$6),"HIGH RATE","")</f>
        <v/>
      </c>
      <c r="Y1723" s="56" t="str">
        <f aca="false">IF(F1723&gt;0,RANK(F1723,$F$2:$F$1780)+COUNTIF($F$2:F1723,F1723)-1,"")</f>
        <v/>
      </c>
      <c r="Z1723" s="56" t="str">
        <f aca="false">IF(H1723&gt;0,RANK(H1723,$H$2:$H$1780)+COUNTIF($H$2:H1723,H1723)-1,"")</f>
        <v/>
      </c>
      <c r="AA1723" s="56" t="str">
        <f aca="false">IF(AC1723="","",RANK(AC1723,$AC$2:$AC$1780)+COUNTIF($AC$2:AC1723,AC1723)-1)</f>
        <v/>
      </c>
      <c r="AB1723" s="56" t="str">
        <f aca="false">IF(AD1723="","",RANK(AD1723,$AD$2:$AD$1780)+COUNTIF($AD$2:AD1723,AD1723)-1)</f>
        <v/>
      </c>
      <c r="AC1723" s="56" t="str">
        <f aca="false">IF(AND(F1723&gt;0,E1723&gt;=Settings!$B$4),J1723,"")</f>
        <v/>
      </c>
      <c r="AD1723" s="56" t="str">
        <f aca="false">IF(X1723="HIGH RATE",O1723,"")</f>
        <v/>
      </c>
    </row>
    <row r="1724" customFormat="false" ht="15" hidden="false" customHeight="false" outlineLevel="0" collapsed="false">
      <c r="A1724" s="56" t="s">
        <v>3244</v>
      </c>
      <c r="B1724" s="56" t="s">
        <v>3245</v>
      </c>
      <c r="C1724" s="56" t="s">
        <v>767</v>
      </c>
      <c r="D1724" s="56" t="str">
        <f aca="false">IFERROR(INDEX('Brand Map'!$B$4:$B$124,MATCH(C1724,'Brand Map'!$A$4:$A$124,0)),"Other")</f>
        <v>Other (small prefixes)</v>
      </c>
      <c r="E1724" s="57" t="n">
        <v>1</v>
      </c>
      <c r="F1724" s="57" t="n">
        <v>0</v>
      </c>
      <c r="G1724" s="58" t="n">
        <v>59.95</v>
      </c>
      <c r="H1724" s="58" t="n">
        <v>0</v>
      </c>
      <c r="I1724" s="58" t="n">
        <v>59.95</v>
      </c>
      <c r="J1724" s="32" t="n">
        <f aca="false">IF(E1724&gt;0,F1724/E1724,0)</f>
        <v>0</v>
      </c>
      <c r="K1724" s="32" t="n">
        <f aca="false">IF(G1724&gt;0,H1724/G1724,0)</f>
        <v>-0</v>
      </c>
      <c r="L1724" s="59" t="n">
        <f aca="false">H1724/Settings!$B$16</f>
        <v>-0</v>
      </c>
      <c r="M1724" s="59" t="n">
        <f aca="false">H1724/Settings!$B$20</f>
        <v>-0</v>
      </c>
      <c r="N1724" s="60" t="n">
        <f aca="false">E1724*Settings!$B$3</f>
        <v>0.0309861510798204</v>
      </c>
      <c r="O1724" s="60" t="n">
        <f aca="false">IF(E1724&gt;0,(F1724-N1724)/SQRT(E1724*Settings!$B$3*(1-Settings!$B$3)),0)</f>
        <v>-0.178821125934444</v>
      </c>
      <c r="P1724" s="60" t="n">
        <f aca="false">MAX(0,F1724-N1724)</f>
        <v>0</v>
      </c>
      <c r="Q1724" s="32" t="n">
        <f aca="false">(F1724+Settings!$B$7*Settings!$B$3)/(E1724+Settings!$B$7)</f>
        <v>0.0299865978191811</v>
      </c>
      <c r="R1724" s="61" t="n">
        <f aca="false">PERCENTRANK($H$2:$H$1780,H1724,6)</f>
        <v>0</v>
      </c>
      <c r="S1724" s="61" t="n">
        <f aca="false">PERCENTRANK($Q$2:$Q$1780,Q1724,6)</f>
        <v>0.486502</v>
      </c>
      <c r="T1724" s="61" t="n">
        <f aca="false">PERCENTRANK($F$2:$F$1780,F1724,6)</f>
        <v>0</v>
      </c>
      <c r="U1724" s="62" t="n">
        <f aca="false">IF(F1724&gt;0,(Settings!$B$8*T1724+Settings!$B$9*R1724+Settings!$B$10*S1724)/SUM(Settings!$B$8:$B$10),0)</f>
        <v>0</v>
      </c>
      <c r="V1724" s="56" t="str">
        <f aca="false">IF(U1724&gt;0,RANK(U1724,$U$2:$U$1780)+COUNTIF($U$2:U1724,U1724)-1,"")</f>
        <v/>
      </c>
      <c r="W1724" s="56" t="str">
        <f aca="false">IF(V1724="","",IF(V1724&lt;=Settings!$B$11,"1 - Fix first",IF(V1724&lt;=Settings!$B$12,"2 - Review","3 - Monitor")))</f>
        <v/>
      </c>
      <c r="X1724" s="56" t="str">
        <f aca="false">IF(AND(E1724&gt;=Settings!$B$4,F1724&gt;=Settings!$B$5,O1724&gt;=Settings!$B$6),"HIGH RATE","")</f>
        <v/>
      </c>
      <c r="Y1724" s="56" t="str">
        <f aca="false">IF(F1724&gt;0,RANK(F1724,$F$2:$F$1780)+COUNTIF($F$2:F1724,F1724)-1,"")</f>
        <v/>
      </c>
      <c r="Z1724" s="56" t="str">
        <f aca="false">IF(H1724&gt;0,RANK(H1724,$H$2:$H$1780)+COUNTIF($H$2:H1724,H1724)-1,"")</f>
        <v/>
      </c>
      <c r="AA1724" s="56" t="str">
        <f aca="false">IF(AC1724="","",RANK(AC1724,$AC$2:$AC$1780)+COUNTIF($AC$2:AC1724,AC1724)-1)</f>
        <v/>
      </c>
      <c r="AB1724" s="56" t="str">
        <f aca="false">IF(AD1724="","",RANK(AD1724,$AD$2:$AD$1780)+COUNTIF($AD$2:AD1724,AD1724)-1)</f>
        <v/>
      </c>
      <c r="AC1724" s="56" t="str">
        <f aca="false">IF(AND(F1724&gt;0,E1724&gt;=Settings!$B$4),J1724,"")</f>
        <v/>
      </c>
      <c r="AD1724" s="56" t="str">
        <f aca="false">IF(X1724="HIGH RATE",O1724,"")</f>
        <v/>
      </c>
    </row>
    <row r="1725" customFormat="false" ht="15" hidden="false" customHeight="false" outlineLevel="0" collapsed="false">
      <c r="A1725" s="56" t="s">
        <v>3246</v>
      </c>
      <c r="B1725" s="56" t="s">
        <v>1636</v>
      </c>
      <c r="C1725" s="56" t="s">
        <v>142</v>
      </c>
      <c r="D1725" s="56" t="str">
        <f aca="false">IFERROR(INDEX('Brand Map'!$B$4:$B$124,MATCH(C1725,'Brand Map'!$A$4:$A$124,0)),"Other")</f>
        <v>RBC</v>
      </c>
      <c r="E1725" s="57" t="n">
        <v>1</v>
      </c>
      <c r="F1725" s="57" t="n">
        <v>0</v>
      </c>
      <c r="G1725" s="58" t="n">
        <v>159.95</v>
      </c>
      <c r="H1725" s="58" t="n">
        <v>0</v>
      </c>
      <c r="I1725" s="58" t="n">
        <v>159.95</v>
      </c>
      <c r="J1725" s="32" t="n">
        <f aca="false">IF(E1725&gt;0,F1725/E1725,0)</f>
        <v>0</v>
      </c>
      <c r="K1725" s="32" t="n">
        <f aca="false">IF(G1725&gt;0,H1725/G1725,0)</f>
        <v>-0</v>
      </c>
      <c r="L1725" s="59" t="n">
        <f aca="false">H1725/Settings!$B$16</f>
        <v>-0</v>
      </c>
      <c r="M1725" s="59" t="n">
        <f aca="false">H1725/Settings!$B$20</f>
        <v>-0</v>
      </c>
      <c r="N1725" s="60" t="n">
        <f aca="false">E1725*Settings!$B$3</f>
        <v>0.0309861510798204</v>
      </c>
      <c r="O1725" s="60" t="n">
        <f aca="false">IF(E1725&gt;0,(F1725-N1725)/SQRT(E1725*Settings!$B$3*(1-Settings!$B$3)),0)</f>
        <v>-0.178821125934444</v>
      </c>
      <c r="P1725" s="60" t="n">
        <f aca="false">MAX(0,F1725-N1725)</f>
        <v>0</v>
      </c>
      <c r="Q1725" s="32" t="n">
        <f aca="false">(F1725+Settings!$B$7*Settings!$B$3)/(E1725+Settings!$B$7)</f>
        <v>0.0299865978191811</v>
      </c>
      <c r="R1725" s="61" t="n">
        <f aca="false">PERCENTRANK($H$2:$H$1780,H1725,6)</f>
        <v>0</v>
      </c>
      <c r="S1725" s="61" t="n">
        <f aca="false">PERCENTRANK($Q$2:$Q$1780,Q1725,6)</f>
        <v>0.486502</v>
      </c>
      <c r="T1725" s="61" t="n">
        <f aca="false">PERCENTRANK($F$2:$F$1780,F1725,6)</f>
        <v>0</v>
      </c>
      <c r="U1725" s="62" t="n">
        <f aca="false">IF(F1725&gt;0,(Settings!$B$8*T1725+Settings!$B$9*R1725+Settings!$B$10*S1725)/SUM(Settings!$B$8:$B$10),0)</f>
        <v>0</v>
      </c>
      <c r="V1725" s="56" t="str">
        <f aca="false">IF(U1725&gt;0,RANK(U1725,$U$2:$U$1780)+COUNTIF($U$2:U1725,U1725)-1,"")</f>
        <v/>
      </c>
      <c r="W1725" s="56" t="str">
        <f aca="false">IF(V1725="","",IF(V1725&lt;=Settings!$B$11,"1 - Fix first",IF(V1725&lt;=Settings!$B$12,"2 - Review","3 - Monitor")))</f>
        <v/>
      </c>
      <c r="X1725" s="56" t="str">
        <f aca="false">IF(AND(E1725&gt;=Settings!$B$4,F1725&gt;=Settings!$B$5,O1725&gt;=Settings!$B$6),"HIGH RATE","")</f>
        <v/>
      </c>
      <c r="Y1725" s="56" t="str">
        <f aca="false">IF(F1725&gt;0,RANK(F1725,$F$2:$F$1780)+COUNTIF($F$2:F1725,F1725)-1,"")</f>
        <v/>
      </c>
      <c r="Z1725" s="56" t="str">
        <f aca="false">IF(H1725&gt;0,RANK(H1725,$H$2:$H$1780)+COUNTIF($H$2:H1725,H1725)-1,"")</f>
        <v/>
      </c>
      <c r="AA1725" s="56" t="str">
        <f aca="false">IF(AC1725="","",RANK(AC1725,$AC$2:$AC$1780)+COUNTIF($AC$2:AC1725,AC1725)-1)</f>
        <v/>
      </c>
      <c r="AB1725" s="56" t="str">
        <f aca="false">IF(AD1725="","",RANK(AD1725,$AD$2:$AD$1780)+COUNTIF($AD$2:AD1725,AD1725)-1)</f>
        <v/>
      </c>
      <c r="AC1725" s="56" t="str">
        <f aca="false">IF(AND(F1725&gt;0,E1725&gt;=Settings!$B$4),J1725,"")</f>
        <v/>
      </c>
      <c r="AD1725" s="56" t="str">
        <f aca="false">IF(X1725="HIGH RATE",O1725,"")</f>
        <v/>
      </c>
    </row>
    <row r="1726" customFormat="false" ht="15" hidden="false" customHeight="false" outlineLevel="0" collapsed="false">
      <c r="A1726" s="56" t="s">
        <v>3247</v>
      </c>
      <c r="B1726" s="56" t="s">
        <v>3248</v>
      </c>
      <c r="C1726" s="56" t="s">
        <v>707</v>
      </c>
      <c r="D1726" s="56" t="str">
        <f aca="false">IFERROR(INDEX('Brand Map'!$B$4:$B$124,MATCH(C1726,'Brand Map'!$A$4:$A$124,0)),"Other")</f>
        <v>Other (small prefixes)</v>
      </c>
      <c r="E1726" s="57" t="n">
        <v>8</v>
      </c>
      <c r="F1726" s="57" t="n">
        <v>0</v>
      </c>
      <c r="G1726" s="58" t="n">
        <v>457.52</v>
      </c>
      <c r="H1726" s="58" t="n">
        <v>0</v>
      </c>
      <c r="I1726" s="58" t="n">
        <v>457.52</v>
      </c>
      <c r="J1726" s="32" t="n">
        <f aca="false">IF(E1726&gt;0,F1726/E1726,0)</f>
        <v>0</v>
      </c>
      <c r="K1726" s="32" t="n">
        <f aca="false">IF(G1726&gt;0,H1726/G1726,0)</f>
        <v>-0</v>
      </c>
      <c r="L1726" s="59" t="n">
        <f aca="false">H1726/Settings!$B$16</f>
        <v>-0</v>
      </c>
      <c r="M1726" s="59" t="n">
        <f aca="false">H1726/Settings!$B$20</f>
        <v>-0</v>
      </c>
      <c r="N1726" s="60" t="n">
        <f aca="false">E1726*Settings!$B$3</f>
        <v>0.247889208638563</v>
      </c>
      <c r="O1726" s="60" t="n">
        <f aca="false">IF(E1726&gt;0,(F1726-N1726)/SQRT(E1726*Settings!$B$3*(1-Settings!$B$3)),0)</f>
        <v>-0.505782523070636</v>
      </c>
      <c r="P1726" s="60" t="n">
        <f aca="false">MAX(0,F1726-N1726)</f>
        <v>0</v>
      </c>
      <c r="Q1726" s="32" t="n">
        <f aca="false">(F1726+Settings!$B$7*Settings!$B$3)/(E1726+Settings!$B$7)</f>
        <v>0.0244627508524898</v>
      </c>
      <c r="R1726" s="61" t="n">
        <f aca="false">PERCENTRANK($H$2:$H$1780,H1726,6)</f>
        <v>0</v>
      </c>
      <c r="S1726" s="61" t="n">
        <f aca="false">PERCENTRANK($Q$2:$Q$1780,Q1726,6)</f>
        <v>0.154668</v>
      </c>
      <c r="T1726" s="61" t="n">
        <f aca="false">PERCENTRANK($F$2:$F$1780,F1726,6)</f>
        <v>0</v>
      </c>
      <c r="U1726" s="62" t="n">
        <f aca="false">IF(F1726&gt;0,(Settings!$B$8*T1726+Settings!$B$9*R1726+Settings!$B$10*S1726)/SUM(Settings!$B$8:$B$10),0)</f>
        <v>0</v>
      </c>
      <c r="V1726" s="56" t="str">
        <f aca="false">IF(U1726&gt;0,RANK(U1726,$U$2:$U$1780)+COUNTIF($U$2:U1726,U1726)-1,"")</f>
        <v/>
      </c>
      <c r="W1726" s="56" t="str">
        <f aca="false">IF(V1726="","",IF(V1726&lt;=Settings!$B$11,"1 - Fix first",IF(V1726&lt;=Settings!$B$12,"2 - Review","3 - Monitor")))</f>
        <v/>
      </c>
      <c r="X1726" s="56" t="str">
        <f aca="false">IF(AND(E1726&gt;=Settings!$B$4,F1726&gt;=Settings!$B$5,O1726&gt;=Settings!$B$6),"HIGH RATE","")</f>
        <v/>
      </c>
      <c r="Y1726" s="56" t="str">
        <f aca="false">IF(F1726&gt;0,RANK(F1726,$F$2:$F$1780)+COUNTIF($F$2:F1726,F1726)-1,"")</f>
        <v/>
      </c>
      <c r="Z1726" s="56" t="str">
        <f aca="false">IF(H1726&gt;0,RANK(H1726,$H$2:$H$1780)+COUNTIF($H$2:H1726,H1726)-1,"")</f>
        <v/>
      </c>
      <c r="AA1726" s="56" t="str">
        <f aca="false">IF(AC1726="","",RANK(AC1726,$AC$2:$AC$1780)+COUNTIF($AC$2:AC1726,AC1726)-1)</f>
        <v/>
      </c>
      <c r="AB1726" s="56" t="str">
        <f aca="false">IF(AD1726="","",RANK(AD1726,$AD$2:$AD$1780)+COUNTIF($AD$2:AD1726,AD1726)-1)</f>
        <v/>
      </c>
      <c r="AC1726" s="56" t="str">
        <f aca="false">IF(AND(F1726&gt;0,E1726&gt;=Settings!$B$4),J1726,"")</f>
        <v/>
      </c>
      <c r="AD1726" s="56" t="str">
        <f aca="false">IF(X1726="HIGH RATE",O1726,"")</f>
        <v/>
      </c>
    </row>
    <row r="1727" customFormat="false" ht="15" hidden="false" customHeight="false" outlineLevel="0" collapsed="false">
      <c r="A1727" s="56" t="s">
        <v>3249</v>
      </c>
      <c r="B1727" s="56" t="s">
        <v>3248</v>
      </c>
      <c r="C1727" s="56" t="s">
        <v>707</v>
      </c>
      <c r="D1727" s="56" t="str">
        <f aca="false">IFERROR(INDEX('Brand Map'!$B$4:$B$124,MATCH(C1727,'Brand Map'!$A$4:$A$124,0)),"Other")</f>
        <v>Other (small prefixes)</v>
      </c>
      <c r="E1727" s="57" t="n">
        <v>2</v>
      </c>
      <c r="F1727" s="57" t="n">
        <v>0</v>
      </c>
      <c r="G1727" s="58" t="n">
        <v>59.9</v>
      </c>
      <c r="H1727" s="58" t="n">
        <v>0</v>
      </c>
      <c r="I1727" s="58" t="n">
        <v>59.9</v>
      </c>
      <c r="J1727" s="32" t="n">
        <f aca="false">IF(E1727&gt;0,F1727/E1727,0)</f>
        <v>0</v>
      </c>
      <c r="K1727" s="32" t="n">
        <f aca="false">IF(G1727&gt;0,H1727/G1727,0)</f>
        <v>-0</v>
      </c>
      <c r="L1727" s="59" t="n">
        <f aca="false">H1727/Settings!$B$16</f>
        <v>-0</v>
      </c>
      <c r="M1727" s="59" t="n">
        <f aca="false">H1727/Settings!$B$20</f>
        <v>-0</v>
      </c>
      <c r="N1727" s="60" t="n">
        <f aca="false">E1727*Settings!$B$3</f>
        <v>0.0619723021596408</v>
      </c>
      <c r="O1727" s="60" t="n">
        <f aca="false">IF(E1727&gt;0,(F1727-N1727)/SQRT(E1727*Settings!$B$3*(1-Settings!$B$3)),0)</f>
        <v>-0.252891261535318</v>
      </c>
      <c r="P1727" s="60" t="n">
        <f aca="false">MAX(0,F1727-N1727)</f>
        <v>0</v>
      </c>
      <c r="Q1727" s="32" t="n">
        <f aca="false">(F1727+Settings!$B$7*Settings!$B$3)/(E1727+Settings!$B$7)</f>
        <v>0.0290495166373316</v>
      </c>
      <c r="R1727" s="61" t="n">
        <f aca="false">PERCENTRANK($H$2:$H$1780,H1727,6)</f>
        <v>0</v>
      </c>
      <c r="S1727" s="61" t="n">
        <f aca="false">PERCENTRANK($Q$2:$Q$1780,Q1727,6)</f>
        <v>0.365579</v>
      </c>
      <c r="T1727" s="61" t="n">
        <f aca="false">PERCENTRANK($F$2:$F$1780,F1727,6)</f>
        <v>0</v>
      </c>
      <c r="U1727" s="62" t="n">
        <f aca="false">IF(F1727&gt;0,(Settings!$B$8*T1727+Settings!$B$9*R1727+Settings!$B$10*S1727)/SUM(Settings!$B$8:$B$10),0)</f>
        <v>0</v>
      </c>
      <c r="V1727" s="56" t="str">
        <f aca="false">IF(U1727&gt;0,RANK(U1727,$U$2:$U$1780)+COUNTIF($U$2:U1727,U1727)-1,"")</f>
        <v/>
      </c>
      <c r="W1727" s="56" t="str">
        <f aca="false">IF(V1727="","",IF(V1727&lt;=Settings!$B$11,"1 - Fix first",IF(V1727&lt;=Settings!$B$12,"2 - Review","3 - Monitor")))</f>
        <v/>
      </c>
      <c r="X1727" s="56" t="str">
        <f aca="false">IF(AND(E1727&gt;=Settings!$B$4,F1727&gt;=Settings!$B$5,O1727&gt;=Settings!$B$6),"HIGH RATE","")</f>
        <v/>
      </c>
      <c r="Y1727" s="56" t="str">
        <f aca="false">IF(F1727&gt;0,RANK(F1727,$F$2:$F$1780)+COUNTIF($F$2:F1727,F1727)-1,"")</f>
        <v/>
      </c>
      <c r="Z1727" s="56" t="str">
        <f aca="false">IF(H1727&gt;0,RANK(H1727,$H$2:$H$1780)+COUNTIF($H$2:H1727,H1727)-1,"")</f>
        <v/>
      </c>
      <c r="AA1727" s="56" t="str">
        <f aca="false">IF(AC1727="","",RANK(AC1727,$AC$2:$AC$1780)+COUNTIF($AC$2:AC1727,AC1727)-1)</f>
        <v/>
      </c>
      <c r="AB1727" s="56" t="str">
        <f aca="false">IF(AD1727="","",RANK(AD1727,$AD$2:$AD$1780)+COUNTIF($AD$2:AD1727,AD1727)-1)</f>
        <v/>
      </c>
      <c r="AC1727" s="56" t="str">
        <f aca="false">IF(AND(F1727&gt;0,E1727&gt;=Settings!$B$4),J1727,"")</f>
        <v/>
      </c>
      <c r="AD1727" s="56" t="str">
        <f aca="false">IF(X1727="HIGH RATE",O1727,"")</f>
        <v/>
      </c>
    </row>
    <row r="1728" customFormat="false" ht="15" hidden="false" customHeight="false" outlineLevel="0" collapsed="false">
      <c r="A1728" s="56" t="s">
        <v>3250</v>
      </c>
      <c r="B1728" s="56" t="s">
        <v>709</v>
      </c>
      <c r="C1728" s="56" t="s">
        <v>707</v>
      </c>
      <c r="D1728" s="56" t="str">
        <f aca="false">IFERROR(INDEX('Brand Map'!$B$4:$B$124,MATCH(C1728,'Brand Map'!$A$4:$A$124,0)),"Other")</f>
        <v>Other (small prefixes)</v>
      </c>
      <c r="E1728" s="57" t="n">
        <v>1</v>
      </c>
      <c r="F1728" s="57" t="n">
        <v>0</v>
      </c>
      <c r="G1728" s="58" t="n">
        <v>54.95</v>
      </c>
      <c r="H1728" s="58" t="n">
        <v>0</v>
      </c>
      <c r="I1728" s="58" t="n">
        <v>54.95</v>
      </c>
      <c r="J1728" s="32" t="n">
        <f aca="false">IF(E1728&gt;0,F1728/E1728,0)</f>
        <v>0</v>
      </c>
      <c r="K1728" s="32" t="n">
        <f aca="false">IF(G1728&gt;0,H1728/G1728,0)</f>
        <v>-0</v>
      </c>
      <c r="L1728" s="59" t="n">
        <f aca="false">H1728/Settings!$B$16</f>
        <v>-0</v>
      </c>
      <c r="M1728" s="59" t="n">
        <f aca="false">H1728/Settings!$B$20</f>
        <v>-0</v>
      </c>
      <c r="N1728" s="60" t="n">
        <f aca="false">E1728*Settings!$B$3</f>
        <v>0.0309861510798204</v>
      </c>
      <c r="O1728" s="60" t="n">
        <f aca="false">IF(E1728&gt;0,(F1728-N1728)/SQRT(E1728*Settings!$B$3*(1-Settings!$B$3)),0)</f>
        <v>-0.178821125934444</v>
      </c>
      <c r="P1728" s="60" t="n">
        <f aca="false">MAX(0,F1728-N1728)</f>
        <v>0</v>
      </c>
      <c r="Q1728" s="32" t="n">
        <f aca="false">(F1728+Settings!$B$7*Settings!$B$3)/(E1728+Settings!$B$7)</f>
        <v>0.0299865978191811</v>
      </c>
      <c r="R1728" s="61" t="n">
        <f aca="false">PERCENTRANK($H$2:$H$1780,H1728,6)</f>
        <v>0</v>
      </c>
      <c r="S1728" s="61" t="n">
        <f aca="false">PERCENTRANK($Q$2:$Q$1780,Q1728,6)</f>
        <v>0.486502</v>
      </c>
      <c r="T1728" s="61" t="n">
        <f aca="false">PERCENTRANK($F$2:$F$1780,F1728,6)</f>
        <v>0</v>
      </c>
      <c r="U1728" s="62" t="n">
        <f aca="false">IF(F1728&gt;0,(Settings!$B$8*T1728+Settings!$B$9*R1728+Settings!$B$10*S1728)/SUM(Settings!$B$8:$B$10),0)</f>
        <v>0</v>
      </c>
      <c r="V1728" s="56" t="str">
        <f aca="false">IF(U1728&gt;0,RANK(U1728,$U$2:$U$1780)+COUNTIF($U$2:U1728,U1728)-1,"")</f>
        <v/>
      </c>
      <c r="W1728" s="56" t="str">
        <f aca="false">IF(V1728="","",IF(V1728&lt;=Settings!$B$11,"1 - Fix first",IF(V1728&lt;=Settings!$B$12,"2 - Review","3 - Monitor")))</f>
        <v/>
      </c>
      <c r="X1728" s="56" t="str">
        <f aca="false">IF(AND(E1728&gt;=Settings!$B$4,F1728&gt;=Settings!$B$5,O1728&gt;=Settings!$B$6),"HIGH RATE","")</f>
        <v/>
      </c>
      <c r="Y1728" s="56" t="str">
        <f aca="false">IF(F1728&gt;0,RANK(F1728,$F$2:$F$1780)+COUNTIF($F$2:F1728,F1728)-1,"")</f>
        <v/>
      </c>
      <c r="Z1728" s="56" t="str">
        <f aca="false">IF(H1728&gt;0,RANK(H1728,$H$2:$H$1780)+COUNTIF($H$2:H1728,H1728)-1,"")</f>
        <v/>
      </c>
      <c r="AA1728" s="56" t="str">
        <f aca="false">IF(AC1728="","",RANK(AC1728,$AC$2:$AC$1780)+COUNTIF($AC$2:AC1728,AC1728)-1)</f>
        <v/>
      </c>
      <c r="AB1728" s="56" t="str">
        <f aca="false">IF(AD1728="","",RANK(AD1728,$AD$2:$AD$1780)+COUNTIF($AD$2:AD1728,AD1728)-1)</f>
        <v/>
      </c>
      <c r="AC1728" s="56" t="str">
        <f aca="false">IF(AND(F1728&gt;0,E1728&gt;=Settings!$B$4),J1728,"")</f>
        <v/>
      </c>
      <c r="AD1728" s="56" t="str">
        <f aca="false">IF(X1728="HIGH RATE",O1728,"")</f>
        <v/>
      </c>
    </row>
    <row r="1729" customFormat="false" ht="15" hidden="false" customHeight="false" outlineLevel="0" collapsed="false">
      <c r="A1729" s="56" t="s">
        <v>3251</v>
      </c>
      <c r="B1729" s="56" t="s">
        <v>709</v>
      </c>
      <c r="C1729" s="56" t="s">
        <v>707</v>
      </c>
      <c r="D1729" s="56" t="str">
        <f aca="false">IFERROR(INDEX('Brand Map'!$B$4:$B$124,MATCH(C1729,'Brand Map'!$A$4:$A$124,0)),"Other")</f>
        <v>Other (small prefixes)</v>
      </c>
      <c r="E1729" s="57" t="n">
        <v>1</v>
      </c>
      <c r="F1729" s="57" t="n">
        <v>0</v>
      </c>
      <c r="G1729" s="58" t="n">
        <v>39.95</v>
      </c>
      <c r="H1729" s="58" t="n">
        <v>0</v>
      </c>
      <c r="I1729" s="58" t="n">
        <v>39.95</v>
      </c>
      <c r="J1729" s="32" t="n">
        <f aca="false">IF(E1729&gt;0,F1729/E1729,0)</f>
        <v>0</v>
      </c>
      <c r="K1729" s="32" t="n">
        <f aca="false">IF(G1729&gt;0,H1729/G1729,0)</f>
        <v>-0</v>
      </c>
      <c r="L1729" s="59" t="n">
        <f aca="false">H1729/Settings!$B$16</f>
        <v>-0</v>
      </c>
      <c r="M1729" s="59" t="n">
        <f aca="false">H1729/Settings!$B$20</f>
        <v>-0</v>
      </c>
      <c r="N1729" s="60" t="n">
        <f aca="false">E1729*Settings!$B$3</f>
        <v>0.0309861510798204</v>
      </c>
      <c r="O1729" s="60" t="n">
        <f aca="false">IF(E1729&gt;0,(F1729-N1729)/SQRT(E1729*Settings!$B$3*(1-Settings!$B$3)),0)</f>
        <v>-0.178821125934444</v>
      </c>
      <c r="P1729" s="60" t="n">
        <f aca="false">MAX(0,F1729-N1729)</f>
        <v>0</v>
      </c>
      <c r="Q1729" s="32" t="n">
        <f aca="false">(F1729+Settings!$B$7*Settings!$B$3)/(E1729+Settings!$B$7)</f>
        <v>0.0299865978191811</v>
      </c>
      <c r="R1729" s="61" t="n">
        <f aca="false">PERCENTRANK($H$2:$H$1780,H1729,6)</f>
        <v>0</v>
      </c>
      <c r="S1729" s="61" t="n">
        <f aca="false">PERCENTRANK($Q$2:$Q$1780,Q1729,6)</f>
        <v>0.486502</v>
      </c>
      <c r="T1729" s="61" t="n">
        <f aca="false">PERCENTRANK($F$2:$F$1780,F1729,6)</f>
        <v>0</v>
      </c>
      <c r="U1729" s="62" t="n">
        <f aca="false">IF(F1729&gt;0,(Settings!$B$8*T1729+Settings!$B$9*R1729+Settings!$B$10*S1729)/SUM(Settings!$B$8:$B$10),0)</f>
        <v>0</v>
      </c>
      <c r="V1729" s="56" t="str">
        <f aca="false">IF(U1729&gt;0,RANK(U1729,$U$2:$U$1780)+COUNTIF($U$2:U1729,U1729)-1,"")</f>
        <v/>
      </c>
      <c r="W1729" s="56" t="str">
        <f aca="false">IF(V1729="","",IF(V1729&lt;=Settings!$B$11,"1 - Fix first",IF(V1729&lt;=Settings!$B$12,"2 - Review","3 - Monitor")))</f>
        <v/>
      </c>
      <c r="X1729" s="56" t="str">
        <f aca="false">IF(AND(E1729&gt;=Settings!$B$4,F1729&gt;=Settings!$B$5,O1729&gt;=Settings!$B$6),"HIGH RATE","")</f>
        <v/>
      </c>
      <c r="Y1729" s="56" t="str">
        <f aca="false">IF(F1729&gt;0,RANK(F1729,$F$2:$F$1780)+COUNTIF($F$2:F1729,F1729)-1,"")</f>
        <v/>
      </c>
      <c r="Z1729" s="56" t="str">
        <f aca="false">IF(H1729&gt;0,RANK(H1729,$H$2:$H$1780)+COUNTIF($H$2:H1729,H1729)-1,"")</f>
        <v/>
      </c>
      <c r="AA1729" s="56" t="str">
        <f aca="false">IF(AC1729="","",RANK(AC1729,$AC$2:$AC$1780)+COUNTIF($AC$2:AC1729,AC1729)-1)</f>
        <v/>
      </c>
      <c r="AB1729" s="56" t="str">
        <f aca="false">IF(AD1729="","",RANK(AD1729,$AD$2:$AD$1780)+COUNTIF($AD$2:AD1729,AD1729)-1)</f>
        <v/>
      </c>
      <c r="AC1729" s="56" t="str">
        <f aca="false">IF(AND(F1729&gt;0,E1729&gt;=Settings!$B$4),J1729,"")</f>
        <v/>
      </c>
      <c r="AD1729" s="56" t="str">
        <f aca="false">IF(X1729="HIGH RATE",O1729,"")</f>
        <v/>
      </c>
    </row>
    <row r="1730" customFormat="false" ht="15" hidden="false" customHeight="false" outlineLevel="0" collapsed="false">
      <c r="A1730" s="56" t="s">
        <v>3252</v>
      </c>
      <c r="B1730" s="56" t="s">
        <v>3253</v>
      </c>
      <c r="C1730" s="56" t="s">
        <v>707</v>
      </c>
      <c r="D1730" s="56" t="str">
        <f aca="false">IFERROR(INDEX('Brand Map'!$B$4:$B$124,MATCH(C1730,'Brand Map'!$A$4:$A$124,0)),"Other")</f>
        <v>Other (small prefixes)</v>
      </c>
      <c r="E1730" s="57" t="n">
        <v>1</v>
      </c>
      <c r="F1730" s="57" t="n">
        <v>0</v>
      </c>
      <c r="G1730" s="58" t="n">
        <v>49.95</v>
      </c>
      <c r="H1730" s="58" t="n">
        <v>0</v>
      </c>
      <c r="I1730" s="58" t="n">
        <v>49.95</v>
      </c>
      <c r="J1730" s="32" t="n">
        <f aca="false">IF(E1730&gt;0,F1730/E1730,0)</f>
        <v>0</v>
      </c>
      <c r="K1730" s="32" t="n">
        <f aca="false">IF(G1730&gt;0,H1730/G1730,0)</f>
        <v>-0</v>
      </c>
      <c r="L1730" s="59" t="n">
        <f aca="false">H1730/Settings!$B$16</f>
        <v>-0</v>
      </c>
      <c r="M1730" s="59" t="n">
        <f aca="false">H1730/Settings!$B$20</f>
        <v>-0</v>
      </c>
      <c r="N1730" s="60" t="n">
        <f aca="false">E1730*Settings!$B$3</f>
        <v>0.0309861510798204</v>
      </c>
      <c r="O1730" s="60" t="n">
        <f aca="false">IF(E1730&gt;0,(F1730-N1730)/SQRT(E1730*Settings!$B$3*(1-Settings!$B$3)),0)</f>
        <v>-0.178821125934444</v>
      </c>
      <c r="P1730" s="60" t="n">
        <f aca="false">MAX(0,F1730-N1730)</f>
        <v>0</v>
      </c>
      <c r="Q1730" s="32" t="n">
        <f aca="false">(F1730+Settings!$B$7*Settings!$B$3)/(E1730+Settings!$B$7)</f>
        <v>0.0299865978191811</v>
      </c>
      <c r="R1730" s="61" t="n">
        <f aca="false">PERCENTRANK($H$2:$H$1780,H1730,6)</f>
        <v>0</v>
      </c>
      <c r="S1730" s="61" t="n">
        <f aca="false">PERCENTRANK($Q$2:$Q$1780,Q1730,6)</f>
        <v>0.486502</v>
      </c>
      <c r="T1730" s="61" t="n">
        <f aca="false">PERCENTRANK($F$2:$F$1780,F1730,6)</f>
        <v>0</v>
      </c>
      <c r="U1730" s="62" t="n">
        <f aca="false">IF(F1730&gt;0,(Settings!$B$8*T1730+Settings!$B$9*R1730+Settings!$B$10*S1730)/SUM(Settings!$B$8:$B$10),0)</f>
        <v>0</v>
      </c>
      <c r="V1730" s="56" t="str">
        <f aca="false">IF(U1730&gt;0,RANK(U1730,$U$2:$U$1780)+COUNTIF($U$2:U1730,U1730)-1,"")</f>
        <v/>
      </c>
      <c r="W1730" s="56" t="str">
        <f aca="false">IF(V1730="","",IF(V1730&lt;=Settings!$B$11,"1 - Fix first",IF(V1730&lt;=Settings!$B$12,"2 - Review","3 - Monitor")))</f>
        <v/>
      </c>
      <c r="X1730" s="56" t="str">
        <f aca="false">IF(AND(E1730&gt;=Settings!$B$4,F1730&gt;=Settings!$B$5,O1730&gt;=Settings!$B$6),"HIGH RATE","")</f>
        <v/>
      </c>
      <c r="Y1730" s="56" t="str">
        <f aca="false">IF(F1730&gt;0,RANK(F1730,$F$2:$F$1780)+COUNTIF($F$2:F1730,F1730)-1,"")</f>
        <v/>
      </c>
      <c r="Z1730" s="56" t="str">
        <f aca="false">IF(H1730&gt;0,RANK(H1730,$H$2:$H$1780)+COUNTIF($H$2:H1730,H1730)-1,"")</f>
        <v/>
      </c>
      <c r="AA1730" s="56" t="str">
        <f aca="false">IF(AC1730="","",RANK(AC1730,$AC$2:$AC$1780)+COUNTIF($AC$2:AC1730,AC1730)-1)</f>
        <v/>
      </c>
      <c r="AB1730" s="56" t="str">
        <f aca="false">IF(AD1730="","",RANK(AD1730,$AD$2:$AD$1780)+COUNTIF($AD$2:AD1730,AD1730)-1)</f>
        <v/>
      </c>
      <c r="AC1730" s="56" t="str">
        <f aca="false">IF(AND(F1730&gt;0,E1730&gt;=Settings!$B$4),J1730,"")</f>
        <v/>
      </c>
      <c r="AD1730" s="56" t="str">
        <f aca="false">IF(X1730="HIGH RATE",O1730,"")</f>
        <v/>
      </c>
    </row>
    <row r="1731" customFormat="false" ht="15" hidden="false" customHeight="false" outlineLevel="0" collapsed="false">
      <c r="A1731" s="56" t="s">
        <v>3254</v>
      </c>
      <c r="B1731" s="56" t="s">
        <v>3255</v>
      </c>
      <c r="C1731" s="56" t="s">
        <v>707</v>
      </c>
      <c r="D1731" s="56" t="str">
        <f aca="false">IFERROR(INDEX('Brand Map'!$B$4:$B$124,MATCH(C1731,'Brand Map'!$A$4:$A$124,0)),"Other")</f>
        <v>Other (small prefixes)</v>
      </c>
      <c r="E1731" s="57" t="n">
        <v>4</v>
      </c>
      <c r="F1731" s="57" t="n">
        <v>0</v>
      </c>
      <c r="G1731" s="58" t="n">
        <v>264.8</v>
      </c>
      <c r="H1731" s="58" t="n">
        <v>0</v>
      </c>
      <c r="I1731" s="58" t="n">
        <v>264.8</v>
      </c>
      <c r="J1731" s="32" t="n">
        <f aca="false">IF(E1731&gt;0,F1731/E1731,0)</f>
        <v>0</v>
      </c>
      <c r="K1731" s="32" t="n">
        <f aca="false">IF(G1731&gt;0,H1731/G1731,0)</f>
        <v>-0</v>
      </c>
      <c r="L1731" s="59" t="n">
        <f aca="false">H1731/Settings!$B$16</f>
        <v>-0</v>
      </c>
      <c r="M1731" s="59" t="n">
        <f aca="false">H1731/Settings!$B$20</f>
        <v>-0</v>
      </c>
      <c r="N1731" s="60" t="n">
        <f aca="false">E1731*Settings!$B$3</f>
        <v>0.123944604319282</v>
      </c>
      <c r="O1731" s="60" t="n">
        <f aca="false">IF(E1731&gt;0,(F1731-N1731)/SQRT(E1731*Settings!$B$3*(1-Settings!$B$3)),0)</f>
        <v>-0.357642251868888</v>
      </c>
      <c r="P1731" s="60" t="n">
        <f aca="false">MAX(0,F1731-N1731)</f>
        <v>0</v>
      </c>
      <c r="Q1731" s="32" t="n">
        <f aca="false">(F1731+Settings!$B$7*Settings!$B$3)/(E1731+Settings!$B$7)</f>
        <v>0.027340721541018</v>
      </c>
      <c r="R1731" s="61" t="n">
        <f aca="false">PERCENTRANK($H$2:$H$1780,H1731,6)</f>
        <v>0</v>
      </c>
      <c r="S1731" s="61" t="n">
        <f aca="false">PERCENTRANK($Q$2:$Q$1780,Q1731,6)</f>
        <v>0.253656</v>
      </c>
      <c r="T1731" s="61" t="n">
        <f aca="false">PERCENTRANK($F$2:$F$1780,F1731,6)</f>
        <v>0</v>
      </c>
      <c r="U1731" s="62" t="n">
        <f aca="false">IF(F1731&gt;0,(Settings!$B$8*T1731+Settings!$B$9*R1731+Settings!$B$10*S1731)/SUM(Settings!$B$8:$B$10),0)</f>
        <v>0</v>
      </c>
      <c r="V1731" s="56" t="str">
        <f aca="false">IF(U1731&gt;0,RANK(U1731,$U$2:$U$1780)+COUNTIF($U$2:U1731,U1731)-1,"")</f>
        <v/>
      </c>
      <c r="W1731" s="56" t="str">
        <f aca="false">IF(V1731="","",IF(V1731&lt;=Settings!$B$11,"1 - Fix first",IF(V1731&lt;=Settings!$B$12,"2 - Review","3 - Monitor")))</f>
        <v/>
      </c>
      <c r="X1731" s="56" t="str">
        <f aca="false">IF(AND(E1731&gt;=Settings!$B$4,F1731&gt;=Settings!$B$5,O1731&gt;=Settings!$B$6),"HIGH RATE","")</f>
        <v/>
      </c>
      <c r="Y1731" s="56" t="str">
        <f aca="false">IF(F1731&gt;0,RANK(F1731,$F$2:$F$1780)+COUNTIF($F$2:F1731,F1731)-1,"")</f>
        <v/>
      </c>
      <c r="Z1731" s="56" t="str">
        <f aca="false">IF(H1731&gt;0,RANK(H1731,$H$2:$H$1780)+COUNTIF($H$2:H1731,H1731)-1,"")</f>
        <v/>
      </c>
      <c r="AA1731" s="56" t="str">
        <f aca="false">IF(AC1731="","",RANK(AC1731,$AC$2:$AC$1780)+COUNTIF($AC$2:AC1731,AC1731)-1)</f>
        <v/>
      </c>
      <c r="AB1731" s="56" t="str">
        <f aca="false">IF(AD1731="","",RANK(AD1731,$AD$2:$AD$1780)+COUNTIF($AD$2:AD1731,AD1731)-1)</f>
        <v/>
      </c>
      <c r="AC1731" s="56" t="str">
        <f aca="false">IF(AND(F1731&gt;0,E1731&gt;=Settings!$B$4),J1731,"")</f>
        <v/>
      </c>
      <c r="AD1731" s="56" t="str">
        <f aca="false">IF(X1731="HIGH RATE",O1731,"")</f>
        <v/>
      </c>
    </row>
    <row r="1732" customFormat="false" ht="15" hidden="false" customHeight="false" outlineLevel="0" collapsed="false">
      <c r="A1732" s="56" t="s">
        <v>3256</v>
      </c>
      <c r="B1732" s="56" t="s">
        <v>3255</v>
      </c>
      <c r="C1732" s="56" t="s">
        <v>707</v>
      </c>
      <c r="D1732" s="56" t="str">
        <f aca="false">IFERROR(INDEX('Brand Map'!$B$4:$B$124,MATCH(C1732,'Brand Map'!$A$4:$A$124,0)),"Other")</f>
        <v>Other (small prefixes)</v>
      </c>
      <c r="E1732" s="57" t="n">
        <v>1</v>
      </c>
      <c r="F1732" s="57" t="n">
        <v>0</v>
      </c>
      <c r="G1732" s="58" t="n">
        <v>69.95</v>
      </c>
      <c r="H1732" s="58" t="n">
        <v>0</v>
      </c>
      <c r="I1732" s="58" t="n">
        <v>69.95</v>
      </c>
      <c r="J1732" s="32" t="n">
        <f aca="false">IF(E1732&gt;0,F1732/E1732,0)</f>
        <v>0</v>
      </c>
      <c r="K1732" s="32" t="n">
        <f aca="false">IF(G1732&gt;0,H1732/G1732,0)</f>
        <v>-0</v>
      </c>
      <c r="L1732" s="59" t="n">
        <f aca="false">H1732/Settings!$B$16</f>
        <v>-0</v>
      </c>
      <c r="M1732" s="59" t="n">
        <f aca="false">H1732/Settings!$B$20</f>
        <v>-0</v>
      </c>
      <c r="N1732" s="60" t="n">
        <f aca="false">E1732*Settings!$B$3</f>
        <v>0.0309861510798204</v>
      </c>
      <c r="O1732" s="60" t="n">
        <f aca="false">IF(E1732&gt;0,(F1732-N1732)/SQRT(E1732*Settings!$B$3*(1-Settings!$B$3)),0)</f>
        <v>-0.178821125934444</v>
      </c>
      <c r="P1732" s="60" t="n">
        <f aca="false">MAX(0,F1732-N1732)</f>
        <v>0</v>
      </c>
      <c r="Q1732" s="32" t="n">
        <f aca="false">(F1732+Settings!$B$7*Settings!$B$3)/(E1732+Settings!$B$7)</f>
        <v>0.0299865978191811</v>
      </c>
      <c r="R1732" s="61" t="n">
        <f aca="false">PERCENTRANK($H$2:$H$1780,H1732,6)</f>
        <v>0</v>
      </c>
      <c r="S1732" s="61" t="n">
        <f aca="false">PERCENTRANK($Q$2:$Q$1780,Q1732,6)</f>
        <v>0.486502</v>
      </c>
      <c r="T1732" s="61" t="n">
        <f aca="false">PERCENTRANK($F$2:$F$1780,F1732,6)</f>
        <v>0</v>
      </c>
      <c r="U1732" s="62" t="n">
        <f aca="false">IF(F1732&gt;0,(Settings!$B$8*T1732+Settings!$B$9*R1732+Settings!$B$10*S1732)/SUM(Settings!$B$8:$B$10),0)</f>
        <v>0</v>
      </c>
      <c r="V1732" s="56" t="str">
        <f aca="false">IF(U1732&gt;0,RANK(U1732,$U$2:$U$1780)+COUNTIF($U$2:U1732,U1732)-1,"")</f>
        <v/>
      </c>
      <c r="W1732" s="56" t="str">
        <f aca="false">IF(V1732="","",IF(V1732&lt;=Settings!$B$11,"1 - Fix first",IF(V1732&lt;=Settings!$B$12,"2 - Review","3 - Monitor")))</f>
        <v/>
      </c>
      <c r="X1732" s="56" t="str">
        <f aca="false">IF(AND(E1732&gt;=Settings!$B$4,F1732&gt;=Settings!$B$5,O1732&gt;=Settings!$B$6),"HIGH RATE","")</f>
        <v/>
      </c>
      <c r="Y1732" s="56" t="str">
        <f aca="false">IF(F1732&gt;0,RANK(F1732,$F$2:$F$1780)+COUNTIF($F$2:F1732,F1732)-1,"")</f>
        <v/>
      </c>
      <c r="Z1732" s="56" t="str">
        <f aca="false">IF(H1732&gt;0,RANK(H1732,$H$2:$H$1780)+COUNTIF($H$2:H1732,H1732)-1,"")</f>
        <v/>
      </c>
      <c r="AA1732" s="56" t="str">
        <f aca="false">IF(AC1732="","",RANK(AC1732,$AC$2:$AC$1780)+COUNTIF($AC$2:AC1732,AC1732)-1)</f>
        <v/>
      </c>
      <c r="AB1732" s="56" t="str">
        <f aca="false">IF(AD1732="","",RANK(AD1732,$AD$2:$AD$1780)+COUNTIF($AD$2:AD1732,AD1732)-1)</f>
        <v/>
      </c>
      <c r="AC1732" s="56" t="str">
        <f aca="false">IF(AND(F1732&gt;0,E1732&gt;=Settings!$B$4),J1732,"")</f>
        <v/>
      </c>
      <c r="AD1732" s="56" t="str">
        <f aca="false">IF(X1732="HIGH RATE",O1732,"")</f>
        <v/>
      </c>
    </row>
    <row r="1733" customFormat="false" ht="15" hidden="false" customHeight="false" outlineLevel="0" collapsed="false">
      <c r="A1733" s="56" t="s">
        <v>3257</v>
      </c>
      <c r="B1733" s="56" t="s">
        <v>3255</v>
      </c>
      <c r="C1733" s="56" t="s">
        <v>707</v>
      </c>
      <c r="D1733" s="56" t="str">
        <f aca="false">IFERROR(INDEX('Brand Map'!$B$4:$B$124,MATCH(C1733,'Brand Map'!$A$4:$A$124,0)),"Other")</f>
        <v>Other (small prefixes)</v>
      </c>
      <c r="E1733" s="57" t="n">
        <v>2</v>
      </c>
      <c r="F1733" s="57" t="n">
        <v>0</v>
      </c>
      <c r="G1733" s="58" t="n">
        <v>169.9</v>
      </c>
      <c r="H1733" s="58" t="n">
        <v>0</v>
      </c>
      <c r="I1733" s="58" t="n">
        <v>169.9</v>
      </c>
      <c r="J1733" s="32" t="n">
        <f aca="false">IF(E1733&gt;0,F1733/E1733,0)</f>
        <v>0</v>
      </c>
      <c r="K1733" s="32" t="n">
        <f aca="false">IF(G1733&gt;0,H1733/G1733,0)</f>
        <v>-0</v>
      </c>
      <c r="L1733" s="59" t="n">
        <f aca="false">H1733/Settings!$B$16</f>
        <v>-0</v>
      </c>
      <c r="M1733" s="59" t="n">
        <f aca="false">H1733/Settings!$B$20</f>
        <v>-0</v>
      </c>
      <c r="N1733" s="60" t="n">
        <f aca="false">E1733*Settings!$B$3</f>
        <v>0.0619723021596408</v>
      </c>
      <c r="O1733" s="60" t="n">
        <f aca="false">IF(E1733&gt;0,(F1733-N1733)/SQRT(E1733*Settings!$B$3*(1-Settings!$B$3)),0)</f>
        <v>-0.252891261535318</v>
      </c>
      <c r="P1733" s="60" t="n">
        <f aca="false">MAX(0,F1733-N1733)</f>
        <v>0</v>
      </c>
      <c r="Q1733" s="32" t="n">
        <f aca="false">(F1733+Settings!$B$7*Settings!$B$3)/(E1733+Settings!$B$7)</f>
        <v>0.0290495166373316</v>
      </c>
      <c r="R1733" s="61" t="n">
        <f aca="false">PERCENTRANK($H$2:$H$1780,H1733,6)</f>
        <v>0</v>
      </c>
      <c r="S1733" s="61" t="n">
        <f aca="false">PERCENTRANK($Q$2:$Q$1780,Q1733,6)</f>
        <v>0.365579</v>
      </c>
      <c r="T1733" s="61" t="n">
        <f aca="false">PERCENTRANK($F$2:$F$1780,F1733,6)</f>
        <v>0</v>
      </c>
      <c r="U1733" s="62" t="n">
        <f aca="false">IF(F1733&gt;0,(Settings!$B$8*T1733+Settings!$B$9*R1733+Settings!$B$10*S1733)/SUM(Settings!$B$8:$B$10),0)</f>
        <v>0</v>
      </c>
      <c r="V1733" s="56" t="str">
        <f aca="false">IF(U1733&gt;0,RANK(U1733,$U$2:$U$1780)+COUNTIF($U$2:U1733,U1733)-1,"")</f>
        <v/>
      </c>
      <c r="W1733" s="56" t="str">
        <f aca="false">IF(V1733="","",IF(V1733&lt;=Settings!$B$11,"1 - Fix first",IF(V1733&lt;=Settings!$B$12,"2 - Review","3 - Monitor")))</f>
        <v/>
      </c>
      <c r="X1733" s="56" t="str">
        <f aca="false">IF(AND(E1733&gt;=Settings!$B$4,F1733&gt;=Settings!$B$5,O1733&gt;=Settings!$B$6),"HIGH RATE","")</f>
        <v/>
      </c>
      <c r="Y1733" s="56" t="str">
        <f aca="false">IF(F1733&gt;0,RANK(F1733,$F$2:$F$1780)+COUNTIF($F$2:F1733,F1733)-1,"")</f>
        <v/>
      </c>
      <c r="Z1733" s="56" t="str">
        <f aca="false">IF(H1733&gt;0,RANK(H1733,$H$2:$H$1780)+COUNTIF($H$2:H1733,H1733)-1,"")</f>
        <v/>
      </c>
      <c r="AA1733" s="56" t="str">
        <f aca="false">IF(AC1733="","",RANK(AC1733,$AC$2:$AC$1780)+COUNTIF($AC$2:AC1733,AC1733)-1)</f>
        <v/>
      </c>
      <c r="AB1733" s="56" t="str">
        <f aca="false">IF(AD1733="","",RANK(AD1733,$AD$2:$AD$1780)+COUNTIF($AD$2:AD1733,AD1733)-1)</f>
        <v/>
      </c>
      <c r="AC1733" s="56" t="str">
        <f aca="false">IF(AND(F1733&gt;0,E1733&gt;=Settings!$B$4),J1733,"")</f>
        <v/>
      </c>
      <c r="AD1733" s="56" t="str">
        <f aca="false">IF(X1733="HIGH RATE",O1733,"")</f>
        <v/>
      </c>
    </row>
    <row r="1734" customFormat="false" ht="15" hidden="false" customHeight="false" outlineLevel="0" collapsed="false">
      <c r="A1734" s="56" t="s">
        <v>3258</v>
      </c>
      <c r="B1734" s="56" t="s">
        <v>3255</v>
      </c>
      <c r="C1734" s="56" t="s">
        <v>707</v>
      </c>
      <c r="D1734" s="56" t="str">
        <f aca="false">IFERROR(INDEX('Brand Map'!$B$4:$B$124,MATCH(C1734,'Brand Map'!$A$4:$A$124,0)),"Other")</f>
        <v>Other (small prefixes)</v>
      </c>
      <c r="E1734" s="57" t="n">
        <v>3</v>
      </c>
      <c r="F1734" s="57" t="n">
        <v>0</v>
      </c>
      <c r="G1734" s="58" t="n">
        <v>164.85</v>
      </c>
      <c r="H1734" s="58" t="n">
        <v>0</v>
      </c>
      <c r="I1734" s="58" t="n">
        <v>164.85</v>
      </c>
      <c r="J1734" s="32" t="n">
        <f aca="false">IF(E1734&gt;0,F1734/E1734,0)</f>
        <v>0</v>
      </c>
      <c r="K1734" s="32" t="n">
        <f aca="false">IF(G1734&gt;0,H1734/G1734,0)</f>
        <v>-0</v>
      </c>
      <c r="L1734" s="59" t="n">
        <f aca="false">H1734/Settings!$B$16</f>
        <v>-0</v>
      </c>
      <c r="M1734" s="59" t="n">
        <f aca="false">H1734/Settings!$B$20</f>
        <v>-0</v>
      </c>
      <c r="N1734" s="60" t="n">
        <f aca="false">E1734*Settings!$B$3</f>
        <v>0.0929584532394613</v>
      </c>
      <c r="O1734" s="60" t="n">
        <f aca="false">IF(E1734&gt;0,(F1734-N1734)/SQRT(E1734*Settings!$B$3*(1-Settings!$B$3)),0)</f>
        <v>-0.30972727558513</v>
      </c>
      <c r="P1734" s="60" t="n">
        <f aca="false">MAX(0,F1734-N1734)</f>
        <v>0</v>
      </c>
      <c r="Q1734" s="32" t="n">
        <f aca="false">(F1734+Settings!$B$7*Settings!$B$3)/(E1734+Settings!$B$7)</f>
        <v>0.0281692282543822</v>
      </c>
      <c r="R1734" s="61" t="n">
        <f aca="false">PERCENTRANK($H$2:$H$1780,H1734,6)</f>
        <v>0</v>
      </c>
      <c r="S1734" s="61" t="n">
        <f aca="false">PERCENTRANK($Q$2:$Q$1780,Q1734,6)</f>
        <v>0.294151</v>
      </c>
      <c r="T1734" s="61" t="n">
        <f aca="false">PERCENTRANK($F$2:$F$1780,F1734,6)</f>
        <v>0</v>
      </c>
      <c r="U1734" s="62" t="n">
        <f aca="false">IF(F1734&gt;0,(Settings!$B$8*T1734+Settings!$B$9*R1734+Settings!$B$10*S1734)/SUM(Settings!$B$8:$B$10),0)</f>
        <v>0</v>
      </c>
      <c r="V1734" s="56" t="str">
        <f aca="false">IF(U1734&gt;0,RANK(U1734,$U$2:$U$1780)+COUNTIF($U$2:U1734,U1734)-1,"")</f>
        <v/>
      </c>
      <c r="W1734" s="56" t="str">
        <f aca="false">IF(V1734="","",IF(V1734&lt;=Settings!$B$11,"1 - Fix first",IF(V1734&lt;=Settings!$B$12,"2 - Review","3 - Monitor")))</f>
        <v/>
      </c>
      <c r="X1734" s="56" t="str">
        <f aca="false">IF(AND(E1734&gt;=Settings!$B$4,F1734&gt;=Settings!$B$5,O1734&gt;=Settings!$B$6),"HIGH RATE","")</f>
        <v/>
      </c>
      <c r="Y1734" s="56" t="str">
        <f aca="false">IF(F1734&gt;0,RANK(F1734,$F$2:$F$1780)+COUNTIF($F$2:F1734,F1734)-1,"")</f>
        <v/>
      </c>
      <c r="Z1734" s="56" t="str">
        <f aca="false">IF(H1734&gt;0,RANK(H1734,$H$2:$H$1780)+COUNTIF($H$2:H1734,H1734)-1,"")</f>
        <v/>
      </c>
      <c r="AA1734" s="56" t="str">
        <f aca="false">IF(AC1734="","",RANK(AC1734,$AC$2:$AC$1780)+COUNTIF($AC$2:AC1734,AC1734)-1)</f>
        <v/>
      </c>
      <c r="AB1734" s="56" t="str">
        <f aca="false">IF(AD1734="","",RANK(AD1734,$AD$2:$AD$1780)+COUNTIF($AD$2:AD1734,AD1734)-1)</f>
        <v/>
      </c>
      <c r="AC1734" s="56" t="str">
        <f aca="false">IF(AND(F1734&gt;0,E1734&gt;=Settings!$B$4),J1734,"")</f>
        <v/>
      </c>
      <c r="AD1734" s="56" t="str">
        <f aca="false">IF(X1734="HIGH RATE",O1734,"")</f>
        <v/>
      </c>
    </row>
    <row r="1735" customFormat="false" ht="15" hidden="false" customHeight="false" outlineLevel="0" collapsed="false">
      <c r="A1735" s="56" t="s">
        <v>3259</v>
      </c>
      <c r="B1735" s="56" t="s">
        <v>3260</v>
      </c>
      <c r="C1735" s="56" t="s">
        <v>132</v>
      </c>
      <c r="D1735" s="56" t="str">
        <f aca="false">IFERROR(INDEX('Brand Map'!$B$4:$B$124,MATCH(C1735,'Brand Map'!$A$4:$A$124,0)),"Other")</f>
        <v>RP</v>
      </c>
      <c r="E1735" s="57" t="n">
        <v>27</v>
      </c>
      <c r="F1735" s="57" t="n">
        <v>0</v>
      </c>
      <c r="G1735" s="58" t="n">
        <v>132.56</v>
      </c>
      <c r="H1735" s="58" t="n">
        <v>0</v>
      </c>
      <c r="I1735" s="58" t="n">
        <v>130.35</v>
      </c>
      <c r="J1735" s="32" t="n">
        <f aca="false">IF(E1735&gt;0,F1735/E1735,0)</f>
        <v>0</v>
      </c>
      <c r="K1735" s="32" t="n">
        <f aca="false">IF(G1735&gt;0,H1735/G1735,0)</f>
        <v>-0</v>
      </c>
      <c r="L1735" s="59" t="n">
        <f aca="false">H1735/Settings!$B$16</f>
        <v>-0</v>
      </c>
      <c r="M1735" s="59" t="n">
        <f aca="false">H1735/Settings!$B$20</f>
        <v>-0</v>
      </c>
      <c r="N1735" s="60" t="n">
        <f aca="false">E1735*Settings!$B$3</f>
        <v>0.836626079155151</v>
      </c>
      <c r="O1735" s="60" t="n">
        <f aca="false">IF(E1735&gt;0,(F1735-N1735)/SQRT(E1735*Settings!$B$3*(1-Settings!$B$3)),0)</f>
        <v>-0.929181826755389</v>
      </c>
      <c r="P1735" s="60" t="n">
        <f aca="false">MAX(0,F1735-N1735)</f>
        <v>0</v>
      </c>
      <c r="Q1735" s="32" t="n">
        <f aca="false">(F1735+Settings!$B$7*Settings!$B$3)/(E1735+Settings!$B$7)</f>
        <v>0.0163085005683265</v>
      </c>
      <c r="R1735" s="61" t="n">
        <f aca="false">PERCENTRANK($H$2:$H$1780,H1735,6)</f>
        <v>0</v>
      </c>
      <c r="S1735" s="61" t="n">
        <f aca="false">PERCENTRANK($Q$2:$Q$1780,Q1735,6)</f>
        <v>0.0489314</v>
      </c>
      <c r="T1735" s="61" t="n">
        <f aca="false">PERCENTRANK($F$2:$F$1780,F1735,6)</f>
        <v>0</v>
      </c>
      <c r="U1735" s="62" t="n">
        <f aca="false">IF(F1735&gt;0,(Settings!$B$8*T1735+Settings!$B$9*R1735+Settings!$B$10*S1735)/SUM(Settings!$B$8:$B$10),0)</f>
        <v>0</v>
      </c>
      <c r="V1735" s="56" t="str">
        <f aca="false">IF(U1735&gt;0,RANK(U1735,$U$2:$U$1780)+COUNTIF($U$2:U1735,U1735)-1,"")</f>
        <v/>
      </c>
      <c r="W1735" s="56" t="str">
        <f aca="false">IF(V1735="","",IF(V1735&lt;=Settings!$B$11,"1 - Fix first",IF(V1735&lt;=Settings!$B$12,"2 - Review","3 - Monitor")))</f>
        <v/>
      </c>
      <c r="X1735" s="56" t="str">
        <f aca="false">IF(AND(E1735&gt;=Settings!$B$4,F1735&gt;=Settings!$B$5,O1735&gt;=Settings!$B$6),"HIGH RATE","")</f>
        <v/>
      </c>
      <c r="Y1735" s="56" t="str">
        <f aca="false">IF(F1735&gt;0,RANK(F1735,$F$2:$F$1780)+COUNTIF($F$2:F1735,F1735)-1,"")</f>
        <v/>
      </c>
      <c r="Z1735" s="56" t="str">
        <f aca="false">IF(H1735&gt;0,RANK(H1735,$H$2:$H$1780)+COUNTIF($H$2:H1735,H1735)-1,"")</f>
        <v/>
      </c>
      <c r="AA1735" s="56" t="str">
        <f aca="false">IF(AC1735="","",RANK(AC1735,$AC$2:$AC$1780)+COUNTIF($AC$2:AC1735,AC1735)-1)</f>
        <v/>
      </c>
      <c r="AB1735" s="56" t="str">
        <f aca="false">IF(AD1735="","",RANK(AD1735,$AD$2:$AD$1780)+COUNTIF($AD$2:AD1735,AD1735)-1)</f>
        <v/>
      </c>
      <c r="AC1735" s="56" t="str">
        <f aca="false">IF(AND(F1735&gt;0,E1735&gt;=Settings!$B$4),J1735,"")</f>
        <v/>
      </c>
      <c r="AD1735" s="56" t="str">
        <f aca="false">IF(X1735="HIGH RATE",O1735,"")</f>
        <v/>
      </c>
    </row>
    <row r="1736" customFormat="false" ht="15" hidden="false" customHeight="false" outlineLevel="0" collapsed="false">
      <c r="A1736" s="56" t="s">
        <v>3261</v>
      </c>
      <c r="B1736" s="56" t="s">
        <v>3262</v>
      </c>
      <c r="C1736" s="56" t="s">
        <v>132</v>
      </c>
      <c r="D1736" s="56" t="str">
        <f aca="false">IFERROR(INDEX('Brand Map'!$B$4:$B$124,MATCH(C1736,'Brand Map'!$A$4:$A$124,0)),"Other")</f>
        <v>RP</v>
      </c>
      <c r="E1736" s="57" t="n">
        <v>3</v>
      </c>
      <c r="F1736" s="57" t="n">
        <v>0</v>
      </c>
      <c r="G1736" s="58" t="n">
        <v>29.85</v>
      </c>
      <c r="H1736" s="58" t="n">
        <v>0</v>
      </c>
      <c r="I1736" s="58" t="n">
        <v>29.85</v>
      </c>
      <c r="J1736" s="32" t="n">
        <f aca="false">IF(E1736&gt;0,F1736/E1736,0)</f>
        <v>0</v>
      </c>
      <c r="K1736" s="32" t="n">
        <f aca="false">IF(G1736&gt;0,H1736/G1736,0)</f>
        <v>-0</v>
      </c>
      <c r="L1736" s="59" t="n">
        <f aca="false">H1736/Settings!$B$16</f>
        <v>-0</v>
      </c>
      <c r="M1736" s="59" t="n">
        <f aca="false">H1736/Settings!$B$20</f>
        <v>-0</v>
      </c>
      <c r="N1736" s="60" t="n">
        <f aca="false">E1736*Settings!$B$3</f>
        <v>0.0929584532394613</v>
      </c>
      <c r="O1736" s="60" t="n">
        <f aca="false">IF(E1736&gt;0,(F1736-N1736)/SQRT(E1736*Settings!$B$3*(1-Settings!$B$3)),0)</f>
        <v>-0.30972727558513</v>
      </c>
      <c r="P1736" s="60" t="n">
        <f aca="false">MAX(0,F1736-N1736)</f>
        <v>0</v>
      </c>
      <c r="Q1736" s="32" t="n">
        <f aca="false">(F1736+Settings!$B$7*Settings!$B$3)/(E1736+Settings!$B$7)</f>
        <v>0.0281692282543822</v>
      </c>
      <c r="R1736" s="61" t="n">
        <f aca="false">PERCENTRANK($H$2:$H$1780,H1736,6)</f>
        <v>0</v>
      </c>
      <c r="S1736" s="61" t="n">
        <f aca="false">PERCENTRANK($Q$2:$Q$1780,Q1736,6)</f>
        <v>0.294151</v>
      </c>
      <c r="T1736" s="61" t="n">
        <f aca="false">PERCENTRANK($F$2:$F$1780,F1736,6)</f>
        <v>0</v>
      </c>
      <c r="U1736" s="62" t="n">
        <f aca="false">IF(F1736&gt;0,(Settings!$B$8*T1736+Settings!$B$9*R1736+Settings!$B$10*S1736)/SUM(Settings!$B$8:$B$10),0)</f>
        <v>0</v>
      </c>
      <c r="V1736" s="56" t="str">
        <f aca="false">IF(U1736&gt;0,RANK(U1736,$U$2:$U$1780)+COUNTIF($U$2:U1736,U1736)-1,"")</f>
        <v/>
      </c>
      <c r="W1736" s="56" t="str">
        <f aca="false">IF(V1736="","",IF(V1736&lt;=Settings!$B$11,"1 - Fix first",IF(V1736&lt;=Settings!$B$12,"2 - Review","3 - Monitor")))</f>
        <v/>
      </c>
      <c r="X1736" s="56" t="str">
        <f aca="false">IF(AND(E1736&gt;=Settings!$B$4,F1736&gt;=Settings!$B$5,O1736&gt;=Settings!$B$6),"HIGH RATE","")</f>
        <v/>
      </c>
      <c r="Y1736" s="56" t="str">
        <f aca="false">IF(F1736&gt;0,RANK(F1736,$F$2:$F$1780)+COUNTIF($F$2:F1736,F1736)-1,"")</f>
        <v/>
      </c>
      <c r="Z1736" s="56" t="str">
        <f aca="false">IF(H1736&gt;0,RANK(H1736,$H$2:$H$1780)+COUNTIF($H$2:H1736,H1736)-1,"")</f>
        <v/>
      </c>
      <c r="AA1736" s="56" t="str">
        <f aca="false">IF(AC1736="","",RANK(AC1736,$AC$2:$AC$1780)+COUNTIF($AC$2:AC1736,AC1736)-1)</f>
        <v/>
      </c>
      <c r="AB1736" s="56" t="str">
        <f aca="false">IF(AD1736="","",RANK(AD1736,$AD$2:$AD$1780)+COUNTIF($AD$2:AD1736,AD1736)-1)</f>
        <v/>
      </c>
      <c r="AC1736" s="56" t="str">
        <f aca="false">IF(AND(F1736&gt;0,E1736&gt;=Settings!$B$4),J1736,"")</f>
        <v/>
      </c>
      <c r="AD1736" s="56" t="str">
        <f aca="false">IF(X1736="HIGH RATE",O1736,"")</f>
        <v/>
      </c>
    </row>
    <row r="1737" customFormat="false" ht="15" hidden="false" customHeight="false" outlineLevel="0" collapsed="false">
      <c r="A1737" s="56" t="s">
        <v>3263</v>
      </c>
      <c r="B1737" s="56" t="s">
        <v>3264</v>
      </c>
      <c r="C1737" s="56" t="s">
        <v>132</v>
      </c>
      <c r="D1737" s="56" t="str">
        <f aca="false">IFERROR(INDEX('Brand Map'!$B$4:$B$124,MATCH(C1737,'Brand Map'!$A$4:$A$124,0)),"Other")</f>
        <v>RP</v>
      </c>
      <c r="E1737" s="57" t="n">
        <v>1</v>
      </c>
      <c r="F1737" s="57" t="n">
        <v>0</v>
      </c>
      <c r="G1737" s="58" t="n">
        <v>16.95</v>
      </c>
      <c r="H1737" s="58" t="n">
        <v>0</v>
      </c>
      <c r="I1737" s="58" t="n">
        <v>16.95</v>
      </c>
      <c r="J1737" s="32" t="n">
        <f aca="false">IF(E1737&gt;0,F1737/E1737,0)</f>
        <v>0</v>
      </c>
      <c r="K1737" s="32" t="n">
        <f aca="false">IF(G1737&gt;0,H1737/G1737,0)</f>
        <v>-0</v>
      </c>
      <c r="L1737" s="59" t="n">
        <f aca="false">H1737/Settings!$B$16</f>
        <v>-0</v>
      </c>
      <c r="M1737" s="59" t="n">
        <f aca="false">H1737/Settings!$B$20</f>
        <v>-0</v>
      </c>
      <c r="N1737" s="60" t="n">
        <f aca="false">E1737*Settings!$B$3</f>
        <v>0.0309861510798204</v>
      </c>
      <c r="O1737" s="60" t="n">
        <f aca="false">IF(E1737&gt;0,(F1737-N1737)/SQRT(E1737*Settings!$B$3*(1-Settings!$B$3)),0)</f>
        <v>-0.178821125934444</v>
      </c>
      <c r="P1737" s="60" t="n">
        <f aca="false">MAX(0,F1737-N1737)</f>
        <v>0</v>
      </c>
      <c r="Q1737" s="32" t="n">
        <f aca="false">(F1737+Settings!$B$7*Settings!$B$3)/(E1737+Settings!$B$7)</f>
        <v>0.0299865978191811</v>
      </c>
      <c r="R1737" s="61" t="n">
        <f aca="false">PERCENTRANK($H$2:$H$1780,H1737,6)</f>
        <v>0</v>
      </c>
      <c r="S1737" s="61" t="n">
        <f aca="false">PERCENTRANK($Q$2:$Q$1780,Q1737,6)</f>
        <v>0.486502</v>
      </c>
      <c r="T1737" s="61" t="n">
        <f aca="false">PERCENTRANK($F$2:$F$1780,F1737,6)</f>
        <v>0</v>
      </c>
      <c r="U1737" s="62" t="n">
        <f aca="false">IF(F1737&gt;0,(Settings!$B$8*T1737+Settings!$B$9*R1737+Settings!$B$10*S1737)/SUM(Settings!$B$8:$B$10),0)</f>
        <v>0</v>
      </c>
      <c r="V1737" s="56" t="str">
        <f aca="false">IF(U1737&gt;0,RANK(U1737,$U$2:$U$1780)+COUNTIF($U$2:U1737,U1737)-1,"")</f>
        <v/>
      </c>
      <c r="W1737" s="56" t="str">
        <f aca="false">IF(V1737="","",IF(V1737&lt;=Settings!$B$11,"1 - Fix first",IF(V1737&lt;=Settings!$B$12,"2 - Review","3 - Monitor")))</f>
        <v/>
      </c>
      <c r="X1737" s="56" t="str">
        <f aca="false">IF(AND(E1737&gt;=Settings!$B$4,F1737&gt;=Settings!$B$5,O1737&gt;=Settings!$B$6),"HIGH RATE","")</f>
        <v/>
      </c>
      <c r="Y1737" s="56" t="str">
        <f aca="false">IF(F1737&gt;0,RANK(F1737,$F$2:$F$1780)+COUNTIF($F$2:F1737,F1737)-1,"")</f>
        <v/>
      </c>
      <c r="Z1737" s="56" t="str">
        <f aca="false">IF(H1737&gt;0,RANK(H1737,$H$2:$H$1780)+COUNTIF($H$2:H1737,H1737)-1,"")</f>
        <v/>
      </c>
      <c r="AA1737" s="56" t="str">
        <f aca="false">IF(AC1737="","",RANK(AC1737,$AC$2:$AC$1780)+COUNTIF($AC$2:AC1737,AC1737)-1)</f>
        <v/>
      </c>
      <c r="AB1737" s="56" t="str">
        <f aca="false">IF(AD1737="","",RANK(AD1737,$AD$2:$AD$1780)+COUNTIF($AD$2:AD1737,AD1737)-1)</f>
        <v/>
      </c>
      <c r="AC1737" s="56" t="str">
        <f aca="false">IF(AND(F1737&gt;0,E1737&gt;=Settings!$B$4),J1737,"")</f>
        <v/>
      </c>
      <c r="AD1737" s="56" t="str">
        <f aca="false">IF(X1737="HIGH RATE",O1737,"")</f>
        <v/>
      </c>
    </row>
    <row r="1738" customFormat="false" ht="15" hidden="false" customHeight="false" outlineLevel="0" collapsed="false">
      <c r="A1738" s="56" t="s">
        <v>3265</v>
      </c>
      <c r="B1738" s="56" t="s">
        <v>996</v>
      </c>
      <c r="C1738" s="56" t="s">
        <v>132</v>
      </c>
      <c r="D1738" s="56" t="str">
        <f aca="false">IFERROR(INDEX('Brand Map'!$B$4:$B$124,MATCH(C1738,'Brand Map'!$A$4:$A$124,0)),"Other")</f>
        <v>RP</v>
      </c>
      <c r="E1738" s="57" t="n">
        <v>2</v>
      </c>
      <c r="F1738" s="57" t="n">
        <v>0</v>
      </c>
      <c r="G1738" s="58" t="n">
        <v>39.9</v>
      </c>
      <c r="H1738" s="58" t="n">
        <v>0</v>
      </c>
      <c r="I1738" s="58" t="n">
        <v>39.9</v>
      </c>
      <c r="J1738" s="32" t="n">
        <f aca="false">IF(E1738&gt;0,F1738/E1738,0)</f>
        <v>0</v>
      </c>
      <c r="K1738" s="32" t="n">
        <f aca="false">IF(G1738&gt;0,H1738/G1738,0)</f>
        <v>-0</v>
      </c>
      <c r="L1738" s="59" t="n">
        <f aca="false">H1738/Settings!$B$16</f>
        <v>-0</v>
      </c>
      <c r="M1738" s="59" t="n">
        <f aca="false">H1738/Settings!$B$20</f>
        <v>-0</v>
      </c>
      <c r="N1738" s="60" t="n">
        <f aca="false">E1738*Settings!$B$3</f>
        <v>0.0619723021596408</v>
      </c>
      <c r="O1738" s="60" t="n">
        <f aca="false">IF(E1738&gt;0,(F1738-N1738)/SQRT(E1738*Settings!$B$3*(1-Settings!$B$3)),0)</f>
        <v>-0.252891261535318</v>
      </c>
      <c r="P1738" s="60" t="n">
        <f aca="false">MAX(0,F1738-N1738)</f>
        <v>0</v>
      </c>
      <c r="Q1738" s="32" t="n">
        <f aca="false">(F1738+Settings!$B$7*Settings!$B$3)/(E1738+Settings!$B$7)</f>
        <v>0.0290495166373316</v>
      </c>
      <c r="R1738" s="61" t="n">
        <f aca="false">PERCENTRANK($H$2:$H$1780,H1738,6)</f>
        <v>0</v>
      </c>
      <c r="S1738" s="61" t="n">
        <f aca="false">PERCENTRANK($Q$2:$Q$1780,Q1738,6)</f>
        <v>0.365579</v>
      </c>
      <c r="T1738" s="61" t="n">
        <f aca="false">PERCENTRANK($F$2:$F$1780,F1738,6)</f>
        <v>0</v>
      </c>
      <c r="U1738" s="62" t="n">
        <f aca="false">IF(F1738&gt;0,(Settings!$B$8*T1738+Settings!$B$9*R1738+Settings!$B$10*S1738)/SUM(Settings!$B$8:$B$10),0)</f>
        <v>0</v>
      </c>
      <c r="V1738" s="56" t="str">
        <f aca="false">IF(U1738&gt;0,RANK(U1738,$U$2:$U$1780)+COUNTIF($U$2:U1738,U1738)-1,"")</f>
        <v/>
      </c>
      <c r="W1738" s="56" t="str">
        <f aca="false">IF(V1738="","",IF(V1738&lt;=Settings!$B$11,"1 - Fix first",IF(V1738&lt;=Settings!$B$12,"2 - Review","3 - Monitor")))</f>
        <v/>
      </c>
      <c r="X1738" s="56" t="str">
        <f aca="false">IF(AND(E1738&gt;=Settings!$B$4,F1738&gt;=Settings!$B$5,O1738&gt;=Settings!$B$6),"HIGH RATE","")</f>
        <v/>
      </c>
      <c r="Y1738" s="56" t="str">
        <f aca="false">IF(F1738&gt;0,RANK(F1738,$F$2:$F$1780)+COUNTIF($F$2:F1738,F1738)-1,"")</f>
        <v/>
      </c>
      <c r="Z1738" s="56" t="str">
        <f aca="false">IF(H1738&gt;0,RANK(H1738,$H$2:$H$1780)+COUNTIF($H$2:H1738,H1738)-1,"")</f>
        <v/>
      </c>
      <c r="AA1738" s="56" t="str">
        <f aca="false">IF(AC1738="","",RANK(AC1738,$AC$2:$AC$1780)+COUNTIF($AC$2:AC1738,AC1738)-1)</f>
        <v/>
      </c>
      <c r="AB1738" s="56" t="str">
        <f aca="false">IF(AD1738="","",RANK(AD1738,$AD$2:$AD$1780)+COUNTIF($AD$2:AD1738,AD1738)-1)</f>
        <v/>
      </c>
      <c r="AC1738" s="56" t="str">
        <f aca="false">IF(AND(F1738&gt;0,E1738&gt;=Settings!$B$4),J1738,"")</f>
        <v/>
      </c>
      <c r="AD1738" s="56" t="str">
        <f aca="false">IF(X1738="HIGH RATE",O1738,"")</f>
        <v/>
      </c>
    </row>
    <row r="1739" customFormat="false" ht="15" hidden="false" customHeight="false" outlineLevel="0" collapsed="false">
      <c r="A1739" s="56" t="s">
        <v>3266</v>
      </c>
      <c r="B1739" s="56" t="s">
        <v>591</v>
      </c>
      <c r="C1739" s="56" t="s">
        <v>132</v>
      </c>
      <c r="D1739" s="56" t="str">
        <f aca="false">IFERROR(INDEX('Brand Map'!$B$4:$B$124,MATCH(C1739,'Brand Map'!$A$4:$A$124,0)),"Other")</f>
        <v>RP</v>
      </c>
      <c r="E1739" s="57" t="n">
        <v>4</v>
      </c>
      <c r="F1739" s="57" t="n">
        <v>0</v>
      </c>
      <c r="G1739" s="58" t="n">
        <v>19.8</v>
      </c>
      <c r="H1739" s="58" t="n">
        <v>0</v>
      </c>
      <c r="I1739" s="58" t="n">
        <v>19.8</v>
      </c>
      <c r="J1739" s="32" t="n">
        <f aca="false">IF(E1739&gt;0,F1739/E1739,0)</f>
        <v>0</v>
      </c>
      <c r="K1739" s="32" t="n">
        <f aca="false">IF(G1739&gt;0,H1739/G1739,0)</f>
        <v>-0</v>
      </c>
      <c r="L1739" s="59" t="n">
        <f aca="false">H1739/Settings!$B$16</f>
        <v>-0</v>
      </c>
      <c r="M1739" s="59" t="n">
        <f aca="false">H1739/Settings!$B$20</f>
        <v>-0</v>
      </c>
      <c r="N1739" s="60" t="n">
        <f aca="false">E1739*Settings!$B$3</f>
        <v>0.123944604319282</v>
      </c>
      <c r="O1739" s="60" t="n">
        <f aca="false">IF(E1739&gt;0,(F1739-N1739)/SQRT(E1739*Settings!$B$3*(1-Settings!$B$3)),0)</f>
        <v>-0.357642251868888</v>
      </c>
      <c r="P1739" s="60" t="n">
        <f aca="false">MAX(0,F1739-N1739)</f>
        <v>0</v>
      </c>
      <c r="Q1739" s="32" t="n">
        <f aca="false">(F1739+Settings!$B$7*Settings!$B$3)/(E1739+Settings!$B$7)</f>
        <v>0.027340721541018</v>
      </c>
      <c r="R1739" s="61" t="n">
        <f aca="false">PERCENTRANK($H$2:$H$1780,H1739,6)</f>
        <v>0</v>
      </c>
      <c r="S1739" s="61" t="n">
        <f aca="false">PERCENTRANK($Q$2:$Q$1780,Q1739,6)</f>
        <v>0.253656</v>
      </c>
      <c r="T1739" s="61" t="n">
        <f aca="false">PERCENTRANK($F$2:$F$1780,F1739,6)</f>
        <v>0</v>
      </c>
      <c r="U1739" s="62" t="n">
        <f aca="false">IF(F1739&gt;0,(Settings!$B$8*T1739+Settings!$B$9*R1739+Settings!$B$10*S1739)/SUM(Settings!$B$8:$B$10),0)</f>
        <v>0</v>
      </c>
      <c r="V1739" s="56" t="str">
        <f aca="false">IF(U1739&gt;0,RANK(U1739,$U$2:$U$1780)+COUNTIF($U$2:U1739,U1739)-1,"")</f>
        <v/>
      </c>
      <c r="W1739" s="56" t="str">
        <f aca="false">IF(V1739="","",IF(V1739&lt;=Settings!$B$11,"1 - Fix first",IF(V1739&lt;=Settings!$B$12,"2 - Review","3 - Monitor")))</f>
        <v/>
      </c>
      <c r="X1739" s="56" t="str">
        <f aca="false">IF(AND(E1739&gt;=Settings!$B$4,F1739&gt;=Settings!$B$5,O1739&gt;=Settings!$B$6),"HIGH RATE","")</f>
        <v/>
      </c>
      <c r="Y1739" s="56" t="str">
        <f aca="false">IF(F1739&gt;0,RANK(F1739,$F$2:$F$1780)+COUNTIF($F$2:F1739,F1739)-1,"")</f>
        <v/>
      </c>
      <c r="Z1739" s="56" t="str">
        <f aca="false">IF(H1739&gt;0,RANK(H1739,$H$2:$H$1780)+COUNTIF($H$2:H1739,H1739)-1,"")</f>
        <v/>
      </c>
      <c r="AA1739" s="56" t="str">
        <f aca="false">IF(AC1739="","",RANK(AC1739,$AC$2:$AC$1780)+COUNTIF($AC$2:AC1739,AC1739)-1)</f>
        <v/>
      </c>
      <c r="AB1739" s="56" t="str">
        <f aca="false">IF(AD1739="","",RANK(AD1739,$AD$2:$AD$1780)+COUNTIF($AD$2:AD1739,AD1739)-1)</f>
        <v/>
      </c>
      <c r="AC1739" s="56" t="str">
        <f aca="false">IF(AND(F1739&gt;0,E1739&gt;=Settings!$B$4),J1739,"")</f>
        <v/>
      </c>
      <c r="AD1739" s="56" t="str">
        <f aca="false">IF(X1739="HIGH RATE",O1739,"")</f>
        <v/>
      </c>
    </row>
    <row r="1740" customFormat="false" ht="15" hidden="false" customHeight="false" outlineLevel="0" collapsed="false">
      <c r="A1740" s="56" t="s">
        <v>3267</v>
      </c>
      <c r="B1740" s="56" t="s">
        <v>3268</v>
      </c>
      <c r="C1740" s="56" t="s">
        <v>710</v>
      </c>
      <c r="D1740" s="56" t="str">
        <f aca="false">IFERROR(INDEX('Brand Map'!$B$4:$B$124,MATCH(C1740,'Brand Map'!$A$4:$A$124,0)),"Other")</f>
        <v>Other (small prefixes)</v>
      </c>
      <c r="E1740" s="57" t="n">
        <v>1</v>
      </c>
      <c r="F1740" s="57" t="n">
        <v>0</v>
      </c>
      <c r="G1740" s="58" t="n">
        <v>84.95</v>
      </c>
      <c r="H1740" s="58" t="n">
        <v>0</v>
      </c>
      <c r="I1740" s="58" t="n">
        <v>84.95</v>
      </c>
      <c r="J1740" s="32" t="n">
        <f aca="false">IF(E1740&gt;0,F1740/E1740,0)</f>
        <v>0</v>
      </c>
      <c r="K1740" s="32" t="n">
        <f aca="false">IF(G1740&gt;0,H1740/G1740,0)</f>
        <v>-0</v>
      </c>
      <c r="L1740" s="59" t="n">
        <f aca="false">H1740/Settings!$B$16</f>
        <v>-0</v>
      </c>
      <c r="M1740" s="59" t="n">
        <f aca="false">H1740/Settings!$B$20</f>
        <v>-0</v>
      </c>
      <c r="N1740" s="60" t="n">
        <f aca="false">E1740*Settings!$B$3</f>
        <v>0.0309861510798204</v>
      </c>
      <c r="O1740" s="60" t="n">
        <f aca="false">IF(E1740&gt;0,(F1740-N1740)/SQRT(E1740*Settings!$B$3*(1-Settings!$B$3)),0)</f>
        <v>-0.178821125934444</v>
      </c>
      <c r="P1740" s="60" t="n">
        <f aca="false">MAX(0,F1740-N1740)</f>
        <v>0</v>
      </c>
      <c r="Q1740" s="32" t="n">
        <f aca="false">(F1740+Settings!$B$7*Settings!$B$3)/(E1740+Settings!$B$7)</f>
        <v>0.0299865978191811</v>
      </c>
      <c r="R1740" s="61" t="n">
        <f aca="false">PERCENTRANK($H$2:$H$1780,H1740,6)</f>
        <v>0</v>
      </c>
      <c r="S1740" s="61" t="n">
        <f aca="false">PERCENTRANK($Q$2:$Q$1780,Q1740,6)</f>
        <v>0.486502</v>
      </c>
      <c r="T1740" s="61" t="n">
        <f aca="false">PERCENTRANK($F$2:$F$1780,F1740,6)</f>
        <v>0</v>
      </c>
      <c r="U1740" s="62" t="n">
        <f aca="false">IF(F1740&gt;0,(Settings!$B$8*T1740+Settings!$B$9*R1740+Settings!$B$10*S1740)/SUM(Settings!$B$8:$B$10),0)</f>
        <v>0</v>
      </c>
      <c r="V1740" s="56" t="str">
        <f aca="false">IF(U1740&gt;0,RANK(U1740,$U$2:$U$1780)+COUNTIF($U$2:U1740,U1740)-1,"")</f>
        <v/>
      </c>
      <c r="W1740" s="56" t="str">
        <f aca="false">IF(V1740="","",IF(V1740&lt;=Settings!$B$11,"1 - Fix first",IF(V1740&lt;=Settings!$B$12,"2 - Review","3 - Monitor")))</f>
        <v/>
      </c>
      <c r="X1740" s="56" t="str">
        <f aca="false">IF(AND(E1740&gt;=Settings!$B$4,F1740&gt;=Settings!$B$5,O1740&gt;=Settings!$B$6),"HIGH RATE","")</f>
        <v/>
      </c>
      <c r="Y1740" s="56" t="str">
        <f aca="false">IF(F1740&gt;0,RANK(F1740,$F$2:$F$1780)+COUNTIF($F$2:F1740,F1740)-1,"")</f>
        <v/>
      </c>
      <c r="Z1740" s="56" t="str">
        <f aca="false">IF(H1740&gt;0,RANK(H1740,$H$2:$H$1780)+COUNTIF($H$2:H1740,H1740)-1,"")</f>
        <v/>
      </c>
      <c r="AA1740" s="56" t="str">
        <f aca="false">IF(AC1740="","",RANK(AC1740,$AC$2:$AC$1780)+COUNTIF($AC$2:AC1740,AC1740)-1)</f>
        <v/>
      </c>
      <c r="AB1740" s="56" t="str">
        <f aca="false">IF(AD1740="","",RANK(AD1740,$AD$2:$AD$1780)+COUNTIF($AD$2:AD1740,AD1740)-1)</f>
        <v/>
      </c>
      <c r="AC1740" s="56" t="str">
        <f aca="false">IF(AND(F1740&gt;0,E1740&gt;=Settings!$B$4),J1740,"")</f>
        <v/>
      </c>
      <c r="AD1740" s="56" t="str">
        <f aca="false">IF(X1740="HIGH RATE",O1740,"")</f>
        <v/>
      </c>
    </row>
    <row r="1741" customFormat="false" ht="15" hidden="false" customHeight="false" outlineLevel="0" collapsed="false">
      <c r="A1741" s="56" t="s">
        <v>3269</v>
      </c>
      <c r="B1741" s="56" t="s">
        <v>3268</v>
      </c>
      <c r="C1741" s="56" t="s">
        <v>710</v>
      </c>
      <c r="D1741" s="56" t="str">
        <f aca="false">IFERROR(INDEX('Brand Map'!$B$4:$B$124,MATCH(C1741,'Brand Map'!$A$4:$A$124,0)),"Other")</f>
        <v>Other (small prefixes)</v>
      </c>
      <c r="E1741" s="57" t="n">
        <v>3</v>
      </c>
      <c r="F1741" s="57" t="n">
        <v>0</v>
      </c>
      <c r="G1741" s="58" t="n">
        <v>209.85</v>
      </c>
      <c r="H1741" s="58" t="n">
        <v>0</v>
      </c>
      <c r="I1741" s="58" t="n">
        <v>209.85</v>
      </c>
      <c r="J1741" s="32" t="n">
        <f aca="false">IF(E1741&gt;0,F1741/E1741,0)</f>
        <v>0</v>
      </c>
      <c r="K1741" s="32" t="n">
        <f aca="false">IF(G1741&gt;0,H1741/G1741,0)</f>
        <v>-0</v>
      </c>
      <c r="L1741" s="59" t="n">
        <f aca="false">H1741/Settings!$B$16</f>
        <v>-0</v>
      </c>
      <c r="M1741" s="59" t="n">
        <f aca="false">H1741/Settings!$B$20</f>
        <v>-0</v>
      </c>
      <c r="N1741" s="60" t="n">
        <f aca="false">E1741*Settings!$B$3</f>
        <v>0.0929584532394613</v>
      </c>
      <c r="O1741" s="60" t="n">
        <f aca="false">IF(E1741&gt;0,(F1741-N1741)/SQRT(E1741*Settings!$B$3*(1-Settings!$B$3)),0)</f>
        <v>-0.30972727558513</v>
      </c>
      <c r="P1741" s="60" t="n">
        <f aca="false">MAX(0,F1741-N1741)</f>
        <v>0</v>
      </c>
      <c r="Q1741" s="32" t="n">
        <f aca="false">(F1741+Settings!$B$7*Settings!$B$3)/(E1741+Settings!$B$7)</f>
        <v>0.0281692282543822</v>
      </c>
      <c r="R1741" s="61" t="n">
        <f aca="false">PERCENTRANK($H$2:$H$1780,H1741,6)</f>
        <v>0</v>
      </c>
      <c r="S1741" s="61" t="n">
        <f aca="false">PERCENTRANK($Q$2:$Q$1780,Q1741,6)</f>
        <v>0.294151</v>
      </c>
      <c r="T1741" s="61" t="n">
        <f aca="false">PERCENTRANK($F$2:$F$1780,F1741,6)</f>
        <v>0</v>
      </c>
      <c r="U1741" s="62" t="n">
        <f aca="false">IF(F1741&gt;0,(Settings!$B$8*T1741+Settings!$B$9*R1741+Settings!$B$10*S1741)/SUM(Settings!$B$8:$B$10),0)</f>
        <v>0</v>
      </c>
      <c r="V1741" s="56" t="str">
        <f aca="false">IF(U1741&gt;0,RANK(U1741,$U$2:$U$1780)+COUNTIF($U$2:U1741,U1741)-1,"")</f>
        <v/>
      </c>
      <c r="W1741" s="56" t="str">
        <f aca="false">IF(V1741="","",IF(V1741&lt;=Settings!$B$11,"1 - Fix first",IF(V1741&lt;=Settings!$B$12,"2 - Review","3 - Monitor")))</f>
        <v/>
      </c>
      <c r="X1741" s="56" t="str">
        <f aca="false">IF(AND(E1741&gt;=Settings!$B$4,F1741&gt;=Settings!$B$5,O1741&gt;=Settings!$B$6),"HIGH RATE","")</f>
        <v/>
      </c>
      <c r="Y1741" s="56" t="str">
        <f aca="false">IF(F1741&gt;0,RANK(F1741,$F$2:$F$1780)+COUNTIF($F$2:F1741,F1741)-1,"")</f>
        <v/>
      </c>
      <c r="Z1741" s="56" t="str">
        <f aca="false">IF(H1741&gt;0,RANK(H1741,$H$2:$H$1780)+COUNTIF($H$2:H1741,H1741)-1,"")</f>
        <v/>
      </c>
      <c r="AA1741" s="56" t="str">
        <f aca="false">IF(AC1741="","",RANK(AC1741,$AC$2:$AC$1780)+COUNTIF($AC$2:AC1741,AC1741)-1)</f>
        <v/>
      </c>
      <c r="AB1741" s="56" t="str">
        <f aca="false">IF(AD1741="","",RANK(AD1741,$AD$2:$AD$1780)+COUNTIF($AD$2:AD1741,AD1741)-1)</f>
        <v/>
      </c>
      <c r="AC1741" s="56" t="str">
        <f aca="false">IF(AND(F1741&gt;0,E1741&gt;=Settings!$B$4),J1741,"")</f>
        <v/>
      </c>
      <c r="AD1741" s="56" t="str">
        <f aca="false">IF(X1741="HIGH RATE",O1741,"")</f>
        <v/>
      </c>
    </row>
    <row r="1742" customFormat="false" ht="15" hidden="false" customHeight="false" outlineLevel="0" collapsed="false">
      <c r="A1742" s="56" t="s">
        <v>3270</v>
      </c>
      <c r="B1742" s="56" t="s">
        <v>712</v>
      </c>
      <c r="C1742" s="56" t="s">
        <v>710</v>
      </c>
      <c r="D1742" s="56" t="str">
        <f aca="false">IFERROR(INDEX('Brand Map'!$B$4:$B$124,MATCH(C1742,'Brand Map'!$A$4:$A$124,0)),"Other")</f>
        <v>Other (small prefixes)</v>
      </c>
      <c r="E1742" s="57" t="n">
        <v>1</v>
      </c>
      <c r="F1742" s="57" t="n">
        <v>0</v>
      </c>
      <c r="G1742" s="58" t="n">
        <v>84.95</v>
      </c>
      <c r="H1742" s="58" t="n">
        <v>0</v>
      </c>
      <c r="I1742" s="58" t="n">
        <v>84.95</v>
      </c>
      <c r="J1742" s="32" t="n">
        <f aca="false">IF(E1742&gt;0,F1742/E1742,0)</f>
        <v>0</v>
      </c>
      <c r="K1742" s="32" t="n">
        <f aca="false">IF(G1742&gt;0,H1742/G1742,0)</f>
        <v>-0</v>
      </c>
      <c r="L1742" s="59" t="n">
        <f aca="false">H1742/Settings!$B$16</f>
        <v>-0</v>
      </c>
      <c r="M1742" s="59" t="n">
        <f aca="false">H1742/Settings!$B$20</f>
        <v>-0</v>
      </c>
      <c r="N1742" s="60" t="n">
        <f aca="false">E1742*Settings!$B$3</f>
        <v>0.0309861510798204</v>
      </c>
      <c r="O1742" s="60" t="n">
        <f aca="false">IF(E1742&gt;0,(F1742-N1742)/SQRT(E1742*Settings!$B$3*(1-Settings!$B$3)),0)</f>
        <v>-0.178821125934444</v>
      </c>
      <c r="P1742" s="60" t="n">
        <f aca="false">MAX(0,F1742-N1742)</f>
        <v>0</v>
      </c>
      <c r="Q1742" s="32" t="n">
        <f aca="false">(F1742+Settings!$B$7*Settings!$B$3)/(E1742+Settings!$B$7)</f>
        <v>0.0299865978191811</v>
      </c>
      <c r="R1742" s="61" t="n">
        <f aca="false">PERCENTRANK($H$2:$H$1780,H1742,6)</f>
        <v>0</v>
      </c>
      <c r="S1742" s="61" t="n">
        <f aca="false">PERCENTRANK($Q$2:$Q$1780,Q1742,6)</f>
        <v>0.486502</v>
      </c>
      <c r="T1742" s="61" t="n">
        <f aca="false">PERCENTRANK($F$2:$F$1780,F1742,6)</f>
        <v>0</v>
      </c>
      <c r="U1742" s="62" t="n">
        <f aca="false">IF(F1742&gt;0,(Settings!$B$8*T1742+Settings!$B$9*R1742+Settings!$B$10*S1742)/SUM(Settings!$B$8:$B$10),0)</f>
        <v>0</v>
      </c>
      <c r="V1742" s="56" t="str">
        <f aca="false">IF(U1742&gt;0,RANK(U1742,$U$2:$U$1780)+COUNTIF($U$2:U1742,U1742)-1,"")</f>
        <v/>
      </c>
      <c r="W1742" s="56" t="str">
        <f aca="false">IF(V1742="","",IF(V1742&lt;=Settings!$B$11,"1 - Fix first",IF(V1742&lt;=Settings!$B$12,"2 - Review","3 - Monitor")))</f>
        <v/>
      </c>
      <c r="X1742" s="56" t="str">
        <f aca="false">IF(AND(E1742&gt;=Settings!$B$4,F1742&gt;=Settings!$B$5,O1742&gt;=Settings!$B$6),"HIGH RATE","")</f>
        <v/>
      </c>
      <c r="Y1742" s="56" t="str">
        <f aca="false">IF(F1742&gt;0,RANK(F1742,$F$2:$F$1780)+COUNTIF($F$2:F1742,F1742)-1,"")</f>
        <v/>
      </c>
      <c r="Z1742" s="56" t="str">
        <f aca="false">IF(H1742&gt;0,RANK(H1742,$H$2:$H$1780)+COUNTIF($H$2:H1742,H1742)-1,"")</f>
        <v/>
      </c>
      <c r="AA1742" s="56" t="str">
        <f aca="false">IF(AC1742="","",RANK(AC1742,$AC$2:$AC$1780)+COUNTIF($AC$2:AC1742,AC1742)-1)</f>
        <v/>
      </c>
      <c r="AB1742" s="56" t="str">
        <f aca="false">IF(AD1742="","",RANK(AD1742,$AD$2:$AD$1780)+COUNTIF($AD$2:AD1742,AD1742)-1)</f>
        <v/>
      </c>
      <c r="AC1742" s="56" t="str">
        <f aca="false">IF(AND(F1742&gt;0,E1742&gt;=Settings!$B$4),J1742,"")</f>
        <v/>
      </c>
      <c r="AD1742" s="56" t="str">
        <f aca="false">IF(X1742="HIGH RATE",O1742,"")</f>
        <v/>
      </c>
    </row>
    <row r="1743" customFormat="false" ht="15" hidden="false" customHeight="false" outlineLevel="0" collapsed="false">
      <c r="A1743" s="56" t="s">
        <v>3271</v>
      </c>
      <c r="B1743" s="56" t="s">
        <v>712</v>
      </c>
      <c r="C1743" s="56" t="s">
        <v>710</v>
      </c>
      <c r="D1743" s="56" t="str">
        <f aca="false">IFERROR(INDEX('Brand Map'!$B$4:$B$124,MATCH(C1743,'Brand Map'!$A$4:$A$124,0)),"Other")</f>
        <v>Other (small prefixes)</v>
      </c>
      <c r="E1743" s="57" t="n">
        <v>1</v>
      </c>
      <c r="F1743" s="57" t="n">
        <v>0</v>
      </c>
      <c r="G1743" s="58" t="n">
        <v>114.95</v>
      </c>
      <c r="H1743" s="58" t="n">
        <v>0</v>
      </c>
      <c r="I1743" s="58" t="n">
        <v>114.95</v>
      </c>
      <c r="J1743" s="32" t="n">
        <f aca="false">IF(E1743&gt;0,F1743/E1743,0)</f>
        <v>0</v>
      </c>
      <c r="K1743" s="32" t="n">
        <f aca="false">IF(G1743&gt;0,H1743/G1743,0)</f>
        <v>-0</v>
      </c>
      <c r="L1743" s="59" t="n">
        <f aca="false">H1743/Settings!$B$16</f>
        <v>-0</v>
      </c>
      <c r="M1743" s="59" t="n">
        <f aca="false">H1743/Settings!$B$20</f>
        <v>-0</v>
      </c>
      <c r="N1743" s="60" t="n">
        <f aca="false">E1743*Settings!$B$3</f>
        <v>0.0309861510798204</v>
      </c>
      <c r="O1743" s="60" t="n">
        <f aca="false">IF(E1743&gt;0,(F1743-N1743)/SQRT(E1743*Settings!$B$3*(1-Settings!$B$3)),0)</f>
        <v>-0.178821125934444</v>
      </c>
      <c r="P1743" s="60" t="n">
        <f aca="false">MAX(0,F1743-N1743)</f>
        <v>0</v>
      </c>
      <c r="Q1743" s="32" t="n">
        <f aca="false">(F1743+Settings!$B$7*Settings!$B$3)/(E1743+Settings!$B$7)</f>
        <v>0.0299865978191811</v>
      </c>
      <c r="R1743" s="61" t="n">
        <f aca="false">PERCENTRANK($H$2:$H$1780,H1743,6)</f>
        <v>0</v>
      </c>
      <c r="S1743" s="61" t="n">
        <f aca="false">PERCENTRANK($Q$2:$Q$1780,Q1743,6)</f>
        <v>0.486502</v>
      </c>
      <c r="T1743" s="61" t="n">
        <f aca="false">PERCENTRANK($F$2:$F$1780,F1743,6)</f>
        <v>0</v>
      </c>
      <c r="U1743" s="62" t="n">
        <f aca="false">IF(F1743&gt;0,(Settings!$B$8*T1743+Settings!$B$9*R1743+Settings!$B$10*S1743)/SUM(Settings!$B$8:$B$10),0)</f>
        <v>0</v>
      </c>
      <c r="V1743" s="56" t="str">
        <f aca="false">IF(U1743&gt;0,RANK(U1743,$U$2:$U$1780)+COUNTIF($U$2:U1743,U1743)-1,"")</f>
        <v/>
      </c>
      <c r="W1743" s="56" t="str">
        <f aca="false">IF(V1743="","",IF(V1743&lt;=Settings!$B$11,"1 - Fix first",IF(V1743&lt;=Settings!$B$12,"2 - Review","3 - Monitor")))</f>
        <v/>
      </c>
      <c r="X1743" s="56" t="str">
        <f aca="false">IF(AND(E1743&gt;=Settings!$B$4,F1743&gt;=Settings!$B$5,O1743&gt;=Settings!$B$6),"HIGH RATE","")</f>
        <v/>
      </c>
      <c r="Y1743" s="56" t="str">
        <f aca="false">IF(F1743&gt;0,RANK(F1743,$F$2:$F$1780)+COUNTIF($F$2:F1743,F1743)-1,"")</f>
        <v/>
      </c>
      <c r="Z1743" s="56" t="str">
        <f aca="false">IF(H1743&gt;0,RANK(H1743,$H$2:$H$1780)+COUNTIF($H$2:H1743,H1743)-1,"")</f>
        <v/>
      </c>
      <c r="AA1743" s="56" t="str">
        <f aca="false">IF(AC1743="","",RANK(AC1743,$AC$2:$AC$1780)+COUNTIF($AC$2:AC1743,AC1743)-1)</f>
        <v/>
      </c>
      <c r="AB1743" s="56" t="str">
        <f aca="false">IF(AD1743="","",RANK(AD1743,$AD$2:$AD$1780)+COUNTIF($AD$2:AD1743,AD1743)-1)</f>
        <v/>
      </c>
      <c r="AC1743" s="56" t="str">
        <f aca="false">IF(AND(F1743&gt;0,E1743&gt;=Settings!$B$4),J1743,"")</f>
        <v/>
      </c>
      <c r="AD1743" s="56" t="str">
        <f aca="false">IF(X1743="HIGH RATE",O1743,"")</f>
        <v/>
      </c>
    </row>
    <row r="1744" customFormat="false" ht="15" hidden="false" customHeight="false" outlineLevel="0" collapsed="false">
      <c r="A1744" s="56" t="s">
        <v>3272</v>
      </c>
      <c r="B1744" s="56" t="s">
        <v>712</v>
      </c>
      <c r="C1744" s="56" t="s">
        <v>710</v>
      </c>
      <c r="D1744" s="56" t="str">
        <f aca="false">IFERROR(INDEX('Brand Map'!$B$4:$B$124,MATCH(C1744,'Brand Map'!$A$4:$A$124,0)),"Other")</f>
        <v>Other (small prefixes)</v>
      </c>
      <c r="E1744" s="57" t="n">
        <v>3</v>
      </c>
      <c r="F1744" s="57" t="n">
        <v>0</v>
      </c>
      <c r="G1744" s="58" t="n">
        <v>389.85</v>
      </c>
      <c r="H1744" s="58" t="n">
        <v>0</v>
      </c>
      <c r="I1744" s="58" t="n">
        <v>389.85</v>
      </c>
      <c r="J1744" s="32" t="n">
        <f aca="false">IF(E1744&gt;0,F1744/E1744,0)</f>
        <v>0</v>
      </c>
      <c r="K1744" s="32" t="n">
        <f aca="false">IF(G1744&gt;0,H1744/G1744,0)</f>
        <v>-0</v>
      </c>
      <c r="L1744" s="59" t="n">
        <f aca="false">H1744/Settings!$B$16</f>
        <v>-0</v>
      </c>
      <c r="M1744" s="59" t="n">
        <f aca="false">H1744/Settings!$B$20</f>
        <v>-0</v>
      </c>
      <c r="N1744" s="60" t="n">
        <f aca="false">E1744*Settings!$B$3</f>
        <v>0.0929584532394613</v>
      </c>
      <c r="O1744" s="60" t="n">
        <f aca="false">IF(E1744&gt;0,(F1744-N1744)/SQRT(E1744*Settings!$B$3*(1-Settings!$B$3)),0)</f>
        <v>-0.30972727558513</v>
      </c>
      <c r="P1744" s="60" t="n">
        <f aca="false">MAX(0,F1744-N1744)</f>
        <v>0</v>
      </c>
      <c r="Q1744" s="32" t="n">
        <f aca="false">(F1744+Settings!$B$7*Settings!$B$3)/(E1744+Settings!$B$7)</f>
        <v>0.0281692282543822</v>
      </c>
      <c r="R1744" s="61" t="n">
        <f aca="false">PERCENTRANK($H$2:$H$1780,H1744,6)</f>
        <v>0</v>
      </c>
      <c r="S1744" s="61" t="n">
        <f aca="false">PERCENTRANK($Q$2:$Q$1780,Q1744,6)</f>
        <v>0.294151</v>
      </c>
      <c r="T1744" s="61" t="n">
        <f aca="false">PERCENTRANK($F$2:$F$1780,F1744,6)</f>
        <v>0</v>
      </c>
      <c r="U1744" s="62" t="n">
        <f aca="false">IF(F1744&gt;0,(Settings!$B$8*T1744+Settings!$B$9*R1744+Settings!$B$10*S1744)/SUM(Settings!$B$8:$B$10),0)</f>
        <v>0</v>
      </c>
      <c r="V1744" s="56" t="str">
        <f aca="false">IF(U1744&gt;0,RANK(U1744,$U$2:$U$1780)+COUNTIF($U$2:U1744,U1744)-1,"")</f>
        <v/>
      </c>
      <c r="W1744" s="56" t="str">
        <f aca="false">IF(V1744="","",IF(V1744&lt;=Settings!$B$11,"1 - Fix first",IF(V1744&lt;=Settings!$B$12,"2 - Review","3 - Monitor")))</f>
        <v/>
      </c>
      <c r="X1744" s="56" t="str">
        <f aca="false">IF(AND(E1744&gt;=Settings!$B$4,F1744&gt;=Settings!$B$5,O1744&gt;=Settings!$B$6),"HIGH RATE","")</f>
        <v/>
      </c>
      <c r="Y1744" s="56" t="str">
        <f aca="false">IF(F1744&gt;0,RANK(F1744,$F$2:$F$1780)+COUNTIF($F$2:F1744,F1744)-1,"")</f>
        <v/>
      </c>
      <c r="Z1744" s="56" t="str">
        <f aca="false">IF(H1744&gt;0,RANK(H1744,$H$2:$H$1780)+COUNTIF($H$2:H1744,H1744)-1,"")</f>
        <v/>
      </c>
      <c r="AA1744" s="56" t="str">
        <f aca="false">IF(AC1744="","",RANK(AC1744,$AC$2:$AC$1780)+COUNTIF($AC$2:AC1744,AC1744)-1)</f>
        <v/>
      </c>
      <c r="AB1744" s="56" t="str">
        <f aca="false">IF(AD1744="","",RANK(AD1744,$AD$2:$AD$1780)+COUNTIF($AD$2:AD1744,AD1744)-1)</f>
        <v/>
      </c>
      <c r="AC1744" s="56" t="str">
        <f aca="false">IF(AND(F1744&gt;0,E1744&gt;=Settings!$B$4),J1744,"")</f>
        <v/>
      </c>
      <c r="AD1744" s="56" t="str">
        <f aca="false">IF(X1744="HIGH RATE",O1744,"")</f>
        <v/>
      </c>
    </row>
    <row r="1745" customFormat="false" ht="15" hidden="false" customHeight="false" outlineLevel="0" collapsed="false">
      <c r="A1745" s="56" t="s">
        <v>3273</v>
      </c>
      <c r="B1745" s="56" t="s">
        <v>1237</v>
      </c>
      <c r="C1745" s="56" t="s">
        <v>114</v>
      </c>
      <c r="D1745" s="56" t="str">
        <f aca="false">IFERROR(INDEX('Brand Map'!$B$4:$B$124,MATCH(C1745,'Brand Map'!$A$4:$A$124,0)),"Other")</f>
        <v>SB</v>
      </c>
      <c r="E1745" s="57" t="n">
        <v>1</v>
      </c>
      <c r="F1745" s="57" t="n">
        <v>0</v>
      </c>
      <c r="G1745" s="58" t="n">
        <v>120.95</v>
      </c>
      <c r="H1745" s="58" t="n">
        <v>0</v>
      </c>
      <c r="I1745" s="58" t="n">
        <v>120.95</v>
      </c>
      <c r="J1745" s="32" t="n">
        <f aca="false">IF(E1745&gt;0,F1745/E1745,0)</f>
        <v>0</v>
      </c>
      <c r="K1745" s="32" t="n">
        <f aca="false">IF(G1745&gt;0,H1745/G1745,0)</f>
        <v>-0</v>
      </c>
      <c r="L1745" s="59" t="n">
        <f aca="false">H1745/Settings!$B$16</f>
        <v>-0</v>
      </c>
      <c r="M1745" s="59" t="n">
        <f aca="false">H1745/Settings!$B$20</f>
        <v>-0</v>
      </c>
      <c r="N1745" s="60" t="n">
        <f aca="false">E1745*Settings!$B$3</f>
        <v>0.0309861510798204</v>
      </c>
      <c r="O1745" s="60" t="n">
        <f aca="false">IF(E1745&gt;0,(F1745-N1745)/SQRT(E1745*Settings!$B$3*(1-Settings!$B$3)),0)</f>
        <v>-0.178821125934444</v>
      </c>
      <c r="P1745" s="60" t="n">
        <f aca="false">MAX(0,F1745-N1745)</f>
        <v>0</v>
      </c>
      <c r="Q1745" s="32" t="n">
        <f aca="false">(F1745+Settings!$B$7*Settings!$B$3)/(E1745+Settings!$B$7)</f>
        <v>0.0299865978191811</v>
      </c>
      <c r="R1745" s="61" t="n">
        <f aca="false">PERCENTRANK($H$2:$H$1780,H1745,6)</f>
        <v>0</v>
      </c>
      <c r="S1745" s="61" t="n">
        <f aca="false">PERCENTRANK($Q$2:$Q$1780,Q1745,6)</f>
        <v>0.486502</v>
      </c>
      <c r="T1745" s="61" t="n">
        <f aca="false">PERCENTRANK($F$2:$F$1780,F1745,6)</f>
        <v>0</v>
      </c>
      <c r="U1745" s="62" t="n">
        <f aca="false">IF(F1745&gt;0,(Settings!$B$8*T1745+Settings!$B$9*R1745+Settings!$B$10*S1745)/SUM(Settings!$B$8:$B$10),0)</f>
        <v>0</v>
      </c>
      <c r="V1745" s="56" t="str">
        <f aca="false">IF(U1745&gt;0,RANK(U1745,$U$2:$U$1780)+COUNTIF($U$2:U1745,U1745)-1,"")</f>
        <v/>
      </c>
      <c r="W1745" s="56" t="str">
        <f aca="false">IF(V1745="","",IF(V1745&lt;=Settings!$B$11,"1 - Fix first",IF(V1745&lt;=Settings!$B$12,"2 - Review","3 - Monitor")))</f>
        <v/>
      </c>
      <c r="X1745" s="56" t="str">
        <f aca="false">IF(AND(E1745&gt;=Settings!$B$4,F1745&gt;=Settings!$B$5,O1745&gt;=Settings!$B$6),"HIGH RATE","")</f>
        <v/>
      </c>
      <c r="Y1745" s="56" t="str">
        <f aca="false">IF(F1745&gt;0,RANK(F1745,$F$2:$F$1780)+COUNTIF($F$2:F1745,F1745)-1,"")</f>
        <v/>
      </c>
      <c r="Z1745" s="56" t="str">
        <f aca="false">IF(H1745&gt;0,RANK(H1745,$H$2:$H$1780)+COUNTIF($H$2:H1745,H1745)-1,"")</f>
        <v/>
      </c>
      <c r="AA1745" s="56" t="str">
        <f aca="false">IF(AC1745="","",RANK(AC1745,$AC$2:$AC$1780)+COUNTIF($AC$2:AC1745,AC1745)-1)</f>
        <v/>
      </c>
      <c r="AB1745" s="56" t="str">
        <f aca="false">IF(AD1745="","",RANK(AD1745,$AD$2:$AD$1780)+COUNTIF($AD$2:AD1745,AD1745)-1)</f>
        <v/>
      </c>
      <c r="AC1745" s="56" t="str">
        <f aca="false">IF(AND(F1745&gt;0,E1745&gt;=Settings!$B$4),J1745,"")</f>
        <v/>
      </c>
      <c r="AD1745" s="56" t="str">
        <f aca="false">IF(X1745="HIGH RATE",O1745,"")</f>
        <v/>
      </c>
    </row>
    <row r="1746" customFormat="false" ht="15" hidden="false" customHeight="false" outlineLevel="0" collapsed="false">
      <c r="A1746" s="56" t="s">
        <v>3274</v>
      </c>
      <c r="B1746" s="56" t="s">
        <v>1136</v>
      </c>
      <c r="C1746" s="56" t="s">
        <v>114</v>
      </c>
      <c r="D1746" s="56" t="str">
        <f aca="false">IFERROR(INDEX('Brand Map'!$B$4:$B$124,MATCH(C1746,'Brand Map'!$A$4:$A$124,0)),"Other")</f>
        <v>SB</v>
      </c>
      <c r="E1746" s="57" t="n">
        <v>1</v>
      </c>
      <c r="F1746" s="57" t="n">
        <v>0</v>
      </c>
      <c r="G1746" s="58" t="n">
        <v>84.95</v>
      </c>
      <c r="H1746" s="58" t="n">
        <v>0</v>
      </c>
      <c r="I1746" s="58" t="n">
        <v>84.95</v>
      </c>
      <c r="J1746" s="32" t="n">
        <f aca="false">IF(E1746&gt;0,F1746/E1746,0)</f>
        <v>0</v>
      </c>
      <c r="K1746" s="32" t="n">
        <f aca="false">IF(G1746&gt;0,H1746/G1746,0)</f>
        <v>-0</v>
      </c>
      <c r="L1746" s="59" t="n">
        <f aca="false">H1746/Settings!$B$16</f>
        <v>-0</v>
      </c>
      <c r="M1746" s="59" t="n">
        <f aca="false">H1746/Settings!$B$20</f>
        <v>-0</v>
      </c>
      <c r="N1746" s="60" t="n">
        <f aca="false">E1746*Settings!$B$3</f>
        <v>0.0309861510798204</v>
      </c>
      <c r="O1746" s="60" t="n">
        <f aca="false">IF(E1746&gt;0,(F1746-N1746)/SQRT(E1746*Settings!$B$3*(1-Settings!$B$3)),0)</f>
        <v>-0.178821125934444</v>
      </c>
      <c r="P1746" s="60" t="n">
        <f aca="false">MAX(0,F1746-N1746)</f>
        <v>0</v>
      </c>
      <c r="Q1746" s="32" t="n">
        <f aca="false">(F1746+Settings!$B$7*Settings!$B$3)/(E1746+Settings!$B$7)</f>
        <v>0.0299865978191811</v>
      </c>
      <c r="R1746" s="61" t="n">
        <f aca="false">PERCENTRANK($H$2:$H$1780,H1746,6)</f>
        <v>0</v>
      </c>
      <c r="S1746" s="61" t="n">
        <f aca="false">PERCENTRANK($Q$2:$Q$1780,Q1746,6)</f>
        <v>0.486502</v>
      </c>
      <c r="T1746" s="61" t="n">
        <f aca="false">PERCENTRANK($F$2:$F$1780,F1746,6)</f>
        <v>0</v>
      </c>
      <c r="U1746" s="62" t="n">
        <f aca="false">IF(F1746&gt;0,(Settings!$B$8*T1746+Settings!$B$9*R1746+Settings!$B$10*S1746)/SUM(Settings!$B$8:$B$10),0)</f>
        <v>0</v>
      </c>
      <c r="V1746" s="56" t="str">
        <f aca="false">IF(U1746&gt;0,RANK(U1746,$U$2:$U$1780)+COUNTIF($U$2:U1746,U1746)-1,"")</f>
        <v/>
      </c>
      <c r="W1746" s="56" t="str">
        <f aca="false">IF(V1746="","",IF(V1746&lt;=Settings!$B$11,"1 - Fix first",IF(V1746&lt;=Settings!$B$12,"2 - Review","3 - Monitor")))</f>
        <v/>
      </c>
      <c r="X1746" s="56" t="str">
        <f aca="false">IF(AND(E1746&gt;=Settings!$B$4,F1746&gt;=Settings!$B$5,O1746&gt;=Settings!$B$6),"HIGH RATE","")</f>
        <v/>
      </c>
      <c r="Y1746" s="56" t="str">
        <f aca="false">IF(F1746&gt;0,RANK(F1746,$F$2:$F$1780)+COUNTIF($F$2:F1746,F1746)-1,"")</f>
        <v/>
      </c>
      <c r="Z1746" s="56" t="str">
        <f aca="false">IF(H1746&gt;0,RANK(H1746,$H$2:$H$1780)+COUNTIF($H$2:H1746,H1746)-1,"")</f>
        <v/>
      </c>
      <c r="AA1746" s="56" t="str">
        <f aca="false">IF(AC1746="","",RANK(AC1746,$AC$2:$AC$1780)+COUNTIF($AC$2:AC1746,AC1746)-1)</f>
        <v/>
      </c>
      <c r="AB1746" s="56" t="str">
        <f aca="false">IF(AD1746="","",RANK(AD1746,$AD$2:$AD$1780)+COUNTIF($AD$2:AD1746,AD1746)-1)</f>
        <v/>
      </c>
      <c r="AC1746" s="56" t="str">
        <f aca="false">IF(AND(F1746&gt;0,E1746&gt;=Settings!$B$4),J1746,"")</f>
        <v/>
      </c>
      <c r="AD1746" s="56" t="str">
        <f aca="false">IF(X1746="HIGH RATE",O1746,"")</f>
        <v/>
      </c>
    </row>
    <row r="1747" customFormat="false" ht="15" hidden="false" customHeight="false" outlineLevel="0" collapsed="false">
      <c r="A1747" s="56" t="s">
        <v>3275</v>
      </c>
      <c r="B1747" s="56" t="s">
        <v>1044</v>
      </c>
      <c r="C1747" s="56" t="s">
        <v>114</v>
      </c>
      <c r="D1747" s="56" t="str">
        <f aca="false">IFERROR(INDEX('Brand Map'!$B$4:$B$124,MATCH(C1747,'Brand Map'!$A$4:$A$124,0)),"Other")</f>
        <v>SB</v>
      </c>
      <c r="E1747" s="57" t="n">
        <v>1</v>
      </c>
      <c r="F1747" s="57" t="n">
        <v>0</v>
      </c>
      <c r="G1747" s="58" t="n">
        <v>99.95</v>
      </c>
      <c r="H1747" s="58" t="n">
        <v>0</v>
      </c>
      <c r="I1747" s="58" t="n">
        <v>99.95</v>
      </c>
      <c r="J1747" s="32" t="n">
        <f aca="false">IF(E1747&gt;0,F1747/E1747,0)</f>
        <v>0</v>
      </c>
      <c r="K1747" s="32" t="n">
        <f aca="false">IF(G1747&gt;0,H1747/G1747,0)</f>
        <v>-0</v>
      </c>
      <c r="L1747" s="59" t="n">
        <f aca="false">H1747/Settings!$B$16</f>
        <v>-0</v>
      </c>
      <c r="M1747" s="59" t="n">
        <f aca="false">H1747/Settings!$B$20</f>
        <v>-0</v>
      </c>
      <c r="N1747" s="60" t="n">
        <f aca="false">E1747*Settings!$B$3</f>
        <v>0.0309861510798204</v>
      </c>
      <c r="O1747" s="60" t="n">
        <f aca="false">IF(E1747&gt;0,(F1747-N1747)/SQRT(E1747*Settings!$B$3*(1-Settings!$B$3)),0)</f>
        <v>-0.178821125934444</v>
      </c>
      <c r="P1747" s="60" t="n">
        <f aca="false">MAX(0,F1747-N1747)</f>
        <v>0</v>
      </c>
      <c r="Q1747" s="32" t="n">
        <f aca="false">(F1747+Settings!$B$7*Settings!$B$3)/(E1747+Settings!$B$7)</f>
        <v>0.0299865978191811</v>
      </c>
      <c r="R1747" s="61" t="n">
        <f aca="false">PERCENTRANK($H$2:$H$1780,H1747,6)</f>
        <v>0</v>
      </c>
      <c r="S1747" s="61" t="n">
        <f aca="false">PERCENTRANK($Q$2:$Q$1780,Q1747,6)</f>
        <v>0.486502</v>
      </c>
      <c r="T1747" s="61" t="n">
        <f aca="false">PERCENTRANK($F$2:$F$1780,F1747,6)</f>
        <v>0</v>
      </c>
      <c r="U1747" s="62" t="n">
        <f aca="false">IF(F1747&gt;0,(Settings!$B$8*T1747+Settings!$B$9*R1747+Settings!$B$10*S1747)/SUM(Settings!$B$8:$B$10),0)</f>
        <v>0</v>
      </c>
      <c r="V1747" s="56" t="str">
        <f aca="false">IF(U1747&gt;0,RANK(U1747,$U$2:$U$1780)+COUNTIF($U$2:U1747,U1747)-1,"")</f>
        <v/>
      </c>
      <c r="W1747" s="56" t="str">
        <f aca="false">IF(V1747="","",IF(V1747&lt;=Settings!$B$11,"1 - Fix first",IF(V1747&lt;=Settings!$B$12,"2 - Review","3 - Monitor")))</f>
        <v/>
      </c>
      <c r="X1747" s="56" t="str">
        <f aca="false">IF(AND(E1747&gt;=Settings!$B$4,F1747&gt;=Settings!$B$5,O1747&gt;=Settings!$B$6),"HIGH RATE","")</f>
        <v/>
      </c>
      <c r="Y1747" s="56" t="str">
        <f aca="false">IF(F1747&gt;0,RANK(F1747,$F$2:$F$1780)+COUNTIF($F$2:F1747,F1747)-1,"")</f>
        <v/>
      </c>
      <c r="Z1747" s="56" t="str">
        <f aca="false">IF(H1747&gt;0,RANK(H1747,$H$2:$H$1780)+COUNTIF($H$2:H1747,H1747)-1,"")</f>
        <v/>
      </c>
      <c r="AA1747" s="56" t="str">
        <f aca="false">IF(AC1747="","",RANK(AC1747,$AC$2:$AC$1780)+COUNTIF($AC$2:AC1747,AC1747)-1)</f>
        <v/>
      </c>
      <c r="AB1747" s="56" t="str">
        <f aca="false">IF(AD1747="","",RANK(AD1747,$AD$2:$AD$1780)+COUNTIF($AD$2:AD1747,AD1747)-1)</f>
        <v/>
      </c>
      <c r="AC1747" s="56" t="str">
        <f aca="false">IF(AND(F1747&gt;0,E1747&gt;=Settings!$B$4),J1747,"")</f>
        <v/>
      </c>
      <c r="AD1747" s="56" t="str">
        <f aca="false">IF(X1747="HIGH RATE",O1747,"")</f>
        <v/>
      </c>
    </row>
    <row r="1748" customFormat="false" ht="15" hidden="false" customHeight="false" outlineLevel="0" collapsed="false">
      <c r="A1748" s="56" t="s">
        <v>3276</v>
      </c>
      <c r="B1748" s="56" t="s">
        <v>1044</v>
      </c>
      <c r="C1748" s="56" t="s">
        <v>114</v>
      </c>
      <c r="D1748" s="56" t="str">
        <f aca="false">IFERROR(INDEX('Brand Map'!$B$4:$B$124,MATCH(C1748,'Brand Map'!$A$4:$A$124,0)),"Other")</f>
        <v>SB</v>
      </c>
      <c r="E1748" s="57" t="n">
        <v>4</v>
      </c>
      <c r="F1748" s="57" t="n">
        <v>0</v>
      </c>
      <c r="G1748" s="58" t="n">
        <v>339.8</v>
      </c>
      <c r="H1748" s="58" t="n">
        <v>0</v>
      </c>
      <c r="I1748" s="58" t="n">
        <v>339.8</v>
      </c>
      <c r="J1748" s="32" t="n">
        <f aca="false">IF(E1748&gt;0,F1748/E1748,0)</f>
        <v>0</v>
      </c>
      <c r="K1748" s="32" t="n">
        <f aca="false">IF(G1748&gt;0,H1748/G1748,0)</f>
        <v>-0</v>
      </c>
      <c r="L1748" s="59" t="n">
        <f aca="false">H1748/Settings!$B$16</f>
        <v>-0</v>
      </c>
      <c r="M1748" s="59" t="n">
        <f aca="false">H1748/Settings!$B$20</f>
        <v>-0</v>
      </c>
      <c r="N1748" s="60" t="n">
        <f aca="false">E1748*Settings!$B$3</f>
        <v>0.123944604319282</v>
      </c>
      <c r="O1748" s="60" t="n">
        <f aca="false">IF(E1748&gt;0,(F1748-N1748)/SQRT(E1748*Settings!$B$3*(1-Settings!$B$3)),0)</f>
        <v>-0.357642251868888</v>
      </c>
      <c r="P1748" s="60" t="n">
        <f aca="false">MAX(0,F1748-N1748)</f>
        <v>0</v>
      </c>
      <c r="Q1748" s="32" t="n">
        <f aca="false">(F1748+Settings!$B$7*Settings!$B$3)/(E1748+Settings!$B$7)</f>
        <v>0.027340721541018</v>
      </c>
      <c r="R1748" s="61" t="n">
        <f aca="false">PERCENTRANK($H$2:$H$1780,H1748,6)</f>
        <v>0</v>
      </c>
      <c r="S1748" s="61" t="n">
        <f aca="false">PERCENTRANK($Q$2:$Q$1780,Q1748,6)</f>
        <v>0.253656</v>
      </c>
      <c r="T1748" s="61" t="n">
        <f aca="false">PERCENTRANK($F$2:$F$1780,F1748,6)</f>
        <v>0</v>
      </c>
      <c r="U1748" s="62" t="n">
        <f aca="false">IF(F1748&gt;0,(Settings!$B$8*T1748+Settings!$B$9*R1748+Settings!$B$10*S1748)/SUM(Settings!$B$8:$B$10),0)</f>
        <v>0</v>
      </c>
      <c r="V1748" s="56" t="str">
        <f aca="false">IF(U1748&gt;0,RANK(U1748,$U$2:$U$1780)+COUNTIF($U$2:U1748,U1748)-1,"")</f>
        <v/>
      </c>
      <c r="W1748" s="56" t="str">
        <f aca="false">IF(V1748="","",IF(V1748&lt;=Settings!$B$11,"1 - Fix first",IF(V1748&lt;=Settings!$B$12,"2 - Review","3 - Monitor")))</f>
        <v/>
      </c>
      <c r="X1748" s="56" t="str">
        <f aca="false">IF(AND(E1748&gt;=Settings!$B$4,F1748&gt;=Settings!$B$5,O1748&gt;=Settings!$B$6),"HIGH RATE","")</f>
        <v/>
      </c>
      <c r="Y1748" s="56" t="str">
        <f aca="false">IF(F1748&gt;0,RANK(F1748,$F$2:$F$1780)+COUNTIF($F$2:F1748,F1748)-1,"")</f>
        <v/>
      </c>
      <c r="Z1748" s="56" t="str">
        <f aca="false">IF(H1748&gt;0,RANK(H1748,$H$2:$H$1780)+COUNTIF($H$2:H1748,H1748)-1,"")</f>
        <v/>
      </c>
      <c r="AA1748" s="56" t="str">
        <f aca="false">IF(AC1748="","",RANK(AC1748,$AC$2:$AC$1780)+COUNTIF($AC$2:AC1748,AC1748)-1)</f>
        <v/>
      </c>
      <c r="AB1748" s="56" t="str">
        <f aca="false">IF(AD1748="","",RANK(AD1748,$AD$2:$AD$1780)+COUNTIF($AD$2:AD1748,AD1748)-1)</f>
        <v/>
      </c>
      <c r="AC1748" s="56" t="str">
        <f aca="false">IF(AND(F1748&gt;0,E1748&gt;=Settings!$B$4),J1748,"")</f>
        <v/>
      </c>
      <c r="AD1748" s="56" t="str">
        <f aca="false">IF(X1748="HIGH RATE",O1748,"")</f>
        <v/>
      </c>
    </row>
    <row r="1749" customFormat="false" ht="15" hidden="false" customHeight="false" outlineLevel="0" collapsed="false">
      <c r="A1749" s="56" t="s">
        <v>3277</v>
      </c>
      <c r="B1749" s="56" t="s">
        <v>562</v>
      </c>
      <c r="C1749" s="56" t="s">
        <v>114</v>
      </c>
      <c r="D1749" s="56" t="str">
        <f aca="false">IFERROR(INDEX('Brand Map'!$B$4:$B$124,MATCH(C1749,'Brand Map'!$A$4:$A$124,0)),"Other")</f>
        <v>SB</v>
      </c>
      <c r="E1749" s="57" t="n">
        <v>1</v>
      </c>
      <c r="F1749" s="57" t="n">
        <v>0</v>
      </c>
      <c r="G1749" s="58" t="n">
        <v>109.95</v>
      </c>
      <c r="H1749" s="58" t="n">
        <v>0</v>
      </c>
      <c r="I1749" s="58" t="n">
        <v>109.95</v>
      </c>
      <c r="J1749" s="32" t="n">
        <f aca="false">IF(E1749&gt;0,F1749/E1749,0)</f>
        <v>0</v>
      </c>
      <c r="K1749" s="32" t="n">
        <f aca="false">IF(G1749&gt;0,H1749/G1749,0)</f>
        <v>-0</v>
      </c>
      <c r="L1749" s="59" t="n">
        <f aca="false">H1749/Settings!$B$16</f>
        <v>-0</v>
      </c>
      <c r="M1749" s="59" t="n">
        <f aca="false">H1749/Settings!$B$20</f>
        <v>-0</v>
      </c>
      <c r="N1749" s="60" t="n">
        <f aca="false">E1749*Settings!$B$3</f>
        <v>0.0309861510798204</v>
      </c>
      <c r="O1749" s="60" t="n">
        <f aca="false">IF(E1749&gt;0,(F1749-N1749)/SQRT(E1749*Settings!$B$3*(1-Settings!$B$3)),0)</f>
        <v>-0.178821125934444</v>
      </c>
      <c r="P1749" s="60" t="n">
        <f aca="false">MAX(0,F1749-N1749)</f>
        <v>0</v>
      </c>
      <c r="Q1749" s="32" t="n">
        <f aca="false">(F1749+Settings!$B$7*Settings!$B$3)/(E1749+Settings!$B$7)</f>
        <v>0.0299865978191811</v>
      </c>
      <c r="R1749" s="61" t="n">
        <f aca="false">PERCENTRANK($H$2:$H$1780,H1749,6)</f>
        <v>0</v>
      </c>
      <c r="S1749" s="61" t="n">
        <f aca="false">PERCENTRANK($Q$2:$Q$1780,Q1749,6)</f>
        <v>0.486502</v>
      </c>
      <c r="T1749" s="61" t="n">
        <f aca="false">PERCENTRANK($F$2:$F$1780,F1749,6)</f>
        <v>0</v>
      </c>
      <c r="U1749" s="62" t="n">
        <f aca="false">IF(F1749&gt;0,(Settings!$B$8*T1749+Settings!$B$9*R1749+Settings!$B$10*S1749)/SUM(Settings!$B$8:$B$10),0)</f>
        <v>0</v>
      </c>
      <c r="V1749" s="56" t="str">
        <f aca="false">IF(U1749&gt;0,RANK(U1749,$U$2:$U$1780)+COUNTIF($U$2:U1749,U1749)-1,"")</f>
        <v/>
      </c>
      <c r="W1749" s="56" t="str">
        <f aca="false">IF(V1749="","",IF(V1749&lt;=Settings!$B$11,"1 - Fix first",IF(V1749&lt;=Settings!$B$12,"2 - Review","3 - Monitor")))</f>
        <v/>
      </c>
      <c r="X1749" s="56" t="str">
        <f aca="false">IF(AND(E1749&gt;=Settings!$B$4,F1749&gt;=Settings!$B$5,O1749&gt;=Settings!$B$6),"HIGH RATE","")</f>
        <v/>
      </c>
      <c r="Y1749" s="56" t="str">
        <f aca="false">IF(F1749&gt;0,RANK(F1749,$F$2:$F$1780)+COUNTIF($F$2:F1749,F1749)-1,"")</f>
        <v/>
      </c>
      <c r="Z1749" s="56" t="str">
        <f aca="false">IF(H1749&gt;0,RANK(H1749,$H$2:$H$1780)+COUNTIF($H$2:H1749,H1749)-1,"")</f>
        <v/>
      </c>
      <c r="AA1749" s="56" t="str">
        <f aca="false">IF(AC1749="","",RANK(AC1749,$AC$2:$AC$1780)+COUNTIF($AC$2:AC1749,AC1749)-1)</f>
        <v/>
      </c>
      <c r="AB1749" s="56" t="str">
        <f aca="false">IF(AD1749="","",RANK(AD1749,$AD$2:$AD$1780)+COUNTIF($AD$2:AD1749,AD1749)-1)</f>
        <v/>
      </c>
      <c r="AC1749" s="56" t="str">
        <f aca="false">IF(AND(F1749&gt;0,E1749&gt;=Settings!$B$4),J1749,"")</f>
        <v/>
      </c>
      <c r="AD1749" s="56" t="str">
        <f aca="false">IF(X1749="HIGH RATE",O1749,"")</f>
        <v/>
      </c>
    </row>
    <row r="1750" customFormat="false" ht="15" hidden="false" customHeight="false" outlineLevel="0" collapsed="false">
      <c r="A1750" s="56" t="s">
        <v>815</v>
      </c>
      <c r="B1750" s="56" t="s">
        <v>816</v>
      </c>
      <c r="C1750" s="56" t="s">
        <v>814</v>
      </c>
      <c r="D1750" s="56" t="str">
        <f aca="false">IFERROR(INDEX('Brand Map'!$B$4:$B$124,MATCH(C1750,'Brand Map'!$A$4:$A$124,0)),"Other")</f>
        <v>Other (small prefixes)</v>
      </c>
      <c r="E1750" s="57" t="n">
        <v>1</v>
      </c>
      <c r="F1750" s="57" t="n">
        <v>0</v>
      </c>
      <c r="G1750" s="58" t="n">
        <v>64.95</v>
      </c>
      <c r="H1750" s="58" t="n">
        <v>0</v>
      </c>
      <c r="I1750" s="58" t="n">
        <v>64.95</v>
      </c>
      <c r="J1750" s="32" t="n">
        <f aca="false">IF(E1750&gt;0,F1750/E1750,0)</f>
        <v>0</v>
      </c>
      <c r="K1750" s="32" t="n">
        <f aca="false">IF(G1750&gt;0,H1750/G1750,0)</f>
        <v>-0</v>
      </c>
      <c r="L1750" s="59" t="n">
        <f aca="false">H1750/Settings!$B$16</f>
        <v>-0</v>
      </c>
      <c r="M1750" s="59" t="n">
        <f aca="false">H1750/Settings!$B$20</f>
        <v>-0</v>
      </c>
      <c r="N1750" s="60" t="n">
        <f aca="false">E1750*Settings!$B$3</f>
        <v>0.0309861510798204</v>
      </c>
      <c r="O1750" s="60" t="n">
        <f aca="false">IF(E1750&gt;0,(F1750-N1750)/SQRT(E1750*Settings!$B$3*(1-Settings!$B$3)),0)</f>
        <v>-0.178821125934444</v>
      </c>
      <c r="P1750" s="60" t="n">
        <f aca="false">MAX(0,F1750-N1750)</f>
        <v>0</v>
      </c>
      <c r="Q1750" s="32" t="n">
        <f aca="false">(F1750+Settings!$B$7*Settings!$B$3)/(E1750+Settings!$B$7)</f>
        <v>0.0299865978191811</v>
      </c>
      <c r="R1750" s="61" t="n">
        <f aca="false">PERCENTRANK($H$2:$H$1780,H1750,6)</f>
        <v>0</v>
      </c>
      <c r="S1750" s="61" t="n">
        <f aca="false">PERCENTRANK($Q$2:$Q$1780,Q1750,6)</f>
        <v>0.486502</v>
      </c>
      <c r="T1750" s="61" t="n">
        <f aca="false">PERCENTRANK($F$2:$F$1780,F1750,6)</f>
        <v>0</v>
      </c>
      <c r="U1750" s="62" t="n">
        <f aca="false">IF(F1750&gt;0,(Settings!$B$8*T1750+Settings!$B$9*R1750+Settings!$B$10*S1750)/SUM(Settings!$B$8:$B$10),0)</f>
        <v>0</v>
      </c>
      <c r="V1750" s="56" t="str">
        <f aca="false">IF(U1750&gt;0,RANK(U1750,$U$2:$U$1780)+COUNTIF($U$2:U1750,U1750)-1,"")</f>
        <v/>
      </c>
      <c r="W1750" s="56" t="str">
        <f aca="false">IF(V1750="","",IF(V1750&lt;=Settings!$B$11,"1 - Fix first",IF(V1750&lt;=Settings!$B$12,"2 - Review","3 - Monitor")))</f>
        <v/>
      </c>
      <c r="X1750" s="56" t="str">
        <f aca="false">IF(AND(E1750&gt;=Settings!$B$4,F1750&gt;=Settings!$B$5,O1750&gt;=Settings!$B$6),"HIGH RATE","")</f>
        <v/>
      </c>
      <c r="Y1750" s="56" t="str">
        <f aca="false">IF(F1750&gt;0,RANK(F1750,$F$2:$F$1780)+COUNTIF($F$2:F1750,F1750)-1,"")</f>
        <v/>
      </c>
      <c r="Z1750" s="56" t="str">
        <f aca="false">IF(H1750&gt;0,RANK(H1750,$H$2:$H$1780)+COUNTIF($H$2:H1750,H1750)-1,"")</f>
        <v/>
      </c>
      <c r="AA1750" s="56" t="str">
        <f aca="false">IF(AC1750="","",RANK(AC1750,$AC$2:$AC$1780)+COUNTIF($AC$2:AC1750,AC1750)-1)</f>
        <v/>
      </c>
      <c r="AB1750" s="56" t="str">
        <f aca="false">IF(AD1750="","",RANK(AD1750,$AD$2:$AD$1780)+COUNTIF($AD$2:AD1750,AD1750)-1)</f>
        <v/>
      </c>
      <c r="AC1750" s="56" t="str">
        <f aca="false">IF(AND(F1750&gt;0,E1750&gt;=Settings!$B$4),J1750,"")</f>
        <v/>
      </c>
      <c r="AD1750" s="56" t="str">
        <f aca="false">IF(X1750="HIGH RATE",O1750,"")</f>
        <v/>
      </c>
    </row>
    <row r="1751" customFormat="false" ht="15" hidden="false" customHeight="false" outlineLevel="0" collapsed="false">
      <c r="A1751" s="56" t="s">
        <v>3278</v>
      </c>
      <c r="B1751" s="56" t="s">
        <v>3279</v>
      </c>
      <c r="C1751" s="56" t="s">
        <v>635</v>
      </c>
      <c r="D1751" s="56" t="str">
        <f aca="false">IFERROR(INDEX('Brand Map'!$B$4:$B$124,MATCH(C1751,'Brand Map'!$A$4:$A$124,0)),"Other")</f>
        <v>Other (small prefixes)</v>
      </c>
      <c r="E1751" s="57" t="n">
        <v>15</v>
      </c>
      <c r="F1751" s="57" t="n">
        <v>0</v>
      </c>
      <c r="G1751" s="58" t="n">
        <v>2033.83</v>
      </c>
      <c r="H1751" s="58" t="n">
        <v>0</v>
      </c>
      <c r="I1751" s="58" t="n">
        <v>1938.98</v>
      </c>
      <c r="J1751" s="32" t="n">
        <f aca="false">IF(E1751&gt;0,F1751/E1751,0)</f>
        <v>0</v>
      </c>
      <c r="K1751" s="32" t="n">
        <f aca="false">IF(G1751&gt;0,H1751/G1751,0)</f>
        <v>-0</v>
      </c>
      <c r="L1751" s="59" t="n">
        <f aca="false">H1751/Settings!$B$16</f>
        <v>-0</v>
      </c>
      <c r="M1751" s="59" t="n">
        <f aca="false">H1751/Settings!$B$20</f>
        <v>-0</v>
      </c>
      <c r="N1751" s="60" t="n">
        <f aca="false">E1751*Settings!$B$3</f>
        <v>0.464792266197306</v>
      </c>
      <c r="O1751" s="60" t="n">
        <f aca="false">IF(E1751&gt;0,(F1751-N1751)/SQRT(E1751*Settings!$B$3*(1-Settings!$B$3)),0)</f>
        <v>-0.692571242694161</v>
      </c>
      <c r="P1751" s="60" t="n">
        <f aca="false">MAX(0,F1751-N1751)</f>
        <v>0</v>
      </c>
      <c r="Q1751" s="32" t="n">
        <f aca="false">(F1751+Settings!$B$7*Settings!$B$3)/(E1751+Settings!$B$7)</f>
        <v>0.0206574340532136</v>
      </c>
      <c r="R1751" s="61" t="n">
        <f aca="false">PERCENTRANK($H$2:$H$1780,H1751,6)</f>
        <v>0</v>
      </c>
      <c r="S1751" s="61" t="n">
        <f aca="false">PERCENTRANK($Q$2:$Q$1780,Q1751,6)</f>
        <v>0.0928009</v>
      </c>
      <c r="T1751" s="61" t="n">
        <f aca="false">PERCENTRANK($F$2:$F$1780,F1751,6)</f>
        <v>0</v>
      </c>
      <c r="U1751" s="62" t="n">
        <f aca="false">IF(F1751&gt;0,(Settings!$B$8*T1751+Settings!$B$9*R1751+Settings!$B$10*S1751)/SUM(Settings!$B$8:$B$10),0)</f>
        <v>0</v>
      </c>
      <c r="V1751" s="56" t="str">
        <f aca="false">IF(U1751&gt;0,RANK(U1751,$U$2:$U$1780)+COUNTIF($U$2:U1751,U1751)-1,"")</f>
        <v/>
      </c>
      <c r="W1751" s="56" t="str">
        <f aca="false">IF(V1751="","",IF(V1751&lt;=Settings!$B$11,"1 - Fix first",IF(V1751&lt;=Settings!$B$12,"2 - Review","3 - Monitor")))</f>
        <v/>
      </c>
      <c r="X1751" s="56" t="str">
        <f aca="false">IF(AND(E1751&gt;=Settings!$B$4,F1751&gt;=Settings!$B$5,O1751&gt;=Settings!$B$6),"HIGH RATE","")</f>
        <v/>
      </c>
      <c r="Y1751" s="56" t="str">
        <f aca="false">IF(F1751&gt;0,RANK(F1751,$F$2:$F$1780)+COUNTIF($F$2:F1751,F1751)-1,"")</f>
        <v/>
      </c>
      <c r="Z1751" s="56" t="str">
        <f aca="false">IF(H1751&gt;0,RANK(H1751,$H$2:$H$1780)+COUNTIF($H$2:H1751,H1751)-1,"")</f>
        <v/>
      </c>
      <c r="AA1751" s="56" t="str">
        <f aca="false">IF(AC1751="","",RANK(AC1751,$AC$2:$AC$1780)+COUNTIF($AC$2:AC1751,AC1751)-1)</f>
        <v/>
      </c>
      <c r="AB1751" s="56" t="str">
        <f aca="false">IF(AD1751="","",RANK(AD1751,$AD$2:$AD$1780)+COUNTIF($AD$2:AD1751,AD1751)-1)</f>
        <v/>
      </c>
      <c r="AC1751" s="56" t="str">
        <f aca="false">IF(AND(F1751&gt;0,E1751&gt;=Settings!$B$4),J1751,"")</f>
        <v/>
      </c>
      <c r="AD1751" s="56" t="str">
        <f aca="false">IF(X1751="HIGH RATE",O1751,"")</f>
        <v/>
      </c>
    </row>
    <row r="1752" customFormat="false" ht="15" hidden="false" customHeight="false" outlineLevel="0" collapsed="false">
      <c r="A1752" s="56" t="s">
        <v>3280</v>
      </c>
      <c r="B1752" s="56" t="s">
        <v>760</v>
      </c>
      <c r="C1752" s="56" t="s">
        <v>758</v>
      </c>
      <c r="D1752" s="56" t="str">
        <f aca="false">IFERROR(INDEX('Brand Map'!$B$4:$B$124,MATCH(C1752,'Brand Map'!$A$4:$A$124,0)),"Other")</f>
        <v>Other (small prefixes)</v>
      </c>
      <c r="E1752" s="57" t="n">
        <v>1</v>
      </c>
      <c r="F1752" s="57" t="n">
        <v>0</v>
      </c>
      <c r="G1752" s="58" t="n">
        <v>94.95</v>
      </c>
      <c r="H1752" s="58" t="n">
        <v>0</v>
      </c>
      <c r="I1752" s="58" t="n">
        <v>94.95</v>
      </c>
      <c r="J1752" s="32" t="n">
        <f aca="false">IF(E1752&gt;0,F1752/E1752,0)</f>
        <v>0</v>
      </c>
      <c r="K1752" s="32" t="n">
        <f aca="false">IF(G1752&gt;0,H1752/G1752,0)</f>
        <v>-0</v>
      </c>
      <c r="L1752" s="59" t="n">
        <f aca="false">H1752/Settings!$B$16</f>
        <v>-0</v>
      </c>
      <c r="M1752" s="59" t="n">
        <f aca="false">H1752/Settings!$B$20</f>
        <v>-0</v>
      </c>
      <c r="N1752" s="60" t="n">
        <f aca="false">E1752*Settings!$B$3</f>
        <v>0.0309861510798204</v>
      </c>
      <c r="O1752" s="60" t="n">
        <f aca="false">IF(E1752&gt;0,(F1752-N1752)/SQRT(E1752*Settings!$B$3*(1-Settings!$B$3)),0)</f>
        <v>-0.178821125934444</v>
      </c>
      <c r="P1752" s="60" t="n">
        <f aca="false">MAX(0,F1752-N1752)</f>
        <v>0</v>
      </c>
      <c r="Q1752" s="32" t="n">
        <f aca="false">(F1752+Settings!$B$7*Settings!$B$3)/(E1752+Settings!$B$7)</f>
        <v>0.0299865978191811</v>
      </c>
      <c r="R1752" s="61" t="n">
        <f aca="false">PERCENTRANK($H$2:$H$1780,H1752,6)</f>
        <v>0</v>
      </c>
      <c r="S1752" s="61" t="n">
        <f aca="false">PERCENTRANK($Q$2:$Q$1780,Q1752,6)</f>
        <v>0.486502</v>
      </c>
      <c r="T1752" s="61" t="n">
        <f aca="false">PERCENTRANK($F$2:$F$1780,F1752,6)</f>
        <v>0</v>
      </c>
      <c r="U1752" s="62" t="n">
        <f aca="false">IF(F1752&gt;0,(Settings!$B$8*T1752+Settings!$B$9*R1752+Settings!$B$10*S1752)/SUM(Settings!$B$8:$B$10),0)</f>
        <v>0</v>
      </c>
      <c r="V1752" s="56" t="str">
        <f aca="false">IF(U1752&gt;0,RANK(U1752,$U$2:$U$1780)+COUNTIF($U$2:U1752,U1752)-1,"")</f>
        <v/>
      </c>
      <c r="W1752" s="56" t="str">
        <f aca="false">IF(V1752="","",IF(V1752&lt;=Settings!$B$11,"1 - Fix first",IF(V1752&lt;=Settings!$B$12,"2 - Review","3 - Monitor")))</f>
        <v/>
      </c>
      <c r="X1752" s="56" t="str">
        <f aca="false">IF(AND(E1752&gt;=Settings!$B$4,F1752&gt;=Settings!$B$5,O1752&gt;=Settings!$B$6),"HIGH RATE","")</f>
        <v/>
      </c>
      <c r="Y1752" s="56" t="str">
        <f aca="false">IF(F1752&gt;0,RANK(F1752,$F$2:$F$1780)+COUNTIF($F$2:F1752,F1752)-1,"")</f>
        <v/>
      </c>
      <c r="Z1752" s="56" t="str">
        <f aca="false">IF(H1752&gt;0,RANK(H1752,$H$2:$H$1780)+COUNTIF($H$2:H1752,H1752)-1,"")</f>
        <v/>
      </c>
      <c r="AA1752" s="56" t="str">
        <f aca="false">IF(AC1752="","",RANK(AC1752,$AC$2:$AC$1780)+COUNTIF($AC$2:AC1752,AC1752)-1)</f>
        <v/>
      </c>
      <c r="AB1752" s="56" t="str">
        <f aca="false">IF(AD1752="","",RANK(AD1752,$AD$2:$AD$1780)+COUNTIF($AD$2:AD1752,AD1752)-1)</f>
        <v/>
      </c>
      <c r="AC1752" s="56" t="str">
        <f aca="false">IF(AND(F1752&gt;0,E1752&gt;=Settings!$B$4),J1752,"")</f>
        <v/>
      </c>
      <c r="AD1752" s="56" t="str">
        <f aca="false">IF(X1752="HIGH RATE",O1752,"")</f>
        <v/>
      </c>
    </row>
    <row r="1753" customFormat="false" ht="15" hidden="false" customHeight="false" outlineLevel="0" collapsed="false">
      <c r="A1753" s="56" t="s">
        <v>759</v>
      </c>
      <c r="B1753" s="56" t="s">
        <v>760</v>
      </c>
      <c r="C1753" s="56" t="s">
        <v>758</v>
      </c>
      <c r="D1753" s="56" t="str">
        <f aca="false">IFERROR(INDEX('Brand Map'!$B$4:$B$124,MATCH(C1753,'Brand Map'!$A$4:$A$124,0)),"Other")</f>
        <v>Other (small prefixes)</v>
      </c>
      <c r="E1753" s="57" t="n">
        <v>3</v>
      </c>
      <c r="F1753" s="57" t="n">
        <v>0</v>
      </c>
      <c r="G1753" s="58" t="n">
        <v>239.85</v>
      </c>
      <c r="H1753" s="58" t="n">
        <v>0</v>
      </c>
      <c r="I1753" s="58" t="n">
        <v>239.85</v>
      </c>
      <c r="J1753" s="32" t="n">
        <f aca="false">IF(E1753&gt;0,F1753/E1753,0)</f>
        <v>0</v>
      </c>
      <c r="K1753" s="32" t="n">
        <f aca="false">IF(G1753&gt;0,H1753/G1753,0)</f>
        <v>-0</v>
      </c>
      <c r="L1753" s="59" t="n">
        <f aca="false">H1753/Settings!$B$16</f>
        <v>-0</v>
      </c>
      <c r="M1753" s="59" t="n">
        <f aca="false">H1753/Settings!$B$20</f>
        <v>-0</v>
      </c>
      <c r="N1753" s="60" t="n">
        <f aca="false">E1753*Settings!$B$3</f>
        <v>0.0929584532394613</v>
      </c>
      <c r="O1753" s="60" t="n">
        <f aca="false">IF(E1753&gt;0,(F1753-N1753)/SQRT(E1753*Settings!$B$3*(1-Settings!$B$3)),0)</f>
        <v>-0.30972727558513</v>
      </c>
      <c r="P1753" s="60" t="n">
        <f aca="false">MAX(0,F1753-N1753)</f>
        <v>0</v>
      </c>
      <c r="Q1753" s="32" t="n">
        <f aca="false">(F1753+Settings!$B$7*Settings!$B$3)/(E1753+Settings!$B$7)</f>
        <v>0.0281692282543822</v>
      </c>
      <c r="R1753" s="61" t="n">
        <f aca="false">PERCENTRANK($H$2:$H$1780,H1753,6)</f>
        <v>0</v>
      </c>
      <c r="S1753" s="61" t="n">
        <f aca="false">PERCENTRANK($Q$2:$Q$1780,Q1753,6)</f>
        <v>0.294151</v>
      </c>
      <c r="T1753" s="61" t="n">
        <f aca="false">PERCENTRANK($F$2:$F$1780,F1753,6)</f>
        <v>0</v>
      </c>
      <c r="U1753" s="62" t="n">
        <f aca="false">IF(F1753&gt;0,(Settings!$B$8*T1753+Settings!$B$9*R1753+Settings!$B$10*S1753)/SUM(Settings!$B$8:$B$10),0)</f>
        <v>0</v>
      </c>
      <c r="V1753" s="56" t="str">
        <f aca="false">IF(U1753&gt;0,RANK(U1753,$U$2:$U$1780)+COUNTIF($U$2:U1753,U1753)-1,"")</f>
        <v/>
      </c>
      <c r="W1753" s="56" t="str">
        <f aca="false">IF(V1753="","",IF(V1753&lt;=Settings!$B$11,"1 - Fix first",IF(V1753&lt;=Settings!$B$12,"2 - Review","3 - Monitor")))</f>
        <v/>
      </c>
      <c r="X1753" s="56" t="str">
        <f aca="false">IF(AND(E1753&gt;=Settings!$B$4,F1753&gt;=Settings!$B$5,O1753&gt;=Settings!$B$6),"HIGH RATE","")</f>
        <v/>
      </c>
      <c r="Y1753" s="56" t="str">
        <f aca="false">IF(F1753&gt;0,RANK(F1753,$F$2:$F$1780)+COUNTIF($F$2:F1753,F1753)-1,"")</f>
        <v/>
      </c>
      <c r="Z1753" s="56" t="str">
        <f aca="false">IF(H1753&gt;0,RANK(H1753,$H$2:$H$1780)+COUNTIF($H$2:H1753,H1753)-1,"")</f>
        <v/>
      </c>
      <c r="AA1753" s="56" t="str">
        <f aca="false">IF(AC1753="","",RANK(AC1753,$AC$2:$AC$1780)+COUNTIF($AC$2:AC1753,AC1753)-1)</f>
        <v/>
      </c>
      <c r="AB1753" s="56" t="str">
        <f aca="false">IF(AD1753="","",RANK(AD1753,$AD$2:$AD$1780)+COUNTIF($AD$2:AD1753,AD1753)-1)</f>
        <v/>
      </c>
      <c r="AC1753" s="56" t="str">
        <f aca="false">IF(AND(F1753&gt;0,E1753&gt;=Settings!$B$4),J1753,"")</f>
        <v/>
      </c>
      <c r="AD1753" s="56" t="str">
        <f aca="false">IF(X1753="HIGH RATE",O1753,"")</f>
        <v/>
      </c>
    </row>
    <row r="1754" customFormat="false" ht="15" hidden="false" customHeight="false" outlineLevel="0" collapsed="false">
      <c r="A1754" s="56" t="s">
        <v>806</v>
      </c>
      <c r="B1754" s="56" t="s">
        <v>807</v>
      </c>
      <c r="C1754" s="56" t="s">
        <v>805</v>
      </c>
      <c r="D1754" s="56" t="str">
        <f aca="false">IFERROR(INDEX('Brand Map'!$B$4:$B$124,MATCH(C1754,'Brand Map'!$A$4:$A$124,0)),"Other")</f>
        <v>Other (small prefixes)</v>
      </c>
      <c r="E1754" s="57" t="n">
        <v>1</v>
      </c>
      <c r="F1754" s="57" t="n">
        <v>0</v>
      </c>
      <c r="G1754" s="58" t="n">
        <v>79.95</v>
      </c>
      <c r="H1754" s="58" t="n">
        <v>0</v>
      </c>
      <c r="I1754" s="58" t="n">
        <v>79.95</v>
      </c>
      <c r="J1754" s="32" t="n">
        <f aca="false">IF(E1754&gt;0,F1754/E1754,0)</f>
        <v>0</v>
      </c>
      <c r="K1754" s="32" t="n">
        <f aca="false">IF(G1754&gt;0,H1754/G1754,0)</f>
        <v>-0</v>
      </c>
      <c r="L1754" s="59" t="n">
        <f aca="false">H1754/Settings!$B$16</f>
        <v>-0</v>
      </c>
      <c r="M1754" s="59" t="n">
        <f aca="false">H1754/Settings!$B$20</f>
        <v>-0</v>
      </c>
      <c r="N1754" s="60" t="n">
        <f aca="false">E1754*Settings!$B$3</f>
        <v>0.0309861510798204</v>
      </c>
      <c r="O1754" s="60" t="n">
        <f aca="false">IF(E1754&gt;0,(F1754-N1754)/SQRT(E1754*Settings!$B$3*(1-Settings!$B$3)),0)</f>
        <v>-0.178821125934444</v>
      </c>
      <c r="P1754" s="60" t="n">
        <f aca="false">MAX(0,F1754-N1754)</f>
        <v>0</v>
      </c>
      <c r="Q1754" s="32" t="n">
        <f aca="false">(F1754+Settings!$B$7*Settings!$B$3)/(E1754+Settings!$B$7)</f>
        <v>0.0299865978191811</v>
      </c>
      <c r="R1754" s="61" t="n">
        <f aca="false">PERCENTRANK($H$2:$H$1780,H1754,6)</f>
        <v>0</v>
      </c>
      <c r="S1754" s="61" t="n">
        <f aca="false">PERCENTRANK($Q$2:$Q$1780,Q1754,6)</f>
        <v>0.486502</v>
      </c>
      <c r="T1754" s="61" t="n">
        <f aca="false">PERCENTRANK($F$2:$F$1780,F1754,6)</f>
        <v>0</v>
      </c>
      <c r="U1754" s="62" t="n">
        <f aca="false">IF(F1754&gt;0,(Settings!$B$8*T1754+Settings!$B$9*R1754+Settings!$B$10*S1754)/SUM(Settings!$B$8:$B$10),0)</f>
        <v>0</v>
      </c>
      <c r="V1754" s="56" t="str">
        <f aca="false">IF(U1754&gt;0,RANK(U1754,$U$2:$U$1780)+COUNTIF($U$2:U1754,U1754)-1,"")</f>
        <v/>
      </c>
      <c r="W1754" s="56" t="str">
        <f aca="false">IF(V1754="","",IF(V1754&lt;=Settings!$B$11,"1 - Fix first",IF(V1754&lt;=Settings!$B$12,"2 - Review","3 - Monitor")))</f>
        <v/>
      </c>
      <c r="X1754" s="56" t="str">
        <f aca="false">IF(AND(E1754&gt;=Settings!$B$4,F1754&gt;=Settings!$B$5,O1754&gt;=Settings!$B$6),"HIGH RATE","")</f>
        <v/>
      </c>
      <c r="Y1754" s="56" t="str">
        <f aca="false">IF(F1754&gt;0,RANK(F1754,$F$2:$F$1780)+COUNTIF($F$2:F1754,F1754)-1,"")</f>
        <v/>
      </c>
      <c r="Z1754" s="56" t="str">
        <f aca="false">IF(H1754&gt;0,RANK(H1754,$H$2:$H$1780)+COUNTIF($H$2:H1754,H1754)-1,"")</f>
        <v/>
      </c>
      <c r="AA1754" s="56" t="str">
        <f aca="false">IF(AC1754="","",RANK(AC1754,$AC$2:$AC$1780)+COUNTIF($AC$2:AC1754,AC1754)-1)</f>
        <v/>
      </c>
      <c r="AB1754" s="56" t="str">
        <f aca="false">IF(AD1754="","",RANK(AD1754,$AD$2:$AD$1780)+COUNTIF($AD$2:AD1754,AD1754)-1)</f>
        <v/>
      </c>
      <c r="AC1754" s="56" t="str">
        <f aca="false">IF(AND(F1754&gt;0,E1754&gt;=Settings!$B$4),J1754,"")</f>
        <v/>
      </c>
      <c r="AD1754" s="56" t="str">
        <f aca="false">IF(X1754="HIGH RATE",O1754,"")</f>
        <v/>
      </c>
    </row>
    <row r="1755" customFormat="false" ht="15" hidden="false" customHeight="false" outlineLevel="0" collapsed="false">
      <c r="A1755" s="56" t="s">
        <v>765</v>
      </c>
      <c r="B1755" s="56" t="s">
        <v>766</v>
      </c>
      <c r="C1755" s="56" t="s">
        <v>764</v>
      </c>
      <c r="D1755" s="56" t="str">
        <f aca="false">IFERROR(INDEX('Brand Map'!$B$4:$B$124,MATCH(C1755,'Brand Map'!$A$4:$A$124,0)),"Other")</f>
        <v>Other (small prefixes)</v>
      </c>
      <c r="E1755" s="57" t="n">
        <v>5</v>
      </c>
      <c r="F1755" s="57" t="n">
        <v>0</v>
      </c>
      <c r="G1755" s="58" t="n">
        <v>249.75</v>
      </c>
      <c r="H1755" s="58" t="n">
        <v>0</v>
      </c>
      <c r="I1755" s="58" t="n">
        <v>249.75</v>
      </c>
      <c r="J1755" s="32" t="n">
        <f aca="false">IF(E1755&gt;0,F1755/E1755,0)</f>
        <v>0</v>
      </c>
      <c r="K1755" s="32" t="n">
        <f aca="false">IF(G1755&gt;0,H1755/G1755,0)</f>
        <v>-0</v>
      </c>
      <c r="L1755" s="59" t="n">
        <f aca="false">H1755/Settings!$B$16</f>
        <v>-0</v>
      </c>
      <c r="M1755" s="59" t="n">
        <f aca="false">H1755/Settings!$B$20</f>
        <v>-0</v>
      </c>
      <c r="N1755" s="60" t="n">
        <f aca="false">E1755*Settings!$B$3</f>
        <v>0.154930755399102</v>
      </c>
      <c r="O1755" s="60" t="n">
        <f aca="false">IF(E1755&gt;0,(F1755-N1755)/SQRT(E1755*Settings!$B$3*(1-Settings!$B$3)),0)</f>
        <v>-0.399856193402468</v>
      </c>
      <c r="P1755" s="60" t="n">
        <f aca="false">MAX(0,F1755-N1755)</f>
        <v>0</v>
      </c>
      <c r="Q1755" s="32" t="n">
        <f aca="false">(F1755+Settings!$B$7*Settings!$B$3)/(E1755+Settings!$B$7)</f>
        <v>0.0265595580684175</v>
      </c>
      <c r="R1755" s="61" t="n">
        <f aca="false">PERCENTRANK($H$2:$H$1780,H1755,6)</f>
        <v>0</v>
      </c>
      <c r="S1755" s="61" t="n">
        <f aca="false">PERCENTRANK($Q$2:$Q$1780,Q1755,6)</f>
        <v>0.220472</v>
      </c>
      <c r="T1755" s="61" t="n">
        <f aca="false">PERCENTRANK($F$2:$F$1780,F1755,6)</f>
        <v>0</v>
      </c>
      <c r="U1755" s="62" t="n">
        <f aca="false">IF(F1755&gt;0,(Settings!$B$8*T1755+Settings!$B$9*R1755+Settings!$B$10*S1755)/SUM(Settings!$B$8:$B$10),0)</f>
        <v>0</v>
      </c>
      <c r="V1755" s="56" t="str">
        <f aca="false">IF(U1755&gt;0,RANK(U1755,$U$2:$U$1780)+COUNTIF($U$2:U1755,U1755)-1,"")</f>
        <v/>
      </c>
      <c r="W1755" s="56" t="str">
        <f aca="false">IF(V1755="","",IF(V1755&lt;=Settings!$B$11,"1 - Fix first",IF(V1755&lt;=Settings!$B$12,"2 - Review","3 - Monitor")))</f>
        <v/>
      </c>
      <c r="X1755" s="56" t="str">
        <f aca="false">IF(AND(E1755&gt;=Settings!$B$4,F1755&gt;=Settings!$B$5,O1755&gt;=Settings!$B$6),"HIGH RATE","")</f>
        <v/>
      </c>
      <c r="Y1755" s="56" t="str">
        <f aca="false">IF(F1755&gt;0,RANK(F1755,$F$2:$F$1780)+COUNTIF($F$2:F1755,F1755)-1,"")</f>
        <v/>
      </c>
      <c r="Z1755" s="56" t="str">
        <f aca="false">IF(H1755&gt;0,RANK(H1755,$H$2:$H$1780)+COUNTIF($H$2:H1755,H1755)-1,"")</f>
        <v/>
      </c>
      <c r="AA1755" s="56" t="str">
        <f aca="false">IF(AC1755="","",RANK(AC1755,$AC$2:$AC$1780)+COUNTIF($AC$2:AC1755,AC1755)-1)</f>
        <v/>
      </c>
      <c r="AB1755" s="56" t="str">
        <f aca="false">IF(AD1755="","",RANK(AD1755,$AD$2:$AD$1780)+COUNTIF($AD$2:AD1755,AD1755)-1)</f>
        <v/>
      </c>
      <c r="AC1755" s="56" t="str">
        <f aca="false">IF(AND(F1755&gt;0,E1755&gt;=Settings!$B$4),J1755,"")</f>
        <v/>
      </c>
      <c r="AD1755" s="56" t="str">
        <f aca="false">IF(X1755="HIGH RATE",O1755,"")</f>
        <v/>
      </c>
    </row>
    <row r="1756" customFormat="false" ht="15" hidden="false" customHeight="false" outlineLevel="0" collapsed="false">
      <c r="A1756" s="56" t="s">
        <v>3281</v>
      </c>
      <c r="B1756" s="56" t="s">
        <v>3282</v>
      </c>
      <c r="C1756" s="56" t="s">
        <v>746</v>
      </c>
      <c r="D1756" s="56" t="str">
        <f aca="false">IFERROR(INDEX('Brand Map'!$B$4:$B$124,MATCH(C1756,'Brand Map'!$A$4:$A$124,0)),"Other")</f>
        <v>Other (small prefixes)</v>
      </c>
      <c r="E1756" s="57" t="n">
        <v>1</v>
      </c>
      <c r="F1756" s="57" t="n">
        <v>0</v>
      </c>
      <c r="G1756" s="58" t="n">
        <v>144.95</v>
      </c>
      <c r="H1756" s="58" t="n">
        <v>0</v>
      </c>
      <c r="I1756" s="58" t="n">
        <v>144.95</v>
      </c>
      <c r="J1756" s="32" t="n">
        <f aca="false">IF(E1756&gt;0,F1756/E1756,0)</f>
        <v>0</v>
      </c>
      <c r="K1756" s="32" t="n">
        <f aca="false">IF(G1756&gt;0,H1756/G1756,0)</f>
        <v>-0</v>
      </c>
      <c r="L1756" s="59" t="n">
        <f aca="false">H1756/Settings!$B$16</f>
        <v>-0</v>
      </c>
      <c r="M1756" s="59" t="n">
        <f aca="false">H1756/Settings!$B$20</f>
        <v>-0</v>
      </c>
      <c r="N1756" s="60" t="n">
        <f aca="false">E1756*Settings!$B$3</f>
        <v>0.0309861510798204</v>
      </c>
      <c r="O1756" s="60" t="n">
        <f aca="false">IF(E1756&gt;0,(F1756-N1756)/SQRT(E1756*Settings!$B$3*(1-Settings!$B$3)),0)</f>
        <v>-0.178821125934444</v>
      </c>
      <c r="P1756" s="60" t="n">
        <f aca="false">MAX(0,F1756-N1756)</f>
        <v>0</v>
      </c>
      <c r="Q1756" s="32" t="n">
        <f aca="false">(F1756+Settings!$B$7*Settings!$B$3)/(E1756+Settings!$B$7)</f>
        <v>0.0299865978191811</v>
      </c>
      <c r="R1756" s="61" t="n">
        <f aca="false">PERCENTRANK($H$2:$H$1780,H1756,6)</f>
        <v>0</v>
      </c>
      <c r="S1756" s="61" t="n">
        <f aca="false">PERCENTRANK($Q$2:$Q$1780,Q1756,6)</f>
        <v>0.486502</v>
      </c>
      <c r="T1756" s="61" t="n">
        <f aca="false">PERCENTRANK($F$2:$F$1780,F1756,6)</f>
        <v>0</v>
      </c>
      <c r="U1756" s="62" t="n">
        <f aca="false">IF(F1756&gt;0,(Settings!$B$8*T1756+Settings!$B$9*R1756+Settings!$B$10*S1756)/SUM(Settings!$B$8:$B$10),0)</f>
        <v>0</v>
      </c>
      <c r="V1756" s="56" t="str">
        <f aca="false">IF(U1756&gt;0,RANK(U1756,$U$2:$U$1780)+COUNTIF($U$2:U1756,U1756)-1,"")</f>
        <v/>
      </c>
      <c r="W1756" s="56" t="str">
        <f aca="false">IF(V1756="","",IF(V1756&lt;=Settings!$B$11,"1 - Fix first",IF(V1756&lt;=Settings!$B$12,"2 - Review","3 - Monitor")))</f>
        <v/>
      </c>
      <c r="X1756" s="56" t="str">
        <f aca="false">IF(AND(E1756&gt;=Settings!$B$4,F1756&gt;=Settings!$B$5,O1756&gt;=Settings!$B$6),"HIGH RATE","")</f>
        <v/>
      </c>
      <c r="Y1756" s="56" t="str">
        <f aca="false">IF(F1756&gt;0,RANK(F1756,$F$2:$F$1780)+COUNTIF($F$2:F1756,F1756)-1,"")</f>
        <v/>
      </c>
      <c r="Z1756" s="56" t="str">
        <f aca="false">IF(H1756&gt;0,RANK(H1756,$H$2:$H$1780)+COUNTIF($H$2:H1756,H1756)-1,"")</f>
        <v/>
      </c>
      <c r="AA1756" s="56" t="str">
        <f aca="false">IF(AC1756="","",RANK(AC1756,$AC$2:$AC$1780)+COUNTIF($AC$2:AC1756,AC1756)-1)</f>
        <v/>
      </c>
      <c r="AB1756" s="56" t="str">
        <f aca="false">IF(AD1756="","",RANK(AD1756,$AD$2:$AD$1780)+COUNTIF($AD$2:AD1756,AD1756)-1)</f>
        <v/>
      </c>
      <c r="AC1756" s="56" t="str">
        <f aca="false">IF(AND(F1756&gt;0,E1756&gt;=Settings!$B$4),J1756,"")</f>
        <v/>
      </c>
      <c r="AD1756" s="56" t="str">
        <f aca="false">IF(X1756="HIGH RATE",O1756,"")</f>
        <v/>
      </c>
    </row>
    <row r="1757" customFormat="false" ht="15" hidden="false" customHeight="false" outlineLevel="0" collapsed="false">
      <c r="A1757" s="56" t="s">
        <v>3283</v>
      </c>
      <c r="B1757" s="56" t="s">
        <v>748</v>
      </c>
      <c r="C1757" s="56" t="s">
        <v>746</v>
      </c>
      <c r="D1757" s="56" t="str">
        <f aca="false">IFERROR(INDEX('Brand Map'!$B$4:$B$124,MATCH(C1757,'Brand Map'!$A$4:$A$124,0)),"Other")</f>
        <v>Other (small prefixes)</v>
      </c>
      <c r="E1757" s="57" t="n">
        <v>1</v>
      </c>
      <c r="F1757" s="57" t="n">
        <v>0</v>
      </c>
      <c r="G1757" s="58" t="n">
        <v>159.95</v>
      </c>
      <c r="H1757" s="58" t="n">
        <v>0</v>
      </c>
      <c r="I1757" s="58" t="n">
        <v>159.95</v>
      </c>
      <c r="J1757" s="32" t="n">
        <f aca="false">IF(E1757&gt;0,F1757/E1757,0)</f>
        <v>0</v>
      </c>
      <c r="K1757" s="32" t="n">
        <f aca="false">IF(G1757&gt;0,H1757/G1757,0)</f>
        <v>-0</v>
      </c>
      <c r="L1757" s="59" t="n">
        <f aca="false">H1757/Settings!$B$16</f>
        <v>-0</v>
      </c>
      <c r="M1757" s="59" t="n">
        <f aca="false">H1757/Settings!$B$20</f>
        <v>-0</v>
      </c>
      <c r="N1757" s="60" t="n">
        <f aca="false">E1757*Settings!$B$3</f>
        <v>0.0309861510798204</v>
      </c>
      <c r="O1757" s="60" t="n">
        <f aca="false">IF(E1757&gt;0,(F1757-N1757)/SQRT(E1757*Settings!$B$3*(1-Settings!$B$3)),0)</f>
        <v>-0.178821125934444</v>
      </c>
      <c r="P1757" s="60" t="n">
        <f aca="false">MAX(0,F1757-N1757)</f>
        <v>0</v>
      </c>
      <c r="Q1757" s="32" t="n">
        <f aca="false">(F1757+Settings!$B$7*Settings!$B$3)/(E1757+Settings!$B$7)</f>
        <v>0.0299865978191811</v>
      </c>
      <c r="R1757" s="61" t="n">
        <f aca="false">PERCENTRANK($H$2:$H$1780,H1757,6)</f>
        <v>0</v>
      </c>
      <c r="S1757" s="61" t="n">
        <f aca="false">PERCENTRANK($Q$2:$Q$1780,Q1757,6)</f>
        <v>0.486502</v>
      </c>
      <c r="T1757" s="61" t="n">
        <f aca="false">PERCENTRANK($F$2:$F$1780,F1757,6)</f>
        <v>0</v>
      </c>
      <c r="U1757" s="62" t="n">
        <f aca="false">IF(F1757&gt;0,(Settings!$B$8*T1757+Settings!$B$9*R1757+Settings!$B$10*S1757)/SUM(Settings!$B$8:$B$10),0)</f>
        <v>0</v>
      </c>
      <c r="V1757" s="56" t="str">
        <f aca="false">IF(U1757&gt;0,RANK(U1757,$U$2:$U$1780)+COUNTIF($U$2:U1757,U1757)-1,"")</f>
        <v/>
      </c>
      <c r="W1757" s="56" t="str">
        <f aca="false">IF(V1757="","",IF(V1757&lt;=Settings!$B$11,"1 - Fix first",IF(V1757&lt;=Settings!$B$12,"2 - Review","3 - Monitor")))</f>
        <v/>
      </c>
      <c r="X1757" s="56" t="str">
        <f aca="false">IF(AND(E1757&gt;=Settings!$B$4,F1757&gt;=Settings!$B$5,O1757&gt;=Settings!$B$6),"HIGH RATE","")</f>
        <v/>
      </c>
      <c r="Y1757" s="56" t="str">
        <f aca="false">IF(F1757&gt;0,RANK(F1757,$F$2:$F$1780)+COUNTIF($F$2:F1757,F1757)-1,"")</f>
        <v/>
      </c>
      <c r="Z1757" s="56" t="str">
        <f aca="false">IF(H1757&gt;0,RANK(H1757,$H$2:$H$1780)+COUNTIF($H$2:H1757,H1757)-1,"")</f>
        <v/>
      </c>
      <c r="AA1757" s="56" t="str">
        <f aca="false">IF(AC1757="","",RANK(AC1757,$AC$2:$AC$1780)+COUNTIF($AC$2:AC1757,AC1757)-1)</f>
        <v/>
      </c>
      <c r="AB1757" s="56" t="str">
        <f aca="false">IF(AD1757="","",RANK(AD1757,$AD$2:$AD$1780)+COUNTIF($AD$2:AD1757,AD1757)-1)</f>
        <v/>
      </c>
      <c r="AC1757" s="56" t="str">
        <f aca="false">IF(AND(F1757&gt;0,E1757&gt;=Settings!$B$4),J1757,"")</f>
        <v/>
      </c>
      <c r="AD1757" s="56" t="str">
        <f aca="false">IF(X1757="HIGH RATE",O1757,"")</f>
        <v/>
      </c>
    </row>
    <row r="1758" customFormat="false" ht="15" hidden="false" customHeight="false" outlineLevel="0" collapsed="false">
      <c r="A1758" s="56" t="s">
        <v>747</v>
      </c>
      <c r="B1758" s="56" t="s">
        <v>748</v>
      </c>
      <c r="C1758" s="56" t="s">
        <v>746</v>
      </c>
      <c r="D1758" s="56" t="str">
        <f aca="false">IFERROR(INDEX('Brand Map'!$B$4:$B$124,MATCH(C1758,'Brand Map'!$A$4:$A$124,0)),"Other")</f>
        <v>Other (small prefixes)</v>
      </c>
      <c r="E1758" s="57" t="n">
        <v>2</v>
      </c>
      <c r="F1758" s="57" t="n">
        <v>0</v>
      </c>
      <c r="G1758" s="58" t="n">
        <v>259.9</v>
      </c>
      <c r="H1758" s="58" t="n">
        <v>0</v>
      </c>
      <c r="I1758" s="58" t="n">
        <v>259.9</v>
      </c>
      <c r="J1758" s="32" t="n">
        <f aca="false">IF(E1758&gt;0,F1758/E1758,0)</f>
        <v>0</v>
      </c>
      <c r="K1758" s="32" t="n">
        <f aca="false">IF(G1758&gt;0,H1758/G1758,0)</f>
        <v>-0</v>
      </c>
      <c r="L1758" s="59" t="n">
        <f aca="false">H1758/Settings!$B$16</f>
        <v>-0</v>
      </c>
      <c r="M1758" s="59" t="n">
        <f aca="false">H1758/Settings!$B$20</f>
        <v>-0</v>
      </c>
      <c r="N1758" s="60" t="n">
        <f aca="false">E1758*Settings!$B$3</f>
        <v>0.0619723021596408</v>
      </c>
      <c r="O1758" s="60" t="n">
        <f aca="false">IF(E1758&gt;0,(F1758-N1758)/SQRT(E1758*Settings!$B$3*(1-Settings!$B$3)),0)</f>
        <v>-0.252891261535318</v>
      </c>
      <c r="P1758" s="60" t="n">
        <f aca="false">MAX(0,F1758-N1758)</f>
        <v>0</v>
      </c>
      <c r="Q1758" s="32" t="n">
        <f aca="false">(F1758+Settings!$B$7*Settings!$B$3)/(E1758+Settings!$B$7)</f>
        <v>0.0290495166373316</v>
      </c>
      <c r="R1758" s="61" t="n">
        <f aca="false">PERCENTRANK($H$2:$H$1780,H1758,6)</f>
        <v>0</v>
      </c>
      <c r="S1758" s="61" t="n">
        <f aca="false">PERCENTRANK($Q$2:$Q$1780,Q1758,6)</f>
        <v>0.365579</v>
      </c>
      <c r="T1758" s="61" t="n">
        <f aca="false">PERCENTRANK($F$2:$F$1780,F1758,6)</f>
        <v>0</v>
      </c>
      <c r="U1758" s="62" t="n">
        <f aca="false">IF(F1758&gt;0,(Settings!$B$8*T1758+Settings!$B$9*R1758+Settings!$B$10*S1758)/SUM(Settings!$B$8:$B$10),0)</f>
        <v>0</v>
      </c>
      <c r="V1758" s="56" t="str">
        <f aca="false">IF(U1758&gt;0,RANK(U1758,$U$2:$U$1780)+COUNTIF($U$2:U1758,U1758)-1,"")</f>
        <v/>
      </c>
      <c r="W1758" s="56" t="str">
        <f aca="false">IF(V1758="","",IF(V1758&lt;=Settings!$B$11,"1 - Fix first",IF(V1758&lt;=Settings!$B$12,"2 - Review","3 - Monitor")))</f>
        <v/>
      </c>
      <c r="X1758" s="56" t="str">
        <f aca="false">IF(AND(E1758&gt;=Settings!$B$4,F1758&gt;=Settings!$B$5,O1758&gt;=Settings!$B$6),"HIGH RATE","")</f>
        <v/>
      </c>
      <c r="Y1758" s="56" t="str">
        <f aca="false">IF(F1758&gt;0,RANK(F1758,$F$2:$F$1780)+COUNTIF($F$2:F1758,F1758)-1,"")</f>
        <v/>
      </c>
      <c r="Z1758" s="56" t="str">
        <f aca="false">IF(H1758&gt;0,RANK(H1758,$H$2:$H$1780)+COUNTIF($H$2:H1758,H1758)-1,"")</f>
        <v/>
      </c>
      <c r="AA1758" s="56" t="str">
        <f aca="false">IF(AC1758="","",RANK(AC1758,$AC$2:$AC$1780)+COUNTIF($AC$2:AC1758,AC1758)-1)</f>
        <v/>
      </c>
      <c r="AB1758" s="56" t="str">
        <f aca="false">IF(AD1758="","",RANK(AD1758,$AD$2:$AD$1780)+COUNTIF($AD$2:AD1758,AD1758)-1)</f>
        <v/>
      </c>
      <c r="AC1758" s="56" t="str">
        <f aca="false">IF(AND(F1758&gt;0,E1758&gt;=Settings!$B$4),J1758,"")</f>
        <v/>
      </c>
      <c r="AD1758" s="56" t="str">
        <f aca="false">IF(X1758="HIGH RATE",O1758,"")</f>
        <v/>
      </c>
    </row>
    <row r="1759" customFormat="false" ht="15" hidden="false" customHeight="false" outlineLevel="0" collapsed="false">
      <c r="A1759" s="56" t="s">
        <v>3284</v>
      </c>
      <c r="B1759" s="56" t="s">
        <v>780</v>
      </c>
      <c r="C1759" s="56" t="s">
        <v>778</v>
      </c>
      <c r="D1759" s="56" t="str">
        <f aca="false">IFERROR(INDEX('Brand Map'!$B$4:$B$124,MATCH(C1759,'Brand Map'!$A$4:$A$124,0)),"Other")</f>
        <v>Other (small prefixes)</v>
      </c>
      <c r="E1759" s="57" t="n">
        <v>1</v>
      </c>
      <c r="F1759" s="57" t="n">
        <v>0</v>
      </c>
      <c r="G1759" s="58" t="n">
        <v>74.94</v>
      </c>
      <c r="H1759" s="58" t="n">
        <v>0</v>
      </c>
      <c r="I1759" s="58" t="n">
        <v>74.94</v>
      </c>
      <c r="J1759" s="32" t="n">
        <f aca="false">IF(E1759&gt;0,F1759/E1759,0)</f>
        <v>0</v>
      </c>
      <c r="K1759" s="32" t="n">
        <f aca="false">IF(G1759&gt;0,H1759/G1759,0)</f>
        <v>-0</v>
      </c>
      <c r="L1759" s="59" t="n">
        <f aca="false">H1759/Settings!$B$16</f>
        <v>-0</v>
      </c>
      <c r="M1759" s="59" t="n">
        <f aca="false">H1759/Settings!$B$20</f>
        <v>-0</v>
      </c>
      <c r="N1759" s="60" t="n">
        <f aca="false">E1759*Settings!$B$3</f>
        <v>0.0309861510798204</v>
      </c>
      <c r="O1759" s="60" t="n">
        <f aca="false">IF(E1759&gt;0,(F1759-N1759)/SQRT(E1759*Settings!$B$3*(1-Settings!$B$3)),0)</f>
        <v>-0.178821125934444</v>
      </c>
      <c r="P1759" s="60" t="n">
        <f aca="false">MAX(0,F1759-N1759)</f>
        <v>0</v>
      </c>
      <c r="Q1759" s="32" t="n">
        <f aca="false">(F1759+Settings!$B$7*Settings!$B$3)/(E1759+Settings!$B$7)</f>
        <v>0.0299865978191811</v>
      </c>
      <c r="R1759" s="61" t="n">
        <f aca="false">PERCENTRANK($H$2:$H$1780,H1759,6)</f>
        <v>0</v>
      </c>
      <c r="S1759" s="61" t="n">
        <f aca="false">PERCENTRANK($Q$2:$Q$1780,Q1759,6)</f>
        <v>0.486502</v>
      </c>
      <c r="T1759" s="61" t="n">
        <f aca="false">PERCENTRANK($F$2:$F$1780,F1759,6)</f>
        <v>0</v>
      </c>
      <c r="U1759" s="62" t="n">
        <f aca="false">IF(F1759&gt;0,(Settings!$B$8*T1759+Settings!$B$9*R1759+Settings!$B$10*S1759)/SUM(Settings!$B$8:$B$10),0)</f>
        <v>0</v>
      </c>
      <c r="V1759" s="56" t="str">
        <f aca="false">IF(U1759&gt;0,RANK(U1759,$U$2:$U$1780)+COUNTIF($U$2:U1759,U1759)-1,"")</f>
        <v/>
      </c>
      <c r="W1759" s="56" t="str">
        <f aca="false">IF(V1759="","",IF(V1759&lt;=Settings!$B$11,"1 - Fix first",IF(V1759&lt;=Settings!$B$12,"2 - Review","3 - Monitor")))</f>
        <v/>
      </c>
      <c r="X1759" s="56" t="str">
        <f aca="false">IF(AND(E1759&gt;=Settings!$B$4,F1759&gt;=Settings!$B$5,O1759&gt;=Settings!$B$6),"HIGH RATE","")</f>
        <v/>
      </c>
      <c r="Y1759" s="56" t="str">
        <f aca="false">IF(F1759&gt;0,RANK(F1759,$F$2:$F$1780)+COUNTIF($F$2:F1759,F1759)-1,"")</f>
        <v/>
      </c>
      <c r="Z1759" s="56" t="str">
        <f aca="false">IF(H1759&gt;0,RANK(H1759,$H$2:$H$1780)+COUNTIF($H$2:H1759,H1759)-1,"")</f>
        <v/>
      </c>
      <c r="AA1759" s="56" t="str">
        <f aca="false">IF(AC1759="","",RANK(AC1759,$AC$2:$AC$1780)+COUNTIF($AC$2:AC1759,AC1759)-1)</f>
        <v/>
      </c>
      <c r="AB1759" s="56" t="str">
        <f aca="false">IF(AD1759="","",RANK(AD1759,$AD$2:$AD$1780)+COUNTIF($AD$2:AD1759,AD1759)-1)</f>
        <v/>
      </c>
      <c r="AC1759" s="56" t="str">
        <f aca="false">IF(AND(F1759&gt;0,E1759&gt;=Settings!$B$4),J1759,"")</f>
        <v/>
      </c>
      <c r="AD1759" s="56" t="str">
        <f aca="false">IF(X1759="HIGH RATE",O1759,"")</f>
        <v/>
      </c>
    </row>
    <row r="1760" customFormat="false" ht="15" hidden="false" customHeight="false" outlineLevel="0" collapsed="false">
      <c r="A1760" s="56" t="s">
        <v>779</v>
      </c>
      <c r="B1760" s="56" t="s">
        <v>780</v>
      </c>
      <c r="C1760" s="56" t="s">
        <v>778</v>
      </c>
      <c r="D1760" s="56" t="str">
        <f aca="false">IFERROR(INDEX('Brand Map'!$B$4:$B$124,MATCH(C1760,'Brand Map'!$A$4:$A$124,0)),"Other")</f>
        <v>Other (small prefixes)</v>
      </c>
      <c r="E1760" s="57" t="n">
        <v>1</v>
      </c>
      <c r="F1760" s="57" t="n">
        <v>0</v>
      </c>
      <c r="G1760" s="58" t="n">
        <v>104.94</v>
      </c>
      <c r="H1760" s="58" t="n">
        <v>0</v>
      </c>
      <c r="I1760" s="58" t="n">
        <v>104.94</v>
      </c>
      <c r="J1760" s="32" t="n">
        <f aca="false">IF(E1760&gt;0,F1760/E1760,0)</f>
        <v>0</v>
      </c>
      <c r="K1760" s="32" t="n">
        <f aca="false">IF(G1760&gt;0,H1760/G1760,0)</f>
        <v>-0</v>
      </c>
      <c r="L1760" s="59" t="n">
        <f aca="false">H1760/Settings!$B$16</f>
        <v>-0</v>
      </c>
      <c r="M1760" s="59" t="n">
        <f aca="false">H1760/Settings!$B$20</f>
        <v>-0</v>
      </c>
      <c r="N1760" s="60" t="n">
        <f aca="false">E1760*Settings!$B$3</f>
        <v>0.0309861510798204</v>
      </c>
      <c r="O1760" s="60" t="n">
        <f aca="false">IF(E1760&gt;0,(F1760-N1760)/SQRT(E1760*Settings!$B$3*(1-Settings!$B$3)),0)</f>
        <v>-0.178821125934444</v>
      </c>
      <c r="P1760" s="60" t="n">
        <f aca="false">MAX(0,F1760-N1760)</f>
        <v>0</v>
      </c>
      <c r="Q1760" s="32" t="n">
        <f aca="false">(F1760+Settings!$B$7*Settings!$B$3)/(E1760+Settings!$B$7)</f>
        <v>0.0299865978191811</v>
      </c>
      <c r="R1760" s="61" t="n">
        <f aca="false">PERCENTRANK($H$2:$H$1780,H1760,6)</f>
        <v>0</v>
      </c>
      <c r="S1760" s="61" t="n">
        <f aca="false">PERCENTRANK($Q$2:$Q$1780,Q1760,6)</f>
        <v>0.486502</v>
      </c>
      <c r="T1760" s="61" t="n">
        <f aca="false">PERCENTRANK($F$2:$F$1780,F1760,6)</f>
        <v>0</v>
      </c>
      <c r="U1760" s="62" t="n">
        <f aca="false">IF(F1760&gt;0,(Settings!$B$8*T1760+Settings!$B$9*R1760+Settings!$B$10*S1760)/SUM(Settings!$B$8:$B$10),0)</f>
        <v>0</v>
      </c>
      <c r="V1760" s="56" t="str">
        <f aca="false">IF(U1760&gt;0,RANK(U1760,$U$2:$U$1780)+COUNTIF($U$2:U1760,U1760)-1,"")</f>
        <v/>
      </c>
      <c r="W1760" s="56" t="str">
        <f aca="false">IF(V1760="","",IF(V1760&lt;=Settings!$B$11,"1 - Fix first",IF(V1760&lt;=Settings!$B$12,"2 - Review","3 - Monitor")))</f>
        <v/>
      </c>
      <c r="X1760" s="56" t="str">
        <f aca="false">IF(AND(E1760&gt;=Settings!$B$4,F1760&gt;=Settings!$B$5,O1760&gt;=Settings!$B$6),"HIGH RATE","")</f>
        <v/>
      </c>
      <c r="Y1760" s="56" t="str">
        <f aca="false">IF(F1760&gt;0,RANK(F1760,$F$2:$F$1780)+COUNTIF($F$2:F1760,F1760)-1,"")</f>
        <v/>
      </c>
      <c r="Z1760" s="56" t="str">
        <f aca="false">IF(H1760&gt;0,RANK(H1760,$H$2:$H$1780)+COUNTIF($H$2:H1760,H1760)-1,"")</f>
        <v/>
      </c>
      <c r="AA1760" s="56" t="str">
        <f aca="false">IF(AC1760="","",RANK(AC1760,$AC$2:$AC$1780)+COUNTIF($AC$2:AC1760,AC1760)-1)</f>
        <v/>
      </c>
      <c r="AB1760" s="56" t="str">
        <f aca="false">IF(AD1760="","",RANK(AD1760,$AD$2:$AD$1780)+COUNTIF($AD$2:AD1760,AD1760)-1)</f>
        <v/>
      </c>
      <c r="AC1760" s="56" t="str">
        <f aca="false">IF(AND(F1760&gt;0,E1760&gt;=Settings!$B$4),J1760,"")</f>
        <v/>
      </c>
      <c r="AD1760" s="56" t="str">
        <f aca="false">IF(X1760="HIGH RATE",O1760,"")</f>
        <v/>
      </c>
    </row>
    <row r="1761" customFormat="false" ht="15" hidden="false" customHeight="false" outlineLevel="0" collapsed="false">
      <c r="A1761" s="56" t="s">
        <v>750</v>
      </c>
      <c r="B1761" s="56" t="s">
        <v>751</v>
      </c>
      <c r="C1761" s="56" t="s">
        <v>749</v>
      </c>
      <c r="D1761" s="56" t="str">
        <f aca="false">IFERROR(INDEX('Brand Map'!$B$4:$B$124,MATCH(C1761,'Brand Map'!$A$4:$A$124,0)),"Other")</f>
        <v>Other (small prefixes)</v>
      </c>
      <c r="E1761" s="57" t="n">
        <v>7</v>
      </c>
      <c r="F1761" s="57" t="n">
        <v>0</v>
      </c>
      <c r="G1761" s="58" t="n">
        <v>536.95</v>
      </c>
      <c r="H1761" s="58" t="n">
        <v>0</v>
      </c>
      <c r="I1761" s="58" t="n">
        <v>501.81</v>
      </c>
      <c r="J1761" s="32" t="n">
        <f aca="false">IF(E1761&gt;0,F1761/E1761,0)</f>
        <v>0</v>
      </c>
      <c r="K1761" s="32" t="n">
        <f aca="false">IF(G1761&gt;0,H1761/G1761,0)</f>
        <v>-0</v>
      </c>
      <c r="L1761" s="59" t="n">
        <f aca="false">H1761/Settings!$B$16</f>
        <v>-0</v>
      </c>
      <c r="M1761" s="59" t="n">
        <f aca="false">H1761/Settings!$B$20</f>
        <v>-0</v>
      </c>
      <c r="N1761" s="60" t="n">
        <f aca="false">E1761*Settings!$B$3</f>
        <v>0.216903057558743</v>
      </c>
      <c r="O1761" s="60" t="n">
        <f aca="false">IF(E1761&gt;0,(F1761-N1761)/SQRT(E1761*Settings!$B$3*(1-Settings!$B$3)),0)</f>
        <v>-0.473116228387102</v>
      </c>
      <c r="P1761" s="60" t="n">
        <f aca="false">MAX(0,F1761-N1761)</f>
        <v>0</v>
      </c>
      <c r="Q1761" s="32" t="n">
        <f aca="false">(F1761+Settings!$B$7*Settings!$B$3)/(E1761+Settings!$B$7)</f>
        <v>0.0251239062809355</v>
      </c>
      <c r="R1761" s="61" t="n">
        <f aca="false">PERCENTRANK($H$2:$H$1780,H1761,6)</f>
        <v>0</v>
      </c>
      <c r="S1761" s="61" t="n">
        <f aca="false">PERCENTRANK($Q$2:$Q$1780,Q1761,6)</f>
        <v>0.168166</v>
      </c>
      <c r="T1761" s="61" t="n">
        <f aca="false">PERCENTRANK($F$2:$F$1780,F1761,6)</f>
        <v>0</v>
      </c>
      <c r="U1761" s="62" t="n">
        <f aca="false">IF(F1761&gt;0,(Settings!$B$8*T1761+Settings!$B$9*R1761+Settings!$B$10*S1761)/SUM(Settings!$B$8:$B$10),0)</f>
        <v>0</v>
      </c>
      <c r="V1761" s="56" t="str">
        <f aca="false">IF(U1761&gt;0,RANK(U1761,$U$2:$U$1780)+COUNTIF($U$2:U1761,U1761)-1,"")</f>
        <v/>
      </c>
      <c r="W1761" s="56" t="str">
        <f aca="false">IF(V1761="","",IF(V1761&lt;=Settings!$B$11,"1 - Fix first",IF(V1761&lt;=Settings!$B$12,"2 - Review","3 - Monitor")))</f>
        <v/>
      </c>
      <c r="X1761" s="56" t="str">
        <f aca="false">IF(AND(E1761&gt;=Settings!$B$4,F1761&gt;=Settings!$B$5,O1761&gt;=Settings!$B$6),"HIGH RATE","")</f>
        <v/>
      </c>
      <c r="Y1761" s="56" t="str">
        <f aca="false">IF(F1761&gt;0,RANK(F1761,$F$2:$F$1780)+COUNTIF($F$2:F1761,F1761)-1,"")</f>
        <v/>
      </c>
      <c r="Z1761" s="56" t="str">
        <f aca="false">IF(H1761&gt;0,RANK(H1761,$H$2:$H$1780)+COUNTIF($H$2:H1761,H1761)-1,"")</f>
        <v/>
      </c>
      <c r="AA1761" s="56" t="str">
        <f aca="false">IF(AC1761="","",RANK(AC1761,$AC$2:$AC$1780)+COUNTIF($AC$2:AC1761,AC1761)-1)</f>
        <v/>
      </c>
      <c r="AB1761" s="56" t="str">
        <f aca="false">IF(AD1761="","",RANK(AD1761,$AD$2:$AD$1780)+COUNTIF($AD$2:AD1761,AD1761)-1)</f>
        <v/>
      </c>
      <c r="AC1761" s="56" t="str">
        <f aca="false">IF(AND(F1761&gt;0,E1761&gt;=Settings!$B$4),J1761,"")</f>
        <v/>
      </c>
      <c r="AD1761" s="56" t="str">
        <f aca="false">IF(X1761="HIGH RATE",O1761,"")</f>
        <v/>
      </c>
    </row>
    <row r="1762" customFormat="false" ht="15" hidden="false" customHeight="false" outlineLevel="0" collapsed="false">
      <c r="A1762" s="56" t="s">
        <v>776</v>
      </c>
      <c r="B1762" s="56" t="s">
        <v>777</v>
      </c>
      <c r="C1762" s="56" t="s">
        <v>775</v>
      </c>
      <c r="D1762" s="56" t="str">
        <f aca="false">IFERROR(INDEX('Brand Map'!$B$4:$B$124,MATCH(C1762,'Brand Map'!$A$4:$A$124,0)),"Other")</f>
        <v>Free / add-on / admin items</v>
      </c>
      <c r="E1762" s="57" t="n">
        <v>10</v>
      </c>
      <c r="F1762" s="57" t="n">
        <v>0</v>
      </c>
      <c r="G1762" s="58" t="n">
        <v>190.9</v>
      </c>
      <c r="H1762" s="58" t="n">
        <v>0</v>
      </c>
      <c r="I1762" s="58" t="n">
        <v>190.9</v>
      </c>
      <c r="J1762" s="32" t="n">
        <f aca="false">IF(E1762&gt;0,F1762/E1762,0)</f>
        <v>0</v>
      </c>
      <c r="K1762" s="32" t="n">
        <f aca="false">IF(G1762&gt;0,H1762/G1762,0)</f>
        <v>-0</v>
      </c>
      <c r="L1762" s="59" t="n">
        <f aca="false">H1762/Settings!$B$16</f>
        <v>-0</v>
      </c>
      <c r="M1762" s="59" t="n">
        <f aca="false">H1762/Settings!$B$20</f>
        <v>-0</v>
      </c>
      <c r="N1762" s="60" t="n">
        <f aca="false">E1762*Settings!$B$3</f>
        <v>0.309861510798204</v>
      </c>
      <c r="O1762" s="60" t="n">
        <f aca="false">IF(E1762&gt;0,(F1762-N1762)/SQRT(E1762*Settings!$B$3*(1-Settings!$B$3)),0)</f>
        <v>-0.565482051708649</v>
      </c>
      <c r="P1762" s="60" t="n">
        <f aca="false">MAX(0,F1762-N1762)</f>
        <v>0</v>
      </c>
      <c r="Q1762" s="32" t="n">
        <f aca="false">(F1762+Settings!$B$7*Settings!$B$3)/(E1762+Settings!$B$7)</f>
        <v>0.0232396133098653</v>
      </c>
      <c r="R1762" s="61" t="n">
        <f aca="false">PERCENTRANK($H$2:$H$1780,H1762,6)</f>
        <v>0</v>
      </c>
      <c r="S1762" s="61" t="n">
        <f aca="false">PERCENTRANK($Q$2:$Q$1780,Q1762,6)</f>
        <v>0.131046</v>
      </c>
      <c r="T1762" s="61" t="n">
        <f aca="false">PERCENTRANK($F$2:$F$1780,F1762,6)</f>
        <v>0</v>
      </c>
      <c r="U1762" s="62" t="n">
        <f aca="false">IF(F1762&gt;0,(Settings!$B$8*T1762+Settings!$B$9*R1762+Settings!$B$10*S1762)/SUM(Settings!$B$8:$B$10),0)</f>
        <v>0</v>
      </c>
      <c r="V1762" s="56" t="str">
        <f aca="false">IF(U1762&gt;0,RANK(U1762,$U$2:$U$1780)+COUNTIF($U$2:U1762,U1762)-1,"")</f>
        <v/>
      </c>
      <c r="W1762" s="56" t="str">
        <f aca="false">IF(V1762="","",IF(V1762&lt;=Settings!$B$11,"1 - Fix first",IF(V1762&lt;=Settings!$B$12,"2 - Review","3 - Monitor")))</f>
        <v/>
      </c>
      <c r="X1762" s="56" t="str">
        <f aca="false">IF(AND(E1762&gt;=Settings!$B$4,F1762&gt;=Settings!$B$5,O1762&gt;=Settings!$B$6),"HIGH RATE","")</f>
        <v/>
      </c>
      <c r="Y1762" s="56" t="str">
        <f aca="false">IF(F1762&gt;0,RANK(F1762,$F$2:$F$1780)+COUNTIF($F$2:F1762,F1762)-1,"")</f>
        <v/>
      </c>
      <c r="Z1762" s="56" t="str">
        <f aca="false">IF(H1762&gt;0,RANK(H1762,$H$2:$H$1780)+COUNTIF($H$2:H1762,H1762)-1,"")</f>
        <v/>
      </c>
      <c r="AA1762" s="56" t="str">
        <f aca="false">IF(AC1762="","",RANK(AC1762,$AC$2:$AC$1780)+COUNTIF($AC$2:AC1762,AC1762)-1)</f>
        <v/>
      </c>
      <c r="AB1762" s="56" t="str">
        <f aca="false">IF(AD1762="","",RANK(AD1762,$AD$2:$AD$1780)+COUNTIF($AD$2:AD1762,AD1762)-1)</f>
        <v/>
      </c>
      <c r="AC1762" s="56" t="str">
        <f aca="false">IF(AND(F1762&gt;0,E1762&gt;=Settings!$B$4),J1762,"")</f>
        <v/>
      </c>
      <c r="AD1762" s="56" t="str">
        <f aca="false">IF(X1762="HIGH RATE",O1762,"")</f>
        <v/>
      </c>
    </row>
    <row r="1763" customFormat="false" ht="15" hidden="false" customHeight="false" outlineLevel="0" collapsed="false">
      <c r="A1763" s="56" t="s">
        <v>791</v>
      </c>
      <c r="B1763" s="56" t="s">
        <v>792</v>
      </c>
      <c r="C1763" s="56" t="s">
        <v>790</v>
      </c>
      <c r="D1763" s="56" t="str">
        <f aca="false">IFERROR(INDEX('Brand Map'!$B$4:$B$124,MATCH(C1763,'Brand Map'!$A$4:$A$124,0)),"Other")</f>
        <v>Other (small prefixes)</v>
      </c>
      <c r="E1763" s="57" t="n">
        <v>1</v>
      </c>
      <c r="F1763" s="57" t="n">
        <v>0</v>
      </c>
      <c r="G1763" s="58" t="n">
        <v>133.74</v>
      </c>
      <c r="H1763" s="58" t="n">
        <v>0</v>
      </c>
      <c r="I1763" s="58" t="n">
        <v>133.74</v>
      </c>
      <c r="J1763" s="32" t="n">
        <f aca="false">IF(E1763&gt;0,F1763/E1763,0)</f>
        <v>0</v>
      </c>
      <c r="K1763" s="32" t="n">
        <f aca="false">IF(G1763&gt;0,H1763/G1763,0)</f>
        <v>-0</v>
      </c>
      <c r="L1763" s="59" t="n">
        <f aca="false">H1763/Settings!$B$16</f>
        <v>-0</v>
      </c>
      <c r="M1763" s="59" t="n">
        <f aca="false">H1763/Settings!$B$20</f>
        <v>-0</v>
      </c>
      <c r="N1763" s="60" t="n">
        <f aca="false">E1763*Settings!$B$3</f>
        <v>0.0309861510798204</v>
      </c>
      <c r="O1763" s="60" t="n">
        <f aca="false">IF(E1763&gt;0,(F1763-N1763)/SQRT(E1763*Settings!$B$3*(1-Settings!$B$3)),0)</f>
        <v>-0.178821125934444</v>
      </c>
      <c r="P1763" s="60" t="n">
        <f aca="false">MAX(0,F1763-N1763)</f>
        <v>0</v>
      </c>
      <c r="Q1763" s="32" t="n">
        <f aca="false">(F1763+Settings!$B$7*Settings!$B$3)/(E1763+Settings!$B$7)</f>
        <v>0.0299865978191811</v>
      </c>
      <c r="R1763" s="61" t="n">
        <f aca="false">PERCENTRANK($H$2:$H$1780,H1763,6)</f>
        <v>0</v>
      </c>
      <c r="S1763" s="61" t="n">
        <f aca="false">PERCENTRANK($Q$2:$Q$1780,Q1763,6)</f>
        <v>0.486502</v>
      </c>
      <c r="T1763" s="61" t="n">
        <f aca="false">PERCENTRANK($F$2:$F$1780,F1763,6)</f>
        <v>0</v>
      </c>
      <c r="U1763" s="62" t="n">
        <f aca="false">IF(F1763&gt;0,(Settings!$B$8*T1763+Settings!$B$9*R1763+Settings!$B$10*S1763)/SUM(Settings!$B$8:$B$10),0)</f>
        <v>0</v>
      </c>
      <c r="V1763" s="56" t="str">
        <f aca="false">IF(U1763&gt;0,RANK(U1763,$U$2:$U$1780)+COUNTIF($U$2:U1763,U1763)-1,"")</f>
        <v/>
      </c>
      <c r="W1763" s="56" t="str">
        <f aca="false">IF(V1763="","",IF(V1763&lt;=Settings!$B$11,"1 - Fix first",IF(V1763&lt;=Settings!$B$12,"2 - Review","3 - Monitor")))</f>
        <v/>
      </c>
      <c r="X1763" s="56" t="str">
        <f aca="false">IF(AND(E1763&gt;=Settings!$B$4,F1763&gt;=Settings!$B$5,O1763&gt;=Settings!$B$6),"HIGH RATE","")</f>
        <v/>
      </c>
      <c r="Y1763" s="56" t="str">
        <f aca="false">IF(F1763&gt;0,RANK(F1763,$F$2:$F$1780)+COUNTIF($F$2:F1763,F1763)-1,"")</f>
        <v/>
      </c>
      <c r="Z1763" s="56" t="str">
        <f aca="false">IF(H1763&gt;0,RANK(H1763,$H$2:$H$1780)+COUNTIF($H$2:H1763,H1763)-1,"")</f>
        <v/>
      </c>
      <c r="AA1763" s="56" t="str">
        <f aca="false">IF(AC1763="","",RANK(AC1763,$AC$2:$AC$1780)+COUNTIF($AC$2:AC1763,AC1763)-1)</f>
        <v/>
      </c>
      <c r="AB1763" s="56" t="str">
        <f aca="false">IF(AD1763="","",RANK(AD1763,$AD$2:$AD$1780)+COUNTIF($AD$2:AD1763,AD1763)-1)</f>
        <v/>
      </c>
      <c r="AC1763" s="56" t="str">
        <f aca="false">IF(AND(F1763&gt;0,E1763&gt;=Settings!$B$4),J1763,"")</f>
        <v/>
      </c>
      <c r="AD1763" s="56" t="str">
        <f aca="false">IF(X1763="HIGH RATE",O1763,"")</f>
        <v/>
      </c>
    </row>
    <row r="1764" customFormat="false" ht="15" hidden="false" customHeight="false" outlineLevel="0" collapsed="false">
      <c r="A1764" s="56" t="s">
        <v>3285</v>
      </c>
      <c r="B1764" s="56" t="s">
        <v>3286</v>
      </c>
      <c r="C1764" s="56" t="s">
        <v>151</v>
      </c>
      <c r="D1764" s="56" t="str">
        <f aca="false">IFERROR(INDEX('Brand Map'!$B$4:$B$124,MATCH(C1764,'Brand Map'!$A$4:$A$124,0)),"Other")</f>
        <v>WBAU</v>
      </c>
      <c r="E1764" s="57" t="n">
        <v>35</v>
      </c>
      <c r="F1764" s="57" t="n">
        <v>0</v>
      </c>
      <c r="G1764" s="58" t="n">
        <v>2889.44</v>
      </c>
      <c r="H1764" s="58" t="n">
        <v>0</v>
      </c>
      <c r="I1764" s="58" t="n">
        <v>2812.11</v>
      </c>
      <c r="J1764" s="32" t="n">
        <f aca="false">IF(E1764&gt;0,F1764/E1764,0)</f>
        <v>0</v>
      </c>
      <c r="K1764" s="32" t="n">
        <f aca="false">IF(G1764&gt;0,H1764/G1764,0)</f>
        <v>-0</v>
      </c>
      <c r="L1764" s="59" t="n">
        <f aca="false">H1764/Settings!$B$16</f>
        <v>-0</v>
      </c>
      <c r="M1764" s="59" t="n">
        <f aca="false">H1764/Settings!$B$20</f>
        <v>-0</v>
      </c>
      <c r="N1764" s="60" t="n">
        <f aca="false">E1764*Settings!$B$3</f>
        <v>1.08451528779371</v>
      </c>
      <c r="O1764" s="60" t="n">
        <f aca="false">IF(E1764&gt;0,(F1764-N1764)/SQRT(E1764*Settings!$B$3*(1-Settings!$B$3)),0)</f>
        <v>-1.05792004793187</v>
      </c>
      <c r="P1764" s="60" t="n">
        <f aca="false">MAX(0,F1764-N1764)</f>
        <v>0</v>
      </c>
      <c r="Q1764" s="32" t="n">
        <f aca="false">(F1764+Settings!$B$7*Settings!$B$3)/(E1764+Settings!$B$7)</f>
        <v>0.0143013004983787</v>
      </c>
      <c r="R1764" s="61" t="n">
        <f aca="false">PERCENTRANK($H$2:$H$1780,H1764,6)</f>
        <v>0</v>
      </c>
      <c r="S1764" s="61" t="n">
        <f aca="false">PERCENTRANK($Q$2:$Q$1780,Q1764,6)</f>
        <v>0.0348706</v>
      </c>
      <c r="T1764" s="61" t="n">
        <f aca="false">PERCENTRANK($F$2:$F$1780,F1764,6)</f>
        <v>0</v>
      </c>
      <c r="U1764" s="62" t="n">
        <f aca="false">IF(F1764&gt;0,(Settings!$B$8*T1764+Settings!$B$9*R1764+Settings!$B$10*S1764)/SUM(Settings!$B$8:$B$10),0)</f>
        <v>0</v>
      </c>
      <c r="V1764" s="56" t="str">
        <f aca="false">IF(U1764&gt;0,RANK(U1764,$U$2:$U$1780)+COUNTIF($U$2:U1764,U1764)-1,"")</f>
        <v/>
      </c>
      <c r="W1764" s="56" t="str">
        <f aca="false">IF(V1764="","",IF(V1764&lt;=Settings!$B$11,"1 - Fix first",IF(V1764&lt;=Settings!$B$12,"2 - Review","3 - Monitor")))</f>
        <v/>
      </c>
      <c r="X1764" s="56" t="str">
        <f aca="false">IF(AND(E1764&gt;=Settings!$B$4,F1764&gt;=Settings!$B$5,O1764&gt;=Settings!$B$6),"HIGH RATE","")</f>
        <v/>
      </c>
      <c r="Y1764" s="56" t="str">
        <f aca="false">IF(F1764&gt;0,RANK(F1764,$F$2:$F$1780)+COUNTIF($F$2:F1764,F1764)-1,"")</f>
        <v/>
      </c>
      <c r="Z1764" s="56" t="str">
        <f aca="false">IF(H1764&gt;0,RANK(H1764,$H$2:$H$1780)+COUNTIF($H$2:H1764,H1764)-1,"")</f>
        <v/>
      </c>
      <c r="AA1764" s="56" t="str">
        <f aca="false">IF(AC1764="","",RANK(AC1764,$AC$2:$AC$1780)+COUNTIF($AC$2:AC1764,AC1764)-1)</f>
        <v/>
      </c>
      <c r="AB1764" s="56" t="str">
        <f aca="false">IF(AD1764="","",RANK(AD1764,$AD$2:$AD$1780)+COUNTIF($AD$2:AD1764,AD1764)-1)</f>
        <v/>
      </c>
      <c r="AC1764" s="56" t="str">
        <f aca="false">IF(AND(F1764&gt;0,E1764&gt;=Settings!$B$4),J1764,"")</f>
        <v/>
      </c>
      <c r="AD1764" s="56" t="str">
        <f aca="false">IF(X1764="HIGH RATE",O1764,"")</f>
        <v/>
      </c>
    </row>
    <row r="1765" customFormat="false" ht="15" hidden="false" customHeight="false" outlineLevel="0" collapsed="false">
      <c r="A1765" s="56" t="s">
        <v>3287</v>
      </c>
      <c r="B1765" s="56" t="s">
        <v>3288</v>
      </c>
      <c r="C1765" s="56" t="s">
        <v>151</v>
      </c>
      <c r="D1765" s="56" t="str">
        <f aca="false">IFERROR(INDEX('Brand Map'!$B$4:$B$124,MATCH(C1765,'Brand Map'!$A$4:$A$124,0)),"Other")</f>
        <v>WBAU</v>
      </c>
      <c r="E1765" s="57" t="n">
        <v>41</v>
      </c>
      <c r="F1765" s="57" t="n">
        <v>0</v>
      </c>
      <c r="G1765" s="58" t="n">
        <v>3610.92</v>
      </c>
      <c r="H1765" s="58" t="n">
        <v>0</v>
      </c>
      <c r="I1765" s="58" t="n">
        <v>3486.03</v>
      </c>
      <c r="J1765" s="32" t="n">
        <f aca="false">IF(E1765&gt;0,F1765/E1765,0)</f>
        <v>0</v>
      </c>
      <c r="K1765" s="32" t="n">
        <f aca="false">IF(G1765&gt;0,H1765/G1765,0)</f>
        <v>-0</v>
      </c>
      <c r="L1765" s="59" t="n">
        <f aca="false">H1765/Settings!$B$16</f>
        <v>-0</v>
      </c>
      <c r="M1765" s="59" t="n">
        <f aca="false">H1765/Settings!$B$20</f>
        <v>-0</v>
      </c>
      <c r="N1765" s="60" t="n">
        <f aca="false">E1765*Settings!$B$3</f>
        <v>1.27043219427264</v>
      </c>
      <c r="O1765" s="60" t="n">
        <f aca="false">IF(E1765&gt;0,(F1765-N1765)/SQRT(E1765*Settings!$B$3*(1-Settings!$B$3)),0)</f>
        <v>-1.14501388563587</v>
      </c>
      <c r="P1765" s="60" t="n">
        <f aca="false">MAX(0,F1765-N1765)</f>
        <v>0</v>
      </c>
      <c r="Q1765" s="32" t="n">
        <f aca="false">(F1765+Settings!$B$7*Settings!$B$3)/(E1765+Settings!$B$7)</f>
        <v>0.0130927398928819</v>
      </c>
      <c r="R1765" s="61" t="n">
        <f aca="false">PERCENTRANK($H$2:$H$1780,H1765,6)</f>
        <v>0</v>
      </c>
      <c r="S1765" s="61" t="n">
        <f aca="false">PERCENTRANK($Q$2:$Q$1780,Q1765,6)</f>
        <v>0.0309336</v>
      </c>
      <c r="T1765" s="61" t="n">
        <f aca="false">PERCENTRANK($F$2:$F$1780,F1765,6)</f>
        <v>0</v>
      </c>
      <c r="U1765" s="62" t="n">
        <f aca="false">IF(F1765&gt;0,(Settings!$B$8*T1765+Settings!$B$9*R1765+Settings!$B$10*S1765)/SUM(Settings!$B$8:$B$10),0)</f>
        <v>0</v>
      </c>
      <c r="V1765" s="56" t="str">
        <f aca="false">IF(U1765&gt;0,RANK(U1765,$U$2:$U$1780)+COUNTIF($U$2:U1765,U1765)-1,"")</f>
        <v/>
      </c>
      <c r="W1765" s="56" t="str">
        <f aca="false">IF(V1765="","",IF(V1765&lt;=Settings!$B$11,"1 - Fix first",IF(V1765&lt;=Settings!$B$12,"2 - Review","3 - Monitor")))</f>
        <v/>
      </c>
      <c r="X1765" s="56" t="str">
        <f aca="false">IF(AND(E1765&gt;=Settings!$B$4,F1765&gt;=Settings!$B$5,O1765&gt;=Settings!$B$6),"HIGH RATE","")</f>
        <v/>
      </c>
      <c r="Y1765" s="56" t="str">
        <f aca="false">IF(F1765&gt;0,RANK(F1765,$F$2:$F$1780)+COUNTIF($F$2:F1765,F1765)-1,"")</f>
        <v/>
      </c>
      <c r="Z1765" s="56" t="str">
        <f aca="false">IF(H1765&gt;0,RANK(H1765,$H$2:$H$1780)+COUNTIF($H$2:H1765,H1765)-1,"")</f>
        <v/>
      </c>
      <c r="AA1765" s="56" t="str">
        <f aca="false">IF(AC1765="","",RANK(AC1765,$AC$2:$AC$1780)+COUNTIF($AC$2:AC1765,AC1765)-1)</f>
        <v/>
      </c>
      <c r="AB1765" s="56" t="str">
        <f aca="false">IF(AD1765="","",RANK(AD1765,$AD$2:$AD$1780)+COUNTIF($AD$2:AD1765,AD1765)-1)</f>
        <v/>
      </c>
      <c r="AC1765" s="56" t="str">
        <f aca="false">IF(AND(F1765&gt;0,E1765&gt;=Settings!$B$4),J1765,"")</f>
        <v/>
      </c>
      <c r="AD1765" s="56" t="str">
        <f aca="false">IF(X1765="HIGH RATE",O1765,"")</f>
        <v/>
      </c>
    </row>
    <row r="1766" customFormat="false" ht="15" hidden="false" customHeight="false" outlineLevel="0" collapsed="false">
      <c r="A1766" s="56" t="s">
        <v>3289</v>
      </c>
      <c r="B1766" s="56" t="s">
        <v>3290</v>
      </c>
      <c r="C1766" s="56" t="s">
        <v>151</v>
      </c>
      <c r="D1766" s="56" t="str">
        <f aca="false">IFERROR(INDEX('Brand Map'!$B$4:$B$124,MATCH(C1766,'Brand Map'!$A$4:$A$124,0)),"Other")</f>
        <v>WBAU</v>
      </c>
      <c r="E1766" s="57" t="n">
        <v>28</v>
      </c>
      <c r="F1766" s="57" t="n">
        <v>0</v>
      </c>
      <c r="G1766" s="58" t="n">
        <v>2557.37</v>
      </c>
      <c r="H1766" s="58" t="n">
        <v>0</v>
      </c>
      <c r="I1766" s="58" t="n">
        <v>2545.11</v>
      </c>
      <c r="J1766" s="32" t="n">
        <f aca="false">IF(E1766&gt;0,F1766/E1766,0)</f>
        <v>0</v>
      </c>
      <c r="K1766" s="32" t="n">
        <f aca="false">IF(G1766&gt;0,H1766/G1766,0)</f>
        <v>-0</v>
      </c>
      <c r="L1766" s="59" t="n">
        <f aca="false">H1766/Settings!$B$16</f>
        <v>-0</v>
      </c>
      <c r="M1766" s="59" t="n">
        <f aca="false">H1766/Settings!$B$20</f>
        <v>-0</v>
      </c>
      <c r="N1766" s="60" t="n">
        <f aca="false">E1766*Settings!$B$3</f>
        <v>0.867612230234972</v>
      </c>
      <c r="O1766" s="60" t="n">
        <f aca="false">IF(E1766&gt;0,(F1766-N1766)/SQRT(E1766*Settings!$B$3*(1-Settings!$B$3)),0)</f>
        <v>-0.946232456774203</v>
      </c>
      <c r="P1766" s="60" t="n">
        <f aca="false">MAX(0,F1766-N1766)</f>
        <v>0</v>
      </c>
      <c r="Q1766" s="32" t="n">
        <f aca="false">(F1766+Settings!$B$7*Settings!$B$3)/(E1766+Settings!$B$7)</f>
        <v>0.016027319524045</v>
      </c>
      <c r="R1766" s="61" t="n">
        <f aca="false">PERCENTRANK($H$2:$H$1780,H1766,6)</f>
        <v>0</v>
      </c>
      <c r="S1766" s="61" t="n">
        <f aca="false">PERCENTRANK($Q$2:$Q$1780,Q1766,6)</f>
        <v>0.0449944</v>
      </c>
      <c r="T1766" s="61" t="n">
        <f aca="false">PERCENTRANK($F$2:$F$1780,F1766,6)</f>
        <v>0</v>
      </c>
      <c r="U1766" s="62" t="n">
        <f aca="false">IF(F1766&gt;0,(Settings!$B$8*T1766+Settings!$B$9*R1766+Settings!$B$10*S1766)/SUM(Settings!$B$8:$B$10),0)</f>
        <v>0</v>
      </c>
      <c r="V1766" s="56" t="str">
        <f aca="false">IF(U1766&gt;0,RANK(U1766,$U$2:$U$1780)+COUNTIF($U$2:U1766,U1766)-1,"")</f>
        <v/>
      </c>
      <c r="W1766" s="56" t="str">
        <f aca="false">IF(V1766="","",IF(V1766&lt;=Settings!$B$11,"1 - Fix first",IF(V1766&lt;=Settings!$B$12,"2 - Review","3 - Monitor")))</f>
        <v/>
      </c>
      <c r="X1766" s="56" t="str">
        <f aca="false">IF(AND(E1766&gt;=Settings!$B$4,F1766&gt;=Settings!$B$5,O1766&gt;=Settings!$B$6),"HIGH RATE","")</f>
        <v/>
      </c>
      <c r="Y1766" s="56" t="str">
        <f aca="false">IF(F1766&gt;0,RANK(F1766,$F$2:$F$1780)+COUNTIF($F$2:F1766,F1766)-1,"")</f>
        <v/>
      </c>
      <c r="Z1766" s="56" t="str">
        <f aca="false">IF(H1766&gt;0,RANK(H1766,$H$2:$H$1780)+COUNTIF($H$2:H1766,H1766)-1,"")</f>
        <v/>
      </c>
      <c r="AA1766" s="56" t="str">
        <f aca="false">IF(AC1766="","",RANK(AC1766,$AC$2:$AC$1780)+COUNTIF($AC$2:AC1766,AC1766)-1)</f>
        <v/>
      </c>
      <c r="AB1766" s="56" t="str">
        <f aca="false">IF(AD1766="","",RANK(AD1766,$AD$2:$AD$1780)+COUNTIF($AD$2:AD1766,AD1766)-1)</f>
        <v/>
      </c>
      <c r="AC1766" s="56" t="str">
        <f aca="false">IF(AND(F1766&gt;0,E1766&gt;=Settings!$B$4),J1766,"")</f>
        <v/>
      </c>
      <c r="AD1766" s="56" t="str">
        <f aca="false">IF(X1766="HIGH RATE",O1766,"")</f>
        <v/>
      </c>
    </row>
    <row r="1767" customFormat="false" ht="15" hidden="false" customHeight="false" outlineLevel="0" collapsed="false">
      <c r="A1767" s="56" t="s">
        <v>3291</v>
      </c>
      <c r="B1767" s="56" t="s">
        <v>3292</v>
      </c>
      <c r="C1767" s="56" t="s">
        <v>151</v>
      </c>
      <c r="D1767" s="56" t="str">
        <f aca="false">IFERROR(INDEX('Brand Map'!$B$4:$B$124,MATCH(C1767,'Brand Map'!$A$4:$A$124,0)),"Other")</f>
        <v>WBAU</v>
      </c>
      <c r="E1767" s="57" t="n">
        <v>3</v>
      </c>
      <c r="F1767" s="57" t="n">
        <v>0</v>
      </c>
      <c r="G1767" s="58" t="n">
        <v>439.85</v>
      </c>
      <c r="H1767" s="58" t="n">
        <v>0</v>
      </c>
      <c r="I1767" s="58" t="n">
        <v>439.85</v>
      </c>
      <c r="J1767" s="32" t="n">
        <f aca="false">IF(E1767&gt;0,F1767/E1767,0)</f>
        <v>0</v>
      </c>
      <c r="K1767" s="32" t="n">
        <f aca="false">IF(G1767&gt;0,H1767/G1767,0)</f>
        <v>-0</v>
      </c>
      <c r="L1767" s="59" t="n">
        <f aca="false">H1767/Settings!$B$16</f>
        <v>-0</v>
      </c>
      <c r="M1767" s="59" t="n">
        <f aca="false">H1767/Settings!$B$20</f>
        <v>-0</v>
      </c>
      <c r="N1767" s="60" t="n">
        <f aca="false">E1767*Settings!$B$3</f>
        <v>0.0929584532394613</v>
      </c>
      <c r="O1767" s="60" t="n">
        <f aca="false">IF(E1767&gt;0,(F1767-N1767)/SQRT(E1767*Settings!$B$3*(1-Settings!$B$3)),0)</f>
        <v>-0.30972727558513</v>
      </c>
      <c r="P1767" s="60" t="n">
        <f aca="false">MAX(0,F1767-N1767)</f>
        <v>0</v>
      </c>
      <c r="Q1767" s="32" t="n">
        <f aca="false">(F1767+Settings!$B$7*Settings!$B$3)/(E1767+Settings!$B$7)</f>
        <v>0.0281692282543822</v>
      </c>
      <c r="R1767" s="61" t="n">
        <f aca="false">PERCENTRANK($H$2:$H$1780,H1767,6)</f>
        <v>0</v>
      </c>
      <c r="S1767" s="61" t="n">
        <f aca="false">PERCENTRANK($Q$2:$Q$1780,Q1767,6)</f>
        <v>0.294151</v>
      </c>
      <c r="T1767" s="61" t="n">
        <f aca="false">PERCENTRANK($F$2:$F$1780,F1767,6)</f>
        <v>0</v>
      </c>
      <c r="U1767" s="62" t="n">
        <f aca="false">IF(F1767&gt;0,(Settings!$B$8*T1767+Settings!$B$9*R1767+Settings!$B$10*S1767)/SUM(Settings!$B$8:$B$10),0)</f>
        <v>0</v>
      </c>
      <c r="V1767" s="56" t="str">
        <f aca="false">IF(U1767&gt;0,RANK(U1767,$U$2:$U$1780)+COUNTIF($U$2:U1767,U1767)-1,"")</f>
        <v/>
      </c>
      <c r="W1767" s="56" t="str">
        <f aca="false">IF(V1767="","",IF(V1767&lt;=Settings!$B$11,"1 - Fix first",IF(V1767&lt;=Settings!$B$12,"2 - Review","3 - Monitor")))</f>
        <v/>
      </c>
      <c r="X1767" s="56" t="str">
        <f aca="false">IF(AND(E1767&gt;=Settings!$B$4,F1767&gt;=Settings!$B$5,O1767&gt;=Settings!$B$6),"HIGH RATE","")</f>
        <v/>
      </c>
      <c r="Y1767" s="56" t="str">
        <f aca="false">IF(F1767&gt;0,RANK(F1767,$F$2:$F$1780)+COUNTIF($F$2:F1767,F1767)-1,"")</f>
        <v/>
      </c>
      <c r="Z1767" s="56" t="str">
        <f aca="false">IF(H1767&gt;0,RANK(H1767,$H$2:$H$1780)+COUNTIF($H$2:H1767,H1767)-1,"")</f>
        <v/>
      </c>
      <c r="AA1767" s="56" t="str">
        <f aca="false">IF(AC1767="","",RANK(AC1767,$AC$2:$AC$1780)+COUNTIF($AC$2:AC1767,AC1767)-1)</f>
        <v/>
      </c>
      <c r="AB1767" s="56" t="str">
        <f aca="false">IF(AD1767="","",RANK(AD1767,$AD$2:$AD$1780)+COUNTIF($AD$2:AD1767,AD1767)-1)</f>
        <v/>
      </c>
      <c r="AC1767" s="56" t="str">
        <f aca="false">IF(AND(F1767&gt;0,E1767&gt;=Settings!$B$4),J1767,"")</f>
        <v/>
      </c>
      <c r="AD1767" s="56" t="str">
        <f aca="false">IF(X1767="HIGH RATE",O1767,"")</f>
        <v/>
      </c>
    </row>
    <row r="1768" customFormat="false" ht="15" hidden="false" customHeight="false" outlineLevel="0" collapsed="false">
      <c r="A1768" s="56" t="s">
        <v>3293</v>
      </c>
      <c r="B1768" s="56" t="s">
        <v>3294</v>
      </c>
      <c r="C1768" s="56" t="s">
        <v>151</v>
      </c>
      <c r="D1768" s="56" t="str">
        <f aca="false">IFERROR(INDEX('Brand Map'!$B$4:$B$124,MATCH(C1768,'Brand Map'!$A$4:$A$124,0)),"Other")</f>
        <v>WBAU</v>
      </c>
      <c r="E1768" s="57" t="n">
        <v>1</v>
      </c>
      <c r="F1768" s="57" t="n">
        <v>0</v>
      </c>
      <c r="G1768" s="58" t="n">
        <v>154.5</v>
      </c>
      <c r="H1768" s="58" t="n">
        <v>0</v>
      </c>
      <c r="I1768" s="58" t="n">
        <v>154.5</v>
      </c>
      <c r="J1768" s="32" t="n">
        <f aca="false">IF(E1768&gt;0,F1768/E1768,0)</f>
        <v>0</v>
      </c>
      <c r="K1768" s="32" t="n">
        <f aca="false">IF(G1768&gt;0,H1768/G1768,0)</f>
        <v>-0</v>
      </c>
      <c r="L1768" s="59" t="n">
        <f aca="false">H1768/Settings!$B$16</f>
        <v>-0</v>
      </c>
      <c r="M1768" s="59" t="n">
        <f aca="false">H1768/Settings!$B$20</f>
        <v>-0</v>
      </c>
      <c r="N1768" s="60" t="n">
        <f aca="false">E1768*Settings!$B$3</f>
        <v>0.0309861510798204</v>
      </c>
      <c r="O1768" s="60" t="n">
        <f aca="false">IF(E1768&gt;0,(F1768-N1768)/SQRT(E1768*Settings!$B$3*(1-Settings!$B$3)),0)</f>
        <v>-0.178821125934444</v>
      </c>
      <c r="P1768" s="60" t="n">
        <f aca="false">MAX(0,F1768-N1768)</f>
        <v>0</v>
      </c>
      <c r="Q1768" s="32" t="n">
        <f aca="false">(F1768+Settings!$B$7*Settings!$B$3)/(E1768+Settings!$B$7)</f>
        <v>0.0299865978191811</v>
      </c>
      <c r="R1768" s="61" t="n">
        <f aca="false">PERCENTRANK($H$2:$H$1780,H1768,6)</f>
        <v>0</v>
      </c>
      <c r="S1768" s="61" t="n">
        <f aca="false">PERCENTRANK($Q$2:$Q$1780,Q1768,6)</f>
        <v>0.486502</v>
      </c>
      <c r="T1768" s="61" t="n">
        <f aca="false">PERCENTRANK($F$2:$F$1780,F1768,6)</f>
        <v>0</v>
      </c>
      <c r="U1768" s="62" t="n">
        <f aca="false">IF(F1768&gt;0,(Settings!$B$8*T1768+Settings!$B$9*R1768+Settings!$B$10*S1768)/SUM(Settings!$B$8:$B$10),0)</f>
        <v>0</v>
      </c>
      <c r="V1768" s="56" t="str">
        <f aca="false">IF(U1768&gt;0,RANK(U1768,$U$2:$U$1780)+COUNTIF($U$2:U1768,U1768)-1,"")</f>
        <v/>
      </c>
      <c r="W1768" s="56" t="str">
        <f aca="false">IF(V1768="","",IF(V1768&lt;=Settings!$B$11,"1 - Fix first",IF(V1768&lt;=Settings!$B$12,"2 - Review","3 - Monitor")))</f>
        <v/>
      </c>
      <c r="X1768" s="56" t="str">
        <f aca="false">IF(AND(E1768&gt;=Settings!$B$4,F1768&gt;=Settings!$B$5,O1768&gt;=Settings!$B$6),"HIGH RATE","")</f>
        <v/>
      </c>
      <c r="Y1768" s="56" t="str">
        <f aca="false">IF(F1768&gt;0,RANK(F1768,$F$2:$F$1780)+COUNTIF($F$2:F1768,F1768)-1,"")</f>
        <v/>
      </c>
      <c r="Z1768" s="56" t="str">
        <f aca="false">IF(H1768&gt;0,RANK(H1768,$H$2:$H$1780)+COUNTIF($H$2:H1768,H1768)-1,"")</f>
        <v/>
      </c>
      <c r="AA1768" s="56" t="str">
        <f aca="false">IF(AC1768="","",RANK(AC1768,$AC$2:$AC$1780)+COUNTIF($AC$2:AC1768,AC1768)-1)</f>
        <v/>
      </c>
      <c r="AB1768" s="56" t="str">
        <f aca="false">IF(AD1768="","",RANK(AD1768,$AD$2:$AD$1780)+COUNTIF($AD$2:AD1768,AD1768)-1)</f>
        <v/>
      </c>
      <c r="AC1768" s="56" t="str">
        <f aca="false">IF(AND(F1768&gt;0,E1768&gt;=Settings!$B$4),J1768,"")</f>
        <v/>
      </c>
      <c r="AD1768" s="56" t="str">
        <f aca="false">IF(X1768="HIGH RATE",O1768,"")</f>
        <v/>
      </c>
    </row>
    <row r="1769" customFormat="false" ht="15" hidden="false" customHeight="false" outlineLevel="0" collapsed="false">
      <c r="A1769" s="56" t="s">
        <v>3295</v>
      </c>
      <c r="B1769" s="56" t="s">
        <v>3296</v>
      </c>
      <c r="C1769" s="56" t="s">
        <v>644</v>
      </c>
      <c r="D1769" s="56" t="str">
        <f aca="false">IFERROR(INDEX('Brand Map'!$B$4:$B$124,MATCH(C1769,'Brand Map'!$A$4:$A$124,0)),"Other")</f>
        <v>Other (small prefixes)</v>
      </c>
      <c r="E1769" s="57" t="n">
        <v>3</v>
      </c>
      <c r="F1769" s="57" t="n">
        <v>0</v>
      </c>
      <c r="G1769" s="58" t="n">
        <v>849.42</v>
      </c>
      <c r="H1769" s="58" t="n">
        <v>0</v>
      </c>
      <c r="I1769" s="58" t="n">
        <v>849.42</v>
      </c>
      <c r="J1769" s="32" t="n">
        <f aca="false">IF(E1769&gt;0,F1769/E1769,0)</f>
        <v>0</v>
      </c>
      <c r="K1769" s="32" t="n">
        <f aca="false">IF(G1769&gt;0,H1769/G1769,0)</f>
        <v>-0</v>
      </c>
      <c r="L1769" s="59" t="n">
        <f aca="false">H1769/Settings!$B$16</f>
        <v>-0</v>
      </c>
      <c r="M1769" s="59" t="n">
        <f aca="false">H1769/Settings!$B$20</f>
        <v>-0</v>
      </c>
      <c r="N1769" s="60" t="n">
        <f aca="false">E1769*Settings!$B$3</f>
        <v>0.0929584532394613</v>
      </c>
      <c r="O1769" s="60" t="n">
        <f aca="false">IF(E1769&gt;0,(F1769-N1769)/SQRT(E1769*Settings!$B$3*(1-Settings!$B$3)),0)</f>
        <v>-0.30972727558513</v>
      </c>
      <c r="P1769" s="60" t="n">
        <f aca="false">MAX(0,F1769-N1769)</f>
        <v>0</v>
      </c>
      <c r="Q1769" s="32" t="n">
        <f aca="false">(F1769+Settings!$B$7*Settings!$B$3)/(E1769+Settings!$B$7)</f>
        <v>0.0281692282543822</v>
      </c>
      <c r="R1769" s="61" t="n">
        <f aca="false">PERCENTRANK($H$2:$H$1780,H1769,6)</f>
        <v>0</v>
      </c>
      <c r="S1769" s="61" t="n">
        <f aca="false">PERCENTRANK($Q$2:$Q$1780,Q1769,6)</f>
        <v>0.294151</v>
      </c>
      <c r="T1769" s="61" t="n">
        <f aca="false">PERCENTRANK($F$2:$F$1780,F1769,6)</f>
        <v>0</v>
      </c>
      <c r="U1769" s="62" t="n">
        <f aca="false">IF(F1769&gt;0,(Settings!$B$8*T1769+Settings!$B$9*R1769+Settings!$B$10*S1769)/SUM(Settings!$B$8:$B$10),0)</f>
        <v>0</v>
      </c>
      <c r="V1769" s="56" t="str">
        <f aca="false">IF(U1769&gt;0,RANK(U1769,$U$2:$U$1780)+COUNTIF($U$2:U1769,U1769)-1,"")</f>
        <v/>
      </c>
      <c r="W1769" s="56" t="str">
        <f aca="false">IF(V1769="","",IF(V1769&lt;=Settings!$B$11,"1 - Fix first",IF(V1769&lt;=Settings!$B$12,"2 - Review","3 - Monitor")))</f>
        <v/>
      </c>
      <c r="X1769" s="56" t="str">
        <f aca="false">IF(AND(E1769&gt;=Settings!$B$4,F1769&gt;=Settings!$B$5,O1769&gt;=Settings!$B$6),"HIGH RATE","")</f>
        <v/>
      </c>
      <c r="Y1769" s="56" t="str">
        <f aca="false">IF(F1769&gt;0,RANK(F1769,$F$2:$F$1780)+COUNTIF($F$2:F1769,F1769)-1,"")</f>
        <v/>
      </c>
      <c r="Z1769" s="56" t="str">
        <f aca="false">IF(H1769&gt;0,RANK(H1769,$H$2:$H$1780)+COUNTIF($H$2:H1769,H1769)-1,"")</f>
        <v/>
      </c>
      <c r="AA1769" s="56" t="str">
        <f aca="false">IF(AC1769="","",RANK(AC1769,$AC$2:$AC$1780)+COUNTIF($AC$2:AC1769,AC1769)-1)</f>
        <v/>
      </c>
      <c r="AB1769" s="56" t="str">
        <f aca="false">IF(AD1769="","",RANK(AD1769,$AD$2:$AD$1780)+COUNTIF($AD$2:AD1769,AD1769)-1)</f>
        <v/>
      </c>
      <c r="AC1769" s="56" t="str">
        <f aca="false">IF(AND(F1769&gt;0,E1769&gt;=Settings!$B$4),J1769,"")</f>
        <v/>
      </c>
      <c r="AD1769" s="56" t="str">
        <f aca="false">IF(X1769="HIGH RATE",O1769,"")</f>
        <v/>
      </c>
    </row>
    <row r="1770" customFormat="false" ht="15" hidden="false" customHeight="false" outlineLevel="0" collapsed="false">
      <c r="A1770" s="56" t="s">
        <v>3297</v>
      </c>
      <c r="B1770" s="56" t="s">
        <v>3298</v>
      </c>
      <c r="C1770" s="56" t="s">
        <v>644</v>
      </c>
      <c r="D1770" s="56" t="str">
        <f aca="false">IFERROR(INDEX('Brand Map'!$B$4:$B$124,MATCH(C1770,'Brand Map'!$A$4:$A$124,0)),"Other")</f>
        <v>Other (small prefixes)</v>
      </c>
      <c r="E1770" s="57" t="n">
        <v>1</v>
      </c>
      <c r="F1770" s="57" t="n">
        <v>0</v>
      </c>
      <c r="G1770" s="58" t="n">
        <v>260.95</v>
      </c>
      <c r="H1770" s="58" t="n">
        <v>0</v>
      </c>
      <c r="I1770" s="58" t="n">
        <v>260.95</v>
      </c>
      <c r="J1770" s="32" t="n">
        <f aca="false">IF(E1770&gt;0,F1770/E1770,0)</f>
        <v>0</v>
      </c>
      <c r="K1770" s="32" t="n">
        <f aca="false">IF(G1770&gt;0,H1770/G1770,0)</f>
        <v>-0</v>
      </c>
      <c r="L1770" s="59" t="n">
        <f aca="false">H1770/Settings!$B$16</f>
        <v>-0</v>
      </c>
      <c r="M1770" s="59" t="n">
        <f aca="false">H1770/Settings!$B$20</f>
        <v>-0</v>
      </c>
      <c r="N1770" s="60" t="n">
        <f aca="false">E1770*Settings!$B$3</f>
        <v>0.0309861510798204</v>
      </c>
      <c r="O1770" s="60" t="n">
        <f aca="false">IF(E1770&gt;0,(F1770-N1770)/SQRT(E1770*Settings!$B$3*(1-Settings!$B$3)),0)</f>
        <v>-0.178821125934444</v>
      </c>
      <c r="P1770" s="60" t="n">
        <f aca="false">MAX(0,F1770-N1770)</f>
        <v>0</v>
      </c>
      <c r="Q1770" s="32" t="n">
        <f aca="false">(F1770+Settings!$B$7*Settings!$B$3)/(E1770+Settings!$B$7)</f>
        <v>0.0299865978191811</v>
      </c>
      <c r="R1770" s="61" t="n">
        <f aca="false">PERCENTRANK($H$2:$H$1780,H1770,6)</f>
        <v>0</v>
      </c>
      <c r="S1770" s="61" t="n">
        <f aca="false">PERCENTRANK($Q$2:$Q$1780,Q1770,6)</f>
        <v>0.486502</v>
      </c>
      <c r="T1770" s="61" t="n">
        <f aca="false">PERCENTRANK($F$2:$F$1780,F1770,6)</f>
        <v>0</v>
      </c>
      <c r="U1770" s="62" t="n">
        <f aca="false">IF(F1770&gt;0,(Settings!$B$8*T1770+Settings!$B$9*R1770+Settings!$B$10*S1770)/SUM(Settings!$B$8:$B$10),0)</f>
        <v>0</v>
      </c>
      <c r="V1770" s="56" t="str">
        <f aca="false">IF(U1770&gt;0,RANK(U1770,$U$2:$U$1780)+COUNTIF($U$2:U1770,U1770)-1,"")</f>
        <v/>
      </c>
      <c r="W1770" s="56" t="str">
        <f aca="false">IF(V1770="","",IF(V1770&lt;=Settings!$B$11,"1 - Fix first",IF(V1770&lt;=Settings!$B$12,"2 - Review","3 - Monitor")))</f>
        <v/>
      </c>
      <c r="X1770" s="56" t="str">
        <f aca="false">IF(AND(E1770&gt;=Settings!$B$4,F1770&gt;=Settings!$B$5,O1770&gt;=Settings!$B$6),"HIGH RATE","")</f>
        <v/>
      </c>
      <c r="Y1770" s="56" t="str">
        <f aca="false">IF(F1770&gt;0,RANK(F1770,$F$2:$F$1780)+COUNTIF($F$2:F1770,F1770)-1,"")</f>
        <v/>
      </c>
      <c r="Z1770" s="56" t="str">
        <f aca="false">IF(H1770&gt;0,RANK(H1770,$H$2:$H$1780)+COUNTIF($H$2:H1770,H1770)-1,"")</f>
        <v/>
      </c>
      <c r="AA1770" s="56" t="str">
        <f aca="false">IF(AC1770="","",RANK(AC1770,$AC$2:$AC$1780)+COUNTIF($AC$2:AC1770,AC1770)-1)</f>
        <v/>
      </c>
      <c r="AB1770" s="56" t="str">
        <f aca="false">IF(AD1770="","",RANK(AD1770,$AD$2:$AD$1780)+COUNTIF($AD$2:AD1770,AD1770)-1)</f>
        <v/>
      </c>
      <c r="AC1770" s="56" t="str">
        <f aca="false">IF(AND(F1770&gt;0,E1770&gt;=Settings!$B$4),J1770,"")</f>
        <v/>
      </c>
      <c r="AD1770" s="56" t="str">
        <f aca="false">IF(X1770="HIGH RATE",O1770,"")</f>
        <v/>
      </c>
    </row>
    <row r="1771" customFormat="false" ht="15" hidden="false" customHeight="false" outlineLevel="0" collapsed="false">
      <c r="A1771" s="56" t="s">
        <v>3299</v>
      </c>
      <c r="B1771" s="56" t="s">
        <v>3300</v>
      </c>
      <c r="C1771" s="56" t="s">
        <v>644</v>
      </c>
      <c r="D1771" s="56" t="str">
        <f aca="false">IFERROR(INDEX('Brand Map'!$B$4:$B$124,MATCH(C1771,'Brand Map'!$A$4:$A$124,0)),"Other")</f>
        <v>Other (small prefixes)</v>
      </c>
      <c r="E1771" s="57" t="n">
        <v>27</v>
      </c>
      <c r="F1771" s="57" t="n">
        <v>0</v>
      </c>
      <c r="G1771" s="58" t="n">
        <v>2699.44</v>
      </c>
      <c r="H1771" s="58" t="n">
        <v>0</v>
      </c>
      <c r="I1771" s="58" t="n">
        <v>2699.44</v>
      </c>
      <c r="J1771" s="32" t="n">
        <f aca="false">IF(E1771&gt;0,F1771/E1771,0)</f>
        <v>0</v>
      </c>
      <c r="K1771" s="32" t="n">
        <f aca="false">IF(G1771&gt;0,H1771/G1771,0)</f>
        <v>-0</v>
      </c>
      <c r="L1771" s="59" t="n">
        <f aca="false">H1771/Settings!$B$16</f>
        <v>-0</v>
      </c>
      <c r="M1771" s="59" t="n">
        <f aca="false">H1771/Settings!$B$20</f>
        <v>-0</v>
      </c>
      <c r="N1771" s="60" t="n">
        <f aca="false">E1771*Settings!$B$3</f>
        <v>0.836626079155151</v>
      </c>
      <c r="O1771" s="60" t="n">
        <f aca="false">IF(E1771&gt;0,(F1771-N1771)/SQRT(E1771*Settings!$B$3*(1-Settings!$B$3)),0)</f>
        <v>-0.929181826755389</v>
      </c>
      <c r="P1771" s="60" t="n">
        <f aca="false">MAX(0,F1771-N1771)</f>
        <v>0</v>
      </c>
      <c r="Q1771" s="32" t="n">
        <f aca="false">(F1771+Settings!$B$7*Settings!$B$3)/(E1771+Settings!$B$7)</f>
        <v>0.0163085005683265</v>
      </c>
      <c r="R1771" s="61" t="n">
        <f aca="false">PERCENTRANK($H$2:$H$1780,H1771,6)</f>
        <v>0</v>
      </c>
      <c r="S1771" s="61" t="n">
        <f aca="false">PERCENTRANK($Q$2:$Q$1780,Q1771,6)</f>
        <v>0.0489314</v>
      </c>
      <c r="T1771" s="61" t="n">
        <f aca="false">PERCENTRANK($F$2:$F$1780,F1771,6)</f>
        <v>0</v>
      </c>
      <c r="U1771" s="62" t="n">
        <f aca="false">IF(F1771&gt;0,(Settings!$B$8*T1771+Settings!$B$9*R1771+Settings!$B$10*S1771)/SUM(Settings!$B$8:$B$10),0)</f>
        <v>0</v>
      </c>
      <c r="V1771" s="56" t="str">
        <f aca="false">IF(U1771&gt;0,RANK(U1771,$U$2:$U$1780)+COUNTIF($U$2:U1771,U1771)-1,"")</f>
        <v/>
      </c>
      <c r="W1771" s="56" t="str">
        <f aca="false">IF(V1771="","",IF(V1771&lt;=Settings!$B$11,"1 - Fix first",IF(V1771&lt;=Settings!$B$12,"2 - Review","3 - Monitor")))</f>
        <v/>
      </c>
      <c r="X1771" s="56" t="str">
        <f aca="false">IF(AND(E1771&gt;=Settings!$B$4,F1771&gt;=Settings!$B$5,O1771&gt;=Settings!$B$6),"HIGH RATE","")</f>
        <v/>
      </c>
      <c r="Y1771" s="56" t="str">
        <f aca="false">IF(F1771&gt;0,RANK(F1771,$F$2:$F$1780)+COUNTIF($F$2:F1771,F1771)-1,"")</f>
        <v/>
      </c>
      <c r="Z1771" s="56" t="str">
        <f aca="false">IF(H1771&gt;0,RANK(H1771,$H$2:$H$1780)+COUNTIF($H$2:H1771,H1771)-1,"")</f>
        <v/>
      </c>
      <c r="AA1771" s="56" t="str">
        <f aca="false">IF(AC1771="","",RANK(AC1771,$AC$2:$AC$1780)+COUNTIF($AC$2:AC1771,AC1771)-1)</f>
        <v/>
      </c>
      <c r="AB1771" s="56" t="str">
        <f aca="false">IF(AD1771="","",RANK(AD1771,$AD$2:$AD$1780)+COUNTIF($AD$2:AD1771,AD1771)-1)</f>
        <v/>
      </c>
      <c r="AC1771" s="56" t="str">
        <f aca="false">IF(AND(F1771&gt;0,E1771&gt;=Settings!$B$4),J1771,"")</f>
        <v/>
      </c>
      <c r="AD1771" s="56" t="str">
        <f aca="false">IF(X1771="HIGH RATE",O1771,"")</f>
        <v/>
      </c>
    </row>
    <row r="1772" customFormat="false" ht="15" hidden="false" customHeight="false" outlineLevel="0" collapsed="false">
      <c r="A1772" s="56" t="s">
        <v>645</v>
      </c>
      <c r="B1772" s="56" t="s">
        <v>646</v>
      </c>
      <c r="C1772" s="56" t="s">
        <v>644</v>
      </c>
      <c r="D1772" s="56" t="str">
        <f aca="false">IFERROR(INDEX('Brand Map'!$B$4:$B$124,MATCH(C1772,'Brand Map'!$A$4:$A$124,0)),"Other")</f>
        <v>Other (small prefixes)</v>
      </c>
      <c r="E1772" s="57" t="n">
        <v>41</v>
      </c>
      <c r="F1772" s="57" t="n">
        <v>0</v>
      </c>
      <c r="G1772" s="58" t="n">
        <v>4220.34</v>
      </c>
      <c r="H1772" s="58" t="n">
        <v>0</v>
      </c>
      <c r="I1772" s="58" t="n">
        <v>4220.34</v>
      </c>
      <c r="J1772" s="32" t="n">
        <f aca="false">IF(E1772&gt;0,F1772/E1772,0)</f>
        <v>0</v>
      </c>
      <c r="K1772" s="32" t="n">
        <f aca="false">IF(G1772&gt;0,H1772/G1772,0)</f>
        <v>-0</v>
      </c>
      <c r="L1772" s="59" t="n">
        <f aca="false">H1772/Settings!$B$16</f>
        <v>-0</v>
      </c>
      <c r="M1772" s="59" t="n">
        <f aca="false">H1772/Settings!$B$20</f>
        <v>-0</v>
      </c>
      <c r="N1772" s="60" t="n">
        <f aca="false">E1772*Settings!$B$3</f>
        <v>1.27043219427264</v>
      </c>
      <c r="O1772" s="60" t="n">
        <f aca="false">IF(E1772&gt;0,(F1772-N1772)/SQRT(E1772*Settings!$B$3*(1-Settings!$B$3)),0)</f>
        <v>-1.14501388563587</v>
      </c>
      <c r="P1772" s="60" t="n">
        <f aca="false">MAX(0,F1772-N1772)</f>
        <v>0</v>
      </c>
      <c r="Q1772" s="32" t="n">
        <f aca="false">(F1772+Settings!$B$7*Settings!$B$3)/(E1772+Settings!$B$7)</f>
        <v>0.0130927398928819</v>
      </c>
      <c r="R1772" s="61" t="n">
        <f aca="false">PERCENTRANK($H$2:$H$1780,H1772,6)</f>
        <v>0</v>
      </c>
      <c r="S1772" s="61" t="n">
        <f aca="false">PERCENTRANK($Q$2:$Q$1780,Q1772,6)</f>
        <v>0.0309336</v>
      </c>
      <c r="T1772" s="61" t="n">
        <f aca="false">PERCENTRANK($F$2:$F$1780,F1772,6)</f>
        <v>0</v>
      </c>
      <c r="U1772" s="62" t="n">
        <f aca="false">IF(F1772&gt;0,(Settings!$B$8*T1772+Settings!$B$9*R1772+Settings!$B$10*S1772)/SUM(Settings!$B$8:$B$10),0)</f>
        <v>0</v>
      </c>
      <c r="V1772" s="56" t="str">
        <f aca="false">IF(U1772&gt;0,RANK(U1772,$U$2:$U$1780)+COUNTIF($U$2:U1772,U1772)-1,"")</f>
        <v/>
      </c>
      <c r="W1772" s="56" t="str">
        <f aca="false">IF(V1772="","",IF(V1772&lt;=Settings!$B$11,"1 - Fix first",IF(V1772&lt;=Settings!$B$12,"2 - Review","3 - Monitor")))</f>
        <v/>
      </c>
      <c r="X1772" s="56" t="str">
        <f aca="false">IF(AND(E1772&gt;=Settings!$B$4,F1772&gt;=Settings!$B$5,O1772&gt;=Settings!$B$6),"HIGH RATE","")</f>
        <v/>
      </c>
      <c r="Y1772" s="56" t="str">
        <f aca="false">IF(F1772&gt;0,RANK(F1772,$F$2:$F$1780)+COUNTIF($F$2:F1772,F1772)-1,"")</f>
        <v/>
      </c>
      <c r="Z1772" s="56" t="str">
        <f aca="false">IF(H1772&gt;0,RANK(H1772,$H$2:$H$1780)+COUNTIF($H$2:H1772,H1772)-1,"")</f>
        <v/>
      </c>
      <c r="AA1772" s="56" t="str">
        <f aca="false">IF(AC1772="","",RANK(AC1772,$AC$2:$AC$1780)+COUNTIF($AC$2:AC1772,AC1772)-1)</f>
        <v/>
      </c>
      <c r="AB1772" s="56" t="str">
        <f aca="false">IF(AD1772="","",RANK(AD1772,$AD$2:$AD$1780)+COUNTIF($AD$2:AD1772,AD1772)-1)</f>
        <v/>
      </c>
      <c r="AC1772" s="56" t="str">
        <f aca="false">IF(AND(F1772&gt;0,E1772&gt;=Settings!$B$4),J1772,"")</f>
        <v/>
      </c>
      <c r="AD1772" s="56" t="str">
        <f aca="false">IF(X1772="HIGH RATE",O1772,"")</f>
        <v/>
      </c>
    </row>
    <row r="1773" customFormat="false" ht="15" hidden="false" customHeight="false" outlineLevel="0" collapsed="false">
      <c r="A1773" s="56" t="s">
        <v>3301</v>
      </c>
      <c r="B1773" s="56" t="s">
        <v>3302</v>
      </c>
      <c r="C1773" s="56" t="s">
        <v>644</v>
      </c>
      <c r="D1773" s="56" t="str">
        <f aca="false">IFERROR(INDEX('Brand Map'!$B$4:$B$124,MATCH(C1773,'Brand Map'!$A$4:$A$124,0)),"Other")</f>
        <v>Other (small prefixes)</v>
      </c>
      <c r="E1773" s="57" t="n">
        <v>27</v>
      </c>
      <c r="F1773" s="57" t="n">
        <v>0</v>
      </c>
      <c r="G1773" s="58" t="n">
        <v>2729.94</v>
      </c>
      <c r="H1773" s="58" t="n">
        <v>0</v>
      </c>
      <c r="I1773" s="58" t="n">
        <v>2729.94</v>
      </c>
      <c r="J1773" s="32" t="n">
        <f aca="false">IF(E1773&gt;0,F1773/E1773,0)</f>
        <v>0</v>
      </c>
      <c r="K1773" s="32" t="n">
        <f aca="false">IF(G1773&gt;0,H1773/G1773,0)</f>
        <v>-0</v>
      </c>
      <c r="L1773" s="59" t="n">
        <f aca="false">H1773/Settings!$B$16</f>
        <v>-0</v>
      </c>
      <c r="M1773" s="59" t="n">
        <f aca="false">H1773/Settings!$B$20</f>
        <v>-0</v>
      </c>
      <c r="N1773" s="60" t="n">
        <f aca="false">E1773*Settings!$B$3</f>
        <v>0.836626079155151</v>
      </c>
      <c r="O1773" s="60" t="n">
        <f aca="false">IF(E1773&gt;0,(F1773-N1773)/SQRT(E1773*Settings!$B$3*(1-Settings!$B$3)),0)</f>
        <v>-0.929181826755389</v>
      </c>
      <c r="P1773" s="60" t="n">
        <f aca="false">MAX(0,F1773-N1773)</f>
        <v>0</v>
      </c>
      <c r="Q1773" s="32" t="n">
        <f aca="false">(F1773+Settings!$B$7*Settings!$B$3)/(E1773+Settings!$B$7)</f>
        <v>0.0163085005683265</v>
      </c>
      <c r="R1773" s="61" t="n">
        <f aca="false">PERCENTRANK($H$2:$H$1780,H1773,6)</f>
        <v>0</v>
      </c>
      <c r="S1773" s="61" t="n">
        <f aca="false">PERCENTRANK($Q$2:$Q$1780,Q1773,6)</f>
        <v>0.0489314</v>
      </c>
      <c r="T1773" s="61" t="n">
        <f aca="false">PERCENTRANK($F$2:$F$1780,F1773,6)</f>
        <v>0</v>
      </c>
      <c r="U1773" s="62" t="n">
        <f aca="false">IF(F1773&gt;0,(Settings!$B$8*T1773+Settings!$B$9*R1773+Settings!$B$10*S1773)/SUM(Settings!$B$8:$B$10),0)</f>
        <v>0</v>
      </c>
      <c r="V1773" s="56" t="str">
        <f aca="false">IF(U1773&gt;0,RANK(U1773,$U$2:$U$1780)+COUNTIF($U$2:U1773,U1773)-1,"")</f>
        <v/>
      </c>
      <c r="W1773" s="56" t="str">
        <f aca="false">IF(V1773="","",IF(V1773&lt;=Settings!$B$11,"1 - Fix first",IF(V1773&lt;=Settings!$B$12,"2 - Review","3 - Monitor")))</f>
        <v/>
      </c>
      <c r="X1773" s="56" t="str">
        <f aca="false">IF(AND(E1773&gt;=Settings!$B$4,F1773&gt;=Settings!$B$5,O1773&gt;=Settings!$B$6),"HIGH RATE","")</f>
        <v/>
      </c>
      <c r="Y1773" s="56" t="str">
        <f aca="false">IF(F1773&gt;0,RANK(F1773,$F$2:$F$1780)+COUNTIF($F$2:F1773,F1773)-1,"")</f>
        <v/>
      </c>
      <c r="Z1773" s="56" t="str">
        <f aca="false">IF(H1773&gt;0,RANK(H1773,$H$2:$H$1780)+COUNTIF($H$2:H1773,H1773)-1,"")</f>
        <v/>
      </c>
      <c r="AA1773" s="56" t="str">
        <f aca="false">IF(AC1773="","",RANK(AC1773,$AC$2:$AC$1780)+COUNTIF($AC$2:AC1773,AC1773)-1)</f>
        <v/>
      </c>
      <c r="AB1773" s="56" t="str">
        <f aca="false">IF(AD1773="","",RANK(AD1773,$AD$2:$AD$1780)+COUNTIF($AD$2:AD1773,AD1773)-1)</f>
        <v/>
      </c>
      <c r="AC1773" s="56" t="str">
        <f aca="false">IF(AND(F1773&gt;0,E1773&gt;=Settings!$B$4),J1773,"")</f>
        <v/>
      </c>
      <c r="AD1773" s="56" t="str">
        <f aca="false">IF(X1773="HIGH RATE",O1773,"")</f>
        <v/>
      </c>
    </row>
    <row r="1774" customFormat="false" ht="15" hidden="false" customHeight="false" outlineLevel="0" collapsed="false">
      <c r="A1774" s="56" t="s">
        <v>785</v>
      </c>
      <c r="B1774" s="56" t="s">
        <v>786</v>
      </c>
      <c r="C1774" s="56" t="s">
        <v>784</v>
      </c>
      <c r="D1774" s="56" t="str">
        <f aca="false">IFERROR(INDEX('Brand Map'!$B$4:$B$124,MATCH(C1774,'Brand Map'!$A$4:$A$124,0)),"Other")</f>
        <v>Other (small prefixes)</v>
      </c>
      <c r="E1774" s="57" t="n">
        <v>1</v>
      </c>
      <c r="F1774" s="57" t="n">
        <v>0</v>
      </c>
      <c r="G1774" s="58" t="n">
        <v>94.95</v>
      </c>
      <c r="H1774" s="58" t="n">
        <v>0</v>
      </c>
      <c r="I1774" s="58" t="n">
        <v>94.95</v>
      </c>
      <c r="J1774" s="32" t="n">
        <f aca="false">IF(E1774&gt;0,F1774/E1774,0)</f>
        <v>0</v>
      </c>
      <c r="K1774" s="32" t="n">
        <f aca="false">IF(G1774&gt;0,H1774/G1774,0)</f>
        <v>-0</v>
      </c>
      <c r="L1774" s="59" t="n">
        <f aca="false">H1774/Settings!$B$16</f>
        <v>-0</v>
      </c>
      <c r="M1774" s="59" t="n">
        <f aca="false">H1774/Settings!$B$20</f>
        <v>-0</v>
      </c>
      <c r="N1774" s="60" t="n">
        <f aca="false">E1774*Settings!$B$3</f>
        <v>0.0309861510798204</v>
      </c>
      <c r="O1774" s="60" t="n">
        <f aca="false">IF(E1774&gt;0,(F1774-N1774)/SQRT(E1774*Settings!$B$3*(1-Settings!$B$3)),0)</f>
        <v>-0.178821125934444</v>
      </c>
      <c r="P1774" s="60" t="n">
        <f aca="false">MAX(0,F1774-N1774)</f>
        <v>0</v>
      </c>
      <c r="Q1774" s="32" t="n">
        <f aca="false">(F1774+Settings!$B$7*Settings!$B$3)/(E1774+Settings!$B$7)</f>
        <v>0.0299865978191811</v>
      </c>
      <c r="R1774" s="61" t="n">
        <f aca="false">PERCENTRANK($H$2:$H$1780,H1774,6)</f>
        <v>0</v>
      </c>
      <c r="S1774" s="61" t="n">
        <f aca="false">PERCENTRANK($Q$2:$Q$1780,Q1774,6)</f>
        <v>0.486502</v>
      </c>
      <c r="T1774" s="61" t="n">
        <f aca="false">PERCENTRANK($F$2:$F$1780,F1774,6)</f>
        <v>0</v>
      </c>
      <c r="U1774" s="62" t="n">
        <f aca="false">IF(F1774&gt;0,(Settings!$B$8*T1774+Settings!$B$9*R1774+Settings!$B$10*S1774)/SUM(Settings!$B$8:$B$10),0)</f>
        <v>0</v>
      </c>
      <c r="V1774" s="56" t="str">
        <f aca="false">IF(U1774&gt;0,RANK(U1774,$U$2:$U$1780)+COUNTIF($U$2:U1774,U1774)-1,"")</f>
        <v/>
      </c>
      <c r="W1774" s="56" t="str">
        <f aca="false">IF(V1774="","",IF(V1774&lt;=Settings!$B$11,"1 - Fix first",IF(V1774&lt;=Settings!$B$12,"2 - Review","3 - Monitor")))</f>
        <v/>
      </c>
      <c r="X1774" s="56" t="str">
        <f aca="false">IF(AND(E1774&gt;=Settings!$B$4,F1774&gt;=Settings!$B$5,O1774&gt;=Settings!$B$6),"HIGH RATE","")</f>
        <v/>
      </c>
      <c r="Y1774" s="56" t="str">
        <f aca="false">IF(F1774&gt;0,RANK(F1774,$F$2:$F$1780)+COUNTIF($F$2:F1774,F1774)-1,"")</f>
        <v/>
      </c>
      <c r="Z1774" s="56" t="str">
        <f aca="false">IF(H1774&gt;0,RANK(H1774,$H$2:$H$1780)+COUNTIF($H$2:H1774,H1774)-1,"")</f>
        <v/>
      </c>
      <c r="AA1774" s="56" t="str">
        <f aca="false">IF(AC1774="","",RANK(AC1774,$AC$2:$AC$1780)+COUNTIF($AC$2:AC1774,AC1774)-1)</f>
        <v/>
      </c>
      <c r="AB1774" s="56" t="str">
        <f aca="false">IF(AD1774="","",RANK(AD1774,$AD$2:$AD$1780)+COUNTIF($AD$2:AD1774,AD1774)-1)</f>
        <v/>
      </c>
      <c r="AC1774" s="56" t="str">
        <f aca="false">IF(AND(F1774&gt;0,E1774&gt;=Settings!$B$4),J1774,"")</f>
        <v/>
      </c>
      <c r="AD1774" s="56" t="str">
        <f aca="false">IF(X1774="HIGH RATE",O1774,"")</f>
        <v/>
      </c>
    </row>
    <row r="1775" customFormat="false" ht="15" hidden="false" customHeight="false" outlineLevel="0" collapsed="false">
      <c r="A1775" s="56" t="s">
        <v>3303</v>
      </c>
      <c r="B1775" s="56" t="s">
        <v>786</v>
      </c>
      <c r="C1775" s="56" t="s">
        <v>784</v>
      </c>
      <c r="D1775" s="56" t="str">
        <f aca="false">IFERROR(INDEX('Brand Map'!$B$4:$B$124,MATCH(C1775,'Brand Map'!$A$4:$A$124,0)),"Other")</f>
        <v>Other (small prefixes)</v>
      </c>
      <c r="E1775" s="57" t="n">
        <v>1</v>
      </c>
      <c r="F1775" s="57" t="n">
        <v>0</v>
      </c>
      <c r="G1775" s="58" t="n">
        <v>49.95</v>
      </c>
      <c r="H1775" s="58" t="n">
        <v>0</v>
      </c>
      <c r="I1775" s="58" t="n">
        <v>49.95</v>
      </c>
      <c r="J1775" s="32" t="n">
        <f aca="false">IF(E1775&gt;0,F1775/E1775,0)</f>
        <v>0</v>
      </c>
      <c r="K1775" s="32" t="n">
        <f aca="false">IF(G1775&gt;0,H1775/G1775,0)</f>
        <v>-0</v>
      </c>
      <c r="L1775" s="59" t="n">
        <f aca="false">H1775/Settings!$B$16</f>
        <v>-0</v>
      </c>
      <c r="M1775" s="59" t="n">
        <f aca="false">H1775/Settings!$B$20</f>
        <v>-0</v>
      </c>
      <c r="N1775" s="60" t="n">
        <f aca="false">E1775*Settings!$B$3</f>
        <v>0.0309861510798204</v>
      </c>
      <c r="O1775" s="60" t="n">
        <f aca="false">IF(E1775&gt;0,(F1775-N1775)/SQRT(E1775*Settings!$B$3*(1-Settings!$B$3)),0)</f>
        <v>-0.178821125934444</v>
      </c>
      <c r="P1775" s="60" t="n">
        <f aca="false">MAX(0,F1775-N1775)</f>
        <v>0</v>
      </c>
      <c r="Q1775" s="32" t="n">
        <f aca="false">(F1775+Settings!$B$7*Settings!$B$3)/(E1775+Settings!$B$7)</f>
        <v>0.0299865978191811</v>
      </c>
      <c r="R1775" s="61" t="n">
        <f aca="false">PERCENTRANK($H$2:$H$1780,H1775,6)</f>
        <v>0</v>
      </c>
      <c r="S1775" s="61" t="n">
        <f aca="false">PERCENTRANK($Q$2:$Q$1780,Q1775,6)</f>
        <v>0.486502</v>
      </c>
      <c r="T1775" s="61" t="n">
        <f aca="false">PERCENTRANK($F$2:$F$1780,F1775,6)</f>
        <v>0</v>
      </c>
      <c r="U1775" s="62" t="n">
        <f aca="false">IF(F1775&gt;0,(Settings!$B$8*T1775+Settings!$B$9*R1775+Settings!$B$10*S1775)/SUM(Settings!$B$8:$B$10),0)</f>
        <v>0</v>
      </c>
      <c r="V1775" s="56" t="str">
        <f aca="false">IF(U1775&gt;0,RANK(U1775,$U$2:$U$1780)+COUNTIF($U$2:U1775,U1775)-1,"")</f>
        <v/>
      </c>
      <c r="W1775" s="56" t="str">
        <f aca="false">IF(V1775="","",IF(V1775&lt;=Settings!$B$11,"1 - Fix first",IF(V1775&lt;=Settings!$B$12,"2 - Review","3 - Monitor")))</f>
        <v/>
      </c>
      <c r="X1775" s="56" t="str">
        <f aca="false">IF(AND(E1775&gt;=Settings!$B$4,F1775&gt;=Settings!$B$5,O1775&gt;=Settings!$B$6),"HIGH RATE","")</f>
        <v/>
      </c>
      <c r="Y1775" s="56" t="str">
        <f aca="false">IF(F1775&gt;0,RANK(F1775,$F$2:$F$1780)+COUNTIF($F$2:F1775,F1775)-1,"")</f>
        <v/>
      </c>
      <c r="Z1775" s="56" t="str">
        <f aca="false">IF(H1775&gt;0,RANK(H1775,$H$2:$H$1780)+COUNTIF($H$2:H1775,H1775)-1,"")</f>
        <v/>
      </c>
      <c r="AA1775" s="56" t="str">
        <f aca="false">IF(AC1775="","",RANK(AC1775,$AC$2:$AC$1780)+COUNTIF($AC$2:AC1775,AC1775)-1)</f>
        <v/>
      </c>
      <c r="AB1775" s="56" t="str">
        <f aca="false">IF(AD1775="","",RANK(AD1775,$AD$2:$AD$1780)+COUNTIF($AD$2:AD1775,AD1775)-1)</f>
        <v/>
      </c>
      <c r="AC1775" s="56" t="str">
        <f aca="false">IF(AND(F1775&gt;0,E1775&gt;=Settings!$B$4),J1775,"")</f>
        <v/>
      </c>
      <c r="AD1775" s="56" t="str">
        <f aca="false">IF(X1775="HIGH RATE",O1775,"")</f>
        <v/>
      </c>
    </row>
    <row r="1776" customFormat="false" ht="15" hidden="false" customHeight="false" outlineLevel="0" collapsed="false">
      <c r="A1776" s="56" t="s">
        <v>851</v>
      </c>
      <c r="B1776" s="56" t="s">
        <v>852</v>
      </c>
      <c r="C1776" s="56" t="s">
        <v>850</v>
      </c>
      <c r="D1776" s="56" t="str">
        <f aca="false">IFERROR(INDEX('Brand Map'!$B$4:$B$124,MATCH(C1776,'Brand Map'!$A$4:$A$124,0)),"Other")</f>
        <v>Free / add-on / admin items</v>
      </c>
      <c r="E1776" s="57" t="n">
        <v>154</v>
      </c>
      <c r="F1776" s="57" t="n">
        <v>0</v>
      </c>
      <c r="G1776" s="58" t="n">
        <v>0</v>
      </c>
      <c r="H1776" s="58" t="n">
        <v>0</v>
      </c>
      <c r="I1776" s="58" t="n">
        <v>0</v>
      </c>
      <c r="J1776" s="32" t="n">
        <f aca="false">IF(E1776&gt;0,F1776/E1776,0)</f>
        <v>0</v>
      </c>
      <c r="K1776" s="32" t="n">
        <f aca="false">IF(G1776&gt;0,H1776/G1776,0)</f>
        <v>0</v>
      </c>
      <c r="L1776" s="59" t="n">
        <f aca="false">H1776/Settings!$B$16</f>
        <v>-0</v>
      </c>
      <c r="M1776" s="59" t="n">
        <f aca="false">H1776/Settings!$B$20</f>
        <v>-0</v>
      </c>
      <c r="N1776" s="60" t="n">
        <f aca="false">E1776*Settings!$B$3</f>
        <v>4.77186726629234</v>
      </c>
      <c r="O1776" s="60" t="n">
        <f aca="false">IF(E1776&gt;0,(F1776-N1776)/SQRT(E1776*Settings!$B$3*(1-Settings!$B$3)),0)</f>
        <v>-2.21911181385508</v>
      </c>
      <c r="P1776" s="60" t="n">
        <f aca="false">MAX(0,F1776-N1776)</f>
        <v>0</v>
      </c>
      <c r="Q1776" s="32" t="n">
        <f aca="false">(F1776+Settings!$B$7*Settings!$B$3)/(E1776+Settings!$B$7)</f>
        <v>0.00505208984997072</v>
      </c>
      <c r="R1776" s="61" t="n">
        <f aca="false">PERCENTRANK($H$2:$H$1780,H1776,6)</f>
        <v>0</v>
      </c>
      <c r="S1776" s="61" t="n">
        <f aca="false">PERCENTRANK($Q$2:$Q$1780,Q1776,6)</f>
        <v>0.00281215</v>
      </c>
      <c r="T1776" s="61" t="n">
        <f aca="false">PERCENTRANK($F$2:$F$1780,F1776,6)</f>
        <v>0</v>
      </c>
      <c r="U1776" s="62" t="n">
        <f aca="false">IF(F1776&gt;0,(Settings!$B$8*T1776+Settings!$B$9*R1776+Settings!$B$10*S1776)/SUM(Settings!$B$8:$B$10),0)</f>
        <v>0</v>
      </c>
      <c r="V1776" s="56" t="str">
        <f aca="false">IF(U1776&gt;0,RANK(U1776,$U$2:$U$1780)+COUNTIF($U$2:U1776,U1776)-1,"")</f>
        <v/>
      </c>
      <c r="W1776" s="56" t="str">
        <f aca="false">IF(V1776="","",IF(V1776&lt;=Settings!$B$11,"1 - Fix first",IF(V1776&lt;=Settings!$B$12,"2 - Review","3 - Monitor")))</f>
        <v/>
      </c>
      <c r="X1776" s="56" t="str">
        <f aca="false">IF(AND(E1776&gt;=Settings!$B$4,F1776&gt;=Settings!$B$5,O1776&gt;=Settings!$B$6),"HIGH RATE","")</f>
        <v/>
      </c>
      <c r="Y1776" s="56" t="str">
        <f aca="false">IF(F1776&gt;0,RANK(F1776,$F$2:$F$1780)+COUNTIF($F$2:F1776,F1776)-1,"")</f>
        <v/>
      </c>
      <c r="Z1776" s="56" t="str">
        <f aca="false">IF(H1776&gt;0,RANK(H1776,$H$2:$H$1780)+COUNTIF($H$2:H1776,H1776)-1,"")</f>
        <v/>
      </c>
      <c r="AA1776" s="56" t="str">
        <f aca="false">IF(AC1776="","",RANK(AC1776,$AC$2:$AC$1780)+COUNTIF($AC$2:AC1776,AC1776)-1)</f>
        <v/>
      </c>
      <c r="AB1776" s="56" t="str">
        <f aca="false">IF(AD1776="","",RANK(AD1776,$AD$2:$AD$1780)+COUNTIF($AD$2:AD1776,AD1776)-1)</f>
        <v/>
      </c>
      <c r="AC1776" s="56" t="str">
        <f aca="false">IF(AND(F1776&gt;0,E1776&gt;=Settings!$B$4),J1776,"")</f>
        <v/>
      </c>
      <c r="AD1776" s="56" t="str">
        <f aca="false">IF(X1776="HIGH RATE",O1776,"")</f>
        <v/>
      </c>
    </row>
    <row r="1777" customFormat="false" ht="15" hidden="false" customHeight="false" outlineLevel="0" collapsed="false">
      <c r="A1777" s="56" t="s">
        <v>3304</v>
      </c>
      <c r="B1777" s="56" t="s">
        <v>3305</v>
      </c>
      <c r="C1777" s="56" t="s">
        <v>850</v>
      </c>
      <c r="D1777" s="56" t="str">
        <f aca="false">IFERROR(INDEX('Brand Map'!$B$4:$B$124,MATCH(C1777,'Brand Map'!$A$4:$A$124,0)),"Other")</f>
        <v>Free / add-on / admin items</v>
      </c>
      <c r="E1777" s="57" t="n">
        <v>334</v>
      </c>
      <c r="F1777" s="57" t="n">
        <v>0</v>
      </c>
      <c r="G1777" s="58" t="n">
        <v>0</v>
      </c>
      <c r="H1777" s="58" t="n">
        <v>0</v>
      </c>
      <c r="I1777" s="58" t="n">
        <v>0</v>
      </c>
      <c r="J1777" s="32" t="n">
        <f aca="false">IF(E1777&gt;0,F1777/E1777,0)</f>
        <v>0</v>
      </c>
      <c r="K1777" s="32" t="n">
        <f aca="false">IF(G1777&gt;0,H1777/G1777,0)</f>
        <v>0</v>
      </c>
      <c r="L1777" s="59" t="n">
        <f aca="false">H1777/Settings!$B$16</f>
        <v>-0</v>
      </c>
      <c r="M1777" s="59" t="n">
        <f aca="false">H1777/Settings!$B$20</f>
        <v>-0</v>
      </c>
      <c r="N1777" s="60" t="n">
        <f aca="false">E1777*Settings!$B$3</f>
        <v>10.34937446066</v>
      </c>
      <c r="O1777" s="60" t="n">
        <f aca="false">IF(E1777&gt;0,(F1777-N1777)/SQRT(E1777*Settings!$B$3*(1-Settings!$B$3)),0)</f>
        <v>-3.26807532913096</v>
      </c>
      <c r="P1777" s="60" t="n">
        <f aca="false">MAX(0,F1777-N1777)</f>
        <v>0</v>
      </c>
      <c r="Q1777" s="32" t="n">
        <f aca="false">(F1777+Settings!$B$7*Settings!$B$3)/(E1777+Settings!$B$7)</f>
        <v>0.00255380366042476</v>
      </c>
      <c r="R1777" s="61" t="n">
        <f aca="false">PERCENTRANK($H$2:$H$1780,H1777,6)</f>
        <v>0</v>
      </c>
      <c r="S1777" s="61" t="n">
        <f aca="false">PERCENTRANK($Q$2:$Q$1780,Q1777,6)</f>
        <v>0.00168729</v>
      </c>
      <c r="T1777" s="61" t="n">
        <f aca="false">PERCENTRANK($F$2:$F$1780,F1777,6)</f>
        <v>0</v>
      </c>
      <c r="U1777" s="62" t="n">
        <f aca="false">IF(F1777&gt;0,(Settings!$B$8*T1777+Settings!$B$9*R1777+Settings!$B$10*S1777)/SUM(Settings!$B$8:$B$10),0)</f>
        <v>0</v>
      </c>
      <c r="V1777" s="56" t="str">
        <f aca="false">IF(U1777&gt;0,RANK(U1777,$U$2:$U$1780)+COUNTIF($U$2:U1777,U1777)-1,"")</f>
        <v/>
      </c>
      <c r="W1777" s="56" t="str">
        <f aca="false">IF(V1777="","",IF(V1777&lt;=Settings!$B$11,"1 - Fix first",IF(V1777&lt;=Settings!$B$12,"2 - Review","3 - Monitor")))</f>
        <v/>
      </c>
      <c r="X1777" s="56" t="str">
        <f aca="false">IF(AND(E1777&gt;=Settings!$B$4,F1777&gt;=Settings!$B$5,O1777&gt;=Settings!$B$6),"HIGH RATE","")</f>
        <v/>
      </c>
      <c r="Y1777" s="56" t="str">
        <f aca="false">IF(F1777&gt;0,RANK(F1777,$F$2:$F$1780)+COUNTIF($F$2:F1777,F1777)-1,"")</f>
        <v/>
      </c>
      <c r="Z1777" s="56" t="str">
        <f aca="false">IF(H1777&gt;0,RANK(H1777,$H$2:$H$1780)+COUNTIF($H$2:H1777,H1777)-1,"")</f>
        <v/>
      </c>
      <c r="AA1777" s="56" t="str">
        <f aca="false">IF(AC1777="","",RANK(AC1777,$AC$2:$AC$1780)+COUNTIF($AC$2:AC1777,AC1777)-1)</f>
        <v/>
      </c>
      <c r="AB1777" s="56" t="str">
        <f aca="false">IF(AD1777="","",RANK(AD1777,$AD$2:$AD$1780)+COUNTIF($AD$2:AD1777,AD1777)-1)</f>
        <v/>
      </c>
      <c r="AC1777" s="56" t="str">
        <f aca="false">IF(AND(F1777&gt;0,E1777&gt;=Settings!$B$4),J1777,"")</f>
        <v/>
      </c>
      <c r="AD1777" s="56" t="str">
        <f aca="false">IF(X1777="HIGH RATE",O1777,"")</f>
        <v/>
      </c>
    </row>
    <row r="1778" customFormat="false" ht="15" hidden="false" customHeight="false" outlineLevel="0" collapsed="false">
      <c r="A1778" s="56" t="s">
        <v>839</v>
      </c>
      <c r="B1778" s="56" t="s">
        <v>840</v>
      </c>
      <c r="C1778" s="56" t="s">
        <v>838</v>
      </c>
      <c r="D1778" s="56" t="str">
        <f aca="false">IFERROR(INDEX('Brand Map'!$B$4:$B$124,MATCH(C1778,'Brand Map'!$A$4:$A$124,0)),"Other")</f>
        <v>Free / add-on / admin items</v>
      </c>
      <c r="E1778" s="57" t="n">
        <v>10</v>
      </c>
      <c r="F1778" s="57" t="n">
        <v>0</v>
      </c>
      <c r="G1778" s="58" t="n">
        <v>0</v>
      </c>
      <c r="H1778" s="58" t="n">
        <v>0</v>
      </c>
      <c r="I1778" s="58" t="n">
        <v>0</v>
      </c>
      <c r="J1778" s="32" t="n">
        <f aca="false">IF(E1778&gt;0,F1778/E1778,0)</f>
        <v>0</v>
      </c>
      <c r="K1778" s="32" t="n">
        <f aca="false">IF(G1778&gt;0,H1778/G1778,0)</f>
        <v>0</v>
      </c>
      <c r="L1778" s="59" t="n">
        <f aca="false">H1778/Settings!$B$16</f>
        <v>-0</v>
      </c>
      <c r="M1778" s="59" t="n">
        <f aca="false">H1778/Settings!$B$20</f>
        <v>-0</v>
      </c>
      <c r="N1778" s="60" t="n">
        <f aca="false">E1778*Settings!$B$3</f>
        <v>0.309861510798204</v>
      </c>
      <c r="O1778" s="60" t="n">
        <f aca="false">IF(E1778&gt;0,(F1778-N1778)/SQRT(E1778*Settings!$B$3*(1-Settings!$B$3)),0)</f>
        <v>-0.565482051708649</v>
      </c>
      <c r="P1778" s="60" t="n">
        <f aca="false">MAX(0,F1778-N1778)</f>
        <v>0</v>
      </c>
      <c r="Q1778" s="32" t="n">
        <f aca="false">(F1778+Settings!$B$7*Settings!$B$3)/(E1778+Settings!$B$7)</f>
        <v>0.0232396133098653</v>
      </c>
      <c r="R1778" s="61" t="n">
        <f aca="false">PERCENTRANK($H$2:$H$1780,H1778,6)</f>
        <v>0</v>
      </c>
      <c r="S1778" s="61" t="n">
        <f aca="false">PERCENTRANK($Q$2:$Q$1780,Q1778,6)</f>
        <v>0.131046</v>
      </c>
      <c r="T1778" s="61" t="n">
        <f aca="false">PERCENTRANK($F$2:$F$1780,F1778,6)</f>
        <v>0</v>
      </c>
      <c r="U1778" s="62" t="n">
        <f aca="false">IF(F1778&gt;0,(Settings!$B$8*T1778+Settings!$B$9*R1778+Settings!$B$10*S1778)/SUM(Settings!$B$8:$B$10),0)</f>
        <v>0</v>
      </c>
      <c r="V1778" s="56" t="str">
        <f aca="false">IF(U1778&gt;0,RANK(U1778,$U$2:$U$1780)+COUNTIF($U$2:U1778,U1778)-1,"")</f>
        <v/>
      </c>
      <c r="W1778" s="56" t="str">
        <f aca="false">IF(V1778="","",IF(V1778&lt;=Settings!$B$11,"1 - Fix first",IF(V1778&lt;=Settings!$B$12,"2 - Review","3 - Monitor")))</f>
        <v/>
      </c>
      <c r="X1778" s="56" t="str">
        <f aca="false">IF(AND(E1778&gt;=Settings!$B$4,F1778&gt;=Settings!$B$5,O1778&gt;=Settings!$B$6),"HIGH RATE","")</f>
        <v/>
      </c>
      <c r="Y1778" s="56" t="str">
        <f aca="false">IF(F1778&gt;0,RANK(F1778,$F$2:$F$1780)+COUNTIF($F$2:F1778,F1778)-1,"")</f>
        <v/>
      </c>
      <c r="Z1778" s="56" t="str">
        <f aca="false">IF(H1778&gt;0,RANK(H1778,$H$2:$H$1780)+COUNTIF($H$2:H1778,H1778)-1,"")</f>
        <v/>
      </c>
      <c r="AA1778" s="56" t="str">
        <f aca="false">IF(AC1778="","",RANK(AC1778,$AC$2:$AC$1780)+COUNTIF($AC$2:AC1778,AC1778)-1)</f>
        <v/>
      </c>
      <c r="AB1778" s="56" t="str">
        <f aca="false">IF(AD1778="","",RANK(AD1778,$AD$2:$AD$1780)+COUNTIF($AD$2:AD1778,AD1778)-1)</f>
        <v/>
      </c>
      <c r="AC1778" s="56" t="str">
        <f aca="false">IF(AND(F1778&gt;0,E1778&gt;=Settings!$B$4),J1778,"")</f>
        <v/>
      </c>
      <c r="AD1778" s="56" t="str">
        <f aca="false">IF(X1778="HIGH RATE",O1778,"")</f>
        <v/>
      </c>
    </row>
    <row r="1779" customFormat="false" ht="15" hidden="false" customHeight="false" outlineLevel="0" collapsed="false">
      <c r="A1779" s="56" t="s">
        <v>833</v>
      </c>
      <c r="B1779" s="56" t="s">
        <v>834</v>
      </c>
      <c r="C1779" s="56" t="s">
        <v>832</v>
      </c>
      <c r="D1779" s="56" t="str">
        <f aca="false">IFERROR(INDEX('Brand Map'!$B$4:$B$124,MATCH(C1779,'Brand Map'!$A$4:$A$124,0)),"Other")</f>
        <v>Free / add-on / admin items</v>
      </c>
      <c r="E1779" s="57" t="n">
        <v>1</v>
      </c>
      <c r="F1779" s="57" t="n">
        <v>0</v>
      </c>
      <c r="G1779" s="58" t="n">
        <v>0</v>
      </c>
      <c r="H1779" s="58" t="n">
        <v>0</v>
      </c>
      <c r="I1779" s="58" t="n">
        <v>0</v>
      </c>
      <c r="J1779" s="32" t="n">
        <f aca="false">IF(E1779&gt;0,F1779/E1779,0)</f>
        <v>0</v>
      </c>
      <c r="K1779" s="32" t="n">
        <f aca="false">IF(G1779&gt;0,H1779/G1779,0)</f>
        <v>0</v>
      </c>
      <c r="L1779" s="59" t="n">
        <f aca="false">H1779/Settings!$B$16</f>
        <v>-0</v>
      </c>
      <c r="M1779" s="59" t="n">
        <f aca="false">H1779/Settings!$B$20</f>
        <v>-0</v>
      </c>
      <c r="N1779" s="60" t="n">
        <f aca="false">E1779*Settings!$B$3</f>
        <v>0.0309861510798204</v>
      </c>
      <c r="O1779" s="60" t="n">
        <f aca="false">IF(E1779&gt;0,(F1779-N1779)/SQRT(E1779*Settings!$B$3*(1-Settings!$B$3)),0)</f>
        <v>-0.178821125934444</v>
      </c>
      <c r="P1779" s="60" t="n">
        <f aca="false">MAX(0,F1779-N1779)</f>
        <v>0</v>
      </c>
      <c r="Q1779" s="32" t="n">
        <f aca="false">(F1779+Settings!$B$7*Settings!$B$3)/(E1779+Settings!$B$7)</f>
        <v>0.0299865978191811</v>
      </c>
      <c r="R1779" s="61" t="n">
        <f aca="false">PERCENTRANK($H$2:$H$1780,H1779,6)</f>
        <v>0</v>
      </c>
      <c r="S1779" s="61" t="n">
        <f aca="false">PERCENTRANK($Q$2:$Q$1780,Q1779,6)</f>
        <v>0.486502</v>
      </c>
      <c r="T1779" s="61" t="n">
        <f aca="false">PERCENTRANK($F$2:$F$1780,F1779,6)</f>
        <v>0</v>
      </c>
      <c r="U1779" s="62" t="n">
        <f aca="false">IF(F1779&gt;0,(Settings!$B$8*T1779+Settings!$B$9*R1779+Settings!$B$10*S1779)/SUM(Settings!$B$8:$B$10),0)</f>
        <v>0</v>
      </c>
      <c r="V1779" s="56" t="str">
        <f aca="false">IF(U1779&gt;0,RANK(U1779,$U$2:$U$1780)+COUNTIF($U$2:U1779,U1779)-1,"")</f>
        <v/>
      </c>
      <c r="W1779" s="56" t="str">
        <f aca="false">IF(V1779="","",IF(V1779&lt;=Settings!$B$11,"1 - Fix first",IF(V1779&lt;=Settings!$B$12,"2 - Review","3 - Monitor")))</f>
        <v/>
      </c>
      <c r="X1779" s="56" t="str">
        <f aca="false">IF(AND(E1779&gt;=Settings!$B$4,F1779&gt;=Settings!$B$5,O1779&gt;=Settings!$B$6),"HIGH RATE","")</f>
        <v/>
      </c>
      <c r="Y1779" s="56" t="str">
        <f aca="false">IF(F1779&gt;0,RANK(F1779,$F$2:$F$1780)+COUNTIF($F$2:F1779,F1779)-1,"")</f>
        <v/>
      </c>
      <c r="Z1779" s="56" t="str">
        <f aca="false">IF(H1779&gt;0,RANK(H1779,$H$2:$H$1780)+COUNTIF($H$2:H1779,H1779)-1,"")</f>
        <v/>
      </c>
      <c r="AA1779" s="56" t="str">
        <f aca="false">IF(AC1779="","",RANK(AC1779,$AC$2:$AC$1780)+COUNTIF($AC$2:AC1779,AC1779)-1)</f>
        <v/>
      </c>
      <c r="AB1779" s="56" t="str">
        <f aca="false">IF(AD1779="","",RANK(AD1779,$AD$2:$AD$1780)+COUNTIF($AD$2:AD1779,AD1779)-1)</f>
        <v/>
      </c>
      <c r="AC1779" s="56" t="str">
        <f aca="false">IF(AND(F1779&gt;0,E1779&gt;=Settings!$B$4),J1779,"")</f>
        <v/>
      </c>
      <c r="AD1779" s="56" t="str">
        <f aca="false">IF(X1779="HIGH RATE",O1779,"")</f>
        <v/>
      </c>
    </row>
    <row r="1780" customFormat="false" ht="15" hidden="false" customHeight="false" outlineLevel="0" collapsed="false">
      <c r="A1780" s="56" t="s">
        <v>3306</v>
      </c>
      <c r="B1780" s="56" t="s">
        <v>1603</v>
      </c>
      <c r="C1780" s="56" t="s">
        <v>148</v>
      </c>
      <c r="D1780" s="56" t="str">
        <f aca="false">IFERROR(INDEX('Brand Map'!$B$4:$B$124,MATCH(C1780,'Brand Map'!$A$4:$A$124,0)),"Other")</f>
        <v>FBAU</v>
      </c>
      <c r="E1780" s="57" t="n">
        <v>1</v>
      </c>
      <c r="F1780" s="57" t="n">
        <v>0</v>
      </c>
      <c r="G1780" s="58" t="n">
        <v>104.2</v>
      </c>
      <c r="H1780" s="58" t="n">
        <v>0</v>
      </c>
      <c r="I1780" s="58" t="n">
        <v>104.2</v>
      </c>
      <c r="J1780" s="32" t="n">
        <f aca="false">IF(E1780&gt;0,F1780/E1780,0)</f>
        <v>0</v>
      </c>
      <c r="K1780" s="32" t="n">
        <f aca="false">IF(G1780&gt;0,H1780/G1780,0)</f>
        <v>-0</v>
      </c>
      <c r="L1780" s="59" t="n">
        <f aca="false">H1780/Settings!$B$16</f>
        <v>-0</v>
      </c>
      <c r="M1780" s="59" t="n">
        <f aca="false">H1780/Settings!$B$20</f>
        <v>-0</v>
      </c>
      <c r="N1780" s="60" t="n">
        <f aca="false">E1780*Settings!$B$3</f>
        <v>0.0309861510798204</v>
      </c>
      <c r="O1780" s="60" t="n">
        <f aca="false">IF(E1780&gt;0,(F1780-N1780)/SQRT(E1780*Settings!$B$3*(1-Settings!$B$3)),0)</f>
        <v>-0.178821125934444</v>
      </c>
      <c r="P1780" s="60" t="n">
        <f aca="false">MAX(0,F1780-N1780)</f>
        <v>0</v>
      </c>
      <c r="Q1780" s="32" t="n">
        <f aca="false">(F1780+Settings!$B$7*Settings!$B$3)/(E1780+Settings!$B$7)</f>
        <v>0.0299865978191811</v>
      </c>
      <c r="R1780" s="61" t="n">
        <f aca="false">PERCENTRANK($H$2:$H$1780,H1780,6)</f>
        <v>0</v>
      </c>
      <c r="S1780" s="61" t="n">
        <f aca="false">PERCENTRANK($Q$2:$Q$1780,Q1780,6)</f>
        <v>0.486502</v>
      </c>
      <c r="T1780" s="61" t="n">
        <f aca="false">PERCENTRANK($F$2:$F$1780,F1780,6)</f>
        <v>0</v>
      </c>
      <c r="U1780" s="62" t="n">
        <f aca="false">IF(F1780&gt;0,(Settings!$B$8*T1780+Settings!$B$9*R1780+Settings!$B$10*S1780)/SUM(Settings!$B$8:$B$10),0)</f>
        <v>0</v>
      </c>
      <c r="V1780" s="56" t="str">
        <f aca="false">IF(U1780&gt;0,RANK(U1780,$U$2:$U$1780)+COUNTIF($U$2:U1780,U1780)-1,"")</f>
        <v/>
      </c>
      <c r="W1780" s="56" t="str">
        <f aca="false">IF(V1780="","",IF(V1780&lt;=Settings!$B$11,"1 - Fix first",IF(V1780&lt;=Settings!$B$12,"2 - Review","3 - Monitor")))</f>
        <v/>
      </c>
      <c r="X1780" s="56" t="str">
        <f aca="false">IF(AND(E1780&gt;=Settings!$B$4,F1780&gt;=Settings!$B$5,O1780&gt;=Settings!$B$6),"HIGH RATE","")</f>
        <v/>
      </c>
      <c r="Y1780" s="56" t="str">
        <f aca="false">IF(F1780&gt;0,RANK(F1780,$F$2:$F$1780)+COUNTIF($F$2:F1780,F1780)-1,"")</f>
        <v/>
      </c>
      <c r="Z1780" s="56" t="str">
        <f aca="false">IF(H1780&gt;0,RANK(H1780,$H$2:$H$1780)+COUNTIF($H$2:H1780,H1780)-1,"")</f>
        <v/>
      </c>
      <c r="AA1780" s="56" t="str">
        <f aca="false">IF(AC1780="","",RANK(AC1780,$AC$2:$AC$1780)+COUNTIF($AC$2:AC1780,AC1780)-1)</f>
        <v/>
      </c>
      <c r="AB1780" s="56" t="str">
        <f aca="false">IF(AD1780="","",RANK(AD1780,$AD$2:$AD$1780)+COUNTIF($AD$2:AD1780,AD1780)-1)</f>
        <v/>
      </c>
      <c r="AC1780" s="56" t="str">
        <f aca="false">IF(AND(F1780&gt;0,E1780&gt;=Settings!$B$4),J1780,"")</f>
        <v/>
      </c>
      <c r="AD1780" s="56" t="str">
        <f aca="false">IF(X1780="HIGH RATE",O1780,"")</f>
        <v/>
      </c>
    </row>
  </sheetData>
  <autoFilter ref="A1:AD1780"/>
  <conditionalFormatting sqref="J2:J1780">
    <cfRule type="colorScale" priority="2">
      <colorScale>
        <cfvo type="num" val="0"/>
        <cfvo type="num" val="0.12"/>
        <color rgb="FFFFFFFF"/>
        <color rgb="FFF4A6A0"/>
      </colorScale>
    </cfRule>
  </conditionalFormatting>
  <conditionalFormatting sqref="X2:X1780">
    <cfRule type="cellIs" priority="3" operator="equal" aboveAverage="0" equalAverage="0" bottom="0" percent="0" rank="0" text="" dxfId="187">
      <formula>"HIGH RATE"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2026-10-09T18:19:58Z</dcterms:created>
  <dc:creator>openpyxl</dc:creator>
  <dc:description/>
  <dc:language>en-US</dc:language>
  <cp:lastModifiedBy/>
  <dcterms:modified xsi:type="dcterms:W3CDTF">2026-10-09T18:20:04Z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